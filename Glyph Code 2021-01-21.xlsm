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E6DD1C39-2D58-4332-BCDC-B7026B50BA2E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NEW'!$S$1:$AA$202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17" i="6" l="1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5" i="6"/>
  <c r="AN96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32" i="6"/>
  <c r="AN133" i="6"/>
  <c r="AN134" i="6"/>
  <c r="AN135" i="6"/>
  <c r="AN136" i="6"/>
  <c r="AN137" i="6"/>
  <c r="AN138" i="6"/>
  <c r="AN139" i="6"/>
  <c r="AN140" i="6"/>
  <c r="AN141" i="6"/>
  <c r="AN142" i="6"/>
  <c r="AN143" i="6"/>
  <c r="AN144" i="6"/>
  <c r="AN145" i="6"/>
  <c r="AN146" i="6"/>
  <c r="AN147" i="6"/>
  <c r="AN148" i="6"/>
  <c r="AN149" i="6"/>
  <c r="AN150" i="6"/>
  <c r="AN151" i="6"/>
  <c r="AN152" i="6"/>
  <c r="AN153" i="6"/>
  <c r="AN154" i="6"/>
  <c r="AN155" i="6"/>
  <c r="AN156" i="6"/>
  <c r="AN157" i="6"/>
  <c r="AN158" i="6"/>
  <c r="AN159" i="6"/>
  <c r="AN160" i="6"/>
  <c r="AN161" i="6"/>
  <c r="AN162" i="6"/>
  <c r="AN163" i="6"/>
  <c r="AN164" i="6"/>
  <c r="AN165" i="6"/>
  <c r="AN166" i="6"/>
  <c r="AN167" i="6"/>
  <c r="AN168" i="6"/>
  <c r="AN169" i="6"/>
  <c r="AN170" i="6"/>
  <c r="AN171" i="6"/>
  <c r="AN172" i="6"/>
  <c r="AN173" i="6"/>
  <c r="AN174" i="6"/>
  <c r="AN175" i="6"/>
  <c r="AN176" i="6"/>
  <c r="AN177" i="6"/>
  <c r="AN178" i="6"/>
  <c r="AN179" i="6"/>
  <c r="AN180" i="6"/>
  <c r="AN181" i="6"/>
  <c r="AN182" i="6"/>
  <c r="AN183" i="6"/>
  <c r="AN184" i="6"/>
  <c r="AN185" i="6"/>
  <c r="AN186" i="6"/>
  <c r="AN187" i="6"/>
  <c r="AN188" i="6"/>
  <c r="AN189" i="6"/>
  <c r="AN190" i="6"/>
  <c r="AN191" i="6"/>
  <c r="AN192" i="6"/>
  <c r="AN193" i="6"/>
  <c r="AN194" i="6"/>
  <c r="AN195" i="6"/>
  <c r="AN196" i="6"/>
  <c r="AN197" i="6"/>
  <c r="AN198" i="6"/>
  <c r="AN199" i="6"/>
  <c r="AN200" i="6"/>
  <c r="AN201" i="6"/>
  <c r="AN202" i="6"/>
  <c r="AN3" i="6"/>
  <c r="AN4" i="6"/>
  <c r="AN5" i="6"/>
  <c r="AN6" i="6"/>
  <c r="AN7" i="6"/>
  <c r="AN8" i="6"/>
  <c r="AN9" i="6"/>
  <c r="AN10" i="6"/>
  <c r="AN11" i="6"/>
  <c r="AN12" i="6"/>
  <c r="AN13" i="6"/>
  <c r="AN14" i="6"/>
  <c r="AN15" i="6"/>
  <c r="AN16" i="6"/>
  <c r="AN2" i="6"/>
  <c r="U202" i="6" l="1"/>
  <c r="S201" i="6"/>
  <c r="U200" i="6"/>
  <c r="T200" i="6"/>
  <c r="U199" i="6"/>
  <c r="S199" i="6"/>
  <c r="V198" i="6"/>
  <c r="S198" i="6"/>
  <c r="V197" i="6"/>
  <c r="T197" i="6"/>
  <c r="T196" i="6"/>
  <c r="S196" i="6"/>
  <c r="T195" i="6"/>
  <c r="V194" i="6"/>
  <c r="V193" i="6"/>
  <c r="U193" i="6"/>
  <c r="V192" i="6"/>
  <c r="S192" i="6"/>
  <c r="U191" i="6"/>
  <c r="S191" i="6"/>
  <c r="U190" i="6"/>
  <c r="T190" i="6"/>
  <c r="V189" i="6"/>
  <c r="T189" i="6"/>
  <c r="V188" i="6"/>
  <c r="T188" i="6"/>
  <c r="V187" i="6"/>
  <c r="S187" i="6"/>
  <c r="U186" i="6"/>
  <c r="S186" i="6"/>
  <c r="U185" i="6"/>
  <c r="T185" i="6"/>
  <c r="U184" i="6"/>
  <c r="S184" i="6"/>
  <c r="V183" i="6"/>
  <c r="S183" i="6"/>
  <c r="U182" i="6"/>
  <c r="T182" i="6"/>
  <c r="V181" i="6"/>
  <c r="T181" i="6"/>
  <c r="U180" i="6"/>
  <c r="S180" i="6"/>
  <c r="V179" i="6"/>
  <c r="S179" i="6"/>
  <c r="U178" i="6"/>
  <c r="T178" i="6"/>
  <c r="V177" i="6"/>
  <c r="T177" i="6"/>
  <c r="T176" i="6"/>
  <c r="S176" i="6"/>
  <c r="T175" i="6"/>
  <c r="S175" i="6"/>
  <c r="V174" i="6"/>
  <c r="U174" i="6"/>
  <c r="V173" i="6"/>
  <c r="U173" i="6"/>
  <c r="U172" i="6"/>
  <c r="S172" i="6"/>
  <c r="V171" i="6"/>
  <c r="S171" i="6"/>
  <c r="U170" i="6"/>
  <c r="T170" i="6"/>
  <c r="V169" i="6"/>
  <c r="T169" i="6"/>
  <c r="U165" i="6"/>
  <c r="S165" i="6"/>
  <c r="V164" i="6"/>
  <c r="S164" i="6"/>
  <c r="U163" i="6"/>
  <c r="T163" i="6"/>
  <c r="V162" i="6"/>
  <c r="T162" i="6"/>
  <c r="V161" i="6"/>
  <c r="U161" i="6"/>
  <c r="T161" i="6"/>
  <c r="S161" i="6"/>
  <c r="V160" i="6"/>
  <c r="U160" i="6"/>
  <c r="T160" i="6"/>
  <c r="S160" i="6"/>
  <c r="V159" i="6"/>
  <c r="U159" i="6"/>
  <c r="T159" i="6"/>
  <c r="S159" i="6"/>
  <c r="V158" i="6"/>
  <c r="U158" i="6"/>
  <c r="T158" i="6"/>
  <c r="S158" i="6"/>
  <c r="V157" i="6"/>
  <c r="U157" i="6"/>
  <c r="T157" i="6"/>
  <c r="S157" i="6"/>
  <c r="V156" i="6"/>
  <c r="T156" i="6"/>
  <c r="S156" i="6"/>
  <c r="V155" i="6"/>
  <c r="U155" i="6"/>
  <c r="S155" i="6"/>
  <c r="U154" i="6"/>
  <c r="T154" i="6"/>
  <c r="S154" i="6"/>
  <c r="V153" i="6"/>
  <c r="U153" i="6"/>
  <c r="T153" i="6"/>
  <c r="V152" i="6"/>
  <c r="T152" i="6"/>
  <c r="S152" i="6"/>
  <c r="V151" i="6"/>
  <c r="U151" i="6"/>
  <c r="S151" i="6"/>
  <c r="U150" i="6"/>
  <c r="T150" i="6"/>
  <c r="S150" i="6"/>
  <c r="V149" i="6"/>
  <c r="U149" i="6"/>
  <c r="T149" i="6"/>
  <c r="V148" i="6"/>
  <c r="U148" i="6"/>
  <c r="V147" i="6"/>
  <c r="U147" i="6"/>
  <c r="T146" i="6"/>
  <c r="S146" i="6"/>
  <c r="T145" i="6"/>
  <c r="S145" i="6"/>
  <c r="U144" i="6"/>
  <c r="S144" i="6"/>
  <c r="V143" i="6"/>
  <c r="S143" i="6"/>
  <c r="U142" i="6"/>
  <c r="T142" i="6"/>
  <c r="V141" i="6"/>
  <c r="T141" i="6"/>
  <c r="U140" i="6"/>
  <c r="S140" i="6"/>
  <c r="V139" i="6"/>
  <c r="S139" i="6"/>
  <c r="U138" i="6"/>
  <c r="T138" i="6"/>
  <c r="V137" i="6"/>
  <c r="T137" i="6"/>
  <c r="V136" i="6"/>
  <c r="U135" i="6"/>
  <c r="T134" i="6"/>
  <c r="S133" i="6"/>
  <c r="V132" i="6"/>
  <c r="T132" i="6"/>
  <c r="V131" i="6"/>
  <c r="S131" i="6"/>
  <c r="U130" i="6"/>
  <c r="S130" i="6"/>
  <c r="U129" i="6"/>
  <c r="T129" i="6"/>
  <c r="V128" i="6"/>
  <c r="U128" i="6"/>
  <c r="T128" i="6"/>
  <c r="V127" i="6"/>
  <c r="U127" i="6"/>
  <c r="S127" i="6"/>
  <c r="U126" i="6"/>
  <c r="T126" i="6"/>
  <c r="S126" i="6"/>
  <c r="V125" i="6"/>
  <c r="T125" i="6"/>
  <c r="S125" i="6"/>
  <c r="V124" i="6"/>
  <c r="U124" i="6"/>
  <c r="T124" i="6"/>
  <c r="V123" i="6"/>
  <c r="U123" i="6"/>
  <c r="S123" i="6"/>
  <c r="U122" i="6"/>
  <c r="T122" i="6"/>
  <c r="S122" i="6"/>
  <c r="V121" i="6"/>
  <c r="T121" i="6"/>
  <c r="S121" i="6"/>
  <c r="V120" i="6"/>
  <c r="U120" i="6"/>
  <c r="T120" i="6"/>
  <c r="S120" i="6"/>
  <c r="V119" i="6"/>
  <c r="U119" i="6"/>
  <c r="T119" i="6"/>
  <c r="S119" i="6"/>
  <c r="V118" i="6"/>
  <c r="U118" i="6"/>
  <c r="T118" i="6"/>
  <c r="S118" i="6"/>
  <c r="V117" i="6"/>
  <c r="U117" i="6"/>
  <c r="T117" i="6"/>
  <c r="S117" i="6"/>
  <c r="V116" i="6"/>
  <c r="U116" i="6"/>
  <c r="T116" i="6"/>
  <c r="S116" i="6"/>
  <c r="V115" i="6"/>
  <c r="U115" i="6"/>
  <c r="T115" i="6"/>
  <c r="S115" i="6"/>
  <c r="V114" i="6"/>
  <c r="U114" i="6"/>
  <c r="T114" i="6"/>
  <c r="S114" i="6"/>
  <c r="V113" i="6"/>
  <c r="U113" i="6"/>
  <c r="T113" i="6"/>
  <c r="S113" i="6"/>
  <c r="V112" i="6"/>
  <c r="T112" i="6"/>
  <c r="V111" i="6"/>
  <c r="S111" i="6"/>
  <c r="U110" i="6"/>
  <c r="S110" i="6"/>
  <c r="U109" i="6"/>
  <c r="T109" i="6"/>
  <c r="V108" i="6"/>
  <c r="T108" i="6"/>
  <c r="S108" i="6"/>
  <c r="V107" i="6"/>
  <c r="U107" i="6"/>
  <c r="S107" i="6"/>
  <c r="U106" i="6"/>
  <c r="T106" i="6"/>
  <c r="S106" i="6"/>
  <c r="V105" i="6"/>
  <c r="U105" i="6"/>
  <c r="T105" i="6"/>
  <c r="V104" i="6"/>
  <c r="U104" i="6"/>
  <c r="T104" i="6"/>
  <c r="S104" i="6"/>
  <c r="V103" i="6"/>
  <c r="U103" i="6"/>
  <c r="T103" i="6"/>
  <c r="S103" i="6"/>
  <c r="V102" i="6"/>
  <c r="U102" i="6"/>
  <c r="T102" i="6"/>
  <c r="S102" i="6"/>
  <c r="V101" i="6"/>
  <c r="U101" i="6"/>
  <c r="T101" i="6"/>
  <c r="S101" i="6"/>
  <c r="V100" i="6"/>
  <c r="U100" i="6"/>
  <c r="V99" i="6"/>
  <c r="U99" i="6"/>
  <c r="T98" i="6"/>
  <c r="S98" i="6"/>
  <c r="T97" i="6"/>
  <c r="S97" i="6"/>
  <c r="T96" i="6"/>
  <c r="S96" i="6"/>
  <c r="V95" i="6"/>
  <c r="U95" i="6"/>
  <c r="T95" i="6"/>
  <c r="S95" i="6"/>
  <c r="V94" i="6"/>
  <c r="U94" i="6"/>
  <c r="V93" i="6"/>
  <c r="U93" i="6"/>
  <c r="T93" i="6"/>
  <c r="S93" i="6"/>
  <c r="V92" i="6"/>
  <c r="S92" i="6"/>
  <c r="V91" i="6"/>
  <c r="U91" i="6"/>
  <c r="S91" i="6"/>
  <c r="V90" i="6"/>
  <c r="U90" i="6"/>
  <c r="S90" i="6"/>
  <c r="V89" i="6"/>
  <c r="U89" i="6"/>
  <c r="T89" i="6"/>
  <c r="U88" i="6"/>
  <c r="V87" i="6"/>
  <c r="T87" i="6"/>
  <c r="S87" i="6"/>
  <c r="V86" i="6"/>
  <c r="U86" i="6"/>
  <c r="T86" i="6"/>
  <c r="S86" i="6"/>
  <c r="V85" i="6"/>
  <c r="U85" i="6"/>
  <c r="T85" i="6"/>
  <c r="S85" i="6"/>
  <c r="S84" i="6"/>
  <c r="V83" i="6"/>
  <c r="T83" i="6"/>
  <c r="U82" i="6"/>
  <c r="S82" i="6"/>
  <c r="V81" i="6"/>
  <c r="S81" i="6"/>
  <c r="U80" i="6"/>
  <c r="T80" i="6"/>
  <c r="S80" i="6"/>
  <c r="V79" i="6"/>
  <c r="U79" i="6"/>
  <c r="S79" i="6"/>
  <c r="V78" i="6"/>
  <c r="T78" i="6"/>
  <c r="V77" i="6"/>
  <c r="U77" i="6"/>
  <c r="T77" i="6"/>
  <c r="V76" i="6"/>
  <c r="U76" i="6"/>
  <c r="T76" i="6"/>
  <c r="U75" i="6"/>
  <c r="T75" i="6"/>
  <c r="S75" i="6"/>
  <c r="V74" i="6"/>
  <c r="U74" i="6"/>
  <c r="T74" i="6"/>
  <c r="S74" i="6"/>
  <c r="V73" i="6"/>
  <c r="U73" i="6"/>
  <c r="T73" i="6"/>
  <c r="S73" i="6"/>
  <c r="V72" i="6"/>
  <c r="U71" i="6"/>
  <c r="T71" i="6"/>
  <c r="U70" i="6"/>
  <c r="T70" i="6"/>
  <c r="S70" i="6"/>
  <c r="U69" i="6"/>
  <c r="S69" i="6"/>
  <c r="V68" i="6"/>
  <c r="T68" i="6"/>
  <c r="S68" i="6"/>
  <c r="V67" i="6"/>
  <c r="T67" i="6"/>
  <c r="S67" i="6"/>
  <c r="T66" i="6"/>
  <c r="S66" i="6"/>
  <c r="V65" i="6"/>
  <c r="U65" i="6"/>
  <c r="T65" i="6"/>
  <c r="S65" i="6"/>
  <c r="V64" i="6"/>
  <c r="U64" i="6"/>
  <c r="T64" i="6"/>
  <c r="S64" i="6"/>
  <c r="V63" i="6"/>
  <c r="U63" i="6"/>
  <c r="T62" i="6"/>
  <c r="S62" i="6"/>
  <c r="V61" i="6"/>
  <c r="U61" i="6"/>
  <c r="V60" i="6"/>
  <c r="S60" i="6"/>
  <c r="V59" i="6"/>
  <c r="U59" i="6"/>
  <c r="T59" i="6"/>
  <c r="S59" i="6"/>
  <c r="V58" i="6"/>
  <c r="U58" i="6"/>
  <c r="S58" i="6"/>
  <c r="V57" i="6"/>
  <c r="U57" i="6"/>
  <c r="T57" i="6"/>
  <c r="U56" i="6"/>
  <c r="V55" i="6"/>
  <c r="T55" i="6"/>
  <c r="S55" i="6"/>
  <c r="V54" i="6"/>
  <c r="U54" i="6"/>
  <c r="S54" i="6"/>
  <c r="V53" i="6"/>
  <c r="U53" i="6"/>
  <c r="T53" i="6"/>
  <c r="S53" i="6"/>
  <c r="S52" i="6"/>
  <c r="V51" i="6"/>
  <c r="T51" i="6"/>
  <c r="U50" i="6"/>
  <c r="S50" i="6"/>
  <c r="V49" i="6"/>
  <c r="S49" i="6"/>
  <c r="V48" i="6"/>
  <c r="U48" i="6"/>
  <c r="T48" i="6"/>
  <c r="S48" i="6"/>
  <c r="V47" i="6"/>
  <c r="U47" i="6"/>
  <c r="S47" i="6"/>
  <c r="V46" i="6"/>
  <c r="T46" i="6"/>
  <c r="V45" i="6"/>
  <c r="U45" i="6"/>
  <c r="T45" i="6"/>
  <c r="V44" i="6"/>
  <c r="U44" i="6"/>
  <c r="T44" i="6"/>
  <c r="U43" i="6"/>
  <c r="T43" i="6"/>
  <c r="S43" i="6"/>
  <c r="U42" i="6"/>
  <c r="T42" i="6"/>
  <c r="S42" i="6"/>
  <c r="V41" i="6"/>
  <c r="T41" i="6"/>
  <c r="S41" i="6"/>
  <c r="V40" i="6"/>
  <c r="U39" i="6"/>
  <c r="T39" i="6"/>
  <c r="U38" i="6"/>
  <c r="T38" i="6"/>
  <c r="S38" i="6"/>
  <c r="U37" i="6"/>
  <c r="S37" i="6"/>
  <c r="V36" i="6"/>
  <c r="U36" i="6"/>
  <c r="T36" i="6"/>
  <c r="S36" i="6"/>
  <c r="V35" i="6"/>
  <c r="T35" i="6"/>
  <c r="S35" i="6"/>
  <c r="T34" i="6"/>
  <c r="S34" i="6"/>
  <c r="U33" i="6"/>
  <c r="S33" i="6"/>
  <c r="V32" i="6"/>
  <c r="S32" i="6"/>
  <c r="T31" i="6"/>
  <c r="S31" i="6"/>
  <c r="V30" i="6"/>
  <c r="U30" i="6"/>
  <c r="S30" i="6"/>
  <c r="U29" i="6"/>
  <c r="T29" i="6"/>
  <c r="U28" i="6"/>
  <c r="T28" i="6"/>
  <c r="V27" i="6"/>
  <c r="T27" i="6"/>
  <c r="U26" i="6"/>
  <c r="T26" i="6"/>
  <c r="S26" i="6"/>
  <c r="V25" i="6"/>
  <c r="T25" i="6"/>
  <c r="S25" i="6"/>
  <c r="V24" i="6"/>
  <c r="U24" i="6"/>
  <c r="T24" i="6"/>
  <c r="V23" i="6"/>
  <c r="U23" i="6"/>
  <c r="T23" i="6"/>
  <c r="S23" i="6"/>
  <c r="T22" i="6"/>
  <c r="V21" i="6"/>
  <c r="U21" i="6"/>
  <c r="T21" i="6"/>
  <c r="S21" i="6"/>
  <c r="V20" i="6"/>
  <c r="U20" i="6"/>
  <c r="T20" i="6"/>
  <c r="S20" i="6"/>
  <c r="V19" i="6"/>
  <c r="U19" i="6"/>
  <c r="U18" i="6"/>
  <c r="T18" i="6"/>
  <c r="U17" i="6"/>
  <c r="S17" i="6"/>
  <c r="V16" i="6"/>
  <c r="S16" i="6"/>
  <c r="T15" i="6"/>
  <c r="S15" i="6"/>
  <c r="V14" i="6"/>
  <c r="U14" i="6"/>
  <c r="S14" i="6"/>
  <c r="V13" i="6"/>
  <c r="U13" i="6"/>
  <c r="T13" i="6"/>
  <c r="S13" i="6"/>
  <c r="U12" i="6"/>
  <c r="T12" i="6"/>
  <c r="S12" i="6"/>
  <c r="U11" i="6"/>
  <c r="T11" i="6"/>
  <c r="V10" i="6"/>
  <c r="T10" i="6"/>
  <c r="V9" i="6"/>
  <c r="U9" i="6"/>
  <c r="T9" i="6"/>
  <c r="S9" i="6"/>
  <c r="V8" i="6"/>
  <c r="T8" i="6"/>
  <c r="S8" i="6"/>
  <c r="V7" i="6"/>
  <c r="U7" i="6"/>
  <c r="T7" i="6"/>
  <c r="T6" i="6"/>
  <c r="V5" i="6"/>
  <c r="U5" i="6"/>
  <c r="V4" i="6"/>
  <c r="U4" i="6"/>
  <c r="T4" i="6"/>
  <c r="S4" i="6"/>
  <c r="V3" i="6"/>
  <c r="U3" i="6"/>
  <c r="P3" i="6" l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" i="6"/>
  <c r="B2" i="6"/>
  <c r="N2" i="6" s="1"/>
  <c r="Q63" i="6" a="1"/>
  <c r="Q201" i="6" a="1"/>
  <c r="Q182" i="6" a="1"/>
  <c r="Q148" i="6" a="1"/>
  <c r="Q68" i="6" a="1"/>
  <c r="Q123" i="6" a="1"/>
  <c r="Q124" i="6" a="1"/>
  <c r="Q122" i="6" a="1"/>
  <c r="Q18" i="6" a="1"/>
  <c r="Q114" i="6" a="1"/>
  <c r="Q195" i="6" a="1"/>
  <c r="Q115" i="6" a="1"/>
  <c r="Q36" i="6" a="1"/>
  <c r="Q88" i="6" a="1"/>
  <c r="Q104" i="6" a="1"/>
  <c r="Q166" i="6" a="1"/>
  <c r="Q55" i="6" a="1"/>
  <c r="Q14" i="6" a="1"/>
  <c r="Q128" i="6" a="1"/>
  <c r="Q147" i="6" a="1"/>
  <c r="Q156" i="6" a="1"/>
  <c r="Q25" i="6" a="1"/>
  <c r="Q93" i="6" a="1"/>
  <c r="Q81" i="6" a="1"/>
  <c r="Q185" i="6" a="1"/>
  <c r="Q45" i="6" a="1"/>
  <c r="Q15" i="6" a="1"/>
  <c r="Q28" i="6" a="1"/>
  <c r="Q10" i="6" a="1"/>
  <c r="Q30" i="6" a="1"/>
  <c r="Q86" i="6" a="1"/>
  <c r="Q108" i="6" a="1"/>
  <c r="Q140" i="6" a="1"/>
  <c r="Q71" i="6" a="1"/>
  <c r="Q91" i="6" a="1"/>
  <c r="Q153" i="6" a="1"/>
  <c r="Q159" i="6" a="1"/>
  <c r="Q87" i="6" a="1"/>
  <c r="Q191" i="6" a="1"/>
  <c r="Q179" i="6" a="1"/>
  <c r="Q26" i="6" a="1"/>
  <c r="Q96" i="6" a="1"/>
  <c r="Q69" i="6" a="1"/>
  <c r="Q48" i="6" a="1"/>
  <c r="Q35" i="6" a="1"/>
  <c r="Q54" i="6" a="1"/>
  <c r="Q111" i="6" a="1"/>
  <c r="Q118" i="6" a="1"/>
  <c r="Q32" i="6" a="1"/>
  <c r="Q82" i="6" a="1"/>
  <c r="Q187" i="6" a="1"/>
  <c r="Q50" i="6" a="1"/>
  <c r="Q61" i="6" a="1"/>
  <c r="Q150" i="6" a="1"/>
  <c r="Q116" i="6" a="1"/>
  <c r="Q41" i="6" a="1"/>
  <c r="Q72" i="6" a="1"/>
  <c r="Q4" i="6" a="1"/>
  <c r="Q74" i="6" a="1"/>
  <c r="Q38" i="6" a="1"/>
  <c r="Q16" i="6" a="1"/>
  <c r="Q131" i="6" a="1"/>
  <c r="Q19" i="6" a="1"/>
  <c r="Q53" i="6" a="1"/>
  <c r="Q168" i="6" a="1"/>
  <c r="Q27" i="6" a="1"/>
  <c r="Q57" i="6" a="1"/>
  <c r="Q9" i="6" a="1"/>
  <c r="Q170" i="6" a="1"/>
  <c r="Q12" i="6" a="1"/>
  <c r="Q39" i="6" a="1"/>
  <c r="Q83" i="6" a="1"/>
  <c r="Q164" i="6" a="1"/>
  <c r="Q180" i="6" a="1"/>
  <c r="Q13" i="6" a="1"/>
  <c r="Q192" i="6" a="1"/>
  <c r="Q117" i="6" a="1"/>
  <c r="Q29" i="6" a="1"/>
  <c r="Q59" i="6" a="1"/>
  <c r="Q33" i="6" a="1"/>
  <c r="Q23" i="6" a="1"/>
  <c r="Q125" i="6" a="1"/>
  <c r="Q103" i="6" a="1"/>
  <c r="Q22" i="6" a="1"/>
  <c r="Q34" i="6" a="1"/>
  <c r="Q97" i="6" a="1"/>
  <c r="Q21" i="6" a="1"/>
  <c r="Q52" i="6" a="1"/>
  <c r="Q8" i="6" a="1"/>
  <c r="Q76" i="6" a="1"/>
  <c r="Q100" i="6" a="1"/>
  <c r="Q80" i="6" a="1"/>
  <c r="Q120" i="6" a="1"/>
  <c r="Q152" i="6" a="1"/>
  <c r="Q139" i="6" a="1"/>
  <c r="Q165" i="6" a="1"/>
  <c r="Q113" i="6" a="1"/>
  <c r="Q95" i="6" a="1"/>
  <c r="Q58" i="6" a="1"/>
  <c r="Q196" i="6" a="1"/>
  <c r="Q66" i="6" a="1"/>
  <c r="Q101" i="6" a="1"/>
  <c r="Q112" i="6" a="1"/>
  <c r="Q172" i="6" a="1"/>
  <c r="Q161" i="6" a="1"/>
  <c r="Q193" i="6" a="1"/>
  <c r="Q3" i="6" a="1"/>
  <c r="Q144" i="6" a="1"/>
  <c r="Q89" i="6" a="1"/>
  <c r="Q107" i="6" a="1"/>
  <c r="Q163" i="6" a="1"/>
  <c r="Q84" i="6" a="1"/>
  <c r="Q20" i="6" a="1"/>
  <c r="Q181" i="6" a="1"/>
  <c r="Q129" i="6" a="1"/>
  <c r="Q134" i="6" a="1"/>
  <c r="Q155" i="6" a="1"/>
  <c r="Q171" i="6" a="1"/>
  <c r="Q135" i="6" a="1"/>
  <c r="Q65" i="6" a="1"/>
  <c r="Q194" i="6" a="1"/>
  <c r="Q151" i="6" a="1"/>
  <c r="Q190" i="6" a="1"/>
  <c r="Q77" i="6" a="1"/>
  <c r="Q130" i="6" a="1"/>
  <c r="Q24" i="6" a="1"/>
  <c r="Q70" i="6" a="1"/>
  <c r="Q51" i="6" a="1"/>
  <c r="Q11" i="6" a="1"/>
  <c r="Q169" i="6" a="1"/>
  <c r="Q109" i="6" a="1"/>
  <c r="Q73" i="6" a="1"/>
  <c r="Q183" i="6" a="1"/>
  <c r="Q94" i="6" a="1"/>
  <c r="Q79" i="6" a="1"/>
  <c r="Q143" i="6" a="1"/>
  <c r="Q158" i="6" a="1"/>
  <c r="Q184" i="6" a="1"/>
  <c r="Q47" i="6" a="1"/>
  <c r="Q64" i="6" a="1"/>
  <c r="Q99" i="6" a="1"/>
  <c r="Q127" i="6" a="1"/>
  <c r="Q200" i="6" a="1"/>
  <c r="Q141" i="6" a="1"/>
  <c r="Q5" i="6" a="1"/>
  <c r="Q90" i="6" a="1"/>
  <c r="Q174" i="6" a="1"/>
  <c r="Q145" i="6" a="1"/>
  <c r="Q46" i="6" a="1"/>
  <c r="Q142" i="6" a="1"/>
  <c r="Q175" i="6" a="1"/>
  <c r="Q43" i="6" a="1"/>
  <c r="Q126" i="6" a="1"/>
  <c r="Q105" i="6" a="1"/>
  <c r="Q198" i="6" a="1"/>
  <c r="Q186" i="6" a="1"/>
  <c r="Q177" i="6" a="1"/>
  <c r="Q202" i="6" a="1"/>
  <c r="Q2" i="6" a="1"/>
  <c r="Q17" i="6" a="1"/>
  <c r="Q121" i="6" a="1"/>
  <c r="Q132" i="6" a="1"/>
  <c r="Q146" i="6" a="1"/>
  <c r="Q98" i="6" a="1"/>
  <c r="Q157" i="6" a="1"/>
  <c r="Q37" i="6" a="1"/>
  <c r="Q149" i="6" a="1"/>
  <c r="Q60" i="6" a="1"/>
  <c r="Q44" i="6" a="1"/>
  <c r="Q40" i="6" a="1"/>
  <c r="Q137" i="6" a="1"/>
  <c r="Q133" i="6" a="1"/>
  <c r="Q167" i="6" a="1"/>
  <c r="Q160" i="6" a="1"/>
  <c r="Q189" i="6" a="1"/>
  <c r="Q67" i="6" a="1"/>
  <c r="Q62" i="6" a="1"/>
  <c r="Q199" i="6" a="1"/>
  <c r="Q49" i="6" a="1"/>
  <c r="Q7" i="6" a="1"/>
  <c r="Q85" i="6" a="1"/>
  <c r="Q154" i="6" a="1"/>
  <c r="Q106" i="6" a="1"/>
  <c r="Q162" i="6" a="1"/>
  <c r="Q102" i="6" a="1"/>
  <c r="Q197" i="6" a="1"/>
  <c r="Q92" i="6" a="1"/>
  <c r="Q176" i="6" a="1"/>
  <c r="Q136" i="6" a="1"/>
  <c r="Q188" i="6" a="1"/>
  <c r="Q6" i="6" a="1"/>
  <c r="Q119" i="6" a="1"/>
  <c r="Q110" i="6" a="1"/>
  <c r="Q173" i="6" a="1"/>
  <c r="Q75" i="6" a="1"/>
  <c r="Q42" i="6" a="1"/>
  <c r="Q138" i="6" a="1"/>
  <c r="Q56" i="6" a="1"/>
  <c r="Q31" i="6" a="1"/>
  <c r="Q78" i="6" a="1"/>
  <c r="Q178" i="6" a="1"/>
  <c r="K2" i="6" l="1" a="1"/>
  <c r="K2" i="6" s="1"/>
  <c r="AZ2" i="6" s="1"/>
  <c r="I2" i="6" a="1"/>
  <c r="I2" i="6" s="1"/>
  <c r="AY2" i="6" s="1"/>
  <c r="G2" i="6" a="1"/>
  <c r="G2" i="6" s="1"/>
  <c r="AX2" i="6" s="1"/>
  <c r="E2" i="6" a="1"/>
  <c r="E2" i="6" s="1"/>
  <c r="AW2" i="6" s="1"/>
  <c r="C2" i="6" a="1"/>
  <c r="C2" i="6" s="1"/>
  <c r="X2" i="6" s="1"/>
  <c r="BB2" i="6" s="1"/>
  <c r="Q176" i="6"/>
  <c r="Q146" i="6"/>
  <c r="Q116" i="6"/>
  <c r="Q86" i="6"/>
  <c r="Q56" i="6"/>
  <c r="Q32" i="6"/>
  <c r="Q199" i="6"/>
  <c r="Q169" i="6"/>
  <c r="Q145" i="6"/>
  <c r="Q115" i="6"/>
  <c r="Q79" i="6"/>
  <c r="Q49" i="6"/>
  <c r="Q19" i="6"/>
  <c r="Q198" i="6"/>
  <c r="Q174" i="6"/>
  <c r="Q156" i="6"/>
  <c r="Q132" i="6"/>
  <c r="Q126" i="6"/>
  <c r="Q114" i="6"/>
  <c r="Q90" i="6"/>
  <c r="Q84" i="6"/>
  <c r="Q78" i="6"/>
  <c r="Q72" i="6"/>
  <c r="Q66" i="6"/>
  <c r="Q60" i="6"/>
  <c r="Q54" i="6"/>
  <c r="Q48" i="6"/>
  <c r="Q42" i="6"/>
  <c r="Q36" i="6"/>
  <c r="Q30" i="6"/>
  <c r="Q24" i="6"/>
  <c r="Q18" i="6"/>
  <c r="Q12" i="6"/>
  <c r="Q6" i="6"/>
  <c r="Q182" i="6"/>
  <c r="Q152" i="6"/>
  <c r="Q122" i="6"/>
  <c r="Q92" i="6"/>
  <c r="Q62" i="6"/>
  <c r="Q26" i="6"/>
  <c r="Q193" i="6"/>
  <c r="Q163" i="6"/>
  <c r="Q133" i="6"/>
  <c r="Q103" i="6"/>
  <c r="Q73" i="6"/>
  <c r="Q31" i="6"/>
  <c r="Q162" i="6"/>
  <c r="Q120" i="6"/>
  <c r="Q185" i="6"/>
  <c r="Q161" i="6"/>
  <c r="Q131" i="6"/>
  <c r="Q101" i="6"/>
  <c r="Q83" i="6"/>
  <c r="Q59" i="6"/>
  <c r="Q41" i="6"/>
  <c r="Q23" i="6"/>
  <c r="Q5" i="6"/>
  <c r="Q200" i="6"/>
  <c r="Q170" i="6"/>
  <c r="Q140" i="6"/>
  <c r="Q110" i="6"/>
  <c r="Q80" i="6"/>
  <c r="Q50" i="6"/>
  <c r="Q14" i="6"/>
  <c r="Q175" i="6"/>
  <c r="Q139" i="6"/>
  <c r="Q109" i="6"/>
  <c r="Q85" i="6"/>
  <c r="Q55" i="6"/>
  <c r="Q25" i="6"/>
  <c r="Q180" i="6"/>
  <c r="Q150" i="6"/>
  <c r="Q108" i="6"/>
  <c r="Q179" i="6"/>
  <c r="Q143" i="6"/>
  <c r="Q119" i="6"/>
  <c r="Q95" i="6"/>
  <c r="Q77" i="6"/>
  <c r="Q53" i="6"/>
  <c r="Q29" i="6"/>
  <c r="Q11" i="6"/>
  <c r="Q190" i="6"/>
  <c r="Q184" i="6"/>
  <c r="Q178" i="6"/>
  <c r="Q172" i="6"/>
  <c r="Q166" i="6"/>
  <c r="Q160" i="6"/>
  <c r="Q154" i="6"/>
  <c r="Q148" i="6"/>
  <c r="Q142" i="6"/>
  <c r="Q136" i="6"/>
  <c r="Q130" i="6"/>
  <c r="Q124" i="6"/>
  <c r="Q118" i="6"/>
  <c r="Q112" i="6"/>
  <c r="Q106" i="6"/>
  <c r="Q100" i="6"/>
  <c r="Q94" i="6"/>
  <c r="Q88" i="6"/>
  <c r="Q82" i="6"/>
  <c r="Q76" i="6"/>
  <c r="Q70" i="6"/>
  <c r="Q64" i="6"/>
  <c r="Q58" i="6"/>
  <c r="Q52" i="6"/>
  <c r="Q46" i="6"/>
  <c r="Q40" i="6"/>
  <c r="Q34" i="6"/>
  <c r="Q28" i="6"/>
  <c r="Q22" i="6"/>
  <c r="Q16" i="6"/>
  <c r="Q10" i="6"/>
  <c r="Q4" i="6"/>
  <c r="Q188" i="6"/>
  <c r="Q158" i="6"/>
  <c r="Q128" i="6"/>
  <c r="Q98" i="6"/>
  <c r="Q68" i="6"/>
  <c r="Q44" i="6"/>
  <c r="Q20" i="6"/>
  <c r="Q181" i="6"/>
  <c r="Q151" i="6"/>
  <c r="Q121" i="6"/>
  <c r="Q91" i="6"/>
  <c r="Q61" i="6"/>
  <c r="Q37" i="6"/>
  <c r="Q13" i="6"/>
  <c r="Q192" i="6"/>
  <c r="Q168" i="6"/>
  <c r="Q138" i="6"/>
  <c r="Q102" i="6"/>
  <c r="Q197" i="6"/>
  <c r="Q173" i="6"/>
  <c r="Q155" i="6"/>
  <c r="Q137" i="6"/>
  <c r="Q113" i="6"/>
  <c r="Q65" i="6"/>
  <c r="Q196" i="6"/>
  <c r="Q194" i="6"/>
  <c r="Q164" i="6"/>
  <c r="Q134" i="6"/>
  <c r="Q104" i="6"/>
  <c r="Q74" i="6"/>
  <c r="Q38" i="6"/>
  <c r="Q8" i="6"/>
  <c r="Q187" i="6"/>
  <c r="Q157" i="6"/>
  <c r="Q127" i="6"/>
  <c r="Q97" i="6"/>
  <c r="Q67" i="6"/>
  <c r="Q43" i="6"/>
  <c r="Q7" i="6"/>
  <c r="Q186" i="6"/>
  <c r="Q144" i="6"/>
  <c r="Q96" i="6"/>
  <c r="Q191" i="6"/>
  <c r="Q167" i="6"/>
  <c r="Q149" i="6"/>
  <c r="Q125" i="6"/>
  <c r="Q107" i="6"/>
  <c r="Q89" i="6"/>
  <c r="Q71" i="6"/>
  <c r="Q47" i="6"/>
  <c r="Q35" i="6"/>
  <c r="Q17" i="6"/>
  <c r="Q202" i="6"/>
  <c r="Q201" i="6"/>
  <c r="Q195" i="6"/>
  <c r="Q189" i="6"/>
  <c r="Q183" i="6"/>
  <c r="Q177" i="6"/>
  <c r="Q171" i="6"/>
  <c r="Q165" i="6"/>
  <c r="Q159" i="6"/>
  <c r="Q153" i="6"/>
  <c r="Q147" i="6"/>
  <c r="Q141" i="6"/>
  <c r="Q135" i="6"/>
  <c r="Q129" i="6"/>
  <c r="Q123" i="6"/>
  <c r="Q117" i="6"/>
  <c r="Q111" i="6"/>
  <c r="Q105" i="6"/>
  <c r="Q99" i="6"/>
  <c r="Q93" i="6"/>
  <c r="Q87" i="6"/>
  <c r="Q81" i="6"/>
  <c r="Q75" i="6"/>
  <c r="Q69" i="6"/>
  <c r="Q63" i="6"/>
  <c r="Q57" i="6"/>
  <c r="Q51" i="6"/>
  <c r="Q45" i="6"/>
  <c r="Q39" i="6"/>
  <c r="Q33" i="6"/>
  <c r="Q27" i="6"/>
  <c r="Q21" i="6"/>
  <c r="Q15" i="6"/>
  <c r="Q9" i="6"/>
  <c r="Q3" i="6"/>
  <c r="Q2" i="6"/>
  <c r="B15" i="6"/>
  <c r="N15" i="6" s="1"/>
  <c r="B16" i="6"/>
  <c r="N16" i="6" s="1"/>
  <c r="B17" i="6"/>
  <c r="N17" i="6" s="1"/>
  <c r="B18" i="6"/>
  <c r="N18" i="6" s="1"/>
  <c r="B19" i="6"/>
  <c r="N19" i="6" s="1"/>
  <c r="B20" i="6"/>
  <c r="N20" i="6" s="1"/>
  <c r="B21" i="6"/>
  <c r="N21" i="6" s="1"/>
  <c r="B22" i="6"/>
  <c r="N22" i="6" s="1"/>
  <c r="B23" i="6"/>
  <c r="N23" i="6" s="1"/>
  <c r="B24" i="6"/>
  <c r="N24" i="6" s="1"/>
  <c r="B25" i="6"/>
  <c r="N25" i="6" s="1"/>
  <c r="B26" i="6"/>
  <c r="N26" i="6" s="1"/>
  <c r="B27" i="6"/>
  <c r="N27" i="6" s="1"/>
  <c r="B28" i="6"/>
  <c r="N28" i="6" s="1"/>
  <c r="B29" i="6"/>
  <c r="N29" i="6" s="1"/>
  <c r="B30" i="6"/>
  <c r="N30" i="6" s="1"/>
  <c r="B31" i="6"/>
  <c r="N31" i="6" s="1"/>
  <c r="B32" i="6"/>
  <c r="N32" i="6" s="1"/>
  <c r="B33" i="6"/>
  <c r="N33" i="6" s="1"/>
  <c r="B34" i="6"/>
  <c r="N34" i="6" s="1"/>
  <c r="B35" i="6"/>
  <c r="N35" i="6" s="1"/>
  <c r="B36" i="6"/>
  <c r="N36" i="6" s="1"/>
  <c r="B37" i="6"/>
  <c r="N37" i="6" s="1"/>
  <c r="B38" i="6"/>
  <c r="N38" i="6" s="1"/>
  <c r="B39" i="6"/>
  <c r="N39" i="6" s="1"/>
  <c r="B40" i="6"/>
  <c r="N40" i="6" s="1"/>
  <c r="B41" i="6"/>
  <c r="N41" i="6" s="1"/>
  <c r="B42" i="6"/>
  <c r="N42" i="6" s="1"/>
  <c r="B43" i="6"/>
  <c r="N43" i="6" s="1"/>
  <c r="B44" i="6"/>
  <c r="N44" i="6" s="1"/>
  <c r="B45" i="6"/>
  <c r="N45" i="6" s="1"/>
  <c r="B46" i="6"/>
  <c r="N46" i="6" s="1"/>
  <c r="B47" i="6"/>
  <c r="N47" i="6" s="1"/>
  <c r="B48" i="6"/>
  <c r="N48" i="6" s="1"/>
  <c r="B49" i="6"/>
  <c r="N49" i="6" s="1"/>
  <c r="B50" i="6"/>
  <c r="N50" i="6" s="1"/>
  <c r="B51" i="6"/>
  <c r="N51" i="6" s="1"/>
  <c r="B52" i="6"/>
  <c r="N52" i="6" s="1"/>
  <c r="B53" i="6"/>
  <c r="N53" i="6" s="1"/>
  <c r="B54" i="6"/>
  <c r="N54" i="6" s="1"/>
  <c r="B55" i="6"/>
  <c r="N55" i="6" s="1"/>
  <c r="B56" i="6"/>
  <c r="N56" i="6" s="1"/>
  <c r="B57" i="6"/>
  <c r="N57" i="6" s="1"/>
  <c r="B58" i="6"/>
  <c r="N58" i="6" s="1"/>
  <c r="B59" i="6"/>
  <c r="N59" i="6" s="1"/>
  <c r="B60" i="6"/>
  <c r="N60" i="6" s="1"/>
  <c r="B61" i="6"/>
  <c r="N61" i="6" s="1"/>
  <c r="B62" i="6"/>
  <c r="N62" i="6" s="1"/>
  <c r="B63" i="6"/>
  <c r="N63" i="6" s="1"/>
  <c r="B64" i="6"/>
  <c r="N64" i="6" s="1"/>
  <c r="B65" i="6"/>
  <c r="N65" i="6" s="1"/>
  <c r="B66" i="6"/>
  <c r="N66" i="6" s="1"/>
  <c r="B67" i="6"/>
  <c r="N67" i="6" s="1"/>
  <c r="B68" i="6"/>
  <c r="N68" i="6" s="1"/>
  <c r="B69" i="6"/>
  <c r="N69" i="6" s="1"/>
  <c r="B70" i="6"/>
  <c r="N70" i="6" s="1"/>
  <c r="B71" i="6"/>
  <c r="N71" i="6" s="1"/>
  <c r="B72" i="6"/>
  <c r="N72" i="6" s="1"/>
  <c r="B73" i="6"/>
  <c r="N73" i="6" s="1"/>
  <c r="B74" i="6"/>
  <c r="N74" i="6" s="1"/>
  <c r="B75" i="6"/>
  <c r="N75" i="6" s="1"/>
  <c r="B76" i="6"/>
  <c r="N76" i="6" s="1"/>
  <c r="B77" i="6"/>
  <c r="N77" i="6" s="1"/>
  <c r="B78" i="6"/>
  <c r="N78" i="6" s="1"/>
  <c r="B79" i="6"/>
  <c r="N79" i="6" s="1"/>
  <c r="B80" i="6"/>
  <c r="N80" i="6" s="1"/>
  <c r="B81" i="6"/>
  <c r="N81" i="6" s="1"/>
  <c r="B82" i="6"/>
  <c r="N82" i="6" s="1"/>
  <c r="B83" i="6"/>
  <c r="N83" i="6" s="1"/>
  <c r="B84" i="6"/>
  <c r="N84" i="6" s="1"/>
  <c r="B85" i="6"/>
  <c r="N85" i="6" s="1"/>
  <c r="B86" i="6"/>
  <c r="N86" i="6" s="1"/>
  <c r="B87" i="6"/>
  <c r="N87" i="6" s="1"/>
  <c r="B88" i="6"/>
  <c r="N88" i="6" s="1"/>
  <c r="B89" i="6"/>
  <c r="N89" i="6" s="1"/>
  <c r="B90" i="6"/>
  <c r="N90" i="6" s="1"/>
  <c r="B91" i="6"/>
  <c r="N91" i="6" s="1"/>
  <c r="B92" i="6"/>
  <c r="N92" i="6" s="1"/>
  <c r="B93" i="6"/>
  <c r="N93" i="6" s="1"/>
  <c r="B94" i="6"/>
  <c r="N94" i="6" s="1"/>
  <c r="B95" i="6"/>
  <c r="N95" i="6" s="1"/>
  <c r="B96" i="6"/>
  <c r="N96" i="6" s="1"/>
  <c r="B97" i="6"/>
  <c r="N97" i="6" s="1"/>
  <c r="B98" i="6"/>
  <c r="N98" i="6" s="1"/>
  <c r="B99" i="6"/>
  <c r="N99" i="6" s="1"/>
  <c r="B100" i="6"/>
  <c r="N100" i="6" s="1"/>
  <c r="B101" i="6"/>
  <c r="N101" i="6" s="1"/>
  <c r="B102" i="6"/>
  <c r="N102" i="6" s="1"/>
  <c r="B103" i="6"/>
  <c r="N103" i="6" s="1"/>
  <c r="B104" i="6"/>
  <c r="N104" i="6" s="1"/>
  <c r="B105" i="6"/>
  <c r="N105" i="6" s="1"/>
  <c r="B106" i="6"/>
  <c r="N106" i="6" s="1"/>
  <c r="B107" i="6"/>
  <c r="N107" i="6" s="1"/>
  <c r="B108" i="6"/>
  <c r="N108" i="6" s="1"/>
  <c r="B109" i="6"/>
  <c r="N109" i="6" s="1"/>
  <c r="B110" i="6"/>
  <c r="N110" i="6" s="1"/>
  <c r="B111" i="6"/>
  <c r="N111" i="6" s="1"/>
  <c r="B112" i="6"/>
  <c r="N112" i="6" s="1"/>
  <c r="B113" i="6"/>
  <c r="N113" i="6" s="1"/>
  <c r="B114" i="6"/>
  <c r="N114" i="6" s="1"/>
  <c r="B115" i="6"/>
  <c r="N115" i="6" s="1"/>
  <c r="B116" i="6"/>
  <c r="N116" i="6" s="1"/>
  <c r="B117" i="6"/>
  <c r="N117" i="6" s="1"/>
  <c r="B118" i="6"/>
  <c r="N118" i="6" s="1"/>
  <c r="B119" i="6"/>
  <c r="N119" i="6" s="1"/>
  <c r="B120" i="6"/>
  <c r="N120" i="6" s="1"/>
  <c r="B121" i="6"/>
  <c r="N121" i="6" s="1"/>
  <c r="B122" i="6"/>
  <c r="N122" i="6" s="1"/>
  <c r="B123" i="6"/>
  <c r="N123" i="6" s="1"/>
  <c r="B124" i="6"/>
  <c r="N124" i="6" s="1"/>
  <c r="B125" i="6"/>
  <c r="N125" i="6" s="1"/>
  <c r="B126" i="6"/>
  <c r="N126" i="6" s="1"/>
  <c r="B127" i="6"/>
  <c r="N127" i="6" s="1"/>
  <c r="B128" i="6"/>
  <c r="N128" i="6" s="1"/>
  <c r="B129" i="6"/>
  <c r="N129" i="6" s="1"/>
  <c r="B130" i="6"/>
  <c r="N130" i="6" s="1"/>
  <c r="B131" i="6"/>
  <c r="N131" i="6" s="1"/>
  <c r="B132" i="6"/>
  <c r="N132" i="6" s="1"/>
  <c r="B133" i="6"/>
  <c r="N133" i="6" s="1"/>
  <c r="B134" i="6"/>
  <c r="N134" i="6" s="1"/>
  <c r="B135" i="6"/>
  <c r="N135" i="6" s="1"/>
  <c r="B136" i="6"/>
  <c r="N136" i="6" s="1"/>
  <c r="B137" i="6"/>
  <c r="N137" i="6" s="1"/>
  <c r="B138" i="6"/>
  <c r="N138" i="6" s="1"/>
  <c r="B139" i="6"/>
  <c r="N139" i="6" s="1"/>
  <c r="B140" i="6"/>
  <c r="N140" i="6" s="1"/>
  <c r="B141" i="6"/>
  <c r="N141" i="6" s="1"/>
  <c r="B142" i="6"/>
  <c r="N142" i="6" s="1"/>
  <c r="B143" i="6"/>
  <c r="N143" i="6" s="1"/>
  <c r="B144" i="6"/>
  <c r="N144" i="6" s="1"/>
  <c r="B145" i="6"/>
  <c r="N145" i="6" s="1"/>
  <c r="B146" i="6"/>
  <c r="N146" i="6" s="1"/>
  <c r="B147" i="6"/>
  <c r="N147" i="6" s="1"/>
  <c r="B148" i="6"/>
  <c r="N148" i="6" s="1"/>
  <c r="B149" i="6"/>
  <c r="N149" i="6" s="1"/>
  <c r="B150" i="6"/>
  <c r="N150" i="6" s="1"/>
  <c r="B151" i="6"/>
  <c r="N151" i="6" s="1"/>
  <c r="B152" i="6"/>
  <c r="N152" i="6" s="1"/>
  <c r="B153" i="6"/>
  <c r="N153" i="6" s="1"/>
  <c r="B154" i="6"/>
  <c r="N154" i="6" s="1"/>
  <c r="B155" i="6"/>
  <c r="N155" i="6" s="1"/>
  <c r="B156" i="6"/>
  <c r="N156" i="6" s="1"/>
  <c r="B157" i="6"/>
  <c r="N157" i="6" s="1"/>
  <c r="B158" i="6"/>
  <c r="N158" i="6" s="1"/>
  <c r="B159" i="6"/>
  <c r="N159" i="6" s="1"/>
  <c r="B160" i="6"/>
  <c r="N160" i="6" s="1"/>
  <c r="B161" i="6"/>
  <c r="N161" i="6" s="1"/>
  <c r="B162" i="6"/>
  <c r="N162" i="6" s="1"/>
  <c r="B163" i="6"/>
  <c r="N163" i="6" s="1"/>
  <c r="B164" i="6"/>
  <c r="N164" i="6" s="1"/>
  <c r="B165" i="6"/>
  <c r="N165" i="6" s="1"/>
  <c r="B166" i="6"/>
  <c r="N166" i="6" s="1"/>
  <c r="B167" i="6"/>
  <c r="N167" i="6" s="1"/>
  <c r="B168" i="6"/>
  <c r="N168" i="6" s="1"/>
  <c r="B169" i="6"/>
  <c r="N169" i="6" s="1"/>
  <c r="B170" i="6"/>
  <c r="N170" i="6" s="1"/>
  <c r="B171" i="6"/>
  <c r="N171" i="6" s="1"/>
  <c r="B172" i="6"/>
  <c r="N172" i="6" s="1"/>
  <c r="B173" i="6"/>
  <c r="N173" i="6" s="1"/>
  <c r="B174" i="6"/>
  <c r="N174" i="6" s="1"/>
  <c r="B175" i="6"/>
  <c r="N175" i="6" s="1"/>
  <c r="B176" i="6"/>
  <c r="N176" i="6" s="1"/>
  <c r="B177" i="6"/>
  <c r="N177" i="6" s="1"/>
  <c r="B178" i="6"/>
  <c r="N178" i="6" s="1"/>
  <c r="B179" i="6"/>
  <c r="N179" i="6" s="1"/>
  <c r="B180" i="6"/>
  <c r="N180" i="6" s="1"/>
  <c r="B181" i="6"/>
  <c r="N181" i="6" s="1"/>
  <c r="B182" i="6"/>
  <c r="N182" i="6" s="1"/>
  <c r="B183" i="6"/>
  <c r="N183" i="6" s="1"/>
  <c r="B184" i="6"/>
  <c r="N184" i="6" s="1"/>
  <c r="B185" i="6"/>
  <c r="N185" i="6" s="1"/>
  <c r="B186" i="6"/>
  <c r="N186" i="6" s="1"/>
  <c r="B187" i="6"/>
  <c r="N187" i="6" s="1"/>
  <c r="B188" i="6"/>
  <c r="N188" i="6" s="1"/>
  <c r="B189" i="6"/>
  <c r="N189" i="6" s="1"/>
  <c r="B190" i="6"/>
  <c r="N190" i="6" s="1"/>
  <c r="B191" i="6"/>
  <c r="N191" i="6" s="1"/>
  <c r="B192" i="6"/>
  <c r="N192" i="6" s="1"/>
  <c r="B193" i="6"/>
  <c r="N193" i="6" s="1"/>
  <c r="B194" i="6"/>
  <c r="N194" i="6" s="1"/>
  <c r="B195" i="6"/>
  <c r="N195" i="6" s="1"/>
  <c r="B196" i="6"/>
  <c r="N196" i="6" s="1"/>
  <c r="B197" i="6"/>
  <c r="N197" i="6" s="1"/>
  <c r="B198" i="6"/>
  <c r="N198" i="6" s="1"/>
  <c r="B199" i="6"/>
  <c r="N199" i="6" s="1"/>
  <c r="B200" i="6"/>
  <c r="N200" i="6" s="1"/>
  <c r="B201" i="6"/>
  <c r="N201" i="6" s="1"/>
  <c r="B202" i="6"/>
  <c r="N202" i="6" s="1"/>
  <c r="B3" i="6"/>
  <c r="N3" i="6" s="1"/>
  <c r="B4" i="6"/>
  <c r="N4" i="6" s="1"/>
  <c r="B5" i="6"/>
  <c r="N5" i="6" s="1"/>
  <c r="B6" i="6"/>
  <c r="N6" i="6" s="1"/>
  <c r="B7" i="6"/>
  <c r="N7" i="6" s="1"/>
  <c r="B8" i="6"/>
  <c r="N8" i="6" s="1"/>
  <c r="B9" i="6"/>
  <c r="N9" i="6" s="1"/>
  <c r="B10" i="6"/>
  <c r="N10" i="6" s="1"/>
  <c r="B11" i="6"/>
  <c r="N11" i="6" s="1"/>
  <c r="B12" i="6"/>
  <c r="N12" i="6" s="1"/>
  <c r="B13" i="6"/>
  <c r="N13" i="6" s="1"/>
  <c r="B14" i="6"/>
  <c r="N14" i="6" s="1"/>
  <c r="BB162" i="6" l="1"/>
  <c r="BC162" i="6"/>
  <c r="AA162" i="6"/>
  <c r="Z162" i="6"/>
  <c r="Y162" i="6"/>
  <c r="BD162" i="6"/>
  <c r="BE162" i="6"/>
  <c r="X162" i="6"/>
  <c r="BB168" i="6"/>
  <c r="BC168" i="6"/>
  <c r="BD168" i="6"/>
  <c r="BE168" i="6"/>
  <c r="Y168" i="6"/>
  <c r="X168" i="6"/>
  <c r="AA168" i="6"/>
  <c r="Z168" i="6"/>
  <c r="AA166" i="6"/>
  <c r="Z166" i="6"/>
  <c r="Y166" i="6"/>
  <c r="X166" i="6"/>
  <c r="BD166" i="6"/>
  <c r="BE166" i="6"/>
  <c r="BB166" i="6"/>
  <c r="BC166" i="6"/>
  <c r="AA172" i="6"/>
  <c r="Z172" i="6"/>
  <c r="BB172" i="6"/>
  <c r="BC172" i="6"/>
  <c r="BD172" i="6"/>
  <c r="Y172" i="6"/>
  <c r="BE172" i="6"/>
  <c r="X172" i="6"/>
  <c r="BB171" i="6"/>
  <c r="BC171" i="6"/>
  <c r="AA171" i="6"/>
  <c r="Z171" i="6"/>
  <c r="BD171" i="6"/>
  <c r="BE171" i="6"/>
  <c r="X171" i="6"/>
  <c r="Y171" i="6"/>
  <c r="BB165" i="6"/>
  <c r="BC165" i="6"/>
  <c r="BD165" i="6"/>
  <c r="AA165" i="6"/>
  <c r="X165" i="6"/>
  <c r="BE165" i="6"/>
  <c r="Z165" i="6"/>
  <c r="Y165" i="6"/>
  <c r="Y170" i="6"/>
  <c r="X170" i="6"/>
  <c r="BE170" i="6"/>
  <c r="BC170" i="6"/>
  <c r="BB170" i="6"/>
  <c r="AA170" i="6"/>
  <c r="Z170" i="6"/>
  <c r="BD170" i="6"/>
  <c r="AA169" i="6"/>
  <c r="Z169" i="6"/>
  <c r="BB169" i="6"/>
  <c r="Y169" i="6"/>
  <c r="BE169" i="6"/>
  <c r="X169" i="6"/>
  <c r="BC169" i="6"/>
  <c r="BD169" i="6"/>
  <c r="BD164" i="6"/>
  <c r="BE164" i="6"/>
  <c r="X164" i="6"/>
  <c r="AA164" i="6"/>
  <c r="Y164" i="6"/>
  <c r="Z164" i="6"/>
  <c r="BB164" i="6"/>
  <c r="BC164" i="6"/>
  <c r="Y2" i="6"/>
  <c r="BC2" i="6" s="1"/>
  <c r="BC167" i="6"/>
  <c r="Z167" i="6"/>
  <c r="BB167" i="6"/>
  <c r="AA167" i="6"/>
  <c r="BD167" i="6"/>
  <c r="Y167" i="6"/>
  <c r="BE167" i="6"/>
  <c r="X167" i="6"/>
  <c r="AA163" i="6"/>
  <c r="Z163" i="6"/>
  <c r="BC163" i="6"/>
  <c r="Y163" i="6"/>
  <c r="X163" i="6"/>
  <c r="BB163" i="6"/>
  <c r="BE163" i="6"/>
  <c r="BD163" i="6"/>
  <c r="AX172" i="6"/>
  <c r="AW172" i="6"/>
  <c r="AZ172" i="6"/>
  <c r="AY172" i="6"/>
  <c r="AW171" i="6"/>
  <c r="AY171" i="6"/>
  <c r="AX171" i="6"/>
  <c r="AZ171" i="6"/>
  <c r="AW166" i="6"/>
  <c r="AX166" i="6"/>
  <c r="AY166" i="6"/>
  <c r="AZ166" i="6"/>
  <c r="AW168" i="6"/>
  <c r="AX168" i="6"/>
  <c r="AY168" i="6"/>
  <c r="AZ168" i="6"/>
  <c r="AX164" i="6"/>
  <c r="AW164" i="6"/>
  <c r="AZ164" i="6"/>
  <c r="AY164" i="6"/>
  <c r="AW170" i="6"/>
  <c r="AX170" i="6"/>
  <c r="AY170" i="6"/>
  <c r="AZ170" i="6"/>
  <c r="AX163" i="6"/>
  <c r="AW163" i="6"/>
  <c r="AZ163" i="6"/>
  <c r="AY163" i="6"/>
  <c r="AX169" i="6"/>
  <c r="AW169" i="6"/>
  <c r="AZ169" i="6"/>
  <c r="AY169" i="6"/>
  <c r="AX167" i="6"/>
  <c r="AZ167" i="6"/>
  <c r="AW167" i="6"/>
  <c r="AY167" i="6"/>
  <c r="AW165" i="6"/>
  <c r="AZ165" i="6"/>
  <c r="AX165" i="6"/>
  <c r="AY165" i="6"/>
  <c r="AW162" i="6"/>
  <c r="AY162" i="6"/>
  <c r="AX162" i="6"/>
  <c r="AZ162" i="6"/>
  <c r="I169" i="6" a="1"/>
  <c r="I169" i="6" s="1"/>
  <c r="K169" i="6" a="1"/>
  <c r="K169" i="6" s="1"/>
  <c r="E169" i="6" a="1"/>
  <c r="E169" i="6" s="1"/>
  <c r="C169" i="6" a="1"/>
  <c r="C169" i="6" s="1"/>
  <c r="AB4" i="6"/>
  <c r="AC4" i="6"/>
  <c r="AD4" i="6"/>
  <c r="AE4" i="6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E197" i="6"/>
  <c r="AC197" i="6"/>
  <c r="AE149" i="6"/>
  <c r="AC149" i="6"/>
  <c r="AD149" i="6"/>
  <c r="AB101" i="6"/>
  <c r="AC101" i="6"/>
  <c r="AD101" i="6"/>
  <c r="AE101" i="6"/>
  <c r="AB41" i="6"/>
  <c r="AE41" i="6"/>
  <c r="AC41" i="6"/>
  <c r="AB8" i="6"/>
  <c r="AE8" i="6"/>
  <c r="AC8" i="6"/>
  <c r="AB160" i="6"/>
  <c r="AC160" i="6"/>
  <c r="AD160" i="6"/>
  <c r="AE160" i="6"/>
  <c r="AC124" i="6"/>
  <c r="AE124" i="6"/>
  <c r="AD124" i="6"/>
  <c r="AC76" i="6"/>
  <c r="AD76" i="6"/>
  <c r="AE76" i="6"/>
  <c r="AB16" i="6"/>
  <c r="AE16" i="6"/>
  <c r="AD159" i="6"/>
  <c r="AE159" i="6"/>
  <c r="AB159" i="6"/>
  <c r="AC159" i="6"/>
  <c r="AE111" i="6"/>
  <c r="AB111" i="6"/>
  <c r="AD63" i="6"/>
  <c r="AE63" i="6"/>
  <c r="AB15" i="6"/>
  <c r="AC15" i="6"/>
  <c r="AD173" i="6"/>
  <c r="AE173" i="6"/>
  <c r="AC137" i="6"/>
  <c r="AE137" i="6"/>
  <c r="AC89" i="6"/>
  <c r="AD89" i="6"/>
  <c r="AE89" i="6"/>
  <c r="AB53" i="6"/>
  <c r="AC53" i="6"/>
  <c r="AD53" i="6"/>
  <c r="AE53" i="6"/>
  <c r="AB184" i="6"/>
  <c r="AD184" i="6"/>
  <c r="AE136" i="6"/>
  <c r="AD88" i="6"/>
  <c r="AE40" i="6"/>
  <c r="AE183" i="6"/>
  <c r="AB183" i="6"/>
  <c r="AD135" i="6"/>
  <c r="AB87" i="6"/>
  <c r="AC87" i="6"/>
  <c r="AE87" i="6"/>
  <c r="AC39" i="6"/>
  <c r="AD39" i="6"/>
  <c r="AC185" i="6"/>
  <c r="AD185" i="6"/>
  <c r="AB125" i="6"/>
  <c r="AC125" i="6"/>
  <c r="AE125" i="6"/>
  <c r="AE77" i="6"/>
  <c r="AC77" i="6"/>
  <c r="AD77" i="6"/>
  <c r="AD29" i="6"/>
  <c r="AC29" i="6"/>
  <c r="AB196" i="6"/>
  <c r="AC196" i="6"/>
  <c r="AE148" i="6"/>
  <c r="AD148" i="6"/>
  <c r="AE100" i="6"/>
  <c r="AD100" i="6"/>
  <c r="AB52" i="6"/>
  <c r="AC195" i="6"/>
  <c r="AD147" i="6"/>
  <c r="AE147" i="6"/>
  <c r="AE99" i="6"/>
  <c r="AD99" i="6"/>
  <c r="AB75" i="6"/>
  <c r="AD75" i="6"/>
  <c r="AC75" i="6"/>
  <c r="AE51" i="6"/>
  <c r="AC51" i="6"/>
  <c r="AC27" i="6"/>
  <c r="AE27" i="6"/>
  <c r="AB199" i="6"/>
  <c r="AD199" i="6"/>
  <c r="AB163" i="6"/>
  <c r="AC163" i="6"/>
  <c r="AE163" i="6"/>
  <c r="AD163" i="6"/>
  <c r="AB139" i="6"/>
  <c r="AE139" i="6"/>
  <c r="AB127" i="6"/>
  <c r="AE127" i="6"/>
  <c r="AD127" i="6"/>
  <c r="AB115" i="6"/>
  <c r="AC115" i="6"/>
  <c r="AE115" i="6"/>
  <c r="AD115" i="6"/>
  <c r="AB91" i="6"/>
  <c r="AD91" i="6"/>
  <c r="AE91" i="6"/>
  <c r="AB67" i="6"/>
  <c r="AC67" i="6"/>
  <c r="AE67" i="6"/>
  <c r="AB43" i="6"/>
  <c r="AC43" i="6"/>
  <c r="AD43" i="6"/>
  <c r="AE19" i="6"/>
  <c r="AD19" i="6"/>
  <c r="AB9" i="6"/>
  <c r="AE9" i="6"/>
  <c r="AC9" i="6"/>
  <c r="AD9" i="6"/>
  <c r="AB161" i="6"/>
  <c r="AC161" i="6"/>
  <c r="AD161" i="6"/>
  <c r="AE161" i="6"/>
  <c r="AB113" i="6"/>
  <c r="AE113" i="6"/>
  <c r="AD113" i="6"/>
  <c r="AC113" i="6"/>
  <c r="AB65" i="6"/>
  <c r="AD65" i="6"/>
  <c r="AC65" i="6"/>
  <c r="AE65" i="6"/>
  <c r="AB17" i="6"/>
  <c r="AD17" i="6"/>
  <c r="AB172" i="6"/>
  <c r="AE172" i="6"/>
  <c r="AC172" i="6"/>
  <c r="AD172" i="6"/>
  <c r="AC112" i="6"/>
  <c r="AE112" i="6"/>
  <c r="AB64" i="6"/>
  <c r="AC64" i="6"/>
  <c r="AE64" i="6"/>
  <c r="AD64" i="6"/>
  <c r="AC28" i="6"/>
  <c r="AD28" i="6"/>
  <c r="AE171" i="6"/>
  <c r="AB171" i="6"/>
  <c r="AC171" i="6"/>
  <c r="AD171" i="6"/>
  <c r="AD123" i="6"/>
  <c r="AE123" i="6"/>
  <c r="AB123" i="6"/>
  <c r="AB198" i="6"/>
  <c r="AE198" i="6"/>
  <c r="AB186" i="6"/>
  <c r="AD186" i="6"/>
  <c r="AE174" i="6"/>
  <c r="AD174" i="6"/>
  <c r="AE162" i="6"/>
  <c r="AC162" i="6"/>
  <c r="AB162" i="6"/>
  <c r="AD162" i="6"/>
  <c r="AB150" i="6"/>
  <c r="AC150" i="6"/>
  <c r="AD150" i="6"/>
  <c r="AC138" i="6"/>
  <c r="AD138" i="6"/>
  <c r="AD126" i="6"/>
  <c r="AB126" i="6"/>
  <c r="AC126" i="6"/>
  <c r="AB114" i="6"/>
  <c r="AC114" i="6"/>
  <c r="AD114" i="6"/>
  <c r="AE114" i="6"/>
  <c r="AE102" i="6"/>
  <c r="AB102" i="6"/>
  <c r="AD102" i="6"/>
  <c r="AC102" i="6"/>
  <c r="AD90" i="6"/>
  <c r="AE90" i="6"/>
  <c r="AB90" i="6"/>
  <c r="AC78" i="6"/>
  <c r="AE78" i="6"/>
  <c r="AC66" i="6"/>
  <c r="AB66" i="6"/>
  <c r="AE54" i="6"/>
  <c r="AD54" i="6"/>
  <c r="AB54" i="6"/>
  <c r="AB42" i="6"/>
  <c r="AC42" i="6"/>
  <c r="AD42" i="6"/>
  <c r="AE30" i="6"/>
  <c r="AB30" i="6"/>
  <c r="AD30" i="6"/>
  <c r="AC18" i="6"/>
  <c r="AD18" i="6"/>
  <c r="AE7" i="6"/>
  <c r="AC7" i="6"/>
  <c r="AD7" i="6"/>
  <c r="AA2" i="6"/>
  <c r="BE2" i="6" s="1"/>
  <c r="Z2" i="6"/>
  <c r="BD2" i="6" s="1"/>
  <c r="O163" i="6"/>
  <c r="G163" i="6" s="1" a="1"/>
  <c r="G163" i="6" s="1"/>
  <c r="O171" i="6"/>
  <c r="G171" i="6" s="1" a="1"/>
  <c r="G171" i="6" s="1"/>
  <c r="O162" i="6"/>
  <c r="G162" i="6" s="1" a="1"/>
  <c r="G162" i="6" s="1"/>
  <c r="O172" i="6"/>
  <c r="G172" i="6" s="1" a="1"/>
  <c r="G172" i="6" s="1"/>
  <c r="AC109" i="6" l="1"/>
  <c r="AD109" i="6"/>
  <c r="AB33" i="6"/>
  <c r="AD33" i="6"/>
  <c r="AC83" i="6"/>
  <c r="AE83" i="6"/>
  <c r="AB169" i="6"/>
  <c r="AC169" i="6"/>
  <c r="AD169" i="6"/>
  <c r="AE169" i="6"/>
  <c r="AB104" i="6"/>
  <c r="AC104" i="6"/>
  <c r="AD104" i="6"/>
  <c r="AE104" i="6"/>
  <c r="AB157" i="6"/>
  <c r="AE157" i="6"/>
  <c r="AC157" i="6"/>
  <c r="AD157" i="6"/>
  <c r="AB95" i="6"/>
  <c r="AE95" i="6"/>
  <c r="AC95" i="6"/>
  <c r="AD95" i="6"/>
  <c r="AE192" i="6"/>
  <c r="AB192" i="6"/>
  <c r="AB158" i="6"/>
  <c r="AC158" i="6"/>
  <c r="AD158" i="6"/>
  <c r="AE158" i="6"/>
  <c r="AB151" i="6"/>
  <c r="AD151" i="6"/>
  <c r="AE151" i="6"/>
  <c r="AC57" i="6"/>
  <c r="AD57" i="6"/>
  <c r="AE57" i="6"/>
  <c r="AB166" i="6"/>
  <c r="AE166" i="6"/>
  <c r="AC166" i="6"/>
  <c r="AD166" i="6"/>
  <c r="AB60" i="6"/>
  <c r="AE60" i="6"/>
  <c r="AB170" i="6"/>
  <c r="AD170" i="6"/>
  <c r="AE170" i="6"/>
  <c r="AC170" i="6"/>
  <c r="AB69" i="6"/>
  <c r="AD69" i="6"/>
  <c r="AB119" i="6"/>
  <c r="AC119" i="6"/>
  <c r="AD119" i="6"/>
  <c r="AE119" i="6"/>
  <c r="AE61" i="6"/>
  <c r="AD61" i="6"/>
  <c r="AC182" i="6"/>
  <c r="AD182" i="6"/>
  <c r="AB140" i="6"/>
  <c r="AD140" i="6"/>
  <c r="AC190" i="6"/>
  <c r="AD190" i="6"/>
  <c r="AB25" i="6"/>
  <c r="AE25" i="6"/>
  <c r="AC25" i="6"/>
  <c r="AB50" i="6"/>
  <c r="AD50" i="6"/>
  <c r="AE194" i="6"/>
  <c r="AD193" i="6"/>
  <c r="AE193" i="6"/>
  <c r="AB152" i="6"/>
  <c r="AC152" i="6"/>
  <c r="AE152" i="6"/>
  <c r="AD202" i="6"/>
  <c r="AB37" i="6"/>
  <c r="AD37" i="6"/>
  <c r="AB35" i="6"/>
  <c r="AE35" i="6"/>
  <c r="AC35" i="6"/>
  <c r="AB179" i="6"/>
  <c r="AE179" i="6"/>
  <c r="AC132" i="6"/>
  <c r="AE132" i="6"/>
  <c r="AB93" i="6"/>
  <c r="AC93" i="6"/>
  <c r="AD93" i="6"/>
  <c r="AE93" i="6"/>
  <c r="AB96" i="6"/>
  <c r="AC96" i="6"/>
  <c r="AB133" i="6"/>
  <c r="AE188" i="6"/>
  <c r="AC188" i="6"/>
  <c r="AB98" i="6"/>
  <c r="AC98" i="6"/>
  <c r="AB97" i="6"/>
  <c r="AC97" i="6"/>
  <c r="AB145" i="6"/>
  <c r="AC145" i="6"/>
  <c r="AD56" i="6"/>
  <c r="AD200" i="6"/>
  <c r="AC200" i="6"/>
  <c r="AC141" i="6"/>
  <c r="AE141" i="6"/>
  <c r="AB106" i="6"/>
  <c r="AC106" i="6"/>
  <c r="AD106" i="6"/>
  <c r="AB47" i="6"/>
  <c r="AD47" i="6"/>
  <c r="AE47" i="6"/>
  <c r="AB191" i="6"/>
  <c r="AD191" i="6"/>
  <c r="AB144" i="6"/>
  <c r="AD144" i="6"/>
  <c r="AB79" i="6"/>
  <c r="AE79" i="6"/>
  <c r="AD79" i="6"/>
  <c r="AB121" i="6"/>
  <c r="AC121" i="6"/>
  <c r="AE121" i="6"/>
  <c r="AB180" i="6"/>
  <c r="AD180" i="6"/>
  <c r="AB103" i="6"/>
  <c r="AC103" i="6"/>
  <c r="AD103" i="6"/>
  <c r="AE103" i="6"/>
  <c r="AD45" i="6"/>
  <c r="AC45" i="6"/>
  <c r="AE45" i="6"/>
  <c r="AB154" i="6"/>
  <c r="AC154" i="6"/>
  <c r="AD154" i="6"/>
  <c r="AB48" i="6"/>
  <c r="AC48" i="6"/>
  <c r="AD48" i="6"/>
  <c r="AE48" i="6"/>
  <c r="AC10" i="6"/>
  <c r="AE10" i="6"/>
  <c r="AB116" i="6"/>
  <c r="AE116" i="6"/>
  <c r="AD116" i="6"/>
  <c r="AC116" i="6"/>
  <c r="AC22" i="6"/>
  <c r="AB107" i="6"/>
  <c r="AD107" i="6"/>
  <c r="AE107" i="6"/>
  <c r="AB165" i="6"/>
  <c r="AC165" i="6"/>
  <c r="AD165" i="6"/>
  <c r="AE165" i="6"/>
  <c r="AD128" i="6"/>
  <c r="AE128" i="6"/>
  <c r="AC128" i="6"/>
  <c r="AC178" i="6"/>
  <c r="AD178" i="6"/>
  <c r="AE72" i="6"/>
  <c r="AB38" i="6"/>
  <c r="AC38" i="6"/>
  <c r="AD38" i="6"/>
  <c r="AB73" i="6"/>
  <c r="AC73" i="6"/>
  <c r="AE73" i="6"/>
  <c r="AD73" i="6"/>
  <c r="AB81" i="6"/>
  <c r="AE81" i="6"/>
  <c r="AB131" i="6"/>
  <c r="AE131" i="6"/>
  <c r="AB20" i="6"/>
  <c r="AC20" i="6"/>
  <c r="AD20" i="6"/>
  <c r="AE20" i="6"/>
  <c r="AC105" i="6"/>
  <c r="AE105" i="6"/>
  <c r="AD105" i="6"/>
  <c r="AB14" i="6"/>
  <c r="AE14" i="6"/>
  <c r="AD14" i="6"/>
  <c r="AC108" i="6"/>
  <c r="AE108" i="6"/>
  <c r="AB108" i="6"/>
  <c r="AB74" i="6"/>
  <c r="AC74" i="6"/>
  <c r="AD74" i="6"/>
  <c r="AE74" i="6"/>
  <c r="AB49" i="6"/>
  <c r="AE49" i="6"/>
  <c r="AB117" i="6"/>
  <c r="AD117" i="6"/>
  <c r="AC117" i="6"/>
  <c r="AE117" i="6"/>
  <c r="AB23" i="6"/>
  <c r="AE23" i="6"/>
  <c r="AC23" i="6"/>
  <c r="AD23" i="6"/>
  <c r="AD120" i="6"/>
  <c r="AE120" i="6"/>
  <c r="AB120" i="6"/>
  <c r="AC120" i="6"/>
  <c r="AB13" i="6"/>
  <c r="AE13" i="6"/>
  <c r="AC13" i="6"/>
  <c r="AD13" i="6"/>
  <c r="AE94" i="6"/>
  <c r="AD94" i="6"/>
  <c r="AB110" i="6"/>
  <c r="AD110" i="6"/>
  <c r="AC181" i="6"/>
  <c r="AE181" i="6"/>
  <c r="AB31" i="6"/>
  <c r="AC31" i="6"/>
  <c r="AB68" i="6"/>
  <c r="AC68" i="6"/>
  <c r="AE68" i="6"/>
  <c r="AB12" i="6"/>
  <c r="AC12" i="6"/>
  <c r="AD12" i="6"/>
  <c r="AC177" i="6"/>
  <c r="AE177" i="6"/>
  <c r="AB118" i="6"/>
  <c r="AE118" i="6"/>
  <c r="AC118" i="6"/>
  <c r="AD118" i="6"/>
  <c r="AB59" i="6"/>
  <c r="AE59" i="6"/>
  <c r="AC59" i="6"/>
  <c r="AD59" i="6"/>
  <c r="AE156" i="6"/>
  <c r="AB156" i="6"/>
  <c r="AC156" i="6"/>
  <c r="AC134" i="6"/>
  <c r="AB92" i="6"/>
  <c r="AE92" i="6"/>
  <c r="AC142" i="6"/>
  <c r="AD142" i="6"/>
  <c r="AC36" i="6"/>
  <c r="AB36" i="6"/>
  <c r="AD36" i="6"/>
  <c r="AE36" i="6"/>
  <c r="AB146" i="6"/>
  <c r="AC146" i="6"/>
  <c r="AB26" i="6"/>
  <c r="AD26" i="6"/>
  <c r="AC26" i="6"/>
  <c r="AB175" i="6"/>
  <c r="AC175" i="6"/>
  <c r="AB34" i="6"/>
  <c r="AC34" i="6"/>
  <c r="AB187" i="6"/>
  <c r="AE187" i="6"/>
  <c r="AC46" i="6"/>
  <c r="AE46" i="6"/>
  <c r="AB84" i="6"/>
  <c r="AC11" i="6"/>
  <c r="AD11" i="6"/>
  <c r="AB58" i="6"/>
  <c r="AE58" i="6"/>
  <c r="AD58" i="6"/>
  <c r="AB143" i="6"/>
  <c r="AE143" i="6"/>
  <c r="AB62" i="6"/>
  <c r="AC62" i="6"/>
  <c r="AB201" i="6"/>
  <c r="AB164" i="6"/>
  <c r="AC164" i="6"/>
  <c r="AE164" i="6"/>
  <c r="AD164" i="6"/>
  <c r="AB70" i="6"/>
  <c r="AC70" i="6"/>
  <c r="AD70" i="6"/>
  <c r="AB155" i="6"/>
  <c r="AD155" i="6"/>
  <c r="AE155" i="6"/>
  <c r="AB85" i="6"/>
  <c r="AE85" i="6"/>
  <c r="AC85" i="6"/>
  <c r="AD85" i="6"/>
  <c r="AB32" i="6"/>
  <c r="AE32" i="6"/>
  <c r="AB176" i="6"/>
  <c r="AC176" i="6"/>
  <c r="AB82" i="6"/>
  <c r="AD82" i="6"/>
  <c r="AB167" i="6"/>
  <c r="AC167" i="6"/>
  <c r="AE167" i="6"/>
  <c r="AD167" i="6"/>
  <c r="AB86" i="6"/>
  <c r="AE86" i="6"/>
  <c r="AC86" i="6"/>
  <c r="AD86" i="6"/>
  <c r="AE44" i="6"/>
  <c r="AD44" i="6"/>
  <c r="AC44" i="6"/>
  <c r="AC129" i="6"/>
  <c r="AD129" i="6"/>
  <c r="AB122" i="6"/>
  <c r="AD122" i="6"/>
  <c r="AC122" i="6"/>
  <c r="AC153" i="6"/>
  <c r="AE153" i="6"/>
  <c r="AD153" i="6"/>
  <c r="AB55" i="6"/>
  <c r="AC55" i="6"/>
  <c r="AE55" i="6"/>
  <c r="AB80" i="6"/>
  <c r="AC80" i="6"/>
  <c r="AD80" i="6"/>
  <c r="AB21" i="6"/>
  <c r="AC21" i="6"/>
  <c r="AD21" i="6"/>
  <c r="AE21" i="6"/>
  <c r="AC189" i="6"/>
  <c r="AE189" i="6"/>
  <c r="AB130" i="6"/>
  <c r="AD130" i="6"/>
  <c r="AD71" i="6"/>
  <c r="AC71" i="6"/>
  <c r="AC24" i="6"/>
  <c r="AD24" i="6"/>
  <c r="AE24" i="6"/>
  <c r="AD168" i="6"/>
  <c r="AB168" i="6"/>
  <c r="AC168" i="6"/>
  <c r="AE168" i="6"/>
  <c r="AC6" i="6"/>
  <c r="O170" i="6"/>
  <c r="G170" i="6" s="1" a="1"/>
  <c r="G170" i="6" s="1"/>
  <c r="O164" i="6"/>
  <c r="G164" i="6" s="1" a="1"/>
  <c r="G164" i="6" s="1"/>
  <c r="O166" i="6"/>
  <c r="G166" i="6" s="1" a="1"/>
  <c r="G166" i="6" s="1"/>
  <c r="O165" i="6"/>
  <c r="G165" i="6" s="1" a="1"/>
  <c r="G165" i="6" s="1"/>
  <c r="O169" i="6"/>
  <c r="G169" i="6" s="1" a="1"/>
  <c r="G169" i="6" s="1"/>
  <c r="O167" i="6"/>
  <c r="G167" i="6" s="1" a="1"/>
  <c r="G167" i="6" s="1"/>
  <c r="O168" i="6"/>
  <c r="G168" i="6" s="1" a="1"/>
  <c r="G168" i="6" s="1"/>
  <c r="V201" i="6" l="1"/>
  <c r="AE201" i="6" s="1"/>
  <c r="U132" i="6" l="1"/>
  <c r="AD132" i="6" s="1"/>
  <c r="V50" i="6" l="1"/>
  <c r="AE50" i="6" s="1"/>
  <c r="T136" i="6" l="1"/>
  <c r="AC136" i="6" s="1"/>
  <c r="V62" i="6" l="1"/>
  <c r="AE62" i="6" s="1"/>
  <c r="U60" i="6" l="1"/>
  <c r="AD60" i="6" s="1"/>
  <c r="V84" i="6" l="1"/>
  <c r="AE84" i="6" s="1"/>
  <c r="V199" i="6" l="1"/>
  <c r="AE199" i="6" s="1"/>
  <c r="V180" i="6" l="1"/>
  <c r="AE180" i="6" s="1"/>
  <c r="U111" i="6" l="1"/>
  <c r="AD111" i="6" s="1"/>
  <c r="U46" i="6" l="1"/>
  <c r="AD46" i="6" s="1"/>
  <c r="U177" i="6" l="1"/>
  <c r="AD177" i="6" s="1"/>
  <c r="U49" i="6" l="1"/>
  <c r="AD49" i="6" s="1"/>
  <c r="U194" i="6" l="1"/>
  <c r="AD194" i="6" s="1"/>
  <c r="T202" i="6" l="1"/>
  <c r="AC202" i="6" s="1"/>
  <c r="V186" i="6" l="1"/>
  <c r="AE186" i="6" s="1"/>
  <c r="V31" i="6" l="1"/>
  <c r="AE31" i="6" s="1"/>
  <c r="V69" i="6" l="1"/>
  <c r="AE69" i="6" s="1"/>
  <c r="T88" i="6" l="1"/>
  <c r="AC88" i="6" s="1"/>
  <c r="V22" i="6" l="1"/>
  <c r="AE22" i="6" s="1"/>
  <c r="V138" i="6" l="1"/>
  <c r="AE138" i="6" s="1"/>
  <c r="T72" i="6" l="1"/>
  <c r="AC72" i="6" s="1"/>
  <c r="V33" i="6" l="1"/>
  <c r="AE33" i="6" s="1"/>
  <c r="V175" i="6" l="1"/>
  <c r="AE175" i="6" s="1"/>
  <c r="U183" i="6" l="1"/>
  <c r="AD183" i="6" s="1"/>
  <c r="V195" i="6" l="1"/>
  <c r="AE195" i="6" s="1"/>
  <c r="U139" i="6" l="1"/>
  <c r="AD139" i="6" s="1"/>
  <c r="U27" i="6" l="1"/>
  <c r="AD27" i="6" s="1"/>
  <c r="V15" i="6" l="1"/>
  <c r="AE15" i="6" s="1"/>
  <c r="T99" i="6" l="1"/>
  <c r="AC99" i="6" s="1"/>
  <c r="T40" i="6" l="1"/>
  <c r="AC40" i="6" s="1"/>
  <c r="U112" i="6" l="1"/>
  <c r="AD112" i="6" s="1"/>
  <c r="T56" i="6" l="1"/>
  <c r="AC56" i="6" s="1"/>
  <c r="V29" i="6" l="1"/>
  <c r="AE29" i="6" s="1"/>
  <c r="V145" i="6" l="1"/>
  <c r="AE145" i="6" s="1"/>
  <c r="U22" i="6" l="1"/>
  <c r="AD22" i="6" s="1"/>
  <c r="T174" i="6" l="1"/>
  <c r="AC174" i="6" s="1"/>
  <c r="V176" i="6" l="1"/>
  <c r="AE176" i="6" s="1"/>
  <c r="V134" i="6" l="1"/>
  <c r="AE134" i="6" s="1"/>
  <c r="U181" i="6" l="1"/>
  <c r="AD181" i="6" s="1"/>
  <c r="T135" i="6" l="1"/>
  <c r="AC135" i="6" s="1"/>
  <c r="T5" i="6" l="1"/>
  <c r="U143" i="6" l="1"/>
  <c r="AD143" i="6" s="1"/>
  <c r="V130" i="6" l="1"/>
  <c r="AE130" i="6" s="1"/>
  <c r="V190" i="6" l="1"/>
  <c r="AE190" i="6" s="1"/>
  <c r="U136" i="6" l="1"/>
  <c r="AD136" i="6" s="1"/>
  <c r="V82" i="6" l="1"/>
  <c r="AE82" i="6" s="1"/>
  <c r="V34" i="6" l="1"/>
  <c r="AE34" i="6" s="1"/>
  <c r="U51" i="6" l="1"/>
  <c r="AD51" i="6" s="1"/>
  <c r="V144" i="6" l="1"/>
  <c r="AE144" i="6" s="1"/>
  <c r="U195" i="6" l="1"/>
  <c r="AD195" i="6" s="1"/>
  <c r="U84" i="6" l="1"/>
  <c r="AD84" i="6" s="1"/>
  <c r="U198" i="6" l="1"/>
  <c r="AD198" i="6" s="1"/>
  <c r="V37" i="6" l="1"/>
  <c r="AE37" i="6" s="1"/>
  <c r="T94" i="6" l="1"/>
  <c r="AC94" i="6" s="1"/>
  <c r="U131" i="6" l="1"/>
  <c r="AD131" i="6" s="1"/>
  <c r="U137" i="6" l="1"/>
  <c r="AD137" i="6" s="1"/>
  <c r="T173" i="6" l="1"/>
  <c r="AC173" i="6" s="1"/>
  <c r="V202" i="6" l="1"/>
  <c r="AE202" i="6" s="1"/>
  <c r="V184" i="6" l="1"/>
  <c r="AE184" i="6" s="1"/>
  <c r="V56" i="6" l="1"/>
  <c r="AE56" i="6" s="1"/>
  <c r="V88" i="6" l="1"/>
  <c r="AE88" i="6" s="1"/>
  <c r="U83" i="6" l="1"/>
  <c r="AD83" i="6" s="1"/>
  <c r="V28" i="6" l="1"/>
  <c r="AE28" i="6" s="1"/>
  <c r="T194" i="6" l="1"/>
  <c r="AC194" i="6" s="1"/>
  <c r="U134" i="6" l="1"/>
  <c r="AD134" i="6" s="1"/>
  <c r="V39" i="6" l="1"/>
  <c r="AE39" i="6" s="1"/>
  <c r="U81" i="6" l="1"/>
  <c r="AD81" i="6" s="1"/>
  <c r="V182" i="6" l="1"/>
  <c r="AE182" i="6" s="1"/>
  <c r="U133" i="6" l="1"/>
  <c r="AD133" i="6" s="1"/>
  <c r="U16" i="6" l="1"/>
  <c r="AD16" i="6" s="1"/>
  <c r="V140" i="6" l="1"/>
  <c r="AE140" i="6" s="1"/>
  <c r="V11" i="6" l="1"/>
  <c r="AE11" i="6" s="1"/>
  <c r="V178" i="6" l="1"/>
  <c r="AE178" i="6" s="1"/>
  <c r="V196" i="6" l="1"/>
  <c r="AE196" i="6" s="1"/>
  <c r="U189" i="6" l="1"/>
  <c r="AD189" i="6" s="1"/>
  <c r="V6" i="6" l="1"/>
  <c r="AE6" i="6" s="1"/>
  <c r="U187" i="6" l="1"/>
  <c r="AD187" i="6" s="1"/>
  <c r="V52" i="6" l="1"/>
  <c r="AE52" i="6" s="1"/>
  <c r="T148" i="6" l="1"/>
  <c r="AC148" i="6" s="1"/>
  <c r="V96" i="6" l="1"/>
  <c r="AE96" i="6" s="1"/>
  <c r="U10" i="6" l="1"/>
  <c r="AD10" i="6" s="1"/>
  <c r="U32" i="6" l="1"/>
  <c r="AD32" i="6" s="1"/>
  <c r="V185" i="6" l="1"/>
  <c r="AE185" i="6" s="1"/>
  <c r="U188" i="6" l="1"/>
  <c r="AD188" i="6" s="1"/>
  <c r="U52" i="6" l="1"/>
  <c r="AD52" i="6" s="1"/>
  <c r="V71" i="6" l="1"/>
  <c r="AE71" i="6" s="1"/>
  <c r="V200" i="6" l="1"/>
  <c r="AE200" i="6" s="1"/>
  <c r="U141" i="6" l="1"/>
  <c r="AD141" i="6" s="1"/>
  <c r="V66" i="6" l="1"/>
  <c r="AE66" i="6" s="1"/>
  <c r="U201" i="6" l="1"/>
  <c r="AD201" i="6" s="1"/>
  <c r="V135" i="6" l="1"/>
  <c r="AE135" i="6" s="1"/>
  <c r="U92" i="6" l="1"/>
  <c r="AD92" i="6" s="1"/>
  <c r="V98" i="6" l="1"/>
  <c r="AE98" i="6" s="1"/>
  <c r="U40" i="6" l="1"/>
  <c r="AD40" i="6" s="1"/>
  <c r="U78" i="6" l="1"/>
  <c r="AD78" i="6" s="1"/>
  <c r="T63" i="6" l="1"/>
  <c r="AC63" i="6" s="1"/>
  <c r="V109" i="6" l="1"/>
  <c r="AE109" i="6" s="1"/>
  <c r="V97" i="6" l="1"/>
  <c r="AE97" i="6" s="1"/>
  <c r="T100" i="6" l="1"/>
  <c r="AC100" i="6" s="1"/>
  <c r="V129" i="6" l="1"/>
  <c r="AE129" i="6" s="1"/>
  <c r="U72" i="6" l="1"/>
  <c r="AD72" i="6" s="1"/>
  <c r="U179" i="6" l="1"/>
  <c r="AD179" i="6" s="1"/>
  <c r="V18" i="6" l="1"/>
  <c r="AE18" i="6" s="1"/>
  <c r="U192" i="6" l="1"/>
  <c r="AD192" i="6" s="1"/>
  <c r="V110" i="6" l="1"/>
  <c r="AE110" i="6" s="1"/>
  <c r="T193" i="6" l="1"/>
  <c r="AC193" i="6" s="1"/>
  <c r="V142" i="6" l="1"/>
  <c r="AE142" i="6" s="1"/>
  <c r="T61" i="6" l="1"/>
  <c r="AC61" i="6" s="1"/>
  <c r="V133" i="6" l="1"/>
  <c r="AE133" i="6" s="1"/>
  <c r="T147" i="6" l="1"/>
  <c r="AC147" i="6" s="1"/>
  <c r="V146" i="6" l="1"/>
  <c r="AE146" i="6" s="1"/>
  <c r="V191" i="6" l="1"/>
  <c r="AE191" i="6" s="1"/>
  <c r="V17" i="6" l="1"/>
  <c r="AE17" i="6" s="1"/>
  <c r="T19" i="6" l="1"/>
  <c r="AC19" i="6" s="1"/>
  <c r="U197" i="6" l="1"/>
  <c r="AD197" i="6" s="1"/>
  <c r="T3" i="6" l="1"/>
  <c r="U6" i="6" l="1"/>
  <c r="AD6" i="6" s="1"/>
  <c r="S202" i="6" l="1"/>
  <c r="AB202" i="6" s="1"/>
  <c r="S194" i="6"/>
  <c r="AB194" i="6" s="1"/>
  <c r="S195" i="6"/>
  <c r="AB195" i="6" s="1"/>
  <c r="T201" i="6"/>
  <c r="AC201" i="6" s="1"/>
  <c r="S197" i="6"/>
  <c r="AB197" i="6" s="1"/>
  <c r="S200" i="6"/>
  <c r="AB200" i="6" s="1"/>
  <c r="T199" i="6"/>
  <c r="AC199" i="6" s="1"/>
  <c r="T198" i="6"/>
  <c r="AC198" i="6" s="1"/>
  <c r="U196" i="6"/>
  <c r="AD196" i="6" s="1"/>
  <c r="S193" i="6"/>
  <c r="AB193" i="6" s="1"/>
  <c r="T192" i="6"/>
  <c r="AC192" i="6" s="1"/>
  <c r="S188" i="6"/>
  <c r="AB188" i="6" s="1"/>
  <c r="T186" i="6"/>
  <c r="AC186" i="6" s="1"/>
  <c r="T191" i="6"/>
  <c r="AC191" i="6" s="1"/>
  <c r="S185" i="6"/>
  <c r="AB185" i="6" s="1"/>
  <c r="T187" i="6"/>
  <c r="AC187" i="6" s="1"/>
  <c r="S190" i="6"/>
  <c r="AB190" i="6" s="1"/>
  <c r="S189" i="6"/>
  <c r="AB189" i="6" s="1"/>
  <c r="T184" i="6"/>
  <c r="AC184" i="6" s="1"/>
  <c r="S182" i="6"/>
  <c r="AB182" i="6" s="1"/>
  <c r="S178" i="6"/>
  <c r="AB178" i="6" s="1"/>
  <c r="T183" i="6"/>
  <c r="AC183" i="6" s="1"/>
  <c r="T180" i="6"/>
  <c r="AC180" i="6" s="1"/>
  <c r="S181" i="6"/>
  <c r="AB181" i="6" s="1"/>
  <c r="T179" i="6"/>
  <c r="AC179" i="6" s="1"/>
  <c r="S177" i="6"/>
  <c r="AB177" i="6" s="1"/>
  <c r="U176" i="6"/>
  <c r="AD176" i="6" s="1"/>
  <c r="U175" i="6"/>
  <c r="AD175" i="6" s="1"/>
  <c r="S173" i="6"/>
  <c r="AB173" i="6" s="1"/>
  <c r="S174" i="6"/>
  <c r="AB174" i="6" s="1"/>
  <c r="U156" i="6"/>
  <c r="AD156" i="6" s="1"/>
  <c r="V154" i="6"/>
  <c r="AE154" i="6" s="1"/>
  <c r="T155" i="6"/>
  <c r="AC155" i="6" s="1"/>
  <c r="S153" i="6"/>
  <c r="AB153" i="6" s="1"/>
  <c r="U152" i="6"/>
  <c r="AD152" i="6" s="1"/>
  <c r="V150" i="6"/>
  <c r="AE150" i="6" s="1"/>
  <c r="T151" i="6"/>
  <c r="AC151" i="6" s="1"/>
  <c r="S149" i="6"/>
  <c r="AB149" i="6" s="1"/>
  <c r="S148" i="6"/>
  <c r="AB148" i="6" s="1"/>
  <c r="U146" i="6"/>
  <c r="AD146" i="6" s="1"/>
  <c r="S147" i="6"/>
  <c r="AB147" i="6" s="1"/>
  <c r="U145" i="6"/>
  <c r="AD145" i="6" s="1"/>
  <c r="S142" i="6"/>
  <c r="AB142" i="6" s="1"/>
  <c r="T144" i="6"/>
  <c r="AC144" i="6" s="1"/>
  <c r="T143" i="6"/>
  <c r="AC143" i="6" s="1"/>
  <c r="S141" i="6"/>
  <c r="AB141" i="6" s="1"/>
  <c r="S138" i="6"/>
  <c r="AB138" i="6" s="1"/>
  <c r="T140" i="6"/>
  <c r="AC140" i="6" s="1"/>
  <c r="T139" i="6"/>
  <c r="AC139" i="6" s="1"/>
  <c r="S137" i="6"/>
  <c r="AB137" i="6" s="1"/>
  <c r="S136" i="6"/>
  <c r="AB136" i="6" s="1"/>
  <c r="S135" i="6"/>
  <c r="AB135" i="6" s="1"/>
  <c r="T133" i="6"/>
  <c r="AC133" i="6" s="1"/>
  <c r="S134" i="6"/>
  <c r="AB134" i="6" s="1"/>
  <c r="S132" i="6"/>
  <c r="AB132" i="6" s="1"/>
  <c r="T131" i="6"/>
  <c r="AC131" i="6" s="1"/>
  <c r="S129" i="6"/>
  <c r="AB129" i="6" s="1"/>
  <c r="T130" i="6"/>
  <c r="AC130" i="6" s="1"/>
  <c r="S128" i="6"/>
  <c r="AB128" i="6" s="1"/>
  <c r="T127" i="6"/>
  <c r="AC127" i="6" s="1"/>
  <c r="U125" i="6"/>
  <c r="AD125" i="6" s="1"/>
  <c r="V126" i="6"/>
  <c r="AE126" i="6" s="1"/>
  <c r="S124" i="6"/>
  <c r="AB124" i="6" s="1"/>
  <c r="T123" i="6"/>
  <c r="AC123" i="6" s="1"/>
  <c r="U121" i="6"/>
  <c r="AD121" i="6" s="1"/>
  <c r="V122" i="6"/>
  <c r="AE122" i="6" s="1"/>
  <c r="S112" i="6"/>
  <c r="AB112" i="6" s="1"/>
  <c r="T111" i="6"/>
  <c r="AC111" i="6" s="1"/>
  <c r="S109" i="6"/>
  <c r="AB109" i="6" s="1"/>
  <c r="T110" i="6"/>
  <c r="AC110" i="6" s="1"/>
  <c r="V106" i="6"/>
  <c r="AE106" i="6" s="1"/>
  <c r="U108" i="6"/>
  <c r="AD108" i="6" s="1"/>
  <c r="S105" i="6"/>
  <c r="AB105" i="6" s="1"/>
  <c r="T107" i="6"/>
  <c r="AC107" i="6" s="1"/>
  <c r="S100" i="6"/>
  <c r="AB100" i="6" s="1"/>
  <c r="S99" i="6"/>
  <c r="AB99" i="6" s="1"/>
  <c r="U97" i="6"/>
  <c r="AD97" i="6" s="1"/>
  <c r="U98" i="6"/>
  <c r="AD98" i="6" s="1"/>
  <c r="U96" i="6"/>
  <c r="AD96" i="6" s="1"/>
  <c r="S3" i="6"/>
  <c r="S94" i="6"/>
  <c r="AB94" i="6" s="1"/>
  <c r="U62" i="6"/>
  <c r="AD62" i="6" s="1"/>
  <c r="T69" i="6"/>
  <c r="AC69" i="6" s="1"/>
  <c r="T92" i="6"/>
  <c r="AC92" i="6" s="1"/>
  <c r="T91" i="6"/>
  <c r="AC91" i="6" s="1"/>
  <c r="S24" i="6"/>
  <c r="AB24" i="6" s="1"/>
  <c r="S83" i="6"/>
  <c r="AB83" i="6" s="1"/>
  <c r="T90" i="6"/>
  <c r="AC90" i="6" s="1"/>
  <c r="V80" i="6"/>
  <c r="AE80" i="6" s="1"/>
  <c r="S89" i="6"/>
  <c r="AB89" i="6" s="1"/>
  <c r="U67" i="6"/>
  <c r="AD67" i="6" s="1"/>
  <c r="V70" i="6"/>
  <c r="AE70" i="6" s="1"/>
  <c r="S88" i="6"/>
  <c r="AB88" i="6" s="1"/>
  <c r="S22" i="6"/>
  <c r="AB22" i="6" s="1"/>
  <c r="U87" i="6"/>
  <c r="AD87" i="6" s="1"/>
  <c r="U25" i="6"/>
  <c r="AD25" i="6" s="1"/>
  <c r="S72" i="6"/>
  <c r="AB72" i="6" s="1"/>
  <c r="T14" i="6"/>
  <c r="AC14" i="6" s="1"/>
  <c r="V75" i="6"/>
  <c r="AE75" i="6" s="1"/>
  <c r="T84" i="6"/>
  <c r="AC84" i="6" s="1"/>
  <c r="T82" i="6"/>
  <c r="AC82" i="6" s="1"/>
  <c r="S18" i="6"/>
  <c r="AB18" i="6" s="1"/>
  <c r="S71" i="6"/>
  <c r="AB71" i="6" s="1"/>
  <c r="S29" i="6"/>
  <c r="AB29" i="6" s="1"/>
  <c r="S27" i="6"/>
  <c r="AB27" i="6" s="1"/>
  <c r="T81" i="6"/>
  <c r="AC81" i="6" s="1"/>
  <c r="T17" i="6"/>
  <c r="AC17" i="6" s="1"/>
  <c r="U68" i="6"/>
  <c r="AD68" i="6" s="1"/>
  <c r="T79" i="6"/>
  <c r="AC79" i="6" s="1"/>
  <c r="S76" i="6"/>
  <c r="AB76" i="6" s="1"/>
  <c r="T16" i="6"/>
  <c r="AC16" i="6" s="1"/>
  <c r="S78" i="6"/>
  <c r="AB78" i="6" s="1"/>
  <c r="S77" i="6"/>
  <c r="AB77" i="6" s="1"/>
  <c r="V26" i="6"/>
  <c r="AE26" i="6" s="1"/>
  <c r="U66" i="6"/>
  <c r="AD66" i="6" s="1"/>
  <c r="S19" i="6"/>
  <c r="AB19" i="6" s="1"/>
  <c r="S63" i="6"/>
  <c r="AB63" i="6" s="1"/>
  <c r="U15" i="6"/>
  <c r="AD15" i="6" s="1"/>
  <c r="S61" i="6"/>
  <c r="AB61" i="6" s="1"/>
  <c r="U31" i="6"/>
  <c r="AD31" i="6" s="1"/>
  <c r="T37" i="6"/>
  <c r="AC37" i="6" s="1"/>
  <c r="T60" i="6"/>
  <c r="AC60" i="6" s="1"/>
  <c r="S51" i="6"/>
  <c r="AB51" i="6" s="1"/>
  <c r="T58" i="6"/>
  <c r="AC58" i="6" s="1"/>
  <c r="V38" i="6"/>
  <c r="AE38" i="6" s="1"/>
  <c r="S57" i="6"/>
  <c r="AB57" i="6" s="1"/>
  <c r="U35" i="6"/>
  <c r="AD35" i="6" s="1"/>
  <c r="S56" i="6"/>
  <c r="AB56" i="6" s="1"/>
  <c r="S6" i="6"/>
  <c r="AB6" i="6" s="1"/>
  <c r="S40" i="6"/>
  <c r="AB40" i="6" s="1"/>
  <c r="U55" i="6"/>
  <c r="AD55" i="6" s="1"/>
  <c r="U8" i="6"/>
  <c r="AD8" i="6" s="1"/>
  <c r="T30" i="6"/>
  <c r="AC30" i="6" s="1"/>
  <c r="V43" i="6"/>
  <c r="AE43" i="6" s="1"/>
  <c r="T54" i="6"/>
  <c r="AC54" i="6" s="1"/>
  <c r="S7" i="6"/>
  <c r="AB7" i="6" s="1"/>
  <c r="V42" i="6"/>
  <c r="AE42" i="6" s="1"/>
  <c r="T52" i="6"/>
  <c r="AC52" i="6" s="1"/>
  <c r="S11" i="6"/>
  <c r="AB11" i="6" s="1"/>
  <c r="S39" i="6"/>
  <c r="AB39" i="6" s="1"/>
  <c r="T50" i="6"/>
  <c r="AC50" i="6" s="1"/>
  <c r="T49" i="6"/>
  <c r="AC49" i="6" s="1"/>
  <c r="S10" i="6"/>
  <c r="AB10" i="6" s="1"/>
  <c r="T47" i="6"/>
  <c r="AC47" i="6" s="1"/>
  <c r="T32" i="6"/>
  <c r="AC32" i="6" s="1"/>
  <c r="S44" i="6"/>
  <c r="AB44" i="6" s="1"/>
  <c r="S46" i="6"/>
  <c r="AB46" i="6" s="1"/>
  <c r="S28" i="6"/>
  <c r="AB28" i="6" s="1"/>
  <c r="S45" i="6"/>
  <c r="AB45" i="6" s="1"/>
  <c r="V12" i="6"/>
  <c r="AE12" i="6" s="1"/>
  <c r="U41" i="6"/>
  <c r="AD41" i="6" s="1"/>
  <c r="U34" i="6"/>
  <c r="AD34" i="6" s="1"/>
  <c r="S5" i="6"/>
  <c r="T33" i="6"/>
  <c r="AC33" i="6" s="1"/>
  <c r="S2" i="6"/>
  <c r="V2" i="6"/>
  <c r="AE2" i="6" s="1"/>
  <c r="T2" i="6"/>
  <c r="AC2" i="6" s="1"/>
  <c r="U2" i="6"/>
  <c r="AD2" i="6" s="1"/>
  <c r="U166" i="6"/>
  <c r="T167" i="6"/>
  <c r="T171" i="6"/>
  <c r="S169" i="6"/>
  <c r="S170" i="6"/>
  <c r="U167" i="6"/>
  <c r="V165" i="6"/>
  <c r="V166" i="6"/>
  <c r="V163" i="6"/>
  <c r="V167" i="6"/>
  <c r="S166" i="6"/>
  <c r="U162" i="6"/>
  <c r="U168" i="6"/>
  <c r="T172" i="6"/>
  <c r="U164" i="6"/>
  <c r="V168" i="6"/>
  <c r="AB2" i="6" l="1"/>
  <c r="AE5" i="6"/>
  <c r="AC5" i="6"/>
  <c r="AB5" i="6"/>
  <c r="AD5" i="6"/>
  <c r="AD3" i="6" l="1"/>
  <c r="AC3" i="6"/>
  <c r="O3" i="6"/>
  <c r="AB3" i="6"/>
  <c r="AE3" i="6"/>
  <c r="I3" i="6" l="1" a="1"/>
  <c r="I3" i="6" s="1"/>
  <c r="AY3" i="6" s="1"/>
  <c r="K3" i="6" a="1"/>
  <c r="K3" i="6" s="1"/>
  <c r="AZ3" i="6" s="1"/>
  <c r="C3" i="6" a="1"/>
  <c r="C3" i="6" s="1"/>
  <c r="E96" i="6" a="1"/>
  <c r="E96" i="6" s="1"/>
  <c r="AW96" i="6" s="1"/>
  <c r="O4" i="6"/>
  <c r="G3" i="6" a="1"/>
  <c r="G3" i="6" s="1"/>
  <c r="AX3" i="6" s="1"/>
  <c r="Y3" i="6" l="1"/>
  <c r="BC3" i="6" s="1"/>
  <c r="AA3" i="6"/>
  <c r="BE3" i="6" s="1"/>
  <c r="Z3" i="6"/>
  <c r="BD3" i="6" s="1"/>
  <c r="G4" i="6" a="1"/>
  <c r="G4" i="6" s="1"/>
  <c r="AX4" i="6" s="1"/>
  <c r="I4" i="6" a="1"/>
  <c r="I4" i="6" s="1"/>
  <c r="AY4" i="6" s="1"/>
  <c r="K4" i="6" a="1"/>
  <c r="K4" i="6" s="1"/>
  <c r="AZ4" i="6" s="1"/>
  <c r="E4" i="6" a="1"/>
  <c r="E4" i="6" s="1"/>
  <c r="AW4" i="6" s="1"/>
  <c r="C4" i="6" a="1"/>
  <c r="C4" i="6" s="1"/>
  <c r="O5" i="6"/>
  <c r="AA4" i="6" l="1"/>
  <c r="BE4" i="6" s="1"/>
  <c r="Y4" i="6"/>
  <c r="BC4" i="6" s="1"/>
  <c r="Z4" i="6"/>
  <c r="BD4" i="6" s="1"/>
  <c r="X4" i="6"/>
  <c r="BB4" i="6" s="1"/>
  <c r="G5" i="6" a="1"/>
  <c r="G5" i="6" s="1"/>
  <c r="AX5" i="6" s="1"/>
  <c r="K5" i="6" a="1"/>
  <c r="K5" i="6" s="1"/>
  <c r="AZ5" i="6" s="1"/>
  <c r="I5" i="6" a="1"/>
  <c r="I5" i="6" s="1"/>
  <c r="AY5" i="6" s="1"/>
  <c r="C5" i="6" a="1"/>
  <c r="C5" i="6" s="1"/>
  <c r="E34" i="6" a="1"/>
  <c r="E34" i="6" s="1"/>
  <c r="AW34" i="6" s="1"/>
  <c r="O6" i="6"/>
  <c r="AA5" i="6" l="1"/>
  <c r="BE5" i="6" s="1"/>
  <c r="Y5" i="6"/>
  <c r="BC5" i="6" s="1"/>
  <c r="Z5" i="6"/>
  <c r="BD5" i="6" s="1"/>
  <c r="I52" i="6" a="1"/>
  <c r="I52" i="6" s="1"/>
  <c r="AY52" i="6" s="1"/>
  <c r="K6" i="6" a="1"/>
  <c r="K6" i="6" s="1"/>
  <c r="AZ6" i="6" s="1"/>
  <c r="C6" i="6" a="1"/>
  <c r="C6" i="6" s="1"/>
  <c r="E40" i="6" a="1"/>
  <c r="E40" i="6" s="1"/>
  <c r="AW40" i="6" s="1"/>
  <c r="O7" i="6"/>
  <c r="AA6" i="6" l="1"/>
  <c r="BE6" i="6" s="1"/>
  <c r="K7" i="6" a="1"/>
  <c r="K7" i="6" s="1"/>
  <c r="AZ7" i="6" s="1"/>
  <c r="C7" i="6" a="1"/>
  <c r="C7" i="6" s="1"/>
  <c r="I54" i="6" a="1"/>
  <c r="I54" i="6" s="1"/>
  <c r="AY54" i="6" s="1"/>
  <c r="E41" i="6" a="1"/>
  <c r="E41" i="6" s="1"/>
  <c r="AW41" i="6" s="1"/>
  <c r="O8" i="6"/>
  <c r="O9" i="6" s="1"/>
  <c r="AA7" i="6" l="1"/>
  <c r="BE7" i="6" s="1"/>
  <c r="G9" i="6" a="1"/>
  <c r="G9" i="6" s="1"/>
  <c r="AX9" i="6" s="1"/>
  <c r="K9" i="6" a="1"/>
  <c r="K9" i="6" s="1"/>
  <c r="AZ9" i="6" s="1"/>
  <c r="E9" i="6" a="1"/>
  <c r="E9" i="6" s="1"/>
  <c r="AW9" i="6" s="1"/>
  <c r="C9" i="6" a="1"/>
  <c r="C9" i="6" s="1"/>
  <c r="I9" i="6" a="1"/>
  <c r="I9" i="6" s="1"/>
  <c r="AY9" i="6" s="1"/>
  <c r="K12" i="6" a="1"/>
  <c r="K12" i="6" s="1"/>
  <c r="AZ12" i="6" s="1"/>
  <c r="I55" i="6" a="1"/>
  <c r="I55" i="6" s="1"/>
  <c r="AY55" i="6" s="1"/>
  <c r="E47" i="6" a="1"/>
  <c r="E47" i="6" s="1"/>
  <c r="AW47" i="6" s="1"/>
  <c r="C8" i="6" a="1"/>
  <c r="C8" i="6" s="1"/>
  <c r="O10" i="6"/>
  <c r="AA9" i="6" l="1"/>
  <c r="BE9" i="6" s="1"/>
  <c r="Z9" i="6"/>
  <c r="BD9" i="6" s="1"/>
  <c r="X9" i="6"/>
  <c r="BB9" i="6" s="1"/>
  <c r="Y9" i="6"/>
  <c r="BC9" i="6" s="1"/>
  <c r="I49" i="6" a="1"/>
  <c r="I49" i="6" s="1"/>
  <c r="AY49" i="6" s="1"/>
  <c r="E49" i="6" a="1"/>
  <c r="E49" i="6" s="1"/>
  <c r="AW49" i="6" s="1"/>
  <c r="C10" i="6" a="1"/>
  <c r="C10" i="6" s="1"/>
  <c r="K11" i="6" a="1"/>
  <c r="K11" i="6" s="1"/>
  <c r="AZ11" i="6" s="1"/>
  <c r="O11" i="6"/>
  <c r="K10" i="6" l="1" a="1"/>
  <c r="K10" i="6" s="1"/>
  <c r="AZ10" i="6" s="1"/>
  <c r="I50" i="6" a="1"/>
  <c r="I50" i="6" s="1"/>
  <c r="AY50" i="6" s="1"/>
  <c r="E10" i="6" a="1"/>
  <c r="E10" i="6" s="1"/>
  <c r="AW10" i="6" s="1"/>
  <c r="C11" i="6" a="1"/>
  <c r="C11" i="6" s="1"/>
  <c r="O12" i="6"/>
  <c r="X10" i="6" l="1"/>
  <c r="BB10" i="6" s="1"/>
  <c r="AA10" i="6"/>
  <c r="BE10" i="6" s="1"/>
  <c r="AA11" i="6"/>
  <c r="BE11" i="6" s="1"/>
  <c r="C12" i="6" a="1"/>
  <c r="C12" i="6" s="1"/>
  <c r="I43" i="6" a="1"/>
  <c r="I43" i="6" s="1"/>
  <c r="AY43" i="6" s="1"/>
  <c r="K8" i="6" a="1"/>
  <c r="K8" i="6" s="1"/>
  <c r="E44" i="6" a="1"/>
  <c r="E44" i="6" s="1"/>
  <c r="AW44" i="6" s="1"/>
  <c r="O13" i="6"/>
  <c r="AZ8" i="6" l="1"/>
  <c r="AA8" i="6"/>
  <c r="BE8" i="6" s="1"/>
  <c r="AA12" i="6"/>
  <c r="BE12" i="6" s="1"/>
  <c r="O14" i="6"/>
  <c r="E65" i="6" a="1"/>
  <c r="E65" i="6" s="1"/>
  <c r="AW65" i="6" s="1"/>
  <c r="K65" i="6" a="1"/>
  <c r="K65" i="6" s="1"/>
  <c r="AZ65" i="6" s="1"/>
  <c r="I95" i="6" a="1"/>
  <c r="I95" i="6" s="1"/>
  <c r="AY95" i="6" s="1"/>
  <c r="C13" i="6" a="1"/>
  <c r="C13" i="6" s="1"/>
  <c r="E26" i="6" l="1" a="1"/>
  <c r="E26" i="6" s="1"/>
  <c r="AW26" i="6" s="1"/>
  <c r="K79" i="6" a="1"/>
  <c r="K79" i="6" s="1"/>
  <c r="AZ79" i="6" s="1"/>
  <c r="I77" i="6" a="1"/>
  <c r="I77" i="6" s="1"/>
  <c r="AY77" i="6" s="1"/>
  <c r="C14" i="6" a="1"/>
  <c r="C14" i="6" s="1"/>
  <c r="O15" i="6"/>
  <c r="E61" i="6" l="1" a="1"/>
  <c r="E61" i="6" s="1"/>
  <c r="AW61" i="6" s="1"/>
  <c r="I31" i="6" a="1"/>
  <c r="I31" i="6" s="1"/>
  <c r="AY31" i="6" s="1"/>
  <c r="K15" i="6" a="1"/>
  <c r="K15" i="6" s="1"/>
  <c r="AZ15" i="6" s="1"/>
  <c r="C15" i="6" a="1"/>
  <c r="C15" i="6" s="1"/>
  <c r="O16" i="6"/>
  <c r="O17" i="6" s="1"/>
  <c r="AA15" i="6" l="1"/>
  <c r="BE15" i="6" s="1"/>
  <c r="E18" i="6" a="1"/>
  <c r="E18" i="6" s="1"/>
  <c r="AW18" i="6" s="1"/>
  <c r="I29" i="6" a="1"/>
  <c r="I29" i="6" s="1"/>
  <c r="AY29" i="6" s="1"/>
  <c r="K16" i="6" a="1"/>
  <c r="K16" i="6" s="1"/>
  <c r="AZ16" i="6" s="1"/>
  <c r="C17" i="6" a="1"/>
  <c r="C17" i="6" s="1"/>
  <c r="I78" i="6" a="1"/>
  <c r="I78" i="6" s="1"/>
  <c r="AY78" i="6" s="1"/>
  <c r="C16" i="6" a="1"/>
  <c r="C16" i="6" s="1"/>
  <c r="K17" i="6" a="1"/>
  <c r="K17" i="6" s="1"/>
  <c r="AZ17" i="6" s="1"/>
  <c r="E82" i="6" a="1"/>
  <c r="E82" i="6" s="1"/>
  <c r="AW82" i="6" s="1"/>
  <c r="O18" i="6"/>
  <c r="AA16" i="6" l="1"/>
  <c r="BE16" i="6" s="1"/>
  <c r="AA17" i="6"/>
  <c r="BE17" i="6" s="1"/>
  <c r="K27" i="6" a="1"/>
  <c r="K27" i="6" s="1"/>
  <c r="AZ27" i="6" s="1"/>
  <c r="C18" i="6" a="1"/>
  <c r="C18" i="6" s="1"/>
  <c r="E78" i="6" a="1"/>
  <c r="E78" i="6" s="1"/>
  <c r="AW78" i="6" s="1"/>
  <c r="I82" i="6" a="1"/>
  <c r="I82" i="6" s="1"/>
  <c r="AY82" i="6" s="1"/>
  <c r="O19" i="6"/>
  <c r="O20" i="6" s="1"/>
  <c r="X18" i="6" l="1"/>
  <c r="BB18" i="6" s="1"/>
  <c r="O21" i="6"/>
  <c r="O22" i="6" s="1"/>
  <c r="E20" i="6" a="1"/>
  <c r="E20" i="6" s="1"/>
  <c r="AW20" i="6" s="1"/>
  <c r="K21" i="6" a="1"/>
  <c r="K21" i="6" s="1"/>
  <c r="AZ21" i="6" s="1"/>
  <c r="I21" i="6" a="1"/>
  <c r="I21" i="6" s="1"/>
  <c r="AY21" i="6" s="1"/>
  <c r="G21" i="6" a="1"/>
  <c r="G21" i="6" s="1"/>
  <c r="AX21" i="6" s="1"/>
  <c r="C21" i="6" a="1"/>
  <c r="C21" i="6" s="1"/>
  <c r="G20" i="6" a="1"/>
  <c r="G20" i="6" s="1"/>
  <c r="AX20" i="6" s="1"/>
  <c r="I20" i="6" a="1"/>
  <c r="I20" i="6" s="1"/>
  <c r="AY20" i="6" s="1"/>
  <c r="C20" i="6" a="1"/>
  <c r="C20" i="6" s="1"/>
  <c r="E21" i="6" a="1"/>
  <c r="E21" i="6" s="1"/>
  <c r="AW21" i="6" s="1"/>
  <c r="K20" i="6" a="1"/>
  <c r="K20" i="6" s="1"/>
  <c r="AZ20" i="6" s="1"/>
  <c r="E66" i="6" a="1"/>
  <c r="E66" i="6" s="1"/>
  <c r="AW66" i="6" s="1"/>
  <c r="G19" i="6" a="1"/>
  <c r="G19" i="6" s="1"/>
  <c r="AX19" i="6" s="1"/>
  <c r="K19" i="6" a="1"/>
  <c r="K19" i="6" s="1"/>
  <c r="AZ19" i="6" s="1"/>
  <c r="I19" i="6" a="1"/>
  <c r="I19" i="6" s="1"/>
  <c r="AY19" i="6" s="1"/>
  <c r="C19" i="6" a="1"/>
  <c r="C19" i="6" s="1"/>
  <c r="Z19" i="6" l="1"/>
  <c r="BD19" i="6" s="1"/>
  <c r="Y19" i="6"/>
  <c r="BC19" i="6" s="1"/>
  <c r="AA19" i="6"/>
  <c r="BE19" i="6" s="1"/>
  <c r="AA20" i="6"/>
  <c r="BE20" i="6" s="1"/>
  <c r="X20" i="6"/>
  <c r="BB20" i="6" s="1"/>
  <c r="Z20" i="6"/>
  <c r="BD20" i="6" s="1"/>
  <c r="Y20" i="6"/>
  <c r="BC20" i="6" s="1"/>
  <c r="AA21" i="6"/>
  <c r="BE21" i="6" s="1"/>
  <c r="X21" i="6"/>
  <c r="BB21" i="6" s="1"/>
  <c r="Y21" i="6"/>
  <c r="BC21" i="6" s="1"/>
  <c r="Z21" i="6"/>
  <c r="BD21" i="6" s="1"/>
  <c r="K22" i="6" a="1"/>
  <c r="K22" i="6" s="1"/>
  <c r="AZ22" i="6" s="1"/>
  <c r="E72" i="6" a="1"/>
  <c r="E72" i="6" s="1"/>
  <c r="AW72" i="6" s="1"/>
  <c r="C22" i="6" a="1"/>
  <c r="C22" i="6" s="1"/>
  <c r="I84" i="6" a="1"/>
  <c r="I84" i="6" s="1"/>
  <c r="AY84" i="6" s="1"/>
  <c r="O23" i="6"/>
  <c r="AA22" i="6" l="1"/>
  <c r="BE22" i="6" s="1"/>
  <c r="C23" i="6" a="1"/>
  <c r="C23" i="6" s="1"/>
  <c r="K23" i="6" a="1"/>
  <c r="K23" i="6" s="1"/>
  <c r="AZ23" i="6" s="1"/>
  <c r="I86" i="6" a="1"/>
  <c r="I86" i="6" s="1"/>
  <c r="AY86" i="6" s="1"/>
  <c r="E73" i="6" a="1"/>
  <c r="E73" i="6" s="1"/>
  <c r="AW73" i="6" s="1"/>
  <c r="O24" i="6"/>
  <c r="AA23" i="6" l="1"/>
  <c r="BE23" i="6" s="1"/>
  <c r="K24" i="6" a="1"/>
  <c r="K24" i="6" s="1"/>
  <c r="AZ24" i="6" s="1"/>
  <c r="I91" i="6" a="1"/>
  <c r="I91" i="6" s="1"/>
  <c r="AY91" i="6" s="1"/>
  <c r="E68" i="6" a="1"/>
  <c r="E68" i="6" s="1"/>
  <c r="AW68" i="6" s="1"/>
  <c r="C24" i="6" a="1"/>
  <c r="C24" i="6" s="1"/>
  <c r="O25" i="6"/>
  <c r="AA24" i="6" l="1"/>
  <c r="BE24" i="6" s="1"/>
  <c r="C25" i="6" a="1"/>
  <c r="C25" i="6" s="1"/>
  <c r="E79" i="6" a="1"/>
  <c r="E79" i="6" s="1"/>
  <c r="AW79" i="6" s="1"/>
  <c r="I87" i="6" a="1"/>
  <c r="I87" i="6" s="1"/>
  <c r="AY87" i="6" s="1"/>
  <c r="K26" i="6" a="1"/>
  <c r="K26" i="6" s="1"/>
  <c r="AZ26" i="6" s="1"/>
  <c r="O26" i="6"/>
  <c r="I75" i="6" l="1" a="1"/>
  <c r="I75" i="6" s="1"/>
  <c r="AY75" i="6" s="1"/>
  <c r="K25" i="6" a="1"/>
  <c r="K25" i="6" s="1"/>
  <c r="AZ25" i="6" s="1"/>
  <c r="E76" i="6" a="1"/>
  <c r="E76" i="6" s="1"/>
  <c r="AW76" i="6" s="1"/>
  <c r="C26" i="6" a="1"/>
  <c r="C26" i="6" s="1"/>
  <c r="O27" i="6"/>
  <c r="AA25" i="6" l="1"/>
  <c r="BE25" i="6" s="1"/>
  <c r="AA26" i="6"/>
  <c r="BE26" i="6" s="1"/>
  <c r="X26" i="6"/>
  <c r="BB26" i="6" s="1"/>
  <c r="I81" i="6" a="1"/>
  <c r="I81" i="6" s="1"/>
  <c r="AY81" i="6" s="1"/>
  <c r="K18" i="6" a="1"/>
  <c r="K18" i="6" s="1"/>
  <c r="E16" i="6" a="1"/>
  <c r="E16" i="6" s="1"/>
  <c r="C27" i="6" a="1"/>
  <c r="C27" i="6" s="1"/>
  <c r="O28" i="6"/>
  <c r="O29" i="6" s="1"/>
  <c r="AW16" i="6" l="1"/>
  <c r="X16" i="6"/>
  <c r="BB16" i="6" s="1"/>
  <c r="AZ18" i="6"/>
  <c r="AA18" i="6"/>
  <c r="BE18" i="6" s="1"/>
  <c r="AA27" i="6"/>
  <c r="BE27" i="6" s="1"/>
  <c r="G16" i="6" a="1"/>
  <c r="G16" i="6" s="1"/>
  <c r="G29" i="6" a="1"/>
  <c r="G29" i="6" s="1"/>
  <c r="AX29" i="6" s="1"/>
  <c r="K78" i="6" a="1"/>
  <c r="K78" i="6" s="1"/>
  <c r="AZ78" i="6" s="1"/>
  <c r="C29" i="6" a="1"/>
  <c r="C29" i="6" s="1"/>
  <c r="I17" i="6" a="1"/>
  <c r="I17" i="6" s="1"/>
  <c r="E27" i="6" a="1"/>
  <c r="E27" i="6" s="1"/>
  <c r="AW27" i="6" s="1"/>
  <c r="E46" i="6" a="1"/>
  <c r="E46" i="6" s="1"/>
  <c r="AW46" i="6" s="1"/>
  <c r="C28" i="6" a="1"/>
  <c r="C28" i="6" s="1"/>
  <c r="K46" i="6" a="1"/>
  <c r="K46" i="6" s="1"/>
  <c r="AZ46" i="6" s="1"/>
  <c r="I33" i="6" a="1"/>
  <c r="I33" i="6" s="1"/>
  <c r="AY33" i="6" s="1"/>
  <c r="O30" i="6"/>
  <c r="O31" i="6" s="1"/>
  <c r="X27" i="6" l="1"/>
  <c r="BB27" i="6" s="1"/>
  <c r="AY17" i="6"/>
  <c r="Z17" i="6"/>
  <c r="BD17" i="6" s="1"/>
  <c r="AX16" i="6"/>
  <c r="Y16" i="6"/>
  <c r="BC16" i="6" s="1"/>
  <c r="Z29" i="6"/>
  <c r="BD29" i="6" s="1"/>
  <c r="Y29" i="6"/>
  <c r="BC29" i="6" s="1"/>
  <c r="O32" i="6"/>
  <c r="G28" i="6" s="1" a="1"/>
  <c r="G28" i="6" s="1"/>
  <c r="AX28" i="6" s="1"/>
  <c r="E12" i="6" a="1"/>
  <c r="E12" i="6" s="1"/>
  <c r="K47" i="6" a="1"/>
  <c r="K47" i="6" s="1"/>
  <c r="AZ47" i="6" s="1"/>
  <c r="C30" i="6" a="1"/>
  <c r="C30" i="6" s="1"/>
  <c r="I45" i="6" a="1"/>
  <c r="I45" i="6" s="1"/>
  <c r="AY45" i="6" s="1"/>
  <c r="G15" i="6" a="1"/>
  <c r="G15" i="6" s="1"/>
  <c r="I15" i="6" a="1"/>
  <c r="I15" i="6" s="1"/>
  <c r="C31" i="6" a="1"/>
  <c r="C31" i="6" s="1"/>
  <c r="K31" i="6" a="1"/>
  <c r="K31" i="6" s="1"/>
  <c r="AZ31" i="6" s="1"/>
  <c r="G31" i="6" a="1"/>
  <c r="G31" i="6" s="1"/>
  <c r="AX31" i="6" s="1"/>
  <c r="E63" i="6" a="1"/>
  <c r="E63" i="6" s="1"/>
  <c r="AW63" i="6" s="1"/>
  <c r="K33" i="6" a="1"/>
  <c r="K33" i="6" s="1"/>
  <c r="AZ33" i="6" s="1"/>
  <c r="E33" i="6" a="1"/>
  <c r="E33" i="6" s="1"/>
  <c r="AW33" i="6" s="1"/>
  <c r="G32" i="6" a="1"/>
  <c r="G32" i="6" s="1"/>
  <c r="AX32" i="6" s="1"/>
  <c r="C32" i="6" a="1"/>
  <c r="C32" i="6" s="1"/>
  <c r="I46" i="6" a="1"/>
  <c r="I46" i="6" s="1"/>
  <c r="AY46" i="6" s="1"/>
  <c r="Y28" i="6" l="1"/>
  <c r="BC28" i="6" s="1"/>
  <c r="AY15" i="6"/>
  <c r="Z15" i="6"/>
  <c r="BD15" i="6" s="1"/>
  <c r="AX15" i="6"/>
  <c r="Y15" i="6"/>
  <c r="BC15" i="6" s="1"/>
  <c r="AW12" i="6"/>
  <c r="X12" i="6"/>
  <c r="BB12" i="6" s="1"/>
  <c r="Y32" i="6"/>
  <c r="BC32" i="6" s="1"/>
  <c r="AA31" i="6"/>
  <c r="BE31" i="6" s="1"/>
  <c r="Z31" i="6"/>
  <c r="BD31" i="6" s="1"/>
  <c r="Y31" i="6"/>
  <c r="BC31" i="6" s="1"/>
  <c r="O33" i="6"/>
  <c r="O34" i="6" s="1"/>
  <c r="G34" i="6" l="1" a="1"/>
  <c r="G34" i="6" s="1"/>
  <c r="AX34" i="6" s="1"/>
  <c r="C34" i="6" a="1"/>
  <c r="C34" i="6" s="1"/>
  <c r="K34" i="6" a="1"/>
  <c r="K34" i="6" s="1"/>
  <c r="AZ34" i="6" s="1"/>
  <c r="I34" i="6" a="1"/>
  <c r="I34" i="6" s="1"/>
  <c r="AY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O35" i="6"/>
  <c r="AW28" i="6" l="1"/>
  <c r="X28" i="6"/>
  <c r="BB28" i="6" s="1"/>
  <c r="AY28" i="6"/>
  <c r="Z28" i="6"/>
  <c r="BD28" i="6" s="1"/>
  <c r="AZ32" i="6"/>
  <c r="AA32" i="6"/>
  <c r="BE32" i="6" s="1"/>
  <c r="AA33" i="6"/>
  <c r="BE33" i="6" s="1"/>
  <c r="X33" i="6"/>
  <c r="BB33" i="6" s="1"/>
  <c r="Z33" i="6"/>
  <c r="BD33" i="6" s="1"/>
  <c r="AW5" i="6"/>
  <c r="X5" i="6"/>
  <c r="BB5" i="6" s="1"/>
  <c r="AA34" i="6"/>
  <c r="BE34" i="6" s="1"/>
  <c r="Z34" i="6"/>
  <c r="BD34" i="6" s="1"/>
  <c r="X34" i="6"/>
  <c r="BB34" i="6" s="1"/>
  <c r="Y34" i="6"/>
  <c r="BC34" i="6" s="1"/>
  <c r="I35" i="6" a="1"/>
  <c r="I35" i="6" s="1"/>
  <c r="AY35" i="6" s="1"/>
  <c r="E58" i="6" a="1"/>
  <c r="E58" i="6" s="1"/>
  <c r="AW58" i="6" s="1"/>
  <c r="K38" i="6" a="1"/>
  <c r="K38" i="6" s="1"/>
  <c r="AZ38" i="6" s="1"/>
  <c r="C35" i="6" a="1"/>
  <c r="C35" i="6" s="1"/>
  <c r="O36" i="6"/>
  <c r="O37" i="6" s="1"/>
  <c r="Z35" i="6" l="1"/>
  <c r="BD35" i="6" s="1"/>
  <c r="K48" i="6" a="1"/>
  <c r="K48" i="6" s="1"/>
  <c r="AZ48" i="6" s="1"/>
  <c r="I36" i="6" a="1"/>
  <c r="I36" i="6" s="1"/>
  <c r="AY36" i="6" s="1"/>
  <c r="E59" i="6" a="1"/>
  <c r="E59" i="6" s="1"/>
  <c r="AW59" i="6" s="1"/>
  <c r="C36" i="6" a="1"/>
  <c r="C36" i="6" s="1"/>
  <c r="O38" i="6"/>
  <c r="O39" i="6" s="1"/>
  <c r="E39" i="6" a="1"/>
  <c r="E39" i="6" s="1"/>
  <c r="AW39" i="6" s="1"/>
  <c r="I39" i="6" a="1"/>
  <c r="I39" i="6" s="1"/>
  <c r="AY39" i="6" s="1"/>
  <c r="K60" i="6" a="1"/>
  <c r="K60" i="6" s="1"/>
  <c r="AZ60" i="6" s="1"/>
  <c r="C37" i="6" a="1"/>
  <c r="C37" i="6" s="1"/>
  <c r="Z36" i="6" l="1"/>
  <c r="BD36" i="6" s="1"/>
  <c r="I38" i="6" a="1"/>
  <c r="I38" i="6" s="1"/>
  <c r="AY38" i="6" s="1"/>
  <c r="C38" i="6" a="1"/>
  <c r="C38" i="6" s="1"/>
  <c r="K35" i="6" a="1"/>
  <c r="K35" i="6" s="1"/>
  <c r="E57" i="6" a="1"/>
  <c r="E57" i="6" s="1"/>
  <c r="AW57" i="6" s="1"/>
  <c r="G38" i="6" a="1"/>
  <c r="G38" i="6" s="1"/>
  <c r="AX38" i="6" s="1"/>
  <c r="G35" i="6" a="1"/>
  <c r="G35" i="6" s="1"/>
  <c r="O40" i="6"/>
  <c r="K51" i="6" a="1"/>
  <c r="K51" i="6" s="1"/>
  <c r="AZ51" i="6" s="1"/>
  <c r="I37" i="6" a="1"/>
  <c r="I37" i="6" s="1"/>
  <c r="AY37" i="6" s="1"/>
  <c r="E51" i="6" a="1"/>
  <c r="E51" i="6" s="1"/>
  <c r="AW51" i="6" s="1"/>
  <c r="C39" i="6" a="1"/>
  <c r="C39" i="6" s="1"/>
  <c r="AZ35" i="6" l="1"/>
  <c r="AA35" i="6"/>
  <c r="BE35" i="6" s="1"/>
  <c r="AX35" i="6"/>
  <c r="Y35" i="6"/>
  <c r="BC35" i="6" s="1"/>
  <c r="Z37" i="6"/>
  <c r="BD37" i="6" s="1"/>
  <c r="Z39" i="6"/>
  <c r="BD39" i="6" s="1"/>
  <c r="X39" i="6"/>
  <c r="BB39" i="6" s="1"/>
  <c r="AA38" i="6"/>
  <c r="BE38" i="6" s="1"/>
  <c r="Y38" i="6"/>
  <c r="BC38" i="6" s="1"/>
  <c r="Z38" i="6"/>
  <c r="BD38" i="6" s="1"/>
  <c r="I40" i="6" a="1"/>
  <c r="I40" i="6" s="1"/>
  <c r="AY40" i="6" s="1"/>
  <c r="E52" i="6" a="1"/>
  <c r="E52" i="6" s="1"/>
  <c r="AW52" i="6" s="1"/>
  <c r="K56" i="6" a="1"/>
  <c r="K56" i="6" s="1"/>
  <c r="AZ56" i="6" s="1"/>
  <c r="C40" i="6" a="1"/>
  <c r="C40" i="6" s="1"/>
  <c r="O41" i="6"/>
  <c r="Z40" i="6" l="1"/>
  <c r="BD40" i="6" s="1"/>
  <c r="X40" i="6"/>
  <c r="BB40" i="6" s="1"/>
  <c r="I41" i="6" a="1"/>
  <c r="I41" i="6" s="1"/>
  <c r="AY41" i="6" s="1"/>
  <c r="E54" i="6" a="1"/>
  <c r="E54" i="6" s="1"/>
  <c r="AW54" i="6" s="1"/>
  <c r="G41" i="6" a="1"/>
  <c r="G41" i="6" s="1"/>
  <c r="AX41" i="6" s="1"/>
  <c r="K42" i="6" a="1"/>
  <c r="K42" i="6" s="1"/>
  <c r="AZ42" i="6" s="1"/>
  <c r="C41" i="6" a="1"/>
  <c r="C41" i="6" s="1"/>
  <c r="O42" i="6"/>
  <c r="Z41" i="6" l="1"/>
  <c r="BD41" i="6" s="1"/>
  <c r="Y41" i="6"/>
  <c r="BC41" i="6" s="1"/>
  <c r="X41" i="6"/>
  <c r="BB41" i="6" s="1"/>
  <c r="E7" i="6" a="1"/>
  <c r="E7" i="6" s="1"/>
  <c r="K41" i="6" a="1"/>
  <c r="K41" i="6" s="1"/>
  <c r="AZ41" i="6" s="1"/>
  <c r="G42" i="6" a="1"/>
  <c r="G42" i="6" s="1"/>
  <c r="AX42" i="6" s="1"/>
  <c r="I42" i="6" a="1"/>
  <c r="I42" i="6" s="1"/>
  <c r="AY42" i="6" s="1"/>
  <c r="C42" i="6" a="1"/>
  <c r="C42" i="6" s="1"/>
  <c r="O43" i="6"/>
  <c r="AA41" i="6" l="1"/>
  <c r="BE41" i="6" s="1"/>
  <c r="Y42" i="6"/>
  <c r="BC42" i="6" s="1"/>
  <c r="Z42" i="6"/>
  <c r="BD42" i="6" s="1"/>
  <c r="AA42" i="6"/>
  <c r="BE42" i="6" s="1"/>
  <c r="AW7" i="6"/>
  <c r="X7" i="6"/>
  <c r="BB7" i="6" s="1"/>
  <c r="K55" i="6" a="1"/>
  <c r="K55" i="6" s="1"/>
  <c r="AZ55" i="6" s="1"/>
  <c r="E45" i="6" a="1"/>
  <c r="E45" i="6" s="1"/>
  <c r="AW45" i="6" s="1"/>
  <c r="C43" i="6" a="1"/>
  <c r="C43" i="6" s="1"/>
  <c r="G8" i="6" a="1"/>
  <c r="G8" i="6" s="1"/>
  <c r="G43" i="6" a="1"/>
  <c r="G43" i="6" s="1"/>
  <c r="AX43" i="6" s="1"/>
  <c r="I12" i="6" a="1"/>
  <c r="I12" i="6" s="1"/>
  <c r="O44" i="6"/>
  <c r="AY12" i="6" l="1"/>
  <c r="Z12" i="6"/>
  <c r="BD12" i="6" s="1"/>
  <c r="AX8" i="6"/>
  <c r="Y8" i="6"/>
  <c r="BC8" i="6" s="1"/>
  <c r="Y43" i="6"/>
  <c r="BC43" i="6" s="1"/>
  <c r="Z43" i="6"/>
  <c r="BD43" i="6" s="1"/>
  <c r="K45" i="6" a="1"/>
  <c r="K45" i="6" s="1"/>
  <c r="AZ45" i="6" s="1"/>
  <c r="E55" i="6" a="1"/>
  <c r="E55" i="6" s="1"/>
  <c r="AW55" i="6" s="1"/>
  <c r="C44" i="6" a="1"/>
  <c r="C44" i="6" s="1"/>
  <c r="G30" i="6" a="1"/>
  <c r="G30" i="6" s="1"/>
  <c r="G44" i="6" a="1"/>
  <c r="G44" i="6" s="1"/>
  <c r="AX44" i="6" s="1"/>
  <c r="I47" i="6" a="1"/>
  <c r="I47" i="6" s="1"/>
  <c r="AY47" i="6" s="1"/>
  <c r="O45" i="6"/>
  <c r="AX30" i="6" l="1"/>
  <c r="Y30" i="6"/>
  <c r="BC30" i="6" s="1"/>
  <c r="Y44" i="6"/>
  <c r="BC44" i="6" s="1"/>
  <c r="X44" i="6"/>
  <c r="BB44" i="6" s="1"/>
  <c r="K44" i="6" a="1"/>
  <c r="K44" i="6" s="1"/>
  <c r="AZ44" i="6" s="1"/>
  <c r="I30" i="6" a="1"/>
  <c r="I30" i="6" s="1"/>
  <c r="E8" i="6" a="1"/>
  <c r="E8" i="6" s="1"/>
  <c r="C45" i="6" a="1"/>
  <c r="C45" i="6" s="1"/>
  <c r="O46" i="6"/>
  <c r="AY30" i="6" l="1"/>
  <c r="Z30" i="6"/>
  <c r="BD30" i="6" s="1"/>
  <c r="AA44" i="6"/>
  <c r="BE44" i="6" s="1"/>
  <c r="AW8" i="6"/>
  <c r="X8" i="6"/>
  <c r="BB8" i="6" s="1"/>
  <c r="Z45" i="6"/>
  <c r="BD45" i="6" s="1"/>
  <c r="X45" i="6"/>
  <c r="BB45" i="6" s="1"/>
  <c r="AA45" i="6"/>
  <c r="BE45" i="6" s="1"/>
  <c r="I32" i="6" a="1"/>
  <c r="I32" i="6" s="1"/>
  <c r="C46" i="6" a="1"/>
  <c r="C46" i="6" s="1"/>
  <c r="K28" i="6" a="1"/>
  <c r="K28" i="6" s="1"/>
  <c r="G46" i="6" a="1"/>
  <c r="G46" i="6" s="1"/>
  <c r="AX46" i="6" s="1"/>
  <c r="E32" i="6" a="1"/>
  <c r="E32" i="6" s="1"/>
  <c r="G33" i="6" a="1"/>
  <c r="G33" i="6" s="1"/>
  <c r="O47" i="6"/>
  <c r="AZ28" i="6" l="1"/>
  <c r="AA28" i="6"/>
  <c r="BE28" i="6" s="1"/>
  <c r="AY32" i="6"/>
  <c r="Z32" i="6"/>
  <c r="BD32" i="6" s="1"/>
  <c r="AX33" i="6"/>
  <c r="Y33" i="6"/>
  <c r="BC33" i="6" s="1"/>
  <c r="AW32" i="6"/>
  <c r="X32" i="6"/>
  <c r="BB32" i="6" s="1"/>
  <c r="Y46" i="6"/>
  <c r="BC46" i="6" s="1"/>
  <c r="X46" i="6"/>
  <c r="BB46" i="6" s="1"/>
  <c r="AA46" i="6"/>
  <c r="BE46" i="6" s="1"/>
  <c r="Z46" i="6"/>
  <c r="BD46" i="6" s="1"/>
  <c r="E43" i="6" a="1"/>
  <c r="E43" i="6" s="1"/>
  <c r="K30" i="6" a="1"/>
  <c r="K30" i="6" s="1"/>
  <c r="G47" i="6" a="1"/>
  <c r="G47" i="6" s="1"/>
  <c r="AX47" i="6" s="1"/>
  <c r="I44" i="6" a="1"/>
  <c r="I44" i="6" s="1"/>
  <c r="C47" i="6" a="1"/>
  <c r="C47" i="6" s="1"/>
  <c r="O48" i="6"/>
  <c r="G45" i="6" a="1"/>
  <c r="G45" i="6" s="1"/>
  <c r="AY44" i="6" l="1"/>
  <c r="Z44" i="6"/>
  <c r="BD44" i="6" s="1"/>
  <c r="AX45" i="6"/>
  <c r="Y45" i="6"/>
  <c r="BC45" i="6" s="1"/>
  <c r="AZ30" i="6"/>
  <c r="AA30" i="6"/>
  <c r="BE30" i="6" s="1"/>
  <c r="AW43" i="6"/>
  <c r="X43" i="6"/>
  <c r="BB43" i="6" s="1"/>
  <c r="Z47" i="6"/>
  <c r="BD47" i="6" s="1"/>
  <c r="AA47" i="6"/>
  <c r="BE47" i="6" s="1"/>
  <c r="Y47" i="6"/>
  <c r="BC47" i="6" s="1"/>
  <c r="X47" i="6"/>
  <c r="BB47" i="6" s="1"/>
  <c r="I48" i="6" a="1"/>
  <c r="I48" i="6" s="1"/>
  <c r="AY48" i="6" s="1"/>
  <c r="C48" i="6" a="1"/>
  <c r="C48" i="6" s="1"/>
  <c r="K36" i="6" a="1"/>
  <c r="K36" i="6" s="1"/>
  <c r="G48" i="6" a="1"/>
  <c r="G48" i="6" s="1"/>
  <c r="AX48" i="6" s="1"/>
  <c r="E64" i="6" a="1"/>
  <c r="E64" i="6" s="1"/>
  <c r="AW64" i="6" s="1"/>
  <c r="G36" i="6" a="1"/>
  <c r="G36" i="6" s="1"/>
  <c r="O49" i="6"/>
  <c r="AX36" i="6" l="1"/>
  <c r="Y36" i="6"/>
  <c r="BC36" i="6" s="1"/>
  <c r="AZ36" i="6"/>
  <c r="AA36" i="6"/>
  <c r="BE36" i="6" s="1"/>
  <c r="Z48" i="6"/>
  <c r="BD48" i="6" s="1"/>
  <c r="AA48" i="6"/>
  <c r="BE48" i="6" s="1"/>
  <c r="Y48" i="6"/>
  <c r="BC48" i="6" s="1"/>
  <c r="G11" i="6" a="1"/>
  <c r="G11" i="6" s="1"/>
  <c r="E50" i="6" a="1"/>
  <c r="E50" i="6" s="1"/>
  <c r="AW50" i="6" s="1"/>
  <c r="I10" i="6" a="1"/>
  <c r="I10" i="6" s="1"/>
  <c r="C49" i="6" a="1"/>
  <c r="C49" i="6" s="1"/>
  <c r="K50" i="6" a="1"/>
  <c r="K50" i="6" s="1"/>
  <c r="AZ50" i="6" s="1"/>
  <c r="G49" i="6" a="1"/>
  <c r="G49" i="6" s="1"/>
  <c r="AX49" i="6" s="1"/>
  <c r="O50" i="6"/>
  <c r="AY10" i="6" l="1"/>
  <c r="Z10" i="6"/>
  <c r="BD10" i="6" s="1"/>
  <c r="AX11" i="6"/>
  <c r="Y11" i="6"/>
  <c r="BC11" i="6" s="1"/>
  <c r="Z49" i="6"/>
  <c r="BD49" i="6" s="1"/>
  <c r="Y49" i="6"/>
  <c r="BC49" i="6" s="1"/>
  <c r="X49" i="6"/>
  <c r="BB49" i="6" s="1"/>
  <c r="G10" i="6" a="1"/>
  <c r="G10" i="6" s="1"/>
  <c r="I11" i="6" a="1"/>
  <c r="I11" i="6" s="1"/>
  <c r="G50" i="6" a="1"/>
  <c r="G50" i="6" s="1"/>
  <c r="AX50" i="6" s="1"/>
  <c r="K49" i="6" a="1"/>
  <c r="K49" i="6" s="1"/>
  <c r="AZ49" i="6" s="1"/>
  <c r="C50" i="6" a="1"/>
  <c r="C50" i="6" s="1"/>
  <c r="E11" i="6" a="1"/>
  <c r="E11" i="6" s="1"/>
  <c r="O51" i="6"/>
  <c r="AA49" i="6" l="1"/>
  <c r="BE49" i="6" s="1"/>
  <c r="AW11" i="6"/>
  <c r="X11" i="6"/>
  <c r="BB11" i="6" s="1"/>
  <c r="AY11" i="6"/>
  <c r="Z11" i="6"/>
  <c r="BD11" i="6" s="1"/>
  <c r="AX10" i="6"/>
  <c r="Y10" i="6"/>
  <c r="BC10" i="6" s="1"/>
  <c r="AA50" i="6"/>
  <c r="BE50" i="6" s="1"/>
  <c r="Y50" i="6"/>
  <c r="BC50" i="6" s="1"/>
  <c r="Z50" i="6"/>
  <c r="BD50" i="6" s="1"/>
  <c r="X50" i="6"/>
  <c r="BB50" i="6" s="1"/>
  <c r="G51" i="6" a="1"/>
  <c r="G51" i="6" s="1"/>
  <c r="AX51" i="6" s="1"/>
  <c r="K39" i="6" a="1"/>
  <c r="K39" i="6" s="1"/>
  <c r="C51" i="6" a="1"/>
  <c r="C51" i="6" s="1"/>
  <c r="E60" i="6" a="1"/>
  <c r="E60" i="6" s="1"/>
  <c r="AW60" i="6" s="1"/>
  <c r="I60" i="6" a="1"/>
  <c r="I60" i="6" s="1"/>
  <c r="AY60" i="6" s="1"/>
  <c r="G37" i="6" a="1"/>
  <c r="G37" i="6" s="1"/>
  <c r="O52" i="6"/>
  <c r="AX37" i="6" l="1"/>
  <c r="Y37" i="6"/>
  <c r="BC37" i="6" s="1"/>
  <c r="AZ39" i="6"/>
  <c r="AA39" i="6"/>
  <c r="BE39" i="6" s="1"/>
  <c r="AA51" i="6"/>
  <c r="BE51" i="6" s="1"/>
  <c r="X51" i="6"/>
  <c r="BB51" i="6" s="1"/>
  <c r="Y51" i="6"/>
  <c r="BC51" i="6" s="1"/>
  <c r="G52" i="6" a="1"/>
  <c r="G52" i="6" s="1"/>
  <c r="AX52" i="6" s="1"/>
  <c r="K52" i="6" a="1"/>
  <c r="K52" i="6" s="1"/>
  <c r="AZ52" i="6" s="1"/>
  <c r="I6" i="6" a="1"/>
  <c r="I6" i="6" s="1"/>
  <c r="C52" i="6" a="1"/>
  <c r="C52" i="6" s="1"/>
  <c r="E56" i="6" a="1"/>
  <c r="E56" i="6" s="1"/>
  <c r="AW56" i="6" s="1"/>
  <c r="G6" i="6" a="1"/>
  <c r="G6" i="6" s="1"/>
  <c r="O53" i="6"/>
  <c r="AX6" i="6" l="1"/>
  <c r="Y6" i="6"/>
  <c r="BC6" i="6" s="1"/>
  <c r="Z52" i="6"/>
  <c r="BD52" i="6" s="1"/>
  <c r="X52" i="6"/>
  <c r="BB52" i="6" s="1"/>
  <c r="Y52" i="6"/>
  <c r="BC52" i="6" s="1"/>
  <c r="AA52" i="6"/>
  <c r="BE52" i="6" s="1"/>
  <c r="AY6" i="6"/>
  <c r="Z6" i="6"/>
  <c r="BD6" i="6" s="1"/>
  <c r="E53" i="6" a="1"/>
  <c r="E53" i="6" s="1"/>
  <c r="AW53" i="6" s="1"/>
  <c r="C53" i="6" a="1"/>
  <c r="C53" i="6" s="1"/>
  <c r="G53" i="6" a="1"/>
  <c r="G53" i="6" s="1"/>
  <c r="AX53" i="6" s="1"/>
  <c r="I53" i="6" a="1"/>
  <c r="I53" i="6" s="1"/>
  <c r="AY53" i="6" s="1"/>
  <c r="K53" i="6" a="1"/>
  <c r="K53" i="6" s="1"/>
  <c r="AZ53" i="6" s="1"/>
  <c r="O54" i="6"/>
  <c r="Z53" i="6" l="1"/>
  <c r="BD53" i="6" s="1"/>
  <c r="Y53" i="6"/>
  <c r="BC53" i="6" s="1"/>
  <c r="X53" i="6"/>
  <c r="BB53" i="6" s="1"/>
  <c r="AA53" i="6"/>
  <c r="BE53" i="6" s="1"/>
  <c r="E42" i="6" a="1"/>
  <c r="E42" i="6" s="1"/>
  <c r="C54" i="6" a="1"/>
  <c r="C54" i="6" s="1"/>
  <c r="I7" i="6" a="1"/>
  <c r="I7" i="6" s="1"/>
  <c r="G54" i="6" a="1"/>
  <c r="G54" i="6" s="1"/>
  <c r="AX54" i="6" s="1"/>
  <c r="K54" i="6" a="1"/>
  <c r="K54" i="6" s="1"/>
  <c r="AZ54" i="6" s="1"/>
  <c r="G7" i="6" a="1"/>
  <c r="G7" i="6" s="1"/>
  <c r="O55" i="6"/>
  <c r="AW42" i="6" l="1"/>
  <c r="X42" i="6"/>
  <c r="BB42" i="6" s="1"/>
  <c r="AX7" i="6"/>
  <c r="Y7" i="6"/>
  <c r="BC7" i="6" s="1"/>
  <c r="AY7" i="6"/>
  <c r="Z7" i="6"/>
  <c r="BD7" i="6" s="1"/>
  <c r="Y54" i="6"/>
  <c r="BC54" i="6" s="1"/>
  <c r="AA54" i="6"/>
  <c r="BE54" i="6" s="1"/>
  <c r="Z54" i="6"/>
  <c r="BD54" i="6" s="1"/>
  <c r="X54" i="6"/>
  <c r="BB54" i="6" s="1"/>
  <c r="G12" i="6" a="1"/>
  <c r="G12" i="6" s="1"/>
  <c r="G55" i="6" a="1"/>
  <c r="G55" i="6" s="1"/>
  <c r="AX55" i="6" s="1"/>
  <c r="C55" i="6" a="1"/>
  <c r="C55" i="6" s="1"/>
  <c r="E30" i="6" a="1"/>
  <c r="E30" i="6" s="1"/>
  <c r="K43" i="6" a="1"/>
  <c r="K43" i="6" s="1"/>
  <c r="I8" i="6" a="1"/>
  <c r="I8" i="6" s="1"/>
  <c r="O56" i="6"/>
  <c r="AZ43" i="6" l="1"/>
  <c r="AA43" i="6"/>
  <c r="BE43" i="6" s="1"/>
  <c r="AW30" i="6"/>
  <c r="X30" i="6"/>
  <c r="BB30" i="6" s="1"/>
  <c r="AY8" i="6"/>
  <c r="Z8" i="6"/>
  <c r="BD8" i="6" s="1"/>
  <c r="AX12" i="6"/>
  <c r="Y12" i="6"/>
  <c r="BC12" i="6" s="1"/>
  <c r="X55" i="6"/>
  <c r="BB55" i="6" s="1"/>
  <c r="Z55" i="6"/>
  <c r="BD55" i="6" s="1"/>
  <c r="AA55" i="6"/>
  <c r="BE55" i="6" s="1"/>
  <c r="Y55" i="6"/>
  <c r="BC55" i="6" s="1"/>
  <c r="E6" i="6" a="1"/>
  <c r="E6" i="6" s="1"/>
  <c r="I56" i="6" a="1"/>
  <c r="I56" i="6" s="1"/>
  <c r="AY56" i="6" s="1"/>
  <c r="K40" i="6" a="1"/>
  <c r="K40" i="6" s="1"/>
  <c r="C56" i="6" a="1"/>
  <c r="C56" i="6" s="1"/>
  <c r="G40" i="6" a="1"/>
  <c r="G40" i="6" s="1"/>
  <c r="G56" i="6" a="1"/>
  <c r="G56" i="6" s="1"/>
  <c r="AX56" i="6" s="1"/>
  <c r="O57" i="6"/>
  <c r="AX40" i="6" l="1"/>
  <c r="Y40" i="6"/>
  <c r="BC40" i="6" s="1"/>
  <c r="AZ40" i="6"/>
  <c r="AA40" i="6"/>
  <c r="BE40" i="6" s="1"/>
  <c r="Z56" i="6"/>
  <c r="BD56" i="6" s="1"/>
  <c r="X56" i="6"/>
  <c r="BB56" i="6" s="1"/>
  <c r="Y56" i="6"/>
  <c r="BC56" i="6" s="1"/>
  <c r="AA56" i="6"/>
  <c r="BE56" i="6" s="1"/>
  <c r="AW6" i="6"/>
  <c r="X6" i="6"/>
  <c r="BB6" i="6" s="1"/>
  <c r="I58" i="6" a="1"/>
  <c r="I58" i="6" s="1"/>
  <c r="AY58" i="6" s="1"/>
  <c r="G57" i="6" a="1"/>
  <c r="G57" i="6" s="1"/>
  <c r="AX57" i="6" s="1"/>
  <c r="K57" i="6" a="1"/>
  <c r="K57" i="6" s="1"/>
  <c r="AZ57" i="6" s="1"/>
  <c r="C57" i="6" a="1"/>
  <c r="C57" i="6" s="1"/>
  <c r="E35" i="6" a="1"/>
  <c r="E35" i="6" s="1"/>
  <c r="O58" i="6"/>
  <c r="AW35" i="6" l="1"/>
  <c r="X35" i="6"/>
  <c r="BB35" i="6" s="1"/>
  <c r="AA57" i="6"/>
  <c r="BE57" i="6" s="1"/>
  <c r="Y57" i="6"/>
  <c r="BC57" i="6" s="1"/>
  <c r="X57" i="6"/>
  <c r="BB57" i="6" s="1"/>
  <c r="G58" i="6" a="1"/>
  <c r="G58" i="6" s="1"/>
  <c r="AX58" i="6" s="1"/>
  <c r="E38" i="6" a="1"/>
  <c r="E38" i="6" s="1"/>
  <c r="C58" i="6" a="1"/>
  <c r="C58" i="6" s="1"/>
  <c r="I57" i="6" a="1"/>
  <c r="I57" i="6" s="1"/>
  <c r="AY57" i="6" s="1"/>
  <c r="K58" i="6" a="1"/>
  <c r="K58" i="6" s="1"/>
  <c r="AZ58" i="6" s="1"/>
  <c r="O59" i="6"/>
  <c r="Z57" i="6" l="1"/>
  <c r="BD57" i="6" s="1"/>
  <c r="AW38" i="6"/>
  <c r="X38" i="6"/>
  <c r="BB38" i="6" s="1"/>
  <c r="AA58" i="6"/>
  <c r="BE58" i="6" s="1"/>
  <c r="Y58" i="6"/>
  <c r="BC58" i="6" s="1"/>
  <c r="X58" i="6"/>
  <c r="BB58" i="6" s="1"/>
  <c r="Z58" i="6"/>
  <c r="BD58" i="6" s="1"/>
  <c r="C59" i="6" a="1"/>
  <c r="C59" i="6" s="1"/>
  <c r="I64" i="6" a="1"/>
  <c r="I64" i="6" s="1"/>
  <c r="AY64" i="6" s="1"/>
  <c r="K59" i="6" a="1"/>
  <c r="K59" i="6" s="1"/>
  <c r="AZ59" i="6" s="1"/>
  <c r="E48" i="6" a="1"/>
  <c r="E48" i="6" s="1"/>
  <c r="O60" i="6"/>
  <c r="AW48" i="6" l="1"/>
  <c r="X48" i="6"/>
  <c r="BB48" i="6" s="1"/>
  <c r="AA59" i="6"/>
  <c r="BE59" i="6" s="1"/>
  <c r="X59" i="6"/>
  <c r="BB59" i="6" s="1"/>
  <c r="G39" i="6" a="1"/>
  <c r="G39" i="6" s="1"/>
  <c r="K37" i="6" a="1"/>
  <c r="K37" i="6" s="1"/>
  <c r="I51" i="6" a="1"/>
  <c r="I51" i="6" s="1"/>
  <c r="G60" i="6" a="1"/>
  <c r="G60" i="6" s="1"/>
  <c r="AX60" i="6" s="1"/>
  <c r="E37" i="6" a="1"/>
  <c r="E37" i="6" s="1"/>
  <c r="C60" i="6" a="1"/>
  <c r="C60" i="6" s="1"/>
  <c r="O61" i="6"/>
  <c r="AY51" i="6" l="1"/>
  <c r="Z51" i="6"/>
  <c r="BD51" i="6" s="1"/>
  <c r="AZ37" i="6"/>
  <c r="AA37" i="6"/>
  <c r="BE37" i="6" s="1"/>
  <c r="AX39" i="6"/>
  <c r="Y39" i="6"/>
  <c r="BC39" i="6" s="1"/>
  <c r="AW37" i="6"/>
  <c r="X37" i="6"/>
  <c r="BB37" i="6" s="1"/>
  <c r="AA60" i="6"/>
  <c r="BE60" i="6" s="1"/>
  <c r="Y60" i="6"/>
  <c r="BC60" i="6" s="1"/>
  <c r="X60" i="6"/>
  <c r="BB60" i="6" s="1"/>
  <c r="Z60" i="6"/>
  <c r="BD60" i="6" s="1"/>
  <c r="I61" i="6" a="1"/>
  <c r="I61" i="6" s="1"/>
  <c r="AY61" i="6" s="1"/>
  <c r="C61" i="6" a="1"/>
  <c r="C61" i="6" s="1"/>
  <c r="K63" i="6" a="1"/>
  <c r="K63" i="6" s="1"/>
  <c r="AZ63" i="6" s="1"/>
  <c r="E31" i="6" a="1"/>
  <c r="E31" i="6" s="1"/>
  <c r="O62" i="6"/>
  <c r="AW31" i="6" l="1"/>
  <c r="X31" i="6"/>
  <c r="BB31" i="6" s="1"/>
  <c r="Z61" i="6"/>
  <c r="BD61" i="6" s="1"/>
  <c r="X61" i="6"/>
  <c r="BB61" i="6" s="1"/>
  <c r="G62" i="6" a="1"/>
  <c r="G62" i="6" s="1"/>
  <c r="AX62" i="6" s="1"/>
  <c r="I62" i="6" a="1"/>
  <c r="I62" i="6" s="1"/>
  <c r="AY62" i="6" s="1"/>
  <c r="K62" i="6" a="1"/>
  <c r="K62" i="6" s="1"/>
  <c r="AZ62" i="6" s="1"/>
  <c r="C62" i="6" a="1"/>
  <c r="C62" i="6" s="1"/>
  <c r="E94" i="6" a="1"/>
  <c r="E94" i="6" s="1"/>
  <c r="AW94" i="6" s="1"/>
  <c r="O63" i="6"/>
  <c r="Y62" i="6" l="1"/>
  <c r="BC62" i="6" s="1"/>
  <c r="AA62" i="6"/>
  <c r="BE62" i="6" s="1"/>
  <c r="Z62" i="6"/>
  <c r="BD62" i="6" s="1"/>
  <c r="G63" i="6" a="1"/>
  <c r="G63" i="6" s="1"/>
  <c r="AX63" i="6" s="1"/>
  <c r="K61" i="6" a="1"/>
  <c r="K61" i="6" s="1"/>
  <c r="I63" i="6" a="1"/>
  <c r="I63" i="6" s="1"/>
  <c r="AY63" i="6" s="1"/>
  <c r="C63" i="6" a="1"/>
  <c r="C63" i="6" s="1"/>
  <c r="E15" i="6" a="1"/>
  <c r="E15" i="6" s="1"/>
  <c r="O64" i="6"/>
  <c r="G61" i="6" a="1"/>
  <c r="G61" i="6" s="1"/>
  <c r="AX61" i="6" l="1"/>
  <c r="Y61" i="6"/>
  <c r="BC61" i="6" s="1"/>
  <c r="AZ61" i="6"/>
  <c r="AA61" i="6"/>
  <c r="BE61" i="6" s="1"/>
  <c r="AW15" i="6"/>
  <c r="X15" i="6"/>
  <c r="BB15" i="6" s="1"/>
  <c r="AA63" i="6"/>
  <c r="BE63" i="6" s="1"/>
  <c r="Y63" i="6"/>
  <c r="BC63" i="6" s="1"/>
  <c r="Z63" i="6"/>
  <c r="BD63" i="6" s="1"/>
  <c r="X63" i="6"/>
  <c r="BB63" i="6" s="1"/>
  <c r="G64" i="6" a="1"/>
  <c r="G64" i="6" s="1"/>
  <c r="AX64" i="6" s="1"/>
  <c r="I59" i="6" a="1"/>
  <c r="I59" i="6" s="1"/>
  <c r="C64" i="6" a="1"/>
  <c r="C64" i="6" s="1"/>
  <c r="E36" i="6" a="1"/>
  <c r="E36" i="6" s="1"/>
  <c r="K64" i="6" a="1"/>
  <c r="K64" i="6" s="1"/>
  <c r="AZ64" i="6" s="1"/>
  <c r="O65" i="6"/>
  <c r="G59" i="6" a="1"/>
  <c r="G59" i="6" s="1"/>
  <c r="AX59" i="6" l="1"/>
  <c r="Y59" i="6"/>
  <c r="BC59" i="6" s="1"/>
  <c r="AW36" i="6"/>
  <c r="X36" i="6"/>
  <c r="BB36" i="6" s="1"/>
  <c r="AY59" i="6"/>
  <c r="Z59" i="6"/>
  <c r="BD59" i="6" s="1"/>
  <c r="Z64" i="6"/>
  <c r="BD64" i="6" s="1"/>
  <c r="Y64" i="6"/>
  <c r="BC64" i="6" s="1"/>
  <c r="X64" i="6"/>
  <c r="BB64" i="6" s="1"/>
  <c r="AA64" i="6"/>
  <c r="BE64" i="6" s="1"/>
  <c r="K13" i="6" a="1"/>
  <c r="K13" i="6" s="1"/>
  <c r="E93" i="6" a="1"/>
  <c r="E93" i="6" s="1"/>
  <c r="AW93" i="6" s="1"/>
  <c r="I93" i="6" a="1"/>
  <c r="I93" i="6" s="1"/>
  <c r="AY93" i="6" s="1"/>
  <c r="C65" i="6" a="1"/>
  <c r="C65" i="6" s="1"/>
  <c r="O66" i="6"/>
  <c r="AZ13" i="6" l="1"/>
  <c r="AA13" i="6"/>
  <c r="BE13" i="6" s="1"/>
  <c r="AA65" i="6"/>
  <c r="BE65" i="6" s="1"/>
  <c r="X65" i="6"/>
  <c r="BB65" i="6" s="1"/>
  <c r="E19" i="6" a="1"/>
  <c r="E19" i="6" s="1"/>
  <c r="I66" i="6" a="1"/>
  <c r="I66" i="6" s="1"/>
  <c r="AY66" i="6" s="1"/>
  <c r="C66" i="6" a="1"/>
  <c r="C66" i="6" s="1"/>
  <c r="G66" i="6" a="1"/>
  <c r="G66" i="6" s="1"/>
  <c r="AX66" i="6" s="1"/>
  <c r="K66" i="6" a="1"/>
  <c r="K66" i="6" s="1"/>
  <c r="AZ66" i="6" s="1"/>
  <c r="O67" i="6"/>
  <c r="AW19" i="6" l="1"/>
  <c r="X19" i="6"/>
  <c r="BB19" i="6" s="1"/>
  <c r="Y66" i="6"/>
  <c r="BC66" i="6" s="1"/>
  <c r="AA66" i="6"/>
  <c r="BE66" i="6" s="1"/>
  <c r="X66" i="6"/>
  <c r="BB66" i="6" s="1"/>
  <c r="Z66" i="6"/>
  <c r="BD66" i="6" s="1"/>
  <c r="C67" i="6" a="1"/>
  <c r="C67" i="6" s="1"/>
  <c r="E90" i="6" a="1"/>
  <c r="E90" i="6" s="1"/>
  <c r="AW90" i="6" s="1"/>
  <c r="K70" i="6" a="1"/>
  <c r="K70" i="6" s="1"/>
  <c r="AZ70" i="6" s="1"/>
  <c r="I67" i="6" a="1"/>
  <c r="I67" i="6" s="1"/>
  <c r="AY67" i="6" s="1"/>
  <c r="O68" i="6"/>
  <c r="Z67" i="6" l="1"/>
  <c r="BD67" i="6" s="1"/>
  <c r="I68" i="6" a="1"/>
  <c r="I68" i="6" s="1"/>
  <c r="AY68" i="6" s="1"/>
  <c r="C68" i="6" a="1"/>
  <c r="C68" i="6" s="1"/>
  <c r="E91" i="6" a="1"/>
  <c r="E91" i="6" s="1"/>
  <c r="AW91" i="6" s="1"/>
  <c r="K80" i="6" a="1"/>
  <c r="K80" i="6" s="1"/>
  <c r="AZ80" i="6" s="1"/>
  <c r="O69" i="6"/>
  <c r="Z68" i="6" l="1"/>
  <c r="BD68" i="6" s="1"/>
  <c r="X68" i="6"/>
  <c r="BB68" i="6" s="1"/>
  <c r="E71" i="6" a="1"/>
  <c r="E71" i="6" s="1"/>
  <c r="AW71" i="6" s="1"/>
  <c r="I71" i="6" a="1"/>
  <c r="I71" i="6" s="1"/>
  <c r="AY71" i="6" s="1"/>
  <c r="C69" i="6" a="1"/>
  <c r="C69" i="6" s="1"/>
  <c r="K92" i="6" a="1"/>
  <c r="K92" i="6" s="1"/>
  <c r="AZ92" i="6" s="1"/>
  <c r="O70" i="6"/>
  <c r="E89" i="6" l="1" a="1"/>
  <c r="E89" i="6" s="1"/>
  <c r="AW89" i="6" s="1"/>
  <c r="C70" i="6" a="1"/>
  <c r="C70" i="6" s="1"/>
  <c r="G70" i="6" a="1"/>
  <c r="G70" i="6" s="1"/>
  <c r="AX70" i="6" s="1"/>
  <c r="I70" i="6" a="1"/>
  <c r="I70" i="6" s="1"/>
  <c r="AY70" i="6" s="1"/>
  <c r="K67" i="6" a="1"/>
  <c r="K67" i="6" s="1"/>
  <c r="O71" i="6"/>
  <c r="G67" i="6" a="1"/>
  <c r="G67" i="6" s="1"/>
  <c r="AX67" i="6" l="1"/>
  <c r="Y67" i="6"/>
  <c r="BC67" i="6" s="1"/>
  <c r="AZ67" i="6"/>
  <c r="AA67" i="6"/>
  <c r="BE67" i="6" s="1"/>
  <c r="AA70" i="6"/>
  <c r="BE70" i="6" s="1"/>
  <c r="Z70" i="6"/>
  <c r="BD70" i="6" s="1"/>
  <c r="Y70" i="6"/>
  <c r="BC70" i="6" s="1"/>
  <c r="K83" i="6" a="1"/>
  <c r="K83" i="6" s="1"/>
  <c r="AZ83" i="6" s="1"/>
  <c r="C71" i="6" a="1"/>
  <c r="C71" i="6" s="1"/>
  <c r="E83" i="6" a="1"/>
  <c r="E83" i="6" s="1"/>
  <c r="AW83" i="6" s="1"/>
  <c r="I69" i="6" a="1"/>
  <c r="I69" i="6" s="1"/>
  <c r="O72" i="6"/>
  <c r="AY69" i="6" l="1"/>
  <c r="Z69" i="6"/>
  <c r="BD69" i="6" s="1"/>
  <c r="Z71" i="6"/>
  <c r="BD71" i="6" s="1"/>
  <c r="X71" i="6"/>
  <c r="BB71" i="6" s="1"/>
  <c r="C72" i="6" a="1"/>
  <c r="C72" i="6" s="1"/>
  <c r="I72" i="6" a="1"/>
  <c r="I72" i="6" s="1"/>
  <c r="AY72" i="6" s="1"/>
  <c r="K88" i="6" a="1"/>
  <c r="K88" i="6" s="1"/>
  <c r="AZ88" i="6" s="1"/>
  <c r="E84" i="6" a="1"/>
  <c r="E84" i="6" s="1"/>
  <c r="AW84" i="6" s="1"/>
  <c r="O73" i="6"/>
  <c r="Z72" i="6" l="1"/>
  <c r="BD72" i="6" s="1"/>
  <c r="X72" i="6"/>
  <c r="BB72" i="6" s="1"/>
  <c r="I73" i="6" a="1"/>
  <c r="I73" i="6" s="1"/>
  <c r="AY73" i="6" s="1"/>
  <c r="C73" i="6" a="1"/>
  <c r="C73" i="6" s="1"/>
  <c r="G73" i="6" a="1"/>
  <c r="G73" i="6" s="1"/>
  <c r="AX73" i="6" s="1"/>
  <c r="E86" i="6" a="1"/>
  <c r="E86" i="6" s="1"/>
  <c r="AW86" i="6" s="1"/>
  <c r="K74" i="6" a="1"/>
  <c r="K74" i="6" s="1"/>
  <c r="AZ74" i="6" s="1"/>
  <c r="O74" i="6"/>
  <c r="Y73" i="6" l="1"/>
  <c r="BC73" i="6" s="1"/>
  <c r="X73" i="6"/>
  <c r="BB73" i="6" s="1"/>
  <c r="Z73" i="6"/>
  <c r="BD73" i="6" s="1"/>
  <c r="O75" i="6"/>
  <c r="G74" i="6" a="1"/>
  <c r="G74" i="6" s="1"/>
  <c r="AX74" i="6" s="1"/>
  <c r="K73" i="6" a="1"/>
  <c r="K73" i="6" s="1"/>
  <c r="AZ73" i="6" s="1"/>
  <c r="E23" i="6" a="1"/>
  <c r="E23" i="6" s="1"/>
  <c r="C74" i="6" a="1"/>
  <c r="C74" i="6" s="1"/>
  <c r="I74" i="6" a="1"/>
  <c r="I74" i="6" s="1"/>
  <c r="AY74" i="6" s="1"/>
  <c r="AA73" i="6" l="1"/>
  <c r="BE73" i="6" s="1"/>
  <c r="AW23" i="6"/>
  <c r="X23" i="6"/>
  <c r="BB23" i="6" s="1"/>
  <c r="Y74" i="6"/>
  <c r="BC74" i="6" s="1"/>
  <c r="AA74" i="6"/>
  <c r="BE74" i="6" s="1"/>
  <c r="Z74" i="6"/>
  <c r="BD74" i="6" s="1"/>
  <c r="G25" i="6" a="1"/>
  <c r="G25" i="6" s="1"/>
  <c r="E77" i="6" a="1"/>
  <c r="E77" i="6" s="1"/>
  <c r="AW77" i="6" s="1"/>
  <c r="I26" i="6" a="1"/>
  <c r="I26" i="6" s="1"/>
  <c r="K87" i="6" a="1"/>
  <c r="K87" i="6" s="1"/>
  <c r="AZ87" i="6" s="1"/>
  <c r="G75" i="6" a="1"/>
  <c r="G75" i="6" s="1"/>
  <c r="AX75" i="6" s="1"/>
  <c r="C75" i="6" a="1"/>
  <c r="C75" i="6" s="1"/>
  <c r="O76" i="6"/>
  <c r="AY26" i="6" l="1"/>
  <c r="Z26" i="6"/>
  <c r="BD26" i="6" s="1"/>
  <c r="AX25" i="6"/>
  <c r="Y25" i="6"/>
  <c r="BC25" i="6" s="1"/>
  <c r="Z75" i="6"/>
  <c r="BD75" i="6" s="1"/>
  <c r="Y75" i="6"/>
  <c r="BC75" i="6" s="1"/>
  <c r="G14" i="6" a="1"/>
  <c r="G14" i="6" s="1"/>
  <c r="G76" i="6" a="1"/>
  <c r="G76" i="6" s="1"/>
  <c r="AX76" i="6" s="1"/>
  <c r="I79" i="6" a="1"/>
  <c r="I79" i="6" s="1"/>
  <c r="AY79" i="6" s="1"/>
  <c r="E87" i="6" a="1"/>
  <c r="E87" i="6" s="1"/>
  <c r="AW87" i="6" s="1"/>
  <c r="C76" i="6" a="1"/>
  <c r="C76" i="6" s="1"/>
  <c r="K77" i="6" a="1"/>
  <c r="K77" i="6" s="1"/>
  <c r="AZ77" i="6" s="1"/>
  <c r="O77" i="6"/>
  <c r="AX14" i="6" l="1"/>
  <c r="Y14" i="6"/>
  <c r="BC14" i="6" s="1"/>
  <c r="X76" i="6"/>
  <c r="BB76" i="6" s="1"/>
  <c r="Y76" i="6"/>
  <c r="BC76" i="6" s="1"/>
  <c r="I14" i="6" a="1"/>
  <c r="I14" i="6" s="1"/>
  <c r="E25" i="6" a="1"/>
  <c r="E25" i="6" s="1"/>
  <c r="K76" i="6" a="1"/>
  <c r="K76" i="6" s="1"/>
  <c r="AZ76" i="6" s="1"/>
  <c r="C77" i="6" a="1"/>
  <c r="C77" i="6" s="1"/>
  <c r="O78" i="6"/>
  <c r="AA76" i="6" l="1"/>
  <c r="BE76" i="6" s="1"/>
  <c r="AW25" i="6"/>
  <c r="X25" i="6"/>
  <c r="BB25" i="6" s="1"/>
  <c r="AY14" i="6"/>
  <c r="Z14" i="6"/>
  <c r="BD14" i="6" s="1"/>
  <c r="X77" i="6"/>
  <c r="BB77" i="6" s="1"/>
  <c r="AA77" i="6"/>
  <c r="BE77" i="6" s="1"/>
  <c r="Z77" i="6"/>
  <c r="BD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AW81" i="6" s="1"/>
  <c r="G78" i="6" a="1"/>
  <c r="G78" i="6" s="1"/>
  <c r="AX78" i="6" s="1"/>
  <c r="O79" i="6"/>
  <c r="AZ29" i="6" l="1"/>
  <c r="AA29" i="6"/>
  <c r="BE29" i="6" s="1"/>
  <c r="AY16" i="6"/>
  <c r="Z16" i="6"/>
  <c r="BD16" i="6" s="1"/>
  <c r="AX17" i="6"/>
  <c r="Y17" i="6"/>
  <c r="BC17" i="6" s="1"/>
  <c r="X78" i="6"/>
  <c r="BB78" i="6" s="1"/>
  <c r="Y78" i="6"/>
  <c r="BC78" i="6" s="1"/>
  <c r="AA78" i="6"/>
  <c r="BE78" i="6" s="1"/>
  <c r="Z78" i="6"/>
  <c r="BD78" i="6" s="1"/>
  <c r="G77" i="6" a="1"/>
  <c r="G77" i="6" s="1"/>
  <c r="I76" i="6" a="1"/>
  <c r="I76" i="6" s="1"/>
  <c r="G79" i="6" a="1"/>
  <c r="G79" i="6" s="1"/>
  <c r="AX79" i="6" s="1"/>
  <c r="E75" i="6" a="1"/>
  <c r="E75" i="6" s="1"/>
  <c r="C79" i="6" a="1"/>
  <c r="C79" i="6" s="1"/>
  <c r="K14" i="6" a="1"/>
  <c r="K14" i="6" s="1"/>
  <c r="O80" i="6"/>
  <c r="AY76" i="6" l="1"/>
  <c r="Z76" i="6"/>
  <c r="BD76" i="6" s="1"/>
  <c r="AX77" i="6"/>
  <c r="Y77" i="6"/>
  <c r="BC77" i="6" s="1"/>
  <c r="AW75" i="6"/>
  <c r="X75" i="6"/>
  <c r="BB75" i="6" s="1"/>
  <c r="AZ14" i="6"/>
  <c r="AA14" i="6"/>
  <c r="BE14" i="6" s="1"/>
  <c r="Y79" i="6"/>
  <c r="BC79" i="6" s="1"/>
  <c r="AA79" i="6"/>
  <c r="BE79" i="6" s="1"/>
  <c r="X79" i="6"/>
  <c r="BB79" i="6" s="1"/>
  <c r="Z79" i="6"/>
  <c r="BD79" i="6" s="1"/>
  <c r="G80" i="6" a="1"/>
  <c r="G80" i="6" s="1"/>
  <c r="AX80" i="6" s="1"/>
  <c r="K68" i="6" a="1"/>
  <c r="K68" i="6" s="1"/>
  <c r="I80" i="6" a="1"/>
  <c r="I80" i="6" s="1"/>
  <c r="AY80" i="6" s="1"/>
  <c r="E24" i="6" a="1"/>
  <c r="E24" i="6" s="1"/>
  <c r="C80" i="6" a="1"/>
  <c r="C80" i="6" s="1"/>
  <c r="O81" i="6"/>
  <c r="G68" i="6" a="1"/>
  <c r="G68" i="6" s="1"/>
  <c r="AX68" i="6" l="1"/>
  <c r="Y68" i="6"/>
  <c r="BC68" i="6" s="1"/>
  <c r="AZ68" i="6"/>
  <c r="AA68" i="6"/>
  <c r="BE68" i="6" s="1"/>
  <c r="AW24" i="6"/>
  <c r="X24" i="6"/>
  <c r="BB24" i="6" s="1"/>
  <c r="AA80" i="6"/>
  <c r="BE80" i="6" s="1"/>
  <c r="Y80" i="6"/>
  <c r="BC80" i="6" s="1"/>
  <c r="Z80" i="6"/>
  <c r="BD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AX81" i="6" s="1"/>
  <c r="K82" i="6" a="1"/>
  <c r="K82" i="6" s="1"/>
  <c r="AZ82" i="6" s="1"/>
  <c r="O82" i="6"/>
  <c r="AY27" i="6" l="1"/>
  <c r="Z27" i="6"/>
  <c r="BD27" i="6" s="1"/>
  <c r="AW17" i="6"/>
  <c r="X17" i="6"/>
  <c r="BB17" i="6" s="1"/>
  <c r="AX18" i="6"/>
  <c r="Y18" i="6"/>
  <c r="BC18" i="6" s="1"/>
  <c r="Z81" i="6"/>
  <c r="BD81" i="6" s="1"/>
  <c r="X81" i="6"/>
  <c r="BB81" i="6" s="1"/>
  <c r="Y81" i="6"/>
  <c r="BC81" i="6" s="1"/>
  <c r="G27" i="6" a="1"/>
  <c r="G27" i="6" s="1"/>
  <c r="E29" i="6" a="1"/>
  <c r="E29" i="6" s="1"/>
  <c r="K81" i="6" a="1"/>
  <c r="K81" i="6" s="1"/>
  <c r="AZ81" i="6" s="1"/>
  <c r="I18" i="6" a="1"/>
  <c r="I18" i="6" s="1"/>
  <c r="G82" i="6" a="1"/>
  <c r="G82" i="6" s="1"/>
  <c r="AX82" i="6" s="1"/>
  <c r="C82" i="6" a="1"/>
  <c r="C82" i="6" s="1"/>
  <c r="O83" i="6"/>
  <c r="AA81" i="6" l="1"/>
  <c r="BE81" i="6" s="1"/>
  <c r="AW29" i="6"/>
  <c r="X29" i="6"/>
  <c r="BB29" i="6" s="1"/>
  <c r="AX27" i="6"/>
  <c r="Y27" i="6"/>
  <c r="BC27" i="6" s="1"/>
  <c r="AY18" i="6"/>
  <c r="Z18" i="6"/>
  <c r="BD18" i="6" s="1"/>
  <c r="Z82" i="6"/>
  <c r="BD82" i="6" s="1"/>
  <c r="AA82" i="6"/>
  <c r="BE82" i="6" s="1"/>
  <c r="Y82" i="6"/>
  <c r="BC82" i="6" s="1"/>
  <c r="X82" i="6"/>
  <c r="BB82" i="6" s="1"/>
  <c r="G69" i="6" a="1"/>
  <c r="G69" i="6" s="1"/>
  <c r="K71" i="6" a="1"/>
  <c r="K71" i="6" s="1"/>
  <c r="I92" i="6" a="1"/>
  <c r="I92" i="6" s="1"/>
  <c r="AY92" i="6" s="1"/>
  <c r="G83" i="6" a="1"/>
  <c r="G83" i="6" s="1"/>
  <c r="AX83" i="6" s="1"/>
  <c r="E92" i="6" a="1"/>
  <c r="E92" i="6" s="1"/>
  <c r="AW92" i="6" s="1"/>
  <c r="C83" i="6" a="1"/>
  <c r="C83" i="6" s="1"/>
  <c r="O84" i="6"/>
  <c r="AZ71" i="6" l="1"/>
  <c r="AA71" i="6"/>
  <c r="BE71" i="6" s="1"/>
  <c r="AX69" i="6"/>
  <c r="Y69" i="6"/>
  <c r="BC69" i="6" s="1"/>
  <c r="X83" i="6"/>
  <c r="BB83" i="6" s="1"/>
  <c r="AA83" i="6"/>
  <c r="BE83" i="6" s="1"/>
  <c r="Y83" i="6"/>
  <c r="BC83" i="6" s="1"/>
  <c r="G22" i="6" a="1"/>
  <c r="G22" i="6" s="1"/>
  <c r="G84" i="6" a="1"/>
  <c r="G84" i="6" s="1"/>
  <c r="AX84" i="6" s="1"/>
  <c r="K84" i="6" a="1"/>
  <c r="K84" i="6" s="1"/>
  <c r="AZ84" i="6" s="1"/>
  <c r="E88" i="6" a="1"/>
  <c r="E88" i="6" s="1"/>
  <c r="AW88" i="6" s="1"/>
  <c r="I22" i="6" a="1"/>
  <c r="I22" i="6" s="1"/>
  <c r="C84" i="6" a="1"/>
  <c r="C84" i="6" s="1"/>
  <c r="O85" i="6"/>
  <c r="AY22" i="6" l="1"/>
  <c r="Z22" i="6"/>
  <c r="BD22" i="6" s="1"/>
  <c r="AX22" i="6"/>
  <c r="Y22" i="6"/>
  <c r="BC22" i="6" s="1"/>
  <c r="AA84" i="6"/>
  <c r="BE84" i="6" s="1"/>
  <c r="Z84" i="6"/>
  <c r="BD84" i="6" s="1"/>
  <c r="X84" i="6"/>
  <c r="BB84" i="6" s="1"/>
  <c r="Y84" i="6"/>
  <c r="BC84" i="6" s="1"/>
  <c r="C85" i="6" a="1"/>
  <c r="C85" i="6" s="1"/>
  <c r="K85" i="6" a="1"/>
  <c r="K85" i="6" s="1"/>
  <c r="AZ85" i="6" s="1"/>
  <c r="G85" i="6" a="1"/>
  <c r="G85" i="6" s="1"/>
  <c r="AX85" i="6" s="1"/>
  <c r="E85" i="6" a="1"/>
  <c r="E85" i="6" s="1"/>
  <c r="AW85" i="6" s="1"/>
  <c r="I85" i="6" a="1"/>
  <c r="I85" i="6" s="1"/>
  <c r="AY85" i="6" s="1"/>
  <c r="O86" i="6"/>
  <c r="AA85" i="6" l="1"/>
  <c r="BE85" i="6" s="1"/>
  <c r="X85" i="6"/>
  <c r="BB85" i="6" s="1"/>
  <c r="Y85" i="6"/>
  <c r="BC85" i="6" s="1"/>
  <c r="Z85" i="6"/>
  <c r="BD85" i="6" s="1"/>
  <c r="G23" i="6" a="1"/>
  <c r="G23" i="6" s="1"/>
  <c r="G86" i="6" a="1"/>
  <c r="G86" i="6" s="1"/>
  <c r="AX86" i="6" s="1"/>
  <c r="K86" i="6" a="1"/>
  <c r="K86" i="6" s="1"/>
  <c r="AZ86" i="6" s="1"/>
  <c r="C86" i="6" a="1"/>
  <c r="C86" i="6" s="1"/>
  <c r="I23" i="6" a="1"/>
  <c r="I23" i="6" s="1"/>
  <c r="E74" i="6" a="1"/>
  <c r="E74" i="6" s="1"/>
  <c r="O87" i="6"/>
  <c r="AW74" i="6" l="1"/>
  <c r="X74" i="6"/>
  <c r="BB74" i="6" s="1"/>
  <c r="AY23" i="6"/>
  <c r="Z23" i="6"/>
  <c r="BD23" i="6" s="1"/>
  <c r="AX23" i="6"/>
  <c r="Y23" i="6"/>
  <c r="BC23" i="6" s="1"/>
  <c r="Z86" i="6"/>
  <c r="BD86" i="6" s="1"/>
  <c r="Y86" i="6"/>
  <c r="BC86" i="6" s="1"/>
  <c r="X86" i="6"/>
  <c r="BB86" i="6" s="1"/>
  <c r="AA86" i="6"/>
  <c r="BE86" i="6" s="1"/>
  <c r="G26" i="6" a="1"/>
  <c r="G26" i="6" s="1"/>
  <c r="I25" i="6" a="1"/>
  <c r="I25" i="6" s="1"/>
  <c r="K75" i="6" a="1"/>
  <c r="K75" i="6" s="1"/>
  <c r="G87" i="6" a="1"/>
  <c r="G87" i="6" s="1"/>
  <c r="AX87" i="6" s="1"/>
  <c r="E14" i="6" a="1"/>
  <c r="E14" i="6" s="1"/>
  <c r="C87" i="6" a="1"/>
  <c r="C87" i="6" s="1"/>
  <c r="O88" i="6"/>
  <c r="G72" i="6" s="1" a="1"/>
  <c r="G72" i="6" s="1"/>
  <c r="AZ75" i="6" l="1"/>
  <c r="AA75" i="6"/>
  <c r="BE75" i="6" s="1"/>
  <c r="AX72" i="6"/>
  <c r="Y72" i="6"/>
  <c r="BC72" i="6" s="1"/>
  <c r="AY25" i="6"/>
  <c r="Z25" i="6"/>
  <c r="BD25" i="6" s="1"/>
  <c r="AX26" i="6"/>
  <c r="Y26" i="6"/>
  <c r="BC26" i="6" s="1"/>
  <c r="AW14" i="6"/>
  <c r="X14" i="6"/>
  <c r="BB14" i="6" s="1"/>
  <c r="AA87" i="6"/>
  <c r="BE87" i="6" s="1"/>
  <c r="X87" i="6"/>
  <c r="BB87" i="6" s="1"/>
  <c r="Z87" i="6"/>
  <c r="BD87" i="6" s="1"/>
  <c r="Y87" i="6"/>
  <c r="BC87" i="6" s="1"/>
  <c r="K72" i="6" a="1"/>
  <c r="K72" i="6" s="1"/>
  <c r="G88" i="6" a="1"/>
  <c r="G88" i="6" s="1"/>
  <c r="C88" i="6" a="1"/>
  <c r="C88" i="6" s="1"/>
  <c r="I88" i="6" a="1"/>
  <c r="I88" i="6" s="1"/>
  <c r="AY88" i="6" s="1"/>
  <c r="E22" i="6" a="1"/>
  <c r="E22" i="6" s="1"/>
  <c r="O89" i="6"/>
  <c r="AZ72" i="6" l="1"/>
  <c r="AA72" i="6"/>
  <c r="BE72" i="6" s="1"/>
  <c r="AW22" i="6"/>
  <c r="X22" i="6"/>
  <c r="BB22" i="6" s="1"/>
  <c r="AA88" i="6"/>
  <c r="BE88" i="6" s="1"/>
  <c r="Z88" i="6"/>
  <c r="BD88" i="6" s="1"/>
  <c r="Y88" i="6"/>
  <c r="BC88" i="6" s="1"/>
  <c r="X88" i="6"/>
  <c r="BB88" i="6" s="1"/>
  <c r="AX88" i="6"/>
  <c r="K89" i="6" a="1"/>
  <c r="K89" i="6" s="1"/>
  <c r="AZ89" i="6" s="1"/>
  <c r="I90" i="6" a="1"/>
  <c r="I90" i="6" s="1"/>
  <c r="AY90" i="6" s="1"/>
  <c r="E67" i="6" a="1"/>
  <c r="E67" i="6" s="1"/>
  <c r="G89" i="6" a="1"/>
  <c r="G89" i="6" s="1"/>
  <c r="C89" i="6" a="1"/>
  <c r="C89" i="6" s="1"/>
  <c r="O90" i="6"/>
  <c r="AW67" i="6" l="1"/>
  <c r="X67" i="6"/>
  <c r="BB67" i="6" s="1"/>
  <c r="X89" i="6"/>
  <c r="BB89" i="6" s="1"/>
  <c r="AA89" i="6"/>
  <c r="BE89" i="6" s="1"/>
  <c r="Y89" i="6"/>
  <c r="BC89" i="6" s="1"/>
  <c r="AX89" i="6"/>
  <c r="K90" i="6" a="1"/>
  <c r="K90" i="6" s="1"/>
  <c r="AZ90" i="6" s="1"/>
  <c r="C90" i="6" a="1"/>
  <c r="C90" i="6" s="1"/>
  <c r="E70" i="6" a="1"/>
  <c r="E70" i="6" s="1"/>
  <c r="G90" i="6" a="1"/>
  <c r="G90" i="6" s="1"/>
  <c r="I89" i="6" a="1"/>
  <c r="I89" i="6" s="1"/>
  <c r="AY89" i="6" s="1"/>
  <c r="O91" i="6"/>
  <c r="Z89" i="6" l="1"/>
  <c r="BD89" i="6" s="1"/>
  <c r="AW70" i="6"/>
  <c r="X70" i="6"/>
  <c r="BB70" i="6" s="1"/>
  <c r="Z90" i="6"/>
  <c r="BD90" i="6" s="1"/>
  <c r="AA90" i="6"/>
  <c r="BE90" i="6" s="1"/>
  <c r="Y90" i="6"/>
  <c r="BC90" i="6" s="1"/>
  <c r="X90" i="6"/>
  <c r="BB90" i="6" s="1"/>
  <c r="AX90" i="6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AZ91" i="6" s="1"/>
  <c r="C91" i="6" a="1"/>
  <c r="C91" i="6" s="1"/>
  <c r="O92" i="6"/>
  <c r="G71" i="6" s="1" a="1"/>
  <c r="G71" i="6" s="1"/>
  <c r="AW80" i="6" l="1"/>
  <c r="X80" i="6"/>
  <c r="BB80" i="6" s="1"/>
  <c r="AX71" i="6"/>
  <c r="Y71" i="6"/>
  <c r="BC71" i="6" s="1"/>
  <c r="AY24" i="6"/>
  <c r="Z24" i="6"/>
  <c r="BD24" i="6" s="1"/>
  <c r="AX24" i="6"/>
  <c r="Y24" i="6"/>
  <c r="BC24" i="6" s="1"/>
  <c r="Z91" i="6"/>
  <c r="BD91" i="6" s="1"/>
  <c r="Y91" i="6"/>
  <c r="BC91" i="6" s="1"/>
  <c r="X91" i="6"/>
  <c r="BB91" i="6" s="1"/>
  <c r="AA91" i="6"/>
  <c r="BE91" i="6" s="1"/>
  <c r="AX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O93" i="6"/>
  <c r="AY83" i="6" l="1"/>
  <c r="Z83" i="6"/>
  <c r="BD83" i="6" s="1"/>
  <c r="AZ69" i="6"/>
  <c r="AA69" i="6"/>
  <c r="BE69" i="6" s="1"/>
  <c r="AW69" i="6"/>
  <c r="X69" i="6"/>
  <c r="BB69" i="6" s="1"/>
  <c r="X92" i="6"/>
  <c r="BB92" i="6" s="1"/>
  <c r="Y92" i="6"/>
  <c r="BC92" i="6" s="1"/>
  <c r="Z92" i="6"/>
  <c r="BD92" i="6" s="1"/>
  <c r="AA92" i="6"/>
  <c r="BE92" i="6" s="1"/>
  <c r="AX92" i="6"/>
  <c r="G13" i="6" a="1"/>
  <c r="G13" i="6" s="1"/>
  <c r="I65" i="6" a="1"/>
  <c r="I65" i="6" s="1"/>
  <c r="K95" i="6" a="1"/>
  <c r="K95" i="6" s="1"/>
  <c r="AZ95" i="6" s="1"/>
  <c r="E95" i="6" a="1"/>
  <c r="E95" i="6" s="1"/>
  <c r="AW95" i="6" s="1"/>
  <c r="G93" i="6" a="1"/>
  <c r="G93" i="6" s="1"/>
  <c r="C93" i="6" a="1"/>
  <c r="C93" i="6" s="1"/>
  <c r="O94" i="6"/>
  <c r="AY65" i="6" l="1"/>
  <c r="Z65" i="6"/>
  <c r="BD65" i="6" s="1"/>
  <c r="AX13" i="6"/>
  <c r="Y13" i="6"/>
  <c r="BC13" i="6" s="1"/>
  <c r="Y93" i="6"/>
  <c r="BC93" i="6" s="1"/>
  <c r="Z93" i="6"/>
  <c r="BD93" i="6" s="1"/>
  <c r="X93" i="6"/>
  <c r="BB93" i="6" s="1"/>
  <c r="AX93" i="6"/>
  <c r="I94" i="6" a="1"/>
  <c r="I94" i="6" s="1"/>
  <c r="AY94" i="6" s="1"/>
  <c r="E62" i="6" a="1"/>
  <c r="E62" i="6" s="1"/>
  <c r="C94" i="6" a="1"/>
  <c r="C94" i="6" s="1"/>
  <c r="K94" i="6" a="1"/>
  <c r="K94" i="6" s="1"/>
  <c r="AZ94" i="6" s="1"/>
  <c r="G94" i="6" a="1"/>
  <c r="G94" i="6" s="1"/>
  <c r="O95" i="6"/>
  <c r="AW62" i="6" l="1"/>
  <c r="X62" i="6"/>
  <c r="BB62" i="6" s="1"/>
  <c r="AA94" i="6"/>
  <c r="BE94" i="6" s="1"/>
  <c r="Z94" i="6"/>
  <c r="BD94" i="6" s="1"/>
  <c r="Y94" i="6"/>
  <c r="BC94" i="6" s="1"/>
  <c r="X94" i="6"/>
  <c r="BB94" i="6" s="1"/>
  <c r="AX94" i="6"/>
  <c r="E13" i="6" a="1"/>
  <c r="E13" i="6" s="1"/>
  <c r="C95" i="6" a="1"/>
  <c r="C95" i="6" s="1"/>
  <c r="K93" i="6" a="1"/>
  <c r="K93" i="6" s="1"/>
  <c r="AA93" i="6" s="1"/>
  <c r="BE93" i="6" s="1"/>
  <c r="G95" i="6" a="1"/>
  <c r="G95" i="6" s="1"/>
  <c r="I13" i="6" a="1"/>
  <c r="I13" i="6" s="1"/>
  <c r="G65" i="6" a="1"/>
  <c r="G65" i="6" s="1"/>
  <c r="O96" i="6"/>
  <c r="AX65" i="6" l="1"/>
  <c r="Y65" i="6"/>
  <c r="BC65" i="6" s="1"/>
  <c r="AY13" i="6"/>
  <c r="Z13" i="6"/>
  <c r="BD13" i="6" s="1"/>
  <c r="AW13" i="6"/>
  <c r="X13" i="6"/>
  <c r="BB13" i="6" s="1"/>
  <c r="X95" i="6"/>
  <c r="BB95" i="6" s="1"/>
  <c r="Z95" i="6"/>
  <c r="BD95" i="6" s="1"/>
  <c r="AA95" i="6"/>
  <c r="BE95" i="6" s="1"/>
  <c r="Y95" i="6"/>
  <c r="BC95" i="6" s="1"/>
  <c r="AZ93" i="6"/>
  <c r="AX95" i="6"/>
  <c r="E3" i="6" a="1"/>
  <c r="E3" i="6" s="1"/>
  <c r="K96" i="6" a="1"/>
  <c r="K96" i="6" s="1"/>
  <c r="AZ96" i="6" s="1"/>
  <c r="C96" i="6" a="1"/>
  <c r="C96" i="6" s="1"/>
  <c r="G96" i="6" a="1"/>
  <c r="G96" i="6" s="1"/>
  <c r="I96" i="6" a="1"/>
  <c r="I96" i="6" s="1"/>
  <c r="AY96" i="6" s="1"/>
  <c r="O97" i="6"/>
  <c r="Y96" i="6" l="1"/>
  <c r="BC96" i="6" s="1"/>
  <c r="X96" i="6"/>
  <c r="BB96" i="6" s="1"/>
  <c r="Z96" i="6"/>
  <c r="BD96" i="6" s="1"/>
  <c r="AA96" i="6"/>
  <c r="BE96" i="6" s="1"/>
  <c r="AW3" i="6"/>
  <c r="X3" i="6"/>
  <c r="BB3" i="6" s="1"/>
  <c r="O98" i="6"/>
  <c r="G98" i="6" s="1" a="1"/>
  <c r="G98" i="6" s="1"/>
  <c r="AX96" i="6"/>
  <c r="E100" i="6" a="1"/>
  <c r="E100" i="6" s="1"/>
  <c r="AW100" i="6" s="1"/>
  <c r="I98" i="6" a="1"/>
  <c r="I98" i="6" s="1"/>
  <c r="AY98" i="6" s="1"/>
  <c r="K97" i="6" a="1"/>
  <c r="K97" i="6" s="1"/>
  <c r="AZ97" i="6" s="1"/>
  <c r="C98" i="6" a="1"/>
  <c r="C98" i="6" s="1"/>
  <c r="G97" i="6" a="1"/>
  <c r="G97" i="6" s="1"/>
  <c r="K98" i="6" a="1"/>
  <c r="K98" i="6" s="1"/>
  <c r="AZ98" i="6" s="1"/>
  <c r="I97" i="6" a="1"/>
  <c r="I97" i="6" s="1"/>
  <c r="AY97" i="6" s="1"/>
  <c r="E99" i="6" a="1"/>
  <c r="E99" i="6" s="1"/>
  <c r="AW99" i="6" s="1"/>
  <c r="C97" i="6" a="1"/>
  <c r="C97" i="6" s="1"/>
  <c r="O99" i="6" l="1"/>
  <c r="AA97" i="6"/>
  <c r="BE97" i="6" s="1"/>
  <c r="Y97" i="6"/>
  <c r="BC97" i="6" s="1"/>
  <c r="Z97" i="6"/>
  <c r="BD97" i="6" s="1"/>
  <c r="Z98" i="6"/>
  <c r="BD98" i="6" s="1"/>
  <c r="Y98" i="6"/>
  <c r="BC98" i="6" s="1"/>
  <c r="AA98" i="6"/>
  <c r="BE98" i="6" s="1"/>
  <c r="AX97" i="6"/>
  <c r="AX98" i="6"/>
  <c r="I100" i="6" a="1"/>
  <c r="I100" i="6" s="1"/>
  <c r="AY100" i="6" s="1"/>
  <c r="G99" i="6" a="1"/>
  <c r="G99" i="6" s="1"/>
  <c r="E98" i="6" a="1"/>
  <c r="E98" i="6" s="1"/>
  <c r="AW98" i="6" s="1"/>
  <c r="K99" i="6" a="1"/>
  <c r="K99" i="6" s="1"/>
  <c r="AZ99" i="6" s="1"/>
  <c r="C99" i="6" a="1"/>
  <c r="C99" i="6" s="1"/>
  <c r="O100" i="6"/>
  <c r="X98" i="6" l="1"/>
  <c r="BB98" i="6" s="1"/>
  <c r="X99" i="6"/>
  <c r="BB99" i="6" s="1"/>
  <c r="Y99" i="6"/>
  <c r="BC99" i="6" s="1"/>
  <c r="AA99" i="6"/>
  <c r="BE99" i="6" s="1"/>
  <c r="AX99" i="6"/>
  <c r="E97" i="6" a="1"/>
  <c r="E97" i="6" s="1"/>
  <c r="I99" i="6" a="1"/>
  <c r="I99" i="6" s="1"/>
  <c r="AY99" i="6" s="1"/>
  <c r="K100" i="6" a="1"/>
  <c r="K100" i="6" s="1"/>
  <c r="AZ100" i="6" s="1"/>
  <c r="C100" i="6" a="1"/>
  <c r="C100" i="6" s="1"/>
  <c r="G100" i="6" a="1"/>
  <c r="G100" i="6" s="1"/>
  <c r="O101" i="6"/>
  <c r="AW97" i="6" l="1"/>
  <c r="X97" i="6"/>
  <c r="BB97" i="6" s="1"/>
  <c r="Z99" i="6"/>
  <c r="BD99" i="6" s="1"/>
  <c r="AA100" i="6"/>
  <c r="BE100" i="6" s="1"/>
  <c r="Z100" i="6"/>
  <c r="BD100" i="6" s="1"/>
  <c r="Y100" i="6"/>
  <c r="BC100" i="6" s="1"/>
  <c r="X100" i="6"/>
  <c r="BB100" i="6" s="1"/>
  <c r="AX100" i="6"/>
  <c r="I104" i="6" a="1"/>
  <c r="I104" i="6" s="1"/>
  <c r="AY104" i="6" s="1"/>
  <c r="K102" i="6" a="1"/>
  <c r="K102" i="6" s="1"/>
  <c r="AZ102" i="6" s="1"/>
  <c r="C101" i="6" a="1"/>
  <c r="C101" i="6" s="1"/>
  <c r="E104" i="6" a="1"/>
  <c r="E104" i="6" s="1"/>
  <c r="AW104" i="6" s="1"/>
  <c r="O102" i="6"/>
  <c r="E101" i="6" l="1" a="1"/>
  <c r="E101" i="6" s="1"/>
  <c r="AW101" i="6" s="1"/>
  <c r="C102" i="6" a="1"/>
  <c r="C102" i="6" s="1"/>
  <c r="I103" i="6" a="1"/>
  <c r="I103" i="6" s="1"/>
  <c r="AY103" i="6" s="1"/>
  <c r="K101" i="6" a="1"/>
  <c r="K101" i="6" s="1"/>
  <c r="AZ101" i="6" s="1"/>
  <c r="O103" i="6"/>
  <c r="X101" i="6" l="1"/>
  <c r="BB101" i="6" s="1"/>
  <c r="AA101" i="6"/>
  <c r="BE101" i="6" s="1"/>
  <c r="AA102" i="6"/>
  <c r="BE102" i="6" s="1"/>
  <c r="G101" i="6" a="1"/>
  <c r="G101" i="6" s="1"/>
  <c r="Y101" i="6" s="1"/>
  <c r="BC101" i="6" s="1"/>
  <c r="I102" i="6" a="1"/>
  <c r="I102" i="6" s="1"/>
  <c r="AY102" i="6" s="1"/>
  <c r="K104" i="6" a="1"/>
  <c r="K104" i="6" s="1"/>
  <c r="AZ104" i="6" s="1"/>
  <c r="G103" i="6" a="1"/>
  <c r="G103" i="6" s="1"/>
  <c r="E102" i="6" a="1"/>
  <c r="E102" i="6" s="1"/>
  <c r="AW102" i="6" s="1"/>
  <c r="C103" i="6" a="1"/>
  <c r="C103" i="6" s="1"/>
  <c r="O104" i="6"/>
  <c r="X102" i="6" l="1"/>
  <c r="BB102" i="6" s="1"/>
  <c r="Z102" i="6"/>
  <c r="BD102" i="6" s="1"/>
  <c r="Z103" i="6"/>
  <c r="BD103" i="6" s="1"/>
  <c r="Y103" i="6"/>
  <c r="BC103" i="6" s="1"/>
  <c r="G102" i="6" a="1"/>
  <c r="G102" i="6" s="1"/>
  <c r="Y102" i="6" s="1"/>
  <c r="BC102" i="6" s="1"/>
  <c r="AX101" i="6"/>
  <c r="AX103" i="6"/>
  <c r="G104" i="6" a="1"/>
  <c r="G104" i="6" s="1"/>
  <c r="K103" i="6" a="1"/>
  <c r="K103" i="6" s="1"/>
  <c r="AZ103" i="6" s="1"/>
  <c r="I101" i="6" a="1"/>
  <c r="I101" i="6" s="1"/>
  <c r="Z101" i="6" s="1"/>
  <c r="BD101" i="6" s="1"/>
  <c r="E103" i="6" a="1"/>
  <c r="E103" i="6" s="1"/>
  <c r="AW103" i="6" s="1"/>
  <c r="C104" i="6" a="1"/>
  <c r="C104" i="6" s="1"/>
  <c r="O105" i="6"/>
  <c r="X103" i="6" l="1"/>
  <c r="BB103" i="6" s="1"/>
  <c r="AA103" i="6"/>
  <c r="BE103" i="6" s="1"/>
  <c r="Y104" i="6"/>
  <c r="BC104" i="6" s="1"/>
  <c r="AA104" i="6"/>
  <c r="BE104" i="6" s="1"/>
  <c r="Z104" i="6"/>
  <c r="BD104" i="6" s="1"/>
  <c r="X104" i="6"/>
  <c r="BB104" i="6" s="1"/>
  <c r="AX102" i="6"/>
  <c r="AY101" i="6"/>
  <c r="AX104" i="6"/>
  <c r="K105" i="6" a="1"/>
  <c r="K105" i="6" s="1"/>
  <c r="AZ105" i="6" s="1"/>
  <c r="C105" i="6" a="1"/>
  <c r="C105" i="6" s="1"/>
  <c r="E108" i="6" a="1"/>
  <c r="E108" i="6" s="1"/>
  <c r="AW108" i="6" s="1"/>
  <c r="I107" i="6" a="1"/>
  <c r="I107" i="6" s="1"/>
  <c r="AY107" i="6" s="1"/>
  <c r="O106" i="6"/>
  <c r="AA105" i="6" l="1"/>
  <c r="BE105" i="6" s="1"/>
  <c r="E105" i="6" a="1"/>
  <c r="E105" i="6" s="1"/>
  <c r="AW105" i="6" s="1"/>
  <c r="I106" i="6" a="1"/>
  <c r="I106" i="6" s="1"/>
  <c r="AY106" i="6" s="1"/>
  <c r="K108" i="6" a="1"/>
  <c r="K108" i="6" s="1"/>
  <c r="AZ108" i="6" s="1"/>
  <c r="C106" i="6" a="1"/>
  <c r="C106" i="6" s="1"/>
  <c r="O107" i="6"/>
  <c r="X105" i="6" l="1"/>
  <c r="BB105" i="6" s="1"/>
  <c r="Z106" i="6"/>
  <c r="BD106" i="6" s="1"/>
  <c r="G105" i="6" a="1"/>
  <c r="G105" i="6" s="1"/>
  <c r="Y105" i="6" s="1"/>
  <c r="BC105" i="6" s="1"/>
  <c r="K107" i="6" a="1"/>
  <c r="K107" i="6" s="1"/>
  <c r="AZ107" i="6" s="1"/>
  <c r="G107" i="6" a="1"/>
  <c r="G107" i="6" s="1"/>
  <c r="I105" i="6" a="1"/>
  <c r="I105" i="6" s="1"/>
  <c r="Z105" i="6" s="1"/>
  <c r="BD105" i="6" s="1"/>
  <c r="C107" i="6" a="1"/>
  <c r="C107" i="6" s="1"/>
  <c r="E106" i="6" a="1"/>
  <c r="E106" i="6" s="1"/>
  <c r="AW106" i="6" s="1"/>
  <c r="O108" i="6"/>
  <c r="X106" i="6" l="1"/>
  <c r="BB106" i="6" s="1"/>
  <c r="Z107" i="6"/>
  <c r="BD107" i="6" s="1"/>
  <c r="AA107" i="6"/>
  <c r="BE107" i="6" s="1"/>
  <c r="Y107" i="6"/>
  <c r="BC107" i="6" s="1"/>
  <c r="G106" i="6" a="1"/>
  <c r="G106" i="6" s="1"/>
  <c r="Y106" i="6" s="1"/>
  <c r="BC106" i="6" s="1"/>
  <c r="AX105" i="6"/>
  <c r="AY105" i="6"/>
  <c r="AX107" i="6"/>
  <c r="I108" i="6" a="1"/>
  <c r="I108" i="6" s="1"/>
  <c r="AY108" i="6" s="1"/>
  <c r="C108" i="6" a="1"/>
  <c r="C108" i="6" s="1"/>
  <c r="K106" i="6" a="1"/>
  <c r="K106" i="6" s="1"/>
  <c r="AA106" i="6" s="1"/>
  <c r="BE106" i="6" s="1"/>
  <c r="E107" i="6" a="1"/>
  <c r="E107" i="6" s="1"/>
  <c r="AW107" i="6" s="1"/>
  <c r="G108" i="6" a="1"/>
  <c r="G108" i="6" s="1"/>
  <c r="O109" i="6"/>
  <c r="X107" i="6" l="1"/>
  <c r="BB107" i="6" s="1"/>
  <c r="Y108" i="6"/>
  <c r="BC108" i="6" s="1"/>
  <c r="X108" i="6"/>
  <c r="BB108" i="6" s="1"/>
  <c r="AA108" i="6"/>
  <c r="BE108" i="6" s="1"/>
  <c r="Z108" i="6"/>
  <c r="BD108" i="6" s="1"/>
  <c r="AZ106" i="6"/>
  <c r="AX106" i="6"/>
  <c r="AX108" i="6"/>
  <c r="E112" i="6" a="1"/>
  <c r="E112" i="6" s="1"/>
  <c r="AW112" i="6" s="1"/>
  <c r="K112" i="6" a="1"/>
  <c r="K112" i="6" s="1"/>
  <c r="AZ112" i="6" s="1"/>
  <c r="C109" i="6" a="1"/>
  <c r="C109" i="6" s="1"/>
  <c r="I110" i="6" a="1"/>
  <c r="I110" i="6" s="1"/>
  <c r="AY110" i="6" s="1"/>
  <c r="O110" i="6"/>
  <c r="C110" i="6" l="1" a="1"/>
  <c r="C110" i="6" s="1"/>
  <c r="K111" i="6" a="1"/>
  <c r="K111" i="6" s="1"/>
  <c r="AZ111" i="6" s="1"/>
  <c r="E109" i="6" a="1"/>
  <c r="E109" i="6" s="1"/>
  <c r="AW109" i="6" s="1"/>
  <c r="I109" i="6" a="1"/>
  <c r="I109" i="6" s="1"/>
  <c r="AY109" i="6" s="1"/>
  <c r="O111" i="6"/>
  <c r="X109" i="6" l="1"/>
  <c r="BB109" i="6" s="1"/>
  <c r="Z109" i="6"/>
  <c r="BD109" i="6" s="1"/>
  <c r="Z110" i="6"/>
  <c r="BD110" i="6" s="1"/>
  <c r="G109" i="6" a="1"/>
  <c r="G109" i="6" s="1"/>
  <c r="Y109" i="6" s="1"/>
  <c r="BC109" i="6" s="1"/>
  <c r="C111" i="6" a="1"/>
  <c r="C111" i="6" s="1"/>
  <c r="I112" i="6" a="1"/>
  <c r="I112" i="6" s="1"/>
  <c r="AY112" i="6" s="1"/>
  <c r="K110" i="6" a="1"/>
  <c r="K110" i="6" s="1"/>
  <c r="AZ110" i="6" s="1"/>
  <c r="E110" i="6" a="1"/>
  <c r="E110" i="6" s="1"/>
  <c r="AW110" i="6" s="1"/>
  <c r="G111" i="6" a="1"/>
  <c r="G111" i="6" s="1"/>
  <c r="O112" i="6"/>
  <c r="AA110" i="6" l="1"/>
  <c r="BE110" i="6" s="1"/>
  <c r="X110" i="6"/>
  <c r="BB110" i="6" s="1"/>
  <c r="AA111" i="6"/>
  <c r="BE111" i="6" s="1"/>
  <c r="Y111" i="6"/>
  <c r="BC111" i="6" s="1"/>
  <c r="G110" i="6" a="1"/>
  <c r="G110" i="6" s="1"/>
  <c r="Y110" i="6" s="1"/>
  <c r="BC110" i="6" s="1"/>
  <c r="AX109" i="6"/>
  <c r="AX111" i="6"/>
  <c r="G112" i="6" a="1"/>
  <c r="G112" i="6" s="1"/>
  <c r="I111" i="6" a="1"/>
  <c r="I111" i="6" s="1"/>
  <c r="AY111" i="6" s="1"/>
  <c r="E111" i="6" a="1"/>
  <c r="E111" i="6" s="1"/>
  <c r="AW111" i="6" s="1"/>
  <c r="C112" i="6" a="1"/>
  <c r="C112" i="6" s="1"/>
  <c r="K109" i="6" a="1"/>
  <c r="K109" i="6" s="1"/>
  <c r="AA109" i="6" s="1"/>
  <c r="BE109" i="6" s="1"/>
  <c r="O113" i="6"/>
  <c r="X111" i="6" l="1"/>
  <c r="BB111" i="6" s="1"/>
  <c r="Z111" i="6"/>
  <c r="BD111" i="6" s="1"/>
  <c r="AA112" i="6"/>
  <c r="BE112" i="6" s="1"/>
  <c r="Y112" i="6"/>
  <c r="BC112" i="6" s="1"/>
  <c r="Z112" i="6"/>
  <c r="BD112" i="6" s="1"/>
  <c r="X112" i="6"/>
  <c r="BB112" i="6" s="1"/>
  <c r="AZ109" i="6"/>
  <c r="AX110" i="6"/>
  <c r="AX112" i="6"/>
  <c r="K113" i="6" a="1"/>
  <c r="K113" i="6" s="1"/>
  <c r="AZ113" i="6" s="1"/>
  <c r="I115" i="6" a="1"/>
  <c r="I115" i="6" s="1"/>
  <c r="AY115" i="6" s="1"/>
  <c r="E116" i="6" a="1"/>
  <c r="E116" i="6" s="1"/>
  <c r="AW116" i="6" s="1"/>
  <c r="C113" i="6" a="1"/>
  <c r="C113" i="6" s="1"/>
  <c r="O114" i="6"/>
  <c r="AA113" i="6" l="1"/>
  <c r="BE113" i="6" s="1"/>
  <c r="C114" i="6" a="1"/>
  <c r="C114" i="6" s="1"/>
  <c r="I114" i="6" a="1"/>
  <c r="I114" i="6" s="1"/>
  <c r="AY114" i="6" s="1"/>
  <c r="E113" i="6" a="1"/>
  <c r="E113" i="6" s="1"/>
  <c r="AW113" i="6" s="1"/>
  <c r="K116" i="6" a="1"/>
  <c r="K116" i="6" s="1"/>
  <c r="AZ116" i="6" s="1"/>
  <c r="O115" i="6"/>
  <c r="X113" i="6" l="1"/>
  <c r="BB113" i="6" s="1"/>
  <c r="Z114" i="6"/>
  <c r="BD114" i="6" s="1"/>
  <c r="G113" i="6" a="1"/>
  <c r="G113" i="6" s="1"/>
  <c r="Y113" i="6" s="1"/>
  <c r="BC113" i="6" s="1"/>
  <c r="G115" i="6" a="1"/>
  <c r="G115" i="6" s="1"/>
  <c r="E114" i="6" a="1"/>
  <c r="E114" i="6" s="1"/>
  <c r="AW114" i="6" s="1"/>
  <c r="K115" i="6" a="1"/>
  <c r="K115" i="6" s="1"/>
  <c r="AZ115" i="6" s="1"/>
  <c r="C115" i="6" a="1"/>
  <c r="C115" i="6" s="1"/>
  <c r="I113" i="6" a="1"/>
  <c r="I113" i="6" s="1"/>
  <c r="Z113" i="6" s="1"/>
  <c r="BD113" i="6" s="1"/>
  <c r="O116" i="6"/>
  <c r="X114" i="6" l="1"/>
  <c r="BB114" i="6" s="1"/>
  <c r="AA115" i="6"/>
  <c r="BE115" i="6" s="1"/>
  <c r="Y115" i="6"/>
  <c r="BC115" i="6" s="1"/>
  <c r="Z115" i="6"/>
  <c r="BD115" i="6" s="1"/>
  <c r="AY113" i="6"/>
  <c r="G114" i="6" a="1"/>
  <c r="G114" i="6" s="1"/>
  <c r="Y114" i="6" s="1"/>
  <c r="BC114" i="6" s="1"/>
  <c r="AX113" i="6"/>
  <c r="AX115" i="6"/>
  <c r="K114" i="6" a="1"/>
  <c r="K114" i="6" s="1"/>
  <c r="AA114" i="6" s="1"/>
  <c r="BE114" i="6" s="1"/>
  <c r="E115" i="6" a="1"/>
  <c r="E115" i="6" s="1"/>
  <c r="AW115" i="6" s="1"/>
  <c r="I116" i="6" a="1"/>
  <c r="I116" i="6" s="1"/>
  <c r="AY116" i="6" s="1"/>
  <c r="C116" i="6" a="1"/>
  <c r="C116" i="6" s="1"/>
  <c r="G116" i="6" a="1"/>
  <c r="G116" i="6" s="1"/>
  <c r="O117" i="6"/>
  <c r="X115" i="6" l="1"/>
  <c r="BB115" i="6" s="1"/>
  <c r="X116" i="6"/>
  <c r="BB116" i="6" s="1"/>
  <c r="AA116" i="6"/>
  <c r="BE116" i="6" s="1"/>
  <c r="Y116" i="6"/>
  <c r="BC116" i="6" s="1"/>
  <c r="Z116" i="6"/>
  <c r="BD116" i="6" s="1"/>
  <c r="AX114" i="6"/>
  <c r="AZ114" i="6"/>
  <c r="AX116" i="6"/>
  <c r="E120" i="6" a="1"/>
  <c r="E120" i="6" s="1"/>
  <c r="AW120" i="6" s="1"/>
  <c r="K120" i="6" a="1"/>
  <c r="K120" i="6" s="1"/>
  <c r="AZ120" i="6" s="1"/>
  <c r="I118" i="6" a="1"/>
  <c r="I118" i="6" s="1"/>
  <c r="AY118" i="6" s="1"/>
  <c r="C117" i="6" a="1"/>
  <c r="C117" i="6" s="1"/>
  <c r="O118" i="6"/>
  <c r="E117" i="6" l="1" a="1"/>
  <c r="E117" i="6" s="1"/>
  <c r="AW117" i="6" s="1"/>
  <c r="C118" i="6" a="1"/>
  <c r="C118" i="6" s="1"/>
  <c r="I117" i="6" a="1"/>
  <c r="I117" i="6" s="1"/>
  <c r="AY117" i="6" s="1"/>
  <c r="K119" i="6" a="1"/>
  <c r="K119" i="6" s="1"/>
  <c r="AZ119" i="6" s="1"/>
  <c r="O119" i="6"/>
  <c r="G117" i="6" s="1" a="1"/>
  <c r="G117" i="6" s="1"/>
  <c r="Y117" i="6" s="1"/>
  <c r="BC117" i="6" s="1"/>
  <c r="Z117" i="6" l="1"/>
  <c r="BD117" i="6" s="1"/>
  <c r="X117" i="6"/>
  <c r="BB117" i="6" s="1"/>
  <c r="Z118" i="6"/>
  <c r="BD118" i="6" s="1"/>
  <c r="AX117" i="6"/>
  <c r="G119" i="6" a="1"/>
  <c r="G119" i="6" s="1"/>
  <c r="I120" i="6" a="1"/>
  <c r="I120" i="6" s="1"/>
  <c r="AY120" i="6" s="1"/>
  <c r="K118" i="6" a="1"/>
  <c r="K118" i="6" s="1"/>
  <c r="AZ118" i="6" s="1"/>
  <c r="C119" i="6" a="1"/>
  <c r="C119" i="6" s="1"/>
  <c r="E118" i="6" a="1"/>
  <c r="E118" i="6" s="1"/>
  <c r="AW118" i="6" s="1"/>
  <c r="O120" i="6"/>
  <c r="AA118" i="6" l="1"/>
  <c r="BE118" i="6" s="1"/>
  <c r="X118" i="6"/>
  <c r="BB118" i="6" s="1"/>
  <c r="Y119" i="6"/>
  <c r="BC119" i="6" s="1"/>
  <c r="AA119" i="6"/>
  <c r="BE119" i="6" s="1"/>
  <c r="O121" i="6"/>
  <c r="G118" i="6" a="1"/>
  <c r="G118" i="6" s="1"/>
  <c r="Y118" i="6" s="1"/>
  <c r="BC118" i="6" s="1"/>
  <c r="AX119" i="6"/>
  <c r="K117" i="6" a="1"/>
  <c r="K117" i="6" s="1"/>
  <c r="AA117" i="6" s="1"/>
  <c r="BE117" i="6" s="1"/>
  <c r="G120" i="6" a="1"/>
  <c r="G120" i="6" s="1"/>
  <c r="I119" i="6" a="1"/>
  <c r="I119" i="6" s="1"/>
  <c r="AY119" i="6" s="1"/>
  <c r="C120" i="6" a="1"/>
  <c r="C120" i="6" s="1"/>
  <c r="E119" i="6" a="1"/>
  <c r="E119" i="6" s="1"/>
  <c r="AW119" i="6" s="1"/>
  <c r="X119" i="6" l="1"/>
  <c r="BB119" i="6" s="1"/>
  <c r="Z119" i="6"/>
  <c r="BD119" i="6" s="1"/>
  <c r="Y120" i="6"/>
  <c r="BC120" i="6" s="1"/>
  <c r="X120" i="6"/>
  <c r="BB120" i="6" s="1"/>
  <c r="AA120" i="6"/>
  <c r="BE120" i="6" s="1"/>
  <c r="Z120" i="6"/>
  <c r="BD120" i="6" s="1"/>
  <c r="AX118" i="6"/>
  <c r="K122" i="6" a="1"/>
  <c r="K122" i="6" s="1"/>
  <c r="AZ122" i="6" s="1"/>
  <c r="G121" i="6" a="1"/>
  <c r="G121" i="6" s="1"/>
  <c r="AX121" i="6" s="1"/>
  <c r="I121" i="6" a="1"/>
  <c r="I121" i="6" s="1"/>
  <c r="AY121" i="6" s="1"/>
  <c r="E123" i="6" a="1"/>
  <c r="E123" i="6" s="1"/>
  <c r="AW123" i="6" s="1"/>
  <c r="C121" i="6" a="1"/>
  <c r="C121" i="6" s="1"/>
  <c r="O122" i="6"/>
  <c r="AZ117" i="6"/>
  <c r="AX120" i="6"/>
  <c r="Y121" i="6" l="1"/>
  <c r="BC121" i="6" s="1"/>
  <c r="Z121" i="6"/>
  <c r="BD121" i="6" s="1"/>
  <c r="G122" i="6" a="1"/>
  <c r="G122" i="6" s="1"/>
  <c r="AX122" i="6" s="1"/>
  <c r="E124" i="6" a="1"/>
  <c r="E124" i="6" s="1"/>
  <c r="AW124" i="6" s="1"/>
  <c r="I122" i="6" a="1"/>
  <c r="I122" i="6" s="1"/>
  <c r="AY122" i="6" s="1"/>
  <c r="K121" i="6" a="1"/>
  <c r="K121" i="6" s="1"/>
  <c r="AZ121" i="6" s="1"/>
  <c r="C122" i="6" a="1"/>
  <c r="C122" i="6" s="1"/>
  <c r="O123" i="6"/>
  <c r="AA121" i="6" l="1"/>
  <c r="BE121" i="6" s="1"/>
  <c r="Y122" i="6"/>
  <c r="BC122" i="6" s="1"/>
  <c r="AA122" i="6"/>
  <c r="BE122" i="6" s="1"/>
  <c r="Z122" i="6"/>
  <c r="BD122" i="6" s="1"/>
  <c r="I124" i="6" a="1"/>
  <c r="I124" i="6" s="1"/>
  <c r="AY124" i="6" s="1"/>
  <c r="E122" i="6" a="1"/>
  <c r="E122" i="6" s="1"/>
  <c r="AW122" i="6" s="1"/>
  <c r="G123" i="6" a="1"/>
  <c r="G123" i="6" s="1"/>
  <c r="AX123" i="6" s="1"/>
  <c r="K123" i="6" a="1"/>
  <c r="K123" i="6" s="1"/>
  <c r="AZ123" i="6" s="1"/>
  <c r="C123" i="6" a="1"/>
  <c r="C123" i="6" s="1"/>
  <c r="O124" i="6"/>
  <c r="X122" i="6" l="1"/>
  <c r="BB122" i="6" s="1"/>
  <c r="AA123" i="6"/>
  <c r="BE123" i="6" s="1"/>
  <c r="Y123" i="6"/>
  <c r="BC123" i="6" s="1"/>
  <c r="X123" i="6"/>
  <c r="BB123" i="6" s="1"/>
  <c r="G124" i="6" a="1"/>
  <c r="G124" i="6" s="1"/>
  <c r="AX124" i="6" s="1"/>
  <c r="K124" i="6" a="1"/>
  <c r="K124" i="6" s="1"/>
  <c r="AZ124" i="6" s="1"/>
  <c r="I123" i="6" a="1"/>
  <c r="I123" i="6" s="1"/>
  <c r="AY123" i="6" s="1"/>
  <c r="C124" i="6" a="1"/>
  <c r="C124" i="6" s="1"/>
  <c r="E121" i="6" a="1"/>
  <c r="E121" i="6" s="1"/>
  <c r="O125" i="6"/>
  <c r="AW121" i="6" l="1"/>
  <c r="X121" i="6"/>
  <c r="BB121" i="6" s="1"/>
  <c r="Z123" i="6"/>
  <c r="BD123" i="6" s="1"/>
  <c r="Y124" i="6"/>
  <c r="BC124" i="6" s="1"/>
  <c r="X124" i="6"/>
  <c r="BB124" i="6" s="1"/>
  <c r="Z124" i="6"/>
  <c r="BD124" i="6" s="1"/>
  <c r="AA124" i="6"/>
  <c r="BE124" i="6" s="1"/>
  <c r="K126" i="6" a="1"/>
  <c r="K126" i="6" s="1"/>
  <c r="AZ126" i="6" s="1"/>
  <c r="G125" i="6" a="1"/>
  <c r="G125" i="6" s="1"/>
  <c r="AX125" i="6" s="1"/>
  <c r="I125" i="6" a="1"/>
  <c r="I125" i="6" s="1"/>
  <c r="AY125" i="6" s="1"/>
  <c r="E127" i="6" a="1"/>
  <c r="E127" i="6" s="1"/>
  <c r="AW127" i="6" s="1"/>
  <c r="C125" i="6" a="1"/>
  <c r="C125" i="6" s="1"/>
  <c r="O126" i="6"/>
  <c r="Z125" i="6" l="1"/>
  <c r="BD125" i="6" s="1"/>
  <c r="Y125" i="6"/>
  <c r="BC125" i="6" s="1"/>
  <c r="E128" i="6" a="1"/>
  <c r="E128" i="6" s="1"/>
  <c r="AW128" i="6" s="1"/>
  <c r="I126" i="6" a="1"/>
  <c r="I126" i="6" s="1"/>
  <c r="AY126" i="6" s="1"/>
  <c r="G126" i="6" a="1"/>
  <c r="G126" i="6" s="1"/>
  <c r="AX126" i="6" s="1"/>
  <c r="K125" i="6" a="1"/>
  <c r="K125" i="6" s="1"/>
  <c r="AZ125" i="6" s="1"/>
  <c r="C126" i="6" a="1"/>
  <c r="C126" i="6" s="1"/>
  <c r="O127" i="6"/>
  <c r="AA125" i="6" l="1"/>
  <c r="BE125" i="6" s="1"/>
  <c r="Z126" i="6"/>
  <c r="BD126" i="6" s="1"/>
  <c r="AA126" i="6"/>
  <c r="BE126" i="6" s="1"/>
  <c r="Y126" i="6"/>
  <c r="BC126" i="6" s="1"/>
  <c r="I128" i="6" a="1"/>
  <c r="I128" i="6" s="1"/>
  <c r="AY128" i="6" s="1"/>
  <c r="G127" i="6" a="1"/>
  <c r="G127" i="6" s="1"/>
  <c r="AX127" i="6" s="1"/>
  <c r="C127" i="6" a="1"/>
  <c r="C127" i="6" s="1"/>
  <c r="E126" i="6" a="1"/>
  <c r="E126" i="6" s="1"/>
  <c r="AW126" i="6" s="1"/>
  <c r="K127" i="6" a="1"/>
  <c r="K127" i="6" s="1"/>
  <c r="AZ127" i="6" s="1"/>
  <c r="O128" i="6"/>
  <c r="X126" i="6" l="1"/>
  <c r="BB126" i="6" s="1"/>
  <c r="X127" i="6"/>
  <c r="BB127" i="6" s="1"/>
  <c r="AA127" i="6"/>
  <c r="BE127" i="6" s="1"/>
  <c r="Y127" i="6"/>
  <c r="BC127" i="6" s="1"/>
  <c r="K128" i="6" a="1"/>
  <c r="K128" i="6" s="1"/>
  <c r="AZ128" i="6" s="1"/>
  <c r="G128" i="6" a="1"/>
  <c r="G128" i="6" s="1"/>
  <c r="AX128" i="6" s="1"/>
  <c r="I127" i="6" a="1"/>
  <c r="I127" i="6" s="1"/>
  <c r="AY127" i="6" s="1"/>
  <c r="C128" i="6" a="1"/>
  <c r="C128" i="6" s="1"/>
  <c r="E125" i="6" a="1"/>
  <c r="E125" i="6" s="1"/>
  <c r="O129" i="6"/>
  <c r="AW125" i="6" l="1"/>
  <c r="X125" i="6"/>
  <c r="BB125" i="6" s="1"/>
  <c r="Z127" i="6"/>
  <c r="BD127" i="6" s="1"/>
  <c r="Y128" i="6"/>
  <c r="BC128" i="6" s="1"/>
  <c r="AA128" i="6"/>
  <c r="BE128" i="6" s="1"/>
  <c r="X128" i="6"/>
  <c r="BB128" i="6" s="1"/>
  <c r="Z128" i="6"/>
  <c r="BD128" i="6" s="1"/>
  <c r="E132" i="6" a="1"/>
  <c r="E132" i="6" s="1"/>
  <c r="AW132" i="6" s="1"/>
  <c r="C129" i="6" a="1"/>
  <c r="C129" i="6" s="1"/>
  <c r="I130" i="6" a="1"/>
  <c r="I130" i="6" s="1"/>
  <c r="AY130" i="6" s="1"/>
  <c r="K132" i="6" a="1"/>
  <c r="K132" i="6" s="1"/>
  <c r="AZ132" i="6" s="1"/>
  <c r="O130" i="6"/>
  <c r="C130" i="6" l="1" a="1"/>
  <c r="C130" i="6" s="1"/>
  <c r="I129" i="6" a="1"/>
  <c r="I129" i="6" s="1"/>
  <c r="AY129" i="6" s="1"/>
  <c r="E129" i="6" a="1"/>
  <c r="E129" i="6" s="1"/>
  <c r="AW129" i="6" s="1"/>
  <c r="K131" i="6" a="1"/>
  <c r="K131" i="6" s="1"/>
  <c r="AZ131" i="6" s="1"/>
  <c r="O131" i="6"/>
  <c r="Z129" i="6" l="1"/>
  <c r="BD129" i="6" s="1"/>
  <c r="X129" i="6"/>
  <c r="BB129" i="6" s="1"/>
  <c r="Z130" i="6"/>
  <c r="BD130" i="6" s="1"/>
  <c r="K130" i="6" a="1"/>
  <c r="K130" i="6" s="1"/>
  <c r="AZ130" i="6" s="1"/>
  <c r="E130" i="6" a="1"/>
  <c r="E130" i="6" s="1"/>
  <c r="AW130" i="6" s="1"/>
  <c r="G131" i="6" a="1"/>
  <c r="G131" i="6" s="1"/>
  <c r="AX131" i="6" s="1"/>
  <c r="I132" i="6" a="1"/>
  <c r="I132" i="6" s="1"/>
  <c r="AY132" i="6" s="1"/>
  <c r="C131" i="6" a="1"/>
  <c r="C131" i="6" s="1"/>
  <c r="O132" i="6"/>
  <c r="G129" i="6" a="1"/>
  <c r="G129" i="6" s="1"/>
  <c r="Y129" i="6" s="1"/>
  <c r="BC129" i="6" s="1"/>
  <c r="X130" i="6" l="1"/>
  <c r="BB130" i="6" s="1"/>
  <c r="AA130" i="6"/>
  <c r="BE130" i="6" s="1"/>
  <c r="AA131" i="6"/>
  <c r="BE131" i="6" s="1"/>
  <c r="Y131" i="6"/>
  <c r="BC131" i="6" s="1"/>
  <c r="AX129" i="6"/>
  <c r="E131" i="6" a="1"/>
  <c r="E131" i="6" s="1"/>
  <c r="AW131" i="6" s="1"/>
  <c r="G132" i="6" a="1"/>
  <c r="G132" i="6" s="1"/>
  <c r="AX132" i="6" s="1"/>
  <c r="K129" i="6" a="1"/>
  <c r="K129" i="6" s="1"/>
  <c r="AA129" i="6" s="1"/>
  <c r="BE129" i="6" s="1"/>
  <c r="C132" i="6" a="1"/>
  <c r="C132" i="6" s="1"/>
  <c r="I131" i="6" a="1"/>
  <c r="I131" i="6" s="1"/>
  <c r="AY131" i="6" s="1"/>
  <c r="O133" i="6"/>
  <c r="G130" i="6" a="1"/>
  <c r="G130" i="6" s="1"/>
  <c r="Y130" i="6" s="1"/>
  <c r="BC130" i="6" s="1"/>
  <c r="Z131" i="6" l="1"/>
  <c r="BD131" i="6" s="1"/>
  <c r="X131" i="6"/>
  <c r="BB131" i="6" s="1"/>
  <c r="Y132" i="6"/>
  <c r="BC132" i="6" s="1"/>
  <c r="X132" i="6"/>
  <c r="BB132" i="6" s="1"/>
  <c r="AA132" i="6"/>
  <c r="BE132" i="6" s="1"/>
  <c r="Z132" i="6"/>
  <c r="BD132" i="6" s="1"/>
  <c r="AZ129" i="6"/>
  <c r="AX130" i="6"/>
  <c r="C133" i="6" a="1"/>
  <c r="C133" i="6" s="1"/>
  <c r="G133" i="6" a="1"/>
  <c r="G133" i="6" s="1"/>
  <c r="AX133" i="6" s="1"/>
  <c r="K133" i="6" a="1"/>
  <c r="K133" i="6" s="1"/>
  <c r="AZ133" i="6" s="1"/>
  <c r="E135" i="6" a="1"/>
  <c r="E135" i="6" s="1"/>
  <c r="AW135" i="6" s="1"/>
  <c r="I134" i="6" a="1"/>
  <c r="I134" i="6" s="1"/>
  <c r="AY134" i="6" s="1"/>
  <c r="O134" i="6"/>
  <c r="AA133" i="6" l="1"/>
  <c r="BE133" i="6" s="1"/>
  <c r="Y133" i="6"/>
  <c r="BC133" i="6" s="1"/>
  <c r="C134" i="6" a="1"/>
  <c r="C134" i="6" s="1"/>
  <c r="G134" i="6" a="1"/>
  <c r="G134" i="6" s="1"/>
  <c r="AX134" i="6" s="1"/>
  <c r="I133" i="6" a="1"/>
  <c r="I133" i="6" s="1"/>
  <c r="AY133" i="6" s="1"/>
  <c r="K134" i="6" a="1"/>
  <c r="K134" i="6" s="1"/>
  <c r="AZ134" i="6" s="1"/>
  <c r="E136" i="6" a="1"/>
  <c r="E136" i="6" s="1"/>
  <c r="AW136" i="6" s="1"/>
  <c r="O135" i="6"/>
  <c r="Z133" i="6" l="1"/>
  <c r="BD133" i="6" s="1"/>
  <c r="Y134" i="6"/>
  <c r="BC134" i="6" s="1"/>
  <c r="Z134" i="6"/>
  <c r="BD134" i="6" s="1"/>
  <c r="AA134" i="6"/>
  <c r="BE134" i="6" s="1"/>
  <c r="I135" i="6" a="1"/>
  <c r="I135" i="6" s="1"/>
  <c r="AY135" i="6" s="1"/>
  <c r="G135" i="6" a="1"/>
  <c r="G135" i="6" s="1"/>
  <c r="AX135" i="6" s="1"/>
  <c r="C135" i="6" a="1"/>
  <c r="C135" i="6" s="1"/>
  <c r="E134" i="6" a="1"/>
  <c r="E134" i="6" s="1"/>
  <c r="AW134" i="6" s="1"/>
  <c r="K136" i="6" a="1"/>
  <c r="K136" i="6" s="1"/>
  <c r="AZ136" i="6" s="1"/>
  <c r="O136" i="6"/>
  <c r="X134" i="6" l="1"/>
  <c r="BB134" i="6" s="1"/>
  <c r="X135" i="6"/>
  <c r="BB135" i="6" s="1"/>
  <c r="Y135" i="6"/>
  <c r="BC135" i="6" s="1"/>
  <c r="Z135" i="6"/>
  <c r="BD135" i="6" s="1"/>
  <c r="G136" i="6" a="1"/>
  <c r="G136" i="6" s="1"/>
  <c r="AX136" i="6" s="1"/>
  <c r="C136" i="6" a="1"/>
  <c r="C136" i="6" s="1"/>
  <c r="E133" i="6" a="1"/>
  <c r="E133" i="6" s="1"/>
  <c r="K135" i="6" a="1"/>
  <c r="K135" i="6" s="1"/>
  <c r="AZ135" i="6" s="1"/>
  <c r="I136" i="6" a="1"/>
  <c r="I136" i="6" s="1"/>
  <c r="AY136" i="6" s="1"/>
  <c r="O137" i="6"/>
  <c r="AW133" i="6" l="1"/>
  <c r="X133" i="6"/>
  <c r="BB133" i="6" s="1"/>
  <c r="AA135" i="6"/>
  <c r="BE135" i="6" s="1"/>
  <c r="Y136" i="6"/>
  <c r="BC136" i="6" s="1"/>
  <c r="X136" i="6"/>
  <c r="BB136" i="6" s="1"/>
  <c r="AA136" i="6"/>
  <c r="BE136" i="6" s="1"/>
  <c r="Z136" i="6"/>
  <c r="BD136" i="6" s="1"/>
  <c r="E139" i="6" a="1"/>
  <c r="E139" i="6" s="1"/>
  <c r="AW139" i="6" s="1"/>
  <c r="K138" i="6" a="1"/>
  <c r="K138" i="6" s="1"/>
  <c r="AZ138" i="6" s="1"/>
  <c r="I139" i="6" a="1"/>
  <c r="I139" i="6" s="1"/>
  <c r="AY139" i="6" s="1"/>
  <c r="C137" i="6" a="1"/>
  <c r="C137" i="6" s="1"/>
  <c r="O138" i="6"/>
  <c r="G138" i="6" l="1" a="1"/>
  <c r="G138" i="6" s="1"/>
  <c r="AX138" i="6" s="1"/>
  <c r="C138" i="6" a="1"/>
  <c r="C138" i="6" s="1"/>
  <c r="K137" i="6" a="1"/>
  <c r="K137" i="6" s="1"/>
  <c r="AZ137" i="6" s="1"/>
  <c r="I140" i="6" a="1"/>
  <c r="I140" i="6" s="1"/>
  <c r="AY140" i="6" s="1"/>
  <c r="E137" i="6" a="1"/>
  <c r="E137" i="6" s="1"/>
  <c r="AW137" i="6" s="1"/>
  <c r="O139" i="6"/>
  <c r="AA137" i="6" l="1"/>
  <c r="BE137" i="6" s="1"/>
  <c r="X137" i="6"/>
  <c r="BB137" i="6" s="1"/>
  <c r="AA138" i="6"/>
  <c r="BE138" i="6" s="1"/>
  <c r="Y138" i="6"/>
  <c r="BC138" i="6" s="1"/>
  <c r="G139" i="6" a="1"/>
  <c r="G139" i="6" s="1"/>
  <c r="AX139" i="6" s="1"/>
  <c r="C139" i="6" a="1"/>
  <c r="C139" i="6" s="1"/>
  <c r="I137" i="6" a="1"/>
  <c r="I137" i="6" s="1"/>
  <c r="Z137" i="6" s="1"/>
  <c r="BD137" i="6" s="1"/>
  <c r="E140" i="6" a="1"/>
  <c r="E140" i="6" s="1"/>
  <c r="AW140" i="6" s="1"/>
  <c r="K140" i="6" a="1"/>
  <c r="K140" i="6" s="1"/>
  <c r="AZ140" i="6" s="1"/>
  <c r="O140" i="6"/>
  <c r="Z139" i="6" l="1"/>
  <c r="BD139" i="6" s="1"/>
  <c r="Y139" i="6"/>
  <c r="BC139" i="6" s="1"/>
  <c r="X139" i="6"/>
  <c r="BB139" i="6" s="1"/>
  <c r="C140" i="6" a="1"/>
  <c r="C140" i="6" s="1"/>
  <c r="I138" i="6" a="1"/>
  <c r="I138" i="6" s="1"/>
  <c r="Z138" i="6" s="1"/>
  <c r="BD138" i="6" s="1"/>
  <c r="E138" i="6" a="1"/>
  <c r="E138" i="6" s="1"/>
  <c r="G140" i="6" a="1"/>
  <c r="G140" i="6" s="1"/>
  <c r="AX140" i="6" s="1"/>
  <c r="K139" i="6" a="1"/>
  <c r="K139" i="6" s="1"/>
  <c r="AZ139" i="6" s="1"/>
  <c r="O141" i="6"/>
  <c r="G137" i="6" a="1"/>
  <c r="G137" i="6" s="1"/>
  <c r="Y137" i="6" s="1"/>
  <c r="BC137" i="6" s="1"/>
  <c r="AY137" i="6"/>
  <c r="AW138" i="6" l="1"/>
  <c r="X138" i="6"/>
  <c r="BB138" i="6" s="1"/>
  <c r="AA139" i="6"/>
  <c r="BE139" i="6" s="1"/>
  <c r="Z140" i="6"/>
  <c r="BD140" i="6" s="1"/>
  <c r="AA140" i="6"/>
  <c r="BE140" i="6" s="1"/>
  <c r="Y140" i="6"/>
  <c r="BC140" i="6" s="1"/>
  <c r="X140" i="6"/>
  <c r="BB140" i="6" s="1"/>
  <c r="AX137" i="6"/>
  <c r="I143" i="6" a="1"/>
  <c r="I143" i="6" s="1"/>
  <c r="AY143" i="6" s="1"/>
  <c r="E143" i="6" a="1"/>
  <c r="E143" i="6" s="1"/>
  <c r="AW143" i="6" s="1"/>
  <c r="C141" i="6" a="1"/>
  <c r="C141" i="6" s="1"/>
  <c r="K142" i="6" a="1"/>
  <c r="K142" i="6" s="1"/>
  <c r="AZ142" i="6" s="1"/>
  <c r="O142" i="6"/>
  <c r="AY138" i="6"/>
  <c r="G142" i="6" l="1" a="1"/>
  <c r="G142" i="6" s="1"/>
  <c r="AX142" i="6" s="1"/>
  <c r="C142" i="6" a="1"/>
  <c r="C142" i="6" s="1"/>
  <c r="K141" i="6" a="1"/>
  <c r="K141" i="6" s="1"/>
  <c r="AZ141" i="6" s="1"/>
  <c r="I144" i="6" a="1"/>
  <c r="I144" i="6" s="1"/>
  <c r="AY144" i="6" s="1"/>
  <c r="E141" i="6" a="1"/>
  <c r="E141" i="6" s="1"/>
  <c r="AW141" i="6" s="1"/>
  <c r="O143" i="6"/>
  <c r="AA141" i="6" l="1"/>
  <c r="BE141" i="6" s="1"/>
  <c r="X141" i="6"/>
  <c r="BB141" i="6" s="1"/>
  <c r="AA142" i="6"/>
  <c r="BE142" i="6" s="1"/>
  <c r="Y142" i="6"/>
  <c r="BC142" i="6" s="1"/>
  <c r="G143" i="6" a="1"/>
  <c r="G143" i="6" s="1"/>
  <c r="AX143" i="6" s="1"/>
  <c r="I141" i="6" a="1"/>
  <c r="I141" i="6" s="1"/>
  <c r="Z141" i="6" s="1"/>
  <c r="BD141" i="6" s="1"/>
  <c r="K144" i="6" a="1"/>
  <c r="K144" i="6" s="1"/>
  <c r="AZ144" i="6" s="1"/>
  <c r="C143" i="6" a="1"/>
  <c r="C143" i="6" s="1"/>
  <c r="E144" i="6" a="1"/>
  <c r="E144" i="6" s="1"/>
  <c r="AW144" i="6" s="1"/>
  <c r="O144" i="6"/>
  <c r="X143" i="6" l="1"/>
  <c r="BB143" i="6" s="1"/>
  <c r="Z143" i="6"/>
  <c r="BD143" i="6" s="1"/>
  <c r="Y143" i="6"/>
  <c r="BC143" i="6" s="1"/>
  <c r="G144" i="6" a="1"/>
  <c r="G144" i="6" s="1"/>
  <c r="AX144" i="6" s="1"/>
  <c r="C144" i="6" a="1"/>
  <c r="C144" i="6" s="1"/>
  <c r="E142" i="6" a="1"/>
  <c r="E142" i="6" s="1"/>
  <c r="K143" i="6" a="1"/>
  <c r="K143" i="6" s="1"/>
  <c r="AZ143" i="6" s="1"/>
  <c r="I142" i="6" a="1"/>
  <c r="I142" i="6" s="1"/>
  <c r="Z142" i="6" s="1"/>
  <c r="BD142" i="6" s="1"/>
  <c r="O145" i="6"/>
  <c r="G141" i="6" a="1"/>
  <c r="G141" i="6" s="1"/>
  <c r="Y141" i="6" s="1"/>
  <c r="BC141" i="6" s="1"/>
  <c r="AY141" i="6"/>
  <c r="AW142" i="6" l="1"/>
  <c r="X142" i="6"/>
  <c r="BB142" i="6" s="1"/>
  <c r="AA143" i="6"/>
  <c r="BE143" i="6" s="1"/>
  <c r="Z144" i="6"/>
  <c r="BD144" i="6" s="1"/>
  <c r="AA144" i="6"/>
  <c r="BE144" i="6" s="1"/>
  <c r="Y144" i="6"/>
  <c r="BC144" i="6" s="1"/>
  <c r="X144" i="6"/>
  <c r="BB144" i="6" s="1"/>
  <c r="AX141" i="6"/>
  <c r="K146" i="6" a="1"/>
  <c r="K146" i="6" s="1"/>
  <c r="AZ146" i="6" s="1"/>
  <c r="C145" i="6" a="1"/>
  <c r="C145" i="6" s="1"/>
  <c r="G145" i="6" a="1"/>
  <c r="G145" i="6" s="1"/>
  <c r="AX145" i="6" s="1"/>
  <c r="I146" i="6" a="1"/>
  <c r="I146" i="6" s="1"/>
  <c r="AY146" i="6" s="1"/>
  <c r="E147" i="6" a="1"/>
  <c r="E147" i="6" s="1"/>
  <c r="AW147" i="6" s="1"/>
  <c r="O146" i="6"/>
  <c r="AY142" i="6"/>
  <c r="Y145" i="6" l="1"/>
  <c r="BC145" i="6" s="1"/>
  <c r="G146" i="6" a="1"/>
  <c r="G146" i="6" s="1"/>
  <c r="AX146" i="6" s="1"/>
  <c r="I145" i="6" a="1"/>
  <c r="I145" i="6" s="1"/>
  <c r="AY145" i="6" s="1"/>
  <c r="E148" i="6" a="1"/>
  <c r="E148" i="6" s="1"/>
  <c r="AW148" i="6" s="1"/>
  <c r="K145" i="6" a="1"/>
  <c r="K145" i="6" s="1"/>
  <c r="AZ145" i="6" s="1"/>
  <c r="C146" i="6" a="1"/>
  <c r="C146" i="6" s="1"/>
  <c r="O147" i="6"/>
  <c r="AA145" i="6" l="1"/>
  <c r="BE145" i="6" s="1"/>
  <c r="Z145" i="6"/>
  <c r="BD145" i="6" s="1"/>
  <c r="AA146" i="6"/>
  <c r="BE146" i="6" s="1"/>
  <c r="Z146" i="6"/>
  <c r="BD146" i="6" s="1"/>
  <c r="Y146" i="6"/>
  <c r="BC146" i="6" s="1"/>
  <c r="G147" i="6" a="1"/>
  <c r="G147" i="6" s="1"/>
  <c r="AX147" i="6" s="1"/>
  <c r="E145" i="6" a="1"/>
  <c r="E145" i="6" s="1"/>
  <c r="I148" i="6" a="1"/>
  <c r="I148" i="6" s="1"/>
  <c r="AY148" i="6" s="1"/>
  <c r="C147" i="6" a="1"/>
  <c r="C147" i="6" s="1"/>
  <c r="K148" i="6" a="1"/>
  <c r="K148" i="6" s="1"/>
  <c r="AZ148" i="6" s="1"/>
  <c r="O148" i="6"/>
  <c r="AW145" i="6" l="1"/>
  <c r="X145" i="6"/>
  <c r="BB145" i="6" s="1"/>
  <c r="Y147" i="6"/>
  <c r="BC147" i="6" s="1"/>
  <c r="X147" i="6"/>
  <c r="BB147" i="6" s="1"/>
  <c r="C148" i="6" a="1"/>
  <c r="C148" i="6" s="1"/>
  <c r="G148" i="6" a="1"/>
  <c r="G148" i="6" s="1"/>
  <c r="AX148" i="6" s="1"/>
  <c r="E146" i="6" a="1"/>
  <c r="E146" i="6" s="1"/>
  <c r="K147" i="6" a="1"/>
  <c r="K147" i="6" s="1"/>
  <c r="AZ147" i="6" s="1"/>
  <c r="I147" i="6" a="1"/>
  <c r="I147" i="6" s="1"/>
  <c r="AY147" i="6" s="1"/>
  <c r="O149" i="6"/>
  <c r="AW146" i="6" l="1"/>
  <c r="X146" i="6"/>
  <c r="BB146" i="6" s="1"/>
  <c r="Z147" i="6"/>
  <c r="BD147" i="6" s="1"/>
  <c r="AA147" i="6"/>
  <c r="BE147" i="6" s="1"/>
  <c r="AA148" i="6"/>
  <c r="BE148" i="6" s="1"/>
  <c r="Y148" i="6"/>
  <c r="BC148" i="6" s="1"/>
  <c r="X148" i="6"/>
  <c r="BB148" i="6" s="1"/>
  <c r="Z148" i="6"/>
  <c r="BD148" i="6" s="1"/>
  <c r="K149" i="6" a="1"/>
  <c r="K149" i="6" s="1"/>
  <c r="AZ149" i="6" s="1"/>
  <c r="C149" i="6" a="1"/>
  <c r="C149" i="6" s="1"/>
  <c r="E152" i="6" a="1"/>
  <c r="E152" i="6" s="1"/>
  <c r="AW152" i="6" s="1"/>
  <c r="I151" i="6" a="1"/>
  <c r="I151" i="6" s="1"/>
  <c r="AY151" i="6" s="1"/>
  <c r="O150" i="6"/>
  <c r="AA149" i="6" l="1"/>
  <c r="BE149" i="6" s="1"/>
  <c r="C150" i="6" a="1"/>
  <c r="C150" i="6" s="1"/>
  <c r="E149" i="6" a="1"/>
  <c r="E149" i="6" s="1"/>
  <c r="AW149" i="6" s="1"/>
  <c r="I150" i="6" a="1"/>
  <c r="I150" i="6" s="1"/>
  <c r="AY150" i="6" s="1"/>
  <c r="K152" i="6" a="1"/>
  <c r="K152" i="6" s="1"/>
  <c r="AZ152" i="6" s="1"/>
  <c r="O151" i="6"/>
  <c r="X149" i="6" l="1"/>
  <c r="BB149" i="6" s="1"/>
  <c r="Z150" i="6"/>
  <c r="BD150" i="6" s="1"/>
  <c r="G151" i="6" a="1"/>
  <c r="G151" i="6" s="1"/>
  <c r="AX151" i="6" s="1"/>
  <c r="C151" i="6" a="1"/>
  <c r="C151" i="6" s="1"/>
  <c r="E150" i="6" a="1"/>
  <c r="E150" i="6" s="1"/>
  <c r="AW150" i="6" s="1"/>
  <c r="K151" i="6" a="1"/>
  <c r="K151" i="6" s="1"/>
  <c r="AZ151" i="6" s="1"/>
  <c r="I149" i="6" a="1"/>
  <c r="I149" i="6" s="1"/>
  <c r="Z149" i="6" s="1"/>
  <c r="BD149" i="6" s="1"/>
  <c r="O152" i="6"/>
  <c r="G149" i="6" a="1"/>
  <c r="G149" i="6" s="1"/>
  <c r="Y149" i="6" s="1"/>
  <c r="BC149" i="6" s="1"/>
  <c r="X150" i="6" l="1"/>
  <c r="BB150" i="6" s="1"/>
  <c r="Z151" i="6"/>
  <c r="BD151" i="6" s="1"/>
  <c r="AA151" i="6"/>
  <c r="BE151" i="6" s="1"/>
  <c r="Y151" i="6"/>
  <c r="BC151" i="6" s="1"/>
  <c r="AX149" i="6"/>
  <c r="I152" i="6" a="1"/>
  <c r="I152" i="6" s="1"/>
  <c r="AY152" i="6" s="1"/>
  <c r="G152" i="6" a="1"/>
  <c r="G152" i="6" s="1"/>
  <c r="AX152" i="6" s="1"/>
  <c r="C152" i="6" a="1"/>
  <c r="C152" i="6" s="1"/>
  <c r="K150" i="6" a="1"/>
  <c r="K150" i="6" s="1"/>
  <c r="AA150" i="6" s="1"/>
  <c r="BE150" i="6" s="1"/>
  <c r="E151" i="6" a="1"/>
  <c r="E151" i="6" s="1"/>
  <c r="AW151" i="6" s="1"/>
  <c r="O153" i="6"/>
  <c r="G150" i="6" a="1"/>
  <c r="G150" i="6" s="1"/>
  <c r="Y150" i="6" s="1"/>
  <c r="BC150" i="6" s="1"/>
  <c r="AY149" i="6"/>
  <c r="X151" i="6" l="1"/>
  <c r="BB151" i="6" s="1"/>
  <c r="Z152" i="6"/>
  <c r="BD152" i="6" s="1"/>
  <c r="Y152" i="6"/>
  <c r="BC152" i="6" s="1"/>
  <c r="X152" i="6"/>
  <c r="BB152" i="6" s="1"/>
  <c r="AA152" i="6"/>
  <c r="BE152" i="6" s="1"/>
  <c r="AX150" i="6"/>
  <c r="K153" i="6" a="1"/>
  <c r="K153" i="6" s="1"/>
  <c r="AZ153" i="6" s="1"/>
  <c r="E156" i="6" a="1"/>
  <c r="E156" i="6" s="1"/>
  <c r="AW156" i="6" s="1"/>
  <c r="I155" i="6" a="1"/>
  <c r="I155" i="6" s="1"/>
  <c r="AY155" i="6" s="1"/>
  <c r="C153" i="6" a="1"/>
  <c r="C153" i="6" s="1"/>
  <c r="O154" i="6"/>
  <c r="AZ150" i="6"/>
  <c r="AA153" i="6" l="1"/>
  <c r="BE153" i="6" s="1"/>
  <c r="K156" i="6" a="1"/>
  <c r="K156" i="6" s="1"/>
  <c r="AZ156" i="6" s="1"/>
  <c r="I154" i="6" a="1"/>
  <c r="I154" i="6" s="1"/>
  <c r="AY154" i="6" s="1"/>
  <c r="C154" i="6" a="1"/>
  <c r="C154" i="6" s="1"/>
  <c r="E153" i="6" a="1"/>
  <c r="E153" i="6" s="1"/>
  <c r="AW153" i="6" s="1"/>
  <c r="O155" i="6"/>
  <c r="X153" i="6" l="1"/>
  <c r="BB153" i="6" s="1"/>
  <c r="Z154" i="6"/>
  <c r="BD154" i="6" s="1"/>
  <c r="G155" i="6" a="1"/>
  <c r="G155" i="6" s="1"/>
  <c r="AX155" i="6" s="1"/>
  <c r="C155" i="6" a="1"/>
  <c r="C155" i="6" s="1"/>
  <c r="I153" i="6" a="1"/>
  <c r="I153" i="6" s="1"/>
  <c r="Z153" i="6" s="1"/>
  <c r="BD153" i="6" s="1"/>
  <c r="E154" i="6" a="1"/>
  <c r="E154" i="6" s="1"/>
  <c r="AW154" i="6" s="1"/>
  <c r="K155" i="6" a="1"/>
  <c r="K155" i="6" s="1"/>
  <c r="AZ155" i="6" s="1"/>
  <c r="O156" i="6"/>
  <c r="G153" i="6" a="1"/>
  <c r="G153" i="6" s="1"/>
  <c r="Y153" i="6" s="1"/>
  <c r="BC153" i="6" s="1"/>
  <c r="X154" i="6" l="1"/>
  <c r="BB154" i="6" s="1"/>
  <c r="Z155" i="6"/>
  <c r="BD155" i="6" s="1"/>
  <c r="AA155" i="6"/>
  <c r="BE155" i="6" s="1"/>
  <c r="Y155" i="6"/>
  <c r="BC155" i="6" s="1"/>
  <c r="AX153" i="6"/>
  <c r="I156" i="6" a="1"/>
  <c r="I156" i="6" s="1"/>
  <c r="AY156" i="6" s="1"/>
  <c r="C156" i="6" a="1"/>
  <c r="C156" i="6" s="1"/>
  <c r="E155" i="6" a="1"/>
  <c r="E155" i="6" s="1"/>
  <c r="AW155" i="6" s="1"/>
  <c r="K154" i="6" a="1"/>
  <c r="K154" i="6" s="1"/>
  <c r="AA154" i="6" s="1"/>
  <c r="BE154" i="6" s="1"/>
  <c r="G156" i="6" a="1"/>
  <c r="G156" i="6" s="1"/>
  <c r="AX156" i="6" s="1"/>
  <c r="O157" i="6"/>
  <c r="G154" i="6" a="1"/>
  <c r="G154" i="6" s="1"/>
  <c r="Y154" i="6" s="1"/>
  <c r="BC154" i="6" s="1"/>
  <c r="AY153" i="6"/>
  <c r="X155" i="6" l="1"/>
  <c r="BB155" i="6" s="1"/>
  <c r="Z156" i="6"/>
  <c r="BD156" i="6" s="1"/>
  <c r="Y156" i="6"/>
  <c r="BC156" i="6" s="1"/>
  <c r="AA156" i="6"/>
  <c r="BE156" i="6" s="1"/>
  <c r="X156" i="6"/>
  <c r="BB156" i="6" s="1"/>
  <c r="G157" i="6" a="1"/>
  <c r="G157" i="6" s="1"/>
  <c r="AX157" i="6" s="1"/>
  <c r="I157" i="6" a="1"/>
  <c r="I157" i="6" s="1"/>
  <c r="AY157" i="6" s="1"/>
  <c r="E157" i="6" a="1"/>
  <c r="E157" i="6" s="1"/>
  <c r="AW157" i="6" s="1"/>
  <c r="K157" i="6" a="1"/>
  <c r="K157" i="6" s="1"/>
  <c r="AZ157" i="6" s="1"/>
  <c r="C157" i="6" a="1"/>
  <c r="C157" i="6" s="1"/>
  <c r="O158" i="6"/>
  <c r="AZ154" i="6"/>
  <c r="AX154" i="6"/>
  <c r="AA157" i="6" l="1"/>
  <c r="BE157" i="6" s="1"/>
  <c r="Z157" i="6"/>
  <c r="BD157" i="6" s="1"/>
  <c r="X157" i="6"/>
  <c r="BB157" i="6" s="1"/>
  <c r="Y157" i="6"/>
  <c r="BC157" i="6" s="1"/>
  <c r="I161" i="6" a="1"/>
  <c r="I161" i="6" s="1"/>
  <c r="AY161" i="6" s="1"/>
  <c r="K159" i="6" a="1"/>
  <c r="K159" i="6" s="1"/>
  <c r="AZ159" i="6" s="1"/>
  <c r="C158" i="6" a="1"/>
  <c r="C158" i="6" s="1"/>
  <c r="E161" i="6" a="1"/>
  <c r="E161" i="6" s="1"/>
  <c r="AW161" i="6" s="1"/>
  <c r="O159" i="6"/>
  <c r="K158" i="6" l="1" a="1"/>
  <c r="K158" i="6" s="1"/>
  <c r="AZ158" i="6" s="1"/>
  <c r="I160" i="6" a="1"/>
  <c r="I160" i="6" s="1"/>
  <c r="AY160" i="6" s="1"/>
  <c r="C159" i="6" a="1"/>
  <c r="C159" i="6" s="1"/>
  <c r="E158" i="6" a="1"/>
  <c r="E158" i="6" s="1"/>
  <c r="AW158" i="6" s="1"/>
  <c r="O160" i="6"/>
  <c r="AA158" i="6" l="1"/>
  <c r="BE158" i="6" s="1"/>
  <c r="X158" i="6"/>
  <c r="BB158" i="6" s="1"/>
  <c r="AA159" i="6"/>
  <c r="BE159" i="6" s="1"/>
  <c r="K161" i="6" a="1"/>
  <c r="K161" i="6" s="1"/>
  <c r="AZ161" i="6" s="1"/>
  <c r="C160" i="6" a="1"/>
  <c r="C160" i="6" s="1"/>
  <c r="I159" i="6" a="1"/>
  <c r="I159" i="6" s="1"/>
  <c r="AY159" i="6" s="1"/>
  <c r="E159" i="6" a="1"/>
  <c r="E159" i="6" s="1"/>
  <c r="AW159" i="6" s="1"/>
  <c r="G160" i="6" a="1"/>
  <c r="G160" i="6" s="1"/>
  <c r="AX160" i="6" s="1"/>
  <c r="O161" i="6"/>
  <c r="G158" i="6" a="1"/>
  <c r="G158" i="6" s="1"/>
  <c r="Y158" i="6" s="1"/>
  <c r="BC158" i="6" s="1"/>
  <c r="X159" i="6" l="1"/>
  <c r="BB159" i="6" s="1"/>
  <c r="Z159" i="6"/>
  <c r="BD159" i="6" s="1"/>
  <c r="Z160" i="6"/>
  <c r="BD160" i="6" s="1"/>
  <c r="Y160" i="6"/>
  <c r="BC160" i="6" s="1"/>
  <c r="AX158" i="6"/>
  <c r="K160" i="6" a="1"/>
  <c r="K160" i="6" s="1"/>
  <c r="AZ160" i="6" s="1"/>
  <c r="G161" i="6" a="1"/>
  <c r="G161" i="6" s="1"/>
  <c r="AX161" i="6" s="1"/>
  <c r="E160" i="6" a="1"/>
  <c r="E160" i="6" s="1"/>
  <c r="AW160" i="6" s="1"/>
  <c r="C161" i="6" a="1"/>
  <c r="C161" i="6" s="1"/>
  <c r="I158" i="6" a="1"/>
  <c r="I158" i="6" s="1"/>
  <c r="Z158" i="6" s="1"/>
  <c r="BD158" i="6" s="1"/>
  <c r="O173" i="6"/>
  <c r="G159" i="6" a="1"/>
  <c r="G159" i="6" s="1"/>
  <c r="Y159" i="6" s="1"/>
  <c r="BC159" i="6" s="1"/>
  <c r="X160" i="6" l="1"/>
  <c r="BB160" i="6" s="1"/>
  <c r="AA160" i="6"/>
  <c r="BE160" i="6" s="1"/>
  <c r="AA161" i="6"/>
  <c r="BE161" i="6" s="1"/>
  <c r="Y161" i="6"/>
  <c r="BC161" i="6" s="1"/>
  <c r="Z161" i="6"/>
  <c r="BD161" i="6" s="1"/>
  <c r="X161" i="6"/>
  <c r="BB161" i="6" s="1"/>
  <c r="AX159" i="6"/>
  <c r="AY158" i="6"/>
  <c r="G173" i="6" a="1"/>
  <c r="G173" i="6" s="1"/>
  <c r="AX173" i="6" s="1"/>
  <c r="C173" i="6" a="1"/>
  <c r="C173" i="6" s="1"/>
  <c r="K173" i="6" a="1"/>
  <c r="K173" i="6" s="1"/>
  <c r="AZ173" i="6" s="1"/>
  <c r="I174" i="6" a="1"/>
  <c r="I174" i="6" s="1"/>
  <c r="AY174" i="6" s="1"/>
  <c r="E175" i="6" a="1"/>
  <c r="E175" i="6" s="1"/>
  <c r="AW175" i="6" s="1"/>
  <c r="O174" i="6"/>
  <c r="AA173" i="6" l="1"/>
  <c r="BE173" i="6" s="1"/>
  <c r="Y173" i="6"/>
  <c r="BC173" i="6" s="1"/>
  <c r="K174" i="6" a="1"/>
  <c r="K174" i="6" s="1"/>
  <c r="AZ174" i="6" s="1"/>
  <c r="C174" i="6" a="1"/>
  <c r="C174" i="6" s="1"/>
  <c r="I173" i="6" a="1"/>
  <c r="I173" i="6" s="1"/>
  <c r="AY173" i="6" s="1"/>
  <c r="E176" i="6" a="1"/>
  <c r="E176" i="6" s="1"/>
  <c r="AW176" i="6" s="1"/>
  <c r="G174" i="6" a="1"/>
  <c r="G174" i="6" s="1"/>
  <c r="AX174" i="6" s="1"/>
  <c r="O175" i="6"/>
  <c r="Z173" i="6" l="1"/>
  <c r="BD173" i="6" s="1"/>
  <c r="Z174" i="6"/>
  <c r="BD174" i="6" s="1"/>
  <c r="Y174" i="6"/>
  <c r="BC174" i="6" s="1"/>
  <c r="AA174" i="6"/>
  <c r="BE174" i="6" s="1"/>
  <c r="K176" i="6" a="1"/>
  <c r="K176" i="6" s="1"/>
  <c r="AZ176" i="6" s="1"/>
  <c r="I175" i="6" a="1"/>
  <c r="I175" i="6" s="1"/>
  <c r="AY175" i="6" s="1"/>
  <c r="C175" i="6" a="1"/>
  <c r="C175" i="6" s="1"/>
  <c r="G175" i="6" a="1"/>
  <c r="G175" i="6" s="1"/>
  <c r="AX175" i="6" s="1"/>
  <c r="E174" i="6" a="1"/>
  <c r="E174" i="6" s="1"/>
  <c r="AW174" i="6" s="1"/>
  <c r="O176" i="6"/>
  <c r="X174" i="6" l="1"/>
  <c r="BB174" i="6" s="1"/>
  <c r="Z175" i="6"/>
  <c r="BD175" i="6" s="1"/>
  <c r="Y175" i="6"/>
  <c r="BC175" i="6" s="1"/>
  <c r="X175" i="6"/>
  <c r="BB175" i="6" s="1"/>
  <c r="I176" i="6" a="1"/>
  <c r="I176" i="6" s="1"/>
  <c r="AY176" i="6" s="1"/>
  <c r="K175" i="6" a="1"/>
  <c r="K175" i="6" s="1"/>
  <c r="AZ175" i="6" s="1"/>
  <c r="E173" i="6" a="1"/>
  <c r="E173" i="6" s="1"/>
  <c r="G176" i="6" a="1"/>
  <c r="G176" i="6" s="1"/>
  <c r="AX176" i="6" s="1"/>
  <c r="C176" i="6" a="1"/>
  <c r="C176" i="6" s="1"/>
  <c r="O177" i="6"/>
  <c r="AW173" i="6" l="1"/>
  <c r="X173" i="6"/>
  <c r="BB173" i="6" s="1"/>
  <c r="AA175" i="6"/>
  <c r="BE175" i="6" s="1"/>
  <c r="AA176" i="6"/>
  <c r="BE176" i="6" s="1"/>
  <c r="Z176" i="6"/>
  <c r="BD176" i="6" s="1"/>
  <c r="Y176" i="6"/>
  <c r="BC176" i="6" s="1"/>
  <c r="X176" i="6"/>
  <c r="BB176" i="6" s="1"/>
  <c r="I179" i="6" a="1"/>
  <c r="I179" i="6" s="1"/>
  <c r="AY179" i="6" s="1"/>
  <c r="E183" i="6" a="1"/>
  <c r="E183" i="6" s="1"/>
  <c r="AW183" i="6" s="1"/>
  <c r="C177" i="6" a="1"/>
  <c r="C177" i="6" s="1"/>
  <c r="K178" i="6" a="1"/>
  <c r="K178" i="6" s="1"/>
  <c r="AZ178" i="6" s="1"/>
  <c r="O178" i="6"/>
  <c r="C178" i="6" l="1" a="1"/>
  <c r="C178" i="6" s="1"/>
  <c r="K177" i="6" a="1"/>
  <c r="K177" i="6" s="1"/>
  <c r="AZ177" i="6" s="1"/>
  <c r="E181" i="6" a="1"/>
  <c r="E181" i="6" s="1"/>
  <c r="AW181" i="6" s="1"/>
  <c r="G178" i="6" a="1"/>
  <c r="G178" i="6" s="1"/>
  <c r="AX178" i="6" s="1"/>
  <c r="I180" i="6" a="1"/>
  <c r="I180" i="6" s="1"/>
  <c r="AY180" i="6" s="1"/>
  <c r="O179" i="6"/>
  <c r="AA177" i="6" l="1"/>
  <c r="BE177" i="6" s="1"/>
  <c r="Y178" i="6"/>
  <c r="BC178" i="6" s="1"/>
  <c r="AA178" i="6"/>
  <c r="BE178" i="6" s="1"/>
  <c r="I177" i="6" a="1"/>
  <c r="I177" i="6" s="1"/>
  <c r="Z177" i="6" s="1"/>
  <c r="BD177" i="6" s="1"/>
  <c r="K180" i="6" a="1"/>
  <c r="K180" i="6" s="1"/>
  <c r="AZ180" i="6" s="1"/>
  <c r="E184" i="6" a="1"/>
  <c r="E184" i="6" s="1"/>
  <c r="AW184" i="6" s="1"/>
  <c r="G179" i="6" a="1"/>
  <c r="G179" i="6" s="1"/>
  <c r="AX179" i="6" s="1"/>
  <c r="C179" i="6" a="1"/>
  <c r="C179" i="6" s="1"/>
  <c r="O180" i="6"/>
  <c r="Y179" i="6" l="1"/>
  <c r="BC179" i="6" s="1"/>
  <c r="Z179" i="6"/>
  <c r="BD179" i="6" s="1"/>
  <c r="I178" i="6" a="1"/>
  <c r="I178" i="6" s="1"/>
  <c r="Z178" i="6" s="1"/>
  <c r="BD178" i="6" s="1"/>
  <c r="G180" i="6" a="1"/>
  <c r="G180" i="6" s="1"/>
  <c r="AX180" i="6" s="1"/>
  <c r="K179" i="6" a="1"/>
  <c r="K179" i="6" s="1"/>
  <c r="AZ179" i="6" s="1"/>
  <c r="E182" i="6" a="1"/>
  <c r="E182" i="6" s="1"/>
  <c r="AW182" i="6" s="1"/>
  <c r="C180" i="6" a="1"/>
  <c r="C180" i="6" s="1"/>
  <c r="O181" i="6"/>
  <c r="G177" i="6" a="1"/>
  <c r="G177" i="6" s="1"/>
  <c r="Y177" i="6" s="1"/>
  <c r="BC177" i="6" s="1"/>
  <c r="AY177" i="6"/>
  <c r="AA179" i="6" l="1"/>
  <c r="BE179" i="6" s="1"/>
  <c r="Y180" i="6"/>
  <c r="BC180" i="6" s="1"/>
  <c r="Z180" i="6"/>
  <c r="BD180" i="6" s="1"/>
  <c r="AA180" i="6"/>
  <c r="BE180" i="6" s="1"/>
  <c r="K182" i="6" a="1"/>
  <c r="K182" i="6" s="1"/>
  <c r="AZ182" i="6" s="1"/>
  <c r="I183" i="6" a="1"/>
  <c r="I183" i="6" s="1"/>
  <c r="AY183" i="6" s="1"/>
  <c r="E179" i="6" a="1"/>
  <c r="E179" i="6" s="1"/>
  <c r="C181" i="6" a="1"/>
  <c r="C181" i="6" s="1"/>
  <c r="O182" i="6"/>
  <c r="AY178" i="6"/>
  <c r="AX177" i="6"/>
  <c r="AW179" i="6" l="1"/>
  <c r="X179" i="6"/>
  <c r="BB179" i="6" s="1"/>
  <c r="X181" i="6"/>
  <c r="BB181" i="6" s="1"/>
  <c r="G182" i="6" a="1"/>
  <c r="G182" i="6" s="1"/>
  <c r="AX182" i="6" s="1"/>
  <c r="E177" i="6" a="1"/>
  <c r="E177" i="6" s="1"/>
  <c r="K181" i="6" a="1"/>
  <c r="K181" i="6" s="1"/>
  <c r="AZ181" i="6" s="1"/>
  <c r="C182" i="6" a="1"/>
  <c r="C182" i="6" s="1"/>
  <c r="I184" i="6" a="1"/>
  <c r="I184" i="6" s="1"/>
  <c r="AY184" i="6" s="1"/>
  <c r="O183" i="6"/>
  <c r="AA181" i="6" l="1"/>
  <c r="BE181" i="6" s="1"/>
  <c r="AW177" i="6"/>
  <c r="X177" i="6"/>
  <c r="BB177" i="6" s="1"/>
  <c r="AA182" i="6"/>
  <c r="BE182" i="6" s="1"/>
  <c r="Y182" i="6"/>
  <c r="BC182" i="6" s="1"/>
  <c r="X182" i="6"/>
  <c r="BB182" i="6" s="1"/>
  <c r="I181" i="6" a="1"/>
  <c r="I181" i="6" s="1"/>
  <c r="Z181" i="6" s="1"/>
  <c r="BD181" i="6" s="1"/>
  <c r="G183" i="6" a="1"/>
  <c r="G183" i="6" s="1"/>
  <c r="AX183" i="6" s="1"/>
  <c r="C183" i="6" a="1"/>
  <c r="C183" i="6" s="1"/>
  <c r="E180" i="6" a="1"/>
  <c r="E180" i="6" s="1"/>
  <c r="K184" i="6" a="1"/>
  <c r="K184" i="6" s="1"/>
  <c r="AZ184" i="6" s="1"/>
  <c r="O184" i="6"/>
  <c r="AW180" i="6" l="1"/>
  <c r="X180" i="6"/>
  <c r="BB180" i="6" s="1"/>
  <c r="Y183" i="6"/>
  <c r="BC183" i="6" s="1"/>
  <c r="X183" i="6"/>
  <c r="BB183" i="6" s="1"/>
  <c r="Z183" i="6"/>
  <c r="BD183" i="6" s="1"/>
  <c r="I182" i="6" a="1"/>
  <c r="I182" i="6" s="1"/>
  <c r="Z182" i="6" s="1"/>
  <c r="BD182" i="6" s="1"/>
  <c r="G184" i="6" a="1"/>
  <c r="G184" i="6" s="1"/>
  <c r="AX184" i="6" s="1"/>
  <c r="C184" i="6" a="1"/>
  <c r="C184" i="6" s="1"/>
  <c r="K183" i="6" a="1"/>
  <c r="K183" i="6" s="1"/>
  <c r="AZ183" i="6" s="1"/>
  <c r="E178" i="6" a="1"/>
  <c r="E178" i="6" s="1"/>
  <c r="O185" i="6"/>
  <c r="G181" i="6" a="1"/>
  <c r="G181" i="6" s="1"/>
  <c r="Y181" i="6" s="1"/>
  <c r="BC181" i="6" s="1"/>
  <c r="AY181" i="6"/>
  <c r="AW178" i="6" l="1"/>
  <c r="X178" i="6"/>
  <c r="BB178" i="6" s="1"/>
  <c r="AA183" i="6"/>
  <c r="BE183" i="6" s="1"/>
  <c r="AA184" i="6"/>
  <c r="BE184" i="6" s="1"/>
  <c r="Z184" i="6"/>
  <c r="BD184" i="6" s="1"/>
  <c r="X184" i="6"/>
  <c r="BB184" i="6" s="1"/>
  <c r="Y184" i="6"/>
  <c r="BC184" i="6" s="1"/>
  <c r="AX181" i="6"/>
  <c r="I191" i="6" a="1"/>
  <c r="I191" i="6" s="1"/>
  <c r="AY191" i="6" s="1"/>
  <c r="E188" i="6" a="1"/>
  <c r="E188" i="6" s="1"/>
  <c r="AW188" i="6" s="1"/>
  <c r="C185" i="6" a="1"/>
  <c r="C185" i="6" s="1"/>
  <c r="K189" i="6" a="1"/>
  <c r="K189" i="6" s="1"/>
  <c r="AZ189" i="6" s="1"/>
  <c r="O186" i="6"/>
  <c r="AY182" i="6"/>
  <c r="K192" i="6" l="1" a="1"/>
  <c r="K192" i="6" s="1"/>
  <c r="AZ192" i="6" s="1"/>
  <c r="C186" i="6" a="1"/>
  <c r="C186" i="6" s="1"/>
  <c r="I190" i="6" a="1"/>
  <c r="I190" i="6" s="1"/>
  <c r="AY190" i="6" s="1"/>
  <c r="E185" i="6" a="1"/>
  <c r="E185" i="6" s="1"/>
  <c r="AW185" i="6" s="1"/>
  <c r="O187" i="6"/>
  <c r="X185" i="6" l="1"/>
  <c r="BB185" i="6" s="1"/>
  <c r="C187" i="6" a="1"/>
  <c r="C187" i="6" s="1"/>
  <c r="E186" i="6" a="1"/>
  <c r="E186" i="6" s="1"/>
  <c r="AW186" i="6" s="1"/>
  <c r="G187" i="6" a="1"/>
  <c r="G187" i="6" s="1"/>
  <c r="AX187" i="6" s="1"/>
  <c r="I189" i="6" a="1"/>
  <c r="I189" i="6" s="1"/>
  <c r="AY189" i="6" s="1"/>
  <c r="K191" i="6" a="1"/>
  <c r="K191" i="6" s="1"/>
  <c r="AZ191" i="6" s="1"/>
  <c r="O188" i="6"/>
  <c r="G185" i="6" a="1"/>
  <c r="G185" i="6" s="1"/>
  <c r="Y185" i="6" s="1"/>
  <c r="BC185" i="6" s="1"/>
  <c r="X186" i="6" l="1"/>
  <c r="BB186" i="6" s="1"/>
  <c r="Y187" i="6"/>
  <c r="BC187" i="6" s="1"/>
  <c r="AX185" i="6"/>
  <c r="G188" i="6" a="1"/>
  <c r="G188" i="6" s="1"/>
  <c r="AX188" i="6" s="1"/>
  <c r="I192" i="6" a="1"/>
  <c r="I192" i="6" s="1"/>
  <c r="AY192" i="6" s="1"/>
  <c r="K190" i="6" a="1"/>
  <c r="K190" i="6" s="1"/>
  <c r="AZ190" i="6" s="1"/>
  <c r="E187" i="6" a="1"/>
  <c r="E187" i="6" s="1"/>
  <c r="AW187" i="6" s="1"/>
  <c r="C188" i="6" a="1"/>
  <c r="C188" i="6" s="1"/>
  <c r="O189" i="6"/>
  <c r="G186" i="6" a="1"/>
  <c r="G186" i="6" s="1"/>
  <c r="Y186" i="6" s="1"/>
  <c r="BC186" i="6" s="1"/>
  <c r="X187" i="6" l="1"/>
  <c r="BB187" i="6" s="1"/>
  <c r="Y188" i="6"/>
  <c r="BC188" i="6" s="1"/>
  <c r="X188" i="6"/>
  <c r="BB188" i="6" s="1"/>
  <c r="AX186" i="6"/>
  <c r="I187" i="6" a="1"/>
  <c r="I187" i="6" s="1"/>
  <c r="Z187" i="6" s="1"/>
  <c r="BD187" i="6" s="1"/>
  <c r="E192" i="6" a="1"/>
  <c r="E192" i="6" s="1"/>
  <c r="AW192" i="6" s="1"/>
  <c r="C189" i="6" a="1"/>
  <c r="C189" i="6" s="1"/>
  <c r="K185" i="6" a="1"/>
  <c r="K185" i="6" s="1"/>
  <c r="AA185" i="6" s="1"/>
  <c r="BE185" i="6" s="1"/>
  <c r="O190" i="6"/>
  <c r="Z189" i="6" l="1"/>
  <c r="BD189" i="6" s="1"/>
  <c r="AA189" i="6"/>
  <c r="BE189" i="6" s="1"/>
  <c r="I186" i="6" a="1"/>
  <c r="I186" i="6" s="1"/>
  <c r="Z186" i="6" s="1"/>
  <c r="BD186" i="6" s="1"/>
  <c r="E189" i="6" a="1"/>
  <c r="E189" i="6" s="1"/>
  <c r="AW189" i="6" s="1"/>
  <c r="C190" i="6" a="1"/>
  <c r="C190" i="6" s="1"/>
  <c r="K188" i="6" a="1"/>
  <c r="K188" i="6" s="1"/>
  <c r="AA188" i="6" s="1"/>
  <c r="BE188" i="6" s="1"/>
  <c r="O191" i="6"/>
  <c r="AZ185" i="6"/>
  <c r="AY187" i="6"/>
  <c r="X189" i="6" l="1"/>
  <c r="BB189" i="6" s="1"/>
  <c r="AA190" i="6"/>
  <c r="BE190" i="6" s="1"/>
  <c r="Z190" i="6"/>
  <c r="BD190" i="6" s="1"/>
  <c r="G191" i="6" a="1"/>
  <c r="G191" i="6" s="1"/>
  <c r="AX191" i="6" s="1"/>
  <c r="C191" i="6" a="1"/>
  <c r="C191" i="6" s="1"/>
  <c r="K187" i="6" a="1"/>
  <c r="K187" i="6" s="1"/>
  <c r="AA187" i="6" s="1"/>
  <c r="BE187" i="6" s="1"/>
  <c r="E190" i="6" a="1"/>
  <c r="E190" i="6" s="1"/>
  <c r="AW190" i="6" s="1"/>
  <c r="I185" i="6" a="1"/>
  <c r="I185" i="6" s="1"/>
  <c r="Z185" i="6" s="1"/>
  <c r="BD185" i="6" s="1"/>
  <c r="O192" i="6"/>
  <c r="G189" i="6" a="1"/>
  <c r="G189" i="6" s="1"/>
  <c r="Y189" i="6" s="1"/>
  <c r="BC189" i="6" s="1"/>
  <c r="AZ188" i="6"/>
  <c r="AY186" i="6"/>
  <c r="X190" i="6" l="1"/>
  <c r="BB190" i="6" s="1"/>
  <c r="AA191" i="6"/>
  <c r="BE191" i="6" s="1"/>
  <c r="Z191" i="6"/>
  <c r="BD191" i="6" s="1"/>
  <c r="Y191" i="6"/>
  <c r="BC191" i="6" s="1"/>
  <c r="AX189" i="6"/>
  <c r="E191" i="6" a="1"/>
  <c r="E191" i="6" s="1"/>
  <c r="AW191" i="6" s="1"/>
  <c r="G192" i="6" a="1"/>
  <c r="G192" i="6" s="1"/>
  <c r="AX192" i="6" s="1"/>
  <c r="K186" i="6" a="1"/>
  <c r="K186" i="6" s="1"/>
  <c r="AA186" i="6" s="1"/>
  <c r="BE186" i="6" s="1"/>
  <c r="I188" i="6" a="1"/>
  <c r="I188" i="6" s="1"/>
  <c r="Z188" i="6" s="1"/>
  <c r="BD188" i="6" s="1"/>
  <c r="C192" i="6" a="1"/>
  <c r="C192" i="6" s="1"/>
  <c r="O193" i="6"/>
  <c r="G190" i="6" a="1"/>
  <c r="G190" i="6" s="1"/>
  <c r="Y190" i="6" s="1"/>
  <c r="BC190" i="6" s="1"/>
  <c r="AY185" i="6"/>
  <c r="AZ187" i="6"/>
  <c r="X191" i="6" l="1"/>
  <c r="BB191" i="6" s="1"/>
  <c r="Z192" i="6"/>
  <c r="BD192" i="6" s="1"/>
  <c r="Y192" i="6"/>
  <c r="BC192" i="6" s="1"/>
  <c r="AA192" i="6"/>
  <c r="BE192" i="6" s="1"/>
  <c r="X192" i="6"/>
  <c r="BB192" i="6" s="1"/>
  <c r="G193" i="6" a="1"/>
  <c r="G193" i="6" s="1"/>
  <c r="AX193" i="6" s="1"/>
  <c r="I193" i="6" a="1"/>
  <c r="I193" i="6" s="1"/>
  <c r="AY193" i="6" s="1"/>
  <c r="E196" i="6" a="1"/>
  <c r="E196" i="6" s="1"/>
  <c r="AW196" i="6" s="1"/>
  <c r="C193" i="6" a="1"/>
  <c r="C193" i="6" s="1"/>
  <c r="K193" i="6" a="1"/>
  <c r="K193" i="6" s="1"/>
  <c r="AZ193" i="6" s="1"/>
  <c r="O194" i="6"/>
  <c r="AY188" i="6"/>
  <c r="AZ186" i="6"/>
  <c r="AX190" i="6"/>
  <c r="Z193" i="6" l="1"/>
  <c r="BD193" i="6" s="1"/>
  <c r="AA193" i="6"/>
  <c r="BE193" i="6" s="1"/>
  <c r="Y193" i="6"/>
  <c r="BC193" i="6" s="1"/>
  <c r="C194" i="6" a="1"/>
  <c r="C194" i="6" s="1"/>
  <c r="E201" i="6" a="1"/>
  <c r="E201" i="6" s="1"/>
  <c r="AW201" i="6" s="1"/>
  <c r="I194" i="6" a="1"/>
  <c r="I194" i="6" s="1"/>
  <c r="AY194" i="6" s="1"/>
  <c r="K202" i="6" a="1"/>
  <c r="K202" i="6" s="1"/>
  <c r="AZ202" i="6" s="1"/>
  <c r="O195" i="6"/>
  <c r="Z194" i="6" l="1"/>
  <c r="BD194" i="6" s="1"/>
  <c r="E194" i="6" a="1"/>
  <c r="E194" i="6" s="1"/>
  <c r="AW194" i="6" s="1"/>
  <c r="K195" i="6" a="1"/>
  <c r="K195" i="6" s="1"/>
  <c r="AZ195" i="6" s="1"/>
  <c r="I201" i="6" a="1"/>
  <c r="I201" i="6" s="1"/>
  <c r="AY201" i="6" s="1"/>
  <c r="C195" i="6" a="1"/>
  <c r="C195" i="6" s="1"/>
  <c r="O196" i="6"/>
  <c r="X194" i="6" l="1"/>
  <c r="BB194" i="6" s="1"/>
  <c r="AA195" i="6"/>
  <c r="BE195" i="6" s="1"/>
  <c r="I196" i="6" a="1"/>
  <c r="I196" i="6" s="1"/>
  <c r="AY196" i="6" s="1"/>
  <c r="G196" i="6" a="1"/>
  <c r="G196" i="6" s="1"/>
  <c r="AX196" i="6" s="1"/>
  <c r="K196" i="6" a="1"/>
  <c r="K196" i="6" s="1"/>
  <c r="AZ196" i="6" s="1"/>
  <c r="E193" i="6" a="1"/>
  <c r="E193" i="6" s="1"/>
  <c r="C196" i="6" a="1"/>
  <c r="C196" i="6" s="1"/>
  <c r="O197" i="6"/>
  <c r="AW193" i="6" l="1"/>
  <c r="X193" i="6"/>
  <c r="BB193" i="6" s="1"/>
  <c r="AA196" i="6"/>
  <c r="BE196" i="6" s="1"/>
  <c r="Z196" i="6"/>
  <c r="BD196" i="6" s="1"/>
  <c r="X196" i="6"/>
  <c r="BB196" i="6" s="1"/>
  <c r="Y196" i="6"/>
  <c r="BC196" i="6" s="1"/>
  <c r="C197" i="6" a="1"/>
  <c r="C197" i="6" s="1"/>
  <c r="K200" i="6" a="1"/>
  <c r="K200" i="6" s="1"/>
  <c r="AZ200" i="6" s="1"/>
  <c r="I198" i="6" a="1"/>
  <c r="I198" i="6" s="1"/>
  <c r="AY198" i="6" s="1"/>
  <c r="E198" i="6" a="1"/>
  <c r="E198" i="6" s="1"/>
  <c r="AW198" i="6" s="1"/>
  <c r="O198" i="6"/>
  <c r="O199" i="6" l="1"/>
  <c r="G197" i="6" s="1" a="1"/>
  <c r="G197" i="6" s="1"/>
  <c r="AX197" i="6" s="1"/>
  <c r="K199" i="6" a="1"/>
  <c r="K199" i="6" s="1"/>
  <c r="AZ199" i="6" s="1"/>
  <c r="I197" i="6" a="1"/>
  <c r="I197" i="6" s="1"/>
  <c r="AY197" i="6" s="1"/>
  <c r="E199" i="6" a="1"/>
  <c r="E199" i="6" s="1"/>
  <c r="AW199" i="6" s="1"/>
  <c r="C198" i="6" a="1"/>
  <c r="C198" i="6" s="1"/>
  <c r="Z197" i="6" l="1"/>
  <c r="BD197" i="6" s="1"/>
  <c r="Y197" i="6"/>
  <c r="BC197" i="6" s="1"/>
  <c r="Z198" i="6"/>
  <c r="BD198" i="6" s="1"/>
  <c r="X198" i="6"/>
  <c r="BB198" i="6" s="1"/>
  <c r="E200" i="6" a="1"/>
  <c r="E200" i="6" s="1"/>
  <c r="AW200" i="6" s="1"/>
  <c r="I200" i="6" a="1"/>
  <c r="I200" i="6" s="1"/>
  <c r="AY200" i="6" s="1"/>
  <c r="K198" i="6" a="1"/>
  <c r="K198" i="6" s="1"/>
  <c r="AZ198" i="6" s="1"/>
  <c r="G199" i="6" a="1"/>
  <c r="G199" i="6" s="1"/>
  <c r="AX199" i="6" s="1"/>
  <c r="C199" i="6" a="1"/>
  <c r="C199" i="6" s="1"/>
  <c r="O200" i="6"/>
  <c r="G198" i="6" s="1" a="1"/>
  <c r="G198" i="6" s="1"/>
  <c r="AX198" i="6" s="1"/>
  <c r="Y198" i="6" l="1"/>
  <c r="BC198" i="6" s="1"/>
  <c r="AA198" i="6"/>
  <c r="BE198" i="6" s="1"/>
  <c r="X199" i="6"/>
  <c r="BB199" i="6" s="1"/>
  <c r="AA199" i="6"/>
  <c r="BE199" i="6" s="1"/>
  <c r="Y199" i="6"/>
  <c r="BC199" i="6" s="1"/>
  <c r="C200" i="6" a="1"/>
  <c r="C200" i="6" s="1"/>
  <c r="E197" i="6" a="1"/>
  <c r="E197" i="6" s="1"/>
  <c r="G200" i="6" a="1"/>
  <c r="G200" i="6" s="1"/>
  <c r="AX200" i="6" s="1"/>
  <c r="I199" i="6" a="1"/>
  <c r="I199" i="6" s="1"/>
  <c r="AY199" i="6" s="1"/>
  <c r="K197" i="6" a="1"/>
  <c r="K197" i="6" s="1"/>
  <c r="AA197" i="6" s="1"/>
  <c r="BE197" i="6" s="1"/>
  <c r="O201" i="6"/>
  <c r="Z199" i="6" l="1"/>
  <c r="BD199" i="6" s="1"/>
  <c r="AW197" i="6"/>
  <c r="X197" i="6"/>
  <c r="BB197" i="6" s="1"/>
  <c r="AA200" i="6"/>
  <c r="BE200" i="6" s="1"/>
  <c r="Y200" i="6"/>
  <c r="BC200" i="6" s="1"/>
  <c r="X200" i="6"/>
  <c r="BB200" i="6" s="1"/>
  <c r="Z200" i="6"/>
  <c r="BD200" i="6" s="1"/>
  <c r="AZ197" i="6"/>
  <c r="I195" i="6" a="1"/>
  <c r="I195" i="6" s="1"/>
  <c r="Z195" i="6" s="1"/>
  <c r="BD195" i="6" s="1"/>
  <c r="K201" i="6" a="1"/>
  <c r="K201" i="6" s="1"/>
  <c r="AZ201" i="6" s="1"/>
  <c r="E202" i="6" a="1"/>
  <c r="E202" i="6" s="1"/>
  <c r="AW202" i="6" s="1"/>
  <c r="C201" i="6" a="1"/>
  <c r="C201" i="6" s="1"/>
  <c r="G201" i="6" a="1"/>
  <c r="G201" i="6" s="1"/>
  <c r="AX201" i="6" s="1"/>
  <c r="O202" i="6"/>
  <c r="AH1" i="6" s="1"/>
  <c r="G195" i="6" a="1"/>
  <c r="G195" i="6" s="1"/>
  <c r="Y195" i="6" s="1"/>
  <c r="BC195" i="6" s="1"/>
  <c r="Z201" i="6" l="1"/>
  <c r="BD201" i="6" s="1"/>
  <c r="X201" i="6"/>
  <c r="BB201" i="6" s="1"/>
  <c r="AA201" i="6"/>
  <c r="BE201" i="6" s="1"/>
  <c r="Y201" i="6"/>
  <c r="BC201" i="6" s="1"/>
  <c r="AX195" i="6"/>
  <c r="AY195" i="6"/>
  <c r="G202" i="6" a="1"/>
  <c r="G202" i="6" s="1"/>
  <c r="AX202" i="6" s="1"/>
  <c r="K194" i="6" a="1"/>
  <c r="K194" i="6" s="1"/>
  <c r="AA194" i="6" s="1"/>
  <c r="BE194" i="6" s="1"/>
  <c r="I202" i="6" a="1"/>
  <c r="I202" i="6" s="1"/>
  <c r="AY202" i="6" s="1"/>
  <c r="E195" i="6" a="1"/>
  <c r="E195" i="6" s="1"/>
  <c r="C202" i="6" a="1"/>
  <c r="C202" i="6" s="1"/>
  <c r="G194" i="6" a="1"/>
  <c r="G194" i="6" s="1"/>
  <c r="Y194" i="6" s="1"/>
  <c r="BC194" i="6" s="1"/>
  <c r="AW195" i="6" l="1"/>
  <c r="X195" i="6"/>
  <c r="BB195" i="6" s="1"/>
  <c r="AA202" i="6"/>
  <c r="BE202" i="6" s="1"/>
  <c r="Y202" i="6"/>
  <c r="BC202" i="6" s="1"/>
  <c r="X202" i="6"/>
  <c r="BB202" i="6" s="1"/>
  <c r="Z202" i="6"/>
  <c r="BD202" i="6" s="1"/>
  <c r="AX194" i="6"/>
  <c r="AZ19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<sst xmlns="http://schemas.openxmlformats.org/spreadsheetml/2006/main" count="1039" uniqueCount="245">
  <si>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</si>
  <si>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</si>
  <si>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</si>
  <si>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</si>
  <si>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</si>
  <si>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</si>
  <si>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</si>
  <si>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</si>
  <si>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</si>
  <si>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</si>
  <si>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</si>
  <si>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</si>
  <si>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</si>
  <si>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</si>
  <si>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</si>
  <si>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</si>
  <si>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</si>
  <si>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</si>
  <si>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</si>
  <si>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</si>
  <si>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</si>
  <si>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</si>
  <si>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</si>
  <si>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</si>
  <si>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</si>
  <si>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</si>
  <si>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</si>
  <si>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</si>
  <si>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</si>
  <si>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</si>
  <si>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</si>
  <si>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</si>
  <si>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</si>
  <si>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</si>
  <si>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</si>
  <si>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</si>
  <si>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</si>
  <si>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</si>
  <si>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</si>
  <si>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</si>
  <si>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</si>
  <si>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</si>
  <si>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</si>
  <si>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</si>
  <si>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</si>
  <si>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</si>
  <si>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</si>
  <si>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</si>
  <si>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</si>
  <si>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</si>
  <si>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</si>
  <si>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</si>
  <si>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</si>
  <si>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</si>
  <si>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</si>
  <si>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</si>
  <si>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</si>
  <si>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</si>
  <si>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</si>
  <si>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</si>
  <si>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</si>
  <si>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</si>
  <si>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</si>
  <si>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</si>
  <si>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</si>
  <si>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</si>
  <si>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</si>
  <si>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</si>
  <si>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</si>
  <si>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</si>
  <si>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</si>
  <si>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</si>
  <si>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</si>
  <si>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</si>
  <si>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</si>
  <si>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</si>
  <si>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</si>
  <si>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</si>
  <si>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</si>
  <si>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</si>
  <si>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</si>
  <si>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</si>
  <si>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</si>
  <si>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</si>
  <si>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</si>
  <si>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</si>
  <si>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</si>
  <si>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</si>
  <si>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</si>
  <si>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</si>
  <si>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</si>
  <si>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</si>
  <si>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</si>
  <si>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</si>
  <si>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</si>
  <si>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</si>
  <si>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</si>
  <si>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</si>
  <si>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</si>
  <si>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</si>
  <si>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</si>
  <si>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</si>
  <si>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</si>
  <si>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</si>
  <si>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</si>
  <si>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</si>
  <si>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</si>
  <si>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</si>
  <si>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</si>
  <si>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</si>
  <si>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</si>
  <si>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</si>
  <si>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</si>
  <si>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</si>
  <si>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</si>
  <si>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</si>
  <si>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</si>
  <si>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</si>
  <si>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</si>
  <si>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</si>
  <si>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</si>
  <si>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</si>
  <si>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</si>
  <si>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</si>
  <si>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</si>
  <si>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</si>
  <si>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</si>
  <si>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</si>
  <si>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</si>
  <si>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</si>
  <si>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</si>
  <si>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</si>
  <si>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</si>
  <si>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</si>
  <si>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</si>
  <si>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</si>
  <si>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</si>
  <si>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</si>
  <si>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</si>
  <si>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</si>
  <si>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</si>
  <si>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</si>
  <si>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</si>
  <si>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</si>
  <si>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</si>
  <si>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</si>
  <si>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</si>
  <si>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</si>
  <si>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</si>
  <si>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</si>
  <si>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</si>
  <si>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</si>
  <si>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</si>
  <si>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</si>
  <si>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</si>
  <si>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</si>
  <si>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</si>
  <si>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</si>
  <si>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</si>
  <si>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</si>
  <si>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</si>
  <si>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</si>
  <si>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</si>
  <si>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</si>
  <si>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</si>
  <si>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</si>
  <si>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</si>
  <si>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</si>
  <si>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</si>
  <si>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</si>
  <si>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</si>
  <si>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</si>
  <si>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</si>
  <si>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</si>
  <si>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</si>
  <si>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</si>
  <si>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</si>
  <si>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</si>
  <si>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</si>
  <si>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</si>
  <si>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</si>
  <si>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</si>
  <si>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</si>
  <si>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</si>
  <si>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</si>
  <si>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</si>
  <si>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</si>
  <si>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</si>
  <si>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</si>
  <si>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</si>
  <si>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</si>
  <si>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</si>
  <si>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</si>
  <si>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</si>
  <si>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</si>
  <si>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</si>
  <si>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</si>
  <si>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</si>
  <si>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</si>
  <si>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</si>
  <si>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</si>
  <si>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</si>
  <si>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</si>
  <si>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</si>
  <si>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</si>
  <si>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</si>
  <si>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</si>
  <si>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</si>
  <si>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</si>
  <si>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</si>
  <si>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</si>
  <si>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</si>
  <si>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</si>
  <si>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</si>
  <si>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</si>
  <si>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</si>
  <si>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</si>
  <si>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</si>
  <si>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</si>
  <si>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</si>
  <si>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</si>
  <si>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</si>
  <si>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</si>
  <si>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</si>
  <si>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</si>
  <si>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</si>
  <si>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</si>
  <si>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</si>
  <si>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</si>
  <si>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</si>
  <si>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</si>
  <si>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</si>
  <si>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</si>
  <si>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</si>
  <si>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</si>
  <si>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</si>
  <si>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mirroedY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</si>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</sst>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</cellXfs>
  <cellStyles count="1">
    <cellStyle name="Normal" xfId="0" builtinId="0"/>
  </cellStyles>
  <dxfs count="4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E206"/>
  <sheetViews>
    <sheetView tabSelected="1" topLeftCell="S1" zoomScaleNormal="100" workbookViewId="0">
      <pane ySplit="1" topLeftCell="A2" activePane="bottomLeft" state="frozen"/>
      <selection pane="bottomLeft" activeCell="AE6" sqref="AE6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0" style="10" customWidth="1"/>
    <col min="13" max="13" width="13.85546875" style="44" customWidth="1"/>
    <col min="14" max="14" width="11.85546875" style="18" customWidth="1"/>
    <col min="15" max="15" width="11.85546875" style="20" customWidth="1"/>
    <col min="16" max="16" width="10" style="10" customWidth="1"/>
    <col min="17" max="17" width="16.42578125" style="21" bestFit="1" customWidth="1"/>
    <col min="18" max="18" width="9.140625" style="22" customWidth="1"/>
    <col min="19" max="19" width="13.7109375" style="18" bestFit="1" customWidth="1"/>
    <col min="20" max="20" width="14" style="24" bestFit="1" customWidth="1"/>
    <col min="21" max="21" width="14.42578125" style="24" bestFit="1" customWidth="1"/>
    <col min="22" max="22" width="14.42578125" style="21" bestFit="1" customWidth="1"/>
    <col min="24" max="25" width="13.42578125" bestFit="1" customWidth="1"/>
    <col min="26" max="27" width="13.5703125" bestFit="1" customWidth="1"/>
    <col min="28" max="28" width="9.140625" bestFit="1" customWidth="1"/>
    <col min="29" max="29" width="9" bestFit="1" customWidth="1"/>
    <col min="30" max="30" width="8.5703125" bestFit="1" customWidth="1"/>
    <col min="31" max="31" width="8.85546875" bestFit="1" customWidth="1"/>
    <col min="33" max="33" width="16.140625" customWidth="1"/>
    <col min="34" max="34" width="30.42578125" bestFit="1" customWidth="1"/>
    <col min="35" max="38" width="23.140625" customWidth="1"/>
    <col min="40" max="40" width="27.5703125" style="18" customWidth="1"/>
    <col min="41" max="46" width="27.5703125" style="24" customWidth="1"/>
    <col min="47" max="47" width="27.5703125" style="21" customWidth="1"/>
    <col min="49" max="52" width="16.140625" bestFit="1" customWidth="1"/>
    <col min="53" max="53" width="3" customWidth="1"/>
    <col min="54" max="55" width="17.42578125" bestFit="1" customWidth="1"/>
    <col min="56" max="56" width="17.28515625" bestFit="1" customWidth="1"/>
    <col min="57" max="57" width="17" bestFit="1" customWidth="1"/>
  </cols>
  <sheetData>
    <row r="1" spans="1:57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"/>
      <c r="M1" s="42"/>
      <c r="N1" s="16" t="s">
        <v>199</v>
      </c>
      <c r="O1" s="17" t="s">
        <v>200</v>
      </c>
      <c r="P1" s="4" t="s">
        <v>160</v>
      </c>
      <c r="Q1" s="5" t="s">
        <v>197</v>
      </c>
      <c r="S1" s="2" t="s">
        <v>214</v>
      </c>
      <c r="T1" s="3" t="s">
        <v>215</v>
      </c>
      <c r="U1" s="3" t="s">
        <v>216</v>
      </c>
      <c r="V1" s="29" t="s">
        <v>217</v>
      </c>
      <c r="X1" s="53" t="s">
        <v>243</v>
      </c>
      <c r="Y1" s="53" t="s">
        <v>244</v>
      </c>
      <c r="Z1" s="53" t="s">
        <v>223</v>
      </c>
      <c r="AA1" s="53" t="s">
        <v>224</v>
      </c>
      <c r="AB1" s="53" t="s">
        <v>226</v>
      </c>
      <c r="AC1" s="53" t="s">
        <v>227</v>
      </c>
      <c r="AD1" s="53" t="s">
        <v>228</v>
      </c>
      <c r="AE1" s="53" t="s">
        <v>229</v>
      </c>
      <c r="AG1" s="53" t="s">
        <v>222</v>
      </c>
      <c r="AH1" t="str">
        <f>"Glyph::Total = " &amp; (MAX(O:O) + 1)</f>
        <v>Glyph::Total = 190</v>
      </c>
      <c r="AI1" s="61" t="s">
        <v>237</v>
      </c>
      <c r="AJ1" s="61" t="s">
        <v>238</v>
      </c>
      <c r="AK1" s="61" t="s">
        <v>230</v>
      </c>
      <c r="AL1" s="61" t="s">
        <v>231</v>
      </c>
      <c r="AN1" s="58" t="s">
        <v>225</v>
      </c>
      <c r="AO1" s="59"/>
      <c r="AP1" s="59"/>
      <c r="AQ1" s="59"/>
      <c r="AR1" s="59"/>
      <c r="AS1" s="59"/>
      <c r="AT1" s="59"/>
      <c r="AU1" s="60"/>
      <c r="AW1" s="15" t="s">
        <v>234</v>
      </c>
      <c r="AX1" s="15" t="s">
        <v>233</v>
      </c>
      <c r="AY1" s="15" t="s">
        <v>235</v>
      </c>
      <c r="AZ1" s="15" t="s">
        <v>236</v>
      </c>
      <c r="BA1" s="15"/>
      <c r="BB1" s="15" t="s">
        <v>239</v>
      </c>
      <c r="BC1" s="15" t="s">
        <v>240</v>
      </c>
      <c r="BD1" s="15" t="s">
        <v>241</v>
      </c>
      <c r="BE1" s="15" t="s">
        <v>242</v>
      </c>
    </row>
    <row r="2" spans="1:57" x14ac:dyDescent="0.4">
      <c r="A2" s="7" t="s">
        <v>198</v>
      </c>
      <c r="B2" s="6" t="str">
        <f t="shared" ref="B2:B65" si="0">A2</f>
        <v xml:space="preserve"> </v>
      </c>
      <c r="C2" s="48" cm="1">
        <f t="array" ref="C2">IF($N2,INDEX($O:$O,MATCH(TRUE,EXACT(B2,$A:$A),0)),"")</f>
        <v>0</v>
      </c>
      <c r="D2" s="37" t="s">
        <v>198</v>
      </c>
      <c r="E2" s="48" cm="1">
        <f t="array" ref="E2">IF($N2,INDEX($O:$O,MATCH(TRUE,EXACT(D2,$A:$A),0)),"")</f>
        <v>0</v>
      </c>
      <c r="F2" s="37" t="s">
        <v>198</v>
      </c>
      <c r="G2" s="48" cm="1">
        <f t="array" ref="G2">IF($N2,INDEX($O:$O,MATCH(TRUE,EXACT(F2,$A:$A),0)),"")</f>
        <v>0</v>
      </c>
      <c r="H2" s="37" t="s">
        <v>198</v>
      </c>
      <c r="I2" s="48" cm="1">
        <f t="array" ref="I2">IF($N2,INDEX($O:$O,MATCH(TRUE,EXACT(H2,$A:$A),0)),"")</f>
        <v>0</v>
      </c>
      <c r="J2" s="37" t="s">
        <v>198</v>
      </c>
      <c r="K2" s="52" cm="1">
        <f t="array" ref="K2">IF($N2,INDEX($O:$O,MATCH(TRUE,EXACT(J2,$A:$A),0)),"")</f>
        <v>0</v>
      </c>
      <c r="L2" s="7"/>
      <c r="M2" s="43"/>
      <c r="N2" s="18" t="b">
        <f>AND(B2&lt;&gt;"", D2&lt;&gt;"", F2&lt;&gt;"", J2&lt;&gt;"", H2&lt;&gt;"")</f>
        <v>1</v>
      </c>
      <c r="O2" s="19">
        <v>0</v>
      </c>
      <c r="P2" s="23" t="str">
        <f t="shared" ref="P2:P65" si="1">A2</f>
        <v xml:space="preserve"> </v>
      </c>
      <c r="Q2" s="8" t="str" cm="1">
        <f t="array" ref="Q2">CharToUTF8(A2)</f>
        <v>\x20</v>
      </c>
      <c r="S2" s="18" t="str">
        <f>$AG$2</f>
        <v>EMPTY</v>
      </c>
      <c r="T2" s="24" t="str">
        <f>$AG$2</f>
        <v>EMPTY</v>
      </c>
      <c r="U2" s="24" t="str">
        <f>$AG$2</f>
        <v>EMPTY</v>
      </c>
      <c r="V2" s="21" t="str">
        <f>$AG$2</f>
        <v>EMPTY</v>
      </c>
      <c r="X2" s="31" t="b">
        <f>IF($N2,C2=E2,"")</f>
        <v>1</v>
      </c>
      <c r="Y2" s="31" t="b">
        <f>IF($N2,C2=G2,"")</f>
        <v>1</v>
      </c>
      <c r="Z2" t="b">
        <f>IF($N2,C2=I2,"")</f>
        <v>1</v>
      </c>
      <c r="AA2" t="b">
        <f>IF($N2,C2=K2,"")</f>
        <v>1</v>
      </c>
      <c r="AB2" t="b">
        <f>IF($N2,S2=VLOOKUP(S2,$AG$2:$AL$10,4,FALSE),"")</f>
        <v>1</v>
      </c>
      <c r="AC2" t="b">
        <f>IF($N2,T2=VLOOKUP(T2,$AG$2:$AL$10,4,FALSE),"")</f>
        <v>1</v>
      </c>
      <c r="AD2" t="b">
        <f>IF($N2,U2=VLOOKUP(U2,$AG$2:$AL$10,5,FALSE),"")</f>
        <v>1</v>
      </c>
      <c r="AE2" t="b">
        <f>IF($N2,V2=VLOOKUP(V2,$AG$2:$AL$10,5,FALSE),"")</f>
        <v>1</v>
      </c>
      <c r="AG2" s="25" t="s">
        <v>219</v>
      </c>
      <c r="AH2" s="26" t="s">
        <v>173</v>
      </c>
      <c r="AI2" s="62" t="s">
        <v>219</v>
      </c>
      <c r="AJ2" s="62" t="s">
        <v>219</v>
      </c>
      <c r="AK2" s="62" t="s">
        <v>219</v>
      </c>
      <c r="AL2" s="62" t="s">
        <v>219</v>
      </c>
      <c r="AN2" s="55" t="str">
        <f>IF($N2,"    { wxString::FromUTF8(""" &amp; $Q2 &amp; """), " &amp; _xlfn.TEXTJOIN(", ", TRUE, AW2:AZ2) &amp; ", " &amp; $AG$1 &amp; _xlfn.TEXTJOIN(", " &amp; $AG$1, TRUE, $S2:$V2) &amp; ", " &amp; _xlfn.TEXTJOIN(", ", TRUE, BB2:BE2) &amp; " },","")</f>
        <v xml:space="preserve">    { wxString::FromUTF8("\x20"), &amp;AllGlyphs[0], &amp;AllGlyphs[0], &amp;AllGlyphs[0], &amp;AllGlyphs[0], Connection::EMPTY, Connection::EMPTY, Connection::EMPTY, Connection::EMPTY, 1, 1, 1, 1 },</v>
      </c>
      <c r="AO2" s="56"/>
      <c r="AP2" s="56"/>
      <c r="AQ2" s="56"/>
      <c r="AR2" s="56"/>
      <c r="AS2" s="56"/>
      <c r="AT2" s="56"/>
      <c r="AU2" s="57"/>
      <c r="AW2" s="54" t="str">
        <f>IF($N2,"&amp;AllGlyphs[" &amp; E2 &amp; "]","")</f>
        <v>&amp;AllGlyphs[0]</v>
      </c>
      <c r="AX2" s="54" t="str">
        <f>IF($N2,"&amp;AllGlyphs[" &amp; G2 &amp; "]","")</f>
        <v>&amp;AllGlyphs[0]</v>
      </c>
      <c r="AY2" s="54" t="str">
        <f>IF($N2,"&amp;AllGlyphs[" &amp; I2 &amp; "]","")</f>
        <v>&amp;AllGlyphs[0]</v>
      </c>
      <c r="AZ2" s="54" t="str">
        <f>IF($N2,"&amp;AllGlyphs[" &amp; K2 &amp; "]","")</f>
        <v>&amp;AllGlyphs[0]</v>
      </c>
      <c r="BB2" s="64">
        <f>IF($N2,IF(X2,1,0),"")</f>
        <v>1</v>
      </c>
      <c r="BC2" s="64">
        <f t="shared" ref="BC2:BE2" si="2">IF($N2,IF(Y2,1,0),"")</f>
        <v>1</v>
      </c>
      <c r="BD2" s="64">
        <f t="shared" si="2"/>
        <v>1</v>
      </c>
      <c r="BE2" s="64">
        <f t="shared" si="2"/>
        <v>1</v>
      </c>
    </row>
    <row r="3" spans="1:57" ht="33" x14ac:dyDescent="0.5">
      <c r="A3" s="7" t="s">
        <v>52</v>
      </c>
      <c r="B3" s="6" t="str">
        <f t="shared" si="0"/>
        <v>!</v>
      </c>
      <c r="C3" s="48" cm="1">
        <f t="array" ref="C3">IF($N3,INDEX($O:$O,MATCH(TRUE,EXACT(B3,$A:$A),0)),"")</f>
        <v>1</v>
      </c>
      <c r="D3" s="38" t="s">
        <v>62</v>
      </c>
      <c r="E3" s="48" cm="1">
        <f t="array" ref="E3">IF($N3,INDEX($O:$O,MATCH(TRUE,EXACT(D3,$A:$A),0)),"")</f>
        <v>94</v>
      </c>
      <c r="F3" s="38" t="s">
        <v>52</v>
      </c>
      <c r="G3" s="48" cm="1">
        <f t="array" ref="G3">IF($O3&lt;&gt;"",INDEX($O:$O,MATCH(TRUE,EXACT(F3,$A:$A),0)),"")</f>
        <v>1</v>
      </c>
      <c r="H3" s="38" t="s">
        <v>52</v>
      </c>
      <c r="I3" s="48" cm="1">
        <f t="array" ref="I3">IF($N3,INDEX($O:$O,MATCH(TRUE,EXACT(H3,$A:$A),0)),"")</f>
        <v>1</v>
      </c>
      <c r="J3" s="38" t="s">
        <v>52</v>
      </c>
      <c r="K3" s="52" cm="1">
        <f t="array" ref="K3">IF($N3,INDEX($O:$O,MATCH(TRUE,EXACT(J3,$A:$A),0)),"")</f>
        <v>1</v>
      </c>
      <c r="L3" s="23"/>
      <c r="M3" s="63"/>
      <c r="N3" s="18" t="b">
        <f t="shared" ref="N3:N66" si="3">AND(B3&lt;&gt;"", D3&lt;&gt;"", F3&lt;&gt;"", J3&lt;&gt;"", H3&lt;&gt;"")</f>
        <v>1</v>
      </c>
      <c r="O3" s="19">
        <f>IF(N3, MAX(O$2:O2)+1,"")</f>
        <v>1</v>
      </c>
      <c r="P3" s="23" t="str">
        <f t="shared" si="1"/>
        <v>!</v>
      </c>
      <c r="Q3" s="8" t="str" cm="1">
        <f t="array" ref="Q3">CharToUTF8(A3)</f>
        <v>\x21</v>
      </c>
      <c r="S3" s="18" t="str">
        <f>$AG$2</f>
        <v>EMPTY</v>
      </c>
      <c r="T3" s="24" t="str">
        <f>$AG$2</f>
        <v>EMPTY</v>
      </c>
      <c r="U3" s="24" t="str">
        <f t="shared" ref="U3:V5" si="4">$AG$4</f>
        <v>ORTHO_BOTH</v>
      </c>
      <c r="V3" s="21" t="str">
        <f t="shared" si="4"/>
        <v>ORTHO_BOTH</v>
      </c>
      <c r="X3" s="31" t="b">
        <f t="shared" ref="X3:X66" si="5">IF($N3,C3=E3,"")</f>
        <v>0</v>
      </c>
      <c r="Y3" s="31" t="b">
        <f t="shared" ref="Y3:Y66" si="6">IF($N3,C3=G3,"")</f>
        <v>1</v>
      </c>
      <c r="Z3" t="b">
        <f t="shared" ref="Z3:Z66" si="7">IF($N3,C3=I3,"")</f>
        <v>1</v>
      </c>
      <c r="AA3" t="b">
        <f t="shared" ref="AA3:AA66" si="8">IF($N3,C3=K3,"")</f>
        <v>1</v>
      </c>
      <c r="AB3" t="b">
        <f>IF($N3,S3=VLOOKUP(S3,$AG$2:$AL$10,4,FALSE),"")</f>
        <v>1</v>
      </c>
      <c r="AC3" t="b">
        <f>IF($N3,T3=VLOOKUP(T3,$AG$2:$AL$10,4,FALSE),"")</f>
        <v>1</v>
      </c>
      <c r="AD3" t="b">
        <f>IF($N3,U3=VLOOKUP(U3,$AG$2:$AL$10,5,FALSE),"")</f>
        <v>1</v>
      </c>
      <c r="AE3" t="b">
        <f>IF($N3,V3=VLOOKUP(V3,$AG$2:$AL$10,5,FALSE),"")</f>
        <v>1</v>
      </c>
      <c r="AG3" s="18" t="s">
        <v>205</v>
      </c>
      <c r="AH3" s="21" t="s">
        <v>174</v>
      </c>
      <c r="AI3" s="62" t="s">
        <v>205</v>
      </c>
      <c r="AJ3" s="62" t="s">
        <v>205</v>
      </c>
      <c r="AK3" s="62" t="s">
        <v>205</v>
      </c>
      <c r="AL3" s="62" t="s">
        <v>205</v>
      </c>
      <c r="AN3" s="55" t="str">
        <f t="shared" ref="AN3:AN17" si="9">IF($N3,"    { wxString::FromUTF8(""" &amp; $Q3 &amp; """), " &amp; _xlfn.TEXTJOIN(", ", TRUE, AW3:AZ3) &amp; ", " &amp; $AG$1 &amp; _xlfn.TEXTJOIN(", " &amp; $AG$1, TRUE, $S3:$V3) &amp; ", " &amp; _xlfn.TEXTJOIN(", ", TRUE, BB3:BE3) &amp; " },","")</f>
        <v xml:space="preserve">    { wxString::FromUTF8("\x21"), &amp;AllGlyphs[94], &amp;AllGlyphs[1], &amp;AllGlyphs[1], &amp;AllGlyphs[1], Connection::EMPTY, Connection::EMPTY, Connection::ORTHO_BOTH, Connection::ORTHO_BOTH, 0, 1, 1, 1 },</v>
      </c>
      <c r="AO3" s="56"/>
      <c r="AP3" s="56"/>
      <c r="AQ3" s="56"/>
      <c r="AR3" s="56"/>
      <c r="AS3" s="56"/>
      <c r="AT3" s="56"/>
      <c r="AU3" s="57"/>
      <c r="AW3" s="54" t="str">
        <f t="shared" ref="AW3:AW66" si="10">IF($N3,"&amp;AllGlyphs[" &amp; E3 &amp; "]","")</f>
        <v>&amp;AllGlyphs[94]</v>
      </c>
      <c r="AX3" s="54" t="str">
        <f t="shared" ref="AX3:AX66" si="11">IF($N3,"&amp;AllGlyphs[" &amp; G3 &amp; "]","")</f>
        <v>&amp;AllGlyphs[1]</v>
      </c>
      <c r="AY3" s="54" t="str">
        <f t="shared" ref="AY3:AY66" si="12">IF($N3,"&amp;AllGlyphs[" &amp; I3 &amp; "]","")</f>
        <v>&amp;AllGlyphs[1]</v>
      </c>
      <c r="AZ3" s="54" t="str">
        <f t="shared" ref="AZ3:AZ66" si="13">IF($N3,"&amp;AllGlyphs[" &amp; K3 &amp; "]","")</f>
        <v>&amp;AllGlyphs[1]</v>
      </c>
      <c r="BB3" s="64">
        <f t="shared" ref="BB3:BB66" si="14">IF($N3,IF(X3,1,0),"")</f>
        <v>0</v>
      </c>
      <c r="BC3" s="64">
        <f t="shared" ref="BC3:BC66" si="15">IF($N3,IF(Y3,1,0),"")</f>
        <v>1</v>
      </c>
      <c r="BD3" s="64">
        <f t="shared" ref="BD3:BD66" si="16">IF($N3,IF(Z3,1,0),"")</f>
        <v>1</v>
      </c>
      <c r="BE3" s="64">
        <f t="shared" ref="BE3:BE66" si="17">IF($N3,IF(AA3,1,0),"")</f>
        <v>1</v>
      </c>
    </row>
    <row r="4" spans="1:57" x14ac:dyDescent="0.4">
      <c r="A4" s="7" t="s">
        <v>63</v>
      </c>
      <c r="B4" s="6" t="str">
        <f t="shared" si="0"/>
        <v>"</v>
      </c>
      <c r="C4" s="48" cm="1">
        <f t="array" ref="C4">IF($N4,INDEX($O:$O,MATCH(TRUE,EXACT(B4,$A:$A),0)),"")</f>
        <v>2</v>
      </c>
      <c r="D4" s="38" t="s">
        <v>63</v>
      </c>
      <c r="E4" s="48" cm="1">
        <f t="array" ref="E4">IF($N4,INDEX($O:$O,MATCH(TRUE,EXACT(D4,$A:$A),0)),"")</f>
        <v>2</v>
      </c>
      <c r="F4" s="38" t="s">
        <v>63</v>
      </c>
      <c r="G4" s="48" cm="1">
        <f t="array" ref="G4">IF($O4&lt;&gt;"",INDEX($O:$O,MATCH(TRUE,EXACT(F4,$A:$A),0)),"")</f>
        <v>2</v>
      </c>
      <c r="H4" s="38" t="s">
        <v>63</v>
      </c>
      <c r="I4" s="48" cm="1">
        <f t="array" ref="I4">IF($N4,INDEX($O:$O,MATCH(TRUE,EXACT(H4,$A:$A),0)),"")</f>
        <v>2</v>
      </c>
      <c r="J4" s="38" t="s">
        <v>63</v>
      </c>
      <c r="K4" s="52" cm="1">
        <f t="array" ref="K4">IF($N4,INDEX($O:$O,MATCH(TRUE,EXACT(J4,$A:$A),0)),"")</f>
        <v>2</v>
      </c>
      <c r="L4" s="23"/>
      <c r="M4" s="33"/>
      <c r="N4" s="18" t="b">
        <f t="shared" si="3"/>
        <v>1</v>
      </c>
      <c r="O4" s="19">
        <f>IF(N4, MAX(O$2:O3)+1,"")</f>
        <v>2</v>
      </c>
      <c r="P4" s="23" t="str">
        <f t="shared" si="1"/>
        <v>"</v>
      </c>
      <c r="Q4" s="8" t="str" cm="1">
        <f t="array" ref="Q4">CharToUTF8(A4)</f>
        <v>\x22</v>
      </c>
      <c r="S4" s="18" t="str">
        <f>$AG$4</f>
        <v>ORTHO_BOTH</v>
      </c>
      <c r="T4" s="24" t="str">
        <f>$AG$4</f>
        <v>ORTHO_BOTH</v>
      </c>
      <c r="U4" s="24" t="str">
        <f t="shared" si="4"/>
        <v>ORTHO_BOTH</v>
      </c>
      <c r="V4" s="21" t="str">
        <f t="shared" si="4"/>
        <v>ORTHO_BOTH</v>
      </c>
      <c r="X4" s="31" t="b">
        <f t="shared" si="5"/>
        <v>1</v>
      </c>
      <c r="Y4" s="31" t="b">
        <f t="shared" si="6"/>
        <v>1</v>
      </c>
      <c r="Z4" t="b">
        <f t="shared" si="7"/>
        <v>1</v>
      </c>
      <c r="AA4" t="b">
        <f t="shared" si="8"/>
        <v>1</v>
      </c>
      <c r="AB4" t="b">
        <f>IF($N4,S4=VLOOKUP(S4,$AG$2:$AL$10,4,FALSE),"")</f>
        <v>1</v>
      </c>
      <c r="AC4" t="b">
        <f>IF($N4,T4=VLOOKUP(T4,$AG$2:$AL$10,4,FALSE),"")</f>
        <v>1</v>
      </c>
      <c r="AD4" t="b">
        <f>IF($N4,U4=VLOOKUP(U4,$AG$2:$AL$10,5,FALSE),"")</f>
        <v>1</v>
      </c>
      <c r="AE4" t="b">
        <f>IF($N4,V4=VLOOKUP(V4,$AG$2:$AL$10,5,FALSE),"")</f>
        <v>1</v>
      </c>
      <c r="AG4" s="18" t="s">
        <v>206</v>
      </c>
      <c r="AH4" s="21" t="s">
        <v>175</v>
      </c>
      <c r="AI4" s="62" t="s">
        <v>206</v>
      </c>
      <c r="AJ4" s="62" t="s">
        <v>206</v>
      </c>
      <c r="AK4" s="62" t="s">
        <v>206</v>
      </c>
      <c r="AL4" s="62" t="s">
        <v>206</v>
      </c>
      <c r="AN4" s="55" t="str">
        <f t="shared" si="9"/>
        <v xml:space="preserve">    { wxString::FromUTF8("\x22"), &amp;AllGlyphs[2], &amp;AllGlyphs[2], &amp;AllGlyphs[2], &amp;AllGlyphs[2], Connection::ORTHO_BOTH, Connection::ORTHO_BOTH, Connection::ORTHO_BOTH, Connection::ORTHO_BOTH, 1, 1, 1, 1 },</v>
      </c>
      <c r="AO4" s="56"/>
      <c r="AP4" s="56"/>
      <c r="AQ4" s="56"/>
      <c r="AR4" s="56"/>
      <c r="AS4" s="56"/>
      <c r="AT4" s="56"/>
      <c r="AU4" s="57"/>
      <c r="AW4" s="54" t="str">
        <f t="shared" si="10"/>
        <v>&amp;AllGlyphs[2]</v>
      </c>
      <c r="AX4" s="54" t="str">
        <f t="shared" si="11"/>
        <v>&amp;AllGlyphs[2]</v>
      </c>
      <c r="AY4" s="54" t="str">
        <f t="shared" si="12"/>
        <v>&amp;AllGlyphs[2]</v>
      </c>
      <c r="AZ4" s="54" t="str">
        <f t="shared" si="13"/>
        <v>&amp;AllGlyphs[2]</v>
      </c>
      <c r="BB4" s="64">
        <f t="shared" si="14"/>
        <v>1</v>
      </c>
      <c r="BC4" s="64">
        <f t="shared" si="15"/>
        <v>1</v>
      </c>
      <c r="BD4" s="64">
        <f t="shared" si="16"/>
        <v>1</v>
      </c>
      <c r="BE4" s="64">
        <f t="shared" si="17"/>
        <v>1</v>
      </c>
    </row>
    <row r="5" spans="1:57" ht="33" customHeight="1" x14ac:dyDescent="0.4">
      <c r="A5" s="7" t="s">
        <v>54</v>
      </c>
      <c r="B5" s="6" t="str">
        <f t="shared" si="0"/>
        <v>#</v>
      </c>
      <c r="C5" s="48" cm="1">
        <f t="array" ref="C5">IF($N5,INDEX($O:$O,MATCH(TRUE,EXACT(B5,$A:$A),0)),"")</f>
        <v>3</v>
      </c>
      <c r="D5" s="38" t="s">
        <v>53</v>
      </c>
      <c r="E5" s="48" cm="1">
        <f t="array" ref="E5">IF($N5,INDEX($O:$O,MATCH(TRUE,EXACT(D5,$A:$A),0)),"")</f>
        <v>32</v>
      </c>
      <c r="F5" s="38" t="s">
        <v>54</v>
      </c>
      <c r="G5" s="48" cm="1">
        <f t="array" ref="G5">IF($O5&lt;&gt;"",INDEX($O:$O,MATCH(TRUE,EXACT(F5,$A:$A),0)),"")</f>
        <v>3</v>
      </c>
      <c r="H5" s="38" t="s">
        <v>54</v>
      </c>
      <c r="I5" s="48" cm="1">
        <f t="array" ref="I5">IF($N5,INDEX($O:$O,MATCH(TRUE,EXACT(H5,$A:$A),0)),"")</f>
        <v>3</v>
      </c>
      <c r="J5" s="38" t="s">
        <v>54</v>
      </c>
      <c r="K5" s="52" cm="1">
        <f t="array" ref="K5">IF($N5,INDEX($O:$O,MATCH(TRUE,EXACT(J5,$A:$A),0)),"")</f>
        <v>3</v>
      </c>
      <c r="L5" s="23"/>
      <c r="M5" s="33"/>
      <c r="N5" s="18" t="b">
        <f t="shared" si="3"/>
        <v>1</v>
      </c>
      <c r="O5" s="19">
        <f>IF(N5, MAX(O$2:O4)+1,"")</f>
        <v>3</v>
      </c>
      <c r="P5" s="23" t="str">
        <f t="shared" si="1"/>
        <v>#</v>
      </c>
      <c r="Q5" s="8" t="str" cm="1">
        <f t="array" ref="Q5">CharToUTF8(A5)</f>
        <v>\x23</v>
      </c>
      <c r="S5" s="18" t="str">
        <f>$AG$2</f>
        <v>EMPTY</v>
      </c>
      <c r="T5" s="24" t="str">
        <f>$AG$2</f>
        <v>EMPTY</v>
      </c>
      <c r="U5" s="24" t="str">
        <f t="shared" si="4"/>
        <v>ORTHO_BOTH</v>
      </c>
      <c r="V5" s="21" t="str">
        <f t="shared" si="4"/>
        <v>ORTHO_BOTH</v>
      </c>
      <c r="X5" s="31" t="b">
        <f t="shared" si="5"/>
        <v>0</v>
      </c>
      <c r="Y5" s="31" t="b">
        <f t="shared" si="6"/>
        <v>1</v>
      </c>
      <c r="Z5" t="b">
        <f t="shared" si="7"/>
        <v>1</v>
      </c>
      <c r="AA5" t="b">
        <f t="shared" si="8"/>
        <v>1</v>
      </c>
      <c r="AB5" t="b">
        <f>IF($N5,S5=VLOOKUP(S5,$AG$2:$AL$10,4,FALSE),"")</f>
        <v>1</v>
      </c>
      <c r="AC5" t="b">
        <f>IF($N5,T5=VLOOKUP(T5,$AG$2:$AL$10,4,FALSE),"")</f>
        <v>1</v>
      </c>
      <c r="AD5" t="b">
        <f>IF($N5,U5=VLOOKUP(U5,$AG$2:$AL$10,5,FALSE),"")</f>
        <v>1</v>
      </c>
      <c r="AE5" t="b">
        <f>IF($N5,V5=VLOOKUP(V5,$AG$2:$AL$10,5,FALSE),"")</f>
        <v>1</v>
      </c>
      <c r="AG5" s="18" t="s">
        <v>207</v>
      </c>
      <c r="AH5" s="21" t="s">
        <v>176</v>
      </c>
      <c r="AI5" s="62" t="s">
        <v>207</v>
      </c>
      <c r="AJ5" s="62" t="s">
        <v>207</v>
      </c>
      <c r="AK5" s="62" t="s">
        <v>208</v>
      </c>
      <c r="AL5" s="62" t="s">
        <v>208</v>
      </c>
      <c r="AN5" s="55" t="str">
        <f t="shared" si="9"/>
        <v xml:space="preserve">    { wxString::FromUTF8("\x23"), &amp;AllGlyphs[32], &amp;AllGlyphs[3], &amp;AllGlyphs[3], &amp;AllGlyphs[3], Connection::EMPTY, Connection::EMPTY, Connection::ORTHO_BOTH, Connection::ORTHO_BOTH, 0, 1, 1, 1 },</v>
      </c>
      <c r="AO5" s="56"/>
      <c r="AP5" s="56"/>
      <c r="AQ5" s="56"/>
      <c r="AR5" s="56"/>
      <c r="AS5" s="56"/>
      <c r="AT5" s="56"/>
      <c r="AU5" s="57"/>
      <c r="AW5" s="54" t="str">
        <f t="shared" si="10"/>
        <v>&amp;AllGlyphs[32]</v>
      </c>
      <c r="AX5" s="54" t="str">
        <f t="shared" si="11"/>
        <v>&amp;AllGlyphs[3]</v>
      </c>
      <c r="AY5" s="54" t="str">
        <f t="shared" si="12"/>
        <v>&amp;AllGlyphs[3]</v>
      </c>
      <c r="AZ5" s="54" t="str">
        <f t="shared" si="13"/>
        <v>&amp;AllGlyphs[3]</v>
      </c>
      <c r="BB5" s="64">
        <f t="shared" si="14"/>
        <v>0</v>
      </c>
      <c r="BC5" s="64">
        <f t="shared" si="15"/>
        <v>1</v>
      </c>
      <c r="BD5" s="64">
        <f t="shared" si="16"/>
        <v>1</v>
      </c>
      <c r="BE5" s="64">
        <f t="shared" si="17"/>
        <v>1</v>
      </c>
    </row>
    <row r="6" spans="1:57" x14ac:dyDescent="0.4">
      <c r="A6" s="7" t="s">
        <v>55</v>
      </c>
      <c r="B6" s="6" t="str">
        <f t="shared" si="0"/>
        <v>$</v>
      </c>
      <c r="C6" s="48" cm="1">
        <f t="array" ref="C6">IF($N6,INDEX($O:$O,MATCH(TRUE,EXACT(B6,$A:$A),0)),"")</f>
        <v>4</v>
      </c>
      <c r="D6" s="38" t="s">
        <v>48</v>
      </c>
      <c r="E6" s="48" cm="1">
        <f t="array" ref="E6">IF($N6,INDEX($O:$O,MATCH(TRUE,EXACT(D6,$A:$A),0)),"")</f>
        <v>54</v>
      </c>
      <c r="F6" s="38" t="s">
        <v>29</v>
      </c>
      <c r="G6" s="48" cm="1">
        <f t="array" ref="G6">IF($O6&lt;&gt;"",INDEX($O:$O,MATCH(TRUE,EXACT(F6,$A:$A),0)),"")</f>
        <v>50</v>
      </c>
      <c r="H6" s="38" t="s">
        <v>29</v>
      </c>
      <c r="I6" s="48" cm="1">
        <f t="array" ref="I6">IF($N6,INDEX($O:$O,MATCH(TRUE,EXACT(H6,$A:$A),0)),"")</f>
        <v>50</v>
      </c>
      <c r="J6" s="38" t="s">
        <v>55</v>
      </c>
      <c r="K6" s="52" cm="1">
        <f t="array" ref="K6">IF($N6,INDEX($O:$O,MATCH(TRUE,EXACT(J6,$A:$A),0)),"")</f>
        <v>4</v>
      </c>
      <c r="L6" s="23"/>
      <c r="M6" s="33"/>
      <c r="N6" s="18" t="b">
        <f t="shared" si="3"/>
        <v>1</v>
      </c>
      <c r="O6" s="19">
        <f>IF(N6, MAX(O$2:O5)+1,"")</f>
        <v>4</v>
      </c>
      <c r="P6" s="23" t="str">
        <f t="shared" si="1"/>
        <v>$</v>
      </c>
      <c r="Q6" s="8" t="str" cm="1">
        <f t="array" ref="Q6">CharToUTF8(A6)</f>
        <v>\x24</v>
      </c>
      <c r="S6" s="18" t="str">
        <f>$AG$2</f>
        <v>EMPTY</v>
      </c>
      <c r="T6" s="24" t="str">
        <f>$AG$4</f>
        <v>ORTHO_BOTH</v>
      </c>
      <c r="U6" s="24" t="str">
        <f>$AG$2</f>
        <v>EMPTY</v>
      </c>
      <c r="V6" s="21" t="str">
        <f>$AG$2</f>
        <v>EMPTY</v>
      </c>
      <c r="X6" s="31" t="b">
        <f t="shared" si="5"/>
        <v>0</v>
      </c>
      <c r="Y6" s="31" t="b">
        <f t="shared" si="6"/>
        <v>0</v>
      </c>
      <c r="Z6" t="b">
        <f t="shared" si="7"/>
        <v>0</v>
      </c>
      <c r="AA6" t="b">
        <f t="shared" si="8"/>
        <v>1</v>
      </c>
      <c r="AB6" t="b">
        <f>IF($N6,S6=VLOOKUP(S6,$AG$2:$AL$10,4,FALSE),"")</f>
        <v>1</v>
      </c>
      <c r="AC6" t="b">
        <f>IF($N6,T6=VLOOKUP(T6,$AG$2:$AL$10,4,FALSE),"")</f>
        <v>1</v>
      </c>
      <c r="AD6" t="b">
        <f>IF($N6,U6=VLOOKUP(U6,$AG$2:$AL$10,5,FALSE),"")</f>
        <v>1</v>
      </c>
      <c r="AE6" t="b">
        <f>IF($N6,V6=VLOOKUP(V6,$AG$2:$AL$10,5,FALSE),"")</f>
        <v>1</v>
      </c>
      <c r="AG6" s="18" t="s">
        <v>208</v>
      </c>
      <c r="AH6" s="21" t="s">
        <v>177</v>
      </c>
      <c r="AI6" s="62" t="s">
        <v>208</v>
      </c>
      <c r="AJ6" s="62" t="s">
        <v>208</v>
      </c>
      <c r="AK6" s="62" t="s">
        <v>207</v>
      </c>
      <c r="AL6" s="62" t="s">
        <v>207</v>
      </c>
      <c r="AN6" s="55" t="str">
        <f t="shared" si="9"/>
        <v xml:space="preserve">    { wxString::FromUTF8("\x24"), &amp;AllGlyphs[54], &amp;AllGlyphs[50], &amp;AllGlyphs[50], &amp;AllGlyphs[4], Connection::EMPTY, Connection::ORTHO_BOTH, Connection::EMPTY, Connection::EMPTY, 0, 0, 0, 1 },</v>
      </c>
      <c r="AO6" s="56"/>
      <c r="AP6" s="56"/>
      <c r="AQ6" s="56"/>
      <c r="AR6" s="56"/>
      <c r="AS6" s="56"/>
      <c r="AT6" s="56"/>
      <c r="AU6" s="57"/>
      <c r="AW6" s="54" t="str">
        <f t="shared" si="10"/>
        <v>&amp;AllGlyphs[54]</v>
      </c>
      <c r="AX6" s="54" t="str">
        <f t="shared" si="11"/>
        <v>&amp;AllGlyphs[50]</v>
      </c>
      <c r="AY6" s="54" t="str">
        <f t="shared" si="12"/>
        <v>&amp;AllGlyphs[50]</v>
      </c>
      <c r="AZ6" s="54" t="str">
        <f t="shared" si="13"/>
        <v>&amp;AllGlyphs[4]</v>
      </c>
      <c r="BB6" s="64">
        <f t="shared" si="14"/>
        <v>0</v>
      </c>
      <c r="BC6" s="64">
        <f t="shared" si="15"/>
        <v>0</v>
      </c>
      <c r="BD6" s="64">
        <f t="shared" si="16"/>
        <v>0</v>
      </c>
      <c r="BE6" s="64">
        <f t="shared" si="17"/>
        <v>1</v>
      </c>
    </row>
    <row r="7" spans="1:57" x14ac:dyDescent="0.4">
      <c r="A7" s="7" t="s">
        <v>56</v>
      </c>
      <c r="B7" s="6" t="str">
        <f t="shared" si="0"/>
        <v>%</v>
      </c>
      <c r="C7" s="48" cm="1">
        <f t="array" ref="C7">IF($N7,INDEX($O:$O,MATCH(TRUE,EXACT(B7,$A:$A),0)),"")</f>
        <v>5</v>
      </c>
      <c r="D7" s="38" t="s">
        <v>41</v>
      </c>
      <c r="E7" s="48" cm="1">
        <f t="array" ref="E7">IF($N7,INDEX($O:$O,MATCH(TRUE,EXACT(D7,$A:$A),0)),"")</f>
        <v>40</v>
      </c>
      <c r="F7" s="38" t="s">
        <v>30</v>
      </c>
      <c r="G7" s="48" cm="1">
        <f t="array" ref="G7">IF($O7&lt;&gt;"",INDEX($O:$O,MATCH(TRUE,EXACT(F7,$A:$A),0)),"")</f>
        <v>52</v>
      </c>
      <c r="H7" s="38" t="s">
        <v>30</v>
      </c>
      <c r="I7" s="48" cm="1">
        <f t="array" ref="I7">IF($N7,INDEX($O:$O,MATCH(TRUE,EXACT(H7,$A:$A),0)),"")</f>
        <v>52</v>
      </c>
      <c r="J7" s="38" t="s">
        <v>56</v>
      </c>
      <c r="K7" s="52" cm="1">
        <f t="array" ref="K7">IF($N7,INDEX($O:$O,MATCH(TRUE,EXACT(J7,$A:$A),0)),"")</f>
        <v>5</v>
      </c>
      <c r="L7" s="23"/>
      <c r="M7" s="33"/>
      <c r="N7" s="18" t="b">
        <f t="shared" si="3"/>
        <v>1</v>
      </c>
      <c r="O7" s="19">
        <f>IF(N7, MAX(O$2:O6)+1,"")</f>
        <v>5</v>
      </c>
      <c r="P7" s="23" t="str">
        <f t="shared" si="1"/>
        <v>%</v>
      </c>
      <c r="Q7" s="8" t="str" cm="1">
        <f t="array" ref="Q7">CharToUTF8(A7)</f>
        <v>\x25</v>
      </c>
      <c r="S7" s="18" t="str">
        <f>$AG$2</f>
        <v>EMPTY</v>
      </c>
      <c r="T7" s="24" t="str">
        <f>$AG$3</f>
        <v>DIAG_BOTH</v>
      </c>
      <c r="U7" s="24" t="str">
        <f>$AG$4</f>
        <v>ORTHO_BOTH</v>
      </c>
      <c r="V7" s="21" t="str">
        <f>$AG$4</f>
        <v>ORTHO_BOTH</v>
      </c>
      <c r="X7" s="31" t="b">
        <f t="shared" si="5"/>
        <v>0</v>
      </c>
      <c r="Y7" s="31" t="b">
        <f t="shared" si="6"/>
        <v>0</v>
      </c>
      <c r="Z7" t="b">
        <f t="shared" si="7"/>
        <v>0</v>
      </c>
      <c r="AA7" t="b">
        <f t="shared" si="8"/>
        <v>1</v>
      </c>
      <c r="AB7" t="b">
        <f>IF($N7,S7=VLOOKUP(S7,$AG$2:$AL$10,4,FALSE),"")</f>
        <v>1</v>
      </c>
      <c r="AC7" t="b">
        <f>IF($N7,T7=VLOOKUP(T7,$AG$2:$AL$10,4,FALSE),"")</f>
        <v>1</v>
      </c>
      <c r="AD7" t="b">
        <f>IF($N7,U7=VLOOKUP(U7,$AG$2:$AL$10,5,FALSE),"")</f>
        <v>1</v>
      </c>
      <c r="AE7" t="b">
        <f>IF($N7,V7=VLOOKUP(V7,$AG$2:$AL$10,5,FALSE),"")</f>
        <v>1</v>
      </c>
      <c r="AG7" s="18" t="s">
        <v>212</v>
      </c>
      <c r="AH7" s="21" t="s">
        <v>203</v>
      </c>
      <c r="AI7" s="62" t="s">
        <v>210</v>
      </c>
      <c r="AJ7" s="62" t="s">
        <v>213</v>
      </c>
      <c r="AK7" s="62" t="s">
        <v>213</v>
      </c>
      <c r="AL7" s="62" t="s">
        <v>212</v>
      </c>
      <c r="AN7" s="55" t="str">
        <f t="shared" si="9"/>
        <v xml:space="preserve">    { wxString::FromUTF8("\x25"), &amp;AllGlyphs[40], &amp;AllGlyphs[52], &amp;AllGlyphs[52], &amp;AllGlyphs[5], Connection::EMPTY, Connection::DIAG_BOTH, Connection::ORTHO_BOTH, Connection::ORTHO_BOTH, 0, 0, 0, 1 },</v>
      </c>
      <c r="AO7" s="56"/>
      <c r="AP7" s="56"/>
      <c r="AQ7" s="56"/>
      <c r="AR7" s="56"/>
      <c r="AS7" s="56"/>
      <c r="AT7" s="56"/>
      <c r="AU7" s="57"/>
      <c r="AW7" s="54" t="str">
        <f t="shared" si="10"/>
        <v>&amp;AllGlyphs[40]</v>
      </c>
      <c r="AX7" s="54" t="str">
        <f t="shared" si="11"/>
        <v>&amp;AllGlyphs[52]</v>
      </c>
      <c r="AY7" s="54" t="str">
        <f t="shared" si="12"/>
        <v>&amp;AllGlyphs[52]</v>
      </c>
      <c r="AZ7" s="54" t="str">
        <f t="shared" si="13"/>
        <v>&amp;AllGlyphs[5]</v>
      </c>
      <c r="BB7" s="64">
        <f t="shared" si="14"/>
        <v>0</v>
      </c>
      <c r="BC7" s="64">
        <f t="shared" si="15"/>
        <v>0</v>
      </c>
      <c r="BD7" s="64">
        <f t="shared" si="16"/>
        <v>0</v>
      </c>
      <c r="BE7" s="64">
        <f t="shared" si="17"/>
        <v>1</v>
      </c>
    </row>
    <row r="8" spans="1:57" x14ac:dyDescent="0.4">
      <c r="A8" s="7" t="s">
        <v>58</v>
      </c>
      <c r="B8" s="6" t="str">
        <f t="shared" si="0"/>
        <v>&amp;</v>
      </c>
      <c r="C8" s="48" cm="1">
        <f t="array" ref="C8">IF($N8,INDEX($O:$O,MATCH(TRUE,EXACT(B8,$A:$A),0)),"")</f>
        <v>6</v>
      </c>
      <c r="D8" s="38" t="s">
        <v>43</v>
      </c>
      <c r="E8" s="48" cm="1">
        <f t="array" ref="E8">IF($N8,INDEX($O:$O,MATCH(TRUE,EXACT(D8,$A:$A),0)),"")</f>
        <v>43</v>
      </c>
      <c r="F8" s="38" t="s">
        <v>33</v>
      </c>
      <c r="G8" s="48" cm="1">
        <f t="array" ref="G8">IF($O8&lt;&gt;"",INDEX($O:$O,MATCH(TRUE,EXACT(F8,$A:$A),0)),"")</f>
        <v>41</v>
      </c>
      <c r="H8" s="38" t="s">
        <v>32</v>
      </c>
      <c r="I8" s="48" cm="1">
        <f t="array" ref="I8">IF($N8,INDEX($O:$O,MATCH(TRUE,EXACT(H8,$A:$A),0)),"")</f>
        <v>53</v>
      </c>
      <c r="J8" s="38" t="s">
        <v>59</v>
      </c>
      <c r="K8" s="52" cm="1">
        <f t="array" ref="K8">IF($N8,INDEX($O:$O,MATCH(TRUE,EXACT(J8,$A:$A),0)),"")</f>
        <v>10</v>
      </c>
      <c r="L8" s="23"/>
      <c r="M8" s="33"/>
      <c r="N8" s="18" t="b">
        <f t="shared" si="3"/>
        <v>1</v>
      </c>
      <c r="O8" s="19">
        <f>IF(N8, MAX(O$2:O7)+1,"")</f>
        <v>6</v>
      </c>
      <c r="P8" s="23" t="str">
        <f t="shared" si="1"/>
        <v>&amp;</v>
      </c>
      <c r="Q8" s="8" t="str" cm="1">
        <f t="array" ref="Q8">CharToUTF8(A8)</f>
        <v>\x26</v>
      </c>
      <c r="S8" s="18" t="str">
        <f>$AG$3</f>
        <v>DIAG_BOTH</v>
      </c>
      <c r="T8" s="24" t="str">
        <f>$AG$4</f>
        <v>ORTHO_BOTH</v>
      </c>
      <c r="U8" s="24" t="str">
        <f>$AG$2</f>
        <v>EMPTY</v>
      </c>
      <c r="V8" s="21" t="str">
        <f>$AG$4</f>
        <v>ORTHO_BOTH</v>
      </c>
      <c r="X8" s="31" t="b">
        <f t="shared" si="5"/>
        <v>0</v>
      </c>
      <c r="Y8" s="31" t="b">
        <f t="shared" si="6"/>
        <v>0</v>
      </c>
      <c r="Z8" t="b">
        <f t="shared" si="7"/>
        <v>0</v>
      </c>
      <c r="AA8" t="b">
        <f t="shared" si="8"/>
        <v>0</v>
      </c>
      <c r="AB8" t="b">
        <f>IF($N8,S8=VLOOKUP(S8,$AG$2:$AL$10,4,FALSE),"")</f>
        <v>1</v>
      </c>
      <c r="AC8" t="b">
        <f>IF($N8,T8=VLOOKUP(T8,$AG$2:$AL$10,4,FALSE),"")</f>
        <v>1</v>
      </c>
      <c r="AD8" t="b">
        <f>IF($N8,U8=VLOOKUP(U8,$AG$2:$AL$10,5,FALSE),"")</f>
        <v>1</v>
      </c>
      <c r="AE8" t="b">
        <f>IF($N8,V8=VLOOKUP(V8,$AG$2:$AL$10,5,FALSE),"")</f>
        <v>1</v>
      </c>
      <c r="AG8" s="18" t="s">
        <v>213</v>
      </c>
      <c r="AH8" s="21" t="s">
        <v>204</v>
      </c>
      <c r="AI8" s="62" t="s">
        <v>209</v>
      </c>
      <c r="AJ8" s="62" t="s">
        <v>212</v>
      </c>
      <c r="AK8" s="62" t="s">
        <v>212</v>
      </c>
      <c r="AL8" s="62" t="s">
        <v>213</v>
      </c>
      <c r="AN8" s="55" t="str">
        <f t="shared" si="9"/>
        <v xml:space="preserve">    { wxString::FromUTF8("\x26"), &amp;AllGlyphs[43], &amp;AllGlyphs[41], &amp;AllGlyphs[53], &amp;AllGlyphs[10], Connection::DIAG_BOTH, Connection::ORTHO_BOTH, Connection::EMPTY, Connection::ORTHO_BOTH, 0, 0, 0, 0 },</v>
      </c>
      <c r="AO8" s="56"/>
      <c r="AP8" s="56"/>
      <c r="AQ8" s="56"/>
      <c r="AR8" s="56"/>
      <c r="AS8" s="56"/>
      <c r="AT8" s="56"/>
      <c r="AU8" s="57"/>
      <c r="AW8" s="54" t="str">
        <f t="shared" si="10"/>
        <v>&amp;AllGlyphs[43]</v>
      </c>
      <c r="AX8" s="54" t="str">
        <f t="shared" si="11"/>
        <v>&amp;AllGlyphs[41]</v>
      </c>
      <c r="AY8" s="54" t="str">
        <f t="shared" si="12"/>
        <v>&amp;AllGlyphs[53]</v>
      </c>
      <c r="AZ8" s="54" t="str">
        <f t="shared" si="13"/>
        <v>&amp;AllGlyphs[10]</v>
      </c>
      <c r="BB8" s="64">
        <f t="shared" si="14"/>
        <v>0</v>
      </c>
      <c r="BC8" s="64">
        <f t="shared" si="15"/>
        <v>0</v>
      </c>
      <c r="BD8" s="64">
        <f t="shared" si="16"/>
        <v>0</v>
      </c>
      <c r="BE8" s="64">
        <f t="shared" si="17"/>
        <v>0</v>
      </c>
    </row>
    <row r="9" spans="1:57" x14ac:dyDescent="0.4">
      <c r="A9" s="7" t="s">
        <v>78</v>
      </c>
      <c r="B9" s="9" t="str">
        <f t="shared" si="0"/>
        <v>'</v>
      </c>
      <c r="C9" s="48" cm="1">
        <f t="array" ref="C9">IF($N9,INDEX($O:$O,MATCH(TRUE,EXACT(B9,$A:$A),0)),"")</f>
        <v>7</v>
      </c>
      <c r="D9" s="39" t="s">
        <v>78</v>
      </c>
      <c r="E9" s="48" cm="1">
        <f t="array" ref="E9">IF($N9,INDEX($O:$O,MATCH(TRUE,EXACT(D9,$A:$A),0)),"")</f>
        <v>7</v>
      </c>
      <c r="F9" s="39" t="s">
        <v>78</v>
      </c>
      <c r="G9" s="48" cm="1">
        <f t="array" ref="G9">IF($O9&lt;&gt;"",INDEX($O:$O,MATCH(TRUE,EXACT(F9,$A:$A),0)),"")</f>
        <v>7</v>
      </c>
      <c r="H9" s="39" t="s">
        <v>78</v>
      </c>
      <c r="I9" s="48" cm="1">
        <f t="array" ref="I9">IF($N9,INDEX($O:$O,MATCH(TRUE,EXACT(H9,$A:$A),0)),"")</f>
        <v>7</v>
      </c>
      <c r="J9" s="39" t="s">
        <v>78</v>
      </c>
      <c r="K9" s="52" cm="1">
        <f t="array" ref="K9">IF($N9,INDEX($O:$O,MATCH(TRUE,EXACT(J9,$A:$A),0)),"")</f>
        <v>7</v>
      </c>
      <c r="L9" s="23"/>
      <c r="M9" s="33"/>
      <c r="N9" s="18" t="b">
        <f t="shared" si="3"/>
        <v>1</v>
      </c>
      <c r="O9" s="19">
        <f>IF(N9, MAX(O$2:O8)+1,"")</f>
        <v>7</v>
      </c>
      <c r="P9" s="23" t="str">
        <f t="shared" si="1"/>
        <v>'</v>
      </c>
      <c r="Q9" s="8" t="str" cm="1">
        <f t="array" ref="Q9">CharToUTF8(A9)</f>
        <v>\x27</v>
      </c>
      <c r="S9" s="18" t="str">
        <f>$AG$3</f>
        <v>DIAG_BOTH</v>
      </c>
      <c r="T9" s="24" t="str">
        <f>$AG$3</f>
        <v>DIAG_BOTH</v>
      </c>
      <c r="U9" s="24" t="str">
        <f>$AG$3</f>
        <v>DIAG_BOTH</v>
      </c>
      <c r="V9" s="21" t="str">
        <f>$AG$3</f>
        <v>DIAG_BOTH</v>
      </c>
      <c r="X9" s="31" t="b">
        <f t="shared" si="5"/>
        <v>1</v>
      </c>
      <c r="Y9" s="31" t="b">
        <f t="shared" si="6"/>
        <v>1</v>
      </c>
      <c r="Z9" t="b">
        <f t="shared" si="7"/>
        <v>1</v>
      </c>
      <c r="AA9" t="b">
        <f t="shared" si="8"/>
        <v>1</v>
      </c>
      <c r="AB9" t="b">
        <f>IF($N9,S9=VLOOKUP(S9,$AG$2:$AL$10,4,FALSE),"")</f>
        <v>1</v>
      </c>
      <c r="AC9" t="b">
        <f>IF($N9,T9=VLOOKUP(T9,$AG$2:$AL$10,4,FALSE),"")</f>
        <v>1</v>
      </c>
      <c r="AD9" t="b">
        <f>IF($N9,U9=VLOOKUP(U9,$AG$2:$AL$10,5,FALSE),"")</f>
        <v>1</v>
      </c>
      <c r="AE9" t="b">
        <f>IF($N9,V9=VLOOKUP(V9,$AG$2:$AL$10,5,FALSE),"")</f>
        <v>1</v>
      </c>
      <c r="AG9" s="18" t="s">
        <v>209</v>
      </c>
      <c r="AH9" s="21" t="s">
        <v>201</v>
      </c>
      <c r="AI9" s="62" t="s">
        <v>212</v>
      </c>
      <c r="AJ9" s="62" t="s">
        <v>210</v>
      </c>
      <c r="AK9" s="62" t="s">
        <v>209</v>
      </c>
      <c r="AL9" s="62" t="s">
        <v>210</v>
      </c>
      <c r="AN9" s="55" t="str">
        <f t="shared" si="9"/>
        <v xml:space="preserve">    { wxString::FromUTF8("\x27"), &amp;AllGlyphs[7], &amp;AllGlyphs[7], &amp;AllGlyphs[7], &amp;AllGlyphs[7], Connection::DIAG_BOTH, Connection::DIAG_BOTH, Connection::DIAG_BOTH, Connection::DIAG_BOTH, 1, 1, 1, 1 },</v>
      </c>
      <c r="AO9" s="56"/>
      <c r="AP9" s="56"/>
      <c r="AQ9" s="56"/>
      <c r="AR9" s="56"/>
      <c r="AS9" s="56"/>
      <c r="AT9" s="56"/>
      <c r="AU9" s="57"/>
      <c r="AW9" s="54" t="str">
        <f t="shared" si="10"/>
        <v>&amp;AllGlyphs[7]</v>
      </c>
      <c r="AX9" s="54" t="str">
        <f t="shared" si="11"/>
        <v>&amp;AllGlyphs[7]</v>
      </c>
      <c r="AY9" s="54" t="str">
        <f t="shared" si="12"/>
        <v>&amp;AllGlyphs[7]</v>
      </c>
      <c r="AZ9" s="54" t="str">
        <f t="shared" si="13"/>
        <v>&amp;AllGlyphs[7]</v>
      </c>
      <c r="BB9" s="64">
        <f t="shared" si="14"/>
        <v>1</v>
      </c>
      <c r="BC9" s="64">
        <f t="shared" si="15"/>
        <v>1</v>
      </c>
      <c r="BD9" s="64">
        <f t="shared" si="16"/>
        <v>1</v>
      </c>
      <c r="BE9" s="64">
        <f t="shared" si="17"/>
        <v>1</v>
      </c>
    </row>
    <row r="10" spans="1:57" ht="32.25" thickBot="1" x14ac:dyDescent="0.45">
      <c r="A10" s="7" t="s">
        <v>60</v>
      </c>
      <c r="B10" s="6" t="str">
        <f t="shared" si="0"/>
        <v>(</v>
      </c>
      <c r="C10" s="48" cm="1">
        <f t="array" ref="C10">IF($N10,INDEX($O:$O,MATCH(TRUE,EXACT(B10,$A:$A),0)),"")</f>
        <v>8</v>
      </c>
      <c r="D10" s="38" t="s">
        <v>61</v>
      </c>
      <c r="E10" s="48" cm="1">
        <f t="array" ref="E10">IF($N10,INDEX($O:$O,MATCH(TRUE,EXACT(D10,$A:$A),0)),"")</f>
        <v>9</v>
      </c>
      <c r="F10" s="38" t="s">
        <v>35</v>
      </c>
      <c r="G10" s="48" cm="1">
        <f t="array" ref="G10">IF($O10&lt;&gt;"",INDEX($O:$O,MATCH(TRUE,EXACT(F10,$A:$A),0)),"")</f>
        <v>48</v>
      </c>
      <c r="H10" s="38" t="s">
        <v>34</v>
      </c>
      <c r="I10" s="48" cm="1">
        <f t="array" ref="I10">IF($N10,INDEX($O:$O,MATCH(TRUE,EXACT(H10,$A:$A),0)),"")</f>
        <v>47</v>
      </c>
      <c r="J10" s="38" t="s">
        <v>61</v>
      </c>
      <c r="K10" s="52" cm="1">
        <f t="array" ref="K10">IF($N10,INDEX($O:$O,MATCH(TRUE,EXACT(J10,$A:$A),0)),"")</f>
        <v>9</v>
      </c>
      <c r="L10" s="23"/>
      <c r="M10" s="33"/>
      <c r="N10" s="18" t="b">
        <f t="shared" si="3"/>
        <v>1</v>
      </c>
      <c r="O10" s="19">
        <f>IF(N10, MAX(O$2:O9)+1,"")</f>
        <v>8</v>
      </c>
      <c r="P10" s="23" t="str">
        <f t="shared" si="1"/>
        <v>(</v>
      </c>
      <c r="Q10" s="8" t="str" cm="1">
        <f t="array" ref="Q10">CharToUTF8(A10)</f>
        <v>\x28</v>
      </c>
      <c r="S10" s="18" t="str">
        <f>$AG$2</f>
        <v>EMPTY</v>
      </c>
      <c r="T10" s="24" t="str">
        <f>$AG$4</f>
        <v>ORTHO_BOTH</v>
      </c>
      <c r="U10" s="24" t="str">
        <f>$AG$2</f>
        <v>EMPTY</v>
      </c>
      <c r="V10" s="21" t="str">
        <f>$AG$4</f>
        <v>ORTHO_BOTH</v>
      </c>
      <c r="X10" s="31" t="b">
        <f t="shared" si="5"/>
        <v>0</v>
      </c>
      <c r="Y10" s="31" t="b">
        <f t="shared" si="6"/>
        <v>0</v>
      </c>
      <c r="Z10" t="b">
        <f t="shared" si="7"/>
        <v>0</v>
      </c>
      <c r="AA10" t="b">
        <f t="shared" si="8"/>
        <v>0</v>
      </c>
      <c r="AB10" t="b">
        <f>IF($N10,S10=VLOOKUP(S10,$AG$2:$AL$10,4,FALSE),"")</f>
        <v>1</v>
      </c>
      <c r="AC10" t="b">
        <f>IF($N10,T10=VLOOKUP(T10,$AG$2:$AL$10,4,FALSE),"")</f>
        <v>1</v>
      </c>
      <c r="AD10" t="b">
        <f>IF($N10,U10=VLOOKUP(U10,$AG$2:$AL$10,5,FALSE),"")</f>
        <v>1</v>
      </c>
      <c r="AE10" t="b">
        <f>IF($N10,V10=VLOOKUP(V10,$AG$2:$AL$10,5,FALSE),"")</f>
        <v>1</v>
      </c>
      <c r="AG10" s="27" t="s">
        <v>210</v>
      </c>
      <c r="AH10" s="28" t="s">
        <v>202</v>
      </c>
      <c r="AI10" s="62" t="s">
        <v>213</v>
      </c>
      <c r="AJ10" s="62" t="s">
        <v>209</v>
      </c>
      <c r="AK10" s="62" t="s">
        <v>210</v>
      </c>
      <c r="AL10" s="62" t="s">
        <v>209</v>
      </c>
      <c r="AN10" s="55" t="str">
        <f t="shared" si="9"/>
        <v xml:space="preserve">    { wxString::FromUTF8("\x28"), &amp;AllGlyphs[9], &amp;AllGlyphs[48], &amp;AllGlyphs[47], &amp;AllGlyphs[9], Connection::EMPTY, Connection::ORTHO_BOTH, Connection::EMPTY, Connection::ORTHO_BOTH, 0, 0, 0, 0 },</v>
      </c>
      <c r="AO10" s="56"/>
      <c r="AP10" s="56"/>
      <c r="AQ10" s="56"/>
      <c r="AR10" s="56"/>
      <c r="AS10" s="56"/>
      <c r="AT10" s="56"/>
      <c r="AU10" s="57"/>
      <c r="AW10" s="54" t="str">
        <f t="shared" si="10"/>
        <v>&amp;AllGlyphs[9]</v>
      </c>
      <c r="AX10" s="54" t="str">
        <f t="shared" si="11"/>
        <v>&amp;AllGlyphs[48]</v>
      </c>
      <c r="AY10" s="54" t="str">
        <f t="shared" si="12"/>
        <v>&amp;AllGlyphs[47]</v>
      </c>
      <c r="AZ10" s="54" t="str">
        <f t="shared" si="13"/>
        <v>&amp;AllGlyphs[9]</v>
      </c>
      <c r="BB10" s="64">
        <f t="shared" si="14"/>
        <v>0</v>
      </c>
      <c r="BC10" s="64">
        <f t="shared" si="15"/>
        <v>0</v>
      </c>
      <c r="BD10" s="64">
        <f t="shared" si="16"/>
        <v>0</v>
      </c>
      <c r="BE10" s="64">
        <f t="shared" si="17"/>
        <v>0</v>
      </c>
    </row>
    <row r="11" spans="1:57" x14ac:dyDescent="0.4">
      <c r="A11" s="7" t="s">
        <v>61</v>
      </c>
      <c r="B11" s="6" t="str">
        <f t="shared" si="0"/>
        <v>)</v>
      </c>
      <c r="C11" s="48" cm="1">
        <f t="array" ref="C11">IF($N11,INDEX($O:$O,MATCH(TRUE,EXACT(B11,$A:$A),0)),"")</f>
        <v>9</v>
      </c>
      <c r="D11" s="38" t="s">
        <v>35</v>
      </c>
      <c r="E11" s="48" cm="1">
        <f t="array" ref="E11">IF($N11,INDEX($O:$O,MATCH(TRUE,EXACT(D11,$A:$A),0)),"")</f>
        <v>48</v>
      </c>
      <c r="F11" s="38" t="s">
        <v>34</v>
      </c>
      <c r="G11" s="48" cm="1">
        <f t="array" ref="G11">IF($O11&lt;&gt;"",INDEX($O:$O,MATCH(TRUE,EXACT(F11,$A:$A),0)),"")</f>
        <v>47</v>
      </c>
      <c r="H11" s="38" t="s">
        <v>35</v>
      </c>
      <c r="I11" s="48" cm="1">
        <f t="array" ref="I11">IF($N11,INDEX($O:$O,MATCH(TRUE,EXACT(H11,$A:$A),0)),"")</f>
        <v>48</v>
      </c>
      <c r="J11" s="38" t="s">
        <v>60</v>
      </c>
      <c r="K11" s="52" cm="1">
        <f t="array" ref="K11">IF($N11,INDEX($O:$O,MATCH(TRUE,EXACT(J11,$A:$A),0)),"")</f>
        <v>8</v>
      </c>
      <c r="L11" s="23"/>
      <c r="M11" s="33"/>
      <c r="N11" s="18" t="b">
        <f t="shared" si="3"/>
        <v>1</v>
      </c>
      <c r="O11" s="19">
        <f>IF(N11, MAX(O$2:O10)+1,"")</f>
        <v>9</v>
      </c>
      <c r="P11" s="23" t="str">
        <f t="shared" si="1"/>
        <v>)</v>
      </c>
      <c r="Q11" s="8" t="str" cm="1">
        <f t="array" ref="Q11">CharToUTF8(A11)</f>
        <v>\x29</v>
      </c>
      <c r="S11" s="18" t="str">
        <f>$AG$2</f>
        <v>EMPTY</v>
      </c>
      <c r="T11" s="24" t="str">
        <f>$AG$4</f>
        <v>ORTHO_BOTH</v>
      </c>
      <c r="U11" s="24" t="str">
        <f>$AG$4</f>
        <v>ORTHO_BOTH</v>
      </c>
      <c r="V11" s="21" t="str">
        <f>$AG$2</f>
        <v>EMPTY</v>
      </c>
      <c r="X11" s="31" t="b">
        <f t="shared" si="5"/>
        <v>0</v>
      </c>
      <c r="Y11" s="31" t="b">
        <f t="shared" si="6"/>
        <v>0</v>
      </c>
      <c r="Z11" t="b">
        <f t="shared" si="7"/>
        <v>0</v>
      </c>
      <c r="AA11" t="b">
        <f t="shared" si="8"/>
        <v>0</v>
      </c>
      <c r="AB11" t="b">
        <f>IF($N11,S11=VLOOKUP(S11,$AG$2:$AL$10,4,FALSE),"")</f>
        <v>1</v>
      </c>
      <c r="AC11" t="b">
        <f>IF($N11,T11=VLOOKUP(T11,$AG$2:$AL$10,4,FALSE),"")</f>
        <v>1</v>
      </c>
      <c r="AD11" t="b">
        <f>IF($N11,U11=VLOOKUP(U11,$AG$2:$AL$10,5,FALSE),"")</f>
        <v>1</v>
      </c>
      <c r="AE11" t="b">
        <f>IF($N11,V11=VLOOKUP(V11,$AG$2:$AL$10,5,FALSE),"")</f>
        <v>1</v>
      </c>
      <c r="AN11" s="55" t="str">
        <f t="shared" si="9"/>
        <v xml:space="preserve">    { wxString::FromUTF8("\x29"), &amp;AllGlyphs[48], &amp;AllGlyphs[47], &amp;AllGlyphs[48], &amp;AllGlyphs[8], Connection::EMPTY, Connection::ORTHO_BOTH, Connection::ORTHO_BOTH, Connection::EMPTY, 0, 0, 0, 0 },</v>
      </c>
      <c r="AO11" s="56"/>
      <c r="AP11" s="56"/>
      <c r="AQ11" s="56"/>
      <c r="AR11" s="56"/>
      <c r="AS11" s="56"/>
      <c r="AT11" s="56"/>
      <c r="AU11" s="57"/>
      <c r="AW11" s="54" t="str">
        <f t="shared" si="10"/>
        <v>&amp;AllGlyphs[48]</v>
      </c>
      <c r="AX11" s="54" t="str">
        <f t="shared" si="11"/>
        <v>&amp;AllGlyphs[47]</v>
      </c>
      <c r="AY11" s="54" t="str">
        <f t="shared" si="12"/>
        <v>&amp;AllGlyphs[48]</v>
      </c>
      <c r="AZ11" s="54" t="str">
        <f t="shared" si="13"/>
        <v>&amp;AllGlyphs[8]</v>
      </c>
      <c r="BB11" s="64">
        <f t="shared" si="14"/>
        <v>0</v>
      </c>
      <c r="BC11" s="64">
        <f t="shared" si="15"/>
        <v>0</v>
      </c>
      <c r="BD11" s="64">
        <f t="shared" si="16"/>
        <v>0</v>
      </c>
      <c r="BE11" s="64">
        <f t="shared" si="17"/>
        <v>0</v>
      </c>
    </row>
    <row r="12" spans="1:57" ht="31.5" customHeight="1" x14ac:dyDescent="0.4">
      <c r="A12" s="7" t="s">
        <v>59</v>
      </c>
      <c r="B12" s="6" t="str">
        <f t="shared" si="0"/>
        <v>*</v>
      </c>
      <c r="C12" s="48" cm="1">
        <f t="array" ref="C12">IF($N12,INDEX($O:$O,MATCH(TRUE,EXACT(B12,$A:$A),0)),"")</f>
        <v>10</v>
      </c>
      <c r="D12" s="38" t="s">
        <v>165</v>
      </c>
      <c r="E12" s="48" cm="1">
        <f t="array" ref="E12">IF($N12,INDEX($O:$O,MATCH(TRUE,EXACT(D12,$A:$A),0)),"")</f>
        <v>28</v>
      </c>
      <c r="F12" s="38" t="s">
        <v>32</v>
      </c>
      <c r="G12" s="48" cm="1">
        <f t="array" ref="G12">IF($O12&lt;&gt;"",INDEX($O:$O,MATCH(TRUE,EXACT(F12,$A:$A),0)),"")</f>
        <v>53</v>
      </c>
      <c r="H12" s="38" t="s">
        <v>33</v>
      </c>
      <c r="I12" s="48" cm="1">
        <f t="array" ref="I12">IF($N12,INDEX($O:$O,MATCH(TRUE,EXACT(H12,$A:$A),0)),"")</f>
        <v>41</v>
      </c>
      <c r="J12" s="38" t="s">
        <v>58</v>
      </c>
      <c r="K12" s="52" cm="1">
        <f t="array" ref="K12">IF($N12,INDEX($O:$O,MATCH(TRUE,EXACT(J12,$A:$A),0)),"")</f>
        <v>6</v>
      </c>
      <c r="L12" s="23"/>
      <c r="M12" s="33"/>
      <c r="N12" s="18" t="b">
        <f t="shared" si="3"/>
        <v>1</v>
      </c>
      <c r="O12" s="19">
        <f>IF(N12, MAX(O$2:O11)+1,"")</f>
        <v>10</v>
      </c>
      <c r="P12" s="23" t="str">
        <f t="shared" si="1"/>
        <v>*</v>
      </c>
      <c r="Q12" s="8" t="str" cm="1">
        <f t="array" ref="Q12">CharToUTF8(A12)</f>
        <v>\x2A</v>
      </c>
      <c r="S12" s="18" t="str">
        <f t="shared" ref="S12:S17" si="18">$AG$3</f>
        <v>DIAG_BOTH</v>
      </c>
      <c r="T12" s="24" t="str">
        <f>$AG$4</f>
        <v>ORTHO_BOTH</v>
      </c>
      <c r="U12" s="24" t="str">
        <f>$AG$4</f>
        <v>ORTHO_BOTH</v>
      </c>
      <c r="V12" s="21" t="str">
        <f>$AG$2</f>
        <v>EMPTY</v>
      </c>
      <c r="X12" s="31" t="b">
        <f t="shared" si="5"/>
        <v>0</v>
      </c>
      <c r="Y12" s="31" t="b">
        <f t="shared" si="6"/>
        <v>0</v>
      </c>
      <c r="Z12" t="b">
        <f t="shared" si="7"/>
        <v>0</v>
      </c>
      <c r="AA12" t="b">
        <f t="shared" si="8"/>
        <v>0</v>
      </c>
      <c r="AB12" t="b">
        <f>IF($N12,S12=VLOOKUP(S12,$AG$2:$AL$10,4,FALSE),"")</f>
        <v>1</v>
      </c>
      <c r="AC12" t="b">
        <f>IF($N12,T12=VLOOKUP(T12,$AG$2:$AL$10,4,FALSE),"")</f>
        <v>1</v>
      </c>
      <c r="AD12" t="b">
        <f>IF($N12,U12=VLOOKUP(U12,$AG$2:$AL$10,5,FALSE),"")</f>
        <v>1</v>
      </c>
      <c r="AE12" t="b">
        <f>IF($N12,V12=VLOOKUP(V12,$AG$2:$AL$10,5,FALSE),"")</f>
        <v>1</v>
      </c>
      <c r="AN12" s="55" t="str">
        <f t="shared" si="9"/>
        <v xml:space="preserve">    { wxString::FromUTF8("\x2A"), &amp;AllGlyphs[28], &amp;AllGlyphs[53], &amp;AllGlyphs[41], &amp;AllGlyphs[6], Connection::DIAG_BOTH, Connection::ORTHO_BOTH, Connection::ORTHO_BOTH, Connection::EMPTY, 0, 0, 0, 0 },</v>
      </c>
      <c r="AO12" s="56"/>
      <c r="AP12" s="56"/>
      <c r="AQ12" s="56"/>
      <c r="AR12" s="56"/>
      <c r="AS12" s="56"/>
      <c r="AT12" s="56"/>
      <c r="AU12" s="57"/>
      <c r="AW12" s="54" t="str">
        <f t="shared" si="10"/>
        <v>&amp;AllGlyphs[28]</v>
      </c>
      <c r="AX12" s="54" t="str">
        <f t="shared" si="11"/>
        <v>&amp;AllGlyphs[53]</v>
      </c>
      <c r="AY12" s="54" t="str">
        <f t="shared" si="12"/>
        <v>&amp;AllGlyphs[41]</v>
      </c>
      <c r="AZ12" s="54" t="str">
        <f t="shared" si="13"/>
        <v>&amp;AllGlyphs[6]</v>
      </c>
      <c r="BB12" s="64">
        <f t="shared" si="14"/>
        <v>0</v>
      </c>
      <c r="BC12" s="64">
        <f t="shared" si="15"/>
        <v>0</v>
      </c>
      <c r="BD12" s="64">
        <f t="shared" si="16"/>
        <v>0</v>
      </c>
      <c r="BE12" s="64">
        <f t="shared" si="17"/>
        <v>0</v>
      </c>
    </row>
    <row r="13" spans="1:57" x14ac:dyDescent="0.4">
      <c r="A13" s="7" t="s">
        <v>70</v>
      </c>
      <c r="B13" s="6" t="str">
        <f t="shared" si="0"/>
        <v>+</v>
      </c>
      <c r="C13" s="48" cm="1">
        <f t="array" ref="C13">IF($N13,INDEX($O:$O,MATCH(TRUE,EXACT(B13,$A:$A),0)),"")</f>
        <v>11</v>
      </c>
      <c r="D13" s="38" t="s">
        <v>77</v>
      </c>
      <c r="E13" s="48" cm="1">
        <f t="array" ref="E13">IF($N13,INDEX($O:$O,MATCH(TRUE,EXACT(D13,$A:$A),0)),"")</f>
        <v>93</v>
      </c>
      <c r="F13" s="38" t="s">
        <v>76</v>
      </c>
      <c r="G13" s="48" cm="1">
        <f t="array" ref="G13">IF($O13&lt;&gt;"",INDEX($O:$O,MATCH(TRUE,EXACT(F13,$A:$A),0)),"")</f>
        <v>91</v>
      </c>
      <c r="H13" s="38" t="s">
        <v>77</v>
      </c>
      <c r="I13" s="48" cm="1">
        <f t="array" ref="I13">IF($N13,INDEX($O:$O,MATCH(TRUE,EXACT(H13,$A:$A),0)),"")</f>
        <v>93</v>
      </c>
      <c r="J13" s="38" t="s">
        <v>75</v>
      </c>
      <c r="K13" s="52" cm="1">
        <f t="array" ref="K13">IF($N13,INDEX($O:$O,MATCH(TRUE,EXACT(J13,$A:$A),0)),"")</f>
        <v>63</v>
      </c>
      <c r="L13" s="23"/>
      <c r="M13" s="33"/>
      <c r="N13" s="18" t="b">
        <f t="shared" si="3"/>
        <v>1</v>
      </c>
      <c r="O13" s="19">
        <f>IF(N13, MAX(O$2:O12)+1,"")</f>
        <v>11</v>
      </c>
      <c r="P13" s="23" t="str">
        <f t="shared" si="1"/>
        <v>+</v>
      </c>
      <c r="Q13" s="8" t="str" cm="1">
        <f t="array" ref="Q13">CharToUTF8(A13)</f>
        <v>\x2B</v>
      </c>
      <c r="S13" s="18" t="str">
        <f t="shared" si="18"/>
        <v>DIAG_BOTH</v>
      </c>
      <c r="T13" s="24" t="str">
        <f>$AG$4</f>
        <v>ORTHO_BOTH</v>
      </c>
      <c r="U13" s="24" t="str">
        <f>$AG$4</f>
        <v>ORTHO_BOTH</v>
      </c>
      <c r="V13" s="21" t="str">
        <f>$AG$3</f>
        <v>DIAG_BOTH</v>
      </c>
      <c r="X13" s="31" t="b">
        <f t="shared" si="5"/>
        <v>0</v>
      </c>
      <c r="Y13" s="31" t="b">
        <f t="shared" si="6"/>
        <v>0</v>
      </c>
      <c r="Z13" t="b">
        <f t="shared" si="7"/>
        <v>0</v>
      </c>
      <c r="AA13" t="b">
        <f t="shared" si="8"/>
        <v>0</v>
      </c>
      <c r="AB13" t="b">
        <f>IF($N13,S13=VLOOKUP(S13,$AG$2:$AL$10,4,FALSE),"")</f>
        <v>1</v>
      </c>
      <c r="AC13" t="b">
        <f>IF($N13,T13=VLOOKUP(T13,$AG$2:$AL$10,4,FALSE),"")</f>
        <v>1</v>
      </c>
      <c r="AD13" t="b">
        <f>IF($N13,U13=VLOOKUP(U13,$AG$2:$AL$10,5,FALSE),"")</f>
        <v>1</v>
      </c>
      <c r="AE13" t="b">
        <f>IF($N13,V13=VLOOKUP(V13,$AG$2:$AL$10,5,FALSE),"")</f>
        <v>1</v>
      </c>
      <c r="AN13" s="55" t="str">
        <f t="shared" si="9"/>
        <v xml:space="preserve">    { wxString::FromUTF8("\x2B"), &amp;AllGlyphs[93], &amp;AllGlyphs[91], &amp;AllGlyphs[93], &amp;AllGlyphs[63], Connection::DIAG_BOTH, Connection::ORTHO_BOTH, Connection::ORTHO_BOTH, Connection::DIAG_BOTH, 0, 0, 0, 0 },</v>
      </c>
      <c r="AO13" s="56"/>
      <c r="AP13" s="56"/>
      <c r="AQ13" s="56"/>
      <c r="AR13" s="56"/>
      <c r="AS13" s="56"/>
      <c r="AT13" s="56"/>
      <c r="AU13" s="57"/>
      <c r="AW13" s="54" t="str">
        <f t="shared" si="10"/>
        <v>&amp;AllGlyphs[93]</v>
      </c>
      <c r="AX13" s="54" t="str">
        <f t="shared" si="11"/>
        <v>&amp;AllGlyphs[91]</v>
      </c>
      <c r="AY13" s="54" t="str">
        <f t="shared" si="12"/>
        <v>&amp;AllGlyphs[93]</v>
      </c>
      <c r="AZ13" s="54" t="str">
        <f t="shared" si="13"/>
        <v>&amp;AllGlyphs[63]</v>
      </c>
      <c r="BB13" s="64">
        <f t="shared" si="14"/>
        <v>0</v>
      </c>
      <c r="BC13" s="64">
        <f t="shared" si="15"/>
        <v>0</v>
      </c>
      <c r="BD13" s="64">
        <f t="shared" si="16"/>
        <v>0</v>
      </c>
      <c r="BE13" s="64">
        <f t="shared" si="17"/>
        <v>0</v>
      </c>
    </row>
    <row r="14" spans="1:57" x14ac:dyDescent="0.4">
      <c r="A14" s="7" t="s">
        <v>64</v>
      </c>
      <c r="B14" s="6" t="str">
        <f t="shared" si="0"/>
        <v>,</v>
      </c>
      <c r="C14" s="48" cm="1">
        <f t="array" ref="C14">IF($N14,INDEX($O:$O,MATCH(TRUE,EXACT(B14,$A:$A),0)),"")</f>
        <v>12</v>
      </c>
      <c r="D14" s="38" t="s">
        <v>6</v>
      </c>
      <c r="E14" s="48" cm="1">
        <f t="array" ref="E14">IF($N14,INDEX($O:$O,MATCH(TRUE,EXACT(D14,$A:$A),0)),"")</f>
        <v>85</v>
      </c>
      <c r="F14" s="38" t="s">
        <v>16</v>
      </c>
      <c r="G14" s="48" cm="1">
        <f t="array" ref="G14">IF($O14&lt;&gt;"",INDEX($O:$O,MATCH(TRUE,EXACT(F14,$A:$A),0)),"")</f>
        <v>74</v>
      </c>
      <c r="H14" s="38" t="s">
        <v>17</v>
      </c>
      <c r="I14" s="48" cm="1">
        <f t="array" ref="I14">IF($N14,INDEX($O:$O,MATCH(TRUE,EXACT(H14,$A:$A),0)),"")</f>
        <v>75</v>
      </c>
      <c r="J14" s="38" t="s">
        <v>25</v>
      </c>
      <c r="K14" s="52" cm="1">
        <f t="array" ref="K14">IF($N14,INDEX($O:$O,MATCH(TRUE,EXACT(J14,$A:$A),0)),"")</f>
        <v>77</v>
      </c>
      <c r="L14" s="23"/>
      <c r="M14" s="33"/>
      <c r="N14" s="18" t="b">
        <f t="shared" si="3"/>
        <v>1</v>
      </c>
      <c r="O14" s="19">
        <f>IF(N14, MAX(O$2:O13)+1,"")</f>
        <v>12</v>
      </c>
      <c r="P14" s="23" t="str">
        <f t="shared" si="1"/>
        <v>,</v>
      </c>
      <c r="Q14" s="8" t="str" cm="1">
        <f t="array" ref="Q14">CharToUTF8(A14)</f>
        <v>\x2C</v>
      </c>
      <c r="S14" s="18" t="str">
        <f t="shared" si="18"/>
        <v>DIAG_BOTH</v>
      </c>
      <c r="T14" s="24" t="str">
        <f>$AG$2</f>
        <v>EMPTY</v>
      </c>
      <c r="U14" s="24" t="str">
        <f>$AG$4</f>
        <v>ORTHO_BOTH</v>
      </c>
      <c r="V14" s="21" t="str">
        <f>$AG$3</f>
        <v>DIAG_BOTH</v>
      </c>
      <c r="X14" s="31" t="b">
        <f t="shared" si="5"/>
        <v>0</v>
      </c>
      <c r="Y14" s="31" t="b">
        <f t="shared" si="6"/>
        <v>0</v>
      </c>
      <c r="Z14" t="b">
        <f t="shared" si="7"/>
        <v>0</v>
      </c>
      <c r="AA14" t="b">
        <f t="shared" si="8"/>
        <v>0</v>
      </c>
      <c r="AB14" t="b">
        <f>IF($N14,S14=VLOOKUP(S14,$AG$2:$AL$10,4,FALSE),"")</f>
        <v>1</v>
      </c>
      <c r="AC14" t="b">
        <f>IF($N14,T14=VLOOKUP(T14,$AG$2:$AL$10,4,FALSE),"")</f>
        <v>1</v>
      </c>
      <c r="AD14" t="b">
        <f>IF($N14,U14=VLOOKUP(U14,$AG$2:$AL$10,5,FALSE),"")</f>
        <v>1</v>
      </c>
      <c r="AE14" t="b">
        <f>IF($N14,V14=VLOOKUP(V14,$AG$2:$AL$10,5,FALSE),"")</f>
        <v>1</v>
      </c>
      <c r="AN14" s="55" t="str">
        <f t="shared" si="9"/>
        <v xml:space="preserve">    { wxString::FromUTF8("\x2C"), &amp;AllGlyphs[85], &amp;AllGlyphs[74], &amp;AllGlyphs[75], &amp;AllGlyphs[77], Connection::DIAG_BOTH, Connection::EMPTY, Connection::ORTHO_BOTH, Connection::DIAG_BOTH, 0, 0, 0, 0 },</v>
      </c>
      <c r="AO14" s="56"/>
      <c r="AP14" s="56"/>
      <c r="AQ14" s="56"/>
      <c r="AR14" s="56"/>
      <c r="AS14" s="56"/>
      <c r="AT14" s="56"/>
      <c r="AU14" s="57"/>
      <c r="AW14" s="54" t="str">
        <f t="shared" si="10"/>
        <v>&amp;AllGlyphs[85]</v>
      </c>
      <c r="AX14" s="54" t="str">
        <f t="shared" si="11"/>
        <v>&amp;AllGlyphs[74]</v>
      </c>
      <c r="AY14" s="54" t="str">
        <f t="shared" si="12"/>
        <v>&amp;AllGlyphs[75]</v>
      </c>
      <c r="AZ14" s="54" t="str">
        <f t="shared" si="13"/>
        <v>&amp;AllGlyphs[77]</v>
      </c>
      <c r="BB14" s="64">
        <f t="shared" si="14"/>
        <v>0</v>
      </c>
      <c r="BC14" s="64">
        <f t="shared" si="15"/>
        <v>0</v>
      </c>
      <c r="BD14" s="64">
        <f t="shared" si="16"/>
        <v>0</v>
      </c>
      <c r="BE14" s="64">
        <f t="shared" si="17"/>
        <v>0</v>
      </c>
    </row>
    <row r="15" spans="1:57" ht="31.5" customHeight="1" x14ac:dyDescent="0.4">
      <c r="A15" s="7" t="s">
        <v>74</v>
      </c>
      <c r="B15" s="6" t="str">
        <f t="shared" si="0"/>
        <v>-</v>
      </c>
      <c r="C15" s="48" cm="1">
        <f t="array" ref="C15">IF($N15,INDEX($O:$O,MATCH(TRUE,EXACT(B15,$A:$A),0)),"")</f>
        <v>13</v>
      </c>
      <c r="D15" s="38" t="s">
        <v>72</v>
      </c>
      <c r="E15" s="48" cm="1">
        <f t="array" ref="E15">IF($N15,INDEX($O:$O,MATCH(TRUE,EXACT(D15,$A:$A),0)),"")</f>
        <v>61</v>
      </c>
      <c r="F15" s="38" t="s">
        <v>79</v>
      </c>
      <c r="G15" s="48" cm="1">
        <f t="array" ref="G15">IF($O15&lt;&gt;"",INDEX($O:$O,MATCH(TRUE,EXACT(F15,$A:$A),0)),"")</f>
        <v>29</v>
      </c>
      <c r="H15" s="38" t="s">
        <v>79</v>
      </c>
      <c r="I15" s="48" cm="1">
        <f t="array" ref="I15">IF($N15,INDEX($O:$O,MATCH(TRUE,EXACT(H15,$A:$A),0)),"")</f>
        <v>29</v>
      </c>
      <c r="J15" s="38" t="s">
        <v>74</v>
      </c>
      <c r="K15" s="52" cm="1">
        <f t="array" ref="K15">IF($N15,INDEX($O:$O,MATCH(TRUE,EXACT(J15,$A:$A),0)),"")</f>
        <v>13</v>
      </c>
      <c r="L15" s="23"/>
      <c r="M15" s="33"/>
      <c r="N15" s="18" t="b">
        <f t="shared" si="3"/>
        <v>1</v>
      </c>
      <c r="O15" s="19">
        <f>IF(N15, MAX(O$2:O14)+1,"")</f>
        <v>13</v>
      </c>
      <c r="P15" s="23" t="str">
        <f t="shared" si="1"/>
        <v>-</v>
      </c>
      <c r="Q15" s="8" t="str" cm="1">
        <f t="array" ref="Q15">CharToUTF8(A15)</f>
        <v>\x2D</v>
      </c>
      <c r="S15" s="18" t="str">
        <f t="shared" si="18"/>
        <v>DIAG_BOTH</v>
      </c>
      <c r="T15" s="24" t="str">
        <f>$AG$4</f>
        <v>ORTHO_BOTH</v>
      </c>
      <c r="U15" s="24" t="str">
        <f>$AG$2</f>
        <v>EMPTY</v>
      </c>
      <c r="V15" s="21" t="str">
        <f>$AG$2</f>
        <v>EMPTY</v>
      </c>
      <c r="X15" s="31" t="b">
        <f t="shared" si="5"/>
        <v>0</v>
      </c>
      <c r="Y15" s="31" t="b">
        <f t="shared" si="6"/>
        <v>0</v>
      </c>
      <c r="Z15" t="b">
        <f t="shared" si="7"/>
        <v>0</v>
      </c>
      <c r="AA15" t="b">
        <f t="shared" si="8"/>
        <v>1</v>
      </c>
      <c r="AB15" t="b">
        <f>IF($N15,S15=VLOOKUP(S15,$AG$2:$AL$10,4,FALSE),"")</f>
        <v>1</v>
      </c>
      <c r="AC15" t="b">
        <f>IF($N15,T15=VLOOKUP(T15,$AG$2:$AL$10,4,FALSE),"")</f>
        <v>1</v>
      </c>
      <c r="AD15" t="b">
        <f>IF($N15,U15=VLOOKUP(U15,$AG$2:$AL$10,5,FALSE),"")</f>
        <v>1</v>
      </c>
      <c r="AE15" t="b">
        <f>IF($N15,V15=VLOOKUP(V15,$AG$2:$AL$10,5,FALSE),"")</f>
        <v>1</v>
      </c>
      <c r="AN15" s="55" t="str">
        <f t="shared" si="9"/>
        <v xml:space="preserve">    { wxString::FromUTF8("\x2D"), &amp;AllGlyphs[61], &amp;AllGlyphs[29], &amp;AllGlyphs[29], &amp;AllGlyphs[13], Connection::DIAG_BOTH, Connection::ORTHO_BOTH, Connection::EMPTY, Connection::EMPTY, 0, 0, 0, 1 },</v>
      </c>
      <c r="AO15" s="56"/>
      <c r="AP15" s="56"/>
      <c r="AQ15" s="56"/>
      <c r="AR15" s="56"/>
      <c r="AS15" s="56"/>
      <c r="AT15" s="56"/>
      <c r="AU15" s="57"/>
      <c r="AW15" s="54" t="str">
        <f t="shared" si="10"/>
        <v>&amp;AllGlyphs[61]</v>
      </c>
      <c r="AX15" s="54" t="str">
        <f t="shared" si="11"/>
        <v>&amp;AllGlyphs[29]</v>
      </c>
      <c r="AY15" s="54" t="str">
        <f t="shared" si="12"/>
        <v>&amp;AllGlyphs[29]</v>
      </c>
      <c r="AZ15" s="54" t="str">
        <f t="shared" si="13"/>
        <v>&amp;AllGlyphs[13]</v>
      </c>
      <c r="BB15" s="64">
        <f t="shared" si="14"/>
        <v>0</v>
      </c>
      <c r="BC15" s="64">
        <f t="shared" si="15"/>
        <v>0</v>
      </c>
      <c r="BD15" s="64">
        <f t="shared" si="16"/>
        <v>0</v>
      </c>
      <c r="BE15" s="64">
        <f t="shared" si="17"/>
        <v>1</v>
      </c>
    </row>
    <row r="16" spans="1:57" x14ac:dyDescent="0.4">
      <c r="A16" s="7" t="s">
        <v>73</v>
      </c>
      <c r="B16" s="6" t="str">
        <f t="shared" si="0"/>
        <v>.</v>
      </c>
      <c r="C16" s="48" cm="1">
        <f t="array" ref="C16">IF($N16,INDEX($O:$O,MATCH(TRUE,EXACT(B16,$A:$A),0)),"")</f>
        <v>14</v>
      </c>
      <c r="D16" s="38">
        <v>9</v>
      </c>
      <c r="E16" s="48" cm="1">
        <f t="array" ref="E16">IF($N16,INDEX($O:$O,MATCH(TRUE,EXACT(D16,$A:$A),0)),"")</f>
        <v>25</v>
      </c>
      <c r="F16" s="38" t="s">
        <v>66</v>
      </c>
      <c r="G16" s="48" cm="1">
        <f t="array" ref="G16">IF($O16&lt;&gt;"",INDEX($O:$O,MATCH(TRUE,EXACT(F16,$A:$A),0)),"")</f>
        <v>27</v>
      </c>
      <c r="H16" s="38" t="s">
        <v>18</v>
      </c>
      <c r="I16" s="48" cm="1">
        <f t="array" ref="I16">IF($N16,INDEX($O:$O,MATCH(TRUE,EXACT(H16,$A:$A),0)),"")</f>
        <v>76</v>
      </c>
      <c r="J16" s="38" t="s">
        <v>65</v>
      </c>
      <c r="K16" s="52" cm="1">
        <f t="array" ref="K16">IF($N16,INDEX($O:$O,MATCH(TRUE,EXACT(J16,$A:$A),0)),"")</f>
        <v>15</v>
      </c>
      <c r="L16" s="23"/>
      <c r="M16" s="33"/>
      <c r="N16" s="18" t="b">
        <f t="shared" si="3"/>
        <v>1</v>
      </c>
      <c r="O16" s="19">
        <f>IF(N16, MAX(O$2:O15)+1,"")</f>
        <v>14</v>
      </c>
      <c r="P16" s="23" t="str">
        <f t="shared" si="1"/>
        <v>.</v>
      </c>
      <c r="Q16" s="8" t="str" cm="1">
        <f t="array" ref="Q16">CharToUTF8(A16)</f>
        <v>\x2E</v>
      </c>
      <c r="S16" s="18" t="str">
        <f t="shared" si="18"/>
        <v>DIAG_BOTH</v>
      </c>
      <c r="T16" s="24" t="str">
        <f>$AG$2</f>
        <v>EMPTY</v>
      </c>
      <c r="U16" s="24" t="str">
        <f>$AG$2</f>
        <v>EMPTY</v>
      </c>
      <c r="V16" s="21" t="str">
        <f>$AG$4</f>
        <v>ORTHO_BOTH</v>
      </c>
      <c r="X16" s="31" t="b">
        <f t="shared" si="5"/>
        <v>0</v>
      </c>
      <c r="Y16" s="31" t="b">
        <f t="shared" si="6"/>
        <v>0</v>
      </c>
      <c r="Z16" t="b">
        <f t="shared" si="7"/>
        <v>0</v>
      </c>
      <c r="AA16" t="b">
        <f t="shared" si="8"/>
        <v>0</v>
      </c>
      <c r="AB16" t="b">
        <f>IF($N16,S16=VLOOKUP(S16,$AG$2:$AL$10,4,FALSE),"")</f>
        <v>1</v>
      </c>
      <c r="AC16" t="b">
        <f>IF($N16,T16=VLOOKUP(T16,$AG$2:$AL$10,4,FALSE),"")</f>
        <v>1</v>
      </c>
      <c r="AD16" t="b">
        <f>IF($N16,U16=VLOOKUP(U16,$AG$2:$AL$10,5,FALSE),"")</f>
        <v>1</v>
      </c>
      <c r="AE16" t="b">
        <f>IF($N16,V16=VLOOKUP(V16,$AG$2:$AL$10,5,FALSE),"")</f>
        <v>1</v>
      </c>
      <c r="AN16" s="55" t="str">
        <f t="shared" si="9"/>
        <v xml:space="preserve">    { wxString::FromUTF8("\x2E"), &amp;AllGlyphs[25], &amp;AllGlyphs[27], &amp;AllGlyphs[76], &amp;AllGlyphs[15], Connection::DIAG_BOTH, Connection::EMPTY, Connection::EMPTY, Connection::ORTHO_BOTH, 0, 0, 0, 0 },</v>
      </c>
      <c r="AO16" s="56"/>
      <c r="AP16" s="56"/>
      <c r="AQ16" s="56"/>
      <c r="AR16" s="56"/>
      <c r="AS16" s="56"/>
      <c r="AT16" s="56"/>
      <c r="AU16" s="57"/>
      <c r="AW16" s="54" t="str">
        <f t="shared" si="10"/>
        <v>&amp;AllGlyphs[25]</v>
      </c>
      <c r="AX16" s="54" t="str">
        <f t="shared" si="11"/>
        <v>&amp;AllGlyphs[27]</v>
      </c>
      <c r="AY16" s="54" t="str">
        <f t="shared" si="12"/>
        <v>&amp;AllGlyphs[76]</v>
      </c>
      <c r="AZ16" s="54" t="str">
        <f t="shared" si="13"/>
        <v>&amp;AllGlyphs[15]</v>
      </c>
      <c r="BB16" s="64">
        <f t="shared" si="14"/>
        <v>0</v>
      </c>
      <c r="BC16" s="64">
        <f t="shared" si="15"/>
        <v>0</v>
      </c>
      <c r="BD16" s="64">
        <f t="shared" si="16"/>
        <v>0</v>
      </c>
      <c r="BE16" s="64">
        <f t="shared" si="17"/>
        <v>0</v>
      </c>
    </row>
    <row r="17" spans="1:57" x14ac:dyDescent="0.4">
      <c r="A17" s="7" t="s">
        <v>65</v>
      </c>
      <c r="B17" s="6" t="str">
        <f t="shared" si="0"/>
        <v>/</v>
      </c>
      <c r="C17" s="48" cm="1">
        <f t="array" ref="C17">IF($N17,INDEX($O:$O,MATCH(TRUE,EXACT(B17,$A:$A),0)),"")</f>
        <v>15</v>
      </c>
      <c r="D17" s="38" t="s">
        <v>8</v>
      </c>
      <c r="E17" s="48" cm="1">
        <f t="array" ref="E17">IF($N17,INDEX($O:$O,MATCH(TRUE,EXACT(D17,$A:$A),0)),"")</f>
        <v>79</v>
      </c>
      <c r="F17" s="38" t="s">
        <v>18</v>
      </c>
      <c r="G17" s="48" cm="1">
        <f t="array" ref="G17">IF($O17&lt;&gt;"",INDEX($O:$O,MATCH(TRUE,EXACT(F17,$A:$A),0)),"")</f>
        <v>76</v>
      </c>
      <c r="H17" s="38" t="s">
        <v>66</v>
      </c>
      <c r="I17" s="48" cm="1">
        <f t="array" ref="I17">IF($N17,INDEX($O:$O,MATCH(TRUE,EXACT(H17,$A:$A),0)),"")</f>
        <v>27</v>
      </c>
      <c r="J17" s="38" t="s">
        <v>73</v>
      </c>
      <c r="K17" s="52" cm="1">
        <f t="array" ref="K17">IF($N17,INDEX($O:$O,MATCH(TRUE,EXACT(J17,$A:$A),0)),"")</f>
        <v>14</v>
      </c>
      <c r="L17" s="23"/>
      <c r="M17" s="33"/>
      <c r="N17" s="18" t="b">
        <f t="shared" si="3"/>
        <v>1</v>
      </c>
      <c r="O17" s="19">
        <f>IF(N17, MAX(O$2:O16)+1,"")</f>
        <v>15</v>
      </c>
      <c r="P17" s="23" t="str">
        <f t="shared" si="1"/>
        <v>/</v>
      </c>
      <c r="Q17" s="8" t="str" cm="1">
        <f t="array" ref="Q17">CharToUTF8(A17)</f>
        <v>\x2F</v>
      </c>
      <c r="S17" s="18" t="str">
        <f t="shared" si="18"/>
        <v>DIAG_BOTH</v>
      </c>
      <c r="T17" s="24" t="str">
        <f>$AG$2</f>
        <v>EMPTY</v>
      </c>
      <c r="U17" s="24" t="str">
        <f>$AG$4</f>
        <v>ORTHO_BOTH</v>
      </c>
      <c r="V17" s="21" t="str">
        <f>$AG$2</f>
        <v>EMPTY</v>
      </c>
      <c r="X17" s="31" t="b">
        <f t="shared" si="5"/>
        <v>0</v>
      </c>
      <c r="Y17" s="31" t="b">
        <f t="shared" si="6"/>
        <v>0</v>
      </c>
      <c r="Z17" t="b">
        <f t="shared" si="7"/>
        <v>0</v>
      </c>
      <c r="AA17" t="b">
        <f t="shared" si="8"/>
        <v>0</v>
      </c>
      <c r="AB17" t="b">
        <f>IF($N17,S17=VLOOKUP(S17,$AG$2:$AL$10,4,FALSE),"")</f>
        <v>1</v>
      </c>
      <c r="AC17" t="b">
        <f>IF($N17,T17=VLOOKUP(T17,$AG$2:$AL$10,4,FALSE),"")</f>
        <v>1</v>
      </c>
      <c r="AD17" t="b">
        <f>IF($N17,U17=VLOOKUP(U17,$AG$2:$AL$10,5,FALSE),"")</f>
        <v>1</v>
      </c>
      <c r="AE17" t="b">
        <f>IF($N17,V17=VLOOKUP(V17,$AG$2:$AL$10,5,FALSE),"")</f>
        <v>1</v>
      </c>
      <c r="AN17" s="55" t="str">
        <f t="shared" si="9"/>
        <v xml:space="preserve">    { wxString::FromUTF8("\x2F"), &amp;AllGlyphs[79], &amp;AllGlyphs[76], &amp;AllGlyphs[27], &amp;AllGlyphs[14], Connection::DIAG_BOTH, Connection::EMPTY, Connection::ORTHO_BOTH, Connection::EMPTY, 0, 0, 0, 0 },</v>
      </c>
      <c r="AO17" s="56"/>
      <c r="AP17" s="56"/>
      <c r="AQ17" s="56"/>
      <c r="AR17" s="56"/>
      <c r="AS17" s="56"/>
      <c r="AT17" s="56"/>
      <c r="AU17" s="57"/>
      <c r="AW17" s="54" t="str">
        <f t="shared" si="10"/>
        <v>&amp;AllGlyphs[79]</v>
      </c>
      <c r="AX17" s="54" t="str">
        <f t="shared" si="11"/>
        <v>&amp;AllGlyphs[76]</v>
      </c>
      <c r="AY17" s="54" t="str">
        <f t="shared" si="12"/>
        <v>&amp;AllGlyphs[27]</v>
      </c>
      <c r="AZ17" s="54" t="str">
        <f t="shared" si="13"/>
        <v>&amp;AllGlyphs[14]</v>
      </c>
      <c r="BB17" s="64">
        <f t="shared" si="14"/>
        <v>0</v>
      </c>
      <c r="BC17" s="64">
        <f t="shared" si="15"/>
        <v>0</v>
      </c>
      <c r="BD17" s="64">
        <f t="shared" si="16"/>
        <v>0</v>
      </c>
      <c r="BE17" s="64">
        <f t="shared" si="17"/>
        <v>0</v>
      </c>
    </row>
    <row r="18" spans="1:57" x14ac:dyDescent="0.4">
      <c r="A18" s="7">
        <v>0</v>
      </c>
      <c r="B18" s="6">
        <f t="shared" si="0"/>
        <v>0</v>
      </c>
      <c r="C18" s="48" cm="1">
        <f t="array" ref="C18">IF($N18,INDEX($O:$O,MATCH(TRUE,EXACT(B18,$A:$A),0)),"")</f>
        <v>16</v>
      </c>
      <c r="D18" s="38" t="s">
        <v>65</v>
      </c>
      <c r="E18" s="48" cm="1">
        <f t="array" ref="E18">IF($N18,INDEX($O:$O,MATCH(TRUE,EXACT(D18,$A:$A),0)),"")</f>
        <v>15</v>
      </c>
      <c r="F18" s="38" t="s">
        <v>8</v>
      </c>
      <c r="G18" s="48" cm="1">
        <f t="array" ref="G18">IF($O18&lt;&gt;"",INDEX($O:$O,MATCH(TRUE,EXACT(F18,$A:$A),0)),"")</f>
        <v>79</v>
      </c>
      <c r="H18" s="38" t="s">
        <v>9</v>
      </c>
      <c r="I18" s="48" cm="1">
        <f t="array" ref="I18">IF($N18,INDEX($O:$O,MATCH(TRUE,EXACT(H18,$A:$A),0)),"")</f>
        <v>80</v>
      </c>
      <c r="J18" s="38">
        <v>9</v>
      </c>
      <c r="K18" s="52" cm="1">
        <f t="array" ref="K18">IF($N18,INDEX($O:$O,MATCH(TRUE,EXACT(J18,$A:$A),0)),"")</f>
        <v>25</v>
      </c>
      <c r="L18" s="23"/>
      <c r="M18" s="33"/>
      <c r="N18" s="18" t="b">
        <f t="shared" si="3"/>
        <v>1</v>
      </c>
      <c r="O18" s="19">
        <f>IF(N18, MAX(O$2:O17)+1,"")</f>
        <v>16</v>
      </c>
      <c r="P18" s="23">
        <f t="shared" si="1"/>
        <v>0</v>
      </c>
      <c r="Q18" s="8" t="str" cm="1">
        <f t="array" ref="Q18">CharToUTF8(A18)</f>
        <v>\x30</v>
      </c>
      <c r="S18" s="18" t="str">
        <f>$AG$2</f>
        <v>EMPTY</v>
      </c>
      <c r="T18" s="24" t="str">
        <f>$AG$4</f>
        <v>ORTHO_BOTH</v>
      </c>
      <c r="U18" s="24" t="str">
        <f>$AG$3</f>
        <v>DIAG_BOTH</v>
      </c>
      <c r="V18" s="21" t="str">
        <f>$AG$2</f>
        <v>EMPTY</v>
      </c>
      <c r="X18" s="31" t="b">
        <f t="shared" si="5"/>
        <v>0</v>
      </c>
      <c r="Y18" s="31" t="b">
        <f t="shared" si="6"/>
        <v>0</v>
      </c>
      <c r="Z18" t="b">
        <f t="shared" si="7"/>
        <v>0</v>
      </c>
      <c r="AA18" t="b">
        <f t="shared" si="8"/>
        <v>0</v>
      </c>
      <c r="AB18" t="b">
        <f>IF($N18,S18=VLOOKUP(S18,$AG$2:$AL$10,4,FALSE),"")</f>
        <v>1</v>
      </c>
      <c r="AC18" t="b">
        <f>IF($N18,T18=VLOOKUP(T18,$AG$2:$AL$10,4,FALSE),"")</f>
        <v>1</v>
      </c>
      <c r="AD18" t="b">
        <f>IF($N18,U18=VLOOKUP(U18,$AG$2:$AL$10,5,FALSE),"")</f>
        <v>1</v>
      </c>
      <c r="AE18" t="b">
        <f>IF($N18,V18=VLOOKUP(V18,$AG$2:$AL$10,5,FALSE),"")</f>
        <v>1</v>
      </c>
      <c r="AN18" s="55" t="str">
        <f t="shared" ref="AN18:AN81" si="19">IF($N18,"    { wxString::FromUTF8(""" &amp; $Q18 &amp; """), " &amp; _xlfn.TEXTJOIN(", ", TRUE, AW18:AZ18) &amp; ", " &amp; $AG$1 &amp; _xlfn.TEXTJOIN(", " &amp; $AG$1, TRUE, $S18:$V18) &amp; ", " &amp; _xlfn.TEXTJOIN(", ", TRUE, BB18:BE18) &amp; " },","")</f>
        <v xml:space="preserve">    { wxString::FromUTF8("\x30"), &amp;AllGlyphs[15], &amp;AllGlyphs[79], &amp;AllGlyphs[80], &amp;AllGlyphs[25], Connection::EMPTY, Connection::ORTHO_BOTH, Connection::DIAG_BOTH, Connection::EMPTY, 0, 0, 0, 0 },</v>
      </c>
      <c r="AO18" s="56"/>
      <c r="AP18" s="56"/>
      <c r="AQ18" s="56"/>
      <c r="AR18" s="56"/>
      <c r="AS18" s="56"/>
      <c r="AT18" s="56"/>
      <c r="AU18" s="57"/>
      <c r="AW18" s="54" t="str">
        <f t="shared" si="10"/>
        <v>&amp;AllGlyphs[15]</v>
      </c>
      <c r="AX18" s="54" t="str">
        <f t="shared" si="11"/>
        <v>&amp;AllGlyphs[79]</v>
      </c>
      <c r="AY18" s="54" t="str">
        <f t="shared" si="12"/>
        <v>&amp;AllGlyphs[80]</v>
      </c>
      <c r="AZ18" s="54" t="str">
        <f t="shared" si="13"/>
        <v>&amp;AllGlyphs[25]</v>
      </c>
      <c r="BB18" s="64">
        <f t="shared" si="14"/>
        <v>0</v>
      </c>
      <c r="BC18" s="64">
        <f t="shared" si="15"/>
        <v>0</v>
      </c>
      <c r="BD18" s="64">
        <f t="shared" si="16"/>
        <v>0</v>
      </c>
      <c r="BE18" s="64">
        <f t="shared" si="17"/>
        <v>0</v>
      </c>
    </row>
    <row r="19" spans="1:57" ht="31.5" customHeight="1" x14ac:dyDescent="0.4">
      <c r="A19" s="7">
        <v>1</v>
      </c>
      <c r="B19" s="6">
        <f t="shared" si="0"/>
        <v>1</v>
      </c>
      <c r="C19" s="48" cm="1">
        <f t="array" ref="C19">IF($N19,INDEX($O:$O,MATCH(TRUE,EXACT(B19,$A:$A),0)),"")</f>
        <v>17</v>
      </c>
      <c r="D19" s="38" t="s">
        <v>168</v>
      </c>
      <c r="E19" s="48" cm="1">
        <f t="array" ref="E19">IF($N19,INDEX($O:$O,MATCH(TRUE,EXACT(D19,$A:$A),0)),"")</f>
        <v>64</v>
      </c>
      <c r="F19" s="38">
        <v>1</v>
      </c>
      <c r="G19" s="48" cm="1">
        <f t="array" ref="G19">IF($O19&lt;&gt;"",INDEX($O:$O,MATCH(TRUE,EXACT(F19,$A:$A),0)),"")</f>
        <v>17</v>
      </c>
      <c r="H19" s="38">
        <v>1</v>
      </c>
      <c r="I19" s="48" cm="1">
        <f t="array" ref="I19">IF($N19,INDEX($O:$O,MATCH(TRUE,EXACT(H19,$A:$A),0)),"")</f>
        <v>17</v>
      </c>
      <c r="J19" s="38">
        <v>1</v>
      </c>
      <c r="K19" s="52" cm="1">
        <f t="array" ref="K19">IF($N19,INDEX($O:$O,MATCH(TRUE,EXACT(J19,$A:$A),0)),"")</f>
        <v>17</v>
      </c>
      <c r="L19" s="23"/>
      <c r="M19" s="33"/>
      <c r="N19" s="18" t="b">
        <f t="shared" si="3"/>
        <v>1</v>
      </c>
      <c r="O19" s="19">
        <f>IF(N19, MAX(O$2:O18)+1,"")</f>
        <v>17</v>
      </c>
      <c r="P19" s="23">
        <f t="shared" si="1"/>
        <v>1</v>
      </c>
      <c r="Q19" s="8" t="str" cm="1">
        <f t="array" ref="Q19">CharToUTF8(A19)</f>
        <v>\x31</v>
      </c>
      <c r="S19" s="18" t="str">
        <f>$AG$2</f>
        <v>EMPTY</v>
      </c>
      <c r="T19" s="24" t="str">
        <f>$AG$2</f>
        <v>EMPTY</v>
      </c>
      <c r="U19" s="24" t="str">
        <f>$AG$3</f>
        <v>DIAG_BOTH</v>
      </c>
      <c r="V19" s="21" t="str">
        <f>$AG$3</f>
        <v>DIAG_BOTH</v>
      </c>
      <c r="X19" s="31" t="b">
        <f t="shared" si="5"/>
        <v>0</v>
      </c>
      <c r="Y19" s="31" t="b">
        <f t="shared" si="6"/>
        <v>1</v>
      </c>
      <c r="Z19" t="b">
        <f t="shared" si="7"/>
        <v>1</v>
      </c>
      <c r="AA19" t="b">
        <f t="shared" si="8"/>
        <v>1</v>
      </c>
      <c r="AB19" t="b">
        <f>IF($N19,S19=VLOOKUP(S19,$AG$2:$AL$10,4,FALSE),"")</f>
        <v>1</v>
      </c>
      <c r="AC19" t="b">
        <f>IF($N19,T19=VLOOKUP(T19,$AG$2:$AL$10,4,FALSE),"")</f>
        <v>1</v>
      </c>
      <c r="AD19" t="b">
        <f>IF($N19,U19=VLOOKUP(U19,$AG$2:$AL$10,5,FALSE),"")</f>
        <v>1</v>
      </c>
      <c r="AE19" t="b">
        <f>IF($N19,V19=VLOOKUP(V19,$AG$2:$AL$10,5,FALSE),"")</f>
        <v>1</v>
      </c>
      <c r="AN19" s="55" t="str">
        <f t="shared" si="19"/>
        <v xml:space="preserve">    { wxString::FromUTF8("\x31"), &amp;AllGlyphs[64], &amp;AllGlyphs[17], &amp;AllGlyphs[17], &amp;AllGlyphs[17], Connection::EMPTY, Connection::EMPTY, Connection::DIAG_BOTH, Connection::DIAG_BOTH, 0, 1, 1, 1 },</v>
      </c>
      <c r="AO19" s="56"/>
      <c r="AP19" s="56"/>
      <c r="AQ19" s="56"/>
      <c r="AR19" s="56"/>
      <c r="AS19" s="56"/>
      <c r="AT19" s="56"/>
      <c r="AU19" s="57"/>
      <c r="AW19" s="54" t="str">
        <f t="shared" si="10"/>
        <v>&amp;AllGlyphs[64]</v>
      </c>
      <c r="AX19" s="54" t="str">
        <f t="shared" si="11"/>
        <v>&amp;AllGlyphs[17]</v>
      </c>
      <c r="AY19" s="54" t="str">
        <f t="shared" si="12"/>
        <v>&amp;AllGlyphs[17]</v>
      </c>
      <c r="AZ19" s="54" t="str">
        <f t="shared" si="13"/>
        <v>&amp;AllGlyphs[17]</v>
      </c>
      <c r="BB19" s="64">
        <f t="shared" si="14"/>
        <v>0</v>
      </c>
      <c r="BC19" s="64">
        <f t="shared" si="15"/>
        <v>1</v>
      </c>
      <c r="BD19" s="64">
        <f t="shared" si="16"/>
        <v>1</v>
      </c>
      <c r="BE19" s="64">
        <f t="shared" si="17"/>
        <v>1</v>
      </c>
    </row>
    <row r="20" spans="1:57" x14ac:dyDescent="0.4">
      <c r="A20" s="7">
        <v>2</v>
      </c>
      <c r="B20" s="6">
        <f t="shared" si="0"/>
        <v>2</v>
      </c>
      <c r="C20" s="48" cm="1">
        <f t="array" ref="C20">IF($N20,INDEX($O:$O,MATCH(TRUE,EXACT(B20,$A:$A),0)),"")</f>
        <v>18</v>
      </c>
      <c r="D20" s="38">
        <v>3</v>
      </c>
      <c r="E20" s="48" cm="1">
        <f t="array" ref="E20">IF($N20,INDEX($O:$O,MATCH(TRUE,EXACT(D20,$A:$A),0)),"")</f>
        <v>19</v>
      </c>
      <c r="F20" s="38">
        <v>2</v>
      </c>
      <c r="G20" s="48" cm="1">
        <f t="array" ref="G20">IF($O20&lt;&gt;"",INDEX($O:$O,MATCH(TRUE,EXACT(F20,$A:$A),0)),"")</f>
        <v>18</v>
      </c>
      <c r="H20" s="38">
        <v>2</v>
      </c>
      <c r="I20" s="48" cm="1">
        <f t="array" ref="I20">IF($N20,INDEX($O:$O,MATCH(TRUE,EXACT(H20,$A:$A),0)),"")</f>
        <v>18</v>
      </c>
      <c r="J20" s="38">
        <v>2</v>
      </c>
      <c r="K20" s="52" cm="1">
        <f t="array" ref="K20">IF($N20,INDEX($O:$O,MATCH(TRUE,EXACT(J20,$A:$A),0)),"")</f>
        <v>18</v>
      </c>
      <c r="L20" s="23"/>
      <c r="M20" s="33"/>
      <c r="N20" s="18" t="b">
        <f t="shared" si="3"/>
        <v>1</v>
      </c>
      <c r="O20" s="19">
        <f>IF(N20, MAX(O$2:O19)+1,"")</f>
        <v>18</v>
      </c>
      <c r="P20" s="23">
        <f t="shared" si="1"/>
        <v>2</v>
      </c>
      <c r="Q20" s="8" t="str" cm="1">
        <f t="array" ref="Q20">CharToUTF8(A20)</f>
        <v>\x32</v>
      </c>
      <c r="S20" s="18" t="str">
        <f>$AG$4</f>
        <v>ORTHO_BOTH</v>
      </c>
      <c r="T20" s="24" t="str">
        <f>$AG$4</f>
        <v>ORTHO_BOTH</v>
      </c>
      <c r="U20" s="24" t="str">
        <f>$AG$3</f>
        <v>DIAG_BOTH</v>
      </c>
      <c r="V20" s="21" t="str">
        <f>$AG$3</f>
        <v>DIAG_BOTH</v>
      </c>
      <c r="X20" s="31" t="b">
        <f t="shared" si="5"/>
        <v>0</v>
      </c>
      <c r="Y20" s="31" t="b">
        <f t="shared" si="6"/>
        <v>1</v>
      </c>
      <c r="Z20" t="b">
        <f t="shared" si="7"/>
        <v>1</v>
      </c>
      <c r="AA20" t="b">
        <f t="shared" si="8"/>
        <v>1</v>
      </c>
      <c r="AB20" t="b">
        <f>IF($N20,S20=VLOOKUP(S20,$AG$2:$AL$10,4,FALSE),"")</f>
        <v>1</v>
      </c>
      <c r="AC20" t="b">
        <f>IF($N20,T20=VLOOKUP(T20,$AG$2:$AL$10,4,FALSE),"")</f>
        <v>1</v>
      </c>
      <c r="AD20" t="b">
        <f>IF($N20,U20=VLOOKUP(U20,$AG$2:$AL$10,5,FALSE),"")</f>
        <v>1</v>
      </c>
      <c r="AE20" t="b">
        <f>IF($N20,V20=VLOOKUP(V20,$AG$2:$AL$10,5,FALSE),"")</f>
        <v>1</v>
      </c>
      <c r="AN20" s="55" t="str">
        <f t="shared" si="19"/>
        <v xml:space="preserve">    { wxString::FromUTF8("\x32"), &amp;AllGlyphs[19], &amp;AllGlyphs[18], &amp;AllGlyphs[18], &amp;AllGlyphs[18], Connection::ORTHO_BOTH, Connection::ORTHO_BOTH, Connection::DIAG_BOTH, Connection::DIAG_BOTH, 0, 1, 1, 1 },</v>
      </c>
      <c r="AO20" s="56"/>
      <c r="AP20" s="56"/>
      <c r="AQ20" s="56"/>
      <c r="AR20" s="56"/>
      <c r="AS20" s="56"/>
      <c r="AT20" s="56"/>
      <c r="AU20" s="57"/>
      <c r="AW20" s="54" t="str">
        <f t="shared" si="10"/>
        <v>&amp;AllGlyphs[19]</v>
      </c>
      <c r="AX20" s="54" t="str">
        <f t="shared" si="11"/>
        <v>&amp;AllGlyphs[18]</v>
      </c>
      <c r="AY20" s="54" t="str">
        <f t="shared" si="12"/>
        <v>&amp;AllGlyphs[18]</v>
      </c>
      <c r="AZ20" s="54" t="str">
        <f t="shared" si="13"/>
        <v>&amp;AllGlyphs[18]</v>
      </c>
      <c r="BB20" s="64">
        <f t="shared" si="14"/>
        <v>0</v>
      </c>
      <c r="BC20" s="64">
        <f t="shared" si="15"/>
        <v>1</v>
      </c>
      <c r="BD20" s="64">
        <f t="shared" si="16"/>
        <v>1</v>
      </c>
      <c r="BE20" s="64">
        <f t="shared" si="17"/>
        <v>1</v>
      </c>
    </row>
    <row r="21" spans="1:57" x14ac:dyDescent="0.4">
      <c r="A21" s="7">
        <v>3</v>
      </c>
      <c r="B21" s="6">
        <f t="shared" si="0"/>
        <v>3</v>
      </c>
      <c r="C21" s="48" cm="1">
        <f t="array" ref="C21">IF($N21,INDEX($O:$O,MATCH(TRUE,EXACT(B21,$A:$A),0)),"")</f>
        <v>19</v>
      </c>
      <c r="D21" s="38">
        <v>2</v>
      </c>
      <c r="E21" s="48" cm="1">
        <f t="array" ref="E21">IF($N21,INDEX($O:$O,MATCH(TRUE,EXACT(D21,$A:$A),0)),"")</f>
        <v>18</v>
      </c>
      <c r="F21" s="38">
        <v>3</v>
      </c>
      <c r="G21" s="48" cm="1">
        <f t="array" ref="G21">IF($O21&lt;&gt;"",INDEX($O:$O,MATCH(TRUE,EXACT(F21,$A:$A),0)),"")</f>
        <v>19</v>
      </c>
      <c r="H21" s="38">
        <v>3</v>
      </c>
      <c r="I21" s="48" cm="1">
        <f t="array" ref="I21">IF($N21,INDEX($O:$O,MATCH(TRUE,EXACT(H21,$A:$A),0)),"")</f>
        <v>19</v>
      </c>
      <c r="J21" s="38">
        <v>3</v>
      </c>
      <c r="K21" s="52" cm="1">
        <f t="array" ref="K21">IF($N21,INDEX($O:$O,MATCH(TRUE,EXACT(J21,$A:$A),0)),"")</f>
        <v>19</v>
      </c>
      <c r="L21" s="23"/>
      <c r="M21" s="33"/>
      <c r="N21" s="18" t="b">
        <f t="shared" si="3"/>
        <v>1</v>
      </c>
      <c r="O21" s="19">
        <f>IF(N21, MAX(O$2:O20)+1,"")</f>
        <v>19</v>
      </c>
      <c r="P21" s="23">
        <f t="shared" si="1"/>
        <v>3</v>
      </c>
      <c r="Q21" s="8" t="str" cm="1">
        <f t="array" ref="Q21">CharToUTF8(A21)</f>
        <v>\x33</v>
      </c>
      <c r="S21" s="18" t="str">
        <f>$AG$3</f>
        <v>DIAG_BOTH</v>
      </c>
      <c r="T21" s="24" t="str">
        <f>$AG$3</f>
        <v>DIAG_BOTH</v>
      </c>
      <c r="U21" s="24" t="str">
        <f>$AG$4</f>
        <v>ORTHO_BOTH</v>
      </c>
      <c r="V21" s="21" t="str">
        <f>$AG$4</f>
        <v>ORTHO_BOTH</v>
      </c>
      <c r="X21" s="31" t="b">
        <f t="shared" si="5"/>
        <v>0</v>
      </c>
      <c r="Y21" s="31" t="b">
        <f t="shared" si="6"/>
        <v>1</v>
      </c>
      <c r="Z21" t="b">
        <f t="shared" si="7"/>
        <v>1</v>
      </c>
      <c r="AA21" t="b">
        <f t="shared" si="8"/>
        <v>1</v>
      </c>
      <c r="AB21" t="b">
        <f>IF($N21,S21=VLOOKUP(S21,$AG$2:$AL$10,4,FALSE),"")</f>
        <v>1</v>
      </c>
      <c r="AC21" t="b">
        <f>IF($N21,T21=VLOOKUP(T21,$AG$2:$AL$10,4,FALSE),"")</f>
        <v>1</v>
      </c>
      <c r="AD21" t="b">
        <f>IF($N21,U21=VLOOKUP(U21,$AG$2:$AL$10,5,FALSE),"")</f>
        <v>1</v>
      </c>
      <c r="AE21" t="b">
        <f>IF($N21,V21=VLOOKUP(V21,$AG$2:$AL$10,5,FALSE),"")</f>
        <v>1</v>
      </c>
      <c r="AN21" s="55" t="str">
        <f t="shared" si="19"/>
        <v xml:space="preserve">    { wxString::FromUTF8("\x33"), &amp;AllGlyphs[18], &amp;AllGlyphs[19], &amp;AllGlyphs[19], &amp;AllGlyphs[19], Connection::DIAG_BOTH, Connection::DIAG_BOTH, Connection::ORTHO_BOTH, Connection::ORTHO_BOTH, 0, 1, 1, 1 },</v>
      </c>
      <c r="AO21" s="56"/>
      <c r="AP21" s="56"/>
      <c r="AQ21" s="56"/>
      <c r="AR21" s="56"/>
      <c r="AS21" s="56"/>
      <c r="AT21" s="56"/>
      <c r="AU21" s="57"/>
      <c r="AW21" s="54" t="str">
        <f t="shared" si="10"/>
        <v>&amp;AllGlyphs[18]</v>
      </c>
      <c r="AX21" s="54" t="str">
        <f t="shared" si="11"/>
        <v>&amp;AllGlyphs[19]</v>
      </c>
      <c r="AY21" s="54" t="str">
        <f t="shared" si="12"/>
        <v>&amp;AllGlyphs[19]</v>
      </c>
      <c r="AZ21" s="54" t="str">
        <f t="shared" si="13"/>
        <v>&amp;AllGlyphs[19]</v>
      </c>
      <c r="BB21" s="64">
        <f t="shared" si="14"/>
        <v>0</v>
      </c>
      <c r="BC21" s="64">
        <f t="shared" si="15"/>
        <v>1</v>
      </c>
      <c r="BD21" s="64">
        <f t="shared" si="16"/>
        <v>1</v>
      </c>
      <c r="BE21" s="64">
        <f t="shared" si="17"/>
        <v>1</v>
      </c>
    </row>
    <row r="22" spans="1:57" ht="31.5" customHeight="1" x14ac:dyDescent="0.4">
      <c r="A22" s="7">
        <v>4</v>
      </c>
      <c r="B22" s="6">
        <f t="shared" si="0"/>
        <v>4</v>
      </c>
      <c r="C22" s="48" cm="1">
        <f t="array" ref="C22">IF($N22,INDEX($O:$O,MATCH(TRUE,EXACT(B22,$A:$A),0)),"")</f>
        <v>20</v>
      </c>
      <c r="D22" s="38" t="s">
        <v>22</v>
      </c>
      <c r="E22" s="48" cm="1">
        <f t="array" ref="E22">IF($N22,INDEX($O:$O,MATCH(TRUE,EXACT(D22,$A:$A),0)),"")</f>
        <v>86</v>
      </c>
      <c r="F22" s="38" t="s">
        <v>3</v>
      </c>
      <c r="G22" s="48" cm="1">
        <f t="array" ref="G22">IF($O22&lt;&gt;"",INDEX($O:$O,MATCH(TRUE,EXACT(F22,$A:$A),0)),"")</f>
        <v>82</v>
      </c>
      <c r="H22" s="38" t="s">
        <v>3</v>
      </c>
      <c r="I22" s="48" cm="1">
        <f t="array" ref="I22">IF($N22,INDEX($O:$O,MATCH(TRUE,EXACT(H22,$A:$A),0)),"")</f>
        <v>82</v>
      </c>
      <c r="J22" s="38">
        <v>4</v>
      </c>
      <c r="K22" s="52" cm="1">
        <f t="array" ref="K22">IF($N22,INDEX($O:$O,MATCH(TRUE,EXACT(J22,$A:$A),0)),"")</f>
        <v>20</v>
      </c>
      <c r="L22" s="23"/>
      <c r="M22" s="33"/>
      <c r="N22" s="18" t="b">
        <f t="shared" si="3"/>
        <v>1</v>
      </c>
      <c r="O22" s="19">
        <f>IF(N22, MAX(O$2:O21)+1,"")</f>
        <v>20</v>
      </c>
      <c r="P22" s="23">
        <f t="shared" si="1"/>
        <v>4</v>
      </c>
      <c r="Q22" s="8" t="str" cm="1">
        <f t="array" ref="Q22">CharToUTF8(A22)</f>
        <v>\x34</v>
      </c>
      <c r="S22" s="18" t="str">
        <f>$AG$2</f>
        <v>EMPTY</v>
      </c>
      <c r="T22" s="24" t="str">
        <f>$AG$3</f>
        <v>DIAG_BOTH</v>
      </c>
      <c r="U22" s="24" t="str">
        <f>$AG$2</f>
        <v>EMPTY</v>
      </c>
      <c r="V22" s="21" t="str">
        <f>$AG$2</f>
        <v>EMPTY</v>
      </c>
      <c r="X22" s="31" t="b">
        <f t="shared" si="5"/>
        <v>0</v>
      </c>
      <c r="Y22" s="31" t="b">
        <f t="shared" si="6"/>
        <v>0</v>
      </c>
      <c r="Z22" t="b">
        <f t="shared" si="7"/>
        <v>0</v>
      </c>
      <c r="AA22" t="b">
        <f t="shared" si="8"/>
        <v>1</v>
      </c>
      <c r="AB22" t="b">
        <f>IF($N22,S22=VLOOKUP(S22,$AG$2:$AL$10,4,FALSE),"")</f>
        <v>1</v>
      </c>
      <c r="AC22" t="b">
        <f>IF($N22,T22=VLOOKUP(T22,$AG$2:$AL$10,4,FALSE),"")</f>
        <v>1</v>
      </c>
      <c r="AD22" t="b">
        <f>IF($N22,U22=VLOOKUP(U22,$AG$2:$AL$10,5,FALSE),"")</f>
        <v>1</v>
      </c>
      <c r="AE22" t="b">
        <f>IF($N22,V22=VLOOKUP(V22,$AG$2:$AL$10,5,FALSE),"")</f>
        <v>1</v>
      </c>
      <c r="AN22" s="55" t="str">
        <f t="shared" si="19"/>
        <v xml:space="preserve">    { wxString::FromUTF8("\x34"), &amp;AllGlyphs[86], &amp;AllGlyphs[82], &amp;AllGlyphs[82], &amp;AllGlyphs[20], Connection::EMPTY, Connection::DIAG_BOTH, Connection::EMPTY, Connection::EMPTY, 0, 0, 0, 1 },</v>
      </c>
      <c r="AO22" s="56"/>
      <c r="AP22" s="56"/>
      <c r="AQ22" s="56"/>
      <c r="AR22" s="56"/>
      <c r="AS22" s="56"/>
      <c r="AT22" s="56"/>
      <c r="AU22" s="57"/>
      <c r="AW22" s="54" t="str">
        <f t="shared" si="10"/>
        <v>&amp;AllGlyphs[86]</v>
      </c>
      <c r="AX22" s="54" t="str">
        <f t="shared" si="11"/>
        <v>&amp;AllGlyphs[82]</v>
      </c>
      <c r="AY22" s="54" t="str">
        <f t="shared" si="12"/>
        <v>&amp;AllGlyphs[82]</v>
      </c>
      <c r="AZ22" s="54" t="str">
        <f t="shared" si="13"/>
        <v>&amp;AllGlyphs[20]</v>
      </c>
      <c r="BB22" s="64">
        <f t="shared" si="14"/>
        <v>0</v>
      </c>
      <c r="BC22" s="64">
        <f t="shared" si="15"/>
        <v>0</v>
      </c>
      <c r="BD22" s="64">
        <f t="shared" si="16"/>
        <v>0</v>
      </c>
      <c r="BE22" s="64">
        <f t="shared" si="17"/>
        <v>1</v>
      </c>
    </row>
    <row r="23" spans="1:57" x14ac:dyDescent="0.4">
      <c r="A23" s="7">
        <v>5</v>
      </c>
      <c r="B23" s="6">
        <f t="shared" si="0"/>
        <v>5</v>
      </c>
      <c r="C23" s="48" cm="1">
        <f t="array" ref="C23">IF($N23,INDEX($O:$O,MATCH(TRUE,EXACT(B23,$A:$A),0)),"")</f>
        <v>21</v>
      </c>
      <c r="D23" s="38" t="s">
        <v>15</v>
      </c>
      <c r="E23" s="48" cm="1">
        <f t="array" ref="E23">IF($N23,INDEX($O:$O,MATCH(TRUE,EXACT(D23,$A:$A),0)),"")</f>
        <v>72</v>
      </c>
      <c r="F23" s="38" t="s">
        <v>4</v>
      </c>
      <c r="G23" s="48" cm="1">
        <f t="array" ref="G23">IF($O23&lt;&gt;"",INDEX($O:$O,MATCH(TRUE,EXACT(F23,$A:$A),0)),"")</f>
        <v>84</v>
      </c>
      <c r="H23" s="38" t="s">
        <v>4</v>
      </c>
      <c r="I23" s="48" cm="1">
        <f t="array" ref="I23">IF($N23,INDEX($O:$O,MATCH(TRUE,EXACT(H23,$A:$A),0)),"")</f>
        <v>84</v>
      </c>
      <c r="J23" s="38">
        <v>5</v>
      </c>
      <c r="K23" s="52" cm="1">
        <f t="array" ref="K23">IF($N23,INDEX($O:$O,MATCH(TRUE,EXACT(J23,$A:$A),0)),"")</f>
        <v>21</v>
      </c>
      <c r="L23" s="23"/>
      <c r="M23" s="33"/>
      <c r="N23" s="18" t="b">
        <f t="shared" si="3"/>
        <v>1</v>
      </c>
      <c r="O23" s="19">
        <f>IF(N23, MAX(O$2:O22)+1,"")</f>
        <v>21</v>
      </c>
      <c r="P23" s="23">
        <f t="shared" si="1"/>
        <v>5</v>
      </c>
      <c r="Q23" s="8" t="str" cm="1">
        <f t="array" ref="Q23">CharToUTF8(A23)</f>
        <v>\x35</v>
      </c>
      <c r="S23" s="18" t="str">
        <f>$AG$3</f>
        <v>DIAG_BOTH</v>
      </c>
      <c r="T23" s="24" t="str">
        <f t="shared" ref="T23:T28" si="20">$AG$4</f>
        <v>ORTHO_BOTH</v>
      </c>
      <c r="U23" s="24" t="str">
        <f>$AG$3</f>
        <v>DIAG_BOTH</v>
      </c>
      <c r="V23" s="21" t="str">
        <f>$AG$3</f>
        <v>DIAG_BOTH</v>
      </c>
      <c r="X23" s="31" t="b">
        <f t="shared" si="5"/>
        <v>0</v>
      </c>
      <c r="Y23" s="31" t="b">
        <f t="shared" si="6"/>
        <v>0</v>
      </c>
      <c r="Z23" t="b">
        <f t="shared" si="7"/>
        <v>0</v>
      </c>
      <c r="AA23" t="b">
        <f t="shared" si="8"/>
        <v>1</v>
      </c>
      <c r="AB23" t="b">
        <f>IF($N23,S23=VLOOKUP(S23,$AG$2:$AL$10,4,FALSE),"")</f>
        <v>1</v>
      </c>
      <c r="AC23" t="b">
        <f>IF($N23,T23=VLOOKUP(T23,$AG$2:$AL$10,4,FALSE),"")</f>
        <v>1</v>
      </c>
      <c r="AD23" t="b">
        <f>IF($N23,U23=VLOOKUP(U23,$AG$2:$AL$10,5,FALSE),"")</f>
        <v>1</v>
      </c>
      <c r="AE23" t="b">
        <f>IF($N23,V23=VLOOKUP(V23,$AG$2:$AL$10,5,FALSE),"")</f>
        <v>1</v>
      </c>
      <c r="AN23" s="55" t="str">
        <f t="shared" si="19"/>
        <v xml:space="preserve">    { wxString::FromUTF8("\x35"), &amp;AllGlyphs[72], &amp;AllGlyphs[84], &amp;AllGlyphs[84], &amp;AllGlyphs[21], Connection::DIAG_BOTH, Connection::ORTHO_BOTH, Connection::DIAG_BOTH, Connection::DIAG_BOTH, 0, 0, 0, 1 },</v>
      </c>
      <c r="AO23" s="56"/>
      <c r="AP23" s="56"/>
      <c r="AQ23" s="56"/>
      <c r="AR23" s="56"/>
      <c r="AS23" s="56"/>
      <c r="AT23" s="56"/>
      <c r="AU23" s="57"/>
      <c r="AW23" s="54" t="str">
        <f t="shared" si="10"/>
        <v>&amp;AllGlyphs[72]</v>
      </c>
      <c r="AX23" s="54" t="str">
        <f t="shared" si="11"/>
        <v>&amp;AllGlyphs[84]</v>
      </c>
      <c r="AY23" s="54" t="str">
        <f t="shared" si="12"/>
        <v>&amp;AllGlyphs[84]</v>
      </c>
      <c r="AZ23" s="54" t="str">
        <f t="shared" si="13"/>
        <v>&amp;AllGlyphs[21]</v>
      </c>
      <c r="BB23" s="64">
        <f t="shared" si="14"/>
        <v>0</v>
      </c>
      <c r="BC23" s="64">
        <f t="shared" si="15"/>
        <v>0</v>
      </c>
      <c r="BD23" s="64">
        <f t="shared" si="16"/>
        <v>0</v>
      </c>
      <c r="BE23" s="64">
        <f t="shared" si="17"/>
        <v>1</v>
      </c>
    </row>
    <row r="24" spans="1:57" x14ac:dyDescent="0.4">
      <c r="A24" s="7">
        <v>6</v>
      </c>
      <c r="B24" s="6">
        <f t="shared" si="0"/>
        <v>6</v>
      </c>
      <c r="C24" s="48" cm="1">
        <f t="array" ref="C24">IF($N24,INDEX($O:$O,MATCH(TRUE,EXACT(B24,$A:$A),0)),"")</f>
        <v>22</v>
      </c>
      <c r="D24" s="38" t="s">
        <v>24</v>
      </c>
      <c r="E24" s="48" cm="1">
        <f t="array" ref="E24">IF($N24,INDEX($O:$O,MATCH(TRUE,EXACT(D24,$A:$A),0)),"")</f>
        <v>78</v>
      </c>
      <c r="F24" s="38" t="s">
        <v>5</v>
      </c>
      <c r="G24" s="48" cm="1">
        <f t="array" ref="G24">IF($O24&lt;&gt;"",INDEX($O:$O,MATCH(TRUE,EXACT(F24,$A:$A),0)),"")</f>
        <v>89</v>
      </c>
      <c r="H24" s="38" t="s">
        <v>5</v>
      </c>
      <c r="I24" s="48" cm="1">
        <f t="array" ref="I24">IF($N24,INDEX($O:$O,MATCH(TRUE,EXACT(H24,$A:$A),0)),"")</f>
        <v>89</v>
      </c>
      <c r="J24" s="38">
        <v>6</v>
      </c>
      <c r="K24" s="52" cm="1">
        <f t="array" ref="K24">IF($N24,INDEX($O:$O,MATCH(TRUE,EXACT(J24,$A:$A),0)),"")</f>
        <v>22</v>
      </c>
      <c r="L24" s="23"/>
      <c r="M24" s="33"/>
      <c r="N24" s="18" t="b">
        <f t="shared" si="3"/>
        <v>1</v>
      </c>
      <c r="O24" s="19">
        <f>IF(N24, MAX(O$2:O23)+1,"")</f>
        <v>22</v>
      </c>
      <c r="P24" s="23">
        <f t="shared" si="1"/>
        <v>6</v>
      </c>
      <c r="Q24" s="8" t="str" cm="1">
        <f t="array" ref="Q24">CharToUTF8(A24)</f>
        <v>\x36</v>
      </c>
      <c r="S24" s="18" t="str">
        <f>$AG$2</f>
        <v>EMPTY</v>
      </c>
      <c r="T24" s="24" t="str">
        <f t="shared" si="20"/>
        <v>ORTHO_BOTH</v>
      </c>
      <c r="U24" s="24" t="str">
        <f>$AG$3</f>
        <v>DIAG_BOTH</v>
      </c>
      <c r="V24" s="21" t="str">
        <f>$AG$3</f>
        <v>DIAG_BOTH</v>
      </c>
      <c r="X24" s="31" t="b">
        <f t="shared" si="5"/>
        <v>0</v>
      </c>
      <c r="Y24" s="31" t="b">
        <f t="shared" si="6"/>
        <v>0</v>
      </c>
      <c r="Z24" t="b">
        <f t="shared" si="7"/>
        <v>0</v>
      </c>
      <c r="AA24" t="b">
        <f t="shared" si="8"/>
        <v>1</v>
      </c>
      <c r="AB24" t="b">
        <f>IF($N24,S24=VLOOKUP(S24,$AG$2:$AL$10,4,FALSE),"")</f>
        <v>1</v>
      </c>
      <c r="AC24" t="b">
        <f>IF($N24,T24=VLOOKUP(T24,$AG$2:$AL$10,4,FALSE),"")</f>
        <v>1</v>
      </c>
      <c r="AD24" t="b">
        <f>IF($N24,U24=VLOOKUP(U24,$AG$2:$AL$10,5,FALSE),"")</f>
        <v>1</v>
      </c>
      <c r="AE24" t="b">
        <f>IF($N24,V24=VLOOKUP(V24,$AG$2:$AL$10,5,FALSE),"")</f>
        <v>1</v>
      </c>
      <c r="AN24" s="55" t="str">
        <f t="shared" si="19"/>
        <v xml:space="preserve">    { wxString::FromUTF8("\x36"), &amp;AllGlyphs[78], &amp;AllGlyphs[89], &amp;AllGlyphs[89], &amp;AllGlyphs[22], Connection::EMPTY, Connection::ORTHO_BOTH, Connection::DIAG_BOTH, Connection::DIAG_BOTH, 0, 0, 0, 1 },</v>
      </c>
      <c r="AO24" s="56"/>
      <c r="AP24" s="56"/>
      <c r="AQ24" s="56"/>
      <c r="AR24" s="56"/>
      <c r="AS24" s="56"/>
      <c r="AT24" s="56"/>
      <c r="AU24" s="57"/>
      <c r="AW24" s="54" t="str">
        <f t="shared" si="10"/>
        <v>&amp;AllGlyphs[78]</v>
      </c>
      <c r="AX24" s="54" t="str">
        <f t="shared" si="11"/>
        <v>&amp;AllGlyphs[89]</v>
      </c>
      <c r="AY24" s="54" t="str">
        <f t="shared" si="12"/>
        <v>&amp;AllGlyphs[89]</v>
      </c>
      <c r="AZ24" s="54" t="str">
        <f t="shared" si="13"/>
        <v>&amp;AllGlyphs[22]</v>
      </c>
      <c r="BB24" s="64">
        <f t="shared" si="14"/>
        <v>0</v>
      </c>
      <c r="BC24" s="64">
        <f t="shared" si="15"/>
        <v>0</v>
      </c>
      <c r="BD24" s="64">
        <f t="shared" si="16"/>
        <v>0</v>
      </c>
      <c r="BE24" s="64">
        <f t="shared" si="17"/>
        <v>1</v>
      </c>
    </row>
    <row r="25" spans="1:57" x14ac:dyDescent="0.4">
      <c r="A25" s="7">
        <v>7</v>
      </c>
      <c r="B25" s="6">
        <f t="shared" si="0"/>
        <v>7</v>
      </c>
      <c r="C25" s="48" cm="1">
        <f t="array" ref="C25">IF($N25,INDEX($O:$O,MATCH(TRUE,EXACT(B25,$A:$A),0)),"")</f>
        <v>23</v>
      </c>
      <c r="D25" s="38" t="s">
        <v>17</v>
      </c>
      <c r="E25" s="48" cm="1">
        <f t="array" ref="E25">IF($N25,INDEX($O:$O,MATCH(TRUE,EXACT(D25,$A:$A),0)),"")</f>
        <v>75</v>
      </c>
      <c r="F25" s="38" t="s">
        <v>7</v>
      </c>
      <c r="G25" s="48" cm="1">
        <f t="array" ref="G25">IF($O25&lt;&gt;"",INDEX($O:$O,MATCH(TRUE,EXACT(F25,$A:$A),0)),"")</f>
        <v>73</v>
      </c>
      <c r="H25" s="38" t="s">
        <v>6</v>
      </c>
      <c r="I25" s="48" cm="1">
        <f t="array" ref="I25">IF($N25,INDEX($O:$O,MATCH(TRUE,EXACT(H25,$A:$A),0)),"")</f>
        <v>85</v>
      </c>
      <c r="J25" s="38">
        <v>8</v>
      </c>
      <c r="K25" s="52" cm="1">
        <f t="array" ref="K25">IF($N25,INDEX($O:$O,MATCH(TRUE,EXACT(J25,$A:$A),0)),"")</f>
        <v>24</v>
      </c>
      <c r="L25" s="23"/>
      <c r="M25" s="33"/>
      <c r="N25" s="18" t="b">
        <f t="shared" si="3"/>
        <v>1</v>
      </c>
      <c r="O25" s="19">
        <f>IF(N25, MAX(O$2:O24)+1,"")</f>
        <v>23</v>
      </c>
      <c r="P25" s="23">
        <f t="shared" si="1"/>
        <v>7</v>
      </c>
      <c r="Q25" s="8" t="str" cm="1">
        <f t="array" ref="Q25">CharToUTF8(A25)</f>
        <v>\x37</v>
      </c>
      <c r="S25" s="18" t="str">
        <f>$AG$3</f>
        <v>DIAG_BOTH</v>
      </c>
      <c r="T25" s="24" t="str">
        <f t="shared" si="20"/>
        <v>ORTHO_BOTH</v>
      </c>
      <c r="U25" s="24" t="str">
        <f>$AG$2</f>
        <v>EMPTY</v>
      </c>
      <c r="V25" s="21" t="str">
        <f>$AG$3</f>
        <v>DIAG_BOTH</v>
      </c>
      <c r="X25" s="31" t="b">
        <f t="shared" si="5"/>
        <v>0</v>
      </c>
      <c r="Y25" s="31" t="b">
        <f t="shared" si="6"/>
        <v>0</v>
      </c>
      <c r="Z25" t="b">
        <f t="shared" si="7"/>
        <v>0</v>
      </c>
      <c r="AA25" t="b">
        <f t="shared" si="8"/>
        <v>0</v>
      </c>
      <c r="AB25" t="b">
        <f>IF($N25,S25=VLOOKUP(S25,$AG$2:$AL$10,4,FALSE),"")</f>
        <v>1</v>
      </c>
      <c r="AC25" t="b">
        <f>IF($N25,T25=VLOOKUP(T25,$AG$2:$AL$10,4,FALSE),"")</f>
        <v>1</v>
      </c>
      <c r="AD25" t="b">
        <f>IF($N25,U25=VLOOKUP(U25,$AG$2:$AL$10,5,FALSE),"")</f>
        <v>1</v>
      </c>
      <c r="AE25" t="b">
        <f>IF($N25,V25=VLOOKUP(V25,$AG$2:$AL$10,5,FALSE),"")</f>
        <v>1</v>
      </c>
      <c r="AN25" s="55" t="str">
        <f t="shared" si="19"/>
        <v xml:space="preserve">    { wxString::FromUTF8("\x37"), &amp;AllGlyphs[75], &amp;AllGlyphs[73], &amp;AllGlyphs[85], &amp;AllGlyphs[24], Connection::DIAG_BOTH, Connection::ORTHO_BOTH, Connection::EMPTY, Connection::DIAG_BOTH, 0, 0, 0, 0 },</v>
      </c>
      <c r="AO25" s="56"/>
      <c r="AP25" s="56"/>
      <c r="AQ25" s="56"/>
      <c r="AR25" s="56"/>
      <c r="AS25" s="56"/>
      <c r="AT25" s="56"/>
      <c r="AU25" s="57"/>
      <c r="AW25" s="54" t="str">
        <f t="shared" si="10"/>
        <v>&amp;AllGlyphs[75]</v>
      </c>
      <c r="AX25" s="54" t="str">
        <f t="shared" si="11"/>
        <v>&amp;AllGlyphs[73]</v>
      </c>
      <c r="AY25" s="54" t="str">
        <f t="shared" si="12"/>
        <v>&amp;AllGlyphs[85]</v>
      </c>
      <c r="AZ25" s="54" t="str">
        <f t="shared" si="13"/>
        <v>&amp;AllGlyphs[24]</v>
      </c>
      <c r="BB25" s="64">
        <f t="shared" si="14"/>
        <v>0</v>
      </c>
      <c r="BC25" s="64">
        <f t="shared" si="15"/>
        <v>0</v>
      </c>
      <c r="BD25" s="64">
        <f t="shared" si="16"/>
        <v>0</v>
      </c>
      <c r="BE25" s="64">
        <f t="shared" si="17"/>
        <v>0</v>
      </c>
    </row>
    <row r="26" spans="1:57" ht="31.5" customHeight="1" x14ac:dyDescent="0.4">
      <c r="A26" s="7">
        <v>8</v>
      </c>
      <c r="B26" s="6">
        <f t="shared" si="0"/>
        <v>8</v>
      </c>
      <c r="C26" s="48" cm="1">
        <f t="array" ref="C26">IF($N26,INDEX($O:$O,MATCH(TRUE,EXACT(B26,$A:$A),0)),"")</f>
        <v>24</v>
      </c>
      <c r="D26" s="38" t="s">
        <v>64</v>
      </c>
      <c r="E26" s="48" cm="1">
        <f t="array" ref="E26">IF($N26,INDEX($O:$O,MATCH(TRUE,EXACT(D26,$A:$A),0)),"")</f>
        <v>12</v>
      </c>
      <c r="F26" s="38" t="s">
        <v>6</v>
      </c>
      <c r="G26" s="48" cm="1">
        <f t="array" ref="G26">IF($O26&lt;&gt;"",INDEX($O:$O,MATCH(TRUE,EXACT(F26,$A:$A),0)),"")</f>
        <v>85</v>
      </c>
      <c r="H26" s="38" t="s">
        <v>7</v>
      </c>
      <c r="I26" s="48" cm="1">
        <f t="array" ref="I26">IF($N26,INDEX($O:$O,MATCH(TRUE,EXACT(H26,$A:$A),0)),"")</f>
        <v>73</v>
      </c>
      <c r="J26" s="38">
        <v>7</v>
      </c>
      <c r="K26" s="52" cm="1">
        <f t="array" ref="K26">IF($N26,INDEX($O:$O,MATCH(TRUE,EXACT(J26,$A:$A),0)),"")</f>
        <v>23</v>
      </c>
      <c r="L26" s="23"/>
      <c r="M26" s="33"/>
      <c r="N26" s="18" t="b">
        <f t="shared" si="3"/>
        <v>1</v>
      </c>
      <c r="O26" s="19">
        <f>IF(N26, MAX(O$2:O25)+1,"")</f>
        <v>24</v>
      </c>
      <c r="P26" s="23">
        <f t="shared" si="1"/>
        <v>8</v>
      </c>
      <c r="Q26" s="8" t="str" cm="1">
        <f t="array" ref="Q26">CharToUTF8(A26)</f>
        <v>\x38</v>
      </c>
      <c r="S26" s="18" t="str">
        <f>$AG$3</f>
        <v>DIAG_BOTH</v>
      </c>
      <c r="T26" s="24" t="str">
        <f t="shared" si="20"/>
        <v>ORTHO_BOTH</v>
      </c>
      <c r="U26" s="24" t="str">
        <f>$AG$3</f>
        <v>DIAG_BOTH</v>
      </c>
      <c r="V26" s="21" t="str">
        <f>$AG$2</f>
        <v>EMPTY</v>
      </c>
      <c r="X26" s="31" t="b">
        <f t="shared" si="5"/>
        <v>0</v>
      </c>
      <c r="Y26" s="31" t="b">
        <f t="shared" si="6"/>
        <v>0</v>
      </c>
      <c r="Z26" t="b">
        <f t="shared" si="7"/>
        <v>0</v>
      </c>
      <c r="AA26" t="b">
        <f t="shared" si="8"/>
        <v>0</v>
      </c>
      <c r="AB26" t="b">
        <f>IF($N26,S26=VLOOKUP(S26,$AG$2:$AL$10,4,FALSE),"")</f>
        <v>1</v>
      </c>
      <c r="AC26" t="b">
        <f>IF($N26,T26=VLOOKUP(T26,$AG$2:$AL$10,4,FALSE),"")</f>
        <v>1</v>
      </c>
      <c r="AD26" t="b">
        <f>IF($N26,U26=VLOOKUP(U26,$AG$2:$AL$10,5,FALSE),"")</f>
        <v>1</v>
      </c>
      <c r="AE26" t="b">
        <f>IF($N26,V26=VLOOKUP(V26,$AG$2:$AL$10,5,FALSE),"")</f>
        <v>1</v>
      </c>
      <c r="AN26" s="55" t="str">
        <f t="shared" si="19"/>
        <v xml:space="preserve">    { wxString::FromUTF8("\x38"), &amp;AllGlyphs[12], &amp;AllGlyphs[85], &amp;AllGlyphs[73], &amp;AllGlyphs[23], Connection::DIAG_BOTH, Connection::ORTHO_BOTH, Connection::DIAG_BOTH, Connection::EMPTY, 0, 0, 0, 0 },</v>
      </c>
      <c r="AO26" s="56"/>
      <c r="AP26" s="56"/>
      <c r="AQ26" s="56"/>
      <c r="AR26" s="56"/>
      <c r="AS26" s="56"/>
      <c r="AT26" s="56"/>
      <c r="AU26" s="57"/>
      <c r="AW26" s="54" t="str">
        <f t="shared" si="10"/>
        <v>&amp;AllGlyphs[12]</v>
      </c>
      <c r="AX26" s="54" t="str">
        <f t="shared" si="11"/>
        <v>&amp;AllGlyphs[85]</v>
      </c>
      <c r="AY26" s="54" t="str">
        <f t="shared" si="12"/>
        <v>&amp;AllGlyphs[73]</v>
      </c>
      <c r="AZ26" s="54" t="str">
        <f t="shared" si="13"/>
        <v>&amp;AllGlyphs[23]</v>
      </c>
      <c r="BB26" s="64">
        <f t="shared" si="14"/>
        <v>0</v>
      </c>
      <c r="BC26" s="64">
        <f t="shared" si="15"/>
        <v>0</v>
      </c>
      <c r="BD26" s="64">
        <f t="shared" si="16"/>
        <v>0</v>
      </c>
      <c r="BE26" s="64">
        <f t="shared" si="17"/>
        <v>0</v>
      </c>
    </row>
    <row r="27" spans="1:57" x14ac:dyDescent="0.4">
      <c r="A27" s="7">
        <v>9</v>
      </c>
      <c r="B27" s="6">
        <f t="shared" si="0"/>
        <v>9</v>
      </c>
      <c r="C27" s="48" cm="1">
        <f t="array" ref="C27">IF($N27,INDEX($O:$O,MATCH(TRUE,EXACT(B27,$A:$A),0)),"")</f>
        <v>25</v>
      </c>
      <c r="D27" s="38" t="s">
        <v>66</v>
      </c>
      <c r="E27" s="48" cm="1">
        <f t="array" ref="E27">IF($N27,INDEX($O:$O,MATCH(TRUE,EXACT(D27,$A:$A),0)),"")</f>
        <v>27</v>
      </c>
      <c r="F27" s="38" t="s">
        <v>9</v>
      </c>
      <c r="G27" s="48" cm="1">
        <f t="array" ref="G27">IF($O27&lt;&gt;"",INDEX($O:$O,MATCH(TRUE,EXACT(F27,$A:$A),0)),"")</f>
        <v>80</v>
      </c>
      <c r="H27" s="38" t="s">
        <v>8</v>
      </c>
      <c r="I27" s="48" cm="1">
        <f t="array" ref="I27">IF($N27,INDEX($O:$O,MATCH(TRUE,EXACT(H27,$A:$A),0)),"")</f>
        <v>79</v>
      </c>
      <c r="J27" s="38">
        <v>0</v>
      </c>
      <c r="K27" s="52" cm="1">
        <f t="array" ref="K27">IF($N27,INDEX($O:$O,MATCH(TRUE,EXACT(J27,$A:$A),0)),"")</f>
        <v>16</v>
      </c>
      <c r="L27" s="23"/>
      <c r="M27" s="33"/>
      <c r="N27" s="18" t="b">
        <f t="shared" si="3"/>
        <v>1</v>
      </c>
      <c r="O27" s="19">
        <f>IF(N27, MAX(O$2:O26)+1,"")</f>
        <v>25</v>
      </c>
      <c r="P27" s="23">
        <f t="shared" si="1"/>
        <v>9</v>
      </c>
      <c r="Q27" s="8" t="str" cm="1">
        <f t="array" ref="Q27">CharToUTF8(A27)</f>
        <v>\x39</v>
      </c>
      <c r="S27" s="18" t="str">
        <f>$AG$2</f>
        <v>EMPTY</v>
      </c>
      <c r="T27" s="24" t="str">
        <f t="shared" si="20"/>
        <v>ORTHO_BOTH</v>
      </c>
      <c r="U27" s="24" t="str">
        <f>$AG$2</f>
        <v>EMPTY</v>
      </c>
      <c r="V27" s="21" t="str">
        <f>$AG$3</f>
        <v>DIAG_BOTH</v>
      </c>
      <c r="X27" s="31" t="b">
        <f t="shared" si="5"/>
        <v>0</v>
      </c>
      <c r="Y27" s="31" t="b">
        <f t="shared" si="6"/>
        <v>0</v>
      </c>
      <c r="Z27" t="b">
        <f t="shared" si="7"/>
        <v>0</v>
      </c>
      <c r="AA27" t="b">
        <f t="shared" si="8"/>
        <v>0</v>
      </c>
      <c r="AB27" t="b">
        <f>IF($N27,S27=VLOOKUP(S27,$AG$2:$AL$10,4,FALSE),"")</f>
        <v>1</v>
      </c>
      <c r="AC27" t="b">
        <f>IF($N27,T27=VLOOKUP(T27,$AG$2:$AL$10,4,FALSE),"")</f>
        <v>1</v>
      </c>
      <c r="AD27" t="b">
        <f>IF($N27,U27=VLOOKUP(U27,$AG$2:$AL$10,5,FALSE),"")</f>
        <v>1</v>
      </c>
      <c r="AE27" t="b">
        <f>IF($N27,V27=VLOOKUP(V27,$AG$2:$AL$10,5,FALSE),"")</f>
        <v>1</v>
      </c>
      <c r="AN27" s="55" t="str">
        <f t="shared" si="19"/>
        <v xml:space="preserve">    { wxString::FromUTF8("\x39"), &amp;AllGlyphs[27], &amp;AllGlyphs[80], &amp;AllGlyphs[79], &amp;AllGlyphs[16], Connection::EMPTY, Connection::ORTHO_BOTH, Connection::EMPTY, Connection::DIAG_BOTH, 0, 0, 0, 0 },</v>
      </c>
      <c r="AO27" s="56"/>
      <c r="AP27" s="56"/>
      <c r="AQ27" s="56"/>
      <c r="AR27" s="56"/>
      <c r="AS27" s="56"/>
      <c r="AT27" s="56"/>
      <c r="AU27" s="57"/>
      <c r="AW27" s="54" t="str">
        <f t="shared" si="10"/>
        <v>&amp;AllGlyphs[27]</v>
      </c>
      <c r="AX27" s="54" t="str">
        <f t="shared" si="11"/>
        <v>&amp;AllGlyphs[80]</v>
      </c>
      <c r="AY27" s="54" t="str">
        <f t="shared" si="12"/>
        <v>&amp;AllGlyphs[79]</v>
      </c>
      <c r="AZ27" s="54" t="str">
        <f t="shared" si="13"/>
        <v>&amp;AllGlyphs[16]</v>
      </c>
      <c r="BB27" s="64">
        <f t="shared" si="14"/>
        <v>0</v>
      </c>
      <c r="BC27" s="64">
        <f t="shared" si="15"/>
        <v>0</v>
      </c>
      <c r="BD27" s="64">
        <f t="shared" si="16"/>
        <v>0</v>
      </c>
      <c r="BE27" s="64">
        <f t="shared" si="17"/>
        <v>0</v>
      </c>
    </row>
    <row r="28" spans="1:57" x14ac:dyDescent="0.4">
      <c r="A28" s="7" t="s">
        <v>67</v>
      </c>
      <c r="B28" s="9" t="str">
        <f t="shared" si="0"/>
        <v>:</v>
      </c>
      <c r="C28" s="48" cm="1">
        <f t="array" ref="C28">IF($N28,INDEX($O:$O,MATCH(TRUE,EXACT(B28,$A:$A),0)),"")</f>
        <v>26</v>
      </c>
      <c r="D28" s="39" t="s">
        <v>167</v>
      </c>
      <c r="E28" s="48" cm="1">
        <f t="array" ref="E28">IF($N28,INDEX($O:$O,MATCH(TRUE,EXACT(D28,$A:$A),0)),"")</f>
        <v>31</v>
      </c>
      <c r="F28" s="39" t="s">
        <v>166</v>
      </c>
      <c r="G28" s="48" cm="1">
        <f t="array" ref="G28">IF($O28&lt;&gt;"",INDEX($O:$O,MATCH(TRUE,EXACT(F28,$A:$A),0)),"")</f>
        <v>30</v>
      </c>
      <c r="H28" s="39" t="s">
        <v>167</v>
      </c>
      <c r="I28" s="48" cm="1">
        <f t="array" ref="I28">IF($N28,INDEX($O:$O,MATCH(TRUE,EXACT(H28,$A:$A),0)),"")</f>
        <v>31</v>
      </c>
      <c r="J28" s="39" t="s">
        <v>44</v>
      </c>
      <c r="K28" s="52" cm="1">
        <f t="array" ref="K28">IF($N28,INDEX($O:$O,MATCH(TRUE,EXACT(J28,$A:$A),0)),"")</f>
        <v>44</v>
      </c>
      <c r="L28" s="46"/>
      <c r="M28" s="34"/>
      <c r="N28" s="18" t="b">
        <f t="shared" si="3"/>
        <v>1</v>
      </c>
      <c r="O28" s="19">
        <f>IF(N28, MAX(O$2:O27)+1,"")</f>
        <v>26</v>
      </c>
      <c r="P28" s="23" t="str">
        <f t="shared" si="1"/>
        <v>:</v>
      </c>
      <c r="Q28" s="8" t="str" cm="1">
        <f t="array" ref="Q28">CharToUTF8(A28)</f>
        <v>\x3A</v>
      </c>
      <c r="S28" s="18" t="str">
        <f>$AG$2</f>
        <v>EMPTY</v>
      </c>
      <c r="T28" s="24" t="str">
        <f t="shared" si="20"/>
        <v>ORTHO_BOTH</v>
      </c>
      <c r="U28" s="24" t="str">
        <f>$AG$4</f>
        <v>ORTHO_BOTH</v>
      </c>
      <c r="V28" s="21" t="str">
        <f>$AG$2</f>
        <v>EMPTY</v>
      </c>
      <c r="X28" s="31" t="b">
        <f t="shared" si="5"/>
        <v>0</v>
      </c>
      <c r="Y28" s="31" t="b">
        <f t="shared" si="6"/>
        <v>0</v>
      </c>
      <c r="Z28" t="b">
        <f t="shared" si="7"/>
        <v>0</v>
      </c>
      <c r="AA28" t="b">
        <f t="shared" si="8"/>
        <v>0</v>
      </c>
      <c r="AB28" t="b">
        <f>IF($N28,S28=VLOOKUP(S28,$AG$2:$AL$10,4,FALSE),"")</f>
        <v>1</v>
      </c>
      <c r="AC28" t="b">
        <f>IF($N28,T28=VLOOKUP(T28,$AG$2:$AL$10,4,FALSE),"")</f>
        <v>1</v>
      </c>
      <c r="AD28" t="b">
        <f>IF($N28,U28=VLOOKUP(U28,$AG$2:$AL$10,5,FALSE),"")</f>
        <v>1</v>
      </c>
      <c r="AE28" t="b">
        <f>IF($N28,V28=VLOOKUP(V28,$AG$2:$AL$10,5,FALSE),"")</f>
        <v>1</v>
      </c>
      <c r="AN28" s="55" t="str">
        <f t="shared" si="19"/>
        <v xml:space="preserve">    { wxString::FromUTF8("\x3A"), &amp;AllGlyphs[31], &amp;AllGlyphs[30], &amp;AllGlyphs[31], &amp;AllGlyphs[44], Connection::EMPTY, Connection::ORTHO_BOTH, Connection::ORTHO_BOTH, Connection::EMPTY, 0, 0, 0, 0 },</v>
      </c>
      <c r="AO28" s="56"/>
      <c r="AP28" s="56"/>
      <c r="AQ28" s="56"/>
      <c r="AR28" s="56"/>
      <c r="AS28" s="56"/>
      <c r="AT28" s="56"/>
      <c r="AU28" s="57"/>
      <c r="AW28" s="54" t="str">
        <f t="shared" si="10"/>
        <v>&amp;AllGlyphs[31]</v>
      </c>
      <c r="AX28" s="54" t="str">
        <f t="shared" si="11"/>
        <v>&amp;AllGlyphs[30]</v>
      </c>
      <c r="AY28" s="54" t="str">
        <f t="shared" si="12"/>
        <v>&amp;AllGlyphs[31]</v>
      </c>
      <c r="AZ28" s="54" t="str">
        <f t="shared" si="13"/>
        <v>&amp;AllGlyphs[44]</v>
      </c>
      <c r="BB28" s="64">
        <f t="shared" si="14"/>
        <v>0</v>
      </c>
      <c r="BC28" s="64">
        <f t="shared" si="15"/>
        <v>0</v>
      </c>
      <c r="BD28" s="64">
        <f t="shared" si="16"/>
        <v>0</v>
      </c>
      <c r="BE28" s="64">
        <f t="shared" si="17"/>
        <v>0</v>
      </c>
    </row>
    <row r="29" spans="1:57" x14ac:dyDescent="0.4">
      <c r="A29" s="7" t="s">
        <v>66</v>
      </c>
      <c r="B29" s="6" t="str">
        <f t="shared" si="0"/>
        <v>;</v>
      </c>
      <c r="C29" s="48" cm="1">
        <f t="array" ref="C29">IF($N29,INDEX($O:$O,MATCH(TRUE,EXACT(B29,$A:$A),0)),"")</f>
        <v>27</v>
      </c>
      <c r="D29" s="38" t="s">
        <v>9</v>
      </c>
      <c r="E29" s="48" cm="1">
        <f t="array" ref="E29">IF($N29,INDEX($O:$O,MATCH(TRUE,EXACT(D29,$A:$A),0)),"")</f>
        <v>80</v>
      </c>
      <c r="F29" s="38" t="s">
        <v>73</v>
      </c>
      <c r="G29" s="48" cm="1">
        <f t="array" ref="G29">IF($O29&lt;&gt;"",INDEX($O:$O,MATCH(TRUE,EXACT(F29,$A:$A),0)),"")</f>
        <v>14</v>
      </c>
      <c r="H29" s="38" t="s">
        <v>65</v>
      </c>
      <c r="I29" s="48" cm="1">
        <f t="array" ref="I29">IF($N29,INDEX($O:$O,MATCH(TRUE,EXACT(H29,$A:$A),0)),"")</f>
        <v>15</v>
      </c>
      <c r="J29" s="38" t="s">
        <v>18</v>
      </c>
      <c r="K29" s="52" cm="1">
        <f t="array" ref="K29">IF($N29,INDEX($O:$O,MATCH(TRUE,EXACT(J29,$A:$A),0)),"")</f>
        <v>76</v>
      </c>
      <c r="L29" s="23"/>
      <c r="M29" s="33"/>
      <c r="N29" s="18" t="b">
        <f t="shared" si="3"/>
        <v>1</v>
      </c>
      <c r="O29" s="19">
        <f>IF(N29, MAX(O$2:O28)+1,"")</f>
        <v>27</v>
      </c>
      <c r="P29" s="23" t="str">
        <f t="shared" si="1"/>
        <v>;</v>
      </c>
      <c r="Q29" s="8" t="str" cm="1">
        <f t="array" ref="Q29">CharToUTF8(A29)</f>
        <v>\x3B</v>
      </c>
      <c r="S29" s="18" t="str">
        <f>$AG$2</f>
        <v>EMPTY</v>
      </c>
      <c r="T29" s="24" t="str">
        <f>$AG$3</f>
        <v>DIAG_BOTH</v>
      </c>
      <c r="U29" s="24" t="str">
        <f>$AG$4</f>
        <v>ORTHO_BOTH</v>
      </c>
      <c r="V29" s="21" t="str">
        <f>$AG$2</f>
        <v>EMPTY</v>
      </c>
      <c r="X29" s="31" t="b">
        <f t="shared" si="5"/>
        <v>0</v>
      </c>
      <c r="Y29" s="31" t="b">
        <f t="shared" si="6"/>
        <v>0</v>
      </c>
      <c r="Z29" t="b">
        <f t="shared" si="7"/>
        <v>0</v>
      </c>
      <c r="AA29" t="b">
        <f t="shared" si="8"/>
        <v>0</v>
      </c>
      <c r="AB29" t="b">
        <f>IF($N29,S29=VLOOKUP(S29,$AG$2:$AL$10,4,FALSE),"")</f>
        <v>1</v>
      </c>
      <c r="AC29" t="b">
        <f>IF($N29,T29=VLOOKUP(T29,$AG$2:$AL$10,4,FALSE),"")</f>
        <v>1</v>
      </c>
      <c r="AD29" t="b">
        <f>IF($N29,U29=VLOOKUP(U29,$AG$2:$AL$10,5,FALSE),"")</f>
        <v>1</v>
      </c>
      <c r="AE29" t="b">
        <f>IF($N29,V29=VLOOKUP(V29,$AG$2:$AL$10,5,FALSE),"")</f>
        <v>1</v>
      </c>
      <c r="AN29" s="55" t="str">
        <f t="shared" si="19"/>
        <v xml:space="preserve">    { wxString::FromUTF8("\x3B"), &amp;AllGlyphs[80], &amp;AllGlyphs[14], &amp;AllGlyphs[15], &amp;AllGlyphs[76], Connection::EMPTY, Connection::DIAG_BOTH, Connection::ORTHO_BOTH, Connection::EMPTY, 0, 0, 0, 0 },</v>
      </c>
      <c r="AO29" s="56"/>
      <c r="AP29" s="56"/>
      <c r="AQ29" s="56"/>
      <c r="AR29" s="56"/>
      <c r="AS29" s="56"/>
      <c r="AT29" s="56"/>
      <c r="AU29" s="57"/>
      <c r="AW29" s="54" t="str">
        <f t="shared" si="10"/>
        <v>&amp;AllGlyphs[80]</v>
      </c>
      <c r="AX29" s="54" t="str">
        <f t="shared" si="11"/>
        <v>&amp;AllGlyphs[14]</v>
      </c>
      <c r="AY29" s="54" t="str">
        <f t="shared" si="12"/>
        <v>&amp;AllGlyphs[15]</v>
      </c>
      <c r="AZ29" s="54" t="str">
        <f t="shared" si="13"/>
        <v>&amp;AllGlyphs[76]</v>
      </c>
      <c r="BB29" s="64">
        <f t="shared" si="14"/>
        <v>0</v>
      </c>
      <c r="BC29" s="64">
        <f t="shared" si="15"/>
        <v>0</v>
      </c>
      <c r="BD29" s="64">
        <f t="shared" si="16"/>
        <v>0</v>
      </c>
      <c r="BE29" s="64">
        <f t="shared" si="17"/>
        <v>0</v>
      </c>
    </row>
    <row r="30" spans="1:57" x14ac:dyDescent="0.4">
      <c r="A30" s="7" t="s">
        <v>165</v>
      </c>
      <c r="B30" s="6" t="str">
        <f t="shared" si="0"/>
        <v>&lt;</v>
      </c>
      <c r="C30" s="48" cm="1">
        <f t="array" ref="C30">IF($N30,INDEX($O:$O,MATCH(TRUE,EXACT(B30,$A:$A),0)),"")</f>
        <v>28</v>
      </c>
      <c r="D30" s="38" t="s">
        <v>32</v>
      </c>
      <c r="E30" s="48" cm="1">
        <f t="array" ref="E30">IF($N30,INDEX($O:$O,MATCH(TRUE,EXACT(D30,$A:$A),0)),"")</f>
        <v>53</v>
      </c>
      <c r="F30" s="38" t="s">
        <v>42</v>
      </c>
      <c r="G30" s="48" cm="1">
        <f t="array" ref="G30">IF($O30&lt;&gt;"",INDEX($O:$O,MATCH(TRUE,EXACT(F30,$A:$A),0)),"")</f>
        <v>42</v>
      </c>
      <c r="H30" s="38" t="s">
        <v>43</v>
      </c>
      <c r="I30" s="48" cm="1">
        <f t="array" ref="I30">IF($N30,INDEX($O:$O,MATCH(TRUE,EXACT(H30,$A:$A),0)),"")</f>
        <v>43</v>
      </c>
      <c r="J30" s="38" t="s">
        <v>51</v>
      </c>
      <c r="K30" s="52" cm="1">
        <f t="array" ref="K30">IF($N30,INDEX($O:$O,MATCH(TRUE,EXACT(J30,$A:$A),0)),"")</f>
        <v>45</v>
      </c>
      <c r="L30" s="23"/>
      <c r="M30" s="33"/>
      <c r="N30" s="18" t="b">
        <f t="shared" si="3"/>
        <v>1</v>
      </c>
      <c r="O30" s="19">
        <f>IF(N30, MAX(O$2:O29)+1,"")</f>
        <v>28</v>
      </c>
      <c r="P30" s="23" t="str">
        <f t="shared" si="1"/>
        <v>&lt;</v>
      </c>
      <c r="Q30" s="8" t="str" cm="1">
        <f t="array" ref="Q30">CharToUTF8(A30)</f>
        <v>\x3C</v>
      </c>
      <c r="S30" s="18" t="str">
        <f t="shared" ref="S30:S38" si="21">$AG$4</f>
        <v>ORTHO_BOTH</v>
      </c>
      <c r="T30" s="24" t="str">
        <f>$AG$2</f>
        <v>EMPTY</v>
      </c>
      <c r="U30" s="24" t="str">
        <f>$AG$4</f>
        <v>ORTHO_BOTH</v>
      </c>
      <c r="V30" s="21" t="str">
        <f>$AG$3</f>
        <v>DIAG_BOTH</v>
      </c>
      <c r="X30" s="31" t="b">
        <f t="shared" si="5"/>
        <v>0</v>
      </c>
      <c r="Y30" s="31" t="b">
        <f t="shared" si="6"/>
        <v>0</v>
      </c>
      <c r="Z30" t="b">
        <f t="shared" si="7"/>
        <v>0</v>
      </c>
      <c r="AA30" t="b">
        <f t="shared" si="8"/>
        <v>0</v>
      </c>
      <c r="AB30" t="b">
        <f>IF($N30,S30=VLOOKUP(S30,$AG$2:$AL$10,4,FALSE),"")</f>
        <v>1</v>
      </c>
      <c r="AC30" t="b">
        <f>IF($N30,T30=VLOOKUP(T30,$AG$2:$AL$10,4,FALSE),"")</f>
        <v>1</v>
      </c>
      <c r="AD30" t="b">
        <f>IF($N30,U30=VLOOKUP(U30,$AG$2:$AL$10,5,FALSE),"")</f>
        <v>1</v>
      </c>
      <c r="AE30" t="b">
        <f>IF($N30,V30=VLOOKUP(V30,$AG$2:$AL$10,5,FALSE),"")</f>
        <v>1</v>
      </c>
      <c r="AN30" s="55" t="str">
        <f t="shared" si="19"/>
        <v xml:space="preserve">    { wxString::FromUTF8("\x3C"), &amp;AllGlyphs[53], &amp;AllGlyphs[42], &amp;AllGlyphs[43], &amp;AllGlyphs[45], Connection::ORTHO_BOTH, Connection::EMPTY, Connection::ORTHO_BOTH, Connection::DIAG_BOTH, 0, 0, 0, 0 },</v>
      </c>
      <c r="AO30" s="56"/>
      <c r="AP30" s="56"/>
      <c r="AQ30" s="56"/>
      <c r="AR30" s="56"/>
      <c r="AS30" s="56"/>
      <c r="AT30" s="56"/>
      <c r="AU30" s="57"/>
      <c r="AW30" s="54" t="str">
        <f t="shared" si="10"/>
        <v>&amp;AllGlyphs[53]</v>
      </c>
      <c r="AX30" s="54" t="str">
        <f t="shared" si="11"/>
        <v>&amp;AllGlyphs[42]</v>
      </c>
      <c r="AY30" s="54" t="str">
        <f t="shared" si="12"/>
        <v>&amp;AllGlyphs[43]</v>
      </c>
      <c r="AZ30" s="54" t="str">
        <f t="shared" si="13"/>
        <v>&amp;AllGlyphs[45]</v>
      </c>
      <c r="BB30" s="64">
        <f t="shared" si="14"/>
        <v>0</v>
      </c>
      <c r="BC30" s="64">
        <f t="shared" si="15"/>
        <v>0</v>
      </c>
      <c r="BD30" s="64">
        <f t="shared" si="16"/>
        <v>0</v>
      </c>
      <c r="BE30" s="64">
        <f t="shared" si="17"/>
        <v>0</v>
      </c>
    </row>
    <row r="31" spans="1:57" ht="31.5" customHeight="1" x14ac:dyDescent="0.4">
      <c r="A31" s="7" t="s">
        <v>79</v>
      </c>
      <c r="B31" s="6" t="str">
        <f t="shared" si="0"/>
        <v>=</v>
      </c>
      <c r="C31" s="48" cm="1">
        <f t="array" ref="C31">IF($N31,INDEX($O:$O,MATCH(TRUE,EXACT(B31,$A:$A),0)),"")</f>
        <v>29</v>
      </c>
      <c r="D31" s="38" t="s">
        <v>71</v>
      </c>
      <c r="E31" s="48" cm="1">
        <f t="array" ref="E31">IF($N31,INDEX($O:$O,MATCH(TRUE,EXACT(D31,$A:$A),0)),"")</f>
        <v>59</v>
      </c>
      <c r="F31" s="38" t="s">
        <v>74</v>
      </c>
      <c r="G31" s="48" cm="1">
        <f t="array" ref="G31">IF($O31&lt;&gt;"",INDEX($O:$O,MATCH(TRUE,EXACT(F31,$A:$A),0)),"")</f>
        <v>13</v>
      </c>
      <c r="H31" s="38" t="s">
        <v>74</v>
      </c>
      <c r="I31" s="48" cm="1">
        <f t="array" ref="I31">IF($N31,INDEX($O:$O,MATCH(TRUE,EXACT(H31,$A:$A),0)),"")</f>
        <v>13</v>
      </c>
      <c r="J31" s="38" t="s">
        <v>79</v>
      </c>
      <c r="K31" s="52" cm="1">
        <f t="array" ref="K31">IF($N31,INDEX($O:$O,MATCH(TRUE,EXACT(J31,$A:$A),0)),"")</f>
        <v>29</v>
      </c>
      <c r="L31" s="23"/>
      <c r="M31" s="33"/>
      <c r="N31" s="18" t="b">
        <f t="shared" si="3"/>
        <v>1</v>
      </c>
      <c r="O31" s="19">
        <f>IF(N31, MAX(O$2:O30)+1,"")</f>
        <v>29</v>
      </c>
      <c r="P31" s="23" t="str">
        <f t="shared" si="1"/>
        <v>=</v>
      </c>
      <c r="Q31" s="8" t="str" cm="1">
        <f t="array" ref="Q31">CharToUTF8(A31)</f>
        <v>\x3D</v>
      </c>
      <c r="S31" s="18" t="str">
        <f t="shared" si="21"/>
        <v>ORTHO_BOTH</v>
      </c>
      <c r="T31" s="24" t="str">
        <f>$AG$3</f>
        <v>DIAG_BOTH</v>
      </c>
      <c r="U31" s="24" t="str">
        <f>$AG$2</f>
        <v>EMPTY</v>
      </c>
      <c r="V31" s="21" t="str">
        <f>$AG$2</f>
        <v>EMPTY</v>
      </c>
      <c r="X31" s="31" t="b">
        <f t="shared" si="5"/>
        <v>0</v>
      </c>
      <c r="Y31" s="31" t="b">
        <f t="shared" si="6"/>
        <v>0</v>
      </c>
      <c r="Z31" t="b">
        <f t="shared" si="7"/>
        <v>0</v>
      </c>
      <c r="AA31" t="b">
        <f t="shared" si="8"/>
        <v>1</v>
      </c>
      <c r="AB31" t="b">
        <f>IF($N31,S31=VLOOKUP(S31,$AG$2:$AL$10,4,FALSE),"")</f>
        <v>1</v>
      </c>
      <c r="AC31" t="b">
        <f>IF($N31,T31=VLOOKUP(T31,$AG$2:$AL$10,4,FALSE),"")</f>
        <v>1</v>
      </c>
      <c r="AD31" t="b">
        <f>IF($N31,U31=VLOOKUP(U31,$AG$2:$AL$10,5,FALSE),"")</f>
        <v>1</v>
      </c>
      <c r="AE31" t="b">
        <f>IF($N31,V31=VLOOKUP(V31,$AG$2:$AL$10,5,FALSE),"")</f>
        <v>1</v>
      </c>
      <c r="AN31" s="55" t="str">
        <f t="shared" si="19"/>
        <v xml:space="preserve">    { wxString::FromUTF8("\x3D"), &amp;AllGlyphs[59], &amp;AllGlyphs[13], &amp;AllGlyphs[13], &amp;AllGlyphs[29], Connection::ORTHO_BOTH, Connection::DIAG_BOTH, Connection::EMPTY, Connection::EMPTY, 0, 0, 0, 1 },</v>
      </c>
      <c r="AO31" s="56"/>
      <c r="AP31" s="56"/>
      <c r="AQ31" s="56"/>
      <c r="AR31" s="56"/>
      <c r="AS31" s="56"/>
      <c r="AT31" s="56"/>
      <c r="AU31" s="57"/>
      <c r="AW31" s="54" t="str">
        <f t="shared" si="10"/>
        <v>&amp;AllGlyphs[59]</v>
      </c>
      <c r="AX31" s="54" t="str">
        <f t="shared" si="11"/>
        <v>&amp;AllGlyphs[13]</v>
      </c>
      <c r="AY31" s="54" t="str">
        <f t="shared" si="12"/>
        <v>&amp;AllGlyphs[13]</v>
      </c>
      <c r="AZ31" s="54" t="str">
        <f t="shared" si="13"/>
        <v>&amp;AllGlyphs[29]</v>
      </c>
      <c r="BB31" s="64">
        <f t="shared" si="14"/>
        <v>0</v>
      </c>
      <c r="BC31" s="64">
        <f t="shared" si="15"/>
        <v>0</v>
      </c>
      <c r="BD31" s="64">
        <f t="shared" si="16"/>
        <v>0</v>
      </c>
      <c r="BE31" s="64">
        <f t="shared" si="17"/>
        <v>1</v>
      </c>
    </row>
    <row r="32" spans="1:57" x14ac:dyDescent="0.4">
      <c r="A32" s="7" t="s">
        <v>166</v>
      </c>
      <c r="B32" s="6" t="str">
        <f t="shared" si="0"/>
        <v>&gt;</v>
      </c>
      <c r="C32" s="48" cm="1">
        <f t="array" ref="C32">IF($N32,INDEX($O:$O,MATCH(TRUE,EXACT(B32,$A:$A),0)),"")</f>
        <v>30</v>
      </c>
      <c r="D32" s="38" t="s">
        <v>44</v>
      </c>
      <c r="E32" s="48" cm="1">
        <f t="array" ref="E32">IF($N32,INDEX($O:$O,MATCH(TRUE,EXACT(D32,$A:$A),0)),"")</f>
        <v>44</v>
      </c>
      <c r="F32" s="39" t="s">
        <v>67</v>
      </c>
      <c r="G32" s="48" cm="1">
        <f t="array" ref="G32">IF($O32&lt;&gt;"",INDEX($O:$O,MATCH(TRUE,EXACT(F32,$A:$A),0)),"")</f>
        <v>26</v>
      </c>
      <c r="H32" s="38" t="s">
        <v>44</v>
      </c>
      <c r="I32" s="48" cm="1">
        <f t="array" ref="I32">IF($N32,INDEX($O:$O,MATCH(TRUE,EXACT(H32,$A:$A),0)),"")</f>
        <v>44</v>
      </c>
      <c r="J32" s="38" t="s">
        <v>167</v>
      </c>
      <c r="K32" s="52" cm="1">
        <f t="array" ref="K32">IF($N32,INDEX($O:$O,MATCH(TRUE,EXACT(J32,$A:$A),0)),"")</f>
        <v>31</v>
      </c>
      <c r="L32" s="23"/>
      <c r="M32" s="33"/>
      <c r="N32" s="18" t="b">
        <f t="shared" si="3"/>
        <v>1</v>
      </c>
      <c r="O32" s="19">
        <f>IF(N32, MAX(O$2:O31)+1,"")</f>
        <v>30</v>
      </c>
      <c r="P32" s="23" t="str">
        <f t="shared" si="1"/>
        <v>&gt;</v>
      </c>
      <c r="Q32" s="8" t="str" cm="1">
        <f t="array" ref="Q32">CharToUTF8(A32)</f>
        <v>\x3E</v>
      </c>
      <c r="S32" s="18" t="str">
        <f t="shared" si="21"/>
        <v>ORTHO_BOTH</v>
      </c>
      <c r="T32" s="24" t="str">
        <f>$AG$2</f>
        <v>EMPTY</v>
      </c>
      <c r="U32" s="24" t="str">
        <f>$AG$2</f>
        <v>EMPTY</v>
      </c>
      <c r="V32" s="21" t="str">
        <f>$AG$4</f>
        <v>ORTHO_BOTH</v>
      </c>
      <c r="X32" s="31" t="b">
        <f t="shared" si="5"/>
        <v>0</v>
      </c>
      <c r="Y32" s="31" t="b">
        <f t="shared" si="6"/>
        <v>0</v>
      </c>
      <c r="Z32" t="b">
        <f t="shared" si="7"/>
        <v>0</v>
      </c>
      <c r="AA32" t="b">
        <f t="shared" si="8"/>
        <v>0</v>
      </c>
      <c r="AB32" t="b">
        <f>IF($N32,S32=VLOOKUP(S32,$AG$2:$AL$10,4,FALSE),"")</f>
        <v>1</v>
      </c>
      <c r="AC32" t="b">
        <f>IF($N32,T32=VLOOKUP(T32,$AG$2:$AL$10,4,FALSE),"")</f>
        <v>1</v>
      </c>
      <c r="AD32" t="b">
        <f>IF($N32,U32=VLOOKUP(U32,$AG$2:$AL$10,5,FALSE),"")</f>
        <v>1</v>
      </c>
      <c r="AE32" t="b">
        <f>IF($N32,V32=VLOOKUP(V32,$AG$2:$AL$10,5,FALSE),"")</f>
        <v>1</v>
      </c>
      <c r="AN32" s="55" t="str">
        <f t="shared" si="19"/>
        <v xml:space="preserve">    { wxString::FromUTF8("\x3E"), &amp;AllGlyphs[44], &amp;AllGlyphs[26], &amp;AllGlyphs[44], &amp;AllGlyphs[31], Connection::ORTHO_BOTH, Connection::EMPTY, Connection::EMPTY, Connection::ORTHO_BOTH, 0, 0, 0, 0 },</v>
      </c>
      <c r="AO32" s="56"/>
      <c r="AP32" s="56"/>
      <c r="AQ32" s="56"/>
      <c r="AR32" s="56"/>
      <c r="AS32" s="56"/>
      <c r="AT32" s="56"/>
      <c r="AU32" s="57"/>
      <c r="AW32" s="54" t="str">
        <f t="shared" si="10"/>
        <v>&amp;AllGlyphs[44]</v>
      </c>
      <c r="AX32" s="54" t="str">
        <f t="shared" si="11"/>
        <v>&amp;AllGlyphs[26]</v>
      </c>
      <c r="AY32" s="54" t="str">
        <f t="shared" si="12"/>
        <v>&amp;AllGlyphs[44]</v>
      </c>
      <c r="AZ32" s="54" t="str">
        <f t="shared" si="13"/>
        <v>&amp;AllGlyphs[31]</v>
      </c>
      <c r="BB32" s="64">
        <f t="shared" si="14"/>
        <v>0</v>
      </c>
      <c r="BC32" s="64">
        <f t="shared" si="15"/>
        <v>0</v>
      </c>
      <c r="BD32" s="64">
        <f t="shared" si="16"/>
        <v>0</v>
      </c>
      <c r="BE32" s="64">
        <f t="shared" si="17"/>
        <v>0</v>
      </c>
    </row>
    <row r="33" spans="1:57" x14ac:dyDescent="0.4">
      <c r="A33" s="7" t="s">
        <v>167</v>
      </c>
      <c r="B33" s="9" t="str">
        <f t="shared" si="0"/>
        <v>?</v>
      </c>
      <c r="C33" s="48" cm="1">
        <f t="array" ref="C33">IF($N33,INDEX($O:$O,MATCH(TRUE,EXACT(B33,$A:$A),0)),"")</f>
        <v>31</v>
      </c>
      <c r="D33" s="39" t="s">
        <v>166</v>
      </c>
      <c r="E33" s="48" cm="1">
        <f t="array" ref="E33">IF($N33,INDEX($O:$O,MATCH(TRUE,EXACT(D33,$A:$A),0)),"")</f>
        <v>30</v>
      </c>
      <c r="F33" s="38" t="s">
        <v>44</v>
      </c>
      <c r="G33" s="48" cm="1">
        <f t="array" ref="G33">IF($O33&lt;&gt;"",INDEX($O:$O,MATCH(TRUE,EXACT(F33,$A:$A),0)),"")</f>
        <v>44</v>
      </c>
      <c r="H33" s="39" t="s">
        <v>67</v>
      </c>
      <c r="I33" s="48" cm="1">
        <f t="array" ref="I33">IF($N33,INDEX($O:$O,MATCH(TRUE,EXACT(H33,$A:$A),0)),"")</f>
        <v>26</v>
      </c>
      <c r="J33" s="39" t="s">
        <v>166</v>
      </c>
      <c r="K33" s="52" cm="1">
        <f t="array" ref="K33">IF($N33,INDEX($O:$O,MATCH(TRUE,EXACT(J33,$A:$A),0)),"")</f>
        <v>30</v>
      </c>
      <c r="L33" s="46"/>
      <c r="M33" s="34"/>
      <c r="N33" s="18" t="b">
        <f t="shared" si="3"/>
        <v>1</v>
      </c>
      <c r="O33" s="19">
        <f>IF(N33, MAX(O$2:O32)+1,"")</f>
        <v>31</v>
      </c>
      <c r="P33" s="23" t="str">
        <f t="shared" si="1"/>
        <v>?</v>
      </c>
      <c r="Q33" s="8" t="str" cm="1">
        <f t="array" ref="Q33">CharToUTF8(A33)</f>
        <v>\x3F</v>
      </c>
      <c r="S33" s="18" t="str">
        <f t="shared" si="21"/>
        <v>ORTHO_BOTH</v>
      </c>
      <c r="T33" s="24" t="str">
        <f>$AG$2</f>
        <v>EMPTY</v>
      </c>
      <c r="U33" s="24" t="str">
        <f>$AG$4</f>
        <v>ORTHO_BOTH</v>
      </c>
      <c r="V33" s="21" t="str">
        <f>$AG$2</f>
        <v>EMPTY</v>
      </c>
      <c r="X33" s="31" t="b">
        <f t="shared" si="5"/>
        <v>0</v>
      </c>
      <c r="Y33" s="31" t="b">
        <f t="shared" si="6"/>
        <v>0</v>
      </c>
      <c r="Z33" t="b">
        <f t="shared" si="7"/>
        <v>0</v>
      </c>
      <c r="AA33" t="b">
        <f t="shared" si="8"/>
        <v>0</v>
      </c>
      <c r="AB33" t="b">
        <f>IF($N33,S33=VLOOKUP(S33,$AG$2:$AL$10,4,FALSE),"")</f>
        <v>1</v>
      </c>
      <c r="AC33" t="b">
        <f>IF($N33,T33=VLOOKUP(T33,$AG$2:$AL$10,4,FALSE),"")</f>
        <v>1</v>
      </c>
      <c r="AD33" t="b">
        <f>IF($N33,U33=VLOOKUP(U33,$AG$2:$AL$10,5,FALSE),"")</f>
        <v>1</v>
      </c>
      <c r="AE33" t="b">
        <f>IF($N33,V33=VLOOKUP(V33,$AG$2:$AL$10,5,FALSE),"")</f>
        <v>1</v>
      </c>
      <c r="AN33" s="55" t="str">
        <f t="shared" si="19"/>
        <v xml:space="preserve">    { wxString::FromUTF8("\x3F"), &amp;AllGlyphs[30], &amp;AllGlyphs[44], &amp;AllGlyphs[26], &amp;AllGlyphs[30], Connection::ORTHO_BOTH, Connection::EMPTY, Connection::ORTHO_BOTH, Connection::EMPTY, 0, 0, 0, 0 },</v>
      </c>
      <c r="AO33" s="56"/>
      <c r="AP33" s="56"/>
      <c r="AQ33" s="56"/>
      <c r="AR33" s="56"/>
      <c r="AS33" s="56"/>
      <c r="AT33" s="56"/>
      <c r="AU33" s="57"/>
      <c r="AW33" s="54" t="str">
        <f t="shared" si="10"/>
        <v>&amp;AllGlyphs[30]</v>
      </c>
      <c r="AX33" s="54" t="str">
        <f t="shared" si="11"/>
        <v>&amp;AllGlyphs[44]</v>
      </c>
      <c r="AY33" s="54" t="str">
        <f t="shared" si="12"/>
        <v>&amp;AllGlyphs[26]</v>
      </c>
      <c r="AZ33" s="54" t="str">
        <f t="shared" si="13"/>
        <v>&amp;AllGlyphs[30]</v>
      </c>
      <c r="BB33" s="64">
        <f t="shared" si="14"/>
        <v>0</v>
      </c>
      <c r="BC33" s="64">
        <f t="shared" si="15"/>
        <v>0</v>
      </c>
      <c r="BD33" s="64">
        <f t="shared" si="16"/>
        <v>0</v>
      </c>
      <c r="BE33" s="64">
        <f t="shared" si="17"/>
        <v>0</v>
      </c>
    </row>
    <row r="34" spans="1:57" x14ac:dyDescent="0.4">
      <c r="A34" s="7" t="s">
        <v>53</v>
      </c>
      <c r="B34" s="6" t="str">
        <f t="shared" si="0"/>
        <v>@</v>
      </c>
      <c r="C34" s="48" cm="1">
        <f t="array" ref="C34">IF($N34,INDEX($O:$O,MATCH(TRUE,EXACT(B34,$A:$A),0)),"")</f>
        <v>32</v>
      </c>
      <c r="D34" s="38" t="s">
        <v>54</v>
      </c>
      <c r="E34" s="48" cm="1">
        <f t="array" ref="E34">IF($N34,INDEX($O:$O,MATCH(TRUE,EXACT(D34,$A:$A),0)),"")</f>
        <v>3</v>
      </c>
      <c r="F34" s="38" t="s">
        <v>53</v>
      </c>
      <c r="G34" s="48" cm="1">
        <f t="array" ref="G34">IF($O34&lt;&gt;"",INDEX($O:$O,MATCH(TRUE,EXACT(F34,$A:$A),0)),"")</f>
        <v>32</v>
      </c>
      <c r="H34" s="38" t="s">
        <v>53</v>
      </c>
      <c r="I34" s="48" cm="1">
        <f t="array" ref="I34">IF($N34,INDEX($O:$O,MATCH(TRUE,EXACT(H34,$A:$A),0)),"")</f>
        <v>32</v>
      </c>
      <c r="J34" s="38" t="s">
        <v>53</v>
      </c>
      <c r="K34" s="52" cm="1">
        <f t="array" ref="K34">IF($N34,INDEX($O:$O,MATCH(TRUE,EXACT(J34,$A:$A),0)),"")</f>
        <v>32</v>
      </c>
      <c r="L34" s="23"/>
      <c r="M34" s="33"/>
      <c r="N34" s="18" t="b">
        <f t="shared" si="3"/>
        <v>1</v>
      </c>
      <c r="O34" s="19">
        <f>IF(N34, MAX(O$2:O33)+1,"")</f>
        <v>32</v>
      </c>
      <c r="P34" s="23" t="str">
        <f t="shared" si="1"/>
        <v>@</v>
      </c>
      <c r="Q34" s="8" t="str" cm="1">
        <f t="array" ref="Q34">CharToUTF8(A34)</f>
        <v>\x40</v>
      </c>
      <c r="S34" s="18" t="str">
        <f t="shared" si="21"/>
        <v>ORTHO_BOTH</v>
      </c>
      <c r="T34" s="24" t="str">
        <f>$AG$4</f>
        <v>ORTHO_BOTH</v>
      </c>
      <c r="U34" s="24" t="str">
        <f>$AG$2</f>
        <v>EMPTY</v>
      </c>
      <c r="V34" s="21" t="str">
        <f>$AG$2</f>
        <v>EMPTY</v>
      </c>
      <c r="X34" s="31" t="b">
        <f t="shared" si="5"/>
        <v>0</v>
      </c>
      <c r="Y34" s="31" t="b">
        <f t="shared" si="6"/>
        <v>1</v>
      </c>
      <c r="Z34" t="b">
        <f t="shared" si="7"/>
        <v>1</v>
      </c>
      <c r="AA34" t="b">
        <f t="shared" si="8"/>
        <v>1</v>
      </c>
      <c r="AB34" t="b">
        <f>IF($N34,S34=VLOOKUP(S34,$AG$2:$AL$10,4,FALSE),"")</f>
        <v>1</v>
      </c>
      <c r="AC34" t="b">
        <f>IF($N34,T34=VLOOKUP(T34,$AG$2:$AL$10,4,FALSE),"")</f>
        <v>1</v>
      </c>
      <c r="AD34" t="b">
        <f>IF($N34,U34=VLOOKUP(U34,$AG$2:$AL$10,5,FALSE),"")</f>
        <v>1</v>
      </c>
      <c r="AE34" t="b">
        <f>IF($N34,V34=VLOOKUP(V34,$AG$2:$AL$10,5,FALSE),"")</f>
        <v>1</v>
      </c>
      <c r="AN34" s="55" t="str">
        <f t="shared" si="19"/>
        <v xml:space="preserve">    { wxString::FromUTF8("\x40"), &amp;AllGlyphs[3], &amp;AllGlyphs[32], &amp;AllGlyphs[32], &amp;AllGlyphs[32], Connection::ORTHO_BOTH, Connection::ORTHO_BOTH, Connection::EMPTY, Connection::EMPTY, 0, 1, 1, 1 },</v>
      </c>
      <c r="AO34" s="56"/>
      <c r="AP34" s="56"/>
      <c r="AQ34" s="56"/>
      <c r="AR34" s="56"/>
      <c r="AS34" s="56"/>
      <c r="AT34" s="56"/>
      <c r="AU34" s="57"/>
      <c r="AW34" s="54" t="str">
        <f t="shared" si="10"/>
        <v>&amp;AllGlyphs[3]</v>
      </c>
      <c r="AX34" s="54" t="str">
        <f t="shared" si="11"/>
        <v>&amp;AllGlyphs[32]</v>
      </c>
      <c r="AY34" s="54" t="str">
        <f t="shared" si="12"/>
        <v>&amp;AllGlyphs[32]</v>
      </c>
      <c r="AZ34" s="54" t="str">
        <f t="shared" si="13"/>
        <v>&amp;AllGlyphs[32]</v>
      </c>
      <c r="BB34" s="64">
        <f t="shared" si="14"/>
        <v>0</v>
      </c>
      <c r="BC34" s="64">
        <f t="shared" si="15"/>
        <v>1</v>
      </c>
      <c r="BD34" s="64">
        <f t="shared" si="16"/>
        <v>1</v>
      </c>
      <c r="BE34" s="64">
        <f t="shared" si="17"/>
        <v>1</v>
      </c>
    </row>
    <row r="35" spans="1:57" x14ac:dyDescent="0.4">
      <c r="A35" s="7" t="s">
        <v>36</v>
      </c>
      <c r="B35" s="6" t="str">
        <f t="shared" si="0"/>
        <v>A</v>
      </c>
      <c r="C35" s="48" cm="1">
        <f t="array" ref="C35">IF($N35,INDEX($O:$O,MATCH(TRUE,EXACT(B35,$A:$A),0)),"")</f>
        <v>33</v>
      </c>
      <c r="D35" s="38" t="s">
        <v>27</v>
      </c>
      <c r="E35" s="48" cm="1">
        <f t="array" ref="E35">IF($N35,INDEX($O:$O,MATCH(TRUE,EXACT(D35,$A:$A),0)),"")</f>
        <v>55</v>
      </c>
      <c r="F35" s="38" t="s">
        <v>38</v>
      </c>
      <c r="G35" s="48" cm="1">
        <f t="array" ref="G35">IF($O35&lt;&gt;"",INDEX($O:$O,MATCH(TRUE,EXACT(F35,$A:$A),0)),"")</f>
        <v>36</v>
      </c>
      <c r="H35" s="38" t="s">
        <v>36</v>
      </c>
      <c r="I35" s="48" cm="1">
        <f t="array" ref="I35">IF($N35,INDEX($O:$O,MATCH(TRUE,EXACT(H35,$A:$A),0)),"")</f>
        <v>33</v>
      </c>
      <c r="J35" s="38" t="s">
        <v>38</v>
      </c>
      <c r="K35" s="52" cm="1">
        <f t="array" ref="K35">IF($N35,INDEX($O:$O,MATCH(TRUE,EXACT(J35,$A:$A),0)),"")</f>
        <v>36</v>
      </c>
      <c r="L35" s="23"/>
      <c r="M35" s="33"/>
      <c r="N35" s="18" t="b">
        <f t="shared" si="3"/>
        <v>1</v>
      </c>
      <c r="O35" s="19">
        <f>IF(N35, MAX(O$2:O34)+1,"")</f>
        <v>33</v>
      </c>
      <c r="P35" s="23" t="str">
        <f t="shared" si="1"/>
        <v>A</v>
      </c>
      <c r="Q35" s="8" t="str" cm="1">
        <f t="array" ref="Q35">CharToUTF8(A35)</f>
        <v>\x41</v>
      </c>
      <c r="S35" s="18" t="str">
        <f t="shared" si="21"/>
        <v>ORTHO_BOTH</v>
      </c>
      <c r="T35" s="24" t="str">
        <f>$AG$4</f>
        <v>ORTHO_BOTH</v>
      </c>
      <c r="U35" s="24" t="str">
        <f>$AG$2</f>
        <v>EMPTY</v>
      </c>
      <c r="V35" s="21" t="str">
        <f>$AG$4</f>
        <v>ORTHO_BOTH</v>
      </c>
      <c r="X35" s="31" t="b">
        <f t="shared" si="5"/>
        <v>0</v>
      </c>
      <c r="Y35" s="31" t="b">
        <f t="shared" si="6"/>
        <v>0</v>
      </c>
      <c r="Z35" t="b">
        <f t="shared" si="7"/>
        <v>1</v>
      </c>
      <c r="AA35" t="b">
        <f t="shared" si="8"/>
        <v>0</v>
      </c>
      <c r="AB35" t="b">
        <f>IF($N35,S35=VLOOKUP(S35,$AG$2:$AL$10,4,FALSE),"")</f>
        <v>1</v>
      </c>
      <c r="AC35" t="b">
        <f>IF($N35,T35=VLOOKUP(T35,$AG$2:$AL$10,4,FALSE),"")</f>
        <v>1</v>
      </c>
      <c r="AD35" t="b">
        <f>IF($N35,U35=VLOOKUP(U35,$AG$2:$AL$10,5,FALSE),"")</f>
        <v>1</v>
      </c>
      <c r="AE35" t="b">
        <f>IF($N35,V35=VLOOKUP(V35,$AG$2:$AL$10,5,FALSE),"")</f>
        <v>1</v>
      </c>
      <c r="AN35" s="55" t="str">
        <f t="shared" si="19"/>
        <v xml:space="preserve">    { wxString::FromUTF8("\x41"), &amp;AllGlyphs[55], &amp;AllGlyphs[36], &amp;AllGlyphs[33], &amp;AllGlyphs[36], Connection::ORTHO_BOTH, Connection::ORTHO_BOTH, Connection::EMPTY, Connection::ORTHO_BOTH, 0, 0, 1, 0 },</v>
      </c>
      <c r="AO35" s="56"/>
      <c r="AP35" s="56"/>
      <c r="AQ35" s="56"/>
      <c r="AR35" s="56"/>
      <c r="AS35" s="56"/>
      <c r="AT35" s="56"/>
      <c r="AU35" s="57"/>
      <c r="AW35" s="54" t="str">
        <f t="shared" si="10"/>
        <v>&amp;AllGlyphs[55]</v>
      </c>
      <c r="AX35" s="54" t="str">
        <f t="shared" si="11"/>
        <v>&amp;AllGlyphs[36]</v>
      </c>
      <c r="AY35" s="54" t="str">
        <f t="shared" si="12"/>
        <v>&amp;AllGlyphs[33]</v>
      </c>
      <c r="AZ35" s="54" t="str">
        <f t="shared" si="13"/>
        <v>&amp;AllGlyphs[36]</v>
      </c>
      <c r="BB35" s="64">
        <f t="shared" si="14"/>
        <v>0</v>
      </c>
      <c r="BC35" s="64">
        <f t="shared" si="15"/>
        <v>0</v>
      </c>
      <c r="BD35" s="64">
        <f t="shared" si="16"/>
        <v>1</v>
      </c>
      <c r="BE35" s="64">
        <f t="shared" si="17"/>
        <v>0</v>
      </c>
    </row>
    <row r="36" spans="1:57" x14ac:dyDescent="0.4">
      <c r="A36" s="7" t="s">
        <v>49</v>
      </c>
      <c r="B36" s="6" t="str">
        <f t="shared" si="0"/>
        <v>B</v>
      </c>
      <c r="C36" s="48" cm="1">
        <f t="array" ref="C36">IF($N36,INDEX($O:$O,MATCH(TRUE,EXACT(B36,$A:$A),0)),"")</f>
        <v>34</v>
      </c>
      <c r="D36" s="38" t="s">
        <v>57</v>
      </c>
      <c r="E36" s="48" cm="1">
        <f t="array" ref="E36">IF($N36,INDEX($O:$O,MATCH(TRUE,EXACT(D36,$A:$A),0)),"")</f>
        <v>62</v>
      </c>
      <c r="F36" s="38" t="s">
        <v>50</v>
      </c>
      <c r="G36" s="48" cm="1">
        <f t="array" ref="G36">IF($O36&lt;&gt;"",INDEX($O:$O,MATCH(TRUE,EXACT(F36,$A:$A),0)),"")</f>
        <v>46</v>
      </c>
      <c r="H36" s="38" t="s">
        <v>49</v>
      </c>
      <c r="I36" s="48" cm="1">
        <f t="array" ref="I36">IF($N36,INDEX($O:$O,MATCH(TRUE,EXACT(H36,$A:$A),0)),"")</f>
        <v>34</v>
      </c>
      <c r="J36" s="38" t="s">
        <v>50</v>
      </c>
      <c r="K36" s="52" cm="1">
        <f t="array" ref="K36">IF($N36,INDEX($O:$O,MATCH(TRUE,EXACT(J36,$A:$A),0)),"")</f>
        <v>46</v>
      </c>
      <c r="L36" s="23"/>
      <c r="M36" s="33"/>
      <c r="N36" s="18" t="b">
        <f t="shared" si="3"/>
        <v>1</v>
      </c>
      <c r="O36" s="19">
        <f>IF(N36, MAX(O$2:O35)+1,"")</f>
        <v>34</v>
      </c>
      <c r="P36" s="23" t="str">
        <f t="shared" si="1"/>
        <v>B</v>
      </c>
      <c r="Q36" s="8" t="str" cm="1">
        <f t="array" ref="Q36">CharToUTF8(A36)</f>
        <v>\x42</v>
      </c>
      <c r="S36" s="18" t="str">
        <f t="shared" si="21"/>
        <v>ORTHO_BOTH</v>
      </c>
      <c r="T36" s="24" t="str">
        <f>$AG$4</f>
        <v>ORTHO_BOTH</v>
      </c>
      <c r="U36" s="24" t="str">
        <f>$AG$4</f>
        <v>ORTHO_BOTH</v>
      </c>
      <c r="V36" s="21" t="str">
        <f>$AG$3</f>
        <v>DIAG_BOTH</v>
      </c>
      <c r="X36" s="31" t="b">
        <f t="shared" si="5"/>
        <v>0</v>
      </c>
      <c r="Y36" s="31" t="b">
        <f t="shared" si="6"/>
        <v>0</v>
      </c>
      <c r="Z36" t="b">
        <f t="shared" si="7"/>
        <v>1</v>
      </c>
      <c r="AA36" t="b">
        <f t="shared" si="8"/>
        <v>0</v>
      </c>
      <c r="AB36" t="b">
        <f>IF($N36,S36=VLOOKUP(S36,$AG$2:$AL$10,4,FALSE),"")</f>
        <v>1</v>
      </c>
      <c r="AC36" t="b">
        <f>IF($N36,T36=VLOOKUP(T36,$AG$2:$AL$10,4,FALSE),"")</f>
        <v>1</v>
      </c>
      <c r="AD36" t="b">
        <f>IF($N36,U36=VLOOKUP(U36,$AG$2:$AL$10,5,FALSE),"")</f>
        <v>1</v>
      </c>
      <c r="AE36" t="b">
        <f>IF($N36,V36=VLOOKUP(V36,$AG$2:$AL$10,5,FALSE),"")</f>
        <v>1</v>
      </c>
      <c r="AN36" s="55" t="str">
        <f t="shared" si="19"/>
        <v xml:space="preserve">    { wxString::FromUTF8("\x42"), &amp;AllGlyphs[62], &amp;AllGlyphs[46], &amp;AllGlyphs[34], &amp;AllGlyphs[46], Connection::ORTHO_BOTH, Connection::ORTHO_BOTH, Connection::ORTHO_BOTH, Connection::DIAG_BOTH, 0, 0, 1, 0 },</v>
      </c>
      <c r="AO36" s="56"/>
      <c r="AP36" s="56"/>
      <c r="AQ36" s="56"/>
      <c r="AR36" s="56"/>
      <c r="AS36" s="56"/>
      <c r="AT36" s="56"/>
      <c r="AU36" s="57"/>
      <c r="AW36" s="54" t="str">
        <f t="shared" si="10"/>
        <v>&amp;AllGlyphs[62]</v>
      </c>
      <c r="AX36" s="54" t="str">
        <f t="shared" si="11"/>
        <v>&amp;AllGlyphs[46]</v>
      </c>
      <c r="AY36" s="54" t="str">
        <f t="shared" si="12"/>
        <v>&amp;AllGlyphs[34]</v>
      </c>
      <c r="AZ36" s="54" t="str">
        <f t="shared" si="13"/>
        <v>&amp;AllGlyphs[46]</v>
      </c>
      <c r="BB36" s="64">
        <f t="shared" si="14"/>
        <v>0</v>
      </c>
      <c r="BC36" s="64">
        <f t="shared" si="15"/>
        <v>0</v>
      </c>
      <c r="BD36" s="64">
        <f t="shared" si="16"/>
        <v>1</v>
      </c>
      <c r="BE36" s="64">
        <f t="shared" si="17"/>
        <v>0</v>
      </c>
    </row>
    <row r="37" spans="1:57" x14ac:dyDescent="0.4">
      <c r="A37" s="7" t="s">
        <v>47</v>
      </c>
      <c r="B37" s="6" t="str">
        <f t="shared" si="0"/>
        <v>C</v>
      </c>
      <c r="C37" s="48" cm="1">
        <f t="array" ref="C37">IF($N37,INDEX($O:$O,MATCH(TRUE,EXACT(B37,$A:$A),0)),"")</f>
        <v>35</v>
      </c>
      <c r="D37" s="38" t="s">
        <v>45</v>
      </c>
      <c r="E37" s="48" cm="1">
        <f t="array" ref="E37">IF($N37,INDEX($O:$O,MATCH(TRUE,EXACT(D37,$A:$A),0)),"")</f>
        <v>58</v>
      </c>
      <c r="F37" s="38" t="s">
        <v>26</v>
      </c>
      <c r="G37" s="48" cm="1">
        <f t="array" ref="G37">IF($O37&lt;&gt;"",INDEX($O:$O,MATCH(TRUE,EXACT(F37,$A:$A),0)),"")</f>
        <v>49</v>
      </c>
      <c r="H37" s="38" t="s">
        <v>28</v>
      </c>
      <c r="I37" s="48" cm="1">
        <f t="array" ref="I37">IF($N37,INDEX($O:$O,MATCH(TRUE,EXACT(H37,$A:$A),0)),"")</f>
        <v>37</v>
      </c>
      <c r="J37" s="38" t="s">
        <v>45</v>
      </c>
      <c r="K37" s="52" cm="1">
        <f t="array" ref="K37">IF($N37,INDEX($O:$O,MATCH(TRUE,EXACT(J37,$A:$A),0)),"")</f>
        <v>58</v>
      </c>
      <c r="L37" s="23"/>
      <c r="M37" s="33"/>
      <c r="N37" s="18" t="b">
        <f t="shared" si="3"/>
        <v>1</v>
      </c>
      <c r="O37" s="19">
        <f>IF(N37, MAX(O$2:O36)+1,"")</f>
        <v>35</v>
      </c>
      <c r="P37" s="23" t="str">
        <f t="shared" si="1"/>
        <v>C</v>
      </c>
      <c r="Q37" s="8" t="str" cm="1">
        <f t="array" ref="Q37">CharToUTF8(A37)</f>
        <v>\x43</v>
      </c>
      <c r="S37" s="18" t="str">
        <f t="shared" si="21"/>
        <v>ORTHO_BOTH</v>
      </c>
      <c r="T37" s="24" t="str">
        <f>$AG$2</f>
        <v>EMPTY</v>
      </c>
      <c r="U37" s="24" t="str">
        <f>$AG$4</f>
        <v>ORTHO_BOTH</v>
      </c>
      <c r="V37" s="21" t="str">
        <f>$AG$2</f>
        <v>EMPTY</v>
      </c>
      <c r="X37" s="31" t="b">
        <f t="shared" si="5"/>
        <v>0</v>
      </c>
      <c r="Y37" s="31" t="b">
        <f t="shared" si="6"/>
        <v>0</v>
      </c>
      <c r="Z37" t="b">
        <f t="shared" si="7"/>
        <v>0</v>
      </c>
      <c r="AA37" t="b">
        <f t="shared" si="8"/>
        <v>0</v>
      </c>
      <c r="AB37" t="b">
        <f>IF($N37,S37=VLOOKUP(S37,$AG$2:$AL$10,4,FALSE),"")</f>
        <v>1</v>
      </c>
      <c r="AC37" t="b">
        <f>IF($N37,T37=VLOOKUP(T37,$AG$2:$AL$10,4,FALSE),"")</f>
        <v>1</v>
      </c>
      <c r="AD37" t="b">
        <f>IF($N37,U37=VLOOKUP(U37,$AG$2:$AL$10,5,FALSE),"")</f>
        <v>1</v>
      </c>
      <c r="AE37" t="b">
        <f>IF($N37,V37=VLOOKUP(V37,$AG$2:$AL$10,5,FALSE),"")</f>
        <v>1</v>
      </c>
      <c r="AN37" s="55" t="str">
        <f t="shared" si="19"/>
        <v xml:space="preserve">    { wxString::FromUTF8("\x43"), &amp;AllGlyphs[58], &amp;AllGlyphs[49], &amp;AllGlyphs[37], &amp;AllGlyphs[58], Connection::ORTHO_BOTH, Connection::EMPTY, Connection::ORTHO_BOTH, Connection::EMPTY, 0, 0, 0, 0 },</v>
      </c>
      <c r="AO37" s="56"/>
      <c r="AP37" s="56"/>
      <c r="AQ37" s="56"/>
      <c r="AR37" s="56"/>
      <c r="AS37" s="56"/>
      <c r="AT37" s="56"/>
      <c r="AU37" s="57"/>
      <c r="AW37" s="54" t="str">
        <f t="shared" si="10"/>
        <v>&amp;AllGlyphs[58]</v>
      </c>
      <c r="AX37" s="54" t="str">
        <f t="shared" si="11"/>
        <v>&amp;AllGlyphs[49]</v>
      </c>
      <c r="AY37" s="54" t="str">
        <f t="shared" si="12"/>
        <v>&amp;AllGlyphs[37]</v>
      </c>
      <c r="AZ37" s="54" t="str">
        <f t="shared" si="13"/>
        <v>&amp;AllGlyphs[58]</v>
      </c>
      <c r="BB37" s="64">
        <f t="shared" si="14"/>
        <v>0</v>
      </c>
      <c r="BC37" s="64">
        <f t="shared" si="15"/>
        <v>0</v>
      </c>
      <c r="BD37" s="64">
        <f t="shared" si="16"/>
        <v>0</v>
      </c>
      <c r="BE37" s="64">
        <f t="shared" si="17"/>
        <v>0</v>
      </c>
    </row>
    <row r="38" spans="1:57" x14ac:dyDescent="0.4">
      <c r="A38" s="7" t="s">
        <v>38</v>
      </c>
      <c r="B38" s="6" t="str">
        <f t="shared" si="0"/>
        <v>D</v>
      </c>
      <c r="C38" s="48" cm="1">
        <f t="array" ref="C38">IF($N38,INDEX($O:$O,MATCH(TRUE,EXACT(B38,$A:$A),0)),"")</f>
        <v>36</v>
      </c>
      <c r="D38" s="38" t="s">
        <v>46</v>
      </c>
      <c r="E38" s="48" cm="1">
        <f t="array" ref="E38">IF($N38,INDEX($O:$O,MATCH(TRUE,EXACT(D38,$A:$A),0)),"")</f>
        <v>56</v>
      </c>
      <c r="F38" s="38" t="s">
        <v>36</v>
      </c>
      <c r="G38" s="48" cm="1">
        <f t="array" ref="G38">IF($O38&lt;&gt;"",INDEX($O:$O,MATCH(TRUE,EXACT(F38,$A:$A),0)),"")</f>
        <v>33</v>
      </c>
      <c r="H38" s="38" t="s">
        <v>38</v>
      </c>
      <c r="I38" s="48" cm="1">
        <f t="array" ref="I38">IF($N38,INDEX($O:$O,MATCH(TRUE,EXACT(H38,$A:$A),0)),"")</f>
        <v>36</v>
      </c>
      <c r="J38" s="38" t="s">
        <v>36</v>
      </c>
      <c r="K38" s="52" cm="1">
        <f t="array" ref="K38">IF($N38,INDEX($O:$O,MATCH(TRUE,EXACT(J38,$A:$A),0)),"")</f>
        <v>33</v>
      </c>
      <c r="L38" s="23"/>
      <c r="M38" s="33"/>
      <c r="N38" s="18" t="b">
        <f t="shared" si="3"/>
        <v>1</v>
      </c>
      <c r="O38" s="19">
        <f>IF(N38, MAX(O$2:O37)+1,"")</f>
        <v>36</v>
      </c>
      <c r="P38" s="23" t="str">
        <f t="shared" si="1"/>
        <v>D</v>
      </c>
      <c r="Q38" s="8" t="str" cm="1">
        <f t="array" ref="Q38">CharToUTF8(A38)</f>
        <v>\x44</v>
      </c>
      <c r="S38" s="18" t="str">
        <f t="shared" si="21"/>
        <v>ORTHO_BOTH</v>
      </c>
      <c r="T38" s="24" t="str">
        <f>$AG$4</f>
        <v>ORTHO_BOTH</v>
      </c>
      <c r="U38" s="24" t="str">
        <f>$AG$4</f>
        <v>ORTHO_BOTH</v>
      </c>
      <c r="V38" s="21" t="str">
        <f>$AG$2</f>
        <v>EMPTY</v>
      </c>
      <c r="X38" s="31" t="b">
        <f t="shared" si="5"/>
        <v>0</v>
      </c>
      <c r="Y38" s="31" t="b">
        <f t="shared" si="6"/>
        <v>0</v>
      </c>
      <c r="Z38" t="b">
        <f t="shared" si="7"/>
        <v>1</v>
      </c>
      <c r="AA38" t="b">
        <f t="shared" si="8"/>
        <v>0</v>
      </c>
      <c r="AB38" t="b">
        <f>IF($N38,S38=VLOOKUP(S38,$AG$2:$AL$10,4,FALSE),"")</f>
        <v>1</v>
      </c>
      <c r="AC38" t="b">
        <f>IF($N38,T38=VLOOKUP(T38,$AG$2:$AL$10,4,FALSE),"")</f>
        <v>1</v>
      </c>
      <c r="AD38" t="b">
        <f>IF($N38,U38=VLOOKUP(U38,$AG$2:$AL$10,5,FALSE),"")</f>
        <v>1</v>
      </c>
      <c r="AE38" t="b">
        <f>IF($N38,V38=VLOOKUP(V38,$AG$2:$AL$10,5,FALSE),"")</f>
        <v>1</v>
      </c>
      <c r="AN38" s="55" t="str">
        <f t="shared" si="19"/>
        <v xml:space="preserve">    { wxString::FromUTF8("\x44"), &amp;AllGlyphs[56], &amp;AllGlyphs[33], &amp;AllGlyphs[36], &amp;AllGlyphs[33], Connection::ORTHO_BOTH, Connection::ORTHO_BOTH, Connection::ORTHO_BOTH, Connection::EMPTY, 0, 0, 1, 0 },</v>
      </c>
      <c r="AO38" s="56"/>
      <c r="AP38" s="56"/>
      <c r="AQ38" s="56"/>
      <c r="AR38" s="56"/>
      <c r="AS38" s="56"/>
      <c r="AT38" s="56"/>
      <c r="AU38" s="57"/>
      <c r="AW38" s="54" t="str">
        <f t="shared" si="10"/>
        <v>&amp;AllGlyphs[56]</v>
      </c>
      <c r="AX38" s="54" t="str">
        <f t="shared" si="11"/>
        <v>&amp;AllGlyphs[33]</v>
      </c>
      <c r="AY38" s="54" t="str">
        <f t="shared" si="12"/>
        <v>&amp;AllGlyphs[36]</v>
      </c>
      <c r="AZ38" s="54" t="str">
        <f t="shared" si="13"/>
        <v>&amp;AllGlyphs[33]</v>
      </c>
      <c r="BB38" s="64">
        <f t="shared" si="14"/>
        <v>0</v>
      </c>
      <c r="BC38" s="64">
        <f t="shared" si="15"/>
        <v>0</v>
      </c>
      <c r="BD38" s="64">
        <f t="shared" si="16"/>
        <v>1</v>
      </c>
      <c r="BE38" s="64">
        <f t="shared" si="17"/>
        <v>0</v>
      </c>
    </row>
    <row r="39" spans="1:57" x14ac:dyDescent="0.4">
      <c r="A39" s="7" t="s">
        <v>28</v>
      </c>
      <c r="B39" s="6" t="str">
        <f t="shared" si="0"/>
        <v>E</v>
      </c>
      <c r="C39" s="48" cm="1">
        <f t="array" ref="C39">IF($N39,INDEX($O:$O,MATCH(TRUE,EXACT(B39,$A:$A),0)),"")</f>
        <v>37</v>
      </c>
      <c r="D39" s="38" t="s">
        <v>47</v>
      </c>
      <c r="E39" s="48" cm="1">
        <f t="array" ref="E39">IF($N39,INDEX($O:$O,MATCH(TRUE,EXACT(D39,$A:$A),0)),"")</f>
        <v>35</v>
      </c>
      <c r="F39" s="38" t="s">
        <v>45</v>
      </c>
      <c r="G39" s="48" cm="1">
        <f t="array" ref="G39">IF($O39&lt;&gt;"",INDEX($O:$O,MATCH(TRUE,EXACT(F39,$A:$A),0)),"")</f>
        <v>58</v>
      </c>
      <c r="H39" s="38" t="s">
        <v>47</v>
      </c>
      <c r="I39" s="48" cm="1">
        <f t="array" ref="I39">IF($N39,INDEX($O:$O,MATCH(TRUE,EXACT(H39,$A:$A),0)),"")</f>
        <v>35</v>
      </c>
      <c r="J39" s="38" t="s">
        <v>26</v>
      </c>
      <c r="K39" s="52" cm="1">
        <f t="array" ref="K39">IF($N39,INDEX($O:$O,MATCH(TRUE,EXACT(J39,$A:$A),0)),"")</f>
        <v>49</v>
      </c>
      <c r="L39" s="23"/>
      <c r="M39" s="33"/>
      <c r="N39" s="18" t="b">
        <f t="shared" si="3"/>
        <v>1</v>
      </c>
      <c r="O39" s="19">
        <f>IF(N39, MAX(O$2:O38)+1,"")</f>
        <v>37</v>
      </c>
      <c r="P39" s="23" t="str">
        <f t="shared" si="1"/>
        <v>E</v>
      </c>
      <c r="Q39" s="8" t="str" cm="1">
        <f t="array" ref="Q39">CharToUTF8(A39)</f>
        <v>\x45</v>
      </c>
      <c r="S39" s="18" t="str">
        <f>$AG$2</f>
        <v>EMPTY</v>
      </c>
      <c r="T39" s="24" t="str">
        <f>$AG$4</f>
        <v>ORTHO_BOTH</v>
      </c>
      <c r="U39" s="24" t="str">
        <f>$AG$4</f>
        <v>ORTHO_BOTH</v>
      </c>
      <c r="V39" s="21" t="str">
        <f>$AG$2</f>
        <v>EMPTY</v>
      </c>
      <c r="X39" s="31" t="b">
        <f t="shared" si="5"/>
        <v>0</v>
      </c>
      <c r="Y39" s="31" t="b">
        <f t="shared" si="6"/>
        <v>0</v>
      </c>
      <c r="Z39" t="b">
        <f t="shared" si="7"/>
        <v>0</v>
      </c>
      <c r="AA39" t="b">
        <f t="shared" si="8"/>
        <v>0</v>
      </c>
      <c r="AB39" t="b">
        <f>IF($N39,S39=VLOOKUP(S39,$AG$2:$AL$10,4,FALSE),"")</f>
        <v>1</v>
      </c>
      <c r="AC39" t="b">
        <f>IF($N39,T39=VLOOKUP(T39,$AG$2:$AL$10,4,FALSE),"")</f>
        <v>1</v>
      </c>
      <c r="AD39" t="b">
        <f>IF($N39,U39=VLOOKUP(U39,$AG$2:$AL$10,5,FALSE),"")</f>
        <v>1</v>
      </c>
      <c r="AE39" t="b">
        <f>IF($N39,V39=VLOOKUP(V39,$AG$2:$AL$10,5,FALSE),"")</f>
        <v>1</v>
      </c>
      <c r="AN39" s="55" t="str">
        <f t="shared" si="19"/>
        <v xml:space="preserve">    { wxString::FromUTF8("\x45"), &amp;AllGlyphs[35], &amp;AllGlyphs[58], &amp;AllGlyphs[35], &amp;AllGlyphs[49], Connection::EMPTY, Connection::ORTHO_BOTH, Connection::ORTHO_BOTH, Connection::EMPTY, 0, 0, 0, 0 },</v>
      </c>
      <c r="AO39" s="56"/>
      <c r="AP39" s="56"/>
      <c r="AQ39" s="56"/>
      <c r="AR39" s="56"/>
      <c r="AS39" s="56"/>
      <c r="AT39" s="56"/>
      <c r="AU39" s="57"/>
      <c r="AW39" s="54" t="str">
        <f t="shared" si="10"/>
        <v>&amp;AllGlyphs[35]</v>
      </c>
      <c r="AX39" s="54" t="str">
        <f t="shared" si="11"/>
        <v>&amp;AllGlyphs[58]</v>
      </c>
      <c r="AY39" s="54" t="str">
        <f t="shared" si="12"/>
        <v>&amp;AllGlyphs[35]</v>
      </c>
      <c r="AZ39" s="54" t="str">
        <f t="shared" si="13"/>
        <v>&amp;AllGlyphs[49]</v>
      </c>
      <c r="BB39" s="64">
        <f t="shared" si="14"/>
        <v>0</v>
      </c>
      <c r="BC39" s="64">
        <f t="shared" si="15"/>
        <v>0</v>
      </c>
      <c r="BD39" s="64">
        <f t="shared" si="16"/>
        <v>0</v>
      </c>
      <c r="BE39" s="64">
        <f t="shared" si="17"/>
        <v>0</v>
      </c>
    </row>
    <row r="40" spans="1:57" x14ac:dyDescent="0.4">
      <c r="A40" s="7" t="s">
        <v>39</v>
      </c>
      <c r="B40" s="6" t="str">
        <f t="shared" si="0"/>
        <v>F</v>
      </c>
      <c r="C40" s="48" cm="1">
        <f t="array" ref="C40">IF($N40,INDEX($O:$O,MATCH(TRUE,EXACT(B40,$A:$A),0)),"")</f>
        <v>38</v>
      </c>
      <c r="D40" s="38" t="s">
        <v>55</v>
      </c>
      <c r="E40" s="48" cm="1">
        <f t="array" ref="E40">IF($N40,INDEX($O:$O,MATCH(TRUE,EXACT(D40,$A:$A),0)),"")</f>
        <v>4</v>
      </c>
      <c r="F40" s="38" t="s">
        <v>48</v>
      </c>
      <c r="G40" s="48" cm="1">
        <f t="array" ref="G40">IF($O40&lt;&gt;"",INDEX($O:$O,MATCH(TRUE,EXACT(F40,$A:$A),0)),"")</f>
        <v>54</v>
      </c>
      <c r="H40" s="38" t="s">
        <v>39</v>
      </c>
      <c r="I40" s="48" cm="1">
        <f t="array" ref="I40">IF($N40,INDEX($O:$O,MATCH(TRUE,EXACT(H40,$A:$A),0)),"")</f>
        <v>38</v>
      </c>
      <c r="J40" s="38" t="s">
        <v>48</v>
      </c>
      <c r="K40" s="52" cm="1">
        <f t="array" ref="K40">IF($N40,INDEX($O:$O,MATCH(TRUE,EXACT(J40,$A:$A),0)),"")</f>
        <v>54</v>
      </c>
      <c r="L40" s="23"/>
      <c r="M40" s="33"/>
      <c r="N40" s="18" t="b">
        <f t="shared" si="3"/>
        <v>1</v>
      </c>
      <c r="O40" s="19">
        <f>IF(N40, MAX(O$2:O39)+1,"")</f>
        <v>38</v>
      </c>
      <c r="P40" s="23" t="str">
        <f t="shared" si="1"/>
        <v>F</v>
      </c>
      <c r="Q40" s="8" t="str" cm="1">
        <f t="array" ref="Q40">CharToUTF8(A40)</f>
        <v>\x46</v>
      </c>
      <c r="S40" s="18" t="str">
        <f>$AG$2</f>
        <v>EMPTY</v>
      </c>
      <c r="T40" s="24" t="str">
        <f>$AG$2</f>
        <v>EMPTY</v>
      </c>
      <c r="U40" s="24" t="str">
        <f>$AG$2</f>
        <v>EMPTY</v>
      </c>
      <c r="V40" s="21" t="str">
        <f>$AG$4</f>
        <v>ORTHO_BOTH</v>
      </c>
      <c r="X40" s="31" t="b">
        <f t="shared" si="5"/>
        <v>0</v>
      </c>
      <c r="Y40" s="31" t="b">
        <f t="shared" si="6"/>
        <v>0</v>
      </c>
      <c r="Z40" t="b">
        <f t="shared" si="7"/>
        <v>1</v>
      </c>
      <c r="AA40" t="b">
        <f t="shared" si="8"/>
        <v>0</v>
      </c>
      <c r="AB40" t="b">
        <f>IF($N40,S40=VLOOKUP(S40,$AG$2:$AL$10,4,FALSE),"")</f>
        <v>1</v>
      </c>
      <c r="AC40" t="b">
        <f>IF($N40,T40=VLOOKUP(T40,$AG$2:$AL$10,4,FALSE),"")</f>
        <v>1</v>
      </c>
      <c r="AD40" t="b">
        <f>IF($N40,U40=VLOOKUP(U40,$AG$2:$AL$10,5,FALSE),"")</f>
        <v>1</v>
      </c>
      <c r="AE40" t="b">
        <f>IF($N40,V40=VLOOKUP(V40,$AG$2:$AL$10,5,FALSE),"")</f>
        <v>1</v>
      </c>
      <c r="AN40" s="55" t="str">
        <f t="shared" si="19"/>
        <v xml:space="preserve">    { wxString::FromUTF8("\x46"), &amp;AllGlyphs[4], &amp;AllGlyphs[54], &amp;AllGlyphs[38], &amp;AllGlyphs[54], Connection::EMPTY, Connection::EMPTY, Connection::EMPTY, Connection::ORTHO_BOTH, 0, 0, 1, 0 },</v>
      </c>
      <c r="AO40" s="56"/>
      <c r="AP40" s="56"/>
      <c r="AQ40" s="56"/>
      <c r="AR40" s="56"/>
      <c r="AS40" s="56"/>
      <c r="AT40" s="56"/>
      <c r="AU40" s="57"/>
      <c r="AW40" s="54" t="str">
        <f t="shared" si="10"/>
        <v>&amp;AllGlyphs[4]</v>
      </c>
      <c r="AX40" s="54" t="str">
        <f t="shared" si="11"/>
        <v>&amp;AllGlyphs[54]</v>
      </c>
      <c r="AY40" s="54" t="str">
        <f t="shared" si="12"/>
        <v>&amp;AllGlyphs[38]</v>
      </c>
      <c r="AZ40" s="54" t="str">
        <f t="shared" si="13"/>
        <v>&amp;AllGlyphs[54]</v>
      </c>
      <c r="BB40" s="64">
        <f t="shared" si="14"/>
        <v>0</v>
      </c>
      <c r="BC40" s="64">
        <f t="shared" si="15"/>
        <v>0</v>
      </c>
      <c r="BD40" s="64">
        <f t="shared" si="16"/>
        <v>1</v>
      </c>
      <c r="BE40" s="64">
        <f t="shared" si="17"/>
        <v>0</v>
      </c>
    </row>
    <row r="41" spans="1:57" x14ac:dyDescent="0.4">
      <c r="A41" s="7" t="s">
        <v>40</v>
      </c>
      <c r="B41" s="6" t="str">
        <f t="shared" si="0"/>
        <v>G</v>
      </c>
      <c r="C41" s="48" cm="1">
        <f t="array" ref="C41">IF($N41,INDEX($O:$O,MATCH(TRUE,EXACT(B41,$A:$A),0)),"")</f>
        <v>39</v>
      </c>
      <c r="D41" s="38" t="s">
        <v>56</v>
      </c>
      <c r="E41" s="48" cm="1">
        <f t="array" ref="E41">IF($N41,INDEX($O:$O,MATCH(TRUE,EXACT(D41,$A:$A),0)),"")</f>
        <v>5</v>
      </c>
      <c r="F41" s="38" t="s">
        <v>41</v>
      </c>
      <c r="G41" s="48" cm="1">
        <f t="array" ref="G41">IF($O41&lt;&gt;"",INDEX($O:$O,MATCH(TRUE,EXACT(F41,$A:$A),0)),"")</f>
        <v>40</v>
      </c>
      <c r="H41" s="38" t="s">
        <v>40</v>
      </c>
      <c r="I41" s="48" cm="1">
        <f t="array" ref="I41">IF($N41,INDEX($O:$O,MATCH(TRUE,EXACT(H41,$A:$A),0)),"")</f>
        <v>39</v>
      </c>
      <c r="J41" s="38" t="s">
        <v>41</v>
      </c>
      <c r="K41" s="52" cm="1">
        <f t="array" ref="K41">IF($N41,INDEX($O:$O,MATCH(TRUE,EXACT(J41,$A:$A),0)),"")</f>
        <v>40</v>
      </c>
      <c r="L41" s="23"/>
      <c r="M41" s="33"/>
      <c r="N41" s="18" t="b">
        <f t="shared" si="3"/>
        <v>1</v>
      </c>
      <c r="O41" s="19">
        <f>IF(N41, MAX(O$2:O40)+1,"")</f>
        <v>39</v>
      </c>
      <c r="P41" s="23" t="str">
        <f t="shared" si="1"/>
        <v>G</v>
      </c>
      <c r="Q41" s="8" t="str" cm="1">
        <f t="array" ref="Q41">CharToUTF8(A41)</f>
        <v>\x47</v>
      </c>
      <c r="S41" s="18" t="str">
        <f>$AG$4</f>
        <v>ORTHO_BOTH</v>
      </c>
      <c r="T41" s="24" t="str">
        <f>$AG$4</f>
        <v>ORTHO_BOTH</v>
      </c>
      <c r="U41" s="24" t="str">
        <f>$AG$2</f>
        <v>EMPTY</v>
      </c>
      <c r="V41" s="21" t="str">
        <f>$AG$3</f>
        <v>DIAG_BOTH</v>
      </c>
      <c r="X41" s="31" t="b">
        <f t="shared" si="5"/>
        <v>0</v>
      </c>
      <c r="Y41" s="31" t="b">
        <f t="shared" si="6"/>
        <v>0</v>
      </c>
      <c r="Z41" t="b">
        <f t="shared" si="7"/>
        <v>1</v>
      </c>
      <c r="AA41" t="b">
        <f t="shared" si="8"/>
        <v>0</v>
      </c>
      <c r="AB41" t="b">
        <f>IF($N41,S41=VLOOKUP(S41,$AG$2:$AL$10,4,FALSE),"")</f>
        <v>1</v>
      </c>
      <c r="AC41" t="b">
        <f>IF($N41,T41=VLOOKUP(T41,$AG$2:$AL$10,4,FALSE),"")</f>
        <v>1</v>
      </c>
      <c r="AD41" t="b">
        <f>IF($N41,U41=VLOOKUP(U41,$AG$2:$AL$10,5,FALSE),"")</f>
        <v>1</v>
      </c>
      <c r="AE41" t="b">
        <f>IF($N41,V41=VLOOKUP(V41,$AG$2:$AL$10,5,FALSE),"")</f>
        <v>1</v>
      </c>
      <c r="AN41" s="55" t="str">
        <f t="shared" si="19"/>
        <v xml:space="preserve">    { wxString::FromUTF8("\x47"), &amp;AllGlyphs[5], &amp;AllGlyphs[40], &amp;AllGlyphs[39], &amp;AllGlyphs[40], Connection::ORTHO_BOTH, Connection::ORTHO_BOTH, Connection::EMPTY, Connection::DIAG_BOTH, 0, 0, 1, 0 },</v>
      </c>
      <c r="AO41" s="56"/>
      <c r="AP41" s="56"/>
      <c r="AQ41" s="56"/>
      <c r="AR41" s="56"/>
      <c r="AS41" s="56"/>
      <c r="AT41" s="56"/>
      <c r="AU41" s="57"/>
      <c r="AW41" s="54" t="str">
        <f t="shared" si="10"/>
        <v>&amp;AllGlyphs[5]</v>
      </c>
      <c r="AX41" s="54" t="str">
        <f t="shared" si="11"/>
        <v>&amp;AllGlyphs[40]</v>
      </c>
      <c r="AY41" s="54" t="str">
        <f t="shared" si="12"/>
        <v>&amp;AllGlyphs[39]</v>
      </c>
      <c r="AZ41" s="54" t="str">
        <f t="shared" si="13"/>
        <v>&amp;AllGlyphs[40]</v>
      </c>
      <c r="BB41" s="64">
        <f t="shared" si="14"/>
        <v>0</v>
      </c>
      <c r="BC41" s="64">
        <f t="shared" si="15"/>
        <v>0</v>
      </c>
      <c r="BD41" s="64">
        <f t="shared" si="16"/>
        <v>1</v>
      </c>
      <c r="BE41" s="64">
        <f t="shared" si="17"/>
        <v>0</v>
      </c>
    </row>
    <row r="42" spans="1:57" x14ac:dyDescent="0.4">
      <c r="A42" s="7" t="s">
        <v>41</v>
      </c>
      <c r="B42" s="6" t="str">
        <f t="shared" si="0"/>
        <v>H</v>
      </c>
      <c r="C42" s="48" cm="1">
        <f t="array" ref="C42">IF($N42,INDEX($O:$O,MATCH(TRUE,EXACT(B42,$A:$A),0)),"")</f>
        <v>40</v>
      </c>
      <c r="D42" s="38" t="s">
        <v>30</v>
      </c>
      <c r="E42" s="48" cm="1">
        <f t="array" ref="E42">IF($N42,INDEX($O:$O,MATCH(TRUE,EXACT(D42,$A:$A),0)),"")</f>
        <v>52</v>
      </c>
      <c r="F42" s="38" t="s">
        <v>40</v>
      </c>
      <c r="G42" s="48" cm="1">
        <f t="array" ref="G42">IF($O42&lt;&gt;"",INDEX($O:$O,MATCH(TRUE,EXACT(F42,$A:$A),0)),"")</f>
        <v>39</v>
      </c>
      <c r="H42" s="38" t="s">
        <v>41</v>
      </c>
      <c r="I42" s="48" cm="1">
        <f t="array" ref="I42">IF($N42,INDEX($O:$O,MATCH(TRUE,EXACT(H42,$A:$A),0)),"")</f>
        <v>40</v>
      </c>
      <c r="J42" s="38" t="s">
        <v>40</v>
      </c>
      <c r="K42" s="52" cm="1">
        <f t="array" ref="K42">IF($N42,INDEX($O:$O,MATCH(TRUE,EXACT(J42,$A:$A),0)),"")</f>
        <v>39</v>
      </c>
      <c r="L42" s="23"/>
      <c r="M42" s="33"/>
      <c r="N42" s="18" t="b">
        <f t="shared" si="3"/>
        <v>1</v>
      </c>
      <c r="O42" s="19">
        <f>IF(N42, MAX(O$2:O41)+1,"")</f>
        <v>40</v>
      </c>
      <c r="P42" s="23" t="str">
        <f t="shared" si="1"/>
        <v>H</v>
      </c>
      <c r="Q42" s="8" t="str" cm="1">
        <f t="array" ref="Q42">CharToUTF8(A42)</f>
        <v>\x48</v>
      </c>
      <c r="S42" s="18" t="str">
        <f>$AG$4</f>
        <v>ORTHO_BOTH</v>
      </c>
      <c r="T42" s="24" t="str">
        <f>$AG$4</f>
        <v>ORTHO_BOTH</v>
      </c>
      <c r="U42" s="24" t="str">
        <f>$AG$3</f>
        <v>DIAG_BOTH</v>
      </c>
      <c r="V42" s="21" t="str">
        <f>$AG$2</f>
        <v>EMPTY</v>
      </c>
      <c r="X42" s="31" t="b">
        <f t="shared" si="5"/>
        <v>0</v>
      </c>
      <c r="Y42" s="31" t="b">
        <f t="shared" si="6"/>
        <v>0</v>
      </c>
      <c r="Z42" t="b">
        <f t="shared" si="7"/>
        <v>1</v>
      </c>
      <c r="AA42" t="b">
        <f t="shared" si="8"/>
        <v>0</v>
      </c>
      <c r="AB42" t="b">
        <f>IF($N42,S42=VLOOKUP(S42,$AG$2:$AL$10,4,FALSE),"")</f>
        <v>1</v>
      </c>
      <c r="AC42" t="b">
        <f>IF($N42,T42=VLOOKUP(T42,$AG$2:$AL$10,4,FALSE),"")</f>
        <v>1</v>
      </c>
      <c r="AD42" t="b">
        <f>IF($N42,U42=VLOOKUP(U42,$AG$2:$AL$10,5,FALSE),"")</f>
        <v>1</v>
      </c>
      <c r="AE42" t="b">
        <f>IF($N42,V42=VLOOKUP(V42,$AG$2:$AL$10,5,FALSE),"")</f>
        <v>1</v>
      </c>
      <c r="AN42" s="55" t="str">
        <f t="shared" si="19"/>
        <v xml:space="preserve">    { wxString::FromUTF8("\x48"), &amp;AllGlyphs[52], &amp;AllGlyphs[39], &amp;AllGlyphs[40], &amp;AllGlyphs[39], Connection::ORTHO_BOTH, Connection::ORTHO_BOTH, Connection::DIAG_BOTH, Connection::EMPTY, 0, 0, 1, 0 },</v>
      </c>
      <c r="AO42" s="56"/>
      <c r="AP42" s="56"/>
      <c r="AQ42" s="56"/>
      <c r="AR42" s="56"/>
      <c r="AS42" s="56"/>
      <c r="AT42" s="56"/>
      <c r="AU42" s="57"/>
      <c r="AW42" s="54" t="str">
        <f t="shared" si="10"/>
        <v>&amp;AllGlyphs[52]</v>
      </c>
      <c r="AX42" s="54" t="str">
        <f t="shared" si="11"/>
        <v>&amp;AllGlyphs[39]</v>
      </c>
      <c r="AY42" s="54" t="str">
        <f t="shared" si="12"/>
        <v>&amp;AllGlyphs[40]</v>
      </c>
      <c r="AZ42" s="54" t="str">
        <f t="shared" si="13"/>
        <v>&amp;AllGlyphs[39]</v>
      </c>
      <c r="BB42" s="64">
        <f t="shared" si="14"/>
        <v>0</v>
      </c>
      <c r="BC42" s="64">
        <f t="shared" si="15"/>
        <v>0</v>
      </c>
      <c r="BD42" s="64">
        <f t="shared" si="16"/>
        <v>1</v>
      </c>
      <c r="BE42" s="64">
        <f t="shared" si="17"/>
        <v>0</v>
      </c>
    </row>
    <row r="43" spans="1:57" x14ac:dyDescent="0.4">
      <c r="A43" s="7" t="s">
        <v>33</v>
      </c>
      <c r="B43" s="6" t="str">
        <f t="shared" si="0"/>
        <v>I</v>
      </c>
      <c r="C43" s="48" cm="1">
        <f t="array" ref="C43">IF($N43,INDEX($O:$O,MATCH(TRUE,EXACT(B43,$A:$A),0)),"")</f>
        <v>41</v>
      </c>
      <c r="D43" s="38" t="s">
        <v>51</v>
      </c>
      <c r="E43" s="48" cm="1">
        <f t="array" ref="E43">IF($N43,INDEX($O:$O,MATCH(TRUE,EXACT(D43,$A:$A),0)),"")</f>
        <v>45</v>
      </c>
      <c r="F43" s="38" t="s">
        <v>58</v>
      </c>
      <c r="G43" s="48" cm="1">
        <f t="array" ref="G43">IF($O43&lt;&gt;"",INDEX($O:$O,MATCH(TRUE,EXACT(F43,$A:$A),0)),"")</f>
        <v>6</v>
      </c>
      <c r="H43" s="38" t="s">
        <v>59</v>
      </c>
      <c r="I43" s="48" cm="1">
        <f t="array" ref="I43">IF($N43,INDEX($O:$O,MATCH(TRUE,EXACT(H43,$A:$A),0)),"")</f>
        <v>10</v>
      </c>
      <c r="J43" s="38" t="s">
        <v>32</v>
      </c>
      <c r="K43" s="52" cm="1">
        <f t="array" ref="K43">IF($N43,INDEX($O:$O,MATCH(TRUE,EXACT(J43,$A:$A),0)),"")</f>
        <v>53</v>
      </c>
      <c r="L43" s="23"/>
      <c r="M43" s="33"/>
      <c r="N43" s="18" t="b">
        <f t="shared" si="3"/>
        <v>1</v>
      </c>
      <c r="O43" s="19">
        <f>IF(N43, MAX(O$2:O42)+1,"")</f>
        <v>41</v>
      </c>
      <c r="P43" s="23" t="str">
        <f t="shared" si="1"/>
        <v>I</v>
      </c>
      <c r="Q43" s="8" t="str" cm="1">
        <f t="array" ref="Q43">CharToUTF8(A43)</f>
        <v>\x49</v>
      </c>
      <c r="S43" s="18" t="str">
        <f>$AG$4</f>
        <v>ORTHO_BOTH</v>
      </c>
      <c r="T43" s="24" t="str">
        <f>$AG$3</f>
        <v>DIAG_BOTH</v>
      </c>
      <c r="U43" s="24" t="str">
        <f>$AG$4</f>
        <v>ORTHO_BOTH</v>
      </c>
      <c r="V43" s="21" t="str">
        <f>$AG$2</f>
        <v>EMPTY</v>
      </c>
      <c r="X43" s="31" t="b">
        <f t="shared" si="5"/>
        <v>0</v>
      </c>
      <c r="Y43" s="31" t="b">
        <f t="shared" si="6"/>
        <v>0</v>
      </c>
      <c r="Z43" t="b">
        <f t="shared" si="7"/>
        <v>0</v>
      </c>
      <c r="AA43" t="b">
        <f t="shared" si="8"/>
        <v>0</v>
      </c>
      <c r="AB43" t="b">
        <f>IF($N43,S43=VLOOKUP(S43,$AG$2:$AL$10,4,FALSE),"")</f>
        <v>1</v>
      </c>
      <c r="AC43" t="b">
        <f>IF($N43,T43=VLOOKUP(T43,$AG$2:$AL$10,4,FALSE),"")</f>
        <v>1</v>
      </c>
      <c r="AD43" t="b">
        <f>IF($N43,U43=VLOOKUP(U43,$AG$2:$AL$10,5,FALSE),"")</f>
        <v>1</v>
      </c>
      <c r="AE43" t="b">
        <f>IF($N43,V43=VLOOKUP(V43,$AG$2:$AL$10,5,FALSE),"")</f>
        <v>1</v>
      </c>
      <c r="AN43" s="55" t="str">
        <f t="shared" si="19"/>
        <v xml:space="preserve">    { wxString::FromUTF8("\x49"), &amp;AllGlyphs[45], &amp;AllGlyphs[6], &amp;AllGlyphs[10], &amp;AllGlyphs[53], Connection::ORTHO_BOTH, Connection::DIAG_BOTH, Connection::ORTHO_BOTH, Connection::EMPTY, 0, 0, 0, 0 },</v>
      </c>
      <c r="AO43" s="56"/>
      <c r="AP43" s="56"/>
      <c r="AQ43" s="56"/>
      <c r="AR43" s="56"/>
      <c r="AS43" s="56"/>
      <c r="AT43" s="56"/>
      <c r="AU43" s="57"/>
      <c r="AW43" s="54" t="str">
        <f t="shared" si="10"/>
        <v>&amp;AllGlyphs[45]</v>
      </c>
      <c r="AX43" s="54" t="str">
        <f t="shared" si="11"/>
        <v>&amp;AllGlyphs[6]</v>
      </c>
      <c r="AY43" s="54" t="str">
        <f t="shared" si="12"/>
        <v>&amp;AllGlyphs[10]</v>
      </c>
      <c r="AZ43" s="54" t="str">
        <f t="shared" si="13"/>
        <v>&amp;AllGlyphs[53]</v>
      </c>
      <c r="BB43" s="64">
        <f t="shared" si="14"/>
        <v>0</v>
      </c>
      <c r="BC43" s="64">
        <f t="shared" si="15"/>
        <v>0</v>
      </c>
      <c r="BD43" s="64">
        <f t="shared" si="16"/>
        <v>0</v>
      </c>
      <c r="BE43" s="64">
        <f t="shared" si="17"/>
        <v>0</v>
      </c>
    </row>
    <row r="44" spans="1:57" x14ac:dyDescent="0.4">
      <c r="A44" s="7" t="s">
        <v>42</v>
      </c>
      <c r="B44" s="6" t="str">
        <f t="shared" si="0"/>
        <v>J</v>
      </c>
      <c r="C44" s="48" cm="1">
        <f t="array" ref="C44">IF($N44,INDEX($O:$O,MATCH(TRUE,EXACT(B44,$A:$A),0)),"")</f>
        <v>42</v>
      </c>
      <c r="D44" s="38" t="s">
        <v>59</v>
      </c>
      <c r="E44" s="48" cm="1">
        <f t="array" ref="E44">IF($N44,INDEX($O:$O,MATCH(TRUE,EXACT(D44,$A:$A),0)),"")</f>
        <v>10</v>
      </c>
      <c r="F44" s="38" t="s">
        <v>165</v>
      </c>
      <c r="G44" s="48" cm="1">
        <f t="array" ref="G44">IF($O44&lt;&gt;"",INDEX($O:$O,MATCH(TRUE,EXACT(F44,$A:$A),0)),"")</f>
        <v>28</v>
      </c>
      <c r="H44" s="38" t="s">
        <v>51</v>
      </c>
      <c r="I44" s="48" cm="1">
        <f t="array" ref="I44">IF($N44,INDEX($O:$O,MATCH(TRUE,EXACT(H44,$A:$A),0)),"")</f>
        <v>45</v>
      </c>
      <c r="J44" s="38" t="s">
        <v>43</v>
      </c>
      <c r="K44" s="52" cm="1">
        <f t="array" ref="K44">IF($N44,INDEX($O:$O,MATCH(TRUE,EXACT(J44,$A:$A),0)),"")</f>
        <v>43</v>
      </c>
      <c r="L44" s="23"/>
      <c r="M44" s="33"/>
      <c r="N44" s="18" t="b">
        <f t="shared" si="3"/>
        <v>1</v>
      </c>
      <c r="O44" s="19">
        <f>IF(N44, MAX(O$2:O43)+1,"")</f>
        <v>42</v>
      </c>
      <c r="P44" s="23" t="str">
        <f t="shared" si="1"/>
        <v>J</v>
      </c>
      <c r="Q44" s="8" t="str" cm="1">
        <f t="array" ref="Q44">CharToUTF8(A44)</f>
        <v>\x4A</v>
      </c>
      <c r="S44" s="18" t="str">
        <f>$AG$2</f>
        <v>EMPTY</v>
      </c>
      <c r="T44" s="24" t="str">
        <f>$AG$4</f>
        <v>ORTHO_BOTH</v>
      </c>
      <c r="U44" s="24" t="str">
        <f>$AG$3</f>
        <v>DIAG_BOTH</v>
      </c>
      <c r="V44" s="21" t="str">
        <f>$AG$4</f>
        <v>ORTHO_BOTH</v>
      </c>
      <c r="X44" s="31" t="b">
        <f t="shared" si="5"/>
        <v>0</v>
      </c>
      <c r="Y44" s="31" t="b">
        <f t="shared" si="6"/>
        <v>0</v>
      </c>
      <c r="Z44" t="b">
        <f t="shared" si="7"/>
        <v>0</v>
      </c>
      <c r="AA44" t="b">
        <f t="shared" si="8"/>
        <v>0</v>
      </c>
      <c r="AB44" t="b">
        <f>IF($N44,S44=VLOOKUP(S44,$AG$2:$AL$10,4,FALSE),"")</f>
        <v>1</v>
      </c>
      <c r="AC44" t="b">
        <f>IF($N44,T44=VLOOKUP(T44,$AG$2:$AL$10,4,FALSE),"")</f>
        <v>1</v>
      </c>
      <c r="AD44" t="b">
        <f>IF($N44,U44=VLOOKUP(U44,$AG$2:$AL$10,5,FALSE),"")</f>
        <v>1</v>
      </c>
      <c r="AE44" t="b">
        <f>IF($N44,V44=VLOOKUP(V44,$AG$2:$AL$10,5,FALSE),"")</f>
        <v>1</v>
      </c>
      <c r="AN44" s="55" t="str">
        <f t="shared" si="19"/>
        <v xml:space="preserve">    { wxString::FromUTF8("\x4A"), &amp;AllGlyphs[10], &amp;AllGlyphs[28], &amp;AllGlyphs[45], &amp;AllGlyphs[43], Connection::EMPTY, Connection::ORTHO_BOTH, Connection::DIAG_BOTH, Connection::ORTHO_BOTH, 0, 0, 0, 0 },</v>
      </c>
      <c r="AO44" s="56"/>
      <c r="AP44" s="56"/>
      <c r="AQ44" s="56"/>
      <c r="AR44" s="56"/>
      <c r="AS44" s="56"/>
      <c r="AT44" s="56"/>
      <c r="AU44" s="57"/>
      <c r="AW44" s="54" t="str">
        <f t="shared" si="10"/>
        <v>&amp;AllGlyphs[10]</v>
      </c>
      <c r="AX44" s="54" t="str">
        <f t="shared" si="11"/>
        <v>&amp;AllGlyphs[28]</v>
      </c>
      <c r="AY44" s="54" t="str">
        <f t="shared" si="12"/>
        <v>&amp;AllGlyphs[45]</v>
      </c>
      <c r="AZ44" s="54" t="str">
        <f t="shared" si="13"/>
        <v>&amp;AllGlyphs[43]</v>
      </c>
      <c r="BB44" s="64">
        <f t="shared" si="14"/>
        <v>0</v>
      </c>
      <c r="BC44" s="64">
        <f t="shared" si="15"/>
        <v>0</v>
      </c>
      <c r="BD44" s="64">
        <f t="shared" si="16"/>
        <v>0</v>
      </c>
      <c r="BE44" s="64">
        <f t="shared" si="17"/>
        <v>0</v>
      </c>
    </row>
    <row r="45" spans="1:57" x14ac:dyDescent="0.4">
      <c r="A45" s="7" t="s">
        <v>43</v>
      </c>
      <c r="B45" s="6" t="str">
        <f t="shared" si="0"/>
        <v>K</v>
      </c>
      <c r="C45" s="48" cm="1">
        <f t="array" ref="C45">IF($N45,INDEX($O:$O,MATCH(TRUE,EXACT(B45,$A:$A),0)),"")</f>
        <v>43</v>
      </c>
      <c r="D45" s="38" t="s">
        <v>33</v>
      </c>
      <c r="E45" s="48" cm="1">
        <f t="array" ref="E45">IF($N45,INDEX($O:$O,MATCH(TRUE,EXACT(D45,$A:$A),0)),"")</f>
        <v>41</v>
      </c>
      <c r="F45" s="38" t="s">
        <v>51</v>
      </c>
      <c r="G45" s="48" cm="1">
        <f t="array" ref="G45">IF($O45&lt;&gt;"",INDEX($O:$O,MATCH(TRUE,EXACT(F45,$A:$A),0)),"")</f>
        <v>45</v>
      </c>
      <c r="H45" s="38" t="s">
        <v>165</v>
      </c>
      <c r="I45" s="48" cm="1">
        <f t="array" ref="I45">IF($N45,INDEX($O:$O,MATCH(TRUE,EXACT(H45,$A:$A),0)),"")</f>
        <v>28</v>
      </c>
      <c r="J45" s="38" t="s">
        <v>42</v>
      </c>
      <c r="K45" s="52" cm="1">
        <f t="array" ref="K45">IF($N45,INDEX($O:$O,MATCH(TRUE,EXACT(J45,$A:$A),0)),"")</f>
        <v>42</v>
      </c>
      <c r="L45" s="23"/>
      <c r="M45" s="33"/>
      <c r="N45" s="18" t="b">
        <f t="shared" si="3"/>
        <v>1</v>
      </c>
      <c r="O45" s="19">
        <f>IF(N45, MAX(O$2:O44)+1,"")</f>
        <v>43</v>
      </c>
      <c r="P45" s="23" t="str">
        <f t="shared" si="1"/>
        <v>K</v>
      </c>
      <c r="Q45" s="8" t="str" cm="1">
        <f t="array" ref="Q45">CharToUTF8(A45)</f>
        <v>\x4B</v>
      </c>
      <c r="S45" s="18" t="str">
        <f>$AG$2</f>
        <v>EMPTY</v>
      </c>
      <c r="T45" s="24" t="str">
        <f>$AG$4</f>
        <v>ORTHO_BOTH</v>
      </c>
      <c r="U45" s="24" t="str">
        <f>$AG$4</f>
        <v>ORTHO_BOTH</v>
      </c>
      <c r="V45" s="21" t="str">
        <f>$AG$3</f>
        <v>DIAG_BOTH</v>
      </c>
      <c r="X45" s="31" t="b">
        <f t="shared" si="5"/>
        <v>0</v>
      </c>
      <c r="Y45" s="31" t="b">
        <f t="shared" si="6"/>
        <v>0</v>
      </c>
      <c r="Z45" t="b">
        <f t="shared" si="7"/>
        <v>0</v>
      </c>
      <c r="AA45" t="b">
        <f t="shared" si="8"/>
        <v>0</v>
      </c>
      <c r="AB45" t="b">
        <f>IF($N45,S45=VLOOKUP(S45,$AG$2:$AL$10,4,FALSE),"")</f>
        <v>1</v>
      </c>
      <c r="AC45" t="b">
        <f>IF($N45,T45=VLOOKUP(T45,$AG$2:$AL$10,4,FALSE),"")</f>
        <v>1</v>
      </c>
      <c r="AD45" t="b">
        <f>IF($N45,U45=VLOOKUP(U45,$AG$2:$AL$10,5,FALSE),"")</f>
        <v>1</v>
      </c>
      <c r="AE45" t="b">
        <f>IF($N45,V45=VLOOKUP(V45,$AG$2:$AL$10,5,FALSE),"")</f>
        <v>1</v>
      </c>
      <c r="AN45" s="55" t="str">
        <f t="shared" si="19"/>
        <v xml:space="preserve">    { wxString::FromUTF8("\x4B"), &amp;AllGlyphs[41], &amp;AllGlyphs[45], &amp;AllGlyphs[28], &amp;AllGlyphs[42], Connection::EMPTY, Connection::ORTHO_BOTH, Connection::ORTHO_BOTH, Connection::DIAG_BOTH, 0, 0, 0, 0 },</v>
      </c>
      <c r="AO45" s="56"/>
      <c r="AP45" s="56"/>
      <c r="AQ45" s="56"/>
      <c r="AR45" s="56"/>
      <c r="AS45" s="56"/>
      <c r="AT45" s="56"/>
      <c r="AU45" s="57"/>
      <c r="AW45" s="54" t="str">
        <f t="shared" si="10"/>
        <v>&amp;AllGlyphs[41]</v>
      </c>
      <c r="AX45" s="54" t="str">
        <f t="shared" si="11"/>
        <v>&amp;AllGlyphs[45]</v>
      </c>
      <c r="AY45" s="54" t="str">
        <f t="shared" si="12"/>
        <v>&amp;AllGlyphs[28]</v>
      </c>
      <c r="AZ45" s="54" t="str">
        <f t="shared" si="13"/>
        <v>&amp;AllGlyphs[42]</v>
      </c>
      <c r="BB45" s="64">
        <f t="shared" si="14"/>
        <v>0</v>
      </c>
      <c r="BC45" s="64">
        <f t="shared" si="15"/>
        <v>0</v>
      </c>
      <c r="BD45" s="64">
        <f t="shared" si="16"/>
        <v>0</v>
      </c>
      <c r="BE45" s="64">
        <f t="shared" si="17"/>
        <v>0</v>
      </c>
    </row>
    <row r="46" spans="1:57" x14ac:dyDescent="0.4">
      <c r="A46" s="7" t="s">
        <v>44</v>
      </c>
      <c r="B46" s="6" t="str">
        <f t="shared" si="0"/>
        <v>L</v>
      </c>
      <c r="C46" s="48" cm="1">
        <f t="array" ref="C46">IF($N46,INDEX($O:$O,MATCH(TRUE,EXACT(B46,$A:$A),0)),"")</f>
        <v>44</v>
      </c>
      <c r="D46" s="38" t="s">
        <v>67</v>
      </c>
      <c r="E46" s="48" cm="1">
        <f t="array" ref="E46">IF($N46,INDEX($O:$O,MATCH(TRUE,EXACT(D46,$A:$A),0)),"")</f>
        <v>26</v>
      </c>
      <c r="F46" s="39" t="s">
        <v>167</v>
      </c>
      <c r="G46" s="48" cm="1">
        <f t="array" ref="G46">IF($O46&lt;&gt;"",INDEX($O:$O,MATCH(TRUE,EXACT(F46,$A:$A),0)),"")</f>
        <v>31</v>
      </c>
      <c r="H46" s="38" t="s">
        <v>166</v>
      </c>
      <c r="I46" s="48" cm="1">
        <f t="array" ref="I46">IF($N46,INDEX($O:$O,MATCH(TRUE,EXACT(H46,$A:$A),0)),"")</f>
        <v>30</v>
      </c>
      <c r="J46" s="38" t="s">
        <v>67</v>
      </c>
      <c r="K46" s="52" cm="1">
        <f t="array" ref="K46">IF($N46,INDEX($O:$O,MATCH(TRUE,EXACT(J46,$A:$A),0)),"")</f>
        <v>26</v>
      </c>
      <c r="L46" s="23"/>
      <c r="M46" s="33"/>
      <c r="N46" s="18" t="b">
        <f t="shared" si="3"/>
        <v>1</v>
      </c>
      <c r="O46" s="19">
        <f>IF(N46, MAX(O$2:O45)+1,"")</f>
        <v>44</v>
      </c>
      <c r="P46" s="23" t="str">
        <f t="shared" si="1"/>
        <v>L</v>
      </c>
      <c r="Q46" s="8" t="str" cm="1">
        <f t="array" ref="Q46">CharToUTF8(A46)</f>
        <v>\x4C</v>
      </c>
      <c r="S46" s="18" t="str">
        <f>$AG$2</f>
        <v>EMPTY</v>
      </c>
      <c r="T46" s="24" t="str">
        <f>$AG$4</f>
        <v>ORTHO_BOTH</v>
      </c>
      <c r="U46" s="24" t="str">
        <f>$AG$2</f>
        <v>EMPTY</v>
      </c>
      <c r="V46" s="21" t="str">
        <f>$AG$4</f>
        <v>ORTHO_BOTH</v>
      </c>
      <c r="X46" s="31" t="b">
        <f t="shared" si="5"/>
        <v>0</v>
      </c>
      <c r="Y46" s="31" t="b">
        <f t="shared" si="6"/>
        <v>0</v>
      </c>
      <c r="Z46" t="b">
        <f t="shared" si="7"/>
        <v>0</v>
      </c>
      <c r="AA46" t="b">
        <f t="shared" si="8"/>
        <v>0</v>
      </c>
      <c r="AB46" t="b">
        <f>IF($N46,S46=VLOOKUP(S46,$AG$2:$AL$10,4,FALSE),"")</f>
        <v>1</v>
      </c>
      <c r="AC46" t="b">
        <f>IF($N46,T46=VLOOKUP(T46,$AG$2:$AL$10,4,FALSE),"")</f>
        <v>1</v>
      </c>
      <c r="AD46" t="b">
        <f>IF($N46,U46=VLOOKUP(U46,$AG$2:$AL$10,5,FALSE),"")</f>
        <v>1</v>
      </c>
      <c r="AE46" t="b">
        <f>IF($N46,V46=VLOOKUP(V46,$AG$2:$AL$10,5,FALSE),"")</f>
        <v>1</v>
      </c>
      <c r="AN46" s="55" t="str">
        <f t="shared" si="19"/>
        <v xml:space="preserve">    { wxString::FromUTF8("\x4C"), &amp;AllGlyphs[26], &amp;AllGlyphs[31], &amp;AllGlyphs[30], &amp;AllGlyphs[26], Connection::EMPTY, Connection::ORTHO_BOTH, Connection::EMPTY, Connection::ORTHO_BOTH, 0, 0, 0, 0 },</v>
      </c>
      <c r="AO46" s="56"/>
      <c r="AP46" s="56"/>
      <c r="AQ46" s="56"/>
      <c r="AR46" s="56"/>
      <c r="AS46" s="56"/>
      <c r="AT46" s="56"/>
      <c r="AU46" s="57"/>
      <c r="AW46" s="54" t="str">
        <f t="shared" si="10"/>
        <v>&amp;AllGlyphs[26]</v>
      </c>
      <c r="AX46" s="54" t="str">
        <f t="shared" si="11"/>
        <v>&amp;AllGlyphs[31]</v>
      </c>
      <c r="AY46" s="54" t="str">
        <f t="shared" si="12"/>
        <v>&amp;AllGlyphs[30]</v>
      </c>
      <c r="AZ46" s="54" t="str">
        <f t="shared" si="13"/>
        <v>&amp;AllGlyphs[26]</v>
      </c>
      <c r="BB46" s="64">
        <f t="shared" si="14"/>
        <v>0</v>
      </c>
      <c r="BC46" s="64">
        <f t="shared" si="15"/>
        <v>0</v>
      </c>
      <c r="BD46" s="64">
        <f t="shared" si="16"/>
        <v>0</v>
      </c>
      <c r="BE46" s="64">
        <f t="shared" si="17"/>
        <v>0</v>
      </c>
    </row>
    <row r="47" spans="1:57" x14ac:dyDescent="0.4">
      <c r="A47" s="7" t="s">
        <v>51</v>
      </c>
      <c r="B47" s="6" t="str">
        <f t="shared" si="0"/>
        <v>M</v>
      </c>
      <c r="C47" s="48" cm="1">
        <f t="array" ref="C47">IF($N47,INDEX($O:$O,MATCH(TRUE,EXACT(B47,$A:$A),0)),"")</f>
        <v>45</v>
      </c>
      <c r="D47" s="38" t="s">
        <v>58</v>
      </c>
      <c r="E47" s="48" cm="1">
        <f t="array" ref="E47">IF($N47,INDEX($O:$O,MATCH(TRUE,EXACT(D47,$A:$A),0)),"")</f>
        <v>6</v>
      </c>
      <c r="F47" s="38" t="s">
        <v>43</v>
      </c>
      <c r="G47" s="48" cm="1">
        <f t="array" ref="G47">IF($O47&lt;&gt;"",INDEX($O:$O,MATCH(TRUE,EXACT(F47,$A:$A),0)),"")</f>
        <v>43</v>
      </c>
      <c r="H47" s="38" t="s">
        <v>42</v>
      </c>
      <c r="I47" s="48" cm="1">
        <f t="array" ref="I47">IF($N47,INDEX($O:$O,MATCH(TRUE,EXACT(H47,$A:$A),0)),"")</f>
        <v>42</v>
      </c>
      <c r="J47" s="38" t="s">
        <v>165</v>
      </c>
      <c r="K47" s="52" cm="1">
        <f t="array" ref="K47">IF($N47,INDEX($O:$O,MATCH(TRUE,EXACT(J47,$A:$A),0)),"")</f>
        <v>28</v>
      </c>
      <c r="L47" s="23"/>
      <c r="M47" s="33"/>
      <c r="N47" s="18" t="b">
        <f t="shared" si="3"/>
        <v>1</v>
      </c>
      <c r="O47" s="19">
        <f>IF(N47, MAX(O$2:O46)+1,"")</f>
        <v>45</v>
      </c>
      <c r="P47" s="23" t="str">
        <f t="shared" si="1"/>
        <v>M</v>
      </c>
      <c r="Q47" s="8" t="str" cm="1">
        <f t="array" ref="Q47">CharToUTF8(A47)</f>
        <v>\x4D</v>
      </c>
      <c r="S47" s="18" t="str">
        <f>$AG$4</f>
        <v>ORTHO_BOTH</v>
      </c>
      <c r="T47" s="24" t="str">
        <f>$AG$2</f>
        <v>EMPTY</v>
      </c>
      <c r="U47" s="24" t="str">
        <f>$AG$3</f>
        <v>DIAG_BOTH</v>
      </c>
      <c r="V47" s="21" t="str">
        <f>$AG$4</f>
        <v>ORTHO_BOTH</v>
      </c>
      <c r="X47" s="31" t="b">
        <f t="shared" si="5"/>
        <v>0</v>
      </c>
      <c r="Y47" s="31" t="b">
        <f t="shared" si="6"/>
        <v>0</v>
      </c>
      <c r="Z47" t="b">
        <f t="shared" si="7"/>
        <v>0</v>
      </c>
      <c r="AA47" t="b">
        <f t="shared" si="8"/>
        <v>0</v>
      </c>
      <c r="AB47" t="b">
        <f>IF($N47,S47=VLOOKUP(S47,$AG$2:$AL$10,4,FALSE),"")</f>
        <v>1</v>
      </c>
      <c r="AC47" t="b">
        <f>IF($N47,T47=VLOOKUP(T47,$AG$2:$AL$10,4,FALSE),"")</f>
        <v>1</v>
      </c>
      <c r="AD47" t="b">
        <f>IF($N47,U47=VLOOKUP(U47,$AG$2:$AL$10,5,FALSE),"")</f>
        <v>1</v>
      </c>
      <c r="AE47" t="b">
        <f>IF($N47,V47=VLOOKUP(V47,$AG$2:$AL$10,5,FALSE),"")</f>
        <v>1</v>
      </c>
      <c r="AN47" s="55" t="str">
        <f t="shared" si="19"/>
        <v xml:space="preserve">    { wxString::FromUTF8("\x4D"), &amp;AllGlyphs[6], &amp;AllGlyphs[43], &amp;AllGlyphs[42], &amp;AllGlyphs[28], Connection::ORTHO_BOTH, Connection::EMPTY, Connection::DIAG_BOTH, Connection::ORTHO_BOTH, 0, 0, 0, 0 },</v>
      </c>
      <c r="AO47" s="56"/>
      <c r="AP47" s="56"/>
      <c r="AQ47" s="56"/>
      <c r="AR47" s="56"/>
      <c r="AS47" s="56"/>
      <c r="AT47" s="56"/>
      <c r="AU47" s="57"/>
      <c r="AW47" s="54" t="str">
        <f t="shared" si="10"/>
        <v>&amp;AllGlyphs[6]</v>
      </c>
      <c r="AX47" s="54" t="str">
        <f t="shared" si="11"/>
        <v>&amp;AllGlyphs[43]</v>
      </c>
      <c r="AY47" s="54" t="str">
        <f t="shared" si="12"/>
        <v>&amp;AllGlyphs[42]</v>
      </c>
      <c r="AZ47" s="54" t="str">
        <f t="shared" si="13"/>
        <v>&amp;AllGlyphs[28]</v>
      </c>
      <c r="BB47" s="64">
        <f t="shared" si="14"/>
        <v>0</v>
      </c>
      <c r="BC47" s="64">
        <f t="shared" si="15"/>
        <v>0</v>
      </c>
      <c r="BD47" s="64">
        <f t="shared" si="16"/>
        <v>0</v>
      </c>
      <c r="BE47" s="64">
        <f t="shared" si="17"/>
        <v>0</v>
      </c>
    </row>
    <row r="48" spans="1:57" x14ac:dyDescent="0.4">
      <c r="A48" s="7" t="s">
        <v>50</v>
      </c>
      <c r="B48" s="6" t="str">
        <f t="shared" si="0"/>
        <v>N</v>
      </c>
      <c r="C48" s="48" cm="1">
        <f t="array" ref="C48">IF($N48,INDEX($O:$O,MATCH(TRUE,EXACT(B48,$A:$A),0)),"")</f>
        <v>46</v>
      </c>
      <c r="D48" s="38" t="s">
        <v>31</v>
      </c>
      <c r="E48" s="48" cm="1">
        <f t="array" ref="E48">IF($N48,INDEX($O:$O,MATCH(TRUE,EXACT(D48,$A:$A),0)),"")</f>
        <v>57</v>
      </c>
      <c r="F48" s="38" t="s">
        <v>49</v>
      </c>
      <c r="G48" s="48" cm="1">
        <f t="array" ref="G48">IF($O48&lt;&gt;"",INDEX($O:$O,MATCH(TRUE,EXACT(F48,$A:$A),0)),"")</f>
        <v>34</v>
      </c>
      <c r="H48" s="38" t="s">
        <v>50</v>
      </c>
      <c r="I48" s="48" cm="1">
        <f t="array" ref="I48">IF($N48,INDEX($O:$O,MATCH(TRUE,EXACT(H48,$A:$A),0)),"")</f>
        <v>46</v>
      </c>
      <c r="J48" s="38" t="s">
        <v>49</v>
      </c>
      <c r="K48" s="52" cm="1">
        <f t="array" ref="K48">IF($N48,INDEX($O:$O,MATCH(TRUE,EXACT(J48,$A:$A),0)),"")</f>
        <v>34</v>
      </c>
      <c r="L48" s="23"/>
      <c r="M48" s="33"/>
      <c r="N48" s="18" t="b">
        <f t="shared" si="3"/>
        <v>1</v>
      </c>
      <c r="O48" s="19">
        <f>IF(N48, MAX(O$2:O47)+1,"")</f>
        <v>46</v>
      </c>
      <c r="P48" s="23" t="str">
        <f t="shared" si="1"/>
        <v>N</v>
      </c>
      <c r="Q48" s="8" t="str" cm="1">
        <f t="array" ref="Q48">CharToUTF8(A48)</f>
        <v>\x4E</v>
      </c>
      <c r="S48" s="18" t="str">
        <f>$AG$4</f>
        <v>ORTHO_BOTH</v>
      </c>
      <c r="T48" s="24" t="str">
        <f>$AG$4</f>
        <v>ORTHO_BOTH</v>
      </c>
      <c r="U48" s="24" t="str">
        <f>$AG$3</f>
        <v>DIAG_BOTH</v>
      </c>
      <c r="V48" s="21" t="str">
        <f>$AG$4</f>
        <v>ORTHO_BOTH</v>
      </c>
      <c r="X48" s="31" t="b">
        <f t="shared" si="5"/>
        <v>0</v>
      </c>
      <c r="Y48" s="31" t="b">
        <f t="shared" si="6"/>
        <v>0</v>
      </c>
      <c r="Z48" t="b">
        <f t="shared" si="7"/>
        <v>1</v>
      </c>
      <c r="AA48" t="b">
        <f t="shared" si="8"/>
        <v>0</v>
      </c>
      <c r="AB48" t="b">
        <f>IF($N48,S48=VLOOKUP(S48,$AG$2:$AL$10,4,FALSE),"")</f>
        <v>1</v>
      </c>
      <c r="AC48" t="b">
        <f>IF($N48,T48=VLOOKUP(T48,$AG$2:$AL$10,4,FALSE),"")</f>
        <v>1</v>
      </c>
      <c r="AD48" t="b">
        <f>IF($N48,U48=VLOOKUP(U48,$AG$2:$AL$10,5,FALSE),"")</f>
        <v>1</v>
      </c>
      <c r="AE48" t="b">
        <f>IF($N48,V48=VLOOKUP(V48,$AG$2:$AL$10,5,FALSE),"")</f>
        <v>1</v>
      </c>
      <c r="AN48" s="55" t="str">
        <f t="shared" si="19"/>
        <v xml:space="preserve">    { wxString::FromUTF8("\x4E"), &amp;AllGlyphs[57], &amp;AllGlyphs[34], &amp;AllGlyphs[46], &amp;AllGlyphs[34], Connection::ORTHO_BOTH, Connection::ORTHO_BOTH, Connection::DIAG_BOTH, Connection::ORTHO_BOTH, 0, 0, 1, 0 },</v>
      </c>
      <c r="AO48" s="56"/>
      <c r="AP48" s="56"/>
      <c r="AQ48" s="56"/>
      <c r="AR48" s="56"/>
      <c r="AS48" s="56"/>
      <c r="AT48" s="56"/>
      <c r="AU48" s="57"/>
      <c r="AW48" s="54" t="str">
        <f t="shared" si="10"/>
        <v>&amp;AllGlyphs[57]</v>
      </c>
      <c r="AX48" s="54" t="str">
        <f t="shared" si="11"/>
        <v>&amp;AllGlyphs[34]</v>
      </c>
      <c r="AY48" s="54" t="str">
        <f t="shared" si="12"/>
        <v>&amp;AllGlyphs[46]</v>
      </c>
      <c r="AZ48" s="54" t="str">
        <f t="shared" si="13"/>
        <v>&amp;AllGlyphs[34]</v>
      </c>
      <c r="BB48" s="64">
        <f t="shared" si="14"/>
        <v>0</v>
      </c>
      <c r="BC48" s="64">
        <f t="shared" si="15"/>
        <v>0</v>
      </c>
      <c r="BD48" s="64">
        <f t="shared" si="16"/>
        <v>1</v>
      </c>
      <c r="BE48" s="64">
        <f t="shared" si="17"/>
        <v>0</v>
      </c>
    </row>
    <row r="49" spans="1:57" x14ac:dyDescent="0.4">
      <c r="A49" s="7" t="s">
        <v>34</v>
      </c>
      <c r="B49" s="6" t="str">
        <f t="shared" si="0"/>
        <v>O</v>
      </c>
      <c r="C49" s="48" cm="1">
        <f t="array" ref="C49">IF($N49,INDEX($O:$O,MATCH(TRUE,EXACT(B49,$A:$A),0)),"")</f>
        <v>47</v>
      </c>
      <c r="D49" s="38" t="s">
        <v>60</v>
      </c>
      <c r="E49" s="48" cm="1">
        <f t="array" ref="E49">IF($N49,INDEX($O:$O,MATCH(TRUE,EXACT(D49,$A:$A),0)),"")</f>
        <v>8</v>
      </c>
      <c r="F49" s="38" t="s">
        <v>61</v>
      </c>
      <c r="G49" s="48" cm="1">
        <f t="array" ref="G49">IF($O49&lt;&gt;"",INDEX($O:$O,MATCH(TRUE,EXACT(F49,$A:$A),0)),"")</f>
        <v>9</v>
      </c>
      <c r="H49" s="38" t="s">
        <v>60</v>
      </c>
      <c r="I49" s="48" cm="1">
        <f t="array" ref="I49">IF($N49,INDEX($O:$O,MATCH(TRUE,EXACT(H49,$A:$A),0)),"")</f>
        <v>8</v>
      </c>
      <c r="J49" s="38" t="s">
        <v>35</v>
      </c>
      <c r="K49" s="52" cm="1">
        <f t="array" ref="K49">IF($N49,INDEX($O:$O,MATCH(TRUE,EXACT(J49,$A:$A),0)),"")</f>
        <v>48</v>
      </c>
      <c r="L49" s="23"/>
      <c r="M49" s="33"/>
      <c r="N49" s="18" t="b">
        <f t="shared" si="3"/>
        <v>1</v>
      </c>
      <c r="O49" s="19">
        <f>IF(N49, MAX(O$2:O48)+1,"")</f>
        <v>47</v>
      </c>
      <c r="P49" s="23" t="str">
        <f t="shared" si="1"/>
        <v>O</v>
      </c>
      <c r="Q49" s="8" t="str" cm="1">
        <f t="array" ref="Q49">CharToUTF8(A49)</f>
        <v>\x4F</v>
      </c>
      <c r="S49" s="18" t="str">
        <f>$AG$4</f>
        <v>ORTHO_BOTH</v>
      </c>
      <c r="T49" s="24" t="str">
        <f>$AG$2</f>
        <v>EMPTY</v>
      </c>
      <c r="U49" s="24" t="str">
        <f>$AG$2</f>
        <v>EMPTY</v>
      </c>
      <c r="V49" s="21" t="str">
        <f>$AG$4</f>
        <v>ORTHO_BOTH</v>
      </c>
      <c r="X49" s="31" t="b">
        <f t="shared" si="5"/>
        <v>0</v>
      </c>
      <c r="Y49" s="31" t="b">
        <f t="shared" si="6"/>
        <v>0</v>
      </c>
      <c r="Z49" t="b">
        <f t="shared" si="7"/>
        <v>0</v>
      </c>
      <c r="AA49" t="b">
        <f t="shared" si="8"/>
        <v>0</v>
      </c>
      <c r="AB49" t="b">
        <f>IF($N49,S49=VLOOKUP(S49,$AG$2:$AL$10,4,FALSE),"")</f>
        <v>1</v>
      </c>
      <c r="AC49" t="b">
        <f>IF($N49,T49=VLOOKUP(T49,$AG$2:$AL$10,4,FALSE),"")</f>
        <v>1</v>
      </c>
      <c r="AD49" t="b">
        <f>IF($N49,U49=VLOOKUP(U49,$AG$2:$AL$10,5,FALSE),"")</f>
        <v>1</v>
      </c>
      <c r="AE49" t="b">
        <f>IF($N49,V49=VLOOKUP(V49,$AG$2:$AL$10,5,FALSE),"")</f>
        <v>1</v>
      </c>
      <c r="AN49" s="55" t="str">
        <f t="shared" si="19"/>
        <v xml:space="preserve">    { wxString::FromUTF8("\x4F"), &amp;AllGlyphs[8], &amp;AllGlyphs[9], &amp;AllGlyphs[8], &amp;AllGlyphs[48], Connection::ORTHO_BOTH, Connection::EMPTY, Connection::EMPTY, Connection::ORTHO_BOTH, 0, 0, 0, 0 },</v>
      </c>
      <c r="AO49" s="56"/>
      <c r="AP49" s="56"/>
      <c r="AQ49" s="56"/>
      <c r="AR49" s="56"/>
      <c r="AS49" s="56"/>
      <c r="AT49" s="56"/>
      <c r="AU49" s="57"/>
      <c r="AW49" s="54" t="str">
        <f t="shared" si="10"/>
        <v>&amp;AllGlyphs[8]</v>
      </c>
      <c r="AX49" s="54" t="str">
        <f t="shared" si="11"/>
        <v>&amp;AllGlyphs[9]</v>
      </c>
      <c r="AY49" s="54" t="str">
        <f t="shared" si="12"/>
        <v>&amp;AllGlyphs[8]</v>
      </c>
      <c r="AZ49" s="54" t="str">
        <f t="shared" si="13"/>
        <v>&amp;AllGlyphs[48]</v>
      </c>
      <c r="BB49" s="64">
        <f t="shared" si="14"/>
        <v>0</v>
      </c>
      <c r="BC49" s="64">
        <f t="shared" si="15"/>
        <v>0</v>
      </c>
      <c r="BD49" s="64">
        <f t="shared" si="16"/>
        <v>0</v>
      </c>
      <c r="BE49" s="64">
        <f t="shared" si="17"/>
        <v>0</v>
      </c>
    </row>
    <row r="50" spans="1:57" x14ac:dyDescent="0.4">
      <c r="A50" s="7" t="s">
        <v>35</v>
      </c>
      <c r="B50" s="6" t="str">
        <f t="shared" si="0"/>
        <v>P</v>
      </c>
      <c r="C50" s="48" cm="1">
        <f t="array" ref="C50">IF($N50,INDEX($O:$O,MATCH(TRUE,EXACT(B50,$A:$A),0)),"")</f>
        <v>48</v>
      </c>
      <c r="D50" s="38" t="s">
        <v>34</v>
      </c>
      <c r="E50" s="48" cm="1">
        <f t="array" ref="E50">IF($N50,INDEX($O:$O,MATCH(TRUE,EXACT(D50,$A:$A),0)),"")</f>
        <v>47</v>
      </c>
      <c r="F50" s="38" t="s">
        <v>60</v>
      </c>
      <c r="G50" s="48" cm="1">
        <f t="array" ref="G50">IF($O50&lt;&gt;"",INDEX($O:$O,MATCH(TRUE,EXACT(F50,$A:$A),0)),"")</f>
        <v>8</v>
      </c>
      <c r="H50" s="38" t="s">
        <v>61</v>
      </c>
      <c r="I50" s="48" cm="1">
        <f t="array" ref="I50">IF($N50,INDEX($O:$O,MATCH(TRUE,EXACT(H50,$A:$A),0)),"")</f>
        <v>9</v>
      </c>
      <c r="J50" s="38" t="s">
        <v>34</v>
      </c>
      <c r="K50" s="52" cm="1">
        <f t="array" ref="K50">IF($N50,INDEX($O:$O,MATCH(TRUE,EXACT(J50,$A:$A),0)),"")</f>
        <v>47</v>
      </c>
      <c r="L50" s="23"/>
      <c r="M50" s="33"/>
      <c r="N50" s="18" t="b">
        <f t="shared" si="3"/>
        <v>1</v>
      </c>
      <c r="O50" s="19">
        <f>IF(N50, MAX(O$2:O49)+1,"")</f>
        <v>48</v>
      </c>
      <c r="P50" s="23" t="str">
        <f t="shared" si="1"/>
        <v>P</v>
      </c>
      <c r="Q50" s="8" t="str" cm="1">
        <f t="array" ref="Q50">CharToUTF8(A50)</f>
        <v>\x50</v>
      </c>
      <c r="S50" s="18" t="str">
        <f>$AG$4</f>
        <v>ORTHO_BOTH</v>
      </c>
      <c r="T50" s="24" t="str">
        <f>$AG$2</f>
        <v>EMPTY</v>
      </c>
      <c r="U50" s="24" t="str">
        <f>$AG$4</f>
        <v>ORTHO_BOTH</v>
      </c>
      <c r="V50" s="21" t="str">
        <f>$AG$2</f>
        <v>EMPTY</v>
      </c>
      <c r="X50" s="31" t="b">
        <f t="shared" si="5"/>
        <v>0</v>
      </c>
      <c r="Y50" s="31" t="b">
        <f t="shared" si="6"/>
        <v>0</v>
      </c>
      <c r="Z50" t="b">
        <f t="shared" si="7"/>
        <v>0</v>
      </c>
      <c r="AA50" t="b">
        <f t="shared" si="8"/>
        <v>0</v>
      </c>
      <c r="AB50" t="b">
        <f>IF($N50,S50=VLOOKUP(S50,$AG$2:$AL$10,4,FALSE),"")</f>
        <v>1</v>
      </c>
      <c r="AC50" t="b">
        <f>IF($N50,T50=VLOOKUP(T50,$AG$2:$AL$10,4,FALSE),"")</f>
        <v>1</v>
      </c>
      <c r="AD50" t="b">
        <f>IF($N50,U50=VLOOKUP(U50,$AG$2:$AL$10,5,FALSE),"")</f>
        <v>1</v>
      </c>
      <c r="AE50" t="b">
        <f>IF($N50,V50=VLOOKUP(V50,$AG$2:$AL$10,5,FALSE),"")</f>
        <v>1</v>
      </c>
      <c r="AN50" s="55" t="str">
        <f t="shared" si="19"/>
        <v xml:space="preserve">    { wxString::FromUTF8("\x50"), &amp;AllGlyphs[47], &amp;AllGlyphs[8], &amp;AllGlyphs[9], &amp;AllGlyphs[47], Connection::ORTHO_BOTH, Connection::EMPTY, Connection::ORTHO_BOTH, Connection::EMPTY, 0, 0, 0, 0 },</v>
      </c>
      <c r="AO50" s="56"/>
      <c r="AP50" s="56"/>
      <c r="AQ50" s="56"/>
      <c r="AR50" s="56"/>
      <c r="AS50" s="56"/>
      <c r="AT50" s="56"/>
      <c r="AU50" s="57"/>
      <c r="AW50" s="54" t="str">
        <f t="shared" si="10"/>
        <v>&amp;AllGlyphs[47]</v>
      </c>
      <c r="AX50" s="54" t="str">
        <f t="shared" si="11"/>
        <v>&amp;AllGlyphs[8]</v>
      </c>
      <c r="AY50" s="54" t="str">
        <f t="shared" si="12"/>
        <v>&amp;AllGlyphs[9]</v>
      </c>
      <c r="AZ50" s="54" t="str">
        <f t="shared" si="13"/>
        <v>&amp;AllGlyphs[47]</v>
      </c>
      <c r="BB50" s="64">
        <f t="shared" si="14"/>
        <v>0</v>
      </c>
      <c r="BC50" s="64">
        <f t="shared" si="15"/>
        <v>0</v>
      </c>
      <c r="BD50" s="64">
        <f t="shared" si="16"/>
        <v>0</v>
      </c>
      <c r="BE50" s="64">
        <f t="shared" si="17"/>
        <v>0</v>
      </c>
    </row>
    <row r="51" spans="1:57" x14ac:dyDescent="0.4">
      <c r="A51" s="7" t="s">
        <v>26</v>
      </c>
      <c r="B51" s="6" t="str">
        <f t="shared" si="0"/>
        <v>Q</v>
      </c>
      <c r="C51" s="48" cm="1">
        <f t="array" ref="C51">IF($N51,INDEX($O:$O,MATCH(TRUE,EXACT(B51,$A:$A),0)),"")</f>
        <v>49</v>
      </c>
      <c r="D51" s="38" t="s">
        <v>28</v>
      </c>
      <c r="E51" s="48" cm="1">
        <f t="array" ref="E51">IF($N51,INDEX($O:$O,MATCH(TRUE,EXACT(D51,$A:$A),0)),"")</f>
        <v>37</v>
      </c>
      <c r="F51" s="38" t="s">
        <v>47</v>
      </c>
      <c r="G51" s="48" cm="1">
        <f t="array" ref="G51">IF($O51&lt;&gt;"",INDEX($O:$O,MATCH(TRUE,EXACT(F51,$A:$A),0)),"")</f>
        <v>35</v>
      </c>
      <c r="H51" s="38" t="s">
        <v>45</v>
      </c>
      <c r="I51" s="48" cm="1">
        <f t="array" ref="I51">IF($N51,INDEX($O:$O,MATCH(TRUE,EXACT(H51,$A:$A),0)),"")</f>
        <v>58</v>
      </c>
      <c r="J51" s="38" t="s">
        <v>28</v>
      </c>
      <c r="K51" s="52" cm="1">
        <f t="array" ref="K51">IF($N51,INDEX($O:$O,MATCH(TRUE,EXACT(J51,$A:$A),0)),"")</f>
        <v>37</v>
      </c>
      <c r="L51" s="23"/>
      <c r="M51" s="33"/>
      <c r="N51" s="18" t="b">
        <f t="shared" si="3"/>
        <v>1</v>
      </c>
      <c r="O51" s="19">
        <f>IF(N51, MAX(O$2:O50)+1,"")</f>
        <v>49</v>
      </c>
      <c r="P51" s="23" t="str">
        <f t="shared" si="1"/>
        <v>Q</v>
      </c>
      <c r="Q51" s="8" t="str" cm="1">
        <f t="array" ref="Q51">CharToUTF8(A51)</f>
        <v>\x51</v>
      </c>
      <c r="S51" s="18" t="str">
        <f>$AG$2</f>
        <v>EMPTY</v>
      </c>
      <c r="T51" s="24" t="str">
        <f>$AG$4</f>
        <v>ORTHO_BOTH</v>
      </c>
      <c r="U51" s="24" t="str">
        <f>$AG$2</f>
        <v>EMPTY</v>
      </c>
      <c r="V51" s="21" t="str">
        <f>$AG$4</f>
        <v>ORTHO_BOTH</v>
      </c>
      <c r="X51" s="31" t="b">
        <f t="shared" si="5"/>
        <v>0</v>
      </c>
      <c r="Y51" s="31" t="b">
        <f t="shared" si="6"/>
        <v>0</v>
      </c>
      <c r="Z51" t="b">
        <f t="shared" si="7"/>
        <v>0</v>
      </c>
      <c r="AA51" t="b">
        <f t="shared" si="8"/>
        <v>0</v>
      </c>
      <c r="AB51" t="b">
        <f>IF($N51,S51=VLOOKUP(S51,$AG$2:$AL$10,4,FALSE),"")</f>
        <v>1</v>
      </c>
      <c r="AC51" t="b">
        <f>IF($N51,T51=VLOOKUP(T51,$AG$2:$AL$10,4,FALSE),"")</f>
        <v>1</v>
      </c>
      <c r="AD51" t="b">
        <f>IF($N51,U51=VLOOKUP(U51,$AG$2:$AL$10,5,FALSE),"")</f>
        <v>1</v>
      </c>
      <c r="AE51" t="b">
        <f>IF($N51,V51=VLOOKUP(V51,$AG$2:$AL$10,5,FALSE),"")</f>
        <v>1</v>
      </c>
      <c r="AN51" s="55" t="str">
        <f t="shared" si="19"/>
        <v xml:space="preserve">    { wxString::FromUTF8("\x51"), &amp;AllGlyphs[37], &amp;AllGlyphs[35], &amp;AllGlyphs[58], &amp;AllGlyphs[37], Connection::EMPTY, Connection::ORTHO_BOTH, Connection::EMPTY, Connection::ORTHO_BOTH, 0, 0, 0, 0 },</v>
      </c>
      <c r="AO51" s="56"/>
      <c r="AP51" s="56"/>
      <c r="AQ51" s="56"/>
      <c r="AR51" s="56"/>
      <c r="AS51" s="56"/>
      <c r="AT51" s="56"/>
      <c r="AU51" s="57"/>
      <c r="AW51" s="54" t="str">
        <f t="shared" si="10"/>
        <v>&amp;AllGlyphs[37]</v>
      </c>
      <c r="AX51" s="54" t="str">
        <f t="shared" si="11"/>
        <v>&amp;AllGlyphs[35]</v>
      </c>
      <c r="AY51" s="54" t="str">
        <f t="shared" si="12"/>
        <v>&amp;AllGlyphs[58]</v>
      </c>
      <c r="AZ51" s="54" t="str">
        <f t="shared" si="13"/>
        <v>&amp;AllGlyphs[37]</v>
      </c>
      <c r="BB51" s="64">
        <f t="shared" si="14"/>
        <v>0</v>
      </c>
      <c r="BC51" s="64">
        <f t="shared" si="15"/>
        <v>0</v>
      </c>
      <c r="BD51" s="64">
        <f t="shared" si="16"/>
        <v>0</v>
      </c>
      <c r="BE51" s="64">
        <f t="shared" si="17"/>
        <v>0</v>
      </c>
    </row>
    <row r="52" spans="1:57" x14ac:dyDescent="0.4">
      <c r="A52" s="7" t="s">
        <v>29</v>
      </c>
      <c r="B52" s="6" t="str">
        <f t="shared" si="0"/>
        <v>R</v>
      </c>
      <c r="C52" s="48" cm="1">
        <f t="array" ref="C52">IF($N52,INDEX($O:$O,MATCH(TRUE,EXACT(B52,$A:$A),0)),"")</f>
        <v>50</v>
      </c>
      <c r="D52" s="38" t="s">
        <v>39</v>
      </c>
      <c r="E52" s="48" cm="1">
        <f t="array" ref="E52">IF($N52,INDEX($O:$O,MATCH(TRUE,EXACT(D52,$A:$A),0)),"")</f>
        <v>38</v>
      </c>
      <c r="F52" s="38" t="s">
        <v>55</v>
      </c>
      <c r="G52" s="48" cm="1">
        <f t="array" ref="G52">IF($O52&lt;&gt;"",INDEX($O:$O,MATCH(TRUE,EXACT(F52,$A:$A),0)),"")</f>
        <v>4</v>
      </c>
      <c r="H52" s="38" t="s">
        <v>55</v>
      </c>
      <c r="I52" s="48" cm="1">
        <f t="array" ref="I52">IF($N52,INDEX($O:$O,MATCH(TRUE,EXACT(H52,$A:$A),0)),"")</f>
        <v>4</v>
      </c>
      <c r="J52" s="38" t="s">
        <v>29</v>
      </c>
      <c r="K52" s="52" cm="1">
        <f t="array" ref="K52">IF($N52,INDEX($O:$O,MATCH(TRUE,EXACT(J52,$A:$A),0)),"")</f>
        <v>50</v>
      </c>
      <c r="L52" s="23"/>
      <c r="M52" s="33"/>
      <c r="N52" s="18" t="b">
        <f t="shared" si="3"/>
        <v>1</v>
      </c>
      <c r="O52" s="19">
        <f>IF(N52, MAX(O$2:O51)+1,"")</f>
        <v>50</v>
      </c>
      <c r="P52" s="23" t="str">
        <f t="shared" si="1"/>
        <v>R</v>
      </c>
      <c r="Q52" s="8" t="str" cm="1">
        <f t="array" ref="Q52">CharToUTF8(A52)</f>
        <v>\x52</v>
      </c>
      <c r="S52" s="18" t="str">
        <f>$AG$4</f>
        <v>ORTHO_BOTH</v>
      </c>
      <c r="T52" s="24" t="str">
        <f>$AG$2</f>
        <v>EMPTY</v>
      </c>
      <c r="U52" s="24" t="str">
        <f>$AG$2</f>
        <v>EMPTY</v>
      </c>
      <c r="V52" s="21" t="str">
        <f>$AG$2</f>
        <v>EMPTY</v>
      </c>
      <c r="X52" s="31" t="b">
        <f t="shared" si="5"/>
        <v>0</v>
      </c>
      <c r="Y52" s="31" t="b">
        <f t="shared" si="6"/>
        <v>0</v>
      </c>
      <c r="Z52" t="b">
        <f t="shared" si="7"/>
        <v>0</v>
      </c>
      <c r="AA52" t="b">
        <f t="shared" si="8"/>
        <v>1</v>
      </c>
      <c r="AB52" t="b">
        <f>IF($N52,S52=VLOOKUP(S52,$AG$2:$AL$10,4,FALSE),"")</f>
        <v>1</v>
      </c>
      <c r="AC52" t="b">
        <f>IF($N52,T52=VLOOKUP(T52,$AG$2:$AL$10,4,FALSE),"")</f>
        <v>1</v>
      </c>
      <c r="AD52" t="b">
        <f>IF($N52,U52=VLOOKUP(U52,$AG$2:$AL$10,5,FALSE),"")</f>
        <v>1</v>
      </c>
      <c r="AE52" t="b">
        <f>IF($N52,V52=VLOOKUP(V52,$AG$2:$AL$10,5,FALSE),"")</f>
        <v>1</v>
      </c>
      <c r="AN52" s="55" t="str">
        <f t="shared" si="19"/>
        <v xml:space="preserve">    { wxString::FromUTF8("\x52"), &amp;AllGlyphs[38], &amp;AllGlyphs[4], &amp;AllGlyphs[4], &amp;AllGlyphs[50], Connection::ORTHO_BOTH, Connection::EMPTY, Connection::EMPTY, Connection::EMPTY, 0, 0, 0, 1 },</v>
      </c>
      <c r="AO52" s="56"/>
      <c r="AP52" s="56"/>
      <c r="AQ52" s="56"/>
      <c r="AR52" s="56"/>
      <c r="AS52" s="56"/>
      <c r="AT52" s="56"/>
      <c r="AU52" s="57"/>
      <c r="AW52" s="54" t="str">
        <f t="shared" si="10"/>
        <v>&amp;AllGlyphs[38]</v>
      </c>
      <c r="AX52" s="54" t="str">
        <f t="shared" si="11"/>
        <v>&amp;AllGlyphs[4]</v>
      </c>
      <c r="AY52" s="54" t="str">
        <f t="shared" si="12"/>
        <v>&amp;AllGlyphs[4]</v>
      </c>
      <c r="AZ52" s="54" t="str">
        <f t="shared" si="13"/>
        <v>&amp;AllGlyphs[50]</v>
      </c>
      <c r="BB52" s="64">
        <f t="shared" si="14"/>
        <v>0</v>
      </c>
      <c r="BC52" s="64">
        <f t="shared" si="15"/>
        <v>0</v>
      </c>
      <c r="BD52" s="64">
        <f t="shared" si="16"/>
        <v>0</v>
      </c>
      <c r="BE52" s="64">
        <f t="shared" si="17"/>
        <v>1</v>
      </c>
    </row>
    <row r="53" spans="1:57" x14ac:dyDescent="0.4">
      <c r="A53" s="7" t="s">
        <v>37</v>
      </c>
      <c r="B53" s="6" t="str">
        <f t="shared" si="0"/>
        <v>S</v>
      </c>
      <c r="C53" s="48" cm="1">
        <f t="array" ref="C53">IF($N53,INDEX($O:$O,MATCH(TRUE,EXACT(B53,$A:$A),0)),"")</f>
        <v>51</v>
      </c>
      <c r="D53" s="38" t="s">
        <v>37</v>
      </c>
      <c r="E53" s="48" cm="1">
        <f t="array" ref="E53">IF($N53,INDEX($O:$O,MATCH(TRUE,EXACT(D53,$A:$A),0)),"")</f>
        <v>51</v>
      </c>
      <c r="F53" s="38" t="s">
        <v>37</v>
      </c>
      <c r="G53" s="48" cm="1">
        <f t="array" ref="G53">IF($O53&lt;&gt;"",INDEX($O:$O,MATCH(TRUE,EXACT(F53,$A:$A),0)),"")</f>
        <v>51</v>
      </c>
      <c r="H53" s="38" t="s">
        <v>37</v>
      </c>
      <c r="I53" s="48" cm="1">
        <f t="array" ref="I53">IF($N53,INDEX($O:$O,MATCH(TRUE,EXACT(H53,$A:$A),0)),"")</f>
        <v>51</v>
      </c>
      <c r="J53" s="38" t="s">
        <v>37</v>
      </c>
      <c r="K53" s="52" cm="1">
        <f t="array" ref="K53">IF($N53,INDEX($O:$O,MATCH(TRUE,EXACT(J53,$A:$A),0)),"")</f>
        <v>51</v>
      </c>
      <c r="L53" s="23"/>
      <c r="M53" s="33"/>
      <c r="N53" s="18" t="b">
        <f t="shared" si="3"/>
        <v>1</v>
      </c>
      <c r="O53" s="19">
        <f>IF(N53, MAX(O$2:O52)+1,"")</f>
        <v>51</v>
      </c>
      <c r="P53" s="23" t="str">
        <f t="shared" si="1"/>
        <v>S</v>
      </c>
      <c r="Q53" s="8" t="str" cm="1">
        <f t="array" ref="Q53">CharToUTF8(A53)</f>
        <v>\x53</v>
      </c>
      <c r="S53" s="18" t="str">
        <f>$AG$4</f>
        <v>ORTHO_BOTH</v>
      </c>
      <c r="T53" s="24" t="str">
        <f>$AG$4</f>
        <v>ORTHO_BOTH</v>
      </c>
      <c r="U53" s="24" t="str">
        <f>$AG$4</f>
        <v>ORTHO_BOTH</v>
      </c>
      <c r="V53" s="21" t="str">
        <f>$AG$4</f>
        <v>ORTHO_BOTH</v>
      </c>
      <c r="X53" s="31" t="b">
        <f t="shared" si="5"/>
        <v>1</v>
      </c>
      <c r="Y53" s="31" t="b">
        <f t="shared" si="6"/>
        <v>1</v>
      </c>
      <c r="Z53" t="b">
        <f t="shared" si="7"/>
        <v>1</v>
      </c>
      <c r="AA53" t="b">
        <f t="shared" si="8"/>
        <v>1</v>
      </c>
      <c r="AB53" t="b">
        <f>IF($N53,S53=VLOOKUP(S53,$AG$2:$AL$10,4,FALSE),"")</f>
        <v>1</v>
      </c>
      <c r="AC53" t="b">
        <f>IF($N53,T53=VLOOKUP(T53,$AG$2:$AL$10,4,FALSE),"")</f>
        <v>1</v>
      </c>
      <c r="AD53" t="b">
        <f>IF($N53,U53=VLOOKUP(U53,$AG$2:$AL$10,5,FALSE),"")</f>
        <v>1</v>
      </c>
      <c r="AE53" t="b">
        <f>IF($N53,V53=VLOOKUP(V53,$AG$2:$AL$10,5,FALSE),"")</f>
        <v>1</v>
      </c>
      <c r="AN53" s="55" t="str">
        <f t="shared" si="19"/>
        <v xml:space="preserve">    { wxString::FromUTF8("\x53"), &amp;AllGlyphs[51], &amp;AllGlyphs[51], &amp;AllGlyphs[51], &amp;AllGlyphs[51], Connection::ORTHO_BOTH, Connection::ORTHO_BOTH, Connection::ORTHO_BOTH, Connection::ORTHO_BOTH, 1, 1, 1, 1 },</v>
      </c>
      <c r="AO53" s="56"/>
      <c r="AP53" s="56"/>
      <c r="AQ53" s="56"/>
      <c r="AR53" s="56"/>
      <c r="AS53" s="56"/>
      <c r="AT53" s="56"/>
      <c r="AU53" s="57"/>
      <c r="AW53" s="54" t="str">
        <f t="shared" si="10"/>
        <v>&amp;AllGlyphs[51]</v>
      </c>
      <c r="AX53" s="54" t="str">
        <f t="shared" si="11"/>
        <v>&amp;AllGlyphs[51]</v>
      </c>
      <c r="AY53" s="54" t="str">
        <f t="shared" si="12"/>
        <v>&amp;AllGlyphs[51]</v>
      </c>
      <c r="AZ53" s="54" t="str">
        <f t="shared" si="13"/>
        <v>&amp;AllGlyphs[51]</v>
      </c>
      <c r="BB53" s="64">
        <f t="shared" si="14"/>
        <v>1</v>
      </c>
      <c r="BC53" s="64">
        <f t="shared" si="15"/>
        <v>1</v>
      </c>
      <c r="BD53" s="64">
        <f t="shared" si="16"/>
        <v>1</v>
      </c>
      <c r="BE53" s="64">
        <f t="shared" si="17"/>
        <v>1</v>
      </c>
    </row>
    <row r="54" spans="1:57" x14ac:dyDescent="0.4">
      <c r="A54" s="7" t="s">
        <v>30</v>
      </c>
      <c r="B54" s="6" t="str">
        <f t="shared" si="0"/>
        <v>T</v>
      </c>
      <c r="C54" s="48" cm="1">
        <f t="array" ref="C54">IF($N54,INDEX($O:$O,MATCH(TRUE,EXACT(B54,$A:$A),0)),"")</f>
        <v>52</v>
      </c>
      <c r="D54" s="38" t="s">
        <v>40</v>
      </c>
      <c r="E54" s="48" cm="1">
        <f t="array" ref="E54">IF($N54,INDEX($O:$O,MATCH(TRUE,EXACT(D54,$A:$A),0)),"")</f>
        <v>39</v>
      </c>
      <c r="F54" s="38" t="s">
        <v>56</v>
      </c>
      <c r="G54" s="48" cm="1">
        <f t="array" ref="G54">IF($O54&lt;&gt;"",INDEX($O:$O,MATCH(TRUE,EXACT(F54,$A:$A),0)),"")</f>
        <v>5</v>
      </c>
      <c r="H54" s="38" t="s">
        <v>56</v>
      </c>
      <c r="I54" s="48" cm="1">
        <f t="array" ref="I54">IF($N54,INDEX($O:$O,MATCH(TRUE,EXACT(H54,$A:$A),0)),"")</f>
        <v>5</v>
      </c>
      <c r="J54" s="38" t="s">
        <v>30</v>
      </c>
      <c r="K54" s="52" cm="1">
        <f t="array" ref="K54">IF($N54,INDEX($O:$O,MATCH(TRUE,EXACT(J54,$A:$A),0)),"")</f>
        <v>52</v>
      </c>
      <c r="L54" s="23"/>
      <c r="M54" s="33"/>
      <c r="N54" s="18" t="b">
        <f t="shared" si="3"/>
        <v>1</v>
      </c>
      <c r="O54" s="19">
        <f>IF(N54, MAX(O$2:O53)+1,"")</f>
        <v>52</v>
      </c>
      <c r="P54" s="23" t="str">
        <f t="shared" si="1"/>
        <v>T</v>
      </c>
      <c r="Q54" s="8" t="str" cm="1">
        <f t="array" ref="Q54">CharToUTF8(A54)</f>
        <v>\x54</v>
      </c>
      <c r="S54" s="18" t="str">
        <f>$AG$3</f>
        <v>DIAG_BOTH</v>
      </c>
      <c r="T54" s="24" t="str">
        <f>$AG$2</f>
        <v>EMPTY</v>
      </c>
      <c r="U54" s="24" t="str">
        <f>$AG$4</f>
        <v>ORTHO_BOTH</v>
      </c>
      <c r="V54" s="21" t="str">
        <f>$AG$4</f>
        <v>ORTHO_BOTH</v>
      </c>
      <c r="X54" s="31" t="b">
        <f t="shared" si="5"/>
        <v>0</v>
      </c>
      <c r="Y54" s="31" t="b">
        <f t="shared" si="6"/>
        <v>0</v>
      </c>
      <c r="Z54" t="b">
        <f t="shared" si="7"/>
        <v>0</v>
      </c>
      <c r="AA54" t="b">
        <f t="shared" si="8"/>
        <v>1</v>
      </c>
      <c r="AB54" t="b">
        <f>IF($N54,S54=VLOOKUP(S54,$AG$2:$AL$10,4,FALSE),"")</f>
        <v>1</v>
      </c>
      <c r="AC54" t="b">
        <f>IF($N54,T54=VLOOKUP(T54,$AG$2:$AL$10,4,FALSE),"")</f>
        <v>1</v>
      </c>
      <c r="AD54" t="b">
        <f>IF($N54,U54=VLOOKUP(U54,$AG$2:$AL$10,5,FALSE),"")</f>
        <v>1</v>
      </c>
      <c r="AE54" t="b">
        <f>IF($N54,V54=VLOOKUP(V54,$AG$2:$AL$10,5,FALSE),"")</f>
        <v>1</v>
      </c>
      <c r="AN54" s="55" t="str">
        <f t="shared" si="19"/>
        <v xml:space="preserve">    { wxString::FromUTF8("\x54"), &amp;AllGlyphs[39], &amp;AllGlyphs[5], &amp;AllGlyphs[5], &amp;AllGlyphs[52], Connection::DIAG_BOTH, Connection::EMPTY, Connection::ORTHO_BOTH, Connection::ORTHO_BOTH, 0, 0, 0, 1 },</v>
      </c>
      <c r="AO54" s="56"/>
      <c r="AP54" s="56"/>
      <c r="AQ54" s="56"/>
      <c r="AR54" s="56"/>
      <c r="AS54" s="56"/>
      <c r="AT54" s="56"/>
      <c r="AU54" s="57"/>
      <c r="AW54" s="54" t="str">
        <f t="shared" si="10"/>
        <v>&amp;AllGlyphs[39]</v>
      </c>
      <c r="AX54" s="54" t="str">
        <f t="shared" si="11"/>
        <v>&amp;AllGlyphs[5]</v>
      </c>
      <c r="AY54" s="54" t="str">
        <f t="shared" si="12"/>
        <v>&amp;AllGlyphs[5]</v>
      </c>
      <c r="AZ54" s="54" t="str">
        <f t="shared" si="13"/>
        <v>&amp;AllGlyphs[52]</v>
      </c>
      <c r="BB54" s="64">
        <f t="shared" si="14"/>
        <v>0</v>
      </c>
      <c r="BC54" s="64">
        <f t="shared" si="15"/>
        <v>0</v>
      </c>
      <c r="BD54" s="64">
        <f t="shared" si="16"/>
        <v>0</v>
      </c>
      <c r="BE54" s="64">
        <f t="shared" si="17"/>
        <v>1</v>
      </c>
    </row>
    <row r="55" spans="1:57" x14ac:dyDescent="0.4">
      <c r="A55" s="7" t="s">
        <v>32</v>
      </c>
      <c r="B55" s="6" t="str">
        <f t="shared" si="0"/>
        <v>U</v>
      </c>
      <c r="C55" s="48" cm="1">
        <f t="array" ref="C55">IF($N55,INDEX($O:$O,MATCH(TRUE,EXACT(B55,$A:$A),0)),"")</f>
        <v>53</v>
      </c>
      <c r="D55" s="38" t="s">
        <v>42</v>
      </c>
      <c r="E55" s="48" cm="1">
        <f t="array" ref="E55">IF($N55,INDEX($O:$O,MATCH(TRUE,EXACT(D55,$A:$A),0)),"")</f>
        <v>42</v>
      </c>
      <c r="F55" s="38" t="s">
        <v>59</v>
      </c>
      <c r="G55" s="48" cm="1">
        <f t="array" ref="G55">IF($O55&lt;&gt;"",INDEX($O:$O,MATCH(TRUE,EXACT(F55,$A:$A),0)),"")</f>
        <v>10</v>
      </c>
      <c r="H55" s="38" t="s">
        <v>58</v>
      </c>
      <c r="I55" s="48" cm="1">
        <f t="array" ref="I55">IF($N55,INDEX($O:$O,MATCH(TRUE,EXACT(H55,$A:$A),0)),"")</f>
        <v>6</v>
      </c>
      <c r="J55" s="38" t="s">
        <v>33</v>
      </c>
      <c r="K55" s="52" cm="1">
        <f t="array" ref="K55">IF($N55,INDEX($O:$O,MATCH(TRUE,EXACT(J55,$A:$A),0)),"")</f>
        <v>41</v>
      </c>
      <c r="L55" s="23"/>
      <c r="M55" s="33"/>
      <c r="N55" s="18" t="b">
        <f t="shared" si="3"/>
        <v>1</v>
      </c>
      <c r="O55" s="19">
        <f>IF(N55, MAX(O$2:O54)+1,"")</f>
        <v>53</v>
      </c>
      <c r="P55" s="23" t="str">
        <f t="shared" si="1"/>
        <v>U</v>
      </c>
      <c r="Q55" s="8" t="str" cm="1">
        <f t="array" ref="Q55">CharToUTF8(A55)</f>
        <v>\x55</v>
      </c>
      <c r="S55" s="18" t="str">
        <f>$AG$4</f>
        <v>ORTHO_BOTH</v>
      </c>
      <c r="T55" s="24" t="str">
        <f>$AG$3</f>
        <v>DIAG_BOTH</v>
      </c>
      <c r="U55" s="24" t="str">
        <f>$AG$2</f>
        <v>EMPTY</v>
      </c>
      <c r="V55" s="21" t="str">
        <f>$AG$4</f>
        <v>ORTHO_BOTH</v>
      </c>
      <c r="X55" s="31" t="b">
        <f t="shared" si="5"/>
        <v>0</v>
      </c>
      <c r="Y55" s="31" t="b">
        <f t="shared" si="6"/>
        <v>0</v>
      </c>
      <c r="Z55" t="b">
        <f t="shared" si="7"/>
        <v>0</v>
      </c>
      <c r="AA55" t="b">
        <f t="shared" si="8"/>
        <v>0</v>
      </c>
      <c r="AB55" t="b">
        <f>IF($N55,S55=VLOOKUP(S55,$AG$2:$AL$10,4,FALSE),"")</f>
        <v>1</v>
      </c>
      <c r="AC55" t="b">
        <f>IF($N55,T55=VLOOKUP(T55,$AG$2:$AL$10,4,FALSE),"")</f>
        <v>1</v>
      </c>
      <c r="AD55" t="b">
        <f>IF($N55,U55=VLOOKUP(U55,$AG$2:$AL$10,5,FALSE),"")</f>
        <v>1</v>
      </c>
      <c r="AE55" t="b">
        <f>IF($N55,V55=VLOOKUP(V55,$AG$2:$AL$10,5,FALSE),"")</f>
        <v>1</v>
      </c>
      <c r="AN55" s="55" t="str">
        <f t="shared" si="19"/>
        <v xml:space="preserve">    { wxString::FromUTF8("\x55"), &amp;AllGlyphs[42], &amp;AllGlyphs[10], &amp;AllGlyphs[6], &amp;AllGlyphs[41], Connection::ORTHO_BOTH, Connection::DIAG_BOTH, Connection::EMPTY, Connection::ORTHO_BOTH, 0, 0, 0, 0 },</v>
      </c>
      <c r="AO55" s="56"/>
      <c r="AP55" s="56"/>
      <c r="AQ55" s="56"/>
      <c r="AR55" s="56"/>
      <c r="AS55" s="56"/>
      <c r="AT55" s="56"/>
      <c r="AU55" s="57"/>
      <c r="AW55" s="54" t="str">
        <f t="shared" si="10"/>
        <v>&amp;AllGlyphs[42]</v>
      </c>
      <c r="AX55" s="54" t="str">
        <f t="shared" si="11"/>
        <v>&amp;AllGlyphs[10]</v>
      </c>
      <c r="AY55" s="54" t="str">
        <f t="shared" si="12"/>
        <v>&amp;AllGlyphs[6]</v>
      </c>
      <c r="AZ55" s="54" t="str">
        <f t="shared" si="13"/>
        <v>&amp;AllGlyphs[41]</v>
      </c>
      <c r="BB55" s="64">
        <f t="shared" si="14"/>
        <v>0</v>
      </c>
      <c r="BC55" s="64">
        <f t="shared" si="15"/>
        <v>0</v>
      </c>
      <c r="BD55" s="64">
        <f t="shared" si="16"/>
        <v>0</v>
      </c>
      <c r="BE55" s="64">
        <f t="shared" si="17"/>
        <v>0</v>
      </c>
    </row>
    <row r="56" spans="1:57" x14ac:dyDescent="0.4">
      <c r="A56" s="7" t="s">
        <v>48</v>
      </c>
      <c r="B56" s="6" t="str">
        <f t="shared" si="0"/>
        <v>V</v>
      </c>
      <c r="C56" s="48" cm="1">
        <f t="array" ref="C56">IF($N56,INDEX($O:$O,MATCH(TRUE,EXACT(B56,$A:$A),0)),"")</f>
        <v>54</v>
      </c>
      <c r="D56" s="38" t="s">
        <v>29</v>
      </c>
      <c r="E56" s="48" cm="1">
        <f t="array" ref="E56">IF($N56,INDEX($O:$O,MATCH(TRUE,EXACT(D56,$A:$A),0)),"")</f>
        <v>50</v>
      </c>
      <c r="F56" s="38" t="s">
        <v>39</v>
      </c>
      <c r="G56" s="48" cm="1">
        <f t="array" ref="G56">IF($O56&lt;&gt;"",INDEX($O:$O,MATCH(TRUE,EXACT(F56,$A:$A),0)),"")</f>
        <v>38</v>
      </c>
      <c r="H56" s="38" t="s">
        <v>48</v>
      </c>
      <c r="I56" s="48" cm="1">
        <f t="array" ref="I56">IF($N56,INDEX($O:$O,MATCH(TRUE,EXACT(H56,$A:$A),0)),"")</f>
        <v>54</v>
      </c>
      <c r="J56" s="38" t="s">
        <v>39</v>
      </c>
      <c r="K56" s="52" cm="1">
        <f t="array" ref="K56">IF($N56,INDEX($O:$O,MATCH(TRUE,EXACT(J56,$A:$A),0)),"")</f>
        <v>38</v>
      </c>
      <c r="L56" s="23"/>
      <c r="M56" s="33"/>
      <c r="N56" s="18" t="b">
        <f t="shared" si="3"/>
        <v>1</v>
      </c>
      <c r="O56" s="19">
        <f>IF(N56, MAX(O$2:O55)+1,"")</f>
        <v>54</v>
      </c>
      <c r="P56" s="23" t="str">
        <f t="shared" si="1"/>
        <v>V</v>
      </c>
      <c r="Q56" s="8" t="str" cm="1">
        <f t="array" ref="Q56">CharToUTF8(A56)</f>
        <v>\x56</v>
      </c>
      <c r="S56" s="18" t="str">
        <f>$AG$2</f>
        <v>EMPTY</v>
      </c>
      <c r="T56" s="24" t="str">
        <f>$AG$2</f>
        <v>EMPTY</v>
      </c>
      <c r="U56" s="24" t="str">
        <f>$AG$4</f>
        <v>ORTHO_BOTH</v>
      </c>
      <c r="V56" s="21" t="str">
        <f>$AG$2</f>
        <v>EMPTY</v>
      </c>
      <c r="X56" s="31" t="b">
        <f t="shared" si="5"/>
        <v>0</v>
      </c>
      <c r="Y56" s="31" t="b">
        <f t="shared" si="6"/>
        <v>0</v>
      </c>
      <c r="Z56" t="b">
        <f t="shared" si="7"/>
        <v>1</v>
      </c>
      <c r="AA56" t="b">
        <f t="shared" si="8"/>
        <v>0</v>
      </c>
      <c r="AB56" t="b">
        <f>IF($N56,S56=VLOOKUP(S56,$AG$2:$AL$10,4,FALSE),"")</f>
        <v>1</v>
      </c>
      <c r="AC56" t="b">
        <f>IF($N56,T56=VLOOKUP(T56,$AG$2:$AL$10,4,FALSE),"")</f>
        <v>1</v>
      </c>
      <c r="AD56" t="b">
        <f>IF($N56,U56=VLOOKUP(U56,$AG$2:$AL$10,5,FALSE),"")</f>
        <v>1</v>
      </c>
      <c r="AE56" t="b">
        <f>IF($N56,V56=VLOOKUP(V56,$AG$2:$AL$10,5,FALSE),"")</f>
        <v>1</v>
      </c>
      <c r="AN56" s="55" t="str">
        <f t="shared" si="19"/>
        <v xml:space="preserve">    { wxString::FromUTF8("\x56"), &amp;AllGlyphs[50], &amp;AllGlyphs[38], &amp;AllGlyphs[54], &amp;AllGlyphs[38], Connection::EMPTY, Connection::EMPTY, Connection::ORTHO_BOTH, Connection::EMPTY, 0, 0, 1, 0 },</v>
      </c>
      <c r="AO56" s="56"/>
      <c r="AP56" s="56"/>
      <c r="AQ56" s="56"/>
      <c r="AR56" s="56"/>
      <c r="AS56" s="56"/>
      <c r="AT56" s="56"/>
      <c r="AU56" s="57"/>
      <c r="AW56" s="54" t="str">
        <f t="shared" si="10"/>
        <v>&amp;AllGlyphs[50]</v>
      </c>
      <c r="AX56" s="54" t="str">
        <f t="shared" si="11"/>
        <v>&amp;AllGlyphs[38]</v>
      </c>
      <c r="AY56" s="54" t="str">
        <f t="shared" si="12"/>
        <v>&amp;AllGlyphs[54]</v>
      </c>
      <c r="AZ56" s="54" t="str">
        <f t="shared" si="13"/>
        <v>&amp;AllGlyphs[38]</v>
      </c>
      <c r="BB56" s="64">
        <f t="shared" si="14"/>
        <v>0</v>
      </c>
      <c r="BC56" s="64">
        <f t="shared" si="15"/>
        <v>0</v>
      </c>
      <c r="BD56" s="64">
        <f t="shared" si="16"/>
        <v>1</v>
      </c>
      <c r="BE56" s="64">
        <f t="shared" si="17"/>
        <v>0</v>
      </c>
    </row>
    <row r="57" spans="1:57" x14ac:dyDescent="0.4">
      <c r="A57" s="7" t="s">
        <v>27</v>
      </c>
      <c r="B57" s="6" t="str">
        <f t="shared" si="0"/>
        <v>W</v>
      </c>
      <c r="C57" s="48" cm="1">
        <f t="array" ref="C57">IF($N57,INDEX($O:$O,MATCH(TRUE,EXACT(B57,$A:$A),0)),"")</f>
        <v>55</v>
      </c>
      <c r="D57" s="38" t="s">
        <v>38</v>
      </c>
      <c r="E57" s="48" cm="1">
        <f t="array" ref="E57">IF($N57,INDEX($O:$O,MATCH(TRUE,EXACT(D57,$A:$A),0)),"")</f>
        <v>36</v>
      </c>
      <c r="F57" s="38" t="s">
        <v>46</v>
      </c>
      <c r="G57" s="48" cm="1">
        <f t="array" ref="G57">IF($O57&lt;&gt;"",INDEX($O:$O,MATCH(TRUE,EXACT(F57,$A:$A),0)),"")</f>
        <v>56</v>
      </c>
      <c r="H57" s="38" t="s">
        <v>46</v>
      </c>
      <c r="I57" s="48" cm="1">
        <f t="array" ref="I57">IF($N57,INDEX($O:$O,MATCH(TRUE,EXACT(H57,$A:$A),0)),"")</f>
        <v>56</v>
      </c>
      <c r="J57" s="38" t="s">
        <v>27</v>
      </c>
      <c r="K57" s="52" cm="1">
        <f t="array" ref="K57">IF($N57,INDEX($O:$O,MATCH(TRUE,EXACT(J57,$A:$A),0)),"")</f>
        <v>55</v>
      </c>
      <c r="L57" s="23"/>
      <c r="M57" s="33"/>
      <c r="N57" s="18" t="b">
        <f t="shared" si="3"/>
        <v>1</v>
      </c>
      <c r="O57" s="19">
        <f>IF(N57, MAX(O$2:O56)+1,"")</f>
        <v>55</v>
      </c>
      <c r="P57" s="23" t="str">
        <f t="shared" si="1"/>
        <v>W</v>
      </c>
      <c r="Q57" s="8" t="str" cm="1">
        <f t="array" ref="Q57">CharToUTF8(A57)</f>
        <v>\x57</v>
      </c>
      <c r="S57" s="18" t="str">
        <f>$AG$2</f>
        <v>EMPTY</v>
      </c>
      <c r="T57" s="24" t="str">
        <f>$AG$4</f>
        <v>ORTHO_BOTH</v>
      </c>
      <c r="U57" s="24" t="str">
        <f>$AG$4</f>
        <v>ORTHO_BOTH</v>
      </c>
      <c r="V57" s="21" t="str">
        <f>$AG$4</f>
        <v>ORTHO_BOTH</v>
      </c>
      <c r="X57" s="31" t="b">
        <f t="shared" si="5"/>
        <v>0</v>
      </c>
      <c r="Y57" s="31" t="b">
        <f t="shared" si="6"/>
        <v>0</v>
      </c>
      <c r="Z57" t="b">
        <f t="shared" si="7"/>
        <v>0</v>
      </c>
      <c r="AA57" t="b">
        <f t="shared" si="8"/>
        <v>1</v>
      </c>
      <c r="AB57" t="b">
        <f>IF($N57,S57=VLOOKUP(S57,$AG$2:$AL$10,4,FALSE),"")</f>
        <v>1</v>
      </c>
      <c r="AC57" t="b">
        <f>IF($N57,T57=VLOOKUP(T57,$AG$2:$AL$10,4,FALSE),"")</f>
        <v>1</v>
      </c>
      <c r="AD57" t="b">
        <f>IF($N57,U57=VLOOKUP(U57,$AG$2:$AL$10,5,FALSE),"")</f>
        <v>1</v>
      </c>
      <c r="AE57" t="b">
        <f>IF($N57,V57=VLOOKUP(V57,$AG$2:$AL$10,5,FALSE),"")</f>
        <v>1</v>
      </c>
      <c r="AN57" s="55" t="str">
        <f t="shared" si="19"/>
        <v xml:space="preserve">    { wxString::FromUTF8("\x57"), &amp;AllGlyphs[36], &amp;AllGlyphs[56], &amp;AllGlyphs[56], &amp;AllGlyphs[55], Connection::EMPTY, Connection::ORTHO_BOTH, Connection::ORTHO_BOTH, Connection::ORTHO_BOTH, 0, 0, 0, 1 },</v>
      </c>
      <c r="AO57" s="56"/>
      <c r="AP57" s="56"/>
      <c r="AQ57" s="56"/>
      <c r="AR57" s="56"/>
      <c r="AS57" s="56"/>
      <c r="AT57" s="56"/>
      <c r="AU57" s="57"/>
      <c r="AW57" s="54" t="str">
        <f t="shared" si="10"/>
        <v>&amp;AllGlyphs[36]</v>
      </c>
      <c r="AX57" s="54" t="str">
        <f t="shared" si="11"/>
        <v>&amp;AllGlyphs[56]</v>
      </c>
      <c r="AY57" s="54" t="str">
        <f t="shared" si="12"/>
        <v>&amp;AllGlyphs[56]</v>
      </c>
      <c r="AZ57" s="54" t="str">
        <f t="shared" si="13"/>
        <v>&amp;AllGlyphs[55]</v>
      </c>
      <c r="BB57" s="64">
        <f t="shared" si="14"/>
        <v>0</v>
      </c>
      <c r="BC57" s="64">
        <f t="shared" si="15"/>
        <v>0</v>
      </c>
      <c r="BD57" s="64">
        <f t="shared" si="16"/>
        <v>0</v>
      </c>
      <c r="BE57" s="64">
        <f t="shared" si="17"/>
        <v>1</v>
      </c>
    </row>
    <row r="58" spans="1:57" x14ac:dyDescent="0.4">
      <c r="A58" s="7" t="s">
        <v>46</v>
      </c>
      <c r="B58" s="6" t="str">
        <f t="shared" si="0"/>
        <v>X</v>
      </c>
      <c r="C58" s="48" cm="1">
        <f t="array" ref="C58">IF($N58,INDEX($O:$O,MATCH(TRUE,EXACT(B58,$A:$A),0)),"")</f>
        <v>56</v>
      </c>
      <c r="D58" s="38" t="s">
        <v>36</v>
      </c>
      <c r="E58" s="48" cm="1">
        <f t="array" ref="E58">IF($N58,INDEX($O:$O,MATCH(TRUE,EXACT(D58,$A:$A),0)),"")</f>
        <v>33</v>
      </c>
      <c r="F58" s="38" t="s">
        <v>27</v>
      </c>
      <c r="G58" s="48" cm="1">
        <f t="array" ref="G58">IF($O58&lt;&gt;"",INDEX($O:$O,MATCH(TRUE,EXACT(F58,$A:$A),0)),"")</f>
        <v>55</v>
      </c>
      <c r="H58" s="38" t="s">
        <v>27</v>
      </c>
      <c r="I58" s="48" cm="1">
        <f t="array" ref="I58">IF($N58,INDEX($O:$O,MATCH(TRUE,EXACT(H58,$A:$A),0)),"")</f>
        <v>55</v>
      </c>
      <c r="J58" s="38" t="s">
        <v>46</v>
      </c>
      <c r="K58" s="52" cm="1">
        <f t="array" ref="K58">IF($N58,INDEX($O:$O,MATCH(TRUE,EXACT(J58,$A:$A),0)),"")</f>
        <v>56</v>
      </c>
      <c r="L58" s="23"/>
      <c r="M58" s="33"/>
      <c r="N58" s="18" t="b">
        <f t="shared" si="3"/>
        <v>1</v>
      </c>
      <c r="O58" s="19">
        <f>IF(N58, MAX(O$2:O57)+1,"")</f>
        <v>56</v>
      </c>
      <c r="P58" s="23" t="str">
        <f t="shared" si="1"/>
        <v>X</v>
      </c>
      <c r="Q58" s="8" t="str" cm="1">
        <f t="array" ref="Q58">CharToUTF8(A58)</f>
        <v>\x58</v>
      </c>
      <c r="S58" s="18" t="str">
        <f>$AG$4</f>
        <v>ORTHO_BOTH</v>
      </c>
      <c r="T58" s="24" t="str">
        <f>$AG$2</f>
        <v>EMPTY</v>
      </c>
      <c r="U58" s="24" t="str">
        <f>$AG$4</f>
        <v>ORTHO_BOTH</v>
      </c>
      <c r="V58" s="21" t="str">
        <f>$AG$4</f>
        <v>ORTHO_BOTH</v>
      </c>
      <c r="X58" s="31" t="b">
        <f t="shared" si="5"/>
        <v>0</v>
      </c>
      <c r="Y58" s="31" t="b">
        <f t="shared" si="6"/>
        <v>0</v>
      </c>
      <c r="Z58" t="b">
        <f t="shared" si="7"/>
        <v>0</v>
      </c>
      <c r="AA58" t="b">
        <f t="shared" si="8"/>
        <v>1</v>
      </c>
      <c r="AB58" t="b">
        <f>IF($N58,S58=VLOOKUP(S58,$AG$2:$AL$10,4,FALSE),"")</f>
        <v>1</v>
      </c>
      <c r="AC58" t="b">
        <f>IF($N58,T58=VLOOKUP(T58,$AG$2:$AL$10,4,FALSE),"")</f>
        <v>1</v>
      </c>
      <c r="AD58" t="b">
        <f>IF($N58,U58=VLOOKUP(U58,$AG$2:$AL$10,5,FALSE),"")</f>
        <v>1</v>
      </c>
      <c r="AE58" t="b">
        <f>IF($N58,V58=VLOOKUP(V58,$AG$2:$AL$10,5,FALSE),"")</f>
        <v>1</v>
      </c>
      <c r="AN58" s="55" t="str">
        <f t="shared" si="19"/>
        <v xml:space="preserve">    { wxString::FromUTF8("\x58"), &amp;AllGlyphs[33], &amp;AllGlyphs[55], &amp;AllGlyphs[55], &amp;AllGlyphs[56], Connection::ORTHO_BOTH, Connection::EMPTY, Connection::ORTHO_BOTH, Connection::ORTHO_BOTH, 0, 0, 0, 1 },</v>
      </c>
      <c r="AO58" s="56"/>
      <c r="AP58" s="56"/>
      <c r="AQ58" s="56"/>
      <c r="AR58" s="56"/>
      <c r="AS58" s="56"/>
      <c r="AT58" s="56"/>
      <c r="AU58" s="57"/>
      <c r="AW58" s="54" t="str">
        <f t="shared" si="10"/>
        <v>&amp;AllGlyphs[33]</v>
      </c>
      <c r="AX58" s="54" t="str">
        <f t="shared" si="11"/>
        <v>&amp;AllGlyphs[55]</v>
      </c>
      <c r="AY58" s="54" t="str">
        <f t="shared" si="12"/>
        <v>&amp;AllGlyphs[55]</v>
      </c>
      <c r="AZ58" s="54" t="str">
        <f t="shared" si="13"/>
        <v>&amp;AllGlyphs[56]</v>
      </c>
      <c r="BB58" s="64">
        <f t="shared" si="14"/>
        <v>0</v>
      </c>
      <c r="BC58" s="64">
        <f t="shared" si="15"/>
        <v>0</v>
      </c>
      <c r="BD58" s="64">
        <f t="shared" si="16"/>
        <v>0</v>
      </c>
      <c r="BE58" s="64">
        <f t="shared" si="17"/>
        <v>1</v>
      </c>
    </row>
    <row r="59" spans="1:57" x14ac:dyDescent="0.4">
      <c r="A59" s="7" t="s">
        <v>31</v>
      </c>
      <c r="B59" s="6" t="str">
        <f t="shared" si="0"/>
        <v>Y</v>
      </c>
      <c r="C59" s="48" cm="1">
        <f t="array" ref="C59">IF($N59,INDEX($O:$O,MATCH(TRUE,EXACT(B59,$A:$A),0)),"")</f>
        <v>57</v>
      </c>
      <c r="D59" s="38" t="s">
        <v>49</v>
      </c>
      <c r="E59" s="48" cm="1">
        <f t="array" ref="E59">IF($N59,INDEX($O:$O,MATCH(TRUE,EXACT(D59,$A:$A),0)),"")</f>
        <v>34</v>
      </c>
      <c r="F59" s="38" t="s">
        <v>57</v>
      </c>
      <c r="G59" s="48" cm="1">
        <f t="array" ref="G59">IF($O59&lt;&gt;"",INDEX($O:$O,MATCH(TRUE,EXACT(F59,$A:$A),0)),"")</f>
        <v>62</v>
      </c>
      <c r="H59" s="38" t="s">
        <v>57</v>
      </c>
      <c r="I59" s="48" cm="1">
        <f t="array" ref="I59">IF($N59,INDEX($O:$O,MATCH(TRUE,EXACT(H59,$A:$A),0)),"")</f>
        <v>62</v>
      </c>
      <c r="J59" s="38" t="s">
        <v>31</v>
      </c>
      <c r="K59" s="52" cm="1">
        <f t="array" ref="K59">IF($N59,INDEX($O:$O,MATCH(TRUE,EXACT(J59,$A:$A),0)),"")</f>
        <v>57</v>
      </c>
      <c r="L59" s="23"/>
      <c r="M59" s="33"/>
      <c r="N59" s="18" t="b">
        <f t="shared" si="3"/>
        <v>1</v>
      </c>
      <c r="O59" s="19">
        <f>IF(N59, MAX(O$2:O58)+1,"")</f>
        <v>57</v>
      </c>
      <c r="P59" s="23" t="str">
        <f t="shared" si="1"/>
        <v>Y</v>
      </c>
      <c r="Q59" s="8" t="str" cm="1">
        <f t="array" ref="Q59">CharToUTF8(A59)</f>
        <v>\x59</v>
      </c>
      <c r="S59" s="18" t="str">
        <f>$AG$3</f>
        <v>DIAG_BOTH</v>
      </c>
      <c r="T59" s="24" t="str">
        <f>$AG$4</f>
        <v>ORTHO_BOTH</v>
      </c>
      <c r="U59" s="24" t="str">
        <f>$AG$4</f>
        <v>ORTHO_BOTH</v>
      </c>
      <c r="V59" s="21" t="str">
        <f>$AG$4</f>
        <v>ORTHO_BOTH</v>
      </c>
      <c r="X59" s="31" t="b">
        <f t="shared" si="5"/>
        <v>0</v>
      </c>
      <c r="Y59" s="31" t="b">
        <f t="shared" si="6"/>
        <v>0</v>
      </c>
      <c r="Z59" t="b">
        <f t="shared" si="7"/>
        <v>0</v>
      </c>
      <c r="AA59" t="b">
        <f t="shared" si="8"/>
        <v>1</v>
      </c>
      <c r="AB59" t="b">
        <f>IF($N59,S59=VLOOKUP(S59,$AG$2:$AL$10,4,FALSE),"")</f>
        <v>1</v>
      </c>
      <c r="AC59" t="b">
        <f>IF($N59,T59=VLOOKUP(T59,$AG$2:$AL$10,4,FALSE),"")</f>
        <v>1</v>
      </c>
      <c r="AD59" t="b">
        <f>IF($N59,U59=VLOOKUP(U59,$AG$2:$AL$10,5,FALSE),"")</f>
        <v>1</v>
      </c>
      <c r="AE59" t="b">
        <f>IF($N59,V59=VLOOKUP(V59,$AG$2:$AL$10,5,FALSE),"")</f>
        <v>1</v>
      </c>
      <c r="AN59" s="55" t="str">
        <f t="shared" si="19"/>
        <v xml:space="preserve">    { wxString::FromUTF8("\x59"), &amp;AllGlyphs[34], &amp;AllGlyphs[62], &amp;AllGlyphs[62], &amp;AllGlyphs[57], Connection::DIAG_BOTH, Connection::ORTHO_BOTH, Connection::ORTHO_BOTH, Connection::ORTHO_BOTH, 0, 0, 0, 1 },</v>
      </c>
      <c r="AO59" s="56"/>
      <c r="AP59" s="56"/>
      <c r="AQ59" s="56"/>
      <c r="AR59" s="56"/>
      <c r="AS59" s="56"/>
      <c r="AT59" s="56"/>
      <c r="AU59" s="57"/>
      <c r="AW59" s="54" t="str">
        <f t="shared" si="10"/>
        <v>&amp;AllGlyphs[34]</v>
      </c>
      <c r="AX59" s="54" t="str">
        <f t="shared" si="11"/>
        <v>&amp;AllGlyphs[62]</v>
      </c>
      <c r="AY59" s="54" t="str">
        <f t="shared" si="12"/>
        <v>&amp;AllGlyphs[62]</v>
      </c>
      <c r="AZ59" s="54" t="str">
        <f t="shared" si="13"/>
        <v>&amp;AllGlyphs[57]</v>
      </c>
      <c r="BB59" s="64">
        <f t="shared" si="14"/>
        <v>0</v>
      </c>
      <c r="BC59" s="64">
        <f t="shared" si="15"/>
        <v>0</v>
      </c>
      <c r="BD59" s="64">
        <f t="shared" si="16"/>
        <v>0</v>
      </c>
      <c r="BE59" s="64">
        <f t="shared" si="17"/>
        <v>1</v>
      </c>
    </row>
    <row r="60" spans="1:57" x14ac:dyDescent="0.4">
      <c r="A60" s="7" t="s">
        <v>45</v>
      </c>
      <c r="B60" s="6" t="str">
        <f t="shared" si="0"/>
        <v>Z</v>
      </c>
      <c r="C60" s="48" cm="1">
        <f t="array" ref="C60">IF($N60,INDEX($O:$O,MATCH(TRUE,EXACT(B60,$A:$A),0)),"")</f>
        <v>58</v>
      </c>
      <c r="D60" s="38" t="s">
        <v>26</v>
      </c>
      <c r="E60" s="48" cm="1">
        <f t="array" ref="E60">IF($N60,INDEX($O:$O,MATCH(TRUE,EXACT(D60,$A:$A),0)),"")</f>
        <v>49</v>
      </c>
      <c r="F60" s="38" t="s">
        <v>28</v>
      </c>
      <c r="G60" s="48" cm="1">
        <f t="array" ref="G60">IF($O60&lt;&gt;"",INDEX($O:$O,MATCH(TRUE,EXACT(F60,$A:$A),0)),"")</f>
        <v>37</v>
      </c>
      <c r="H60" s="38" t="s">
        <v>26</v>
      </c>
      <c r="I60" s="48" cm="1">
        <f t="array" ref="I60">IF($N60,INDEX($O:$O,MATCH(TRUE,EXACT(H60,$A:$A),0)),"")</f>
        <v>49</v>
      </c>
      <c r="J60" s="38" t="s">
        <v>47</v>
      </c>
      <c r="K60" s="52" cm="1">
        <f t="array" ref="K60">IF($N60,INDEX($O:$O,MATCH(TRUE,EXACT(J60,$A:$A),0)),"")</f>
        <v>35</v>
      </c>
      <c r="L60" s="23"/>
      <c r="M60" s="33"/>
      <c r="N60" s="18" t="b">
        <f t="shared" si="3"/>
        <v>1</v>
      </c>
      <c r="O60" s="19">
        <f>IF(N60, MAX(O$2:O59)+1,"")</f>
        <v>58</v>
      </c>
      <c r="P60" s="23" t="str">
        <f t="shared" si="1"/>
        <v>Z</v>
      </c>
      <c r="Q60" s="8" t="str" cm="1">
        <f t="array" ref="Q60">CharToUTF8(A60)</f>
        <v>\x5A</v>
      </c>
      <c r="S60" s="18" t="str">
        <f>$AG$4</f>
        <v>ORTHO_BOTH</v>
      </c>
      <c r="T60" s="24" t="str">
        <f>$AG$2</f>
        <v>EMPTY</v>
      </c>
      <c r="U60" s="24" t="str">
        <f>$AG$2</f>
        <v>EMPTY</v>
      </c>
      <c r="V60" s="21" t="str">
        <f>$AG$4</f>
        <v>ORTHO_BOTH</v>
      </c>
      <c r="X60" s="31" t="b">
        <f t="shared" si="5"/>
        <v>0</v>
      </c>
      <c r="Y60" s="31" t="b">
        <f t="shared" si="6"/>
        <v>0</v>
      </c>
      <c r="Z60" t="b">
        <f t="shared" si="7"/>
        <v>0</v>
      </c>
      <c r="AA60" t="b">
        <f t="shared" si="8"/>
        <v>0</v>
      </c>
      <c r="AB60" t="b">
        <f>IF($N60,S60=VLOOKUP(S60,$AG$2:$AL$10,4,FALSE),"")</f>
        <v>1</v>
      </c>
      <c r="AC60" t="b">
        <f>IF($N60,T60=VLOOKUP(T60,$AG$2:$AL$10,4,FALSE),"")</f>
        <v>1</v>
      </c>
      <c r="AD60" t="b">
        <f>IF($N60,U60=VLOOKUP(U60,$AG$2:$AL$10,5,FALSE),"")</f>
        <v>1</v>
      </c>
      <c r="AE60" t="b">
        <f>IF($N60,V60=VLOOKUP(V60,$AG$2:$AL$10,5,FALSE),"")</f>
        <v>1</v>
      </c>
      <c r="AN60" s="55" t="str">
        <f t="shared" si="19"/>
        <v xml:space="preserve">    { wxString::FromUTF8("\x5A"), &amp;AllGlyphs[49], &amp;AllGlyphs[37], &amp;AllGlyphs[49], &amp;AllGlyphs[35], Connection::ORTHO_BOTH, Connection::EMPTY, Connection::EMPTY, Connection::ORTHO_BOTH, 0, 0, 0, 0 },</v>
      </c>
      <c r="AO60" s="56"/>
      <c r="AP60" s="56"/>
      <c r="AQ60" s="56"/>
      <c r="AR60" s="56"/>
      <c r="AS60" s="56"/>
      <c r="AT60" s="56"/>
      <c r="AU60" s="57"/>
      <c r="AW60" s="54" t="str">
        <f t="shared" si="10"/>
        <v>&amp;AllGlyphs[49]</v>
      </c>
      <c r="AX60" s="54" t="str">
        <f t="shared" si="11"/>
        <v>&amp;AllGlyphs[37]</v>
      </c>
      <c r="AY60" s="54" t="str">
        <f t="shared" si="12"/>
        <v>&amp;AllGlyphs[49]</v>
      </c>
      <c r="AZ60" s="54" t="str">
        <f t="shared" si="13"/>
        <v>&amp;AllGlyphs[35]</v>
      </c>
      <c r="BB60" s="64">
        <f t="shared" si="14"/>
        <v>0</v>
      </c>
      <c r="BC60" s="64">
        <f t="shared" si="15"/>
        <v>0</v>
      </c>
      <c r="BD60" s="64">
        <f t="shared" si="16"/>
        <v>0</v>
      </c>
      <c r="BE60" s="64">
        <f t="shared" si="17"/>
        <v>0</v>
      </c>
    </row>
    <row r="61" spans="1:57" x14ac:dyDescent="0.4">
      <c r="A61" s="7" t="s">
        <v>71</v>
      </c>
      <c r="B61" s="6" t="str">
        <f t="shared" si="0"/>
        <v>[</v>
      </c>
      <c r="C61" s="48" cm="1">
        <f t="array" ref="C61">IF($N61,INDEX($O:$O,MATCH(TRUE,EXACT(B61,$A:$A),0)),"")</f>
        <v>59</v>
      </c>
      <c r="D61" s="38" t="s">
        <v>74</v>
      </c>
      <c r="E61" s="48" cm="1">
        <f t="array" ref="E61">IF($N61,INDEX($O:$O,MATCH(TRUE,EXACT(D61,$A:$A),0)),"")</f>
        <v>13</v>
      </c>
      <c r="F61" s="38" t="s">
        <v>72</v>
      </c>
      <c r="G61" s="48" cm="1">
        <f t="array" ref="G61">IF($O61&lt;&gt;"",INDEX($O:$O,MATCH(TRUE,EXACT(F61,$A:$A),0)),"")</f>
        <v>61</v>
      </c>
      <c r="H61" s="38" t="s">
        <v>71</v>
      </c>
      <c r="I61" s="48" cm="1">
        <f t="array" ref="I61">IF($N61,INDEX($O:$O,MATCH(TRUE,EXACT(H61,$A:$A),0)),"")</f>
        <v>59</v>
      </c>
      <c r="J61" s="38" t="s">
        <v>72</v>
      </c>
      <c r="K61" s="52" cm="1">
        <f t="array" ref="K61">IF($N61,INDEX($O:$O,MATCH(TRUE,EXACT(J61,$A:$A),0)),"")</f>
        <v>61</v>
      </c>
      <c r="L61" s="23"/>
      <c r="M61" s="33"/>
      <c r="N61" s="18" t="b">
        <f t="shared" si="3"/>
        <v>1</v>
      </c>
      <c r="O61" s="19">
        <f>IF(N61, MAX(O$2:O60)+1,"")</f>
        <v>59</v>
      </c>
      <c r="P61" s="23" t="str">
        <f t="shared" si="1"/>
        <v>[</v>
      </c>
      <c r="Q61" s="8" t="str" cm="1">
        <f t="array" ref="Q61">CharToUTF8(A61)</f>
        <v>\x5B</v>
      </c>
      <c r="S61" s="18" t="str">
        <f>$AG$2</f>
        <v>EMPTY</v>
      </c>
      <c r="T61" s="24" t="str">
        <f>$AG$2</f>
        <v>EMPTY</v>
      </c>
      <c r="U61" s="24" t="str">
        <f>$AG$3</f>
        <v>DIAG_BOTH</v>
      </c>
      <c r="V61" s="21" t="str">
        <f>$AG$4</f>
        <v>ORTHO_BOTH</v>
      </c>
      <c r="X61" s="31" t="b">
        <f t="shared" si="5"/>
        <v>0</v>
      </c>
      <c r="Y61" s="31" t="b">
        <f t="shared" si="6"/>
        <v>0</v>
      </c>
      <c r="Z61" t="b">
        <f t="shared" si="7"/>
        <v>1</v>
      </c>
      <c r="AA61" t="b">
        <f t="shared" si="8"/>
        <v>0</v>
      </c>
      <c r="AB61" t="b">
        <f>IF($N61,S61=VLOOKUP(S61,$AG$2:$AL$10,4,FALSE),"")</f>
        <v>1</v>
      </c>
      <c r="AC61" t="b">
        <f>IF($N61,T61=VLOOKUP(T61,$AG$2:$AL$10,4,FALSE),"")</f>
        <v>1</v>
      </c>
      <c r="AD61" t="b">
        <f>IF($N61,U61=VLOOKUP(U61,$AG$2:$AL$10,5,FALSE),"")</f>
        <v>1</v>
      </c>
      <c r="AE61" t="b">
        <f>IF($N61,V61=VLOOKUP(V61,$AG$2:$AL$10,5,FALSE),"")</f>
        <v>1</v>
      </c>
      <c r="AN61" s="55" t="str">
        <f t="shared" si="19"/>
        <v xml:space="preserve">    { wxString::FromUTF8("\x5B"), &amp;AllGlyphs[13], &amp;AllGlyphs[61], &amp;AllGlyphs[59], &amp;AllGlyphs[61], Connection::EMPTY, Connection::EMPTY, Connection::DIAG_BOTH, Connection::ORTHO_BOTH, 0, 0, 1, 0 },</v>
      </c>
      <c r="AO61" s="56"/>
      <c r="AP61" s="56"/>
      <c r="AQ61" s="56"/>
      <c r="AR61" s="56"/>
      <c r="AS61" s="56"/>
      <c r="AT61" s="56"/>
      <c r="AU61" s="57"/>
      <c r="AW61" s="54" t="str">
        <f t="shared" si="10"/>
        <v>&amp;AllGlyphs[13]</v>
      </c>
      <c r="AX61" s="54" t="str">
        <f t="shared" si="11"/>
        <v>&amp;AllGlyphs[61]</v>
      </c>
      <c r="AY61" s="54" t="str">
        <f t="shared" si="12"/>
        <v>&amp;AllGlyphs[59]</v>
      </c>
      <c r="AZ61" s="54" t="str">
        <f t="shared" si="13"/>
        <v>&amp;AllGlyphs[61]</v>
      </c>
      <c r="BB61" s="64">
        <f t="shared" si="14"/>
        <v>0</v>
      </c>
      <c r="BC61" s="64">
        <f t="shared" si="15"/>
        <v>0</v>
      </c>
      <c r="BD61" s="64">
        <f t="shared" si="16"/>
        <v>1</v>
      </c>
      <c r="BE61" s="64">
        <f t="shared" si="17"/>
        <v>0</v>
      </c>
    </row>
    <row r="62" spans="1:57" x14ac:dyDescent="0.4">
      <c r="A62" s="7" t="s">
        <v>68</v>
      </c>
      <c r="B62" s="6" t="str">
        <f t="shared" si="0"/>
        <v>\</v>
      </c>
      <c r="C62" s="48" cm="1">
        <f t="array" ref="C62">IF($N62,INDEX($O:$O,MATCH(TRUE,EXACT(B62,$A:$A),0)),"")</f>
        <v>60</v>
      </c>
      <c r="D62" s="38" t="s">
        <v>69</v>
      </c>
      <c r="E62" s="48" cm="1">
        <f t="array" ref="E62">IF($N62,INDEX($O:$O,MATCH(TRUE,EXACT(D62,$A:$A),0)),"")</f>
        <v>92</v>
      </c>
      <c r="F62" s="38" t="s">
        <v>68</v>
      </c>
      <c r="G62" s="48" cm="1">
        <f t="array" ref="G62">IF($O62&lt;&gt;"",INDEX($O:$O,MATCH(TRUE,EXACT(F62,$A:$A),0)),"")</f>
        <v>60</v>
      </c>
      <c r="H62" s="38" t="s">
        <v>68</v>
      </c>
      <c r="I62" s="48" cm="1">
        <f t="array" ref="I62">IF($N62,INDEX($O:$O,MATCH(TRUE,EXACT(H62,$A:$A),0)),"")</f>
        <v>60</v>
      </c>
      <c r="J62" s="38" t="s">
        <v>68</v>
      </c>
      <c r="K62" s="52" cm="1">
        <f t="array" ref="K62">IF($N62,INDEX($O:$O,MATCH(TRUE,EXACT(J62,$A:$A),0)),"")</f>
        <v>60</v>
      </c>
      <c r="L62" s="23"/>
      <c r="M62" s="33"/>
      <c r="N62" s="18" t="b">
        <f t="shared" si="3"/>
        <v>1</v>
      </c>
      <c r="O62" s="19">
        <f>IF(N62, MAX(O$2:O61)+1,"")</f>
        <v>60</v>
      </c>
      <c r="P62" s="23" t="str">
        <f t="shared" si="1"/>
        <v>\</v>
      </c>
      <c r="Q62" s="8" t="str" cm="1">
        <f t="array" ref="Q62">CharToUTF8(A62)</f>
        <v>\x5C</v>
      </c>
      <c r="S62" s="18" t="str">
        <f>$AG$4</f>
        <v>ORTHO_BOTH</v>
      </c>
      <c r="T62" s="24" t="str">
        <f>$AG$4</f>
        <v>ORTHO_BOTH</v>
      </c>
      <c r="U62" s="24" t="str">
        <f>$AG$2</f>
        <v>EMPTY</v>
      </c>
      <c r="V62" s="21" t="str">
        <f>$AG$2</f>
        <v>EMPTY</v>
      </c>
      <c r="X62" s="31" t="b">
        <f t="shared" si="5"/>
        <v>0</v>
      </c>
      <c r="Y62" s="31" t="b">
        <f t="shared" si="6"/>
        <v>1</v>
      </c>
      <c r="Z62" t="b">
        <f t="shared" si="7"/>
        <v>1</v>
      </c>
      <c r="AA62" t="b">
        <f t="shared" si="8"/>
        <v>1</v>
      </c>
      <c r="AB62" t="b">
        <f>IF($N62,S62=VLOOKUP(S62,$AG$2:$AL$10,4,FALSE),"")</f>
        <v>1</v>
      </c>
      <c r="AC62" t="b">
        <f>IF($N62,T62=VLOOKUP(T62,$AG$2:$AL$10,4,FALSE),"")</f>
        <v>1</v>
      </c>
      <c r="AD62" t="b">
        <f>IF($N62,U62=VLOOKUP(U62,$AG$2:$AL$10,5,FALSE),"")</f>
        <v>1</v>
      </c>
      <c r="AE62" t="b">
        <f>IF($N62,V62=VLOOKUP(V62,$AG$2:$AL$10,5,FALSE),"")</f>
        <v>1</v>
      </c>
      <c r="AN62" s="55" t="str">
        <f t="shared" si="19"/>
        <v xml:space="preserve">    { wxString::FromUTF8("\x5C"), &amp;AllGlyphs[92], &amp;AllGlyphs[60], &amp;AllGlyphs[60], &amp;AllGlyphs[60], Connection::ORTHO_BOTH, Connection::ORTHO_BOTH, Connection::EMPTY, Connection::EMPTY, 0, 1, 1, 1 },</v>
      </c>
      <c r="AO62" s="56"/>
      <c r="AP62" s="56"/>
      <c r="AQ62" s="56"/>
      <c r="AR62" s="56"/>
      <c r="AS62" s="56"/>
      <c r="AT62" s="56"/>
      <c r="AU62" s="57"/>
      <c r="AW62" s="54" t="str">
        <f t="shared" si="10"/>
        <v>&amp;AllGlyphs[92]</v>
      </c>
      <c r="AX62" s="54" t="str">
        <f t="shared" si="11"/>
        <v>&amp;AllGlyphs[60]</v>
      </c>
      <c r="AY62" s="54" t="str">
        <f t="shared" si="12"/>
        <v>&amp;AllGlyphs[60]</v>
      </c>
      <c r="AZ62" s="54" t="str">
        <f t="shared" si="13"/>
        <v>&amp;AllGlyphs[60]</v>
      </c>
      <c r="BB62" s="64">
        <f t="shared" si="14"/>
        <v>0</v>
      </c>
      <c r="BC62" s="64">
        <f t="shared" si="15"/>
        <v>1</v>
      </c>
      <c r="BD62" s="64">
        <f t="shared" si="16"/>
        <v>1</v>
      </c>
      <c r="BE62" s="64">
        <f t="shared" si="17"/>
        <v>1</v>
      </c>
    </row>
    <row r="63" spans="1:57" x14ac:dyDescent="0.4">
      <c r="A63" s="7" t="s">
        <v>72</v>
      </c>
      <c r="B63" s="9" t="str">
        <f t="shared" si="0"/>
        <v>]</v>
      </c>
      <c r="C63" s="48" cm="1">
        <f t="array" ref="C63">IF($N63,INDEX($O:$O,MATCH(TRUE,EXACT(B63,$A:$A),0)),"")</f>
        <v>61</v>
      </c>
      <c r="D63" s="39" t="s">
        <v>79</v>
      </c>
      <c r="E63" s="48" cm="1">
        <f t="array" ref="E63">IF($N63,INDEX($O:$O,MATCH(TRUE,EXACT(D63,$A:$A),0)),"")</f>
        <v>29</v>
      </c>
      <c r="F63" s="39" t="s">
        <v>71</v>
      </c>
      <c r="G63" s="48" cm="1">
        <f t="array" ref="G63">IF($O63&lt;&gt;"",INDEX($O:$O,MATCH(TRUE,EXACT(F63,$A:$A),0)),"")</f>
        <v>59</v>
      </c>
      <c r="H63" s="39" t="s">
        <v>72</v>
      </c>
      <c r="I63" s="48" cm="1">
        <f t="array" ref="I63">IF($N63,INDEX($O:$O,MATCH(TRUE,EXACT(H63,$A:$A),0)),"")</f>
        <v>61</v>
      </c>
      <c r="J63" s="39" t="s">
        <v>71</v>
      </c>
      <c r="K63" s="52" cm="1">
        <f t="array" ref="K63">IF($N63,INDEX($O:$O,MATCH(TRUE,EXACT(J63,$A:$A),0)),"")</f>
        <v>59</v>
      </c>
      <c r="L63" s="46"/>
      <c r="M63" s="34"/>
      <c r="N63" s="18" t="b">
        <f t="shared" si="3"/>
        <v>1</v>
      </c>
      <c r="O63" s="19">
        <f>IF(N63, MAX(O$2:O62)+1,"")</f>
        <v>61</v>
      </c>
      <c r="P63" s="23" t="str">
        <f t="shared" si="1"/>
        <v>]</v>
      </c>
      <c r="Q63" s="8" t="str" cm="1">
        <f t="array" ref="Q63">CharToUTF8(A63)</f>
        <v>\x5D</v>
      </c>
      <c r="S63" s="18" t="str">
        <f>$AG$2</f>
        <v>EMPTY</v>
      </c>
      <c r="T63" s="24" t="str">
        <f>$AG$2</f>
        <v>EMPTY</v>
      </c>
      <c r="U63" s="24" t="str">
        <f>$AG$4</f>
        <v>ORTHO_BOTH</v>
      </c>
      <c r="V63" s="21" t="str">
        <f>$AG$3</f>
        <v>DIAG_BOTH</v>
      </c>
      <c r="X63" s="31" t="b">
        <f t="shared" si="5"/>
        <v>0</v>
      </c>
      <c r="Y63" s="31" t="b">
        <f t="shared" si="6"/>
        <v>0</v>
      </c>
      <c r="Z63" t="b">
        <f t="shared" si="7"/>
        <v>1</v>
      </c>
      <c r="AA63" t="b">
        <f t="shared" si="8"/>
        <v>0</v>
      </c>
      <c r="AB63" t="b">
        <f>IF($N63,S63=VLOOKUP(S63,$AG$2:$AL$10,4,FALSE),"")</f>
        <v>1</v>
      </c>
      <c r="AC63" t="b">
        <f>IF($N63,T63=VLOOKUP(T63,$AG$2:$AL$10,4,FALSE),"")</f>
        <v>1</v>
      </c>
      <c r="AD63" t="b">
        <f>IF($N63,U63=VLOOKUP(U63,$AG$2:$AL$10,5,FALSE),"")</f>
        <v>1</v>
      </c>
      <c r="AE63" t="b">
        <f>IF($N63,V63=VLOOKUP(V63,$AG$2:$AL$10,5,FALSE),"")</f>
        <v>1</v>
      </c>
      <c r="AN63" s="55" t="str">
        <f t="shared" si="19"/>
        <v xml:space="preserve">    { wxString::FromUTF8("\x5D"), &amp;AllGlyphs[29], &amp;AllGlyphs[59], &amp;AllGlyphs[61], &amp;AllGlyphs[59], Connection::EMPTY, Connection::EMPTY, Connection::ORTHO_BOTH, Connection::DIAG_BOTH, 0, 0, 1, 0 },</v>
      </c>
      <c r="AO63" s="56"/>
      <c r="AP63" s="56"/>
      <c r="AQ63" s="56"/>
      <c r="AR63" s="56"/>
      <c r="AS63" s="56"/>
      <c r="AT63" s="56"/>
      <c r="AU63" s="57"/>
      <c r="AW63" s="54" t="str">
        <f t="shared" si="10"/>
        <v>&amp;AllGlyphs[29]</v>
      </c>
      <c r="AX63" s="54" t="str">
        <f t="shared" si="11"/>
        <v>&amp;AllGlyphs[59]</v>
      </c>
      <c r="AY63" s="54" t="str">
        <f t="shared" si="12"/>
        <v>&amp;AllGlyphs[61]</v>
      </c>
      <c r="AZ63" s="54" t="str">
        <f t="shared" si="13"/>
        <v>&amp;AllGlyphs[59]</v>
      </c>
      <c r="BB63" s="64">
        <f t="shared" si="14"/>
        <v>0</v>
      </c>
      <c r="BC63" s="64">
        <f t="shared" si="15"/>
        <v>0</v>
      </c>
      <c r="BD63" s="64">
        <f t="shared" si="16"/>
        <v>1</v>
      </c>
      <c r="BE63" s="64">
        <f t="shared" si="17"/>
        <v>0</v>
      </c>
    </row>
    <row r="64" spans="1:57" x14ac:dyDescent="0.4">
      <c r="A64" s="7" t="s">
        <v>57</v>
      </c>
      <c r="B64" s="6" t="str">
        <f t="shared" si="0"/>
        <v>^</v>
      </c>
      <c r="C64" s="48" cm="1">
        <f t="array" ref="C64">IF($N64,INDEX($O:$O,MATCH(TRUE,EXACT(B64,$A:$A),0)),"")</f>
        <v>62</v>
      </c>
      <c r="D64" s="38" t="s">
        <v>50</v>
      </c>
      <c r="E64" s="48" cm="1">
        <f t="array" ref="E64">IF($N64,INDEX($O:$O,MATCH(TRUE,EXACT(D64,$A:$A),0)),"")</f>
        <v>46</v>
      </c>
      <c r="F64" s="38" t="s">
        <v>31</v>
      </c>
      <c r="G64" s="48" cm="1">
        <f t="array" ref="G64">IF($O64&lt;&gt;"",INDEX($O:$O,MATCH(TRUE,EXACT(F64,$A:$A),0)),"")</f>
        <v>57</v>
      </c>
      <c r="H64" s="38" t="s">
        <v>31</v>
      </c>
      <c r="I64" s="48" cm="1">
        <f t="array" ref="I64">IF($N64,INDEX($O:$O,MATCH(TRUE,EXACT(H64,$A:$A),0)),"")</f>
        <v>57</v>
      </c>
      <c r="J64" s="38" t="s">
        <v>57</v>
      </c>
      <c r="K64" s="52" cm="1">
        <f t="array" ref="K64">IF($N64,INDEX($O:$O,MATCH(TRUE,EXACT(J64,$A:$A),0)),"")</f>
        <v>62</v>
      </c>
      <c r="L64" s="23"/>
      <c r="M64" s="33"/>
      <c r="N64" s="18" t="b">
        <f t="shared" si="3"/>
        <v>1</v>
      </c>
      <c r="O64" s="19">
        <f>IF(N64, MAX(O$2:O63)+1,"")</f>
        <v>62</v>
      </c>
      <c r="P64" s="23" t="str">
        <f t="shared" si="1"/>
        <v>^</v>
      </c>
      <c r="Q64" s="8" t="str" cm="1">
        <f t="array" ref="Q64">CharToUTF8(A64)</f>
        <v>\x5E</v>
      </c>
      <c r="S64" s="18" t="str">
        <f>$AG$4</f>
        <v>ORTHO_BOTH</v>
      </c>
      <c r="T64" s="24" t="str">
        <f>$AG$3</f>
        <v>DIAG_BOTH</v>
      </c>
      <c r="U64" s="24" t="str">
        <f>$AG$4</f>
        <v>ORTHO_BOTH</v>
      </c>
      <c r="V64" s="21" t="str">
        <f>$AG$4</f>
        <v>ORTHO_BOTH</v>
      </c>
      <c r="X64" s="31" t="b">
        <f t="shared" si="5"/>
        <v>0</v>
      </c>
      <c r="Y64" s="31" t="b">
        <f t="shared" si="6"/>
        <v>0</v>
      </c>
      <c r="Z64" t="b">
        <f t="shared" si="7"/>
        <v>0</v>
      </c>
      <c r="AA64" t="b">
        <f t="shared" si="8"/>
        <v>1</v>
      </c>
      <c r="AB64" t="b">
        <f>IF($N64,S64=VLOOKUP(S64,$AG$2:$AL$10,4,FALSE),"")</f>
        <v>1</v>
      </c>
      <c r="AC64" t="b">
        <f>IF($N64,T64=VLOOKUP(T64,$AG$2:$AL$10,4,FALSE),"")</f>
        <v>1</v>
      </c>
      <c r="AD64" t="b">
        <f>IF($N64,U64=VLOOKUP(U64,$AG$2:$AL$10,5,FALSE),"")</f>
        <v>1</v>
      </c>
      <c r="AE64" t="b">
        <f>IF($N64,V64=VLOOKUP(V64,$AG$2:$AL$10,5,FALSE),"")</f>
        <v>1</v>
      </c>
      <c r="AN64" s="55" t="str">
        <f t="shared" si="19"/>
        <v xml:space="preserve">    { wxString::FromUTF8("\x5E"), &amp;AllGlyphs[46], &amp;AllGlyphs[57], &amp;AllGlyphs[57], &amp;AllGlyphs[62], Connection::ORTHO_BOTH, Connection::DIAG_BOTH, Connection::ORTHO_BOTH, Connection::ORTHO_BOTH, 0, 0, 0, 1 },</v>
      </c>
      <c r="AO64" s="56"/>
      <c r="AP64" s="56"/>
      <c r="AQ64" s="56"/>
      <c r="AR64" s="56"/>
      <c r="AS64" s="56"/>
      <c r="AT64" s="56"/>
      <c r="AU64" s="57"/>
      <c r="AW64" s="54" t="str">
        <f t="shared" si="10"/>
        <v>&amp;AllGlyphs[46]</v>
      </c>
      <c r="AX64" s="54" t="str">
        <f t="shared" si="11"/>
        <v>&amp;AllGlyphs[57]</v>
      </c>
      <c r="AY64" s="54" t="str">
        <f t="shared" si="12"/>
        <v>&amp;AllGlyphs[57]</v>
      </c>
      <c r="AZ64" s="54" t="str">
        <f t="shared" si="13"/>
        <v>&amp;AllGlyphs[62]</v>
      </c>
      <c r="BB64" s="64">
        <f t="shared" si="14"/>
        <v>0</v>
      </c>
      <c r="BC64" s="64">
        <f t="shared" si="15"/>
        <v>0</v>
      </c>
      <c r="BD64" s="64">
        <f t="shared" si="16"/>
        <v>0</v>
      </c>
      <c r="BE64" s="64">
        <f t="shared" si="17"/>
        <v>1</v>
      </c>
    </row>
    <row r="65" spans="1:57" x14ac:dyDescent="0.4">
      <c r="A65" s="7" t="s">
        <v>75</v>
      </c>
      <c r="B65" s="6" t="str">
        <f t="shared" si="0"/>
        <v>_</v>
      </c>
      <c r="C65" s="48" cm="1">
        <f t="array" ref="C65">IF($N65,INDEX($O:$O,MATCH(TRUE,EXACT(B65,$A:$A),0)),"")</f>
        <v>63</v>
      </c>
      <c r="D65" s="38" t="s">
        <v>70</v>
      </c>
      <c r="E65" s="48" cm="1">
        <f t="array" ref="E65">IF($N65,INDEX($O:$O,MATCH(TRUE,EXACT(D65,$A:$A),0)),"")</f>
        <v>11</v>
      </c>
      <c r="F65" s="38" t="s">
        <v>77</v>
      </c>
      <c r="G65" s="48" cm="1">
        <f t="array" ref="G65">IF($O65&lt;&gt;"",INDEX($O:$O,MATCH(TRUE,EXACT(F65,$A:$A),0)),"")</f>
        <v>93</v>
      </c>
      <c r="H65" s="38" t="s">
        <v>76</v>
      </c>
      <c r="I65" s="48" cm="1">
        <f t="array" ref="I65">IF($N65,INDEX($O:$O,MATCH(TRUE,EXACT(H65,$A:$A),0)),"")</f>
        <v>91</v>
      </c>
      <c r="J65" s="38" t="s">
        <v>70</v>
      </c>
      <c r="K65" s="52" cm="1">
        <f t="array" ref="K65">IF($N65,INDEX($O:$O,MATCH(TRUE,EXACT(J65,$A:$A),0)),"")</f>
        <v>11</v>
      </c>
      <c r="L65" s="23"/>
      <c r="M65" s="33"/>
      <c r="N65" s="18" t="b">
        <f t="shared" si="3"/>
        <v>1</v>
      </c>
      <c r="O65" s="19">
        <f>IF(N65, MAX(O$2:O64)+1,"")</f>
        <v>63</v>
      </c>
      <c r="P65" s="23" t="str">
        <f t="shared" si="1"/>
        <v>_</v>
      </c>
      <c r="Q65" s="8" t="str" cm="1">
        <f t="array" ref="Q65">CharToUTF8(A65)</f>
        <v>\x5F</v>
      </c>
      <c r="S65" s="18" t="str">
        <f t="shared" ref="S65:S70" si="22">$AG$3</f>
        <v>DIAG_BOTH</v>
      </c>
      <c r="T65" s="24" t="str">
        <f>$AG$4</f>
        <v>ORTHO_BOTH</v>
      </c>
      <c r="U65" s="24" t="str">
        <f>$AG$3</f>
        <v>DIAG_BOTH</v>
      </c>
      <c r="V65" s="21" t="str">
        <f>$AG$4</f>
        <v>ORTHO_BOTH</v>
      </c>
      <c r="X65" s="31" t="b">
        <f t="shared" si="5"/>
        <v>0</v>
      </c>
      <c r="Y65" s="31" t="b">
        <f t="shared" si="6"/>
        <v>0</v>
      </c>
      <c r="Z65" t="b">
        <f t="shared" si="7"/>
        <v>0</v>
      </c>
      <c r="AA65" t="b">
        <f t="shared" si="8"/>
        <v>0</v>
      </c>
      <c r="AB65" t="b">
        <f>IF($N65,S65=VLOOKUP(S65,$AG$2:$AL$10,4,FALSE),"")</f>
        <v>1</v>
      </c>
      <c r="AC65" t="b">
        <f>IF($N65,T65=VLOOKUP(T65,$AG$2:$AL$10,4,FALSE),"")</f>
        <v>1</v>
      </c>
      <c r="AD65" t="b">
        <f>IF($N65,U65=VLOOKUP(U65,$AG$2:$AL$10,5,FALSE),"")</f>
        <v>1</v>
      </c>
      <c r="AE65" t="b">
        <f>IF($N65,V65=VLOOKUP(V65,$AG$2:$AL$10,5,FALSE),"")</f>
        <v>1</v>
      </c>
      <c r="AN65" s="55" t="str">
        <f t="shared" si="19"/>
        <v xml:space="preserve">    { wxString::FromUTF8("\x5F"), &amp;AllGlyphs[11], &amp;AllGlyphs[93], &amp;AllGlyphs[91], &amp;AllGlyphs[11], Connection::DIAG_BOTH, Connection::ORTHO_BOTH, Connection::DIAG_BOTH, Connection::ORTHO_BOTH, 0, 0, 0, 0 },</v>
      </c>
      <c r="AO65" s="56"/>
      <c r="AP65" s="56"/>
      <c r="AQ65" s="56"/>
      <c r="AR65" s="56"/>
      <c r="AS65" s="56"/>
      <c r="AT65" s="56"/>
      <c r="AU65" s="57"/>
      <c r="AW65" s="54" t="str">
        <f t="shared" si="10"/>
        <v>&amp;AllGlyphs[11]</v>
      </c>
      <c r="AX65" s="54" t="str">
        <f t="shared" si="11"/>
        <v>&amp;AllGlyphs[93]</v>
      </c>
      <c r="AY65" s="54" t="str">
        <f t="shared" si="12"/>
        <v>&amp;AllGlyphs[91]</v>
      </c>
      <c r="AZ65" s="54" t="str">
        <f t="shared" si="13"/>
        <v>&amp;AllGlyphs[11]</v>
      </c>
      <c r="BB65" s="64">
        <f t="shared" si="14"/>
        <v>0</v>
      </c>
      <c r="BC65" s="64">
        <f t="shared" si="15"/>
        <v>0</v>
      </c>
      <c r="BD65" s="64">
        <f t="shared" si="16"/>
        <v>0</v>
      </c>
      <c r="BE65" s="64">
        <f t="shared" si="17"/>
        <v>0</v>
      </c>
    </row>
    <row r="66" spans="1:57" x14ac:dyDescent="0.4">
      <c r="A66" s="7" t="s">
        <v>168</v>
      </c>
      <c r="B66" s="6" t="str">
        <f t="shared" ref="B66:B129" si="23">A66</f>
        <v>`</v>
      </c>
      <c r="C66" s="48" cm="1">
        <f t="array" ref="C66">IF($N66,INDEX($O:$O,MATCH(TRUE,EXACT(B66,$A:$A),0)),"")</f>
        <v>64</v>
      </c>
      <c r="D66" s="38">
        <v>1</v>
      </c>
      <c r="E66" s="48" cm="1">
        <f t="array" ref="E66">IF($N66,INDEX($O:$O,MATCH(TRUE,EXACT(D66,$A:$A),0)),"")</f>
        <v>17</v>
      </c>
      <c r="F66" s="38" t="s">
        <v>168</v>
      </c>
      <c r="G66" s="48" cm="1">
        <f t="array" ref="G66">IF($O66&lt;&gt;"",INDEX($O:$O,MATCH(TRUE,EXACT(F66,$A:$A),0)),"")</f>
        <v>64</v>
      </c>
      <c r="H66" s="38" t="s">
        <v>168</v>
      </c>
      <c r="I66" s="48" cm="1">
        <f t="array" ref="I66">IF($N66,INDEX($O:$O,MATCH(TRUE,EXACT(H66,$A:$A),0)),"")</f>
        <v>64</v>
      </c>
      <c r="J66" s="38" t="s">
        <v>168</v>
      </c>
      <c r="K66" s="52" cm="1">
        <f t="array" ref="K66">IF($N66,INDEX($O:$O,MATCH(TRUE,EXACT(J66,$A:$A),0)),"")</f>
        <v>64</v>
      </c>
      <c r="L66" s="23"/>
      <c r="M66" s="33"/>
      <c r="N66" s="18" t="b">
        <f t="shared" si="3"/>
        <v>1</v>
      </c>
      <c r="O66" s="19">
        <f>IF(N66, MAX(O$2:O65)+1,"")</f>
        <v>64</v>
      </c>
      <c r="P66" s="23" t="str">
        <f t="shared" ref="P66:P129" si="24">A66</f>
        <v>`</v>
      </c>
      <c r="Q66" s="8" t="str" cm="1">
        <f t="array" ref="Q66">CharToUTF8(A66)</f>
        <v>\x60</v>
      </c>
      <c r="S66" s="18" t="str">
        <f t="shared" si="22"/>
        <v>DIAG_BOTH</v>
      </c>
      <c r="T66" s="24" t="str">
        <f>$AG$3</f>
        <v>DIAG_BOTH</v>
      </c>
      <c r="U66" s="24" t="str">
        <f>$AG$2</f>
        <v>EMPTY</v>
      </c>
      <c r="V66" s="21" t="str">
        <f>$AG$2</f>
        <v>EMPTY</v>
      </c>
      <c r="X66" s="31" t="b">
        <f t="shared" si="5"/>
        <v>0</v>
      </c>
      <c r="Y66" s="31" t="b">
        <f t="shared" si="6"/>
        <v>1</v>
      </c>
      <c r="Z66" t="b">
        <f t="shared" si="7"/>
        <v>1</v>
      </c>
      <c r="AA66" t="b">
        <f t="shared" si="8"/>
        <v>1</v>
      </c>
      <c r="AB66" t="b">
        <f>IF($N66,S66=VLOOKUP(S66,$AG$2:$AL$10,4,FALSE),"")</f>
        <v>1</v>
      </c>
      <c r="AC66" t="b">
        <f>IF($N66,T66=VLOOKUP(T66,$AG$2:$AL$10,4,FALSE),"")</f>
        <v>1</v>
      </c>
      <c r="AD66" t="b">
        <f>IF($N66,U66=VLOOKUP(U66,$AG$2:$AL$10,5,FALSE),"")</f>
        <v>1</v>
      </c>
      <c r="AE66" t="b">
        <f>IF($N66,V66=VLOOKUP(V66,$AG$2:$AL$10,5,FALSE),"")</f>
        <v>1</v>
      </c>
      <c r="AN66" s="55" t="str">
        <f t="shared" si="19"/>
        <v xml:space="preserve">    { wxString::FromUTF8("\x60"), &amp;AllGlyphs[17], &amp;AllGlyphs[64], &amp;AllGlyphs[64], &amp;AllGlyphs[64], Connection::DIAG_BOTH, Connection::DIAG_BOTH, Connection::EMPTY, Connection::EMPTY, 0, 1, 1, 1 },</v>
      </c>
      <c r="AO66" s="56"/>
      <c r="AP66" s="56"/>
      <c r="AQ66" s="56"/>
      <c r="AR66" s="56"/>
      <c r="AS66" s="56"/>
      <c r="AT66" s="56"/>
      <c r="AU66" s="57"/>
      <c r="AW66" s="54" t="str">
        <f t="shared" si="10"/>
        <v>&amp;AllGlyphs[17]</v>
      </c>
      <c r="AX66" s="54" t="str">
        <f t="shared" si="11"/>
        <v>&amp;AllGlyphs[64]</v>
      </c>
      <c r="AY66" s="54" t="str">
        <f t="shared" si="12"/>
        <v>&amp;AllGlyphs[64]</v>
      </c>
      <c r="AZ66" s="54" t="str">
        <f t="shared" si="13"/>
        <v>&amp;AllGlyphs[64]</v>
      </c>
      <c r="BB66" s="64">
        <f t="shared" si="14"/>
        <v>0</v>
      </c>
      <c r="BC66" s="64">
        <f t="shared" si="15"/>
        <v>1</v>
      </c>
      <c r="BD66" s="64">
        <f t="shared" si="16"/>
        <v>1</v>
      </c>
      <c r="BE66" s="64">
        <f t="shared" si="17"/>
        <v>1</v>
      </c>
    </row>
    <row r="67" spans="1:57" x14ac:dyDescent="0.4">
      <c r="A67" s="7" t="s">
        <v>10</v>
      </c>
      <c r="B67" s="6" t="str">
        <f t="shared" si="23"/>
        <v>a</v>
      </c>
      <c r="C67" s="48" cm="1">
        <f t="array" ref="C67">IF($N67,INDEX($O:$O,MATCH(TRUE,EXACT(B67,$A:$A),0)),"")</f>
        <v>65</v>
      </c>
      <c r="D67" s="38" t="s">
        <v>1</v>
      </c>
      <c r="E67" s="48" cm="1">
        <f t="array" ref="E67">IF($N67,INDEX($O:$O,MATCH(TRUE,EXACT(D67,$A:$A),0)),"")</f>
        <v>87</v>
      </c>
      <c r="F67" s="38" t="s">
        <v>12</v>
      </c>
      <c r="G67" s="48" cm="1">
        <f t="array" ref="G67">IF($O67&lt;&gt;"",INDEX($O:$O,MATCH(TRUE,EXACT(F67,$A:$A),0)),"")</f>
        <v>68</v>
      </c>
      <c r="H67" s="38" t="s">
        <v>10</v>
      </c>
      <c r="I67" s="48" cm="1">
        <f t="array" ref="I67">IF($N67,INDEX($O:$O,MATCH(TRUE,EXACT(H67,$A:$A),0)),"")</f>
        <v>65</v>
      </c>
      <c r="J67" s="38" t="s">
        <v>12</v>
      </c>
      <c r="K67" s="52" cm="1">
        <f t="array" ref="K67">IF($N67,INDEX($O:$O,MATCH(TRUE,EXACT(J67,$A:$A),0)),"")</f>
        <v>68</v>
      </c>
      <c r="L67" s="23"/>
      <c r="M67" s="33"/>
      <c r="N67" s="18" t="b">
        <f t="shared" ref="N67:N130" si="25">AND(B67&lt;&gt;"", D67&lt;&gt;"", F67&lt;&gt;"", J67&lt;&gt;"", H67&lt;&gt;"")</f>
        <v>1</v>
      </c>
      <c r="O67" s="19">
        <f>IF(N67, MAX(O$2:O66)+1,"")</f>
        <v>65</v>
      </c>
      <c r="P67" s="23" t="str">
        <f t="shared" si="24"/>
        <v>a</v>
      </c>
      <c r="Q67" s="8" t="str" cm="1">
        <f t="array" ref="Q67">CharToUTF8(A67)</f>
        <v>\x61</v>
      </c>
      <c r="S67" s="18" t="str">
        <f t="shared" si="22"/>
        <v>DIAG_BOTH</v>
      </c>
      <c r="T67" s="24" t="str">
        <f>$AG$3</f>
        <v>DIAG_BOTH</v>
      </c>
      <c r="U67" s="24" t="str">
        <f>$AG$2</f>
        <v>EMPTY</v>
      </c>
      <c r="V67" s="21" t="str">
        <f>$AG$3</f>
        <v>DIAG_BOTH</v>
      </c>
      <c r="X67" s="31" t="b">
        <f t="shared" ref="X67:X130" si="26">IF($N67,C67=E67,"")</f>
        <v>0</v>
      </c>
      <c r="Y67" s="31" t="b">
        <f t="shared" ref="Y67:Y130" si="27">IF($N67,C67=G67,"")</f>
        <v>0</v>
      </c>
      <c r="Z67" t="b">
        <f t="shared" ref="Z67:Z130" si="28">IF($N67,C67=I67,"")</f>
        <v>1</v>
      </c>
      <c r="AA67" t="b">
        <f t="shared" ref="AA67:AA130" si="29">IF($N67,C67=K67,"")</f>
        <v>0</v>
      </c>
      <c r="AB67" t="b">
        <f>IF($N67,S67=VLOOKUP(S67,$AG$2:$AL$10,4,FALSE),"")</f>
        <v>1</v>
      </c>
      <c r="AC67" t="b">
        <f>IF($N67,T67=VLOOKUP(T67,$AG$2:$AL$10,4,FALSE),"")</f>
        <v>1</v>
      </c>
      <c r="AD67" t="b">
        <f>IF($N67,U67=VLOOKUP(U67,$AG$2:$AL$10,5,FALSE),"")</f>
        <v>1</v>
      </c>
      <c r="AE67" t="b">
        <f>IF($N67,V67=VLOOKUP(V67,$AG$2:$AL$10,5,FALSE),"")</f>
        <v>1</v>
      </c>
      <c r="AN67" s="55" t="str">
        <f t="shared" si="19"/>
        <v xml:space="preserve">    { wxString::FromUTF8("\x61"), &amp;AllGlyphs[87], &amp;AllGlyphs[68], &amp;AllGlyphs[65], &amp;AllGlyphs[68], Connection::DIAG_BOTH, Connection::DIAG_BOTH, Connection::EMPTY, Connection::DIAG_BOTH, 0, 0, 1, 0 },</v>
      </c>
      <c r="AO67" s="56"/>
      <c r="AP67" s="56"/>
      <c r="AQ67" s="56"/>
      <c r="AR67" s="56"/>
      <c r="AS67" s="56"/>
      <c r="AT67" s="56"/>
      <c r="AU67" s="57"/>
      <c r="AW67" s="54" t="str">
        <f t="shared" ref="AW67:AW130" si="30">IF($N67,"&amp;AllGlyphs[" &amp; E67 &amp; "]","")</f>
        <v>&amp;AllGlyphs[87]</v>
      </c>
      <c r="AX67" s="54" t="str">
        <f t="shared" ref="AX67:AX130" si="31">IF($N67,"&amp;AllGlyphs[" &amp; G67 &amp; "]","")</f>
        <v>&amp;AllGlyphs[68]</v>
      </c>
      <c r="AY67" s="54" t="str">
        <f t="shared" ref="AY67:AY130" si="32">IF($N67,"&amp;AllGlyphs[" &amp; I67 &amp; "]","")</f>
        <v>&amp;AllGlyphs[65]</v>
      </c>
      <c r="AZ67" s="54" t="str">
        <f t="shared" ref="AZ67:AZ130" si="33">IF($N67,"&amp;AllGlyphs[" &amp; K67 &amp; "]","")</f>
        <v>&amp;AllGlyphs[68]</v>
      </c>
      <c r="BB67" s="64">
        <f t="shared" ref="BB67:BB130" si="34">IF($N67,IF(X67,1,0),"")</f>
        <v>0</v>
      </c>
      <c r="BC67" s="64">
        <f t="shared" ref="BC67:BC130" si="35">IF($N67,IF(Y67,1,0),"")</f>
        <v>0</v>
      </c>
      <c r="BD67" s="64">
        <f t="shared" ref="BD67:BD130" si="36">IF($N67,IF(Z67,1,0),"")</f>
        <v>1</v>
      </c>
      <c r="BE67" s="64">
        <f t="shared" ref="BE67:BE130" si="37">IF($N67,IF(AA67,1,0),"")</f>
        <v>0</v>
      </c>
    </row>
    <row r="68" spans="1:57" x14ac:dyDescent="0.4">
      <c r="A68" s="7" t="s">
        <v>23</v>
      </c>
      <c r="B68" s="6" t="str">
        <f t="shared" si="23"/>
        <v>b</v>
      </c>
      <c r="C68" s="48" cm="1">
        <f t="array" ref="C68">IF($N68,INDEX($O:$O,MATCH(TRUE,EXACT(B68,$A:$A),0)),"")</f>
        <v>66</v>
      </c>
      <c r="D68" s="38">
        <v>6</v>
      </c>
      <c r="E68" s="48" cm="1">
        <f t="array" ref="E68">IF($N68,INDEX($O:$O,MATCH(TRUE,EXACT(D68,$A:$A),0)),"")</f>
        <v>22</v>
      </c>
      <c r="F68" s="38" t="s">
        <v>24</v>
      </c>
      <c r="G68" s="48" cm="1">
        <f t="array" ref="G68">IF($O68&lt;&gt;"",INDEX($O:$O,MATCH(TRUE,EXACT(F68,$A:$A),0)),"")</f>
        <v>78</v>
      </c>
      <c r="H68" s="38" t="s">
        <v>23</v>
      </c>
      <c r="I68" s="48" cm="1">
        <f t="array" ref="I68">IF($N68,INDEX($O:$O,MATCH(TRUE,EXACT(H68,$A:$A),0)),"")</f>
        <v>66</v>
      </c>
      <c r="J68" s="38" t="s">
        <v>24</v>
      </c>
      <c r="K68" s="52" cm="1">
        <f t="array" ref="K68">IF($N68,INDEX($O:$O,MATCH(TRUE,EXACT(J68,$A:$A),0)),"")</f>
        <v>78</v>
      </c>
      <c r="L68" s="23"/>
      <c r="M68" s="33"/>
      <c r="N68" s="18" t="b">
        <f t="shared" si="25"/>
        <v>1</v>
      </c>
      <c r="O68" s="19">
        <f>IF(N68, MAX(O$2:O67)+1,"")</f>
        <v>66</v>
      </c>
      <c r="P68" s="23" t="str">
        <f t="shared" si="24"/>
        <v>b</v>
      </c>
      <c r="Q68" s="8" t="str" cm="1">
        <f t="array" ref="Q68">CharToUTF8(A68)</f>
        <v>\x62</v>
      </c>
      <c r="S68" s="18" t="str">
        <f t="shared" si="22"/>
        <v>DIAG_BOTH</v>
      </c>
      <c r="T68" s="24" t="str">
        <f>$AG$3</f>
        <v>DIAG_BOTH</v>
      </c>
      <c r="U68" s="24" t="str">
        <f>$AG$2</f>
        <v>EMPTY</v>
      </c>
      <c r="V68" s="21" t="str">
        <f>$AG$4</f>
        <v>ORTHO_BOTH</v>
      </c>
      <c r="X68" s="31" t="b">
        <f t="shared" si="26"/>
        <v>0</v>
      </c>
      <c r="Y68" s="31" t="b">
        <f t="shared" si="27"/>
        <v>0</v>
      </c>
      <c r="Z68" t="b">
        <f t="shared" si="28"/>
        <v>1</v>
      </c>
      <c r="AA68" t="b">
        <f t="shared" si="29"/>
        <v>0</v>
      </c>
      <c r="AB68" t="b">
        <f>IF($N68,S68=VLOOKUP(S68,$AG$2:$AL$10,4,FALSE),"")</f>
        <v>1</v>
      </c>
      <c r="AC68" t="b">
        <f>IF($N68,T68=VLOOKUP(T68,$AG$2:$AL$10,4,FALSE),"")</f>
        <v>1</v>
      </c>
      <c r="AD68" t="b">
        <f>IF($N68,U68=VLOOKUP(U68,$AG$2:$AL$10,5,FALSE),"")</f>
        <v>1</v>
      </c>
      <c r="AE68" t="b">
        <f>IF($N68,V68=VLOOKUP(V68,$AG$2:$AL$10,5,FALSE),"")</f>
        <v>1</v>
      </c>
      <c r="AN68" s="55" t="str">
        <f t="shared" si="19"/>
        <v xml:space="preserve">    { wxString::FromUTF8("\x62"), &amp;AllGlyphs[22], &amp;AllGlyphs[78], &amp;AllGlyphs[66], &amp;AllGlyphs[78], Connection::DIAG_BOTH, Connection::DIAG_BOTH, Connection::EMPTY, Connection::ORTHO_BOTH, 0, 0, 1, 0 },</v>
      </c>
      <c r="AO68" s="56"/>
      <c r="AP68" s="56"/>
      <c r="AQ68" s="56"/>
      <c r="AR68" s="56"/>
      <c r="AS68" s="56"/>
      <c r="AT68" s="56"/>
      <c r="AU68" s="57"/>
      <c r="AW68" s="54" t="str">
        <f t="shared" si="30"/>
        <v>&amp;AllGlyphs[22]</v>
      </c>
      <c r="AX68" s="54" t="str">
        <f t="shared" si="31"/>
        <v>&amp;AllGlyphs[78]</v>
      </c>
      <c r="AY68" s="54" t="str">
        <f t="shared" si="32"/>
        <v>&amp;AllGlyphs[66]</v>
      </c>
      <c r="AZ68" s="54" t="str">
        <f t="shared" si="33"/>
        <v>&amp;AllGlyphs[78]</v>
      </c>
      <c r="BB68" s="64">
        <f t="shared" si="34"/>
        <v>0</v>
      </c>
      <c r="BC68" s="64">
        <f t="shared" si="35"/>
        <v>0</v>
      </c>
      <c r="BD68" s="64">
        <f t="shared" si="36"/>
        <v>1</v>
      </c>
      <c r="BE68" s="64">
        <f t="shared" si="37"/>
        <v>0</v>
      </c>
    </row>
    <row r="69" spans="1:57" x14ac:dyDescent="0.4">
      <c r="A69" s="7" t="s">
        <v>21</v>
      </c>
      <c r="B69" s="6" t="str">
        <f t="shared" si="23"/>
        <v>c</v>
      </c>
      <c r="C69" s="48" cm="1">
        <f t="array" ref="C69">IF($N69,INDEX($O:$O,MATCH(TRUE,EXACT(B69,$A:$A),0)),"")</f>
        <v>67</v>
      </c>
      <c r="D69" s="38" t="s">
        <v>19</v>
      </c>
      <c r="E69" s="48" cm="1">
        <f t="array" ref="E69">IF($N69,INDEX($O:$O,MATCH(TRUE,EXACT(D69,$A:$A),0)),"")</f>
        <v>90</v>
      </c>
      <c r="F69" s="38" t="s">
        <v>0</v>
      </c>
      <c r="G69" s="48" cm="1">
        <f t="array" ref="G69">IF($O69&lt;&gt;"",INDEX($O:$O,MATCH(TRUE,EXACT(F69,$A:$A),0)),"")</f>
        <v>81</v>
      </c>
      <c r="H69" s="38" t="s">
        <v>2</v>
      </c>
      <c r="I69" s="48" cm="1">
        <f t="array" ref="I69">IF($N69,INDEX($O:$O,MATCH(TRUE,EXACT(H69,$A:$A),0)),"")</f>
        <v>69</v>
      </c>
      <c r="J69" s="38" t="s">
        <v>19</v>
      </c>
      <c r="K69" s="52" cm="1">
        <f t="array" ref="K69">IF($N69,INDEX($O:$O,MATCH(TRUE,EXACT(J69,$A:$A),0)),"")</f>
        <v>90</v>
      </c>
      <c r="L69" s="23"/>
      <c r="M69" s="33"/>
      <c r="N69" s="18" t="b">
        <f t="shared" si="25"/>
        <v>1</v>
      </c>
      <c r="O69" s="19">
        <f>IF(N69, MAX(O$2:O68)+1,"")</f>
        <v>67</v>
      </c>
      <c r="P69" s="23" t="str">
        <f t="shared" si="24"/>
        <v>c</v>
      </c>
      <c r="Q69" s="8" t="str" cm="1">
        <f t="array" ref="Q69">CharToUTF8(A69)</f>
        <v>\x63</v>
      </c>
      <c r="S69" s="18" t="str">
        <f t="shared" si="22"/>
        <v>DIAG_BOTH</v>
      </c>
      <c r="T69" s="24" t="str">
        <f>$AG$2</f>
        <v>EMPTY</v>
      </c>
      <c r="U69" s="24" t="str">
        <f>$AG$3</f>
        <v>DIAG_BOTH</v>
      </c>
      <c r="V69" s="21" t="str">
        <f>$AG$2</f>
        <v>EMPTY</v>
      </c>
      <c r="X69" s="31" t="b">
        <f t="shared" si="26"/>
        <v>0</v>
      </c>
      <c r="Y69" s="31" t="b">
        <f t="shared" si="27"/>
        <v>0</v>
      </c>
      <c r="Z69" t="b">
        <f t="shared" si="28"/>
        <v>0</v>
      </c>
      <c r="AA69" t="b">
        <f t="shared" si="29"/>
        <v>0</v>
      </c>
      <c r="AB69" t="b">
        <f>IF($N69,S69=VLOOKUP(S69,$AG$2:$AL$10,4,FALSE),"")</f>
        <v>1</v>
      </c>
      <c r="AC69" t="b">
        <f>IF($N69,T69=VLOOKUP(T69,$AG$2:$AL$10,4,FALSE),"")</f>
        <v>1</v>
      </c>
      <c r="AD69" t="b">
        <f>IF($N69,U69=VLOOKUP(U69,$AG$2:$AL$10,5,FALSE),"")</f>
        <v>1</v>
      </c>
      <c r="AE69" t="b">
        <f>IF($N69,V69=VLOOKUP(V69,$AG$2:$AL$10,5,FALSE),"")</f>
        <v>1</v>
      </c>
      <c r="AN69" s="55" t="str">
        <f t="shared" si="19"/>
        <v xml:space="preserve">    { wxString::FromUTF8("\x63"), &amp;AllGlyphs[90], &amp;AllGlyphs[81], &amp;AllGlyphs[69], &amp;AllGlyphs[90], Connection::DIAG_BOTH, Connection::EMPTY, Connection::DIAG_BOTH, Connection::EMPTY, 0, 0, 0, 0 },</v>
      </c>
      <c r="AO69" s="56"/>
      <c r="AP69" s="56"/>
      <c r="AQ69" s="56"/>
      <c r="AR69" s="56"/>
      <c r="AS69" s="56"/>
      <c r="AT69" s="56"/>
      <c r="AU69" s="57"/>
      <c r="AW69" s="54" t="str">
        <f t="shared" si="30"/>
        <v>&amp;AllGlyphs[90]</v>
      </c>
      <c r="AX69" s="54" t="str">
        <f t="shared" si="31"/>
        <v>&amp;AllGlyphs[81]</v>
      </c>
      <c r="AY69" s="54" t="str">
        <f t="shared" si="32"/>
        <v>&amp;AllGlyphs[69]</v>
      </c>
      <c r="AZ69" s="54" t="str">
        <f t="shared" si="33"/>
        <v>&amp;AllGlyphs[90]</v>
      </c>
      <c r="BB69" s="64">
        <f t="shared" si="34"/>
        <v>0</v>
      </c>
      <c r="BC69" s="64">
        <f t="shared" si="35"/>
        <v>0</v>
      </c>
      <c r="BD69" s="64">
        <f t="shared" si="36"/>
        <v>0</v>
      </c>
      <c r="BE69" s="64">
        <f t="shared" si="37"/>
        <v>0</v>
      </c>
    </row>
    <row r="70" spans="1:57" x14ac:dyDescent="0.4">
      <c r="A70" s="7" t="s">
        <v>12</v>
      </c>
      <c r="B70" s="6" t="str">
        <f t="shared" si="23"/>
        <v>d</v>
      </c>
      <c r="C70" s="48" cm="1">
        <f t="array" ref="C70">IF($N70,INDEX($O:$O,MATCH(TRUE,EXACT(B70,$A:$A),0)),"")</f>
        <v>68</v>
      </c>
      <c r="D70" s="38" t="s">
        <v>20</v>
      </c>
      <c r="E70" s="48" cm="1">
        <f t="array" ref="E70">IF($N70,INDEX($O:$O,MATCH(TRUE,EXACT(D70,$A:$A),0)),"")</f>
        <v>88</v>
      </c>
      <c r="F70" s="38" t="s">
        <v>10</v>
      </c>
      <c r="G70" s="48" cm="1">
        <f t="array" ref="G70">IF($O70&lt;&gt;"",INDEX($O:$O,MATCH(TRUE,EXACT(F70,$A:$A),0)),"")</f>
        <v>65</v>
      </c>
      <c r="H70" s="38" t="s">
        <v>12</v>
      </c>
      <c r="I70" s="48" cm="1">
        <f t="array" ref="I70">IF($N70,INDEX($O:$O,MATCH(TRUE,EXACT(H70,$A:$A),0)),"")</f>
        <v>68</v>
      </c>
      <c r="J70" s="38" t="s">
        <v>10</v>
      </c>
      <c r="K70" s="52" cm="1">
        <f t="array" ref="K70">IF($N70,INDEX($O:$O,MATCH(TRUE,EXACT(J70,$A:$A),0)),"")</f>
        <v>65</v>
      </c>
      <c r="L70" s="23"/>
      <c r="M70" s="33"/>
      <c r="N70" s="18" t="b">
        <f t="shared" si="25"/>
        <v>1</v>
      </c>
      <c r="O70" s="19">
        <f>IF(N70, MAX(O$2:O69)+1,"")</f>
        <v>68</v>
      </c>
      <c r="P70" s="23" t="str">
        <f t="shared" si="24"/>
        <v>d</v>
      </c>
      <c r="Q70" s="8" t="str" cm="1">
        <f t="array" ref="Q70">CharToUTF8(A70)</f>
        <v>\x64</v>
      </c>
      <c r="S70" s="18" t="str">
        <f t="shared" si="22"/>
        <v>DIAG_BOTH</v>
      </c>
      <c r="T70" s="24" t="str">
        <f>$AG$3</f>
        <v>DIAG_BOTH</v>
      </c>
      <c r="U70" s="24" t="str">
        <f>$AG$3</f>
        <v>DIAG_BOTH</v>
      </c>
      <c r="V70" s="21" t="str">
        <f>$AG$2</f>
        <v>EMPTY</v>
      </c>
      <c r="X70" s="31" t="b">
        <f t="shared" si="26"/>
        <v>0</v>
      </c>
      <c r="Y70" s="31" t="b">
        <f t="shared" si="27"/>
        <v>0</v>
      </c>
      <c r="Z70" t="b">
        <f t="shared" si="28"/>
        <v>1</v>
      </c>
      <c r="AA70" t="b">
        <f t="shared" si="29"/>
        <v>0</v>
      </c>
      <c r="AB70" t="b">
        <f>IF($N70,S70=VLOOKUP(S70,$AG$2:$AL$10,4,FALSE),"")</f>
        <v>1</v>
      </c>
      <c r="AC70" t="b">
        <f>IF($N70,T70=VLOOKUP(T70,$AG$2:$AL$10,4,FALSE),"")</f>
        <v>1</v>
      </c>
      <c r="AD70" t="b">
        <f>IF($N70,U70=VLOOKUP(U70,$AG$2:$AL$10,5,FALSE),"")</f>
        <v>1</v>
      </c>
      <c r="AE70" t="b">
        <f>IF($N70,V70=VLOOKUP(V70,$AG$2:$AL$10,5,FALSE),"")</f>
        <v>1</v>
      </c>
      <c r="AN70" s="55" t="str">
        <f t="shared" si="19"/>
        <v xml:space="preserve">    { wxString::FromUTF8("\x64"), &amp;AllGlyphs[88], &amp;AllGlyphs[65], &amp;AllGlyphs[68], &amp;AllGlyphs[65], Connection::DIAG_BOTH, Connection::DIAG_BOTH, Connection::DIAG_BOTH, Connection::EMPTY, 0, 0, 1, 0 },</v>
      </c>
      <c r="AO70" s="56"/>
      <c r="AP70" s="56"/>
      <c r="AQ70" s="56"/>
      <c r="AR70" s="56"/>
      <c r="AS70" s="56"/>
      <c r="AT70" s="56"/>
      <c r="AU70" s="57"/>
      <c r="AW70" s="54" t="str">
        <f t="shared" si="30"/>
        <v>&amp;AllGlyphs[88]</v>
      </c>
      <c r="AX70" s="54" t="str">
        <f t="shared" si="31"/>
        <v>&amp;AllGlyphs[65]</v>
      </c>
      <c r="AY70" s="54" t="str">
        <f t="shared" si="32"/>
        <v>&amp;AllGlyphs[68]</v>
      </c>
      <c r="AZ70" s="54" t="str">
        <f t="shared" si="33"/>
        <v>&amp;AllGlyphs[65]</v>
      </c>
      <c r="BB70" s="64">
        <f t="shared" si="34"/>
        <v>0</v>
      </c>
      <c r="BC70" s="64">
        <f t="shared" si="35"/>
        <v>0</v>
      </c>
      <c r="BD70" s="64">
        <f t="shared" si="36"/>
        <v>1</v>
      </c>
      <c r="BE70" s="64">
        <f t="shared" si="37"/>
        <v>0</v>
      </c>
    </row>
    <row r="71" spans="1:57" x14ac:dyDescent="0.4">
      <c r="A71" s="7" t="s">
        <v>2</v>
      </c>
      <c r="B71" s="6" t="str">
        <f t="shared" si="23"/>
        <v>e</v>
      </c>
      <c r="C71" s="48" cm="1">
        <f t="array" ref="C71">IF($N71,INDEX($O:$O,MATCH(TRUE,EXACT(B71,$A:$A),0)),"")</f>
        <v>69</v>
      </c>
      <c r="D71" s="38" t="s">
        <v>21</v>
      </c>
      <c r="E71" s="48" cm="1">
        <f t="array" ref="E71">IF($N71,INDEX($O:$O,MATCH(TRUE,EXACT(D71,$A:$A),0)),"")</f>
        <v>67</v>
      </c>
      <c r="F71" s="38" t="s">
        <v>19</v>
      </c>
      <c r="G71" s="48" cm="1">
        <f t="array" ref="G71">IF($O71&lt;&gt;"",INDEX($O:$O,MATCH(TRUE,EXACT(F71,$A:$A),0)),"")</f>
        <v>90</v>
      </c>
      <c r="H71" s="38" t="s">
        <v>21</v>
      </c>
      <c r="I71" s="48" cm="1">
        <f t="array" ref="I71">IF($N71,INDEX($O:$O,MATCH(TRUE,EXACT(H71,$A:$A),0)),"")</f>
        <v>67</v>
      </c>
      <c r="J71" s="38" t="s">
        <v>0</v>
      </c>
      <c r="K71" s="52" cm="1">
        <f t="array" ref="K71">IF($N71,INDEX($O:$O,MATCH(TRUE,EXACT(J71,$A:$A),0)),"")</f>
        <v>81</v>
      </c>
      <c r="L71" s="23"/>
      <c r="M71" s="33"/>
      <c r="N71" s="18" t="b">
        <f t="shared" si="25"/>
        <v>1</v>
      </c>
      <c r="O71" s="19">
        <f>IF(N71, MAX(O$2:O70)+1,"")</f>
        <v>69</v>
      </c>
      <c r="P71" s="23" t="str">
        <f t="shared" si="24"/>
        <v>e</v>
      </c>
      <c r="Q71" s="8" t="str" cm="1">
        <f t="array" ref="Q71">CharToUTF8(A71)</f>
        <v>\x65</v>
      </c>
      <c r="S71" s="18" t="str">
        <f>$AG$2</f>
        <v>EMPTY</v>
      </c>
      <c r="T71" s="24" t="str">
        <f>$AG$3</f>
        <v>DIAG_BOTH</v>
      </c>
      <c r="U71" s="24" t="str">
        <f>$AG$3</f>
        <v>DIAG_BOTH</v>
      </c>
      <c r="V71" s="21" t="str">
        <f>$AG$2</f>
        <v>EMPTY</v>
      </c>
      <c r="X71" s="31" t="b">
        <f t="shared" si="26"/>
        <v>0</v>
      </c>
      <c r="Y71" s="31" t="b">
        <f t="shared" si="27"/>
        <v>0</v>
      </c>
      <c r="Z71" t="b">
        <f t="shared" si="28"/>
        <v>0</v>
      </c>
      <c r="AA71" t="b">
        <f t="shared" si="29"/>
        <v>0</v>
      </c>
      <c r="AB71" t="b">
        <f>IF($N71,S71=VLOOKUP(S71,$AG$2:$AL$10,4,FALSE),"")</f>
        <v>1</v>
      </c>
      <c r="AC71" t="b">
        <f>IF($N71,T71=VLOOKUP(T71,$AG$2:$AL$10,4,FALSE),"")</f>
        <v>1</v>
      </c>
      <c r="AD71" t="b">
        <f>IF($N71,U71=VLOOKUP(U71,$AG$2:$AL$10,5,FALSE),"")</f>
        <v>1</v>
      </c>
      <c r="AE71" t="b">
        <f>IF($N71,V71=VLOOKUP(V71,$AG$2:$AL$10,5,FALSE),"")</f>
        <v>1</v>
      </c>
      <c r="AN71" s="55" t="str">
        <f t="shared" si="19"/>
        <v xml:space="preserve">    { wxString::FromUTF8("\x65"), &amp;AllGlyphs[67], &amp;AllGlyphs[90], &amp;AllGlyphs[67], &amp;AllGlyphs[81], Connection::EMPTY, Connection::DIAG_BOTH, Connection::DIAG_BOTH, Connection::EMPTY, 0, 0, 0, 0 },</v>
      </c>
      <c r="AO71" s="56"/>
      <c r="AP71" s="56"/>
      <c r="AQ71" s="56"/>
      <c r="AR71" s="56"/>
      <c r="AS71" s="56"/>
      <c r="AT71" s="56"/>
      <c r="AU71" s="57"/>
      <c r="AW71" s="54" t="str">
        <f t="shared" si="30"/>
        <v>&amp;AllGlyphs[67]</v>
      </c>
      <c r="AX71" s="54" t="str">
        <f t="shared" si="31"/>
        <v>&amp;AllGlyphs[90]</v>
      </c>
      <c r="AY71" s="54" t="str">
        <f t="shared" si="32"/>
        <v>&amp;AllGlyphs[67]</v>
      </c>
      <c r="AZ71" s="54" t="str">
        <f t="shared" si="33"/>
        <v>&amp;AllGlyphs[81]</v>
      </c>
      <c r="BB71" s="64">
        <f t="shared" si="34"/>
        <v>0</v>
      </c>
      <c r="BC71" s="64">
        <f t="shared" si="35"/>
        <v>0</v>
      </c>
      <c r="BD71" s="64">
        <f t="shared" si="36"/>
        <v>0</v>
      </c>
      <c r="BE71" s="64">
        <f t="shared" si="37"/>
        <v>0</v>
      </c>
    </row>
    <row r="72" spans="1:57" x14ac:dyDescent="0.4">
      <c r="A72" s="7" t="s">
        <v>13</v>
      </c>
      <c r="B72" s="6" t="str">
        <f t="shared" si="23"/>
        <v>f</v>
      </c>
      <c r="C72" s="48" cm="1">
        <f t="array" ref="C72">IF($N72,INDEX($O:$O,MATCH(TRUE,EXACT(B72,$A:$A),0)),"")</f>
        <v>70</v>
      </c>
      <c r="D72" s="38">
        <v>4</v>
      </c>
      <c r="E72" s="48" cm="1">
        <f t="array" ref="E72">IF($N72,INDEX($O:$O,MATCH(TRUE,EXACT(D72,$A:$A),0)),"")</f>
        <v>20</v>
      </c>
      <c r="F72" s="38" t="s">
        <v>22</v>
      </c>
      <c r="G72" s="48" cm="1">
        <f t="array" ref="G72">IF($O72&lt;&gt;"",INDEX($O:$O,MATCH(TRUE,EXACT(F72,$A:$A),0)),"")</f>
        <v>86</v>
      </c>
      <c r="H72" s="38" t="s">
        <v>13</v>
      </c>
      <c r="I72" s="48" cm="1">
        <f t="array" ref="I72">IF($N72,INDEX($O:$O,MATCH(TRUE,EXACT(H72,$A:$A),0)),"")</f>
        <v>70</v>
      </c>
      <c r="J72" s="38" t="s">
        <v>22</v>
      </c>
      <c r="K72" s="52" cm="1">
        <f t="array" ref="K72">IF($N72,INDEX($O:$O,MATCH(TRUE,EXACT(J72,$A:$A),0)),"")</f>
        <v>86</v>
      </c>
      <c r="L72" s="23"/>
      <c r="M72" s="33"/>
      <c r="N72" s="18" t="b">
        <f t="shared" si="25"/>
        <v>1</v>
      </c>
      <c r="O72" s="19">
        <f>IF(N72, MAX(O$2:O71)+1,"")</f>
        <v>70</v>
      </c>
      <c r="P72" s="23" t="str">
        <f t="shared" si="24"/>
        <v>f</v>
      </c>
      <c r="Q72" s="8" t="str" cm="1">
        <f t="array" ref="Q72">CharToUTF8(A72)</f>
        <v>\x66</v>
      </c>
      <c r="S72" s="18" t="str">
        <f>$AG$2</f>
        <v>EMPTY</v>
      </c>
      <c r="T72" s="24" t="str">
        <f>$AG$2</f>
        <v>EMPTY</v>
      </c>
      <c r="U72" s="24" t="str">
        <f>$AG$2</f>
        <v>EMPTY</v>
      </c>
      <c r="V72" s="21" t="str">
        <f>$AG$3</f>
        <v>DIAG_BOTH</v>
      </c>
      <c r="X72" s="31" t="b">
        <f t="shared" si="26"/>
        <v>0</v>
      </c>
      <c r="Y72" s="31" t="b">
        <f t="shared" si="27"/>
        <v>0</v>
      </c>
      <c r="Z72" t="b">
        <f t="shared" si="28"/>
        <v>1</v>
      </c>
      <c r="AA72" t="b">
        <f t="shared" si="29"/>
        <v>0</v>
      </c>
      <c r="AB72" t="b">
        <f>IF($N72,S72=VLOOKUP(S72,$AG$2:$AL$10,4,FALSE),"")</f>
        <v>1</v>
      </c>
      <c r="AC72" t="b">
        <f>IF($N72,T72=VLOOKUP(T72,$AG$2:$AL$10,4,FALSE),"")</f>
        <v>1</v>
      </c>
      <c r="AD72" t="b">
        <f>IF($N72,U72=VLOOKUP(U72,$AG$2:$AL$10,5,FALSE),"")</f>
        <v>1</v>
      </c>
      <c r="AE72" t="b">
        <f>IF($N72,V72=VLOOKUP(V72,$AG$2:$AL$10,5,FALSE),"")</f>
        <v>1</v>
      </c>
      <c r="AN72" s="55" t="str">
        <f t="shared" si="19"/>
        <v xml:space="preserve">    { wxString::FromUTF8("\x66"), &amp;AllGlyphs[20], &amp;AllGlyphs[86], &amp;AllGlyphs[70], &amp;AllGlyphs[86], Connection::EMPTY, Connection::EMPTY, Connection::EMPTY, Connection::DIAG_BOTH, 0, 0, 1, 0 },</v>
      </c>
      <c r="AO72" s="56"/>
      <c r="AP72" s="56"/>
      <c r="AQ72" s="56"/>
      <c r="AR72" s="56"/>
      <c r="AS72" s="56"/>
      <c r="AT72" s="56"/>
      <c r="AU72" s="57"/>
      <c r="AW72" s="54" t="str">
        <f t="shared" si="30"/>
        <v>&amp;AllGlyphs[20]</v>
      </c>
      <c r="AX72" s="54" t="str">
        <f t="shared" si="31"/>
        <v>&amp;AllGlyphs[86]</v>
      </c>
      <c r="AY72" s="54" t="str">
        <f t="shared" si="32"/>
        <v>&amp;AllGlyphs[70]</v>
      </c>
      <c r="AZ72" s="54" t="str">
        <f t="shared" si="33"/>
        <v>&amp;AllGlyphs[86]</v>
      </c>
      <c r="BB72" s="64">
        <f t="shared" si="34"/>
        <v>0</v>
      </c>
      <c r="BC72" s="64">
        <f t="shared" si="35"/>
        <v>0</v>
      </c>
      <c r="BD72" s="64">
        <f t="shared" si="36"/>
        <v>1</v>
      </c>
      <c r="BE72" s="64">
        <f t="shared" si="37"/>
        <v>0</v>
      </c>
    </row>
    <row r="73" spans="1:57" x14ac:dyDescent="0.4">
      <c r="A73" s="7" t="s">
        <v>14</v>
      </c>
      <c r="B73" s="6" t="str">
        <f t="shared" si="23"/>
        <v>g</v>
      </c>
      <c r="C73" s="48" cm="1">
        <f t="array" ref="C73">IF($N73,INDEX($O:$O,MATCH(TRUE,EXACT(B73,$A:$A),0)),"")</f>
        <v>71</v>
      </c>
      <c r="D73" s="38">
        <v>5</v>
      </c>
      <c r="E73" s="48" cm="1">
        <f t="array" ref="E73">IF($N73,INDEX($O:$O,MATCH(TRUE,EXACT(D73,$A:$A),0)),"")</f>
        <v>21</v>
      </c>
      <c r="F73" s="38" t="s">
        <v>15</v>
      </c>
      <c r="G73" s="48" cm="1">
        <f t="array" ref="G73">IF($O73&lt;&gt;"",INDEX($O:$O,MATCH(TRUE,EXACT(F73,$A:$A),0)),"")</f>
        <v>72</v>
      </c>
      <c r="H73" s="38" t="s">
        <v>14</v>
      </c>
      <c r="I73" s="48" cm="1">
        <f t="array" ref="I73">IF($N73,INDEX($O:$O,MATCH(TRUE,EXACT(H73,$A:$A),0)),"")</f>
        <v>71</v>
      </c>
      <c r="J73" s="38" t="s">
        <v>15</v>
      </c>
      <c r="K73" s="52" cm="1">
        <f t="array" ref="K73">IF($N73,INDEX($O:$O,MATCH(TRUE,EXACT(J73,$A:$A),0)),"")</f>
        <v>72</v>
      </c>
      <c r="L73" s="23"/>
      <c r="M73" s="33"/>
      <c r="N73" s="18" t="b">
        <f t="shared" si="25"/>
        <v>1</v>
      </c>
      <c r="O73" s="19">
        <f>IF(N73, MAX(O$2:O72)+1,"")</f>
        <v>71</v>
      </c>
      <c r="P73" s="23" t="str">
        <f t="shared" si="24"/>
        <v>g</v>
      </c>
      <c r="Q73" s="8" t="str" cm="1">
        <f t="array" ref="Q73">CharToUTF8(A73)</f>
        <v>\x67</v>
      </c>
      <c r="S73" s="18" t="str">
        <f>$AG$3</f>
        <v>DIAG_BOTH</v>
      </c>
      <c r="T73" s="24" t="str">
        <f>$AG$3</f>
        <v>DIAG_BOTH</v>
      </c>
      <c r="U73" s="24" t="str">
        <f>$AG$3</f>
        <v>DIAG_BOTH</v>
      </c>
      <c r="V73" s="21" t="str">
        <f>$AG$4</f>
        <v>ORTHO_BOTH</v>
      </c>
      <c r="X73" s="31" t="b">
        <f t="shared" si="26"/>
        <v>0</v>
      </c>
      <c r="Y73" s="31" t="b">
        <f t="shared" si="27"/>
        <v>0</v>
      </c>
      <c r="Z73" t="b">
        <f t="shared" si="28"/>
        <v>1</v>
      </c>
      <c r="AA73" t="b">
        <f t="shared" si="29"/>
        <v>0</v>
      </c>
      <c r="AB73" t="b">
        <f>IF($N73,S73=VLOOKUP(S73,$AG$2:$AL$10,4,FALSE),"")</f>
        <v>1</v>
      </c>
      <c r="AC73" t="b">
        <f>IF($N73,T73=VLOOKUP(T73,$AG$2:$AL$10,4,FALSE),"")</f>
        <v>1</v>
      </c>
      <c r="AD73" t="b">
        <f>IF($N73,U73=VLOOKUP(U73,$AG$2:$AL$10,5,FALSE),"")</f>
        <v>1</v>
      </c>
      <c r="AE73" t="b">
        <f>IF($N73,V73=VLOOKUP(V73,$AG$2:$AL$10,5,FALSE),"")</f>
        <v>1</v>
      </c>
      <c r="AN73" s="55" t="str">
        <f t="shared" si="19"/>
        <v xml:space="preserve">    { wxString::FromUTF8("\x67"), &amp;AllGlyphs[21], &amp;AllGlyphs[72], &amp;AllGlyphs[71], &amp;AllGlyphs[72], Connection::DIAG_BOTH, Connection::DIAG_BOTH, Connection::DIAG_BOTH, Connection::ORTHO_BOTH, 0, 0, 1, 0 },</v>
      </c>
      <c r="AO73" s="56"/>
      <c r="AP73" s="56"/>
      <c r="AQ73" s="56"/>
      <c r="AR73" s="56"/>
      <c r="AS73" s="56"/>
      <c r="AT73" s="56"/>
      <c r="AU73" s="57"/>
      <c r="AW73" s="54" t="str">
        <f t="shared" si="30"/>
        <v>&amp;AllGlyphs[21]</v>
      </c>
      <c r="AX73" s="54" t="str">
        <f t="shared" si="31"/>
        <v>&amp;AllGlyphs[72]</v>
      </c>
      <c r="AY73" s="54" t="str">
        <f t="shared" si="32"/>
        <v>&amp;AllGlyphs[71]</v>
      </c>
      <c r="AZ73" s="54" t="str">
        <f t="shared" si="33"/>
        <v>&amp;AllGlyphs[72]</v>
      </c>
      <c r="BB73" s="64">
        <f t="shared" si="34"/>
        <v>0</v>
      </c>
      <c r="BC73" s="64">
        <f t="shared" si="35"/>
        <v>0</v>
      </c>
      <c r="BD73" s="64">
        <f t="shared" si="36"/>
        <v>1</v>
      </c>
      <c r="BE73" s="64">
        <f t="shared" si="37"/>
        <v>0</v>
      </c>
    </row>
    <row r="74" spans="1:57" x14ac:dyDescent="0.4">
      <c r="A74" s="7" t="s">
        <v>15</v>
      </c>
      <c r="B74" s="6" t="str">
        <f t="shared" si="23"/>
        <v>h</v>
      </c>
      <c r="C74" s="48" cm="1">
        <f t="array" ref="C74">IF($N74,INDEX($O:$O,MATCH(TRUE,EXACT(B74,$A:$A),0)),"")</f>
        <v>72</v>
      </c>
      <c r="D74" s="38" t="s">
        <v>4</v>
      </c>
      <c r="E74" s="48" cm="1">
        <f t="array" ref="E74">IF($N74,INDEX($O:$O,MATCH(TRUE,EXACT(D74,$A:$A),0)),"")</f>
        <v>84</v>
      </c>
      <c r="F74" s="38" t="s">
        <v>14</v>
      </c>
      <c r="G74" s="48" cm="1">
        <f t="array" ref="G74">IF($O74&lt;&gt;"",INDEX($O:$O,MATCH(TRUE,EXACT(F74,$A:$A),0)),"")</f>
        <v>71</v>
      </c>
      <c r="H74" s="38" t="s">
        <v>15</v>
      </c>
      <c r="I74" s="48" cm="1">
        <f t="array" ref="I74">IF($N74,INDEX($O:$O,MATCH(TRUE,EXACT(H74,$A:$A),0)),"")</f>
        <v>72</v>
      </c>
      <c r="J74" s="38" t="s">
        <v>14</v>
      </c>
      <c r="K74" s="52" cm="1">
        <f t="array" ref="K74">IF($N74,INDEX($O:$O,MATCH(TRUE,EXACT(J74,$A:$A),0)),"")</f>
        <v>71</v>
      </c>
      <c r="L74" s="23"/>
      <c r="M74" s="33"/>
      <c r="N74" s="18" t="b">
        <f t="shared" si="25"/>
        <v>1</v>
      </c>
      <c r="O74" s="19">
        <f>IF(N74, MAX(O$2:O73)+1,"")</f>
        <v>72</v>
      </c>
      <c r="P74" s="23" t="str">
        <f t="shared" si="24"/>
        <v>h</v>
      </c>
      <c r="Q74" s="8" t="str" cm="1">
        <f t="array" ref="Q74">CharToUTF8(A74)</f>
        <v>\x68</v>
      </c>
      <c r="S74" s="18" t="str">
        <f>$AG$3</f>
        <v>DIAG_BOTH</v>
      </c>
      <c r="T74" s="24" t="str">
        <f>$AG$3</f>
        <v>DIAG_BOTH</v>
      </c>
      <c r="U74" s="24" t="str">
        <f>$AG$4</f>
        <v>ORTHO_BOTH</v>
      </c>
      <c r="V74" s="21" t="str">
        <f>$AG$3</f>
        <v>DIAG_BOTH</v>
      </c>
      <c r="X74" s="31" t="b">
        <f t="shared" si="26"/>
        <v>0</v>
      </c>
      <c r="Y74" s="31" t="b">
        <f t="shared" si="27"/>
        <v>0</v>
      </c>
      <c r="Z74" t="b">
        <f t="shared" si="28"/>
        <v>1</v>
      </c>
      <c r="AA74" t="b">
        <f t="shared" si="29"/>
        <v>0</v>
      </c>
      <c r="AB74" t="b">
        <f>IF($N74,S74=VLOOKUP(S74,$AG$2:$AL$10,4,FALSE),"")</f>
        <v>1</v>
      </c>
      <c r="AC74" t="b">
        <f>IF($N74,T74=VLOOKUP(T74,$AG$2:$AL$10,4,FALSE),"")</f>
        <v>1</v>
      </c>
      <c r="AD74" t="b">
        <f>IF($N74,U74=VLOOKUP(U74,$AG$2:$AL$10,5,FALSE),"")</f>
        <v>1</v>
      </c>
      <c r="AE74" t="b">
        <f>IF($N74,V74=VLOOKUP(V74,$AG$2:$AL$10,5,FALSE),"")</f>
        <v>1</v>
      </c>
      <c r="AN74" s="55" t="str">
        <f t="shared" si="19"/>
        <v xml:space="preserve">    { wxString::FromUTF8("\x68"), &amp;AllGlyphs[84], &amp;AllGlyphs[71], &amp;AllGlyphs[72], &amp;AllGlyphs[71], Connection::DIAG_BOTH, Connection::DIAG_BOTH, Connection::ORTHO_BOTH, Connection::DIAG_BOTH, 0, 0, 1, 0 },</v>
      </c>
      <c r="AO74" s="56"/>
      <c r="AP74" s="56"/>
      <c r="AQ74" s="56"/>
      <c r="AR74" s="56"/>
      <c r="AS74" s="56"/>
      <c r="AT74" s="56"/>
      <c r="AU74" s="57"/>
      <c r="AW74" s="54" t="str">
        <f t="shared" si="30"/>
        <v>&amp;AllGlyphs[84]</v>
      </c>
      <c r="AX74" s="54" t="str">
        <f t="shared" si="31"/>
        <v>&amp;AllGlyphs[71]</v>
      </c>
      <c r="AY74" s="54" t="str">
        <f t="shared" si="32"/>
        <v>&amp;AllGlyphs[72]</v>
      </c>
      <c r="AZ74" s="54" t="str">
        <f t="shared" si="33"/>
        <v>&amp;AllGlyphs[71]</v>
      </c>
      <c r="BB74" s="64">
        <f t="shared" si="34"/>
        <v>0</v>
      </c>
      <c r="BC74" s="64">
        <f t="shared" si="35"/>
        <v>0</v>
      </c>
      <c r="BD74" s="64">
        <f t="shared" si="36"/>
        <v>1</v>
      </c>
      <c r="BE74" s="64">
        <f t="shared" si="37"/>
        <v>0</v>
      </c>
    </row>
    <row r="75" spans="1:57" x14ac:dyDescent="0.4">
      <c r="A75" s="7" t="s">
        <v>7</v>
      </c>
      <c r="B75" s="6" t="str">
        <f t="shared" si="23"/>
        <v>i</v>
      </c>
      <c r="C75" s="48" cm="1">
        <f t="array" ref="C75">IF($N75,INDEX($O:$O,MATCH(TRUE,EXACT(B75,$A:$A),0)),"")</f>
        <v>73</v>
      </c>
      <c r="D75" s="38" t="s">
        <v>25</v>
      </c>
      <c r="E75" s="48" cm="1">
        <f t="array" ref="E75">IF($N75,INDEX($O:$O,MATCH(TRUE,EXACT(D75,$A:$A),0)),"")</f>
        <v>77</v>
      </c>
      <c r="F75" s="38">
        <v>7</v>
      </c>
      <c r="G75" s="48" cm="1">
        <f t="array" ref="G75">IF($O75&lt;&gt;"",INDEX($O:$O,MATCH(TRUE,EXACT(F75,$A:$A),0)),"")</f>
        <v>23</v>
      </c>
      <c r="H75" s="38">
        <v>8</v>
      </c>
      <c r="I75" s="48" cm="1">
        <f t="array" ref="I75">IF($N75,INDEX($O:$O,MATCH(TRUE,EXACT(H75,$A:$A),0)),"")</f>
        <v>24</v>
      </c>
      <c r="J75" s="38" t="s">
        <v>6</v>
      </c>
      <c r="K75" s="52" cm="1">
        <f t="array" ref="K75">IF($N75,INDEX($O:$O,MATCH(TRUE,EXACT(J75,$A:$A),0)),"")</f>
        <v>85</v>
      </c>
      <c r="L75" s="23"/>
      <c r="M75" s="33"/>
      <c r="N75" s="18" t="b">
        <f t="shared" si="25"/>
        <v>1</v>
      </c>
      <c r="O75" s="19">
        <f>IF(N75, MAX(O$2:O74)+1,"")</f>
        <v>73</v>
      </c>
      <c r="P75" s="23" t="str">
        <f t="shared" si="24"/>
        <v>i</v>
      </c>
      <c r="Q75" s="8" t="str" cm="1">
        <f t="array" ref="Q75">CharToUTF8(A75)</f>
        <v>\x69</v>
      </c>
      <c r="S75" s="18" t="str">
        <f>$AG$4</f>
        <v>ORTHO_BOTH</v>
      </c>
      <c r="T75" s="24" t="str">
        <f>$AG$3</f>
        <v>DIAG_BOTH</v>
      </c>
      <c r="U75" s="24" t="str">
        <f>$AG$3</f>
        <v>DIAG_BOTH</v>
      </c>
      <c r="V75" s="21" t="str">
        <f>$AG$2</f>
        <v>EMPTY</v>
      </c>
      <c r="X75" s="31" t="b">
        <f t="shared" si="26"/>
        <v>0</v>
      </c>
      <c r="Y75" s="31" t="b">
        <f t="shared" si="27"/>
        <v>0</v>
      </c>
      <c r="Z75" t="b">
        <f t="shared" si="28"/>
        <v>0</v>
      </c>
      <c r="AA75" t="b">
        <f t="shared" si="29"/>
        <v>0</v>
      </c>
      <c r="AB75" t="b">
        <f>IF($N75,S75=VLOOKUP(S75,$AG$2:$AL$10,4,FALSE),"")</f>
        <v>1</v>
      </c>
      <c r="AC75" t="b">
        <f>IF($N75,T75=VLOOKUP(T75,$AG$2:$AL$10,4,FALSE),"")</f>
        <v>1</v>
      </c>
      <c r="AD75" t="b">
        <f>IF($N75,U75=VLOOKUP(U75,$AG$2:$AL$10,5,FALSE),"")</f>
        <v>1</v>
      </c>
      <c r="AE75" t="b">
        <f>IF($N75,V75=VLOOKUP(V75,$AG$2:$AL$10,5,FALSE),"")</f>
        <v>1</v>
      </c>
      <c r="AN75" s="55" t="str">
        <f t="shared" si="19"/>
        <v xml:space="preserve">    { wxString::FromUTF8("\x69"), &amp;AllGlyphs[77], &amp;AllGlyphs[23], &amp;AllGlyphs[24], &amp;AllGlyphs[85], Connection::ORTHO_BOTH, Connection::DIAG_BOTH, Connection::DIAG_BOTH, Connection::EMPTY, 0, 0, 0, 0 },</v>
      </c>
      <c r="AO75" s="56"/>
      <c r="AP75" s="56"/>
      <c r="AQ75" s="56"/>
      <c r="AR75" s="56"/>
      <c r="AS75" s="56"/>
      <c r="AT75" s="56"/>
      <c r="AU75" s="57"/>
      <c r="AW75" s="54" t="str">
        <f t="shared" si="30"/>
        <v>&amp;AllGlyphs[77]</v>
      </c>
      <c r="AX75" s="54" t="str">
        <f t="shared" si="31"/>
        <v>&amp;AllGlyphs[23]</v>
      </c>
      <c r="AY75" s="54" t="str">
        <f t="shared" si="32"/>
        <v>&amp;AllGlyphs[24]</v>
      </c>
      <c r="AZ75" s="54" t="str">
        <f t="shared" si="33"/>
        <v>&amp;AllGlyphs[85]</v>
      </c>
      <c r="BB75" s="64">
        <f t="shared" si="34"/>
        <v>0</v>
      </c>
      <c r="BC75" s="64">
        <f t="shared" si="35"/>
        <v>0</v>
      </c>
      <c r="BD75" s="64">
        <f t="shared" si="36"/>
        <v>0</v>
      </c>
      <c r="BE75" s="64">
        <f t="shared" si="37"/>
        <v>0</v>
      </c>
    </row>
    <row r="76" spans="1:57" x14ac:dyDescent="0.4">
      <c r="A76" s="7" t="s">
        <v>16</v>
      </c>
      <c r="B76" s="6" t="str">
        <f t="shared" si="23"/>
        <v>j</v>
      </c>
      <c r="C76" s="48" cm="1">
        <f t="array" ref="C76">IF($N76,INDEX($O:$O,MATCH(TRUE,EXACT(B76,$A:$A),0)),"")</f>
        <v>74</v>
      </c>
      <c r="D76" s="38">
        <v>8</v>
      </c>
      <c r="E76" s="48" cm="1">
        <f t="array" ref="E76">IF($N76,INDEX($O:$O,MATCH(TRUE,EXACT(D76,$A:$A),0)),"")</f>
        <v>24</v>
      </c>
      <c r="F76" s="38" t="s">
        <v>64</v>
      </c>
      <c r="G76" s="48" cm="1">
        <f t="array" ref="G76">IF($O76&lt;&gt;"",INDEX($O:$O,MATCH(TRUE,EXACT(F76,$A:$A),0)),"")</f>
        <v>12</v>
      </c>
      <c r="H76" s="38" t="s">
        <v>25</v>
      </c>
      <c r="I76" s="48" cm="1">
        <f t="array" ref="I76">IF($N76,INDEX($O:$O,MATCH(TRUE,EXACT(H76,$A:$A),0)),"")</f>
        <v>77</v>
      </c>
      <c r="J76" s="38" t="s">
        <v>17</v>
      </c>
      <c r="K76" s="52" cm="1">
        <f t="array" ref="K76">IF($N76,INDEX($O:$O,MATCH(TRUE,EXACT(J76,$A:$A),0)),"")</f>
        <v>75</v>
      </c>
      <c r="L76" s="23"/>
      <c r="M76" s="33"/>
      <c r="N76" s="18" t="b">
        <f t="shared" si="25"/>
        <v>1</v>
      </c>
      <c r="O76" s="19">
        <f>IF(N76, MAX(O$2:O75)+1,"")</f>
        <v>74</v>
      </c>
      <c r="P76" s="23" t="str">
        <f t="shared" si="24"/>
        <v>j</v>
      </c>
      <c r="Q76" s="8" t="str" cm="1">
        <f t="array" ref="Q76">CharToUTF8(A76)</f>
        <v>\x6A</v>
      </c>
      <c r="S76" s="18" t="str">
        <f>$AG$2</f>
        <v>EMPTY</v>
      </c>
      <c r="T76" s="24" t="str">
        <f>$AG$3</f>
        <v>DIAG_BOTH</v>
      </c>
      <c r="U76" s="24" t="str">
        <f>$AG$3</f>
        <v>DIAG_BOTH</v>
      </c>
      <c r="V76" s="21" t="str">
        <f>$AG$4</f>
        <v>ORTHO_BOTH</v>
      </c>
      <c r="X76" s="31" t="b">
        <f t="shared" si="26"/>
        <v>0</v>
      </c>
      <c r="Y76" s="31" t="b">
        <f t="shared" si="27"/>
        <v>0</v>
      </c>
      <c r="Z76" t="b">
        <f t="shared" si="28"/>
        <v>0</v>
      </c>
      <c r="AA76" t="b">
        <f t="shared" si="29"/>
        <v>0</v>
      </c>
      <c r="AB76" t="b">
        <f>IF($N76,S76=VLOOKUP(S76,$AG$2:$AL$10,4,FALSE),"")</f>
        <v>1</v>
      </c>
      <c r="AC76" t="b">
        <f>IF($N76,T76=VLOOKUP(T76,$AG$2:$AL$10,4,FALSE),"")</f>
        <v>1</v>
      </c>
      <c r="AD76" t="b">
        <f>IF($N76,U76=VLOOKUP(U76,$AG$2:$AL$10,5,FALSE),"")</f>
        <v>1</v>
      </c>
      <c r="AE76" t="b">
        <f>IF($N76,V76=VLOOKUP(V76,$AG$2:$AL$10,5,FALSE),"")</f>
        <v>1</v>
      </c>
      <c r="AN76" s="55" t="str">
        <f t="shared" si="19"/>
        <v xml:space="preserve">    { wxString::FromUTF8("\x6A"), &amp;AllGlyphs[24], &amp;AllGlyphs[12], &amp;AllGlyphs[77], &amp;AllGlyphs[75], Connection::EMPTY, Connection::DIAG_BOTH, Connection::DIAG_BOTH, Connection::ORTHO_BOTH, 0, 0, 0, 0 },</v>
      </c>
      <c r="AO76" s="56"/>
      <c r="AP76" s="56"/>
      <c r="AQ76" s="56"/>
      <c r="AR76" s="56"/>
      <c r="AS76" s="56"/>
      <c r="AT76" s="56"/>
      <c r="AU76" s="57"/>
      <c r="AW76" s="54" t="str">
        <f t="shared" si="30"/>
        <v>&amp;AllGlyphs[24]</v>
      </c>
      <c r="AX76" s="54" t="str">
        <f t="shared" si="31"/>
        <v>&amp;AllGlyphs[12]</v>
      </c>
      <c r="AY76" s="54" t="str">
        <f t="shared" si="32"/>
        <v>&amp;AllGlyphs[77]</v>
      </c>
      <c r="AZ76" s="54" t="str">
        <f t="shared" si="33"/>
        <v>&amp;AllGlyphs[75]</v>
      </c>
      <c r="BB76" s="64">
        <f t="shared" si="34"/>
        <v>0</v>
      </c>
      <c r="BC76" s="64">
        <f t="shared" si="35"/>
        <v>0</v>
      </c>
      <c r="BD76" s="64">
        <f t="shared" si="36"/>
        <v>0</v>
      </c>
      <c r="BE76" s="64">
        <f t="shared" si="37"/>
        <v>0</v>
      </c>
    </row>
    <row r="77" spans="1:57" x14ac:dyDescent="0.4">
      <c r="A77" s="7" t="s">
        <v>17</v>
      </c>
      <c r="B77" s="6" t="str">
        <f t="shared" si="23"/>
        <v>k</v>
      </c>
      <c r="C77" s="48" cm="1">
        <f t="array" ref="C77">IF($N77,INDEX($O:$O,MATCH(TRUE,EXACT(B77,$A:$A),0)),"")</f>
        <v>75</v>
      </c>
      <c r="D77" s="38" t="s">
        <v>7</v>
      </c>
      <c r="E77" s="48" cm="1">
        <f t="array" ref="E77">IF($N77,INDEX($O:$O,MATCH(TRUE,EXACT(D77,$A:$A),0)),"")</f>
        <v>73</v>
      </c>
      <c r="F77" s="38" t="s">
        <v>25</v>
      </c>
      <c r="G77" s="48" cm="1">
        <f t="array" ref="G77">IF($O77&lt;&gt;"",INDEX($O:$O,MATCH(TRUE,EXACT(F77,$A:$A),0)),"")</f>
        <v>77</v>
      </c>
      <c r="H77" s="38" t="s">
        <v>64</v>
      </c>
      <c r="I77" s="48" cm="1">
        <f t="array" ref="I77">IF($N77,INDEX($O:$O,MATCH(TRUE,EXACT(H77,$A:$A),0)),"")</f>
        <v>12</v>
      </c>
      <c r="J77" s="38" t="s">
        <v>16</v>
      </c>
      <c r="K77" s="52" cm="1">
        <f t="array" ref="K77">IF($N77,INDEX($O:$O,MATCH(TRUE,EXACT(J77,$A:$A),0)),"")</f>
        <v>74</v>
      </c>
      <c r="L77" s="23"/>
      <c r="M77" s="33"/>
      <c r="N77" s="18" t="b">
        <f t="shared" si="25"/>
        <v>1</v>
      </c>
      <c r="O77" s="19">
        <f>IF(N77, MAX(O$2:O76)+1,"")</f>
        <v>75</v>
      </c>
      <c r="P77" s="23" t="str">
        <f t="shared" si="24"/>
        <v>k</v>
      </c>
      <c r="Q77" s="8" t="str" cm="1">
        <f t="array" ref="Q77">CharToUTF8(A77)</f>
        <v>\x6B</v>
      </c>
      <c r="S77" s="18" t="str">
        <f>$AG$2</f>
        <v>EMPTY</v>
      </c>
      <c r="T77" s="24" t="str">
        <f>$AG$3</f>
        <v>DIAG_BOTH</v>
      </c>
      <c r="U77" s="24" t="str">
        <f>$AG$4</f>
        <v>ORTHO_BOTH</v>
      </c>
      <c r="V77" s="21" t="str">
        <f>$AG$3</f>
        <v>DIAG_BOTH</v>
      </c>
      <c r="X77" s="31" t="b">
        <f t="shared" si="26"/>
        <v>0</v>
      </c>
      <c r="Y77" s="31" t="b">
        <f t="shared" si="27"/>
        <v>0</v>
      </c>
      <c r="Z77" t="b">
        <f t="shared" si="28"/>
        <v>0</v>
      </c>
      <c r="AA77" t="b">
        <f t="shared" si="29"/>
        <v>0</v>
      </c>
      <c r="AB77" t="b">
        <f>IF($N77,S77=VLOOKUP(S77,$AG$2:$AL$10,4,FALSE),"")</f>
        <v>1</v>
      </c>
      <c r="AC77" t="b">
        <f>IF($N77,T77=VLOOKUP(T77,$AG$2:$AL$10,4,FALSE),"")</f>
        <v>1</v>
      </c>
      <c r="AD77" t="b">
        <f>IF($N77,U77=VLOOKUP(U77,$AG$2:$AL$10,5,FALSE),"")</f>
        <v>1</v>
      </c>
      <c r="AE77" t="b">
        <f>IF($N77,V77=VLOOKUP(V77,$AG$2:$AL$10,5,FALSE),"")</f>
        <v>1</v>
      </c>
      <c r="AN77" s="55" t="str">
        <f t="shared" si="19"/>
        <v xml:space="preserve">    { wxString::FromUTF8("\x6B"), &amp;AllGlyphs[73], &amp;AllGlyphs[77], &amp;AllGlyphs[12], &amp;AllGlyphs[74], Connection::EMPTY, Connection::DIAG_BOTH, Connection::ORTHO_BOTH, Connection::DIAG_BOTH, 0, 0, 0, 0 },</v>
      </c>
      <c r="AO77" s="56"/>
      <c r="AP77" s="56"/>
      <c r="AQ77" s="56"/>
      <c r="AR77" s="56"/>
      <c r="AS77" s="56"/>
      <c r="AT77" s="56"/>
      <c r="AU77" s="57"/>
      <c r="AW77" s="54" t="str">
        <f t="shared" si="30"/>
        <v>&amp;AllGlyphs[73]</v>
      </c>
      <c r="AX77" s="54" t="str">
        <f t="shared" si="31"/>
        <v>&amp;AllGlyphs[77]</v>
      </c>
      <c r="AY77" s="54" t="str">
        <f t="shared" si="32"/>
        <v>&amp;AllGlyphs[12]</v>
      </c>
      <c r="AZ77" s="54" t="str">
        <f t="shared" si="33"/>
        <v>&amp;AllGlyphs[74]</v>
      </c>
      <c r="BB77" s="64">
        <f t="shared" si="34"/>
        <v>0</v>
      </c>
      <c r="BC77" s="64">
        <f t="shared" si="35"/>
        <v>0</v>
      </c>
      <c r="BD77" s="64">
        <f t="shared" si="36"/>
        <v>0</v>
      </c>
      <c r="BE77" s="64">
        <f t="shared" si="37"/>
        <v>0</v>
      </c>
    </row>
    <row r="78" spans="1:57" x14ac:dyDescent="0.4">
      <c r="A78" s="7" t="s">
        <v>18</v>
      </c>
      <c r="B78" s="6" t="str">
        <f t="shared" si="23"/>
        <v>l</v>
      </c>
      <c r="C78" s="48" cm="1">
        <f t="array" ref="C78">IF($N78,INDEX($O:$O,MATCH(TRUE,EXACT(B78,$A:$A),0)),"")</f>
        <v>76</v>
      </c>
      <c r="D78" s="38">
        <v>0</v>
      </c>
      <c r="E78" s="48" cm="1">
        <f t="array" ref="E78">IF($N78,INDEX($O:$O,MATCH(TRUE,EXACT(D78,$A:$A),0)),"")</f>
        <v>16</v>
      </c>
      <c r="F78" s="38" t="s">
        <v>65</v>
      </c>
      <c r="G78" s="48" cm="1">
        <f t="array" ref="G78">IF($O78&lt;&gt;"",INDEX($O:$O,MATCH(TRUE,EXACT(F78,$A:$A),0)),"")</f>
        <v>15</v>
      </c>
      <c r="H78" s="38" t="s">
        <v>73</v>
      </c>
      <c r="I78" s="48" cm="1">
        <f t="array" ref="I78">IF($N78,INDEX($O:$O,MATCH(TRUE,EXACT(H78,$A:$A),0)),"")</f>
        <v>14</v>
      </c>
      <c r="J78" s="38" t="s">
        <v>66</v>
      </c>
      <c r="K78" s="52" cm="1">
        <f t="array" ref="K78">IF($N78,INDEX($O:$O,MATCH(TRUE,EXACT(J78,$A:$A),0)),"")</f>
        <v>27</v>
      </c>
      <c r="L78" s="23"/>
      <c r="M78" s="33"/>
      <c r="N78" s="18" t="b">
        <f t="shared" si="25"/>
        <v>1</v>
      </c>
      <c r="O78" s="19">
        <f>IF(N78, MAX(O$2:O77)+1,"")</f>
        <v>76</v>
      </c>
      <c r="P78" s="23" t="str">
        <f t="shared" si="24"/>
        <v>l</v>
      </c>
      <c r="Q78" s="8" t="str" cm="1">
        <f t="array" ref="Q78">CharToUTF8(A78)</f>
        <v>\x6C</v>
      </c>
      <c r="S78" s="18" t="str">
        <f>$AG$2</f>
        <v>EMPTY</v>
      </c>
      <c r="T78" s="24" t="str">
        <f>$AG$3</f>
        <v>DIAG_BOTH</v>
      </c>
      <c r="U78" s="24" t="str">
        <f>$AG$2</f>
        <v>EMPTY</v>
      </c>
      <c r="V78" s="21" t="str">
        <f>$AG$4</f>
        <v>ORTHO_BOTH</v>
      </c>
      <c r="X78" s="31" t="b">
        <f t="shared" si="26"/>
        <v>0</v>
      </c>
      <c r="Y78" s="31" t="b">
        <f t="shared" si="27"/>
        <v>0</v>
      </c>
      <c r="Z78" t="b">
        <f t="shared" si="28"/>
        <v>0</v>
      </c>
      <c r="AA78" t="b">
        <f t="shared" si="29"/>
        <v>0</v>
      </c>
      <c r="AB78" t="b">
        <f>IF($N78,S78=VLOOKUP(S78,$AG$2:$AL$10,4,FALSE),"")</f>
        <v>1</v>
      </c>
      <c r="AC78" t="b">
        <f>IF($N78,T78=VLOOKUP(T78,$AG$2:$AL$10,4,FALSE),"")</f>
        <v>1</v>
      </c>
      <c r="AD78" t="b">
        <f>IF($N78,U78=VLOOKUP(U78,$AG$2:$AL$10,5,FALSE),"")</f>
        <v>1</v>
      </c>
      <c r="AE78" t="b">
        <f>IF($N78,V78=VLOOKUP(V78,$AG$2:$AL$10,5,FALSE),"")</f>
        <v>1</v>
      </c>
      <c r="AN78" s="55" t="str">
        <f t="shared" si="19"/>
        <v xml:space="preserve">    { wxString::FromUTF8("\x6C"), &amp;AllGlyphs[16], &amp;AllGlyphs[15], &amp;AllGlyphs[14], &amp;AllGlyphs[27], Connection::EMPTY, Connection::DIAG_BOTH, Connection::EMPTY, Connection::ORTHO_BOTH, 0, 0, 0, 0 },</v>
      </c>
      <c r="AO78" s="56"/>
      <c r="AP78" s="56"/>
      <c r="AQ78" s="56"/>
      <c r="AR78" s="56"/>
      <c r="AS78" s="56"/>
      <c r="AT78" s="56"/>
      <c r="AU78" s="57"/>
      <c r="AW78" s="54" t="str">
        <f t="shared" si="30"/>
        <v>&amp;AllGlyphs[16]</v>
      </c>
      <c r="AX78" s="54" t="str">
        <f t="shared" si="31"/>
        <v>&amp;AllGlyphs[15]</v>
      </c>
      <c r="AY78" s="54" t="str">
        <f t="shared" si="32"/>
        <v>&amp;AllGlyphs[14]</v>
      </c>
      <c r="AZ78" s="54" t="str">
        <f t="shared" si="33"/>
        <v>&amp;AllGlyphs[27]</v>
      </c>
      <c r="BB78" s="64">
        <f t="shared" si="34"/>
        <v>0</v>
      </c>
      <c r="BC78" s="64">
        <f t="shared" si="35"/>
        <v>0</v>
      </c>
      <c r="BD78" s="64">
        <f t="shared" si="36"/>
        <v>0</v>
      </c>
      <c r="BE78" s="64">
        <f t="shared" si="37"/>
        <v>0</v>
      </c>
    </row>
    <row r="79" spans="1:57" x14ac:dyDescent="0.4">
      <c r="A79" s="7" t="s">
        <v>25</v>
      </c>
      <c r="B79" s="6" t="str">
        <f t="shared" si="23"/>
        <v>m</v>
      </c>
      <c r="C79" s="48" cm="1">
        <f t="array" ref="C79">IF($N79,INDEX($O:$O,MATCH(TRUE,EXACT(B79,$A:$A),0)),"")</f>
        <v>77</v>
      </c>
      <c r="D79" s="38">
        <v>7</v>
      </c>
      <c r="E79" s="48" cm="1">
        <f t="array" ref="E79">IF($N79,INDEX($O:$O,MATCH(TRUE,EXACT(D79,$A:$A),0)),"")</f>
        <v>23</v>
      </c>
      <c r="F79" s="38" t="s">
        <v>17</v>
      </c>
      <c r="G79" s="48" cm="1">
        <f t="array" ref="G79">IF($O79&lt;&gt;"",INDEX($O:$O,MATCH(TRUE,EXACT(F79,$A:$A),0)),"")</f>
        <v>75</v>
      </c>
      <c r="H79" s="38" t="s">
        <v>16</v>
      </c>
      <c r="I79" s="48" cm="1">
        <f t="array" ref="I79">IF($N79,INDEX($O:$O,MATCH(TRUE,EXACT(H79,$A:$A),0)),"")</f>
        <v>74</v>
      </c>
      <c r="J79" s="38" t="s">
        <v>64</v>
      </c>
      <c r="K79" s="52" cm="1">
        <f t="array" ref="K79">IF($N79,INDEX($O:$O,MATCH(TRUE,EXACT(J79,$A:$A),0)),"")</f>
        <v>12</v>
      </c>
      <c r="L79" s="23"/>
      <c r="M79" s="33"/>
      <c r="N79" s="18" t="b">
        <f t="shared" si="25"/>
        <v>1</v>
      </c>
      <c r="O79" s="19">
        <f>IF(N79, MAX(O$2:O78)+1,"")</f>
        <v>77</v>
      </c>
      <c r="P79" s="23" t="str">
        <f t="shared" si="24"/>
        <v>m</v>
      </c>
      <c r="Q79" s="8" t="str" cm="1">
        <f t="array" ref="Q79">CharToUTF8(A79)</f>
        <v>\x6D</v>
      </c>
      <c r="S79" s="18" t="str">
        <f>$AG$3</f>
        <v>DIAG_BOTH</v>
      </c>
      <c r="T79" s="24" t="str">
        <f>$AG$2</f>
        <v>EMPTY</v>
      </c>
      <c r="U79" s="24" t="str">
        <f>$AG$3</f>
        <v>DIAG_BOTH</v>
      </c>
      <c r="V79" s="21" t="str">
        <f>$AG$4</f>
        <v>ORTHO_BOTH</v>
      </c>
      <c r="X79" s="31" t="b">
        <f t="shared" si="26"/>
        <v>0</v>
      </c>
      <c r="Y79" s="31" t="b">
        <f t="shared" si="27"/>
        <v>0</v>
      </c>
      <c r="Z79" t="b">
        <f t="shared" si="28"/>
        <v>0</v>
      </c>
      <c r="AA79" t="b">
        <f t="shared" si="29"/>
        <v>0</v>
      </c>
      <c r="AB79" t="b">
        <f>IF($N79,S79=VLOOKUP(S79,$AG$2:$AL$10,4,FALSE),"")</f>
        <v>1</v>
      </c>
      <c r="AC79" t="b">
        <f>IF($N79,T79=VLOOKUP(T79,$AG$2:$AL$10,4,FALSE),"")</f>
        <v>1</v>
      </c>
      <c r="AD79" t="b">
        <f>IF($N79,U79=VLOOKUP(U79,$AG$2:$AL$10,5,FALSE),"")</f>
        <v>1</v>
      </c>
      <c r="AE79" t="b">
        <f>IF($N79,V79=VLOOKUP(V79,$AG$2:$AL$10,5,FALSE),"")</f>
        <v>1</v>
      </c>
      <c r="AN79" s="55" t="str">
        <f t="shared" si="19"/>
        <v xml:space="preserve">    { wxString::FromUTF8("\x6D"), &amp;AllGlyphs[23], &amp;AllGlyphs[75], &amp;AllGlyphs[74], &amp;AllGlyphs[12], Connection::DIAG_BOTH, Connection::EMPTY, Connection::DIAG_BOTH, Connection::ORTHO_BOTH, 0, 0, 0, 0 },</v>
      </c>
      <c r="AO79" s="56"/>
      <c r="AP79" s="56"/>
      <c r="AQ79" s="56"/>
      <c r="AR79" s="56"/>
      <c r="AS79" s="56"/>
      <c r="AT79" s="56"/>
      <c r="AU79" s="57"/>
      <c r="AW79" s="54" t="str">
        <f t="shared" si="30"/>
        <v>&amp;AllGlyphs[23]</v>
      </c>
      <c r="AX79" s="54" t="str">
        <f t="shared" si="31"/>
        <v>&amp;AllGlyphs[75]</v>
      </c>
      <c r="AY79" s="54" t="str">
        <f t="shared" si="32"/>
        <v>&amp;AllGlyphs[74]</v>
      </c>
      <c r="AZ79" s="54" t="str">
        <f t="shared" si="33"/>
        <v>&amp;AllGlyphs[12]</v>
      </c>
      <c r="BB79" s="64">
        <f t="shared" si="34"/>
        <v>0</v>
      </c>
      <c r="BC79" s="64">
        <f t="shared" si="35"/>
        <v>0</v>
      </c>
      <c r="BD79" s="64">
        <f t="shared" si="36"/>
        <v>0</v>
      </c>
      <c r="BE79" s="64">
        <f t="shared" si="37"/>
        <v>0</v>
      </c>
    </row>
    <row r="80" spans="1:57" x14ac:dyDescent="0.4">
      <c r="A80" s="7" t="s">
        <v>24</v>
      </c>
      <c r="B80" s="6" t="str">
        <f t="shared" si="23"/>
        <v>n</v>
      </c>
      <c r="C80" s="48" cm="1">
        <f t="array" ref="C80">IF($N80,INDEX($O:$O,MATCH(TRUE,EXACT(B80,$A:$A),0)),"")</f>
        <v>78</v>
      </c>
      <c r="D80" s="38" t="s">
        <v>5</v>
      </c>
      <c r="E80" s="48" cm="1">
        <f t="array" ref="E80">IF($N80,INDEX($O:$O,MATCH(TRUE,EXACT(D80,$A:$A),0)),"")</f>
        <v>89</v>
      </c>
      <c r="F80" s="38" t="s">
        <v>23</v>
      </c>
      <c r="G80" s="48" cm="1">
        <f t="array" ref="G80">IF($O80&lt;&gt;"",INDEX($O:$O,MATCH(TRUE,EXACT(F80,$A:$A),0)),"")</f>
        <v>66</v>
      </c>
      <c r="H80" s="38" t="s">
        <v>24</v>
      </c>
      <c r="I80" s="48" cm="1">
        <f t="array" ref="I80">IF($N80,INDEX($O:$O,MATCH(TRUE,EXACT(H80,$A:$A),0)),"")</f>
        <v>78</v>
      </c>
      <c r="J80" s="38" t="s">
        <v>23</v>
      </c>
      <c r="K80" s="52" cm="1">
        <f t="array" ref="K80">IF($N80,INDEX($O:$O,MATCH(TRUE,EXACT(J80,$A:$A),0)),"")</f>
        <v>66</v>
      </c>
      <c r="L80" s="23"/>
      <c r="M80" s="33"/>
      <c r="N80" s="18" t="b">
        <f t="shared" si="25"/>
        <v>1</v>
      </c>
      <c r="O80" s="19">
        <f>IF(N80, MAX(O$2:O79)+1,"")</f>
        <v>78</v>
      </c>
      <c r="P80" s="23" t="str">
        <f t="shared" si="24"/>
        <v>n</v>
      </c>
      <c r="Q80" s="8" t="str" cm="1">
        <f t="array" ref="Q80">CharToUTF8(A80)</f>
        <v>\x6E</v>
      </c>
      <c r="S80" s="18" t="str">
        <f>$AG$3</f>
        <v>DIAG_BOTH</v>
      </c>
      <c r="T80" s="24" t="str">
        <f>$AG$3</f>
        <v>DIAG_BOTH</v>
      </c>
      <c r="U80" s="24" t="str">
        <f>$AG$4</f>
        <v>ORTHO_BOTH</v>
      </c>
      <c r="V80" s="21" t="str">
        <f>$AG$2</f>
        <v>EMPTY</v>
      </c>
      <c r="X80" s="31" t="b">
        <f t="shared" si="26"/>
        <v>0</v>
      </c>
      <c r="Y80" s="31" t="b">
        <f t="shared" si="27"/>
        <v>0</v>
      </c>
      <c r="Z80" t="b">
        <f t="shared" si="28"/>
        <v>1</v>
      </c>
      <c r="AA80" t="b">
        <f t="shared" si="29"/>
        <v>0</v>
      </c>
      <c r="AB80" t="b">
        <f>IF($N80,S80=VLOOKUP(S80,$AG$2:$AL$10,4,FALSE),"")</f>
        <v>1</v>
      </c>
      <c r="AC80" t="b">
        <f>IF($N80,T80=VLOOKUP(T80,$AG$2:$AL$10,4,FALSE),"")</f>
        <v>1</v>
      </c>
      <c r="AD80" t="b">
        <f>IF($N80,U80=VLOOKUP(U80,$AG$2:$AL$10,5,FALSE),"")</f>
        <v>1</v>
      </c>
      <c r="AE80" t="b">
        <f>IF($N80,V80=VLOOKUP(V80,$AG$2:$AL$10,5,FALSE),"")</f>
        <v>1</v>
      </c>
      <c r="AN80" s="55" t="str">
        <f t="shared" si="19"/>
        <v xml:space="preserve">    { wxString::FromUTF8("\x6E"), &amp;AllGlyphs[89], &amp;AllGlyphs[66], &amp;AllGlyphs[78], &amp;AllGlyphs[66], Connection::DIAG_BOTH, Connection::DIAG_BOTH, Connection::ORTHO_BOTH, Connection::EMPTY, 0, 0, 1, 0 },</v>
      </c>
      <c r="AO80" s="56"/>
      <c r="AP80" s="56"/>
      <c r="AQ80" s="56"/>
      <c r="AR80" s="56"/>
      <c r="AS80" s="56"/>
      <c r="AT80" s="56"/>
      <c r="AU80" s="57"/>
      <c r="AW80" s="54" t="str">
        <f t="shared" si="30"/>
        <v>&amp;AllGlyphs[89]</v>
      </c>
      <c r="AX80" s="54" t="str">
        <f t="shared" si="31"/>
        <v>&amp;AllGlyphs[66]</v>
      </c>
      <c r="AY80" s="54" t="str">
        <f t="shared" si="32"/>
        <v>&amp;AllGlyphs[78]</v>
      </c>
      <c r="AZ80" s="54" t="str">
        <f t="shared" si="33"/>
        <v>&amp;AllGlyphs[66]</v>
      </c>
      <c r="BB80" s="64">
        <f t="shared" si="34"/>
        <v>0</v>
      </c>
      <c r="BC80" s="64">
        <f t="shared" si="35"/>
        <v>0</v>
      </c>
      <c r="BD80" s="64">
        <f t="shared" si="36"/>
        <v>1</v>
      </c>
      <c r="BE80" s="64">
        <f t="shared" si="37"/>
        <v>0</v>
      </c>
    </row>
    <row r="81" spans="1:57" x14ac:dyDescent="0.4">
      <c r="A81" s="7" t="s">
        <v>8</v>
      </c>
      <c r="B81" s="6" t="str">
        <f t="shared" si="23"/>
        <v>o</v>
      </c>
      <c r="C81" s="48" cm="1">
        <f t="array" ref="C81">IF($N81,INDEX($O:$O,MATCH(TRUE,EXACT(B81,$A:$A),0)),"")</f>
        <v>79</v>
      </c>
      <c r="D81" s="38" t="s">
        <v>18</v>
      </c>
      <c r="E81" s="48" cm="1">
        <f t="array" ref="E81">IF($N81,INDEX($O:$O,MATCH(TRUE,EXACT(D81,$A:$A),0)),"")</f>
        <v>76</v>
      </c>
      <c r="F81" s="38">
        <v>0</v>
      </c>
      <c r="G81" s="48" cm="1">
        <f t="array" ref="G81">IF($O81&lt;&gt;"",INDEX($O:$O,MATCH(TRUE,EXACT(F81,$A:$A),0)),"")</f>
        <v>16</v>
      </c>
      <c r="H81" s="38">
        <v>9</v>
      </c>
      <c r="I81" s="48" cm="1">
        <f t="array" ref="I81">IF($N81,INDEX($O:$O,MATCH(TRUE,EXACT(H81,$A:$A),0)),"")</f>
        <v>25</v>
      </c>
      <c r="J81" s="38" t="s">
        <v>9</v>
      </c>
      <c r="K81" s="52" cm="1">
        <f t="array" ref="K81">IF($N81,INDEX($O:$O,MATCH(TRUE,EXACT(J81,$A:$A),0)),"")</f>
        <v>80</v>
      </c>
      <c r="L81" s="23"/>
      <c r="M81" s="33"/>
      <c r="N81" s="18" t="b">
        <f t="shared" si="25"/>
        <v>1</v>
      </c>
      <c r="O81" s="19">
        <f>IF(N81, MAX(O$2:O80)+1,"")</f>
        <v>79</v>
      </c>
      <c r="P81" s="23" t="str">
        <f t="shared" si="24"/>
        <v>o</v>
      </c>
      <c r="Q81" s="8" t="str" cm="1">
        <f t="array" ref="Q81">CharToUTF8(A81)</f>
        <v>\x6F</v>
      </c>
      <c r="S81" s="18" t="str">
        <f>$AG$4</f>
        <v>ORTHO_BOTH</v>
      </c>
      <c r="T81" s="24" t="str">
        <f>$AG$2</f>
        <v>EMPTY</v>
      </c>
      <c r="U81" s="24" t="str">
        <f>$AG$2</f>
        <v>EMPTY</v>
      </c>
      <c r="V81" s="21" t="str">
        <f>$AG$3</f>
        <v>DIAG_BOTH</v>
      </c>
      <c r="X81" s="31" t="b">
        <f t="shared" si="26"/>
        <v>0</v>
      </c>
      <c r="Y81" s="31" t="b">
        <f t="shared" si="27"/>
        <v>0</v>
      </c>
      <c r="Z81" t="b">
        <f t="shared" si="28"/>
        <v>0</v>
      </c>
      <c r="AA81" t="b">
        <f t="shared" si="29"/>
        <v>0</v>
      </c>
      <c r="AB81" t="b">
        <f>IF($N81,S81=VLOOKUP(S81,$AG$2:$AL$10,4,FALSE),"")</f>
        <v>1</v>
      </c>
      <c r="AC81" t="b">
        <f>IF($N81,T81=VLOOKUP(T81,$AG$2:$AL$10,4,FALSE),"")</f>
        <v>1</v>
      </c>
      <c r="AD81" t="b">
        <f>IF($N81,U81=VLOOKUP(U81,$AG$2:$AL$10,5,FALSE),"")</f>
        <v>1</v>
      </c>
      <c r="AE81" t="b">
        <f>IF($N81,V81=VLOOKUP(V81,$AG$2:$AL$10,5,FALSE),"")</f>
        <v>1</v>
      </c>
      <c r="AN81" s="55" t="str">
        <f t="shared" si="19"/>
        <v xml:space="preserve">    { wxString::FromUTF8("\x6F"), &amp;AllGlyphs[76], &amp;AllGlyphs[16], &amp;AllGlyphs[25], &amp;AllGlyphs[80], Connection::ORTHO_BOTH, Connection::EMPTY, Connection::EMPTY, Connection::DIAG_BOTH, 0, 0, 0, 0 },</v>
      </c>
      <c r="AO81" s="56"/>
      <c r="AP81" s="56"/>
      <c r="AQ81" s="56"/>
      <c r="AR81" s="56"/>
      <c r="AS81" s="56"/>
      <c r="AT81" s="56"/>
      <c r="AU81" s="57"/>
      <c r="AW81" s="54" t="str">
        <f t="shared" si="30"/>
        <v>&amp;AllGlyphs[76]</v>
      </c>
      <c r="AX81" s="54" t="str">
        <f t="shared" si="31"/>
        <v>&amp;AllGlyphs[16]</v>
      </c>
      <c r="AY81" s="54" t="str">
        <f t="shared" si="32"/>
        <v>&amp;AllGlyphs[25]</v>
      </c>
      <c r="AZ81" s="54" t="str">
        <f t="shared" si="33"/>
        <v>&amp;AllGlyphs[80]</v>
      </c>
      <c r="BB81" s="64">
        <f t="shared" si="34"/>
        <v>0</v>
      </c>
      <c r="BC81" s="64">
        <f t="shared" si="35"/>
        <v>0</v>
      </c>
      <c r="BD81" s="64">
        <f t="shared" si="36"/>
        <v>0</v>
      </c>
      <c r="BE81" s="64">
        <f t="shared" si="37"/>
        <v>0</v>
      </c>
    </row>
    <row r="82" spans="1:57" x14ac:dyDescent="0.4">
      <c r="A82" s="7" t="s">
        <v>9</v>
      </c>
      <c r="B82" s="6" t="str">
        <f t="shared" si="23"/>
        <v>p</v>
      </c>
      <c r="C82" s="48" cm="1">
        <f t="array" ref="C82">IF($N82,INDEX($O:$O,MATCH(TRUE,EXACT(B82,$A:$A),0)),"")</f>
        <v>80</v>
      </c>
      <c r="D82" s="38" t="s">
        <v>73</v>
      </c>
      <c r="E82" s="48" cm="1">
        <f t="array" ref="E82">IF($N82,INDEX($O:$O,MATCH(TRUE,EXACT(D82,$A:$A),0)),"")</f>
        <v>14</v>
      </c>
      <c r="F82" s="38">
        <v>9</v>
      </c>
      <c r="G82" s="48" cm="1">
        <f t="array" ref="G82">IF($O82&lt;&gt;"",INDEX($O:$O,MATCH(TRUE,EXACT(F82,$A:$A),0)),"")</f>
        <v>25</v>
      </c>
      <c r="H82" s="38">
        <v>0</v>
      </c>
      <c r="I82" s="48" cm="1">
        <f t="array" ref="I82">IF($N82,INDEX($O:$O,MATCH(TRUE,EXACT(H82,$A:$A),0)),"")</f>
        <v>16</v>
      </c>
      <c r="J82" s="38" t="s">
        <v>8</v>
      </c>
      <c r="K82" s="52" cm="1">
        <f t="array" ref="K82">IF($N82,INDEX($O:$O,MATCH(TRUE,EXACT(J82,$A:$A),0)),"")</f>
        <v>79</v>
      </c>
      <c r="L82" s="23"/>
      <c r="M82" s="33"/>
      <c r="N82" s="18" t="b">
        <f t="shared" si="25"/>
        <v>1</v>
      </c>
      <c r="O82" s="19">
        <f>IF(N82, MAX(O$2:O81)+1,"")</f>
        <v>80</v>
      </c>
      <c r="P82" s="23" t="str">
        <f t="shared" si="24"/>
        <v>p</v>
      </c>
      <c r="Q82" s="8" t="str" cm="1">
        <f t="array" ref="Q82">CharToUTF8(A82)</f>
        <v>\x70</v>
      </c>
      <c r="S82" s="18" t="str">
        <f>$AG$4</f>
        <v>ORTHO_BOTH</v>
      </c>
      <c r="T82" s="24" t="str">
        <f>$AG$2</f>
        <v>EMPTY</v>
      </c>
      <c r="U82" s="24" t="str">
        <f>$AG$3</f>
        <v>DIAG_BOTH</v>
      </c>
      <c r="V82" s="21" t="str">
        <f>$AG$2</f>
        <v>EMPTY</v>
      </c>
      <c r="X82" s="31" t="b">
        <f t="shared" si="26"/>
        <v>0</v>
      </c>
      <c r="Y82" s="31" t="b">
        <f t="shared" si="27"/>
        <v>0</v>
      </c>
      <c r="Z82" t="b">
        <f t="shared" si="28"/>
        <v>0</v>
      </c>
      <c r="AA82" t="b">
        <f t="shared" si="29"/>
        <v>0</v>
      </c>
      <c r="AB82" t="b">
        <f>IF($N82,S82=VLOOKUP(S82,$AG$2:$AL$10,4,FALSE),"")</f>
        <v>1</v>
      </c>
      <c r="AC82" t="b">
        <f>IF($N82,T82=VLOOKUP(T82,$AG$2:$AL$10,4,FALSE),"")</f>
        <v>1</v>
      </c>
      <c r="AD82" t="b">
        <f>IF($N82,U82=VLOOKUP(U82,$AG$2:$AL$10,5,FALSE),"")</f>
        <v>1</v>
      </c>
      <c r="AE82" t="b">
        <f>IF($N82,V82=VLOOKUP(V82,$AG$2:$AL$10,5,FALSE),"")</f>
        <v>1</v>
      </c>
      <c r="AN82" s="55" t="str">
        <f t="shared" ref="AN82:AN145" si="38">IF($N82,"    { wxString::FromUTF8(""" &amp; $Q82 &amp; """), " &amp; _xlfn.TEXTJOIN(", ", TRUE, AW82:AZ82) &amp; ", " &amp; $AG$1 &amp; _xlfn.TEXTJOIN(", " &amp; $AG$1, TRUE, $S82:$V82) &amp; ", " &amp; _xlfn.TEXTJOIN(", ", TRUE, BB82:BE82) &amp; " },","")</f>
        <v xml:space="preserve">    { wxString::FromUTF8("\x70"), &amp;AllGlyphs[14], &amp;AllGlyphs[25], &amp;AllGlyphs[16], &amp;AllGlyphs[79], Connection::ORTHO_BOTH, Connection::EMPTY, Connection::DIAG_BOTH, Connection::EMPTY, 0, 0, 0, 0 },</v>
      </c>
      <c r="AO82" s="56"/>
      <c r="AP82" s="56"/>
      <c r="AQ82" s="56"/>
      <c r="AR82" s="56"/>
      <c r="AS82" s="56"/>
      <c r="AT82" s="56"/>
      <c r="AU82" s="57"/>
      <c r="AW82" s="54" t="str">
        <f t="shared" si="30"/>
        <v>&amp;AllGlyphs[14]</v>
      </c>
      <c r="AX82" s="54" t="str">
        <f t="shared" si="31"/>
        <v>&amp;AllGlyphs[25]</v>
      </c>
      <c r="AY82" s="54" t="str">
        <f t="shared" si="32"/>
        <v>&amp;AllGlyphs[16]</v>
      </c>
      <c r="AZ82" s="54" t="str">
        <f t="shared" si="33"/>
        <v>&amp;AllGlyphs[79]</v>
      </c>
      <c r="BB82" s="64">
        <f t="shared" si="34"/>
        <v>0</v>
      </c>
      <c r="BC82" s="64">
        <f t="shared" si="35"/>
        <v>0</v>
      </c>
      <c r="BD82" s="64">
        <f t="shared" si="36"/>
        <v>0</v>
      </c>
      <c r="BE82" s="64">
        <f t="shared" si="37"/>
        <v>0</v>
      </c>
    </row>
    <row r="83" spans="1:57" x14ac:dyDescent="0.4">
      <c r="A83" s="7" t="s">
        <v>0</v>
      </c>
      <c r="B83" s="6" t="str">
        <f t="shared" si="23"/>
        <v>q</v>
      </c>
      <c r="C83" s="48" cm="1">
        <f t="array" ref="C83">IF($N83,INDEX($O:$O,MATCH(TRUE,EXACT(B83,$A:$A),0)),"")</f>
        <v>81</v>
      </c>
      <c r="D83" s="38" t="s">
        <v>2</v>
      </c>
      <c r="E83" s="48" cm="1">
        <f t="array" ref="E83">IF($N83,INDEX($O:$O,MATCH(TRUE,EXACT(D83,$A:$A),0)),"")</f>
        <v>69</v>
      </c>
      <c r="F83" s="38" t="s">
        <v>21</v>
      </c>
      <c r="G83" s="48" cm="1">
        <f t="array" ref="G83">IF($O83&lt;&gt;"",INDEX($O:$O,MATCH(TRUE,EXACT(F83,$A:$A),0)),"")</f>
        <v>67</v>
      </c>
      <c r="H83" s="38" t="s">
        <v>19</v>
      </c>
      <c r="I83" s="48" cm="1">
        <f t="array" ref="I83">IF($N83,INDEX($O:$O,MATCH(TRUE,EXACT(H83,$A:$A),0)),"")</f>
        <v>90</v>
      </c>
      <c r="J83" s="38" t="s">
        <v>2</v>
      </c>
      <c r="K83" s="52" cm="1">
        <f t="array" ref="K83">IF($N83,INDEX($O:$O,MATCH(TRUE,EXACT(J83,$A:$A),0)),"")</f>
        <v>69</v>
      </c>
      <c r="L83" s="23"/>
      <c r="M83" s="33"/>
      <c r="N83" s="18" t="b">
        <f t="shared" si="25"/>
        <v>1</v>
      </c>
      <c r="O83" s="19">
        <f>IF(N83, MAX(O$2:O82)+1,"")</f>
        <v>81</v>
      </c>
      <c r="P83" s="23" t="str">
        <f t="shared" si="24"/>
        <v>q</v>
      </c>
      <c r="Q83" s="8" t="str" cm="1">
        <f t="array" ref="Q83">CharToUTF8(A83)</f>
        <v>\x71</v>
      </c>
      <c r="S83" s="18" t="str">
        <f>$AG$2</f>
        <v>EMPTY</v>
      </c>
      <c r="T83" s="24" t="str">
        <f>$AG$3</f>
        <v>DIAG_BOTH</v>
      </c>
      <c r="U83" s="24" t="str">
        <f>$AG$2</f>
        <v>EMPTY</v>
      </c>
      <c r="V83" s="21" t="str">
        <f>$AG$3</f>
        <v>DIAG_BOTH</v>
      </c>
      <c r="X83" s="31" t="b">
        <f t="shared" si="26"/>
        <v>0</v>
      </c>
      <c r="Y83" s="31" t="b">
        <f t="shared" si="27"/>
        <v>0</v>
      </c>
      <c r="Z83" t="b">
        <f t="shared" si="28"/>
        <v>0</v>
      </c>
      <c r="AA83" t="b">
        <f t="shared" si="29"/>
        <v>0</v>
      </c>
      <c r="AB83" t="b">
        <f>IF($N83,S83=VLOOKUP(S83,$AG$2:$AL$10,4,FALSE),"")</f>
        <v>1</v>
      </c>
      <c r="AC83" t="b">
        <f>IF($N83,T83=VLOOKUP(T83,$AG$2:$AL$10,4,FALSE),"")</f>
        <v>1</v>
      </c>
      <c r="AD83" t="b">
        <f>IF($N83,U83=VLOOKUP(U83,$AG$2:$AL$10,5,FALSE),"")</f>
        <v>1</v>
      </c>
      <c r="AE83" t="b">
        <f>IF($N83,V83=VLOOKUP(V83,$AG$2:$AL$10,5,FALSE),"")</f>
        <v>1</v>
      </c>
      <c r="AN83" s="55" t="str">
        <f t="shared" si="38"/>
        <v xml:space="preserve">    { wxString::FromUTF8("\x71"), &amp;AllGlyphs[69], &amp;AllGlyphs[67], &amp;AllGlyphs[90], &amp;AllGlyphs[69], Connection::EMPTY, Connection::DIAG_BOTH, Connection::EMPTY, Connection::DIAG_BOTH, 0, 0, 0, 0 },</v>
      </c>
      <c r="AO83" s="56"/>
      <c r="AP83" s="56"/>
      <c r="AQ83" s="56"/>
      <c r="AR83" s="56"/>
      <c r="AS83" s="56"/>
      <c r="AT83" s="56"/>
      <c r="AU83" s="57"/>
      <c r="AW83" s="54" t="str">
        <f t="shared" si="30"/>
        <v>&amp;AllGlyphs[69]</v>
      </c>
      <c r="AX83" s="54" t="str">
        <f t="shared" si="31"/>
        <v>&amp;AllGlyphs[67]</v>
      </c>
      <c r="AY83" s="54" t="str">
        <f t="shared" si="32"/>
        <v>&amp;AllGlyphs[90]</v>
      </c>
      <c r="AZ83" s="54" t="str">
        <f t="shared" si="33"/>
        <v>&amp;AllGlyphs[69]</v>
      </c>
      <c r="BB83" s="64">
        <f t="shared" si="34"/>
        <v>0</v>
      </c>
      <c r="BC83" s="64">
        <f t="shared" si="35"/>
        <v>0</v>
      </c>
      <c r="BD83" s="64">
        <f t="shared" si="36"/>
        <v>0</v>
      </c>
      <c r="BE83" s="64">
        <f t="shared" si="37"/>
        <v>0</v>
      </c>
    </row>
    <row r="84" spans="1:57" x14ac:dyDescent="0.4">
      <c r="A84" s="7" t="s">
        <v>3</v>
      </c>
      <c r="B84" s="6" t="str">
        <f t="shared" si="23"/>
        <v>r</v>
      </c>
      <c r="C84" s="48" cm="1">
        <f t="array" ref="C84">IF($N84,INDEX($O:$O,MATCH(TRUE,EXACT(B84,$A:$A),0)),"")</f>
        <v>82</v>
      </c>
      <c r="D84" s="38" t="s">
        <v>13</v>
      </c>
      <c r="E84" s="48" cm="1">
        <f t="array" ref="E84">IF($N84,INDEX($O:$O,MATCH(TRUE,EXACT(D84,$A:$A),0)),"")</f>
        <v>70</v>
      </c>
      <c r="F84" s="38">
        <v>4</v>
      </c>
      <c r="G84" s="48" cm="1">
        <f t="array" ref="G84">IF($O84&lt;&gt;"",INDEX($O:$O,MATCH(TRUE,EXACT(F84,$A:$A),0)),"")</f>
        <v>20</v>
      </c>
      <c r="H84" s="38">
        <v>4</v>
      </c>
      <c r="I84" s="48" cm="1">
        <f t="array" ref="I84">IF($N84,INDEX($O:$O,MATCH(TRUE,EXACT(H84,$A:$A),0)),"")</f>
        <v>20</v>
      </c>
      <c r="J84" s="38" t="s">
        <v>3</v>
      </c>
      <c r="K84" s="52" cm="1">
        <f t="array" ref="K84">IF($N84,INDEX($O:$O,MATCH(TRUE,EXACT(J84,$A:$A),0)),"")</f>
        <v>82</v>
      </c>
      <c r="L84" s="23"/>
      <c r="M84" s="33"/>
      <c r="N84" s="18" t="b">
        <f t="shared" si="25"/>
        <v>1</v>
      </c>
      <c r="O84" s="19">
        <f>IF(N84, MAX(O$2:O83)+1,"")</f>
        <v>82</v>
      </c>
      <c r="P84" s="23" t="str">
        <f t="shared" si="24"/>
        <v>r</v>
      </c>
      <c r="Q84" s="8" t="str" cm="1">
        <f t="array" ref="Q84">CharToUTF8(A84)</f>
        <v>\x72</v>
      </c>
      <c r="S84" s="18" t="str">
        <f>$AG$3</f>
        <v>DIAG_BOTH</v>
      </c>
      <c r="T84" s="24" t="str">
        <f>$AG$2</f>
        <v>EMPTY</v>
      </c>
      <c r="U84" s="24" t="str">
        <f>$AG$2</f>
        <v>EMPTY</v>
      </c>
      <c r="V84" s="21" t="str">
        <f>$AG$2</f>
        <v>EMPTY</v>
      </c>
      <c r="X84" s="31" t="b">
        <f t="shared" si="26"/>
        <v>0</v>
      </c>
      <c r="Y84" s="31" t="b">
        <f t="shared" si="27"/>
        <v>0</v>
      </c>
      <c r="Z84" t="b">
        <f t="shared" si="28"/>
        <v>0</v>
      </c>
      <c r="AA84" t="b">
        <f t="shared" si="29"/>
        <v>1</v>
      </c>
      <c r="AB84" t="b">
        <f>IF($N84,S84=VLOOKUP(S84,$AG$2:$AL$10,4,FALSE),"")</f>
        <v>1</v>
      </c>
      <c r="AC84" t="b">
        <f>IF($N84,T84=VLOOKUP(T84,$AG$2:$AL$10,4,FALSE),"")</f>
        <v>1</v>
      </c>
      <c r="AD84" t="b">
        <f>IF($N84,U84=VLOOKUP(U84,$AG$2:$AL$10,5,FALSE),"")</f>
        <v>1</v>
      </c>
      <c r="AE84" t="b">
        <f>IF($N84,V84=VLOOKUP(V84,$AG$2:$AL$10,5,FALSE),"")</f>
        <v>1</v>
      </c>
      <c r="AN84" s="55" t="str">
        <f t="shared" si="38"/>
        <v xml:space="preserve">    { wxString::FromUTF8("\x72"), &amp;AllGlyphs[70], &amp;AllGlyphs[20], &amp;AllGlyphs[20], &amp;AllGlyphs[82], Connection::DIAG_BOTH, Connection::EMPTY, Connection::EMPTY, Connection::EMPTY, 0, 0, 0, 1 },</v>
      </c>
      <c r="AO84" s="56"/>
      <c r="AP84" s="56"/>
      <c r="AQ84" s="56"/>
      <c r="AR84" s="56"/>
      <c r="AS84" s="56"/>
      <c r="AT84" s="56"/>
      <c r="AU84" s="57"/>
      <c r="AW84" s="54" t="str">
        <f t="shared" si="30"/>
        <v>&amp;AllGlyphs[70]</v>
      </c>
      <c r="AX84" s="54" t="str">
        <f t="shared" si="31"/>
        <v>&amp;AllGlyphs[20]</v>
      </c>
      <c r="AY84" s="54" t="str">
        <f t="shared" si="32"/>
        <v>&amp;AllGlyphs[20]</v>
      </c>
      <c r="AZ84" s="54" t="str">
        <f t="shared" si="33"/>
        <v>&amp;AllGlyphs[82]</v>
      </c>
      <c r="BB84" s="64">
        <f t="shared" si="34"/>
        <v>0</v>
      </c>
      <c r="BC84" s="64">
        <f t="shared" si="35"/>
        <v>0</v>
      </c>
      <c r="BD84" s="64">
        <f t="shared" si="36"/>
        <v>0</v>
      </c>
      <c r="BE84" s="64">
        <f t="shared" si="37"/>
        <v>1</v>
      </c>
    </row>
    <row r="85" spans="1:57" x14ac:dyDescent="0.4">
      <c r="A85" s="7" t="s">
        <v>11</v>
      </c>
      <c r="B85" s="6" t="str">
        <f t="shared" si="23"/>
        <v>s</v>
      </c>
      <c r="C85" s="48" cm="1">
        <f t="array" ref="C85">IF($N85,INDEX($O:$O,MATCH(TRUE,EXACT(B85,$A:$A),0)),"")</f>
        <v>83</v>
      </c>
      <c r="D85" s="38" t="s">
        <v>11</v>
      </c>
      <c r="E85" s="48" cm="1">
        <f t="array" ref="E85">IF($N85,INDEX($O:$O,MATCH(TRUE,EXACT(D85,$A:$A),0)),"")</f>
        <v>83</v>
      </c>
      <c r="F85" s="38" t="s">
        <v>11</v>
      </c>
      <c r="G85" s="48" cm="1">
        <f t="array" ref="G85">IF($O85&lt;&gt;"",INDEX($O:$O,MATCH(TRUE,EXACT(F85,$A:$A),0)),"")</f>
        <v>83</v>
      </c>
      <c r="H85" s="38" t="s">
        <v>11</v>
      </c>
      <c r="I85" s="48" cm="1">
        <f t="array" ref="I85">IF($N85,INDEX($O:$O,MATCH(TRUE,EXACT(H85,$A:$A),0)),"")</f>
        <v>83</v>
      </c>
      <c r="J85" s="38" t="s">
        <v>11</v>
      </c>
      <c r="K85" s="52" cm="1">
        <f t="array" ref="K85">IF($N85,INDEX($O:$O,MATCH(TRUE,EXACT(J85,$A:$A),0)),"")</f>
        <v>83</v>
      </c>
      <c r="L85" s="23"/>
      <c r="M85" s="33"/>
      <c r="N85" s="18" t="b">
        <f t="shared" si="25"/>
        <v>1</v>
      </c>
      <c r="O85" s="19">
        <f>IF(N85, MAX(O$2:O84)+1,"")</f>
        <v>83</v>
      </c>
      <c r="P85" s="23" t="str">
        <f t="shared" si="24"/>
        <v>s</v>
      </c>
      <c r="Q85" s="8" t="str" cm="1">
        <f t="array" ref="Q85">CharToUTF8(A85)</f>
        <v>\x73</v>
      </c>
      <c r="S85" s="18" t="str">
        <f>$AG$3</f>
        <v>DIAG_BOTH</v>
      </c>
      <c r="T85" s="24" t="str">
        <f t="shared" ref="T85:V86" si="39">$AG$3</f>
        <v>DIAG_BOTH</v>
      </c>
      <c r="U85" s="24" t="str">
        <f t="shared" si="39"/>
        <v>DIAG_BOTH</v>
      </c>
      <c r="V85" s="21" t="str">
        <f t="shared" si="39"/>
        <v>DIAG_BOTH</v>
      </c>
      <c r="X85" s="31" t="b">
        <f t="shared" si="26"/>
        <v>1</v>
      </c>
      <c r="Y85" s="31" t="b">
        <f t="shared" si="27"/>
        <v>1</v>
      </c>
      <c r="Z85" t="b">
        <f t="shared" si="28"/>
        <v>1</v>
      </c>
      <c r="AA85" t="b">
        <f t="shared" si="29"/>
        <v>1</v>
      </c>
      <c r="AB85" t="b">
        <f>IF($N85,S85=VLOOKUP(S85,$AG$2:$AL$10,4,FALSE),"")</f>
        <v>1</v>
      </c>
      <c r="AC85" t="b">
        <f>IF($N85,T85=VLOOKUP(T85,$AG$2:$AL$10,4,FALSE),"")</f>
        <v>1</v>
      </c>
      <c r="AD85" t="b">
        <f>IF($N85,U85=VLOOKUP(U85,$AG$2:$AL$10,5,FALSE),"")</f>
        <v>1</v>
      </c>
      <c r="AE85" t="b">
        <f>IF($N85,V85=VLOOKUP(V85,$AG$2:$AL$10,5,FALSE),"")</f>
        <v>1</v>
      </c>
      <c r="AN85" s="55" t="str">
        <f t="shared" si="38"/>
        <v xml:space="preserve">    { wxString::FromUTF8("\x73"), &amp;AllGlyphs[83], &amp;AllGlyphs[83], &amp;AllGlyphs[83], &amp;AllGlyphs[83], Connection::DIAG_BOTH, Connection::DIAG_BOTH, Connection::DIAG_BOTH, Connection::DIAG_BOTH, 1, 1, 1, 1 },</v>
      </c>
      <c r="AO85" s="56"/>
      <c r="AP85" s="56"/>
      <c r="AQ85" s="56"/>
      <c r="AR85" s="56"/>
      <c r="AS85" s="56"/>
      <c r="AT85" s="56"/>
      <c r="AU85" s="57"/>
      <c r="AW85" s="54" t="str">
        <f t="shared" si="30"/>
        <v>&amp;AllGlyphs[83]</v>
      </c>
      <c r="AX85" s="54" t="str">
        <f t="shared" si="31"/>
        <v>&amp;AllGlyphs[83]</v>
      </c>
      <c r="AY85" s="54" t="str">
        <f t="shared" si="32"/>
        <v>&amp;AllGlyphs[83]</v>
      </c>
      <c r="AZ85" s="54" t="str">
        <f t="shared" si="33"/>
        <v>&amp;AllGlyphs[83]</v>
      </c>
      <c r="BB85" s="64">
        <f t="shared" si="34"/>
        <v>1</v>
      </c>
      <c r="BC85" s="64">
        <f t="shared" si="35"/>
        <v>1</v>
      </c>
      <c r="BD85" s="64">
        <f t="shared" si="36"/>
        <v>1</v>
      </c>
      <c r="BE85" s="64">
        <f t="shared" si="37"/>
        <v>1</v>
      </c>
    </row>
    <row r="86" spans="1:57" x14ac:dyDescent="0.4">
      <c r="A86" s="7" t="s">
        <v>4</v>
      </c>
      <c r="B86" s="6" t="str">
        <f t="shared" si="23"/>
        <v>t</v>
      </c>
      <c r="C86" s="48" cm="1">
        <f t="array" ref="C86">IF($N86,INDEX($O:$O,MATCH(TRUE,EXACT(B86,$A:$A),0)),"")</f>
        <v>84</v>
      </c>
      <c r="D86" s="38" t="s">
        <v>14</v>
      </c>
      <c r="E86" s="48" cm="1">
        <f t="array" ref="E86">IF($N86,INDEX($O:$O,MATCH(TRUE,EXACT(D86,$A:$A),0)),"")</f>
        <v>71</v>
      </c>
      <c r="F86" s="38">
        <v>5</v>
      </c>
      <c r="G86" s="48" cm="1">
        <f t="array" ref="G86">IF($O86&lt;&gt;"",INDEX($O:$O,MATCH(TRUE,EXACT(F86,$A:$A),0)),"")</f>
        <v>21</v>
      </c>
      <c r="H86" s="38">
        <v>5</v>
      </c>
      <c r="I86" s="48" cm="1">
        <f t="array" ref="I86">IF($N86,INDEX($O:$O,MATCH(TRUE,EXACT(H86,$A:$A),0)),"")</f>
        <v>21</v>
      </c>
      <c r="J86" s="38" t="s">
        <v>4</v>
      </c>
      <c r="K86" s="52" cm="1">
        <f t="array" ref="K86">IF($N86,INDEX($O:$O,MATCH(TRUE,EXACT(J86,$A:$A),0)),"")</f>
        <v>84</v>
      </c>
      <c r="L86" s="23"/>
      <c r="M86" s="33"/>
      <c r="N86" s="18" t="b">
        <f t="shared" si="25"/>
        <v>1</v>
      </c>
      <c r="O86" s="19">
        <f>IF(N86, MAX(O$2:O85)+1,"")</f>
        <v>84</v>
      </c>
      <c r="P86" s="23" t="str">
        <f t="shared" si="24"/>
        <v>t</v>
      </c>
      <c r="Q86" s="8" t="str" cm="1">
        <f t="array" ref="Q86">CharToUTF8(A86)</f>
        <v>\x74</v>
      </c>
      <c r="S86" s="18" t="str">
        <f>$AG$4</f>
        <v>ORTHO_BOTH</v>
      </c>
      <c r="T86" s="24" t="str">
        <f t="shared" si="39"/>
        <v>DIAG_BOTH</v>
      </c>
      <c r="U86" s="24" t="str">
        <f t="shared" si="39"/>
        <v>DIAG_BOTH</v>
      </c>
      <c r="V86" s="21" t="str">
        <f t="shared" si="39"/>
        <v>DIAG_BOTH</v>
      </c>
      <c r="X86" s="31" t="b">
        <f t="shared" si="26"/>
        <v>0</v>
      </c>
      <c r="Y86" s="31" t="b">
        <f t="shared" si="27"/>
        <v>0</v>
      </c>
      <c r="Z86" t="b">
        <f t="shared" si="28"/>
        <v>0</v>
      </c>
      <c r="AA86" t="b">
        <f t="shared" si="29"/>
        <v>1</v>
      </c>
      <c r="AB86" t="b">
        <f>IF($N86,S86=VLOOKUP(S86,$AG$2:$AL$10,4,FALSE),"")</f>
        <v>1</v>
      </c>
      <c r="AC86" t="b">
        <f>IF($N86,T86=VLOOKUP(T86,$AG$2:$AL$10,4,FALSE),"")</f>
        <v>1</v>
      </c>
      <c r="AD86" t="b">
        <f>IF($N86,U86=VLOOKUP(U86,$AG$2:$AL$10,5,FALSE),"")</f>
        <v>1</v>
      </c>
      <c r="AE86" t="b">
        <f>IF($N86,V86=VLOOKUP(V86,$AG$2:$AL$10,5,FALSE),"")</f>
        <v>1</v>
      </c>
      <c r="AN86" s="55" t="str">
        <f t="shared" si="38"/>
        <v xml:space="preserve">    { wxString::FromUTF8("\x74"), &amp;AllGlyphs[71], &amp;AllGlyphs[21], &amp;AllGlyphs[21], &amp;AllGlyphs[84], Connection::ORTHO_BOTH, Connection::DIAG_BOTH, Connection::DIAG_BOTH, Connection::DIAG_BOTH, 0, 0, 0, 1 },</v>
      </c>
      <c r="AO86" s="56"/>
      <c r="AP86" s="56"/>
      <c r="AQ86" s="56"/>
      <c r="AR86" s="56"/>
      <c r="AS86" s="56"/>
      <c r="AT86" s="56"/>
      <c r="AU86" s="57"/>
      <c r="AW86" s="54" t="str">
        <f t="shared" si="30"/>
        <v>&amp;AllGlyphs[71]</v>
      </c>
      <c r="AX86" s="54" t="str">
        <f t="shared" si="31"/>
        <v>&amp;AllGlyphs[21]</v>
      </c>
      <c r="AY86" s="54" t="str">
        <f t="shared" si="32"/>
        <v>&amp;AllGlyphs[21]</v>
      </c>
      <c r="AZ86" s="54" t="str">
        <f t="shared" si="33"/>
        <v>&amp;AllGlyphs[84]</v>
      </c>
      <c r="BB86" s="64">
        <f t="shared" si="34"/>
        <v>0</v>
      </c>
      <c r="BC86" s="64">
        <f t="shared" si="35"/>
        <v>0</v>
      </c>
      <c r="BD86" s="64">
        <f t="shared" si="36"/>
        <v>0</v>
      </c>
      <c r="BE86" s="64">
        <f t="shared" si="37"/>
        <v>1</v>
      </c>
    </row>
    <row r="87" spans="1:57" x14ac:dyDescent="0.4">
      <c r="A87" s="7" t="s">
        <v>6</v>
      </c>
      <c r="B87" s="6" t="str">
        <f t="shared" si="23"/>
        <v>u</v>
      </c>
      <c r="C87" s="48" cm="1">
        <f t="array" ref="C87">IF($N87,INDEX($O:$O,MATCH(TRUE,EXACT(B87,$A:$A),0)),"")</f>
        <v>85</v>
      </c>
      <c r="D87" s="38" t="s">
        <v>16</v>
      </c>
      <c r="E87" s="48" cm="1">
        <f t="array" ref="E87">IF($N87,INDEX($O:$O,MATCH(TRUE,EXACT(D87,$A:$A),0)),"")</f>
        <v>74</v>
      </c>
      <c r="F87" s="38">
        <v>8</v>
      </c>
      <c r="G87" s="48" cm="1">
        <f t="array" ref="G87">IF($O87&lt;&gt;"",INDEX($O:$O,MATCH(TRUE,EXACT(F87,$A:$A),0)),"")</f>
        <v>24</v>
      </c>
      <c r="H87" s="38">
        <v>7</v>
      </c>
      <c r="I87" s="48" cm="1">
        <f t="array" ref="I87">IF($N87,INDEX($O:$O,MATCH(TRUE,EXACT(H87,$A:$A),0)),"")</f>
        <v>23</v>
      </c>
      <c r="J87" s="38" t="s">
        <v>7</v>
      </c>
      <c r="K87" s="52" cm="1">
        <f t="array" ref="K87">IF($N87,INDEX($O:$O,MATCH(TRUE,EXACT(J87,$A:$A),0)),"")</f>
        <v>73</v>
      </c>
      <c r="L87" s="23"/>
      <c r="M87" s="33"/>
      <c r="N87" s="18" t="b">
        <f t="shared" si="25"/>
        <v>1</v>
      </c>
      <c r="O87" s="19">
        <f>IF(N87, MAX(O$2:O86)+1,"")</f>
        <v>85</v>
      </c>
      <c r="P87" s="23" t="str">
        <f t="shared" si="24"/>
        <v>u</v>
      </c>
      <c r="Q87" s="8" t="str" cm="1">
        <f t="array" ref="Q87">CharToUTF8(A87)</f>
        <v>\x75</v>
      </c>
      <c r="S87" s="18" t="str">
        <f>$AG$4</f>
        <v>ORTHO_BOTH</v>
      </c>
      <c r="T87" s="24" t="str">
        <f>$AG$3</f>
        <v>DIAG_BOTH</v>
      </c>
      <c r="U87" s="24" t="str">
        <f>$AG$2</f>
        <v>EMPTY</v>
      </c>
      <c r="V87" s="21" t="str">
        <f>$AG$3</f>
        <v>DIAG_BOTH</v>
      </c>
      <c r="X87" s="31" t="b">
        <f t="shared" si="26"/>
        <v>0</v>
      </c>
      <c r="Y87" s="31" t="b">
        <f t="shared" si="27"/>
        <v>0</v>
      </c>
      <c r="Z87" t="b">
        <f t="shared" si="28"/>
        <v>0</v>
      </c>
      <c r="AA87" t="b">
        <f t="shared" si="29"/>
        <v>0</v>
      </c>
      <c r="AB87" t="b">
        <f>IF($N87,S87=VLOOKUP(S87,$AG$2:$AL$10,4,FALSE),"")</f>
        <v>1</v>
      </c>
      <c r="AC87" t="b">
        <f>IF($N87,T87=VLOOKUP(T87,$AG$2:$AL$10,4,FALSE),"")</f>
        <v>1</v>
      </c>
      <c r="AD87" t="b">
        <f>IF($N87,U87=VLOOKUP(U87,$AG$2:$AL$10,5,FALSE),"")</f>
        <v>1</v>
      </c>
      <c r="AE87" t="b">
        <f>IF($N87,V87=VLOOKUP(V87,$AG$2:$AL$10,5,FALSE),"")</f>
        <v>1</v>
      </c>
      <c r="AN87" s="55" t="str">
        <f t="shared" si="38"/>
        <v xml:space="preserve">    { wxString::FromUTF8("\x75"), &amp;AllGlyphs[74], &amp;AllGlyphs[24], &amp;AllGlyphs[23], &amp;AllGlyphs[73], Connection::ORTHO_BOTH, Connection::DIAG_BOTH, Connection::EMPTY, Connection::DIAG_BOTH, 0, 0, 0, 0 },</v>
      </c>
      <c r="AO87" s="56"/>
      <c r="AP87" s="56"/>
      <c r="AQ87" s="56"/>
      <c r="AR87" s="56"/>
      <c r="AS87" s="56"/>
      <c r="AT87" s="56"/>
      <c r="AU87" s="57"/>
      <c r="AW87" s="54" t="str">
        <f t="shared" si="30"/>
        <v>&amp;AllGlyphs[74]</v>
      </c>
      <c r="AX87" s="54" t="str">
        <f t="shared" si="31"/>
        <v>&amp;AllGlyphs[24]</v>
      </c>
      <c r="AY87" s="54" t="str">
        <f t="shared" si="32"/>
        <v>&amp;AllGlyphs[23]</v>
      </c>
      <c r="AZ87" s="54" t="str">
        <f t="shared" si="33"/>
        <v>&amp;AllGlyphs[73]</v>
      </c>
      <c r="BB87" s="64">
        <f t="shared" si="34"/>
        <v>0</v>
      </c>
      <c r="BC87" s="64">
        <f t="shared" si="35"/>
        <v>0</v>
      </c>
      <c r="BD87" s="64">
        <f t="shared" si="36"/>
        <v>0</v>
      </c>
      <c r="BE87" s="64">
        <f t="shared" si="37"/>
        <v>0</v>
      </c>
    </row>
    <row r="88" spans="1:57" x14ac:dyDescent="0.4">
      <c r="A88" s="7" t="s">
        <v>22</v>
      </c>
      <c r="B88" s="6" t="str">
        <f t="shared" si="23"/>
        <v>v</v>
      </c>
      <c r="C88" s="48" cm="1">
        <f t="array" ref="C88">IF($N88,INDEX($O:$O,MATCH(TRUE,EXACT(B88,$A:$A),0)),"")</f>
        <v>86</v>
      </c>
      <c r="D88" s="38" t="s">
        <v>3</v>
      </c>
      <c r="E88" s="48" cm="1">
        <f t="array" ref="E88">IF($N88,INDEX($O:$O,MATCH(TRUE,EXACT(D88,$A:$A),0)),"")</f>
        <v>82</v>
      </c>
      <c r="F88" s="38" t="s">
        <v>13</v>
      </c>
      <c r="G88" s="48" cm="1">
        <f t="array" ref="G88">IF($O88&lt;&gt;"",INDEX($O:$O,MATCH(TRUE,EXACT(F88,$A:$A),0)),"")</f>
        <v>70</v>
      </c>
      <c r="H88" s="38" t="s">
        <v>22</v>
      </c>
      <c r="I88" s="48" cm="1">
        <f t="array" ref="I88">IF($N88,INDEX($O:$O,MATCH(TRUE,EXACT(H88,$A:$A),0)),"")</f>
        <v>86</v>
      </c>
      <c r="J88" s="38" t="s">
        <v>13</v>
      </c>
      <c r="K88" s="52" cm="1">
        <f t="array" ref="K88">IF($N88,INDEX($O:$O,MATCH(TRUE,EXACT(J88,$A:$A),0)),"")</f>
        <v>70</v>
      </c>
      <c r="L88" s="23"/>
      <c r="M88" s="33"/>
      <c r="N88" s="18" t="b">
        <f t="shared" si="25"/>
        <v>1</v>
      </c>
      <c r="O88" s="19">
        <f>IF(N88, MAX(O$2:O87)+1,"")</f>
        <v>86</v>
      </c>
      <c r="P88" s="23" t="str">
        <f t="shared" si="24"/>
        <v>v</v>
      </c>
      <c r="Q88" s="8" t="str" cm="1">
        <f t="array" ref="Q88">CharToUTF8(A88)</f>
        <v>\x76</v>
      </c>
      <c r="S88" s="18" t="str">
        <f>$AG$2</f>
        <v>EMPTY</v>
      </c>
      <c r="T88" s="24" t="str">
        <f>$AG$2</f>
        <v>EMPTY</v>
      </c>
      <c r="U88" s="24" t="str">
        <f>$AG$3</f>
        <v>DIAG_BOTH</v>
      </c>
      <c r="V88" s="21" t="str">
        <f>$AG$2</f>
        <v>EMPTY</v>
      </c>
      <c r="X88" s="31" t="b">
        <f t="shared" si="26"/>
        <v>0</v>
      </c>
      <c r="Y88" s="31" t="b">
        <f t="shared" si="27"/>
        <v>0</v>
      </c>
      <c r="Z88" t="b">
        <f t="shared" si="28"/>
        <v>1</v>
      </c>
      <c r="AA88" t="b">
        <f t="shared" si="29"/>
        <v>0</v>
      </c>
      <c r="AB88" t="b">
        <f>IF($N88,S88=VLOOKUP(S88,$AG$2:$AL$10,4,FALSE),"")</f>
        <v>1</v>
      </c>
      <c r="AC88" t="b">
        <f>IF($N88,T88=VLOOKUP(T88,$AG$2:$AL$10,4,FALSE),"")</f>
        <v>1</v>
      </c>
      <c r="AD88" t="b">
        <f>IF($N88,U88=VLOOKUP(U88,$AG$2:$AL$10,5,FALSE),"")</f>
        <v>1</v>
      </c>
      <c r="AE88" t="b">
        <f>IF($N88,V88=VLOOKUP(V88,$AG$2:$AL$10,5,FALSE),"")</f>
        <v>1</v>
      </c>
      <c r="AN88" s="55" t="str">
        <f t="shared" si="38"/>
        <v xml:space="preserve">    { wxString::FromUTF8("\x76"), &amp;AllGlyphs[82], &amp;AllGlyphs[70], &amp;AllGlyphs[86], &amp;AllGlyphs[70], Connection::EMPTY, Connection::EMPTY, Connection::DIAG_BOTH, Connection::EMPTY, 0, 0, 1, 0 },</v>
      </c>
      <c r="AO88" s="56"/>
      <c r="AP88" s="56"/>
      <c r="AQ88" s="56"/>
      <c r="AR88" s="56"/>
      <c r="AS88" s="56"/>
      <c r="AT88" s="56"/>
      <c r="AU88" s="57"/>
      <c r="AW88" s="54" t="str">
        <f t="shared" si="30"/>
        <v>&amp;AllGlyphs[82]</v>
      </c>
      <c r="AX88" s="54" t="str">
        <f t="shared" si="31"/>
        <v>&amp;AllGlyphs[70]</v>
      </c>
      <c r="AY88" s="54" t="str">
        <f t="shared" si="32"/>
        <v>&amp;AllGlyphs[86]</v>
      </c>
      <c r="AZ88" s="54" t="str">
        <f t="shared" si="33"/>
        <v>&amp;AllGlyphs[70]</v>
      </c>
      <c r="BB88" s="64">
        <f t="shared" si="34"/>
        <v>0</v>
      </c>
      <c r="BC88" s="64">
        <f t="shared" si="35"/>
        <v>0</v>
      </c>
      <c r="BD88" s="64">
        <f t="shared" si="36"/>
        <v>1</v>
      </c>
      <c r="BE88" s="64">
        <f t="shared" si="37"/>
        <v>0</v>
      </c>
    </row>
    <row r="89" spans="1:57" x14ac:dyDescent="0.4">
      <c r="A89" s="7" t="s">
        <v>1</v>
      </c>
      <c r="B89" s="6" t="str">
        <f t="shared" si="23"/>
        <v>w</v>
      </c>
      <c r="C89" s="48" cm="1">
        <f t="array" ref="C89">IF($N89,INDEX($O:$O,MATCH(TRUE,EXACT(B89,$A:$A),0)),"")</f>
        <v>87</v>
      </c>
      <c r="D89" s="38" t="s">
        <v>12</v>
      </c>
      <c r="E89" s="48" cm="1">
        <f t="array" ref="E89">IF($N89,INDEX($O:$O,MATCH(TRUE,EXACT(D89,$A:$A),0)),"")</f>
        <v>68</v>
      </c>
      <c r="F89" s="38" t="s">
        <v>20</v>
      </c>
      <c r="G89" s="48" cm="1">
        <f t="array" ref="G89">IF($O89&lt;&gt;"",INDEX($O:$O,MATCH(TRUE,EXACT(F89,$A:$A),0)),"")</f>
        <v>88</v>
      </c>
      <c r="H89" s="38" t="s">
        <v>20</v>
      </c>
      <c r="I89" s="48" cm="1">
        <f t="array" ref="I89">IF($N89,INDEX($O:$O,MATCH(TRUE,EXACT(H89,$A:$A),0)),"")</f>
        <v>88</v>
      </c>
      <c r="J89" s="38" t="s">
        <v>1</v>
      </c>
      <c r="K89" s="52" cm="1">
        <f t="array" ref="K89">IF($N89,INDEX($O:$O,MATCH(TRUE,EXACT(J89,$A:$A),0)),"")</f>
        <v>87</v>
      </c>
      <c r="L89" s="23"/>
      <c r="M89" s="33"/>
      <c r="N89" s="18" t="b">
        <f t="shared" si="25"/>
        <v>1</v>
      </c>
      <c r="O89" s="19">
        <f>IF(N89, MAX(O$2:O88)+1,"")</f>
        <v>87</v>
      </c>
      <c r="P89" s="23" t="str">
        <f t="shared" si="24"/>
        <v>w</v>
      </c>
      <c r="Q89" s="8" t="str" cm="1">
        <f t="array" ref="Q89">CharToUTF8(A89)</f>
        <v>\x77</v>
      </c>
      <c r="S89" s="18" t="str">
        <f>$AG$2</f>
        <v>EMPTY</v>
      </c>
      <c r="T89" s="24" t="str">
        <f>$AG$3</f>
        <v>DIAG_BOTH</v>
      </c>
      <c r="U89" s="24" t="str">
        <f>$AG$3</f>
        <v>DIAG_BOTH</v>
      </c>
      <c r="V89" s="21" t="str">
        <f>$AG$3</f>
        <v>DIAG_BOTH</v>
      </c>
      <c r="X89" s="31" t="b">
        <f t="shared" si="26"/>
        <v>0</v>
      </c>
      <c r="Y89" s="31" t="b">
        <f t="shared" si="27"/>
        <v>0</v>
      </c>
      <c r="Z89" t="b">
        <f t="shared" si="28"/>
        <v>0</v>
      </c>
      <c r="AA89" t="b">
        <f t="shared" si="29"/>
        <v>1</v>
      </c>
      <c r="AB89" t="b">
        <f>IF($N89,S89=VLOOKUP(S89,$AG$2:$AL$10,4,FALSE),"")</f>
        <v>1</v>
      </c>
      <c r="AC89" t="b">
        <f>IF($N89,T89=VLOOKUP(T89,$AG$2:$AL$10,4,FALSE),"")</f>
        <v>1</v>
      </c>
      <c r="AD89" t="b">
        <f>IF($N89,U89=VLOOKUP(U89,$AG$2:$AL$10,5,FALSE),"")</f>
        <v>1</v>
      </c>
      <c r="AE89" t="b">
        <f>IF($N89,V89=VLOOKUP(V89,$AG$2:$AL$10,5,FALSE),"")</f>
        <v>1</v>
      </c>
      <c r="AN89" s="55" t="str">
        <f t="shared" si="38"/>
        <v xml:space="preserve">    { wxString::FromUTF8("\x77"), &amp;AllGlyphs[68], &amp;AllGlyphs[88], &amp;AllGlyphs[88], &amp;AllGlyphs[87], Connection::EMPTY, Connection::DIAG_BOTH, Connection::DIAG_BOTH, Connection::DIAG_BOTH, 0, 0, 0, 1 },</v>
      </c>
      <c r="AO89" s="56"/>
      <c r="AP89" s="56"/>
      <c r="AQ89" s="56"/>
      <c r="AR89" s="56"/>
      <c r="AS89" s="56"/>
      <c r="AT89" s="56"/>
      <c r="AU89" s="57"/>
      <c r="AW89" s="54" t="str">
        <f t="shared" si="30"/>
        <v>&amp;AllGlyphs[68]</v>
      </c>
      <c r="AX89" s="54" t="str">
        <f t="shared" si="31"/>
        <v>&amp;AllGlyphs[88]</v>
      </c>
      <c r="AY89" s="54" t="str">
        <f t="shared" si="32"/>
        <v>&amp;AllGlyphs[88]</v>
      </c>
      <c r="AZ89" s="54" t="str">
        <f t="shared" si="33"/>
        <v>&amp;AllGlyphs[87]</v>
      </c>
      <c r="BB89" s="64">
        <f t="shared" si="34"/>
        <v>0</v>
      </c>
      <c r="BC89" s="64">
        <f t="shared" si="35"/>
        <v>0</v>
      </c>
      <c r="BD89" s="64">
        <f t="shared" si="36"/>
        <v>0</v>
      </c>
      <c r="BE89" s="64">
        <f t="shared" si="37"/>
        <v>1</v>
      </c>
    </row>
    <row r="90" spans="1:57" x14ac:dyDescent="0.4">
      <c r="A90" s="7" t="s">
        <v>20</v>
      </c>
      <c r="B90" s="6" t="str">
        <f t="shared" si="23"/>
        <v>x</v>
      </c>
      <c r="C90" s="48" cm="1">
        <f t="array" ref="C90">IF($N90,INDEX($O:$O,MATCH(TRUE,EXACT(B90,$A:$A),0)),"")</f>
        <v>88</v>
      </c>
      <c r="D90" s="38" t="s">
        <v>10</v>
      </c>
      <c r="E90" s="48" cm="1">
        <f t="array" ref="E90">IF($N90,INDEX($O:$O,MATCH(TRUE,EXACT(D90,$A:$A),0)),"")</f>
        <v>65</v>
      </c>
      <c r="F90" s="38" t="s">
        <v>1</v>
      </c>
      <c r="G90" s="48" cm="1">
        <f t="array" ref="G90">IF($O90&lt;&gt;"",INDEX($O:$O,MATCH(TRUE,EXACT(F90,$A:$A),0)),"")</f>
        <v>87</v>
      </c>
      <c r="H90" s="38" t="s">
        <v>1</v>
      </c>
      <c r="I90" s="48" cm="1">
        <f t="array" ref="I90">IF($N90,INDEX($O:$O,MATCH(TRUE,EXACT(H90,$A:$A),0)),"")</f>
        <v>87</v>
      </c>
      <c r="J90" s="38" t="s">
        <v>20</v>
      </c>
      <c r="K90" s="52" cm="1">
        <f t="array" ref="K90">IF($N90,INDEX($O:$O,MATCH(TRUE,EXACT(J90,$A:$A),0)),"")</f>
        <v>88</v>
      </c>
      <c r="L90" s="23"/>
      <c r="M90" s="33"/>
      <c r="N90" s="18" t="b">
        <f t="shared" si="25"/>
        <v>1</v>
      </c>
      <c r="O90" s="19">
        <f>IF(N90, MAX(O$2:O89)+1,"")</f>
        <v>88</v>
      </c>
      <c r="P90" s="23" t="str">
        <f t="shared" si="24"/>
        <v>x</v>
      </c>
      <c r="Q90" s="8" t="str" cm="1">
        <f t="array" ref="Q90">CharToUTF8(A90)</f>
        <v>\x78</v>
      </c>
      <c r="S90" s="18" t="str">
        <f>$AG$3</f>
        <v>DIAG_BOTH</v>
      </c>
      <c r="T90" s="24" t="str">
        <f>$AG$2</f>
        <v>EMPTY</v>
      </c>
      <c r="U90" s="24" t="str">
        <f>$AG$3</f>
        <v>DIAG_BOTH</v>
      </c>
      <c r="V90" s="21" t="str">
        <f>$AG$3</f>
        <v>DIAG_BOTH</v>
      </c>
      <c r="X90" s="31" t="b">
        <f t="shared" si="26"/>
        <v>0</v>
      </c>
      <c r="Y90" s="31" t="b">
        <f t="shared" si="27"/>
        <v>0</v>
      </c>
      <c r="Z90" t="b">
        <f t="shared" si="28"/>
        <v>0</v>
      </c>
      <c r="AA90" t="b">
        <f t="shared" si="29"/>
        <v>1</v>
      </c>
      <c r="AB90" t="b">
        <f>IF($N90,S90=VLOOKUP(S90,$AG$2:$AL$10,4,FALSE),"")</f>
        <v>1</v>
      </c>
      <c r="AC90" t="b">
        <f>IF($N90,T90=VLOOKUP(T90,$AG$2:$AL$10,4,FALSE),"")</f>
        <v>1</v>
      </c>
      <c r="AD90" t="b">
        <f>IF($N90,U90=VLOOKUP(U90,$AG$2:$AL$10,5,FALSE),"")</f>
        <v>1</v>
      </c>
      <c r="AE90" t="b">
        <f>IF($N90,V90=VLOOKUP(V90,$AG$2:$AL$10,5,FALSE),"")</f>
        <v>1</v>
      </c>
      <c r="AN90" s="55" t="str">
        <f t="shared" si="38"/>
        <v xml:space="preserve">    { wxString::FromUTF8("\x78"), &amp;AllGlyphs[65], &amp;AllGlyphs[87], &amp;AllGlyphs[87], &amp;AllGlyphs[88], Connection::DIAG_BOTH, Connection::EMPTY, Connection::DIAG_BOTH, Connection::DIAG_BOTH, 0, 0, 0, 1 },</v>
      </c>
      <c r="AO90" s="56"/>
      <c r="AP90" s="56"/>
      <c r="AQ90" s="56"/>
      <c r="AR90" s="56"/>
      <c r="AS90" s="56"/>
      <c r="AT90" s="56"/>
      <c r="AU90" s="57"/>
      <c r="AW90" s="54" t="str">
        <f t="shared" si="30"/>
        <v>&amp;AllGlyphs[65]</v>
      </c>
      <c r="AX90" s="54" t="str">
        <f t="shared" si="31"/>
        <v>&amp;AllGlyphs[87]</v>
      </c>
      <c r="AY90" s="54" t="str">
        <f t="shared" si="32"/>
        <v>&amp;AllGlyphs[87]</v>
      </c>
      <c r="AZ90" s="54" t="str">
        <f t="shared" si="33"/>
        <v>&amp;AllGlyphs[88]</v>
      </c>
      <c r="BB90" s="64">
        <f t="shared" si="34"/>
        <v>0</v>
      </c>
      <c r="BC90" s="64">
        <f t="shared" si="35"/>
        <v>0</v>
      </c>
      <c r="BD90" s="64">
        <f t="shared" si="36"/>
        <v>0</v>
      </c>
      <c r="BE90" s="64">
        <f t="shared" si="37"/>
        <v>1</v>
      </c>
    </row>
    <row r="91" spans="1:57" x14ac:dyDescent="0.4">
      <c r="A91" s="7" t="s">
        <v>5</v>
      </c>
      <c r="B91" s="6" t="str">
        <f t="shared" si="23"/>
        <v>y</v>
      </c>
      <c r="C91" s="48" cm="1">
        <f t="array" ref="C91">IF($N91,INDEX($O:$O,MATCH(TRUE,EXACT(B91,$A:$A),0)),"")</f>
        <v>89</v>
      </c>
      <c r="D91" s="38" t="s">
        <v>23</v>
      </c>
      <c r="E91" s="48" cm="1">
        <f t="array" ref="E91">IF($N91,INDEX($O:$O,MATCH(TRUE,EXACT(D91,$A:$A),0)),"")</f>
        <v>66</v>
      </c>
      <c r="F91" s="38">
        <v>6</v>
      </c>
      <c r="G91" s="48" cm="1">
        <f t="array" ref="G91">IF($O91&lt;&gt;"",INDEX($O:$O,MATCH(TRUE,EXACT(F91,$A:$A),0)),"")</f>
        <v>22</v>
      </c>
      <c r="H91" s="38">
        <v>6</v>
      </c>
      <c r="I91" s="48" cm="1">
        <f t="array" ref="I91">IF($N91,INDEX($O:$O,MATCH(TRUE,EXACT(H91,$A:$A),0)),"")</f>
        <v>22</v>
      </c>
      <c r="J91" s="38" t="s">
        <v>5</v>
      </c>
      <c r="K91" s="52" cm="1">
        <f t="array" ref="K91">IF($N91,INDEX($O:$O,MATCH(TRUE,EXACT(J91,$A:$A),0)),"")</f>
        <v>89</v>
      </c>
      <c r="L91" s="23"/>
      <c r="M91" s="33"/>
      <c r="N91" s="18" t="b">
        <f t="shared" si="25"/>
        <v>1</v>
      </c>
      <c r="O91" s="19">
        <f>IF(N91, MAX(O$2:O90)+1,"")</f>
        <v>89</v>
      </c>
      <c r="P91" s="23" t="str">
        <f t="shared" si="24"/>
        <v>y</v>
      </c>
      <c r="Q91" s="8" t="str" cm="1">
        <f t="array" ref="Q91">CharToUTF8(A91)</f>
        <v>\x79</v>
      </c>
      <c r="S91" s="18" t="str">
        <f>$AG$4</f>
        <v>ORTHO_BOTH</v>
      </c>
      <c r="T91" s="24" t="str">
        <f>$AG$2</f>
        <v>EMPTY</v>
      </c>
      <c r="U91" s="24" t="str">
        <f>$AG$3</f>
        <v>DIAG_BOTH</v>
      </c>
      <c r="V91" s="21" t="str">
        <f>$AG$3</f>
        <v>DIAG_BOTH</v>
      </c>
      <c r="X91" s="31" t="b">
        <f t="shared" si="26"/>
        <v>0</v>
      </c>
      <c r="Y91" s="31" t="b">
        <f t="shared" si="27"/>
        <v>0</v>
      </c>
      <c r="Z91" t="b">
        <f t="shared" si="28"/>
        <v>0</v>
      </c>
      <c r="AA91" t="b">
        <f t="shared" si="29"/>
        <v>1</v>
      </c>
      <c r="AB91" t="b">
        <f>IF($N91,S91=VLOOKUP(S91,$AG$2:$AL$10,4,FALSE),"")</f>
        <v>1</v>
      </c>
      <c r="AC91" t="b">
        <f>IF($N91,T91=VLOOKUP(T91,$AG$2:$AL$10,4,FALSE),"")</f>
        <v>1</v>
      </c>
      <c r="AD91" t="b">
        <f>IF($N91,U91=VLOOKUP(U91,$AG$2:$AL$10,5,FALSE),"")</f>
        <v>1</v>
      </c>
      <c r="AE91" t="b">
        <f>IF($N91,V91=VLOOKUP(V91,$AG$2:$AL$10,5,FALSE),"")</f>
        <v>1</v>
      </c>
      <c r="AN91" s="55" t="str">
        <f t="shared" si="38"/>
        <v xml:space="preserve">    { wxString::FromUTF8("\x79"), &amp;AllGlyphs[66], &amp;AllGlyphs[22], &amp;AllGlyphs[22], &amp;AllGlyphs[89], Connection::ORTHO_BOTH, Connection::EMPTY, Connection::DIAG_BOTH, Connection::DIAG_BOTH, 0, 0, 0, 1 },</v>
      </c>
      <c r="AO91" s="56"/>
      <c r="AP91" s="56"/>
      <c r="AQ91" s="56"/>
      <c r="AR91" s="56"/>
      <c r="AS91" s="56"/>
      <c r="AT91" s="56"/>
      <c r="AU91" s="57"/>
      <c r="AW91" s="54" t="str">
        <f t="shared" si="30"/>
        <v>&amp;AllGlyphs[66]</v>
      </c>
      <c r="AX91" s="54" t="str">
        <f t="shared" si="31"/>
        <v>&amp;AllGlyphs[22]</v>
      </c>
      <c r="AY91" s="54" t="str">
        <f t="shared" si="32"/>
        <v>&amp;AllGlyphs[22]</v>
      </c>
      <c r="AZ91" s="54" t="str">
        <f t="shared" si="33"/>
        <v>&amp;AllGlyphs[89]</v>
      </c>
      <c r="BB91" s="64">
        <f t="shared" si="34"/>
        <v>0</v>
      </c>
      <c r="BC91" s="64">
        <f t="shared" si="35"/>
        <v>0</v>
      </c>
      <c r="BD91" s="64">
        <f t="shared" si="36"/>
        <v>0</v>
      </c>
      <c r="BE91" s="64">
        <f t="shared" si="37"/>
        <v>1</v>
      </c>
    </row>
    <row r="92" spans="1:57" x14ac:dyDescent="0.4">
      <c r="A92" s="7" t="s">
        <v>19</v>
      </c>
      <c r="B92" s="6" t="str">
        <f t="shared" si="23"/>
        <v>z</v>
      </c>
      <c r="C92" s="48" cm="1">
        <f t="array" ref="C92">IF($N92,INDEX($O:$O,MATCH(TRUE,EXACT(B92,$A:$A),0)),"")</f>
        <v>90</v>
      </c>
      <c r="D92" s="38" t="s">
        <v>0</v>
      </c>
      <c r="E92" s="48" cm="1">
        <f t="array" ref="E92">IF($N92,INDEX($O:$O,MATCH(TRUE,EXACT(D92,$A:$A),0)),"")</f>
        <v>81</v>
      </c>
      <c r="F92" s="38" t="s">
        <v>2</v>
      </c>
      <c r="G92" s="48" cm="1">
        <f t="array" ref="G92">IF($O92&lt;&gt;"",INDEX($O:$O,MATCH(TRUE,EXACT(F92,$A:$A),0)),"")</f>
        <v>69</v>
      </c>
      <c r="H92" s="38" t="s">
        <v>0</v>
      </c>
      <c r="I92" s="48" cm="1">
        <f t="array" ref="I92">IF($N92,INDEX($O:$O,MATCH(TRUE,EXACT(H92,$A:$A),0)),"")</f>
        <v>81</v>
      </c>
      <c r="J92" s="38" t="s">
        <v>21</v>
      </c>
      <c r="K92" s="52" cm="1">
        <f t="array" ref="K92">IF($N92,INDEX($O:$O,MATCH(TRUE,EXACT(J92,$A:$A),0)),"")</f>
        <v>67</v>
      </c>
      <c r="L92" s="23"/>
      <c r="M92" s="33"/>
      <c r="N92" s="18" t="b">
        <f t="shared" si="25"/>
        <v>1</v>
      </c>
      <c r="O92" s="19">
        <f>IF(N92, MAX(O$2:O91)+1,"")</f>
        <v>90</v>
      </c>
      <c r="P92" s="23" t="str">
        <f t="shared" si="24"/>
        <v>z</v>
      </c>
      <c r="Q92" s="8" t="str" cm="1">
        <f t="array" ref="Q92">CharToUTF8(A92)</f>
        <v>\x7A</v>
      </c>
      <c r="S92" s="18" t="str">
        <f>$AG$3</f>
        <v>DIAG_BOTH</v>
      </c>
      <c r="T92" s="24" t="str">
        <f>$AG$2</f>
        <v>EMPTY</v>
      </c>
      <c r="U92" s="24" t="str">
        <f>$AG$2</f>
        <v>EMPTY</v>
      </c>
      <c r="V92" s="21" t="str">
        <f>$AG$3</f>
        <v>DIAG_BOTH</v>
      </c>
      <c r="X92" s="31" t="b">
        <f t="shared" si="26"/>
        <v>0</v>
      </c>
      <c r="Y92" s="31" t="b">
        <f t="shared" si="27"/>
        <v>0</v>
      </c>
      <c r="Z92" t="b">
        <f t="shared" si="28"/>
        <v>0</v>
      </c>
      <c r="AA92" t="b">
        <f t="shared" si="29"/>
        <v>0</v>
      </c>
      <c r="AB92" t="b">
        <f>IF($N92,S92=VLOOKUP(S92,$AG$2:$AL$10,4,FALSE),"")</f>
        <v>1</v>
      </c>
      <c r="AC92" t="b">
        <f>IF($N92,T92=VLOOKUP(T92,$AG$2:$AL$10,4,FALSE),"")</f>
        <v>1</v>
      </c>
      <c r="AD92" t="b">
        <f>IF($N92,U92=VLOOKUP(U92,$AG$2:$AL$10,5,FALSE),"")</f>
        <v>1</v>
      </c>
      <c r="AE92" t="b">
        <f>IF($N92,V92=VLOOKUP(V92,$AG$2:$AL$10,5,FALSE),"")</f>
        <v>1</v>
      </c>
      <c r="AN92" s="55" t="str">
        <f t="shared" si="38"/>
        <v xml:space="preserve">    { wxString::FromUTF8("\x7A"), &amp;AllGlyphs[81], &amp;AllGlyphs[69], &amp;AllGlyphs[81], &amp;AllGlyphs[67], Connection::DIAG_BOTH, Connection::EMPTY, Connection::EMPTY, Connection::DIAG_BOTH, 0, 0, 0, 0 },</v>
      </c>
      <c r="AO92" s="56"/>
      <c r="AP92" s="56"/>
      <c r="AQ92" s="56"/>
      <c r="AR92" s="56"/>
      <c r="AS92" s="56"/>
      <c r="AT92" s="56"/>
      <c r="AU92" s="57"/>
      <c r="AW92" s="54" t="str">
        <f t="shared" si="30"/>
        <v>&amp;AllGlyphs[81]</v>
      </c>
      <c r="AX92" s="54" t="str">
        <f t="shared" si="31"/>
        <v>&amp;AllGlyphs[69]</v>
      </c>
      <c r="AY92" s="54" t="str">
        <f t="shared" si="32"/>
        <v>&amp;AllGlyphs[81]</v>
      </c>
      <c r="AZ92" s="54" t="str">
        <f t="shared" si="33"/>
        <v>&amp;AllGlyphs[67]</v>
      </c>
      <c r="BB92" s="64">
        <f t="shared" si="34"/>
        <v>0</v>
      </c>
      <c r="BC92" s="64">
        <f t="shared" si="35"/>
        <v>0</v>
      </c>
      <c r="BD92" s="64">
        <f t="shared" si="36"/>
        <v>0</v>
      </c>
      <c r="BE92" s="64">
        <f t="shared" si="37"/>
        <v>0</v>
      </c>
    </row>
    <row r="93" spans="1:57" x14ac:dyDescent="0.4">
      <c r="A93" s="7" t="s">
        <v>76</v>
      </c>
      <c r="B93" s="6" t="str">
        <f t="shared" si="23"/>
        <v>{</v>
      </c>
      <c r="C93" s="48" cm="1">
        <f t="array" ref="C93">IF($N93,INDEX($O:$O,MATCH(TRUE,EXACT(B93,$A:$A),0)),"")</f>
        <v>91</v>
      </c>
      <c r="D93" s="38" t="s">
        <v>75</v>
      </c>
      <c r="E93" s="48" cm="1">
        <f t="array" ref="E93">IF($N93,INDEX($O:$O,MATCH(TRUE,EXACT(D93,$A:$A),0)),"")</f>
        <v>63</v>
      </c>
      <c r="F93" s="38" t="s">
        <v>70</v>
      </c>
      <c r="G93" s="48" cm="1">
        <f t="array" ref="G93">IF($O93&lt;&gt;"",INDEX($O:$O,MATCH(TRUE,EXACT(F93,$A:$A),0)),"")</f>
        <v>11</v>
      </c>
      <c r="H93" s="38" t="s">
        <v>75</v>
      </c>
      <c r="I93" s="48" cm="1">
        <f t="array" ref="I93">IF($N93,INDEX($O:$O,MATCH(TRUE,EXACT(H93,$A:$A),0)),"")</f>
        <v>63</v>
      </c>
      <c r="J93" s="38" t="s">
        <v>77</v>
      </c>
      <c r="K93" s="52" cm="1">
        <f t="array" ref="K93">IF($N93,INDEX($O:$O,MATCH(TRUE,EXACT(J93,$A:$A),0)),"")</f>
        <v>93</v>
      </c>
      <c r="L93" s="23"/>
      <c r="M93" s="33"/>
      <c r="N93" s="18" t="b">
        <f t="shared" si="25"/>
        <v>1</v>
      </c>
      <c r="O93" s="19">
        <f>IF(N93, MAX(O$2:O92)+1,"")</f>
        <v>91</v>
      </c>
      <c r="P93" s="23" t="str">
        <f t="shared" si="24"/>
        <v>{</v>
      </c>
      <c r="Q93" s="8" t="str" cm="1">
        <f t="array" ref="Q93">CharToUTF8(A93)</f>
        <v>\x7B</v>
      </c>
      <c r="S93" s="18" t="str">
        <f>$AG$4</f>
        <v>ORTHO_BOTH</v>
      </c>
      <c r="T93" s="24" t="str">
        <f>$AG$3</f>
        <v>DIAG_BOTH</v>
      </c>
      <c r="U93" s="24" t="str">
        <f>$AG$3</f>
        <v>DIAG_BOTH</v>
      </c>
      <c r="V93" s="21" t="str">
        <f>$AG$4</f>
        <v>ORTHO_BOTH</v>
      </c>
      <c r="X93" s="31" t="b">
        <f t="shared" si="26"/>
        <v>0</v>
      </c>
      <c r="Y93" s="31" t="b">
        <f t="shared" si="27"/>
        <v>0</v>
      </c>
      <c r="Z93" t="b">
        <f t="shared" si="28"/>
        <v>0</v>
      </c>
      <c r="AA93" t="b">
        <f t="shared" si="29"/>
        <v>0</v>
      </c>
      <c r="AB93" t="b">
        <f>IF($N93,S93=VLOOKUP(S93,$AG$2:$AL$10,4,FALSE),"")</f>
        <v>1</v>
      </c>
      <c r="AC93" t="b">
        <f>IF($N93,T93=VLOOKUP(T93,$AG$2:$AL$10,4,FALSE),"")</f>
        <v>1</v>
      </c>
      <c r="AD93" t="b">
        <f>IF($N93,U93=VLOOKUP(U93,$AG$2:$AL$10,5,FALSE),"")</f>
        <v>1</v>
      </c>
      <c r="AE93" t="b">
        <f>IF($N93,V93=VLOOKUP(V93,$AG$2:$AL$10,5,FALSE),"")</f>
        <v>1</v>
      </c>
      <c r="AN93" s="55" t="str">
        <f t="shared" si="38"/>
        <v xml:space="preserve">    { wxString::FromUTF8("\x7B"), &amp;AllGlyphs[63], &amp;AllGlyphs[11], &amp;AllGlyphs[63], &amp;AllGlyphs[93], Connection::ORTHO_BOTH, Connection::DIAG_BOTH, Connection::DIAG_BOTH, Connection::ORTHO_BOTH, 0, 0, 0, 0 },</v>
      </c>
      <c r="AO93" s="56"/>
      <c r="AP93" s="56"/>
      <c r="AQ93" s="56"/>
      <c r="AR93" s="56"/>
      <c r="AS93" s="56"/>
      <c r="AT93" s="56"/>
      <c r="AU93" s="57"/>
      <c r="AW93" s="54" t="str">
        <f t="shared" si="30"/>
        <v>&amp;AllGlyphs[63]</v>
      </c>
      <c r="AX93" s="54" t="str">
        <f t="shared" si="31"/>
        <v>&amp;AllGlyphs[11]</v>
      </c>
      <c r="AY93" s="54" t="str">
        <f t="shared" si="32"/>
        <v>&amp;AllGlyphs[63]</v>
      </c>
      <c r="AZ93" s="54" t="str">
        <f t="shared" si="33"/>
        <v>&amp;AllGlyphs[93]</v>
      </c>
      <c r="BB93" s="64">
        <f t="shared" si="34"/>
        <v>0</v>
      </c>
      <c r="BC93" s="64">
        <f t="shared" si="35"/>
        <v>0</v>
      </c>
      <c r="BD93" s="64">
        <f t="shared" si="36"/>
        <v>0</v>
      </c>
      <c r="BE93" s="64">
        <f t="shared" si="37"/>
        <v>0</v>
      </c>
    </row>
    <row r="94" spans="1:57" x14ac:dyDescent="0.4">
      <c r="A94" s="7" t="s">
        <v>69</v>
      </c>
      <c r="B94" s="6" t="str">
        <f t="shared" si="23"/>
        <v>|</v>
      </c>
      <c r="C94" s="48" cm="1">
        <f t="array" ref="C94">IF($N94,INDEX($O:$O,MATCH(TRUE,EXACT(B94,$A:$A),0)),"")</f>
        <v>92</v>
      </c>
      <c r="D94" s="38" t="s">
        <v>68</v>
      </c>
      <c r="E94" s="48" cm="1">
        <f t="array" ref="E94">IF($N94,INDEX($O:$O,MATCH(TRUE,EXACT(D94,$A:$A),0)),"")</f>
        <v>60</v>
      </c>
      <c r="F94" s="38" t="s">
        <v>69</v>
      </c>
      <c r="G94" s="48" cm="1">
        <f t="array" ref="G94">IF($O94&lt;&gt;"",INDEX($O:$O,MATCH(TRUE,EXACT(F94,$A:$A),0)),"")</f>
        <v>92</v>
      </c>
      <c r="H94" s="38" t="s">
        <v>69</v>
      </c>
      <c r="I94" s="48" cm="1">
        <f t="array" ref="I94">IF($N94,INDEX($O:$O,MATCH(TRUE,EXACT(H94,$A:$A),0)),"")</f>
        <v>92</v>
      </c>
      <c r="J94" s="38" t="s">
        <v>69</v>
      </c>
      <c r="K94" s="52" cm="1">
        <f t="array" ref="K94">IF($N94,INDEX($O:$O,MATCH(TRUE,EXACT(J94,$A:$A),0)),"")</f>
        <v>92</v>
      </c>
      <c r="L94" s="23"/>
      <c r="M94" s="33"/>
      <c r="N94" s="18" t="b">
        <f t="shared" si="25"/>
        <v>1</v>
      </c>
      <c r="O94" s="19">
        <f>IF(N94, MAX(O$2:O93)+1,"")</f>
        <v>92</v>
      </c>
      <c r="P94" s="23" t="str">
        <f t="shared" si="24"/>
        <v>|</v>
      </c>
      <c r="Q94" s="8" t="str" cm="1">
        <f t="array" ref="Q94">CharToUTF8(A94)</f>
        <v>\x7C</v>
      </c>
      <c r="S94" s="18" t="str">
        <f>$AG$2</f>
        <v>EMPTY</v>
      </c>
      <c r="T94" s="24" t="str">
        <f>$AG$2</f>
        <v>EMPTY</v>
      </c>
      <c r="U94" s="24" t="str">
        <f>$AG$4</f>
        <v>ORTHO_BOTH</v>
      </c>
      <c r="V94" s="21" t="str">
        <f>$AG$4</f>
        <v>ORTHO_BOTH</v>
      </c>
      <c r="X94" s="31" t="b">
        <f t="shared" si="26"/>
        <v>0</v>
      </c>
      <c r="Y94" s="31" t="b">
        <f t="shared" si="27"/>
        <v>1</v>
      </c>
      <c r="Z94" t="b">
        <f t="shared" si="28"/>
        <v>1</v>
      </c>
      <c r="AA94" t="b">
        <f t="shared" si="29"/>
        <v>1</v>
      </c>
      <c r="AB94" t="b">
        <f>IF($N94,S94=VLOOKUP(S94,$AG$2:$AL$10,4,FALSE),"")</f>
        <v>1</v>
      </c>
      <c r="AC94" t="b">
        <f>IF($N94,T94=VLOOKUP(T94,$AG$2:$AL$10,4,FALSE),"")</f>
        <v>1</v>
      </c>
      <c r="AD94" t="b">
        <f>IF($N94,U94=VLOOKUP(U94,$AG$2:$AL$10,5,FALSE),"")</f>
        <v>1</v>
      </c>
      <c r="AE94" t="b">
        <f>IF($N94,V94=VLOOKUP(V94,$AG$2:$AL$10,5,FALSE),"")</f>
        <v>1</v>
      </c>
      <c r="AN94" s="55" t="str">
        <f t="shared" si="38"/>
        <v xml:space="preserve">    { wxString::FromUTF8("\x7C"), &amp;AllGlyphs[60], &amp;AllGlyphs[92], &amp;AllGlyphs[92], &amp;AllGlyphs[92], Connection::EMPTY, Connection::EMPTY, Connection::ORTHO_BOTH, Connection::ORTHO_BOTH, 0, 1, 1, 1 },</v>
      </c>
      <c r="AO94" s="56"/>
      <c r="AP94" s="56"/>
      <c r="AQ94" s="56"/>
      <c r="AR94" s="56"/>
      <c r="AS94" s="56"/>
      <c r="AT94" s="56"/>
      <c r="AU94" s="57"/>
      <c r="AW94" s="54" t="str">
        <f t="shared" si="30"/>
        <v>&amp;AllGlyphs[60]</v>
      </c>
      <c r="AX94" s="54" t="str">
        <f t="shared" si="31"/>
        <v>&amp;AllGlyphs[92]</v>
      </c>
      <c r="AY94" s="54" t="str">
        <f t="shared" si="32"/>
        <v>&amp;AllGlyphs[92]</v>
      </c>
      <c r="AZ94" s="54" t="str">
        <f t="shared" si="33"/>
        <v>&amp;AllGlyphs[92]</v>
      </c>
      <c r="BB94" s="64">
        <f t="shared" si="34"/>
        <v>0</v>
      </c>
      <c r="BC94" s="64">
        <f t="shared" si="35"/>
        <v>1</v>
      </c>
      <c r="BD94" s="64">
        <f t="shared" si="36"/>
        <v>1</v>
      </c>
      <c r="BE94" s="64">
        <f t="shared" si="37"/>
        <v>1</v>
      </c>
    </row>
    <row r="95" spans="1:57" x14ac:dyDescent="0.4">
      <c r="A95" s="7" t="s">
        <v>77</v>
      </c>
      <c r="B95" s="6" t="str">
        <f t="shared" si="23"/>
        <v>}</v>
      </c>
      <c r="C95" s="48" cm="1">
        <f t="array" ref="C95">IF($N95,INDEX($O:$O,MATCH(TRUE,EXACT(B95,$A:$A),0)),"")</f>
        <v>93</v>
      </c>
      <c r="D95" s="38" t="s">
        <v>76</v>
      </c>
      <c r="E95" s="48" cm="1">
        <f t="array" ref="E95">IF($N95,INDEX($O:$O,MATCH(TRUE,EXACT(D95,$A:$A),0)),"")</f>
        <v>91</v>
      </c>
      <c r="F95" s="38" t="s">
        <v>75</v>
      </c>
      <c r="G95" s="48" cm="1">
        <f t="array" ref="G95">IF($O95&lt;&gt;"",INDEX($O:$O,MATCH(TRUE,EXACT(F95,$A:$A),0)),"")</f>
        <v>63</v>
      </c>
      <c r="H95" s="38" t="s">
        <v>70</v>
      </c>
      <c r="I95" s="48" cm="1">
        <f t="array" ref="I95">IF($N95,INDEX($O:$O,MATCH(TRUE,EXACT(H95,$A:$A),0)),"")</f>
        <v>11</v>
      </c>
      <c r="J95" s="38" t="s">
        <v>76</v>
      </c>
      <c r="K95" s="52" cm="1">
        <f t="array" ref="K95">IF($N95,INDEX($O:$O,MATCH(TRUE,EXACT(J95,$A:$A),0)),"")</f>
        <v>91</v>
      </c>
      <c r="L95" s="23"/>
      <c r="M95" s="33"/>
      <c r="N95" s="18" t="b">
        <f t="shared" si="25"/>
        <v>1</v>
      </c>
      <c r="O95" s="19">
        <f>IF(N95, MAX(O$2:O94)+1,"")</f>
        <v>93</v>
      </c>
      <c r="P95" s="23" t="str">
        <f t="shared" si="24"/>
        <v>}</v>
      </c>
      <c r="Q95" s="8" t="str" cm="1">
        <f t="array" ref="Q95">CharToUTF8(A95)</f>
        <v>\x7D</v>
      </c>
      <c r="S95" s="18" t="str">
        <f>$AG$4</f>
        <v>ORTHO_BOTH</v>
      </c>
      <c r="T95" s="24" t="str">
        <f>$AG$3</f>
        <v>DIAG_BOTH</v>
      </c>
      <c r="U95" s="24" t="str">
        <f>$AG$4</f>
        <v>ORTHO_BOTH</v>
      </c>
      <c r="V95" s="21" t="str">
        <f>$AG$3</f>
        <v>DIAG_BOTH</v>
      </c>
      <c r="X95" s="31" t="b">
        <f t="shared" si="26"/>
        <v>0</v>
      </c>
      <c r="Y95" s="31" t="b">
        <f t="shared" si="27"/>
        <v>0</v>
      </c>
      <c r="Z95" t="b">
        <f t="shared" si="28"/>
        <v>0</v>
      </c>
      <c r="AA95" t="b">
        <f t="shared" si="29"/>
        <v>0</v>
      </c>
      <c r="AB95" t="b">
        <f>IF($N95,S95=VLOOKUP(S95,$AG$2:$AL$10,4,FALSE),"")</f>
        <v>1</v>
      </c>
      <c r="AC95" t="b">
        <f>IF($N95,T95=VLOOKUP(T95,$AG$2:$AL$10,4,FALSE),"")</f>
        <v>1</v>
      </c>
      <c r="AD95" t="b">
        <f>IF($N95,U95=VLOOKUP(U95,$AG$2:$AL$10,5,FALSE),"")</f>
        <v>1</v>
      </c>
      <c r="AE95" t="b">
        <f>IF($N95,V95=VLOOKUP(V95,$AG$2:$AL$10,5,FALSE),"")</f>
        <v>1</v>
      </c>
      <c r="AN95" s="55" t="str">
        <f t="shared" si="38"/>
        <v xml:space="preserve">    { wxString::FromUTF8("\x7D"), &amp;AllGlyphs[91], &amp;AllGlyphs[63], &amp;AllGlyphs[11], &amp;AllGlyphs[91], Connection::ORTHO_BOTH, Connection::DIAG_BOTH, Connection::ORTHO_BOTH, Connection::DIAG_BOTH, 0, 0, 0, 0 },</v>
      </c>
      <c r="AO95" s="56"/>
      <c r="AP95" s="56"/>
      <c r="AQ95" s="56"/>
      <c r="AR95" s="56"/>
      <c r="AS95" s="56"/>
      <c r="AT95" s="56"/>
      <c r="AU95" s="57"/>
      <c r="AW95" s="54" t="str">
        <f t="shared" si="30"/>
        <v>&amp;AllGlyphs[91]</v>
      </c>
      <c r="AX95" s="54" t="str">
        <f t="shared" si="31"/>
        <v>&amp;AllGlyphs[63]</v>
      </c>
      <c r="AY95" s="54" t="str">
        <f t="shared" si="32"/>
        <v>&amp;AllGlyphs[11]</v>
      </c>
      <c r="AZ95" s="54" t="str">
        <f t="shared" si="33"/>
        <v>&amp;AllGlyphs[91]</v>
      </c>
      <c r="BB95" s="64">
        <f t="shared" si="34"/>
        <v>0</v>
      </c>
      <c r="BC95" s="64">
        <f t="shared" si="35"/>
        <v>0</v>
      </c>
      <c r="BD95" s="64">
        <f t="shared" si="36"/>
        <v>0</v>
      </c>
      <c r="BE95" s="64">
        <f t="shared" si="37"/>
        <v>0</v>
      </c>
    </row>
    <row r="96" spans="1:57" x14ac:dyDescent="0.4">
      <c r="A96" s="7" t="s">
        <v>62</v>
      </c>
      <c r="B96" s="6" t="str">
        <f t="shared" si="23"/>
        <v>~</v>
      </c>
      <c r="C96" s="48" cm="1">
        <f t="array" ref="C96">IF($N96,INDEX($O:$O,MATCH(TRUE,EXACT(B96,$A:$A),0)),"")</f>
        <v>94</v>
      </c>
      <c r="D96" s="38" t="s">
        <v>52</v>
      </c>
      <c r="E96" s="48" cm="1">
        <f t="array" ref="E96">IF($N96,INDEX($O:$O,MATCH(TRUE,EXACT(D96,$A:$A),0)),"")</f>
        <v>1</v>
      </c>
      <c r="F96" s="38" t="s">
        <v>62</v>
      </c>
      <c r="G96" s="48" cm="1">
        <f t="array" ref="G96">IF($O96&lt;&gt;"",INDEX($O:$O,MATCH(TRUE,EXACT(F96,$A:$A),0)),"")</f>
        <v>94</v>
      </c>
      <c r="H96" s="38" t="s">
        <v>62</v>
      </c>
      <c r="I96" s="48" cm="1">
        <f t="array" ref="I96">IF($N96,INDEX($O:$O,MATCH(TRUE,EXACT(H96,$A:$A),0)),"")</f>
        <v>94</v>
      </c>
      <c r="J96" s="38" t="s">
        <v>62</v>
      </c>
      <c r="K96" s="52" cm="1">
        <f t="array" ref="K96">IF($N96,INDEX($O:$O,MATCH(TRUE,EXACT(J96,$A:$A),0)),"")</f>
        <v>94</v>
      </c>
      <c r="L96" s="23"/>
      <c r="M96" s="33"/>
      <c r="N96" s="18" t="b">
        <f t="shared" si="25"/>
        <v>1</v>
      </c>
      <c r="O96" s="19">
        <f>IF(N96, MAX(O$2:O95)+1,"")</f>
        <v>94</v>
      </c>
      <c r="P96" s="23" t="str">
        <f t="shared" si="24"/>
        <v>~</v>
      </c>
      <c r="Q96" s="8" t="str" cm="1">
        <f t="array" ref="Q96">CharToUTF8(A96)</f>
        <v>\x7E</v>
      </c>
      <c r="S96" s="18" t="str">
        <f>$AG$4</f>
        <v>ORTHO_BOTH</v>
      </c>
      <c r="T96" s="24" t="str">
        <f>$AG$4</f>
        <v>ORTHO_BOTH</v>
      </c>
      <c r="U96" s="24" t="str">
        <f t="shared" ref="U96:V98" si="40">$AG$2</f>
        <v>EMPTY</v>
      </c>
      <c r="V96" s="21" t="str">
        <f t="shared" si="40"/>
        <v>EMPTY</v>
      </c>
      <c r="X96" s="31" t="b">
        <f t="shared" si="26"/>
        <v>0</v>
      </c>
      <c r="Y96" s="31" t="b">
        <f t="shared" si="27"/>
        <v>1</v>
      </c>
      <c r="Z96" t="b">
        <f t="shared" si="28"/>
        <v>1</v>
      </c>
      <c r="AA96" t="b">
        <f t="shared" si="29"/>
        <v>1</v>
      </c>
      <c r="AB96" t="b">
        <f>IF($N96,S96=VLOOKUP(S96,$AG$2:$AL$10,4,FALSE),"")</f>
        <v>1</v>
      </c>
      <c r="AC96" t="b">
        <f>IF($N96,T96=VLOOKUP(T96,$AG$2:$AL$10,4,FALSE),"")</f>
        <v>1</v>
      </c>
      <c r="AD96" t="b">
        <f>IF($N96,U96=VLOOKUP(U96,$AG$2:$AL$10,5,FALSE),"")</f>
        <v>1</v>
      </c>
      <c r="AE96" t="b">
        <f>IF($N96,V96=VLOOKUP(V96,$AG$2:$AL$10,5,FALSE),"")</f>
        <v>1</v>
      </c>
      <c r="AN96" s="55" t="str">
        <f t="shared" si="38"/>
        <v xml:space="preserve">    { wxString::FromUTF8("\x7E"), &amp;AllGlyphs[1], &amp;AllGlyphs[94], &amp;AllGlyphs[94], &amp;AllGlyphs[94], Connection::ORTHO_BOTH, Connection::ORTHO_BOTH, Connection::EMPTY, Connection::EMPTY, 0, 1, 1, 1 },</v>
      </c>
      <c r="AO96" s="56"/>
      <c r="AP96" s="56"/>
      <c r="AQ96" s="56"/>
      <c r="AR96" s="56"/>
      <c r="AS96" s="56"/>
      <c r="AT96" s="56"/>
      <c r="AU96" s="57"/>
      <c r="AW96" s="54" t="str">
        <f t="shared" si="30"/>
        <v>&amp;AllGlyphs[1]</v>
      </c>
      <c r="AX96" s="54" t="str">
        <f t="shared" si="31"/>
        <v>&amp;AllGlyphs[94]</v>
      </c>
      <c r="AY96" s="54" t="str">
        <f t="shared" si="32"/>
        <v>&amp;AllGlyphs[94]</v>
      </c>
      <c r="AZ96" s="54" t="str">
        <f t="shared" si="33"/>
        <v>&amp;AllGlyphs[94]</v>
      </c>
      <c r="BB96" s="64">
        <f t="shared" si="34"/>
        <v>0</v>
      </c>
      <c r="BC96" s="64">
        <f t="shared" si="35"/>
        <v>1</v>
      </c>
      <c r="BD96" s="64">
        <f t="shared" si="36"/>
        <v>1</v>
      </c>
      <c r="BE96" s="64">
        <f t="shared" si="37"/>
        <v>1</v>
      </c>
    </row>
    <row r="97" spans="1:57" x14ac:dyDescent="0.4">
      <c r="A97" s="7" t="s">
        <v>169</v>
      </c>
      <c r="B97" s="6" t="str">
        <f t="shared" si="23"/>
        <v>¡</v>
      </c>
      <c r="C97" s="48" cm="1">
        <f t="array" ref="C97">IF($N97,INDEX($O:$O,MATCH(TRUE,EXACT(B97,$A:$A),0)),"")</f>
        <v>95</v>
      </c>
      <c r="D97" s="38" t="s">
        <v>172</v>
      </c>
      <c r="E97" s="48" cm="1">
        <f t="array" ref="E97">IF($N97,INDEX($O:$O,MATCH(TRUE,EXACT(D97,$A:$A),0)),"")</f>
        <v>98</v>
      </c>
      <c r="F97" s="38" t="s">
        <v>170</v>
      </c>
      <c r="G97" s="48" cm="1">
        <f t="array" ref="G97">IF($O97&lt;&gt;"",INDEX($O:$O,MATCH(TRUE,EXACT(F97,$A:$A),0)),"")</f>
        <v>96</v>
      </c>
      <c r="H97" s="38" t="s">
        <v>169</v>
      </c>
      <c r="I97" s="48" cm="1">
        <f t="array" ref="I97">IF($N97,INDEX($O:$O,MATCH(TRUE,EXACT(H97,$A:$A),0)),"")</f>
        <v>95</v>
      </c>
      <c r="J97" s="38" t="s">
        <v>170</v>
      </c>
      <c r="K97" s="52" cm="1">
        <f t="array" ref="K97">IF($N97,INDEX($O:$O,MATCH(TRUE,EXACT(J97,$A:$A),0)),"")</f>
        <v>96</v>
      </c>
      <c r="L97" s="23"/>
      <c r="M97" s="33"/>
      <c r="N97" s="18" t="b">
        <f t="shared" si="25"/>
        <v>1</v>
      </c>
      <c r="O97" s="19">
        <f>IF(N97, MAX(O$2:O96)+1,"")</f>
        <v>95</v>
      </c>
      <c r="P97" s="23" t="str">
        <f t="shared" si="24"/>
        <v>¡</v>
      </c>
      <c r="Q97" s="8" t="str" cm="1">
        <f t="array" ref="Q97">CharToUTF8(A97)</f>
        <v>\xC2\xA1</v>
      </c>
      <c r="S97" s="18" t="str">
        <f>$AG$10</f>
        <v>ORTHO_RIGHT</v>
      </c>
      <c r="T97" s="24" t="str">
        <f>$AG$10</f>
        <v>ORTHO_RIGHT</v>
      </c>
      <c r="U97" s="24" t="str">
        <f t="shared" si="40"/>
        <v>EMPTY</v>
      </c>
      <c r="V97" s="21" t="str">
        <f t="shared" si="40"/>
        <v>EMPTY</v>
      </c>
      <c r="X97" s="31" t="b">
        <f t="shared" si="26"/>
        <v>0</v>
      </c>
      <c r="Y97" s="31" t="b">
        <f t="shared" si="27"/>
        <v>0</v>
      </c>
      <c r="Z97" t="b">
        <f t="shared" si="28"/>
        <v>1</v>
      </c>
      <c r="AA97" t="b">
        <f t="shared" si="29"/>
        <v>0</v>
      </c>
      <c r="AB97" t="b">
        <f>IF($N97,S97=VLOOKUP(S97,$AG$2:$AL$10,4,FALSE),"")</f>
        <v>0</v>
      </c>
      <c r="AC97" t="b">
        <f>IF($N97,T97=VLOOKUP(T97,$AG$2:$AL$10,4,FALSE),"")</f>
        <v>0</v>
      </c>
      <c r="AD97" t="b">
        <f>IF($N97,U97=VLOOKUP(U97,$AG$2:$AL$10,5,FALSE),"")</f>
        <v>1</v>
      </c>
      <c r="AE97" t="b">
        <f>IF($N97,V97=VLOOKUP(V97,$AG$2:$AL$10,5,FALSE),"")</f>
        <v>1</v>
      </c>
      <c r="AN97" s="55" t="str">
        <f t="shared" si="38"/>
        <v xml:space="preserve">    { wxString::FromUTF8("\xC2\xA1"), &amp;AllGlyphs[98], &amp;AllGlyphs[96], &amp;AllGlyphs[95], &amp;AllGlyphs[96], Connection::ORTHO_RIGHT, Connection::ORTHO_RIGHT, Connection::EMPTY, Connection::EMPTY, 0, 0, 1, 0 },</v>
      </c>
      <c r="AO97" s="56"/>
      <c r="AP97" s="56"/>
      <c r="AQ97" s="56"/>
      <c r="AR97" s="56"/>
      <c r="AS97" s="56"/>
      <c r="AT97" s="56"/>
      <c r="AU97" s="57"/>
      <c r="AW97" s="54" t="str">
        <f t="shared" si="30"/>
        <v>&amp;AllGlyphs[98]</v>
      </c>
      <c r="AX97" s="54" t="str">
        <f t="shared" si="31"/>
        <v>&amp;AllGlyphs[96]</v>
      </c>
      <c r="AY97" s="54" t="str">
        <f t="shared" si="32"/>
        <v>&amp;AllGlyphs[95]</v>
      </c>
      <c r="AZ97" s="54" t="str">
        <f t="shared" si="33"/>
        <v>&amp;AllGlyphs[96]</v>
      </c>
      <c r="BB97" s="64">
        <f t="shared" si="34"/>
        <v>0</v>
      </c>
      <c r="BC97" s="64">
        <f t="shared" si="35"/>
        <v>0</v>
      </c>
      <c r="BD97" s="64">
        <f t="shared" si="36"/>
        <v>1</v>
      </c>
      <c r="BE97" s="64">
        <f t="shared" si="37"/>
        <v>0</v>
      </c>
    </row>
    <row r="98" spans="1:57" x14ac:dyDescent="0.4">
      <c r="A98" s="7" t="s">
        <v>170</v>
      </c>
      <c r="B98" s="6" t="str">
        <f t="shared" si="23"/>
        <v>¢</v>
      </c>
      <c r="C98" s="48" cm="1">
        <f t="array" ref="C98">IF($N98,INDEX($O:$O,MATCH(TRUE,EXACT(B98,$A:$A),0)),"")</f>
        <v>96</v>
      </c>
      <c r="D98" s="38" t="s">
        <v>171</v>
      </c>
      <c r="E98" s="48" cm="1">
        <f t="array" ref="E98">IF($N98,INDEX($O:$O,MATCH(TRUE,EXACT(D98,$A:$A),0)),"")</f>
        <v>97</v>
      </c>
      <c r="F98" s="38" t="s">
        <v>169</v>
      </c>
      <c r="G98" s="48" cm="1">
        <f t="array" ref="G98">IF($O98&lt;&gt;"",INDEX($O:$O,MATCH(TRUE,EXACT(F98,$A:$A),0)),"")</f>
        <v>95</v>
      </c>
      <c r="H98" s="38" t="s">
        <v>170</v>
      </c>
      <c r="I98" s="48" cm="1">
        <f t="array" ref="I98">IF($N98,INDEX($O:$O,MATCH(TRUE,EXACT(H98,$A:$A),0)),"")</f>
        <v>96</v>
      </c>
      <c r="J98" s="38" t="s">
        <v>169</v>
      </c>
      <c r="K98" s="52" cm="1">
        <f t="array" ref="K98">IF($N98,INDEX($O:$O,MATCH(TRUE,EXACT(J98,$A:$A),0)),"")</f>
        <v>95</v>
      </c>
      <c r="L98" s="23"/>
      <c r="M98" s="33"/>
      <c r="N98" s="18" t="b">
        <f t="shared" si="25"/>
        <v>1</v>
      </c>
      <c r="O98" s="19">
        <f>IF(N98, MAX(O$2:O97)+1,"")</f>
        <v>96</v>
      </c>
      <c r="P98" s="23" t="str">
        <f t="shared" si="24"/>
        <v>¢</v>
      </c>
      <c r="Q98" s="8" t="str" cm="1">
        <f t="array" ref="Q98">CharToUTF8(A98)</f>
        <v>\xC2\xA2</v>
      </c>
      <c r="S98" s="18" t="str">
        <f>$AG$9</f>
        <v>ORTHO_LEFT</v>
      </c>
      <c r="T98" s="24" t="str">
        <f>$AG$9</f>
        <v>ORTHO_LEFT</v>
      </c>
      <c r="U98" s="24" t="str">
        <f t="shared" si="40"/>
        <v>EMPTY</v>
      </c>
      <c r="V98" s="21" t="str">
        <f t="shared" si="40"/>
        <v>EMPTY</v>
      </c>
      <c r="X98" s="31" t="b">
        <f t="shared" si="26"/>
        <v>0</v>
      </c>
      <c r="Y98" s="31" t="b">
        <f t="shared" si="27"/>
        <v>0</v>
      </c>
      <c r="Z98" t="b">
        <f t="shared" si="28"/>
        <v>1</v>
      </c>
      <c r="AA98" t="b">
        <f t="shared" si="29"/>
        <v>0</v>
      </c>
      <c r="AB98" t="b">
        <f>IF($N98,S98=VLOOKUP(S98,$AG$2:$AL$10,4,FALSE),"")</f>
        <v>0</v>
      </c>
      <c r="AC98" t="b">
        <f>IF($N98,T98=VLOOKUP(T98,$AG$2:$AL$10,4,FALSE),"")</f>
        <v>0</v>
      </c>
      <c r="AD98" t="b">
        <f>IF($N98,U98=VLOOKUP(U98,$AG$2:$AL$10,5,FALSE),"")</f>
        <v>1</v>
      </c>
      <c r="AE98" t="b">
        <f>IF($N98,V98=VLOOKUP(V98,$AG$2:$AL$10,5,FALSE),"")</f>
        <v>1</v>
      </c>
      <c r="AN98" s="55" t="str">
        <f t="shared" si="38"/>
        <v xml:space="preserve">    { wxString::FromUTF8("\xC2\xA2"), &amp;AllGlyphs[97], &amp;AllGlyphs[95], &amp;AllGlyphs[96], &amp;AllGlyphs[95], Connection::ORTHO_LEFT, Connection::ORTHO_LEFT, Connection::EMPTY, Connection::EMPTY, 0, 0, 1, 0 },</v>
      </c>
      <c r="AO98" s="56"/>
      <c r="AP98" s="56"/>
      <c r="AQ98" s="56"/>
      <c r="AR98" s="56"/>
      <c r="AS98" s="56"/>
      <c r="AT98" s="56"/>
      <c r="AU98" s="57"/>
      <c r="AW98" s="54" t="str">
        <f t="shared" si="30"/>
        <v>&amp;AllGlyphs[97]</v>
      </c>
      <c r="AX98" s="54" t="str">
        <f t="shared" si="31"/>
        <v>&amp;AllGlyphs[95]</v>
      </c>
      <c r="AY98" s="54" t="str">
        <f t="shared" si="32"/>
        <v>&amp;AllGlyphs[96]</v>
      </c>
      <c r="AZ98" s="54" t="str">
        <f t="shared" si="33"/>
        <v>&amp;AllGlyphs[95]</v>
      </c>
      <c r="BB98" s="64">
        <f t="shared" si="34"/>
        <v>0</v>
      </c>
      <c r="BC98" s="64">
        <f t="shared" si="35"/>
        <v>0</v>
      </c>
      <c r="BD98" s="64">
        <f t="shared" si="36"/>
        <v>1</v>
      </c>
      <c r="BE98" s="64">
        <f t="shared" si="37"/>
        <v>0</v>
      </c>
    </row>
    <row r="99" spans="1:57" x14ac:dyDescent="0.4">
      <c r="A99" s="7" t="s">
        <v>171</v>
      </c>
      <c r="B99" s="6" t="str">
        <f t="shared" si="23"/>
        <v>£</v>
      </c>
      <c r="C99" s="48" cm="1">
        <f t="array" ref="C99">IF($N99,INDEX($O:$O,MATCH(TRUE,EXACT(B99,$A:$A),0)),"")</f>
        <v>97</v>
      </c>
      <c r="D99" s="38" t="s">
        <v>169</v>
      </c>
      <c r="E99" s="48" cm="1">
        <f t="array" ref="E99">IF($N99,INDEX($O:$O,MATCH(TRUE,EXACT(D99,$A:$A),0)),"")</f>
        <v>95</v>
      </c>
      <c r="F99" s="38" t="s">
        <v>172</v>
      </c>
      <c r="G99" s="48" cm="1">
        <f t="array" ref="G99">IF($O99&lt;&gt;"",INDEX($O:$O,MATCH(TRUE,EXACT(F99,$A:$A),0)),"")</f>
        <v>98</v>
      </c>
      <c r="H99" s="38" t="s">
        <v>172</v>
      </c>
      <c r="I99" s="48" cm="1">
        <f t="array" ref="I99">IF($N99,INDEX($O:$O,MATCH(TRUE,EXACT(H99,$A:$A),0)),"")</f>
        <v>98</v>
      </c>
      <c r="J99" s="38" t="s">
        <v>171</v>
      </c>
      <c r="K99" s="52" cm="1">
        <f t="array" ref="K99">IF($N99,INDEX($O:$O,MATCH(TRUE,EXACT(J99,$A:$A),0)),"")</f>
        <v>97</v>
      </c>
      <c r="L99" s="23"/>
      <c r="M99" s="33"/>
      <c r="N99" s="18" t="b">
        <f t="shared" si="25"/>
        <v>1</v>
      </c>
      <c r="O99" s="19">
        <f>IF(N99, MAX(O$2:O98)+1,"")</f>
        <v>97</v>
      </c>
      <c r="P99" s="23" t="str">
        <f t="shared" si="24"/>
        <v>£</v>
      </c>
      <c r="Q99" s="8" t="str" cm="1">
        <f t="array" ref="Q99">CharToUTF8(A99)</f>
        <v>\xC2\xA3</v>
      </c>
      <c r="S99" s="18" t="str">
        <f>$AG$2</f>
        <v>EMPTY</v>
      </c>
      <c r="T99" s="24" t="str">
        <f>$AG$2</f>
        <v>EMPTY</v>
      </c>
      <c r="U99" s="24" t="str">
        <f>$AG$7</f>
        <v>ORTHO_UP</v>
      </c>
      <c r="V99" s="21" t="str">
        <f>$AG$7</f>
        <v>ORTHO_UP</v>
      </c>
      <c r="X99" s="31" t="b">
        <f t="shared" si="26"/>
        <v>0</v>
      </c>
      <c r="Y99" s="31" t="b">
        <f t="shared" si="27"/>
        <v>0</v>
      </c>
      <c r="Z99" t="b">
        <f t="shared" si="28"/>
        <v>0</v>
      </c>
      <c r="AA99" t="b">
        <f t="shared" si="29"/>
        <v>1</v>
      </c>
      <c r="AB99" t="b">
        <f>IF($N99,S99=VLOOKUP(S99,$AG$2:$AL$10,4,FALSE),"")</f>
        <v>1</v>
      </c>
      <c r="AC99" t="b">
        <f>IF($N99,T99=VLOOKUP(T99,$AG$2:$AL$10,4,FALSE),"")</f>
        <v>1</v>
      </c>
      <c r="AD99" t="b">
        <f>IF($N99,U99=VLOOKUP(U99,$AG$2:$AL$10,5,FALSE),"")</f>
        <v>0</v>
      </c>
      <c r="AE99" t="b">
        <f>IF($N99,V99=VLOOKUP(V99,$AG$2:$AL$10,5,FALSE),"")</f>
        <v>0</v>
      </c>
      <c r="AN99" s="55" t="str">
        <f t="shared" si="38"/>
        <v xml:space="preserve">    { wxString::FromUTF8("\xC2\xA3"), &amp;AllGlyphs[95], &amp;AllGlyphs[98], &amp;AllGlyphs[98], &amp;AllGlyphs[97], Connection::EMPTY, Connection::EMPTY, Connection::ORTHO_UP, Connection::ORTHO_UP, 0, 0, 0, 1 },</v>
      </c>
      <c r="AO99" s="56"/>
      <c r="AP99" s="56"/>
      <c r="AQ99" s="56"/>
      <c r="AR99" s="56"/>
      <c r="AS99" s="56"/>
      <c r="AT99" s="56"/>
      <c r="AU99" s="57"/>
      <c r="AW99" s="54" t="str">
        <f t="shared" si="30"/>
        <v>&amp;AllGlyphs[95]</v>
      </c>
      <c r="AX99" s="54" t="str">
        <f t="shared" si="31"/>
        <v>&amp;AllGlyphs[98]</v>
      </c>
      <c r="AY99" s="54" t="str">
        <f t="shared" si="32"/>
        <v>&amp;AllGlyphs[98]</v>
      </c>
      <c r="AZ99" s="54" t="str">
        <f t="shared" si="33"/>
        <v>&amp;AllGlyphs[97]</v>
      </c>
      <c r="BB99" s="64">
        <f t="shared" si="34"/>
        <v>0</v>
      </c>
      <c r="BC99" s="64">
        <f t="shared" si="35"/>
        <v>0</v>
      </c>
      <c r="BD99" s="64">
        <f t="shared" si="36"/>
        <v>0</v>
      </c>
      <c r="BE99" s="64">
        <f t="shared" si="37"/>
        <v>1</v>
      </c>
    </row>
    <row r="100" spans="1:57" x14ac:dyDescent="0.4">
      <c r="A100" s="7" t="s">
        <v>172</v>
      </c>
      <c r="B100" s="6" t="str">
        <f t="shared" si="23"/>
        <v>¤</v>
      </c>
      <c r="C100" s="48" cm="1">
        <f t="array" ref="C100">IF($N100,INDEX($O:$O,MATCH(TRUE,EXACT(B100,$A:$A),0)),"")</f>
        <v>98</v>
      </c>
      <c r="D100" s="38" t="s">
        <v>170</v>
      </c>
      <c r="E100" s="48" cm="1">
        <f t="array" ref="E100">IF($N100,INDEX($O:$O,MATCH(TRUE,EXACT(D100,$A:$A),0)),"")</f>
        <v>96</v>
      </c>
      <c r="F100" s="38" t="s">
        <v>171</v>
      </c>
      <c r="G100" s="48" cm="1">
        <f t="array" ref="G100">IF($O100&lt;&gt;"",INDEX($O:$O,MATCH(TRUE,EXACT(F100,$A:$A),0)),"")</f>
        <v>97</v>
      </c>
      <c r="H100" s="38" t="s">
        <v>171</v>
      </c>
      <c r="I100" s="48" cm="1">
        <f t="array" ref="I100">IF($N100,INDEX($O:$O,MATCH(TRUE,EXACT(H100,$A:$A),0)),"")</f>
        <v>97</v>
      </c>
      <c r="J100" s="38" t="s">
        <v>172</v>
      </c>
      <c r="K100" s="52" cm="1">
        <f t="array" ref="K100">IF($N100,INDEX($O:$O,MATCH(TRUE,EXACT(J100,$A:$A),0)),"")</f>
        <v>98</v>
      </c>
      <c r="L100" s="23"/>
      <c r="M100" s="33"/>
      <c r="N100" s="18" t="b">
        <f t="shared" si="25"/>
        <v>1</v>
      </c>
      <c r="O100" s="19">
        <f>IF(N100, MAX(O$2:O99)+1,"")</f>
        <v>98</v>
      </c>
      <c r="P100" s="23" t="str">
        <f t="shared" si="24"/>
        <v>¤</v>
      </c>
      <c r="Q100" s="8" t="str" cm="1">
        <f t="array" ref="Q100">CharToUTF8(A100)</f>
        <v>\xC2\xA4</v>
      </c>
      <c r="S100" s="18" t="str">
        <f>$AG$2</f>
        <v>EMPTY</v>
      </c>
      <c r="T100" s="24" t="str">
        <f>$AG$2</f>
        <v>EMPTY</v>
      </c>
      <c r="U100" s="24" t="str">
        <f>$AG$8</f>
        <v>ORTHO_DOWN</v>
      </c>
      <c r="V100" s="21" t="str">
        <f>$AG$8</f>
        <v>ORTHO_DOWN</v>
      </c>
      <c r="X100" s="31" t="b">
        <f t="shared" si="26"/>
        <v>0</v>
      </c>
      <c r="Y100" s="31" t="b">
        <f t="shared" si="27"/>
        <v>0</v>
      </c>
      <c r="Z100" t="b">
        <f t="shared" si="28"/>
        <v>0</v>
      </c>
      <c r="AA100" t="b">
        <f t="shared" si="29"/>
        <v>1</v>
      </c>
      <c r="AB100" t="b">
        <f>IF($N100,S100=VLOOKUP(S100,$AG$2:$AL$10,4,FALSE),"")</f>
        <v>1</v>
      </c>
      <c r="AC100" t="b">
        <f>IF($N100,T100=VLOOKUP(T100,$AG$2:$AL$10,4,FALSE),"")</f>
        <v>1</v>
      </c>
      <c r="AD100" t="b">
        <f>IF($N100,U100=VLOOKUP(U100,$AG$2:$AL$10,5,FALSE),"")</f>
        <v>0</v>
      </c>
      <c r="AE100" t="b">
        <f>IF($N100,V100=VLOOKUP(V100,$AG$2:$AL$10,5,FALSE),"")</f>
        <v>0</v>
      </c>
      <c r="AN100" s="55" t="str">
        <f t="shared" si="38"/>
        <v xml:space="preserve">    { wxString::FromUTF8("\xC2\xA4"), &amp;AllGlyphs[96], &amp;AllGlyphs[97], &amp;AllGlyphs[97], &amp;AllGlyphs[98], Connection::EMPTY, Connection::EMPTY, Connection::ORTHO_DOWN, Connection::ORTHO_DOWN, 0, 0, 0, 1 },</v>
      </c>
      <c r="AO100" s="56"/>
      <c r="AP100" s="56"/>
      <c r="AQ100" s="56"/>
      <c r="AR100" s="56"/>
      <c r="AS100" s="56"/>
      <c r="AT100" s="56"/>
      <c r="AU100" s="57"/>
      <c r="AW100" s="54" t="str">
        <f t="shared" si="30"/>
        <v>&amp;AllGlyphs[96]</v>
      </c>
      <c r="AX100" s="54" t="str">
        <f t="shared" si="31"/>
        <v>&amp;AllGlyphs[97]</v>
      </c>
      <c r="AY100" s="54" t="str">
        <f t="shared" si="32"/>
        <v>&amp;AllGlyphs[97]</v>
      </c>
      <c r="AZ100" s="54" t="str">
        <f t="shared" si="33"/>
        <v>&amp;AllGlyphs[98]</v>
      </c>
      <c r="BB100" s="64">
        <f t="shared" si="34"/>
        <v>0</v>
      </c>
      <c r="BC100" s="64">
        <f t="shared" si="35"/>
        <v>0</v>
      </c>
      <c r="BD100" s="64">
        <f t="shared" si="36"/>
        <v>0</v>
      </c>
      <c r="BE100" s="64">
        <f t="shared" si="37"/>
        <v>1</v>
      </c>
    </row>
    <row r="101" spans="1:57" x14ac:dyDescent="0.4">
      <c r="A101" s="7" t="s">
        <v>80</v>
      </c>
      <c r="B101" s="6" t="str">
        <f t="shared" si="23"/>
        <v>¥</v>
      </c>
      <c r="C101" s="48" cm="1">
        <f t="array" ref="C101">IF($N101,INDEX($O:$O,MATCH(TRUE,EXACT(B101,$A:$A),0)),"")</f>
        <v>99</v>
      </c>
      <c r="D101" s="38" t="s">
        <v>81</v>
      </c>
      <c r="E101" s="48" cm="1">
        <f t="array" ref="E101">IF($N101,INDEX($O:$O,MATCH(TRUE,EXACT(D101,$A:$A),0)),"")</f>
        <v>100</v>
      </c>
      <c r="F101" s="38" t="s">
        <v>82</v>
      </c>
      <c r="G101" s="48" cm="1">
        <f t="array" ref="G101">IF($O101&lt;&gt;"",INDEX($O:$O,MATCH(TRUE,EXACT(F101,$A:$A),0)),"")</f>
        <v>101</v>
      </c>
      <c r="H101" s="38" t="s">
        <v>83</v>
      </c>
      <c r="I101" s="48" cm="1">
        <f t="array" ref="I101">IF($N101,INDEX($O:$O,MATCH(TRUE,EXACT(H101,$A:$A),0)),"")</f>
        <v>102</v>
      </c>
      <c r="J101" s="38" t="s">
        <v>81</v>
      </c>
      <c r="K101" s="52" cm="1">
        <f t="array" ref="K101">IF($N101,INDEX($O:$O,MATCH(TRUE,EXACT(J101,$A:$A),0)),"")</f>
        <v>100</v>
      </c>
      <c r="L101" s="23"/>
      <c r="M101" s="33"/>
      <c r="N101" s="18" t="b">
        <f t="shared" si="25"/>
        <v>1</v>
      </c>
      <c r="O101" s="19">
        <f>IF(N101, MAX(O$2:O100)+1,"")</f>
        <v>99</v>
      </c>
      <c r="P101" s="23" t="str">
        <f t="shared" si="24"/>
        <v>¥</v>
      </c>
      <c r="Q101" s="8" t="str" cm="1">
        <f t="array" ref="Q101">CharToUTF8(A101)</f>
        <v>\xC2\xA5</v>
      </c>
      <c r="S101" s="18" t="str">
        <f>$AG$5</f>
        <v>DIAG_FRONT</v>
      </c>
      <c r="T101" s="24" t="str">
        <f>$AG$3</f>
        <v>DIAG_BOTH</v>
      </c>
      <c r="U101" s="24" t="str">
        <f>$AG$6</f>
        <v>DIAG_BACK</v>
      </c>
      <c r="V101" s="21" t="str">
        <f>$AG$3</f>
        <v>DIAG_BOTH</v>
      </c>
      <c r="X101" s="31" t="b">
        <f t="shared" si="26"/>
        <v>0</v>
      </c>
      <c r="Y101" s="31" t="b">
        <f t="shared" si="27"/>
        <v>0</v>
      </c>
      <c r="Z101" t="b">
        <f t="shared" si="28"/>
        <v>0</v>
      </c>
      <c r="AA101" t="b">
        <f t="shared" si="29"/>
        <v>0</v>
      </c>
      <c r="AB101" t="b">
        <f>IF($N101,S101=VLOOKUP(S101,$AG$2:$AL$10,4,FALSE),"")</f>
        <v>1</v>
      </c>
      <c r="AC101" t="b">
        <f>IF($N101,T101=VLOOKUP(T101,$AG$2:$AL$10,4,FALSE),"")</f>
        <v>1</v>
      </c>
      <c r="AD101" t="b">
        <f>IF($N101,U101=VLOOKUP(U101,$AG$2:$AL$10,5,FALSE),"")</f>
        <v>0</v>
      </c>
      <c r="AE101" t="b">
        <f>IF($N101,V101=VLOOKUP(V101,$AG$2:$AL$10,5,FALSE),"")</f>
        <v>1</v>
      </c>
      <c r="AN101" s="55" t="str">
        <f t="shared" si="38"/>
        <v xml:space="preserve">    { wxString::FromUTF8("\xC2\xA5"), &amp;AllGlyphs[100], &amp;AllGlyphs[101], &amp;AllGlyphs[102], &amp;AllGlyphs[100], Connection::DIAG_FRONT, Connection::DIAG_BOTH, Connection::DIAG_BACK, Connection::DIAG_BOTH, 0, 0, 0, 0 },</v>
      </c>
      <c r="AO101" s="56"/>
      <c r="AP101" s="56"/>
      <c r="AQ101" s="56"/>
      <c r="AR101" s="56"/>
      <c r="AS101" s="56"/>
      <c r="AT101" s="56"/>
      <c r="AU101" s="57"/>
      <c r="AW101" s="54" t="str">
        <f t="shared" si="30"/>
        <v>&amp;AllGlyphs[100]</v>
      </c>
      <c r="AX101" s="54" t="str">
        <f t="shared" si="31"/>
        <v>&amp;AllGlyphs[101]</v>
      </c>
      <c r="AY101" s="54" t="str">
        <f t="shared" si="32"/>
        <v>&amp;AllGlyphs[102]</v>
      </c>
      <c r="AZ101" s="54" t="str">
        <f t="shared" si="33"/>
        <v>&amp;AllGlyphs[100]</v>
      </c>
      <c r="BB101" s="64">
        <f t="shared" si="34"/>
        <v>0</v>
      </c>
      <c r="BC101" s="64">
        <f t="shared" si="35"/>
        <v>0</v>
      </c>
      <c r="BD101" s="64">
        <f t="shared" si="36"/>
        <v>0</v>
      </c>
      <c r="BE101" s="64">
        <f t="shared" si="37"/>
        <v>0</v>
      </c>
    </row>
    <row r="102" spans="1:57" x14ac:dyDescent="0.4">
      <c r="A102" s="7" t="s">
        <v>81</v>
      </c>
      <c r="B102" s="6" t="str">
        <f t="shared" si="23"/>
        <v>¦</v>
      </c>
      <c r="C102" s="48" cm="1">
        <f t="array" ref="C102">IF($N102,INDEX($O:$O,MATCH(TRUE,EXACT(B102,$A:$A),0)),"")</f>
        <v>100</v>
      </c>
      <c r="D102" s="38" t="s">
        <v>82</v>
      </c>
      <c r="E102" s="48" cm="1">
        <f t="array" ref="E102">IF($N102,INDEX($O:$O,MATCH(TRUE,EXACT(D102,$A:$A),0)),"")</f>
        <v>101</v>
      </c>
      <c r="F102" s="38" t="s">
        <v>83</v>
      </c>
      <c r="G102" s="48" cm="1">
        <f t="array" ref="G102">IF($O102&lt;&gt;"",INDEX($O:$O,MATCH(TRUE,EXACT(F102,$A:$A),0)),"")</f>
        <v>102</v>
      </c>
      <c r="H102" s="38" t="s">
        <v>82</v>
      </c>
      <c r="I102" s="48" cm="1">
        <f t="array" ref="I102">IF($N102,INDEX($O:$O,MATCH(TRUE,EXACT(H102,$A:$A),0)),"")</f>
        <v>101</v>
      </c>
      <c r="J102" s="38" t="s">
        <v>80</v>
      </c>
      <c r="K102" s="52" cm="1">
        <f t="array" ref="K102">IF($N102,INDEX($O:$O,MATCH(TRUE,EXACT(J102,$A:$A),0)),"")</f>
        <v>99</v>
      </c>
      <c r="L102" s="23"/>
      <c r="M102" s="33"/>
      <c r="N102" s="18" t="b">
        <f t="shared" si="25"/>
        <v>1</v>
      </c>
      <c r="O102" s="19">
        <f>IF(N102, MAX(O$2:O101)+1,"")</f>
        <v>100</v>
      </c>
      <c r="P102" s="23" t="str">
        <f t="shared" si="24"/>
        <v>¦</v>
      </c>
      <c r="Q102" s="8" t="str" cm="1">
        <f t="array" ref="Q102">CharToUTF8(A102)</f>
        <v>\xC2\xA6</v>
      </c>
      <c r="S102" s="18" t="str">
        <f>$AG$6</f>
        <v>DIAG_BACK</v>
      </c>
      <c r="T102" s="24" t="str">
        <f>$AG$3</f>
        <v>DIAG_BOTH</v>
      </c>
      <c r="U102" s="24" t="str">
        <f>$AG$3</f>
        <v>DIAG_BOTH</v>
      </c>
      <c r="V102" s="21" t="str">
        <f>$AG$5</f>
        <v>DIAG_FRONT</v>
      </c>
      <c r="X102" s="31" t="b">
        <f t="shared" si="26"/>
        <v>0</v>
      </c>
      <c r="Y102" s="31" t="b">
        <f t="shared" si="27"/>
        <v>0</v>
      </c>
      <c r="Z102" t="b">
        <f t="shared" si="28"/>
        <v>0</v>
      </c>
      <c r="AA102" t="b">
        <f t="shared" si="29"/>
        <v>0</v>
      </c>
      <c r="AB102" t="b">
        <f>IF($N102,S102=VLOOKUP(S102,$AG$2:$AL$10,4,FALSE),"")</f>
        <v>1</v>
      </c>
      <c r="AC102" t="b">
        <f>IF($N102,T102=VLOOKUP(T102,$AG$2:$AL$10,4,FALSE),"")</f>
        <v>1</v>
      </c>
      <c r="AD102" t="b">
        <f>IF($N102,U102=VLOOKUP(U102,$AG$2:$AL$10,5,FALSE),"")</f>
        <v>1</v>
      </c>
      <c r="AE102" t="b">
        <f>IF($N102,V102=VLOOKUP(V102,$AG$2:$AL$10,5,FALSE),"")</f>
        <v>0</v>
      </c>
      <c r="AN102" s="55" t="str">
        <f t="shared" si="38"/>
        <v xml:space="preserve">    { wxString::FromUTF8("\xC2\xA6"), &amp;AllGlyphs[101], &amp;AllGlyphs[102], &amp;AllGlyphs[101], &amp;AllGlyphs[99], Connection::DIAG_BACK, Connection::DIAG_BOTH, Connection::DIAG_BOTH, Connection::DIAG_FRONT, 0, 0, 0, 0 },</v>
      </c>
      <c r="AO102" s="56"/>
      <c r="AP102" s="56"/>
      <c r="AQ102" s="56"/>
      <c r="AR102" s="56"/>
      <c r="AS102" s="56"/>
      <c r="AT102" s="56"/>
      <c r="AU102" s="57"/>
      <c r="AW102" s="54" t="str">
        <f t="shared" si="30"/>
        <v>&amp;AllGlyphs[101]</v>
      </c>
      <c r="AX102" s="54" t="str">
        <f t="shared" si="31"/>
        <v>&amp;AllGlyphs[102]</v>
      </c>
      <c r="AY102" s="54" t="str">
        <f t="shared" si="32"/>
        <v>&amp;AllGlyphs[101]</v>
      </c>
      <c r="AZ102" s="54" t="str">
        <f t="shared" si="33"/>
        <v>&amp;AllGlyphs[99]</v>
      </c>
      <c r="BB102" s="64">
        <f t="shared" si="34"/>
        <v>0</v>
      </c>
      <c r="BC102" s="64">
        <f t="shared" si="35"/>
        <v>0</v>
      </c>
      <c r="BD102" s="64">
        <f t="shared" si="36"/>
        <v>0</v>
      </c>
      <c r="BE102" s="64">
        <f t="shared" si="37"/>
        <v>0</v>
      </c>
    </row>
    <row r="103" spans="1:57" x14ac:dyDescent="0.4">
      <c r="A103" s="7" t="s">
        <v>82</v>
      </c>
      <c r="B103" s="6" t="str">
        <f t="shared" si="23"/>
        <v>§</v>
      </c>
      <c r="C103" s="48" cm="1">
        <f t="array" ref="C103">IF($N103,INDEX($O:$O,MATCH(TRUE,EXACT(B103,$A:$A),0)),"")</f>
        <v>101</v>
      </c>
      <c r="D103" s="38" t="s">
        <v>83</v>
      </c>
      <c r="E103" s="48" cm="1">
        <f t="array" ref="E103">IF($N103,INDEX($O:$O,MATCH(TRUE,EXACT(D103,$A:$A),0)),"")</f>
        <v>102</v>
      </c>
      <c r="F103" s="38" t="s">
        <v>80</v>
      </c>
      <c r="G103" s="48" cm="1">
        <f t="array" ref="G103">IF($O103&lt;&gt;"",INDEX($O:$O,MATCH(TRUE,EXACT(F103,$A:$A),0)),"")</f>
        <v>99</v>
      </c>
      <c r="H103" s="38" t="s">
        <v>81</v>
      </c>
      <c r="I103" s="48" cm="1">
        <f t="array" ref="I103">IF($N103,INDEX($O:$O,MATCH(TRUE,EXACT(H103,$A:$A),0)),"")</f>
        <v>100</v>
      </c>
      <c r="J103" s="38" t="s">
        <v>83</v>
      </c>
      <c r="K103" s="52" cm="1">
        <f t="array" ref="K103">IF($N103,INDEX($O:$O,MATCH(TRUE,EXACT(J103,$A:$A),0)),"")</f>
        <v>102</v>
      </c>
      <c r="L103" s="23"/>
      <c r="M103" s="33"/>
      <c r="N103" s="18" t="b">
        <f t="shared" si="25"/>
        <v>1</v>
      </c>
      <c r="O103" s="19">
        <f>IF(N103, MAX(O$2:O102)+1,"")</f>
        <v>101</v>
      </c>
      <c r="P103" s="23" t="str">
        <f t="shared" si="24"/>
        <v>§</v>
      </c>
      <c r="Q103" s="8" t="str" cm="1">
        <f t="array" ref="Q103">CharToUTF8(A103)</f>
        <v>\xC2\xA7</v>
      </c>
      <c r="S103" s="18" t="str">
        <f>$AG$3</f>
        <v>DIAG_BOTH</v>
      </c>
      <c r="T103" s="24" t="str">
        <f>$AG$5</f>
        <v>DIAG_FRONT</v>
      </c>
      <c r="U103" s="24" t="str">
        <f>$AG$3</f>
        <v>DIAG_BOTH</v>
      </c>
      <c r="V103" s="21" t="str">
        <f>$AG$6</f>
        <v>DIAG_BACK</v>
      </c>
      <c r="X103" s="31" t="b">
        <f t="shared" si="26"/>
        <v>0</v>
      </c>
      <c r="Y103" s="31" t="b">
        <f t="shared" si="27"/>
        <v>0</v>
      </c>
      <c r="Z103" t="b">
        <f t="shared" si="28"/>
        <v>0</v>
      </c>
      <c r="AA103" t="b">
        <f t="shared" si="29"/>
        <v>0</v>
      </c>
      <c r="AB103" t="b">
        <f>IF($N103,S103=VLOOKUP(S103,$AG$2:$AL$10,4,FALSE),"")</f>
        <v>1</v>
      </c>
      <c r="AC103" t="b">
        <f>IF($N103,T103=VLOOKUP(T103,$AG$2:$AL$10,4,FALSE),"")</f>
        <v>1</v>
      </c>
      <c r="AD103" t="b">
        <f>IF($N103,U103=VLOOKUP(U103,$AG$2:$AL$10,5,FALSE),"")</f>
        <v>1</v>
      </c>
      <c r="AE103" t="b">
        <f>IF($N103,V103=VLOOKUP(V103,$AG$2:$AL$10,5,FALSE),"")</f>
        <v>0</v>
      </c>
      <c r="AN103" s="55" t="str">
        <f t="shared" si="38"/>
        <v xml:space="preserve">    { wxString::FromUTF8("\xC2\xA7"), &amp;AllGlyphs[102], &amp;AllGlyphs[99], &amp;AllGlyphs[100], &amp;AllGlyphs[102], Connection::DIAG_BOTH, Connection::DIAG_FRONT, Connection::DIAG_BOTH, Connection::DIAG_BACK, 0, 0, 0, 0 },</v>
      </c>
      <c r="AO103" s="56"/>
      <c r="AP103" s="56"/>
      <c r="AQ103" s="56"/>
      <c r="AR103" s="56"/>
      <c r="AS103" s="56"/>
      <c r="AT103" s="56"/>
      <c r="AU103" s="57"/>
      <c r="AW103" s="54" t="str">
        <f t="shared" si="30"/>
        <v>&amp;AllGlyphs[102]</v>
      </c>
      <c r="AX103" s="54" t="str">
        <f t="shared" si="31"/>
        <v>&amp;AllGlyphs[99]</v>
      </c>
      <c r="AY103" s="54" t="str">
        <f t="shared" si="32"/>
        <v>&amp;AllGlyphs[100]</v>
      </c>
      <c r="AZ103" s="54" t="str">
        <f t="shared" si="33"/>
        <v>&amp;AllGlyphs[102]</v>
      </c>
      <c r="BB103" s="64">
        <f t="shared" si="34"/>
        <v>0</v>
      </c>
      <c r="BC103" s="64">
        <f t="shared" si="35"/>
        <v>0</v>
      </c>
      <c r="BD103" s="64">
        <f t="shared" si="36"/>
        <v>0</v>
      </c>
      <c r="BE103" s="64">
        <f t="shared" si="37"/>
        <v>0</v>
      </c>
    </row>
    <row r="104" spans="1:57" x14ac:dyDescent="0.4">
      <c r="A104" s="7" t="s">
        <v>83</v>
      </c>
      <c r="B104" s="6" t="str">
        <f t="shared" si="23"/>
        <v>¨</v>
      </c>
      <c r="C104" s="48" cm="1">
        <f t="array" ref="C104">IF($N104,INDEX($O:$O,MATCH(TRUE,EXACT(B104,$A:$A),0)),"")</f>
        <v>102</v>
      </c>
      <c r="D104" s="38" t="s">
        <v>80</v>
      </c>
      <c r="E104" s="48" cm="1">
        <f t="array" ref="E104">IF($N104,INDEX($O:$O,MATCH(TRUE,EXACT(D104,$A:$A),0)),"")</f>
        <v>99</v>
      </c>
      <c r="F104" s="38" t="s">
        <v>81</v>
      </c>
      <c r="G104" s="48" cm="1">
        <f t="array" ref="G104">IF($O104&lt;&gt;"",INDEX($O:$O,MATCH(TRUE,EXACT(F104,$A:$A),0)),"")</f>
        <v>100</v>
      </c>
      <c r="H104" s="38" t="s">
        <v>80</v>
      </c>
      <c r="I104" s="48" cm="1">
        <f t="array" ref="I104">IF($N104,INDEX($O:$O,MATCH(TRUE,EXACT(H104,$A:$A),0)),"")</f>
        <v>99</v>
      </c>
      <c r="J104" s="38" t="s">
        <v>82</v>
      </c>
      <c r="K104" s="52" cm="1">
        <f t="array" ref="K104">IF($N104,INDEX($O:$O,MATCH(TRUE,EXACT(J104,$A:$A),0)),"")</f>
        <v>101</v>
      </c>
      <c r="L104" s="23"/>
      <c r="M104" s="33"/>
      <c r="N104" s="18" t="b">
        <f t="shared" si="25"/>
        <v>1</v>
      </c>
      <c r="O104" s="19">
        <f>IF(N104, MAX(O$2:O103)+1,"")</f>
        <v>102</v>
      </c>
      <c r="P104" s="23" t="str">
        <f t="shared" si="24"/>
        <v>¨</v>
      </c>
      <c r="Q104" s="8" t="str" cm="1">
        <f t="array" ref="Q104">CharToUTF8(A104)</f>
        <v>\xC2\xA8</v>
      </c>
      <c r="S104" s="18" t="str">
        <f>$AG$3</f>
        <v>DIAG_BOTH</v>
      </c>
      <c r="T104" s="24" t="str">
        <f>$AG$6</f>
        <v>DIAG_BACK</v>
      </c>
      <c r="U104" s="24" t="str">
        <f>$AG$5</f>
        <v>DIAG_FRONT</v>
      </c>
      <c r="V104" s="21" t="str">
        <f>$AG$3</f>
        <v>DIAG_BOTH</v>
      </c>
      <c r="X104" s="31" t="b">
        <f t="shared" si="26"/>
        <v>0</v>
      </c>
      <c r="Y104" s="31" t="b">
        <f t="shared" si="27"/>
        <v>0</v>
      </c>
      <c r="Z104" t="b">
        <f t="shared" si="28"/>
        <v>0</v>
      </c>
      <c r="AA104" t="b">
        <f t="shared" si="29"/>
        <v>0</v>
      </c>
      <c r="AB104" t="b">
        <f>IF($N104,S104=VLOOKUP(S104,$AG$2:$AL$10,4,FALSE),"")</f>
        <v>1</v>
      </c>
      <c r="AC104" t="b">
        <f>IF($N104,T104=VLOOKUP(T104,$AG$2:$AL$10,4,FALSE),"")</f>
        <v>1</v>
      </c>
      <c r="AD104" t="b">
        <f>IF($N104,U104=VLOOKUP(U104,$AG$2:$AL$10,5,FALSE),"")</f>
        <v>0</v>
      </c>
      <c r="AE104" t="b">
        <f>IF($N104,V104=VLOOKUP(V104,$AG$2:$AL$10,5,FALSE),"")</f>
        <v>1</v>
      </c>
      <c r="AN104" s="55" t="str">
        <f t="shared" si="38"/>
        <v xml:space="preserve">    { wxString::FromUTF8("\xC2\xA8"), &amp;AllGlyphs[99], &amp;AllGlyphs[100], &amp;AllGlyphs[99], &amp;AllGlyphs[101], Connection::DIAG_BOTH, Connection::DIAG_BACK, Connection::DIAG_FRONT, Connection::DIAG_BOTH, 0, 0, 0, 0 },</v>
      </c>
      <c r="AO104" s="56"/>
      <c r="AP104" s="56"/>
      <c r="AQ104" s="56"/>
      <c r="AR104" s="56"/>
      <c r="AS104" s="56"/>
      <c r="AT104" s="56"/>
      <c r="AU104" s="57"/>
      <c r="AW104" s="54" t="str">
        <f t="shared" si="30"/>
        <v>&amp;AllGlyphs[99]</v>
      </c>
      <c r="AX104" s="54" t="str">
        <f t="shared" si="31"/>
        <v>&amp;AllGlyphs[100]</v>
      </c>
      <c r="AY104" s="54" t="str">
        <f t="shared" si="32"/>
        <v>&amp;AllGlyphs[99]</v>
      </c>
      <c r="AZ104" s="54" t="str">
        <f t="shared" si="33"/>
        <v>&amp;AllGlyphs[101]</v>
      </c>
      <c r="BB104" s="64">
        <f t="shared" si="34"/>
        <v>0</v>
      </c>
      <c r="BC104" s="64">
        <f t="shared" si="35"/>
        <v>0</v>
      </c>
      <c r="BD104" s="64">
        <f t="shared" si="36"/>
        <v>0</v>
      </c>
      <c r="BE104" s="64">
        <f t="shared" si="37"/>
        <v>0</v>
      </c>
    </row>
    <row r="105" spans="1:57" x14ac:dyDescent="0.4">
      <c r="A105" s="7" t="s">
        <v>84</v>
      </c>
      <c r="B105" s="6" t="str">
        <f t="shared" si="23"/>
        <v>©</v>
      </c>
      <c r="C105" s="48" cm="1">
        <f t="array" ref="C105">IF($N105,INDEX($O:$O,MATCH(TRUE,EXACT(B105,$A:$A),0)),"")</f>
        <v>103</v>
      </c>
      <c r="D105" s="38" t="s">
        <v>85</v>
      </c>
      <c r="E105" s="48" cm="1">
        <f t="array" ref="E105">IF($N105,INDEX($O:$O,MATCH(TRUE,EXACT(D105,$A:$A),0)),"")</f>
        <v>104</v>
      </c>
      <c r="F105" s="38" t="s">
        <v>86</v>
      </c>
      <c r="G105" s="48" cm="1">
        <f t="array" ref="G105">IF($O105&lt;&gt;"",INDEX($O:$O,MATCH(TRUE,EXACT(F105,$A:$A),0)),"")</f>
        <v>105</v>
      </c>
      <c r="H105" s="38" t="s">
        <v>86</v>
      </c>
      <c r="I105" s="48" cm="1">
        <f t="array" ref="I105">IF($N105,INDEX($O:$O,MATCH(TRUE,EXACT(H105,$A:$A),0)),"")</f>
        <v>105</v>
      </c>
      <c r="J105" s="38" t="s">
        <v>84</v>
      </c>
      <c r="K105" s="52" cm="1">
        <f t="array" ref="K105">IF($N105,INDEX($O:$O,MATCH(TRUE,EXACT(J105,$A:$A),0)),"")</f>
        <v>103</v>
      </c>
      <c r="L105" s="23"/>
      <c r="M105" s="33"/>
      <c r="N105" s="18" t="b">
        <f t="shared" si="25"/>
        <v>1</v>
      </c>
      <c r="O105" s="19">
        <f>IF(N105, MAX(O$2:O104)+1,"")</f>
        <v>103</v>
      </c>
      <c r="P105" s="23" t="str">
        <f t="shared" si="24"/>
        <v>©</v>
      </c>
      <c r="Q105" s="8" t="str" cm="1">
        <f t="array" ref="Q105">CharToUTF8(A105)</f>
        <v>\xC2\xA9</v>
      </c>
      <c r="S105" s="18" t="str">
        <f>$AG$2</f>
        <v>EMPTY</v>
      </c>
      <c r="T105" s="24" t="str">
        <f>$AG$3</f>
        <v>DIAG_BOTH</v>
      </c>
      <c r="U105" s="24" t="str">
        <f>$AG$6</f>
        <v>DIAG_BACK</v>
      </c>
      <c r="V105" s="21" t="str">
        <f>$AG$5</f>
        <v>DIAG_FRONT</v>
      </c>
      <c r="X105" s="31" t="b">
        <f t="shared" si="26"/>
        <v>0</v>
      </c>
      <c r="Y105" s="31" t="b">
        <f t="shared" si="27"/>
        <v>0</v>
      </c>
      <c r="Z105" t="b">
        <f t="shared" si="28"/>
        <v>0</v>
      </c>
      <c r="AA105" t="b">
        <f t="shared" si="29"/>
        <v>1</v>
      </c>
      <c r="AB105" t="b">
        <f>IF($N105,S105=VLOOKUP(S105,$AG$2:$AL$10,4,FALSE),"")</f>
        <v>1</v>
      </c>
      <c r="AC105" t="b">
        <f>IF($N105,T105=VLOOKUP(T105,$AG$2:$AL$10,4,FALSE),"")</f>
        <v>1</v>
      </c>
      <c r="AD105" t="b">
        <f>IF($N105,U105=VLOOKUP(U105,$AG$2:$AL$10,5,FALSE),"")</f>
        <v>0</v>
      </c>
      <c r="AE105" t="b">
        <f>IF($N105,V105=VLOOKUP(V105,$AG$2:$AL$10,5,FALSE),"")</f>
        <v>0</v>
      </c>
      <c r="AN105" s="55" t="str">
        <f t="shared" si="38"/>
        <v xml:space="preserve">    { wxString::FromUTF8("\xC2\xA9"), &amp;AllGlyphs[104], &amp;AllGlyphs[105], &amp;AllGlyphs[105], &amp;AllGlyphs[103], Connection::EMPTY, Connection::DIAG_BOTH, Connection::DIAG_BACK, Connection::DIAG_FRONT, 0, 0, 0, 1 },</v>
      </c>
      <c r="AO105" s="56"/>
      <c r="AP105" s="56"/>
      <c r="AQ105" s="56"/>
      <c r="AR105" s="56"/>
      <c r="AS105" s="56"/>
      <c r="AT105" s="56"/>
      <c r="AU105" s="57"/>
      <c r="AW105" s="54" t="str">
        <f t="shared" si="30"/>
        <v>&amp;AllGlyphs[104]</v>
      </c>
      <c r="AX105" s="54" t="str">
        <f t="shared" si="31"/>
        <v>&amp;AllGlyphs[105]</v>
      </c>
      <c r="AY105" s="54" t="str">
        <f t="shared" si="32"/>
        <v>&amp;AllGlyphs[105]</v>
      </c>
      <c r="AZ105" s="54" t="str">
        <f t="shared" si="33"/>
        <v>&amp;AllGlyphs[103]</v>
      </c>
      <c r="BB105" s="64">
        <f t="shared" si="34"/>
        <v>0</v>
      </c>
      <c r="BC105" s="64">
        <f t="shared" si="35"/>
        <v>0</v>
      </c>
      <c r="BD105" s="64">
        <f t="shared" si="36"/>
        <v>0</v>
      </c>
      <c r="BE105" s="64">
        <f t="shared" si="37"/>
        <v>1</v>
      </c>
    </row>
    <row r="106" spans="1:57" ht="31.5" customHeight="1" x14ac:dyDescent="0.4">
      <c r="A106" s="7" t="s">
        <v>85</v>
      </c>
      <c r="B106" s="6" t="str">
        <f t="shared" si="23"/>
        <v>ª</v>
      </c>
      <c r="C106" s="48" cm="1">
        <f t="array" ref="C106">IF($N106,INDEX($O:$O,MATCH(TRUE,EXACT(B106,$A:$A),0)),"")</f>
        <v>104</v>
      </c>
      <c r="D106" s="38" t="s">
        <v>86</v>
      </c>
      <c r="E106" s="48" cm="1">
        <f t="array" ref="E106">IF($N106,INDEX($O:$O,MATCH(TRUE,EXACT(D106,$A:$A),0)),"")</f>
        <v>105</v>
      </c>
      <c r="F106" s="38" t="s">
        <v>87</v>
      </c>
      <c r="G106" s="48" cm="1">
        <f t="array" ref="G106">IF($O106&lt;&gt;"",INDEX($O:$O,MATCH(TRUE,EXACT(F106,$A:$A),0)),"")</f>
        <v>106</v>
      </c>
      <c r="H106" s="38" t="s">
        <v>85</v>
      </c>
      <c r="I106" s="48" cm="1">
        <f t="array" ref="I106">IF($N106,INDEX($O:$O,MATCH(TRUE,EXACT(H106,$A:$A),0)),"")</f>
        <v>104</v>
      </c>
      <c r="J106" s="38" t="s">
        <v>87</v>
      </c>
      <c r="K106" s="52" cm="1">
        <f t="array" ref="K106">IF($N106,INDEX($O:$O,MATCH(TRUE,EXACT(J106,$A:$A),0)),"")</f>
        <v>106</v>
      </c>
      <c r="L106" s="23"/>
      <c r="M106" s="33"/>
      <c r="N106" s="18" t="b">
        <f t="shared" si="25"/>
        <v>1</v>
      </c>
      <c r="O106" s="19">
        <f>IF(N106, MAX(O$2:O105)+1,"")</f>
        <v>104</v>
      </c>
      <c r="P106" s="23" t="str">
        <f t="shared" si="24"/>
        <v>ª</v>
      </c>
      <c r="Q106" s="8" t="str" cm="1">
        <f t="array" ref="Q106">CharToUTF8(A106)</f>
        <v>\xC2\xAA</v>
      </c>
      <c r="S106" s="18" t="str">
        <f>$AG$6</f>
        <v>DIAG_BACK</v>
      </c>
      <c r="T106" s="24" t="str">
        <f>$AG$5</f>
        <v>DIAG_FRONT</v>
      </c>
      <c r="U106" s="24" t="str">
        <f>$AG$3</f>
        <v>DIAG_BOTH</v>
      </c>
      <c r="V106" s="21" t="str">
        <f>$AG$2</f>
        <v>EMPTY</v>
      </c>
      <c r="X106" s="31" t="b">
        <f t="shared" si="26"/>
        <v>0</v>
      </c>
      <c r="Y106" s="31" t="b">
        <f t="shared" si="27"/>
        <v>0</v>
      </c>
      <c r="Z106" t="b">
        <f t="shared" si="28"/>
        <v>1</v>
      </c>
      <c r="AA106" t="b">
        <f t="shared" si="29"/>
        <v>0</v>
      </c>
      <c r="AB106" t="b">
        <f>IF($N106,S106=VLOOKUP(S106,$AG$2:$AL$10,4,FALSE),"")</f>
        <v>1</v>
      </c>
      <c r="AC106" t="b">
        <f>IF($N106,T106=VLOOKUP(T106,$AG$2:$AL$10,4,FALSE),"")</f>
        <v>1</v>
      </c>
      <c r="AD106" t="b">
        <f>IF($N106,U106=VLOOKUP(U106,$AG$2:$AL$10,5,FALSE),"")</f>
        <v>1</v>
      </c>
      <c r="AE106" t="b">
        <f>IF($N106,V106=VLOOKUP(V106,$AG$2:$AL$10,5,FALSE),"")</f>
        <v>1</v>
      </c>
      <c r="AN106" s="55" t="str">
        <f t="shared" si="38"/>
        <v xml:space="preserve">    { wxString::FromUTF8("\xC2\xAA"), &amp;AllGlyphs[105], &amp;AllGlyphs[106], &amp;AllGlyphs[104], &amp;AllGlyphs[106], Connection::DIAG_BACK, Connection::DIAG_FRONT, Connection::DIAG_BOTH, Connection::EMPTY, 0, 0, 1, 0 },</v>
      </c>
      <c r="AO106" s="56"/>
      <c r="AP106" s="56"/>
      <c r="AQ106" s="56"/>
      <c r="AR106" s="56"/>
      <c r="AS106" s="56"/>
      <c r="AT106" s="56"/>
      <c r="AU106" s="57"/>
      <c r="AW106" s="54" t="str">
        <f t="shared" si="30"/>
        <v>&amp;AllGlyphs[105]</v>
      </c>
      <c r="AX106" s="54" t="str">
        <f t="shared" si="31"/>
        <v>&amp;AllGlyphs[106]</v>
      </c>
      <c r="AY106" s="54" t="str">
        <f t="shared" si="32"/>
        <v>&amp;AllGlyphs[104]</v>
      </c>
      <c r="AZ106" s="54" t="str">
        <f t="shared" si="33"/>
        <v>&amp;AllGlyphs[106]</v>
      </c>
      <c r="BB106" s="64">
        <f t="shared" si="34"/>
        <v>0</v>
      </c>
      <c r="BC106" s="64">
        <f t="shared" si="35"/>
        <v>0</v>
      </c>
      <c r="BD106" s="64">
        <f t="shared" si="36"/>
        <v>1</v>
      </c>
      <c r="BE106" s="64">
        <f t="shared" si="37"/>
        <v>0</v>
      </c>
    </row>
    <row r="107" spans="1:57" x14ac:dyDescent="0.4">
      <c r="A107" s="7" t="s">
        <v>86</v>
      </c>
      <c r="B107" s="6" t="str">
        <f t="shared" si="23"/>
        <v>«</v>
      </c>
      <c r="C107" s="48" cm="1">
        <f t="array" ref="C107">IF($N107,INDEX($O:$O,MATCH(TRUE,EXACT(B107,$A:$A),0)),"")</f>
        <v>105</v>
      </c>
      <c r="D107" s="38" t="s">
        <v>87</v>
      </c>
      <c r="E107" s="48" cm="1">
        <f t="array" ref="E107">IF($N107,INDEX($O:$O,MATCH(TRUE,EXACT(D107,$A:$A),0)),"")</f>
        <v>106</v>
      </c>
      <c r="F107" s="38" t="s">
        <v>84</v>
      </c>
      <c r="G107" s="48" cm="1">
        <f t="array" ref="G107">IF($O107&lt;&gt;"",INDEX($O:$O,MATCH(TRUE,EXACT(F107,$A:$A),0)),"")</f>
        <v>103</v>
      </c>
      <c r="H107" s="38" t="s">
        <v>84</v>
      </c>
      <c r="I107" s="48" cm="1">
        <f t="array" ref="I107">IF($N107,INDEX($O:$O,MATCH(TRUE,EXACT(H107,$A:$A),0)),"")</f>
        <v>103</v>
      </c>
      <c r="J107" s="38" t="s">
        <v>86</v>
      </c>
      <c r="K107" s="52" cm="1">
        <f t="array" ref="K107">IF($N107,INDEX($O:$O,MATCH(TRUE,EXACT(J107,$A:$A),0)),"")</f>
        <v>105</v>
      </c>
      <c r="L107" s="23"/>
      <c r="M107" s="33"/>
      <c r="N107" s="18" t="b">
        <f t="shared" si="25"/>
        <v>1</v>
      </c>
      <c r="O107" s="19">
        <f>IF(N107, MAX(O$2:O106)+1,"")</f>
        <v>105</v>
      </c>
      <c r="P107" s="23" t="str">
        <f t="shared" si="24"/>
        <v>«</v>
      </c>
      <c r="Q107" s="8" t="str" cm="1">
        <f t="array" ref="Q107">CharToUTF8(A107)</f>
        <v>\xC2\xAB</v>
      </c>
      <c r="S107" s="18" t="str">
        <f>$AG$3</f>
        <v>DIAG_BOTH</v>
      </c>
      <c r="T107" s="24" t="str">
        <f>$AG$2</f>
        <v>EMPTY</v>
      </c>
      <c r="U107" s="24" t="str">
        <f>$AG$5</f>
        <v>DIAG_FRONT</v>
      </c>
      <c r="V107" s="21" t="str">
        <f>$AG$6</f>
        <v>DIAG_BACK</v>
      </c>
      <c r="X107" s="31" t="b">
        <f t="shared" si="26"/>
        <v>0</v>
      </c>
      <c r="Y107" s="31" t="b">
        <f t="shared" si="27"/>
        <v>0</v>
      </c>
      <c r="Z107" t="b">
        <f t="shared" si="28"/>
        <v>0</v>
      </c>
      <c r="AA107" t="b">
        <f t="shared" si="29"/>
        <v>1</v>
      </c>
      <c r="AB107" t="b">
        <f>IF($N107,S107=VLOOKUP(S107,$AG$2:$AL$10,4,FALSE),"")</f>
        <v>1</v>
      </c>
      <c r="AC107" t="b">
        <f>IF($N107,T107=VLOOKUP(T107,$AG$2:$AL$10,4,FALSE),"")</f>
        <v>1</v>
      </c>
      <c r="AD107" t="b">
        <f>IF($N107,U107=VLOOKUP(U107,$AG$2:$AL$10,5,FALSE),"")</f>
        <v>0</v>
      </c>
      <c r="AE107" t="b">
        <f>IF($N107,V107=VLOOKUP(V107,$AG$2:$AL$10,5,FALSE),"")</f>
        <v>0</v>
      </c>
      <c r="AN107" s="55" t="str">
        <f t="shared" si="38"/>
        <v xml:space="preserve">    { wxString::FromUTF8("\xC2\xAB"), &amp;AllGlyphs[106], &amp;AllGlyphs[103], &amp;AllGlyphs[103], &amp;AllGlyphs[105], Connection::DIAG_BOTH, Connection::EMPTY, Connection::DIAG_FRONT, Connection::DIAG_BACK, 0, 0, 0, 1 },</v>
      </c>
      <c r="AO107" s="56"/>
      <c r="AP107" s="56"/>
      <c r="AQ107" s="56"/>
      <c r="AR107" s="56"/>
      <c r="AS107" s="56"/>
      <c r="AT107" s="56"/>
      <c r="AU107" s="57"/>
      <c r="AW107" s="54" t="str">
        <f t="shared" si="30"/>
        <v>&amp;AllGlyphs[106]</v>
      </c>
      <c r="AX107" s="54" t="str">
        <f t="shared" si="31"/>
        <v>&amp;AllGlyphs[103]</v>
      </c>
      <c r="AY107" s="54" t="str">
        <f t="shared" si="32"/>
        <v>&amp;AllGlyphs[103]</v>
      </c>
      <c r="AZ107" s="54" t="str">
        <f t="shared" si="33"/>
        <v>&amp;AllGlyphs[105]</v>
      </c>
      <c r="BB107" s="64">
        <f t="shared" si="34"/>
        <v>0</v>
      </c>
      <c r="BC107" s="64">
        <f t="shared" si="35"/>
        <v>0</v>
      </c>
      <c r="BD107" s="64">
        <f t="shared" si="36"/>
        <v>0</v>
      </c>
      <c r="BE107" s="64">
        <f t="shared" si="37"/>
        <v>1</v>
      </c>
    </row>
    <row r="108" spans="1:57" x14ac:dyDescent="0.4">
      <c r="A108" s="7" t="s">
        <v>87</v>
      </c>
      <c r="B108" s="6" t="str">
        <f t="shared" si="23"/>
        <v>¬</v>
      </c>
      <c r="C108" s="48" cm="1">
        <f t="array" ref="C108">IF($N108,INDEX($O:$O,MATCH(TRUE,EXACT(B108,$A:$A),0)),"")</f>
        <v>106</v>
      </c>
      <c r="D108" s="38" t="s">
        <v>84</v>
      </c>
      <c r="E108" s="48" cm="1">
        <f t="array" ref="E108">IF($N108,INDEX($O:$O,MATCH(TRUE,EXACT(D108,$A:$A),0)),"")</f>
        <v>103</v>
      </c>
      <c r="F108" s="38" t="s">
        <v>85</v>
      </c>
      <c r="G108" s="48" cm="1">
        <f t="array" ref="G108">IF($O108&lt;&gt;"",INDEX($O:$O,MATCH(TRUE,EXACT(F108,$A:$A),0)),"")</f>
        <v>104</v>
      </c>
      <c r="H108" s="38" t="s">
        <v>87</v>
      </c>
      <c r="I108" s="48" cm="1">
        <f t="array" ref="I108">IF($N108,INDEX($O:$O,MATCH(TRUE,EXACT(H108,$A:$A),0)),"")</f>
        <v>106</v>
      </c>
      <c r="J108" s="38" t="s">
        <v>85</v>
      </c>
      <c r="K108" s="52" cm="1">
        <f t="array" ref="K108">IF($N108,INDEX($O:$O,MATCH(TRUE,EXACT(J108,$A:$A),0)),"")</f>
        <v>104</v>
      </c>
      <c r="L108" s="23"/>
      <c r="M108" s="33"/>
      <c r="N108" s="18" t="b">
        <f t="shared" si="25"/>
        <v>1</v>
      </c>
      <c r="O108" s="19">
        <f>IF(N108, MAX(O$2:O107)+1,"")</f>
        <v>106</v>
      </c>
      <c r="P108" s="23" t="str">
        <f t="shared" si="24"/>
        <v>¬</v>
      </c>
      <c r="Q108" s="8" t="str" cm="1">
        <f t="array" ref="Q108">CharToUTF8(A108)</f>
        <v>\xC2\xAC</v>
      </c>
      <c r="S108" s="18" t="str">
        <f>$AG$5</f>
        <v>DIAG_FRONT</v>
      </c>
      <c r="T108" s="24" t="str">
        <f>$AG$6</f>
        <v>DIAG_BACK</v>
      </c>
      <c r="U108" s="24" t="str">
        <f>$AG$2</f>
        <v>EMPTY</v>
      </c>
      <c r="V108" s="21" t="str">
        <f>$AG$3</f>
        <v>DIAG_BOTH</v>
      </c>
      <c r="X108" s="31" t="b">
        <f t="shared" si="26"/>
        <v>0</v>
      </c>
      <c r="Y108" s="31" t="b">
        <f t="shared" si="27"/>
        <v>0</v>
      </c>
      <c r="Z108" t="b">
        <f t="shared" si="28"/>
        <v>1</v>
      </c>
      <c r="AA108" t="b">
        <f t="shared" si="29"/>
        <v>0</v>
      </c>
      <c r="AB108" t="b">
        <f>IF($N108,S108=VLOOKUP(S108,$AG$2:$AL$10,4,FALSE),"")</f>
        <v>1</v>
      </c>
      <c r="AC108" t="b">
        <f>IF($N108,T108=VLOOKUP(T108,$AG$2:$AL$10,4,FALSE),"")</f>
        <v>1</v>
      </c>
      <c r="AD108" t="b">
        <f>IF($N108,U108=VLOOKUP(U108,$AG$2:$AL$10,5,FALSE),"")</f>
        <v>1</v>
      </c>
      <c r="AE108" t="b">
        <f>IF($N108,V108=VLOOKUP(V108,$AG$2:$AL$10,5,FALSE),"")</f>
        <v>1</v>
      </c>
      <c r="AN108" s="55" t="str">
        <f t="shared" si="38"/>
        <v xml:space="preserve">    { wxString::FromUTF8("\xC2\xAC"), &amp;AllGlyphs[103], &amp;AllGlyphs[104], &amp;AllGlyphs[106], &amp;AllGlyphs[104], Connection::DIAG_FRONT, Connection::DIAG_BACK, Connection::EMPTY, Connection::DIAG_BOTH, 0, 0, 1, 0 },</v>
      </c>
      <c r="AO108" s="56"/>
      <c r="AP108" s="56"/>
      <c r="AQ108" s="56"/>
      <c r="AR108" s="56"/>
      <c r="AS108" s="56"/>
      <c r="AT108" s="56"/>
      <c r="AU108" s="57"/>
      <c r="AW108" s="54" t="str">
        <f t="shared" si="30"/>
        <v>&amp;AllGlyphs[103]</v>
      </c>
      <c r="AX108" s="54" t="str">
        <f t="shared" si="31"/>
        <v>&amp;AllGlyphs[104]</v>
      </c>
      <c r="AY108" s="54" t="str">
        <f t="shared" si="32"/>
        <v>&amp;AllGlyphs[106]</v>
      </c>
      <c r="AZ108" s="54" t="str">
        <f t="shared" si="33"/>
        <v>&amp;AllGlyphs[104]</v>
      </c>
      <c r="BB108" s="64">
        <f t="shared" si="34"/>
        <v>0</v>
      </c>
      <c r="BC108" s="64">
        <f t="shared" si="35"/>
        <v>0</v>
      </c>
      <c r="BD108" s="64">
        <f t="shared" si="36"/>
        <v>1</v>
      </c>
      <c r="BE108" s="64">
        <f t="shared" si="37"/>
        <v>0</v>
      </c>
    </row>
    <row r="109" spans="1:57" x14ac:dyDescent="0.4">
      <c r="A109" s="7" t="s">
        <v>88</v>
      </c>
      <c r="B109" s="6" t="str">
        <f t="shared" si="23"/>
        <v>®</v>
      </c>
      <c r="C109" s="48" cm="1">
        <f t="array" ref="C109">IF($N109,INDEX($O:$O,MATCH(TRUE,EXACT(B109,$A:$A),0)),"")</f>
        <v>107</v>
      </c>
      <c r="D109" s="38" t="s">
        <v>89</v>
      </c>
      <c r="E109" s="48" cm="1">
        <f t="array" ref="E109">IF($N109,INDEX($O:$O,MATCH(TRUE,EXACT(D109,$A:$A),0)),"")</f>
        <v>108</v>
      </c>
      <c r="F109" s="38" t="s">
        <v>90</v>
      </c>
      <c r="G109" s="48" cm="1">
        <f t="array" ref="G109">IF($O109&lt;&gt;"",INDEX($O:$O,MATCH(TRUE,EXACT(F109,$A:$A),0)),"")</f>
        <v>109</v>
      </c>
      <c r="H109" s="38" t="s">
        <v>89</v>
      </c>
      <c r="I109" s="48" cm="1">
        <f t="array" ref="I109">IF($N109,INDEX($O:$O,MATCH(TRUE,EXACT(H109,$A:$A),0)),"")</f>
        <v>108</v>
      </c>
      <c r="J109" s="38" t="s">
        <v>91</v>
      </c>
      <c r="K109" s="52" cm="1">
        <f t="array" ref="K109">IF($N109,INDEX($O:$O,MATCH(TRUE,EXACT(J109,$A:$A),0)),"")</f>
        <v>110</v>
      </c>
      <c r="L109" s="23"/>
      <c r="M109" s="33"/>
      <c r="N109" s="18" t="b">
        <f t="shared" si="25"/>
        <v>1</v>
      </c>
      <c r="O109" s="19">
        <f>IF(N109, MAX(O$2:O108)+1,"")</f>
        <v>107</v>
      </c>
      <c r="P109" s="23" t="str">
        <f t="shared" si="24"/>
        <v>®</v>
      </c>
      <c r="Q109" s="8" t="str" cm="1">
        <f t="array" ref="Q109">CharToUTF8(A109)</f>
        <v>\xC2\xAE</v>
      </c>
      <c r="S109" s="18" t="str">
        <f>$AG$2</f>
        <v>EMPTY</v>
      </c>
      <c r="T109" s="24" t="str">
        <f>$AG$5</f>
        <v>DIAG_FRONT</v>
      </c>
      <c r="U109" s="24" t="str">
        <f>$AG$6</f>
        <v>DIAG_BACK</v>
      </c>
      <c r="V109" s="21" t="str">
        <f>$AG$2</f>
        <v>EMPTY</v>
      </c>
      <c r="X109" s="31" t="b">
        <f t="shared" si="26"/>
        <v>0</v>
      </c>
      <c r="Y109" s="31" t="b">
        <f t="shared" si="27"/>
        <v>0</v>
      </c>
      <c r="Z109" t="b">
        <f t="shared" si="28"/>
        <v>0</v>
      </c>
      <c r="AA109" t="b">
        <f t="shared" si="29"/>
        <v>0</v>
      </c>
      <c r="AB109" t="b">
        <f>IF($N109,S109=VLOOKUP(S109,$AG$2:$AL$10,4,FALSE),"")</f>
        <v>1</v>
      </c>
      <c r="AC109" t="b">
        <f>IF($N109,T109=VLOOKUP(T109,$AG$2:$AL$10,4,FALSE),"")</f>
        <v>1</v>
      </c>
      <c r="AD109" t="b">
        <f>IF($N109,U109=VLOOKUP(U109,$AG$2:$AL$10,5,FALSE),"")</f>
        <v>0</v>
      </c>
      <c r="AE109" t="b">
        <f>IF($N109,V109=VLOOKUP(V109,$AG$2:$AL$10,5,FALSE),"")</f>
        <v>1</v>
      </c>
      <c r="AN109" s="55" t="str">
        <f t="shared" si="38"/>
        <v xml:space="preserve">    { wxString::FromUTF8("\xC2\xAE"), &amp;AllGlyphs[108], &amp;AllGlyphs[109], &amp;AllGlyphs[108], &amp;AllGlyphs[110], Connection::EMPTY, Connection::DIAG_FRONT, Connection::DIAG_BACK, Connection::EMPTY, 0, 0, 0, 0 },</v>
      </c>
      <c r="AO109" s="56"/>
      <c r="AP109" s="56"/>
      <c r="AQ109" s="56"/>
      <c r="AR109" s="56"/>
      <c r="AS109" s="56"/>
      <c r="AT109" s="56"/>
      <c r="AU109" s="57"/>
      <c r="AW109" s="54" t="str">
        <f t="shared" si="30"/>
        <v>&amp;AllGlyphs[108]</v>
      </c>
      <c r="AX109" s="54" t="str">
        <f t="shared" si="31"/>
        <v>&amp;AllGlyphs[109]</v>
      </c>
      <c r="AY109" s="54" t="str">
        <f t="shared" si="32"/>
        <v>&amp;AllGlyphs[108]</v>
      </c>
      <c r="AZ109" s="54" t="str">
        <f t="shared" si="33"/>
        <v>&amp;AllGlyphs[110]</v>
      </c>
      <c r="BB109" s="64">
        <f t="shared" si="34"/>
        <v>0</v>
      </c>
      <c r="BC109" s="64">
        <f t="shared" si="35"/>
        <v>0</v>
      </c>
      <c r="BD109" s="64">
        <f t="shared" si="36"/>
        <v>0</v>
      </c>
      <c r="BE109" s="64">
        <f t="shared" si="37"/>
        <v>0</v>
      </c>
    </row>
    <row r="110" spans="1:57" x14ac:dyDescent="0.4">
      <c r="A110" s="7" t="s">
        <v>89</v>
      </c>
      <c r="B110" s="6" t="str">
        <f t="shared" si="23"/>
        <v>¯</v>
      </c>
      <c r="C110" s="48" cm="1">
        <f t="array" ref="C110">IF($N110,INDEX($O:$O,MATCH(TRUE,EXACT(B110,$A:$A),0)),"")</f>
        <v>108</v>
      </c>
      <c r="D110" s="38" t="s">
        <v>90</v>
      </c>
      <c r="E110" s="48" cm="1">
        <f t="array" ref="E110">IF($N110,INDEX($O:$O,MATCH(TRUE,EXACT(D110,$A:$A),0)),"")</f>
        <v>109</v>
      </c>
      <c r="F110" s="38" t="s">
        <v>91</v>
      </c>
      <c r="G110" s="48" cm="1">
        <f t="array" ref="G110">IF($O110&lt;&gt;"",INDEX($O:$O,MATCH(TRUE,EXACT(F110,$A:$A),0)),"")</f>
        <v>110</v>
      </c>
      <c r="H110" s="38" t="s">
        <v>88</v>
      </c>
      <c r="I110" s="48" cm="1">
        <f t="array" ref="I110">IF($N110,INDEX($O:$O,MATCH(TRUE,EXACT(H110,$A:$A),0)),"")</f>
        <v>107</v>
      </c>
      <c r="J110" s="38" t="s">
        <v>90</v>
      </c>
      <c r="K110" s="52" cm="1">
        <f t="array" ref="K110">IF($N110,INDEX($O:$O,MATCH(TRUE,EXACT(J110,$A:$A),0)),"")</f>
        <v>109</v>
      </c>
      <c r="L110" s="23"/>
      <c r="M110" s="33"/>
      <c r="N110" s="18" t="b">
        <f t="shared" si="25"/>
        <v>1</v>
      </c>
      <c r="O110" s="19">
        <f>IF(N110, MAX(O$2:O109)+1,"")</f>
        <v>108</v>
      </c>
      <c r="P110" s="23" t="str">
        <f t="shared" si="24"/>
        <v>¯</v>
      </c>
      <c r="Q110" s="8" t="str" cm="1">
        <f t="array" ref="Q110">CharToUTF8(A110)</f>
        <v>\xC2\xAF</v>
      </c>
      <c r="S110" s="18" t="str">
        <f>$AG$6</f>
        <v>DIAG_BACK</v>
      </c>
      <c r="T110" s="24" t="str">
        <f>$AG$2</f>
        <v>EMPTY</v>
      </c>
      <c r="U110" s="24" t="str">
        <f>$AG$5</f>
        <v>DIAG_FRONT</v>
      </c>
      <c r="V110" s="21" t="str">
        <f>$AG$2</f>
        <v>EMPTY</v>
      </c>
      <c r="X110" s="31" t="b">
        <f t="shared" si="26"/>
        <v>0</v>
      </c>
      <c r="Y110" s="31" t="b">
        <f t="shared" si="27"/>
        <v>0</v>
      </c>
      <c r="Z110" t="b">
        <f t="shared" si="28"/>
        <v>0</v>
      </c>
      <c r="AA110" t="b">
        <f t="shared" si="29"/>
        <v>0</v>
      </c>
      <c r="AB110" t="b">
        <f>IF($N110,S110=VLOOKUP(S110,$AG$2:$AL$10,4,FALSE),"")</f>
        <v>1</v>
      </c>
      <c r="AC110" t="b">
        <f>IF($N110,T110=VLOOKUP(T110,$AG$2:$AL$10,4,FALSE),"")</f>
        <v>1</v>
      </c>
      <c r="AD110" t="b">
        <f>IF($N110,U110=VLOOKUP(U110,$AG$2:$AL$10,5,FALSE),"")</f>
        <v>0</v>
      </c>
      <c r="AE110" t="b">
        <f>IF($N110,V110=VLOOKUP(V110,$AG$2:$AL$10,5,FALSE),"")</f>
        <v>1</v>
      </c>
      <c r="AN110" s="55" t="str">
        <f t="shared" si="38"/>
        <v xml:space="preserve">    { wxString::FromUTF8("\xC2\xAF"), &amp;AllGlyphs[109], &amp;AllGlyphs[110], &amp;AllGlyphs[107], &amp;AllGlyphs[109], Connection::DIAG_BACK, Connection::EMPTY, Connection::DIAG_FRONT, Connection::EMPTY, 0, 0, 0, 0 },</v>
      </c>
      <c r="AO110" s="56"/>
      <c r="AP110" s="56"/>
      <c r="AQ110" s="56"/>
      <c r="AR110" s="56"/>
      <c r="AS110" s="56"/>
      <c r="AT110" s="56"/>
      <c r="AU110" s="57"/>
      <c r="AW110" s="54" t="str">
        <f t="shared" si="30"/>
        <v>&amp;AllGlyphs[109]</v>
      </c>
      <c r="AX110" s="54" t="str">
        <f t="shared" si="31"/>
        <v>&amp;AllGlyphs[110]</v>
      </c>
      <c r="AY110" s="54" t="str">
        <f t="shared" si="32"/>
        <v>&amp;AllGlyphs[107]</v>
      </c>
      <c r="AZ110" s="54" t="str">
        <f t="shared" si="33"/>
        <v>&amp;AllGlyphs[109]</v>
      </c>
      <c r="BB110" s="64">
        <f t="shared" si="34"/>
        <v>0</v>
      </c>
      <c r="BC110" s="64">
        <f t="shared" si="35"/>
        <v>0</v>
      </c>
      <c r="BD110" s="64">
        <f t="shared" si="36"/>
        <v>0</v>
      </c>
      <c r="BE110" s="64">
        <f t="shared" si="37"/>
        <v>0</v>
      </c>
    </row>
    <row r="111" spans="1:57" x14ac:dyDescent="0.4">
      <c r="A111" s="7" t="s">
        <v>90</v>
      </c>
      <c r="B111" s="6" t="str">
        <f t="shared" si="23"/>
        <v>°</v>
      </c>
      <c r="C111" s="48" cm="1">
        <f t="array" ref="C111">IF($N111,INDEX($O:$O,MATCH(TRUE,EXACT(B111,$A:$A),0)),"")</f>
        <v>109</v>
      </c>
      <c r="D111" s="38" t="s">
        <v>91</v>
      </c>
      <c r="E111" s="48" cm="1">
        <f t="array" ref="E111">IF($N111,INDEX($O:$O,MATCH(TRUE,EXACT(D111,$A:$A),0)),"")</f>
        <v>110</v>
      </c>
      <c r="F111" s="38" t="s">
        <v>88</v>
      </c>
      <c r="G111" s="48" cm="1">
        <f t="array" ref="G111">IF($O111&lt;&gt;"",INDEX($O:$O,MATCH(TRUE,EXACT(F111,$A:$A),0)),"")</f>
        <v>107</v>
      </c>
      <c r="H111" s="38" t="s">
        <v>91</v>
      </c>
      <c r="I111" s="48" cm="1">
        <f t="array" ref="I111">IF($N111,INDEX($O:$O,MATCH(TRUE,EXACT(H111,$A:$A),0)),"")</f>
        <v>110</v>
      </c>
      <c r="J111" s="38" t="s">
        <v>89</v>
      </c>
      <c r="K111" s="52" cm="1">
        <f t="array" ref="K111">IF($N111,INDEX($O:$O,MATCH(TRUE,EXACT(J111,$A:$A),0)),"")</f>
        <v>108</v>
      </c>
      <c r="L111" s="23"/>
      <c r="M111" s="33"/>
      <c r="N111" s="18" t="b">
        <f t="shared" si="25"/>
        <v>1</v>
      </c>
      <c r="O111" s="19">
        <f>IF(N111, MAX(O$2:O110)+1,"")</f>
        <v>109</v>
      </c>
      <c r="P111" s="23" t="str">
        <f t="shared" si="24"/>
        <v>°</v>
      </c>
      <c r="Q111" s="8" t="str" cm="1">
        <f t="array" ref="Q111">CharToUTF8(A111)</f>
        <v>\xC2\xB0</v>
      </c>
      <c r="S111" s="18" t="str">
        <f>$AG$5</f>
        <v>DIAG_FRONT</v>
      </c>
      <c r="T111" s="24" t="str">
        <f>$AG$2</f>
        <v>EMPTY</v>
      </c>
      <c r="U111" s="24" t="str">
        <f>$AG$2</f>
        <v>EMPTY</v>
      </c>
      <c r="V111" s="21" t="str">
        <f>$AG$6</f>
        <v>DIAG_BACK</v>
      </c>
      <c r="X111" s="31" t="b">
        <f t="shared" si="26"/>
        <v>0</v>
      </c>
      <c r="Y111" s="31" t="b">
        <f t="shared" si="27"/>
        <v>0</v>
      </c>
      <c r="Z111" t="b">
        <f t="shared" si="28"/>
        <v>0</v>
      </c>
      <c r="AA111" t="b">
        <f t="shared" si="29"/>
        <v>0</v>
      </c>
      <c r="AB111" t="b">
        <f>IF($N111,S111=VLOOKUP(S111,$AG$2:$AL$10,4,FALSE),"")</f>
        <v>1</v>
      </c>
      <c r="AC111" t="b">
        <f>IF($N111,T111=VLOOKUP(T111,$AG$2:$AL$10,4,FALSE),"")</f>
        <v>1</v>
      </c>
      <c r="AD111" t="b">
        <f>IF($N111,U111=VLOOKUP(U111,$AG$2:$AL$10,5,FALSE),"")</f>
        <v>1</v>
      </c>
      <c r="AE111" t="b">
        <f>IF($N111,V111=VLOOKUP(V111,$AG$2:$AL$10,5,FALSE),"")</f>
        <v>0</v>
      </c>
      <c r="AN111" s="55" t="str">
        <f t="shared" si="38"/>
        <v xml:space="preserve">    { wxString::FromUTF8("\xC2\xB0"), &amp;AllGlyphs[110], &amp;AllGlyphs[107], &amp;AllGlyphs[110], &amp;AllGlyphs[108], Connection::DIAG_FRONT, Connection::EMPTY, Connection::EMPTY, Connection::DIAG_BACK, 0, 0, 0, 0 },</v>
      </c>
      <c r="AO111" s="56"/>
      <c r="AP111" s="56"/>
      <c r="AQ111" s="56"/>
      <c r="AR111" s="56"/>
      <c r="AS111" s="56"/>
      <c r="AT111" s="56"/>
      <c r="AU111" s="57"/>
      <c r="AW111" s="54" t="str">
        <f t="shared" si="30"/>
        <v>&amp;AllGlyphs[110]</v>
      </c>
      <c r="AX111" s="54" t="str">
        <f t="shared" si="31"/>
        <v>&amp;AllGlyphs[107]</v>
      </c>
      <c r="AY111" s="54" t="str">
        <f t="shared" si="32"/>
        <v>&amp;AllGlyphs[110]</v>
      </c>
      <c r="AZ111" s="54" t="str">
        <f t="shared" si="33"/>
        <v>&amp;AllGlyphs[108]</v>
      </c>
      <c r="BB111" s="64">
        <f t="shared" si="34"/>
        <v>0</v>
      </c>
      <c r="BC111" s="64">
        <f t="shared" si="35"/>
        <v>0</v>
      </c>
      <c r="BD111" s="64">
        <f t="shared" si="36"/>
        <v>0</v>
      </c>
      <c r="BE111" s="64">
        <f t="shared" si="37"/>
        <v>0</v>
      </c>
    </row>
    <row r="112" spans="1:57" x14ac:dyDescent="0.4">
      <c r="A112" s="7" t="s">
        <v>91</v>
      </c>
      <c r="B112" s="6" t="str">
        <f t="shared" si="23"/>
        <v>±</v>
      </c>
      <c r="C112" s="48" cm="1">
        <f t="array" ref="C112">IF($N112,INDEX($O:$O,MATCH(TRUE,EXACT(B112,$A:$A),0)),"")</f>
        <v>110</v>
      </c>
      <c r="D112" s="38" t="s">
        <v>88</v>
      </c>
      <c r="E112" s="48" cm="1">
        <f t="array" ref="E112">IF($N112,INDEX($O:$O,MATCH(TRUE,EXACT(D112,$A:$A),0)),"")</f>
        <v>107</v>
      </c>
      <c r="F112" s="38" t="s">
        <v>89</v>
      </c>
      <c r="G112" s="48" cm="1">
        <f t="array" ref="G112">IF($O112&lt;&gt;"",INDEX($O:$O,MATCH(TRUE,EXACT(F112,$A:$A),0)),"")</f>
        <v>108</v>
      </c>
      <c r="H112" s="38" t="s">
        <v>90</v>
      </c>
      <c r="I112" s="48" cm="1">
        <f t="array" ref="I112">IF($N112,INDEX($O:$O,MATCH(TRUE,EXACT(H112,$A:$A),0)),"")</f>
        <v>109</v>
      </c>
      <c r="J112" s="38" t="s">
        <v>88</v>
      </c>
      <c r="K112" s="52" cm="1">
        <f t="array" ref="K112">IF($N112,INDEX($O:$O,MATCH(TRUE,EXACT(J112,$A:$A),0)),"")</f>
        <v>107</v>
      </c>
      <c r="L112" s="23"/>
      <c r="M112" s="33"/>
      <c r="N112" s="18" t="b">
        <f t="shared" si="25"/>
        <v>1</v>
      </c>
      <c r="O112" s="19">
        <f>IF(N112, MAX(O$2:O111)+1,"")</f>
        <v>110</v>
      </c>
      <c r="P112" s="23" t="str">
        <f t="shared" si="24"/>
        <v>±</v>
      </c>
      <c r="Q112" s="8" t="str" cm="1">
        <f t="array" ref="Q112">CharToUTF8(A112)</f>
        <v>\xC2\xB1</v>
      </c>
      <c r="S112" s="18" t="str">
        <f>$AG$2</f>
        <v>EMPTY</v>
      </c>
      <c r="T112" s="24" t="str">
        <f>$AG$6</f>
        <v>DIAG_BACK</v>
      </c>
      <c r="U112" s="24" t="str">
        <f>$AG$2</f>
        <v>EMPTY</v>
      </c>
      <c r="V112" s="21" t="str">
        <f>$AG$5</f>
        <v>DIAG_FRONT</v>
      </c>
      <c r="X112" s="31" t="b">
        <f t="shared" si="26"/>
        <v>0</v>
      </c>
      <c r="Y112" s="31" t="b">
        <f t="shared" si="27"/>
        <v>0</v>
      </c>
      <c r="Z112" t="b">
        <f t="shared" si="28"/>
        <v>0</v>
      </c>
      <c r="AA112" t="b">
        <f t="shared" si="29"/>
        <v>0</v>
      </c>
      <c r="AB112" t="b">
        <f>IF($N112,S112=VLOOKUP(S112,$AG$2:$AL$10,4,FALSE),"")</f>
        <v>1</v>
      </c>
      <c r="AC112" t="b">
        <f>IF($N112,T112=VLOOKUP(T112,$AG$2:$AL$10,4,FALSE),"")</f>
        <v>1</v>
      </c>
      <c r="AD112" t="b">
        <f>IF($N112,U112=VLOOKUP(U112,$AG$2:$AL$10,5,FALSE),"")</f>
        <v>1</v>
      </c>
      <c r="AE112" t="b">
        <f>IF($N112,V112=VLOOKUP(V112,$AG$2:$AL$10,5,FALSE),"")</f>
        <v>0</v>
      </c>
      <c r="AN112" s="55" t="str">
        <f t="shared" si="38"/>
        <v xml:space="preserve">    { wxString::FromUTF8("\xC2\xB1"), &amp;AllGlyphs[107], &amp;AllGlyphs[108], &amp;AllGlyphs[109], &amp;AllGlyphs[107], Connection::EMPTY, Connection::DIAG_BACK, Connection::EMPTY, Connection::DIAG_FRONT, 0, 0, 0, 0 },</v>
      </c>
      <c r="AO112" s="56"/>
      <c r="AP112" s="56"/>
      <c r="AQ112" s="56"/>
      <c r="AR112" s="56"/>
      <c r="AS112" s="56"/>
      <c r="AT112" s="56"/>
      <c r="AU112" s="57"/>
      <c r="AW112" s="54" t="str">
        <f t="shared" si="30"/>
        <v>&amp;AllGlyphs[107]</v>
      </c>
      <c r="AX112" s="54" t="str">
        <f t="shared" si="31"/>
        <v>&amp;AllGlyphs[108]</v>
      </c>
      <c r="AY112" s="54" t="str">
        <f t="shared" si="32"/>
        <v>&amp;AllGlyphs[109]</v>
      </c>
      <c r="AZ112" s="54" t="str">
        <f t="shared" si="33"/>
        <v>&amp;AllGlyphs[107]</v>
      </c>
      <c r="BB112" s="64">
        <f t="shared" si="34"/>
        <v>0</v>
      </c>
      <c r="BC112" s="64">
        <f t="shared" si="35"/>
        <v>0</v>
      </c>
      <c r="BD112" s="64">
        <f t="shared" si="36"/>
        <v>0</v>
      </c>
      <c r="BE112" s="64">
        <f t="shared" si="37"/>
        <v>0</v>
      </c>
    </row>
    <row r="113" spans="1:57" x14ac:dyDescent="0.4">
      <c r="A113" s="7" t="s">
        <v>92</v>
      </c>
      <c r="B113" s="6" t="str">
        <f t="shared" si="23"/>
        <v>²</v>
      </c>
      <c r="C113" s="48" cm="1">
        <f t="array" ref="C113">IF($N113,INDEX($O:$O,MATCH(TRUE,EXACT(B113,$A:$A),0)),"")</f>
        <v>111</v>
      </c>
      <c r="D113" s="38" t="s">
        <v>93</v>
      </c>
      <c r="E113" s="48" cm="1">
        <f t="array" ref="E113">IF($N113,INDEX($O:$O,MATCH(TRUE,EXACT(D113,$A:$A),0)),"")</f>
        <v>112</v>
      </c>
      <c r="F113" s="38" t="s">
        <v>94</v>
      </c>
      <c r="G113" s="48" cm="1">
        <f t="array" ref="G113">IF($O113&lt;&gt;"",INDEX($O:$O,MATCH(TRUE,EXACT(F113,$A:$A),0)),"")</f>
        <v>113</v>
      </c>
      <c r="H113" s="38" t="s">
        <v>94</v>
      </c>
      <c r="I113" s="48" cm="1">
        <f t="array" ref="I113">IF($N113,INDEX($O:$O,MATCH(TRUE,EXACT(H113,$A:$A),0)),"")</f>
        <v>113</v>
      </c>
      <c r="J113" s="38" t="s">
        <v>92</v>
      </c>
      <c r="K113" s="52" cm="1">
        <f t="array" ref="K113">IF($N113,INDEX($O:$O,MATCH(TRUE,EXACT(J113,$A:$A),0)),"")</f>
        <v>111</v>
      </c>
      <c r="L113" s="23"/>
      <c r="M113" s="33"/>
      <c r="N113" s="18" t="b">
        <f t="shared" si="25"/>
        <v>1</v>
      </c>
      <c r="O113" s="19">
        <f>IF(N113, MAX(O$2:O112)+1,"")</f>
        <v>111</v>
      </c>
      <c r="P113" s="23" t="str">
        <f t="shared" si="24"/>
        <v>²</v>
      </c>
      <c r="Q113" s="8" t="str" cm="1">
        <f t="array" ref="Q113">CharToUTF8(A113)</f>
        <v>\xC2\xB2</v>
      </c>
      <c r="S113" s="18" t="str">
        <f>$AG$4</f>
        <v>ORTHO_BOTH</v>
      </c>
      <c r="T113" s="24" t="str">
        <f>$AG$4</f>
        <v>ORTHO_BOTH</v>
      </c>
      <c r="U113" s="24" t="str">
        <f>$AG$8</f>
        <v>ORTHO_DOWN</v>
      </c>
      <c r="V113" s="21" t="str">
        <f>$AG$8</f>
        <v>ORTHO_DOWN</v>
      </c>
      <c r="X113" s="31" t="b">
        <f t="shared" si="26"/>
        <v>0</v>
      </c>
      <c r="Y113" s="31" t="b">
        <f t="shared" si="27"/>
        <v>0</v>
      </c>
      <c r="Z113" t="b">
        <f t="shared" si="28"/>
        <v>0</v>
      </c>
      <c r="AA113" t="b">
        <f t="shared" si="29"/>
        <v>1</v>
      </c>
      <c r="AB113" t="b">
        <f>IF($N113,S113=VLOOKUP(S113,$AG$2:$AL$10,4,FALSE),"")</f>
        <v>1</v>
      </c>
      <c r="AC113" t="b">
        <f>IF($N113,T113=VLOOKUP(T113,$AG$2:$AL$10,4,FALSE),"")</f>
        <v>1</v>
      </c>
      <c r="AD113" t="b">
        <f>IF($N113,U113=VLOOKUP(U113,$AG$2:$AL$10,5,FALSE),"")</f>
        <v>0</v>
      </c>
      <c r="AE113" t="b">
        <f>IF($N113,V113=VLOOKUP(V113,$AG$2:$AL$10,5,FALSE),"")</f>
        <v>0</v>
      </c>
      <c r="AN113" s="55" t="str">
        <f t="shared" si="38"/>
        <v xml:space="preserve">    { wxString::FromUTF8("\xC2\xB2"), &amp;AllGlyphs[112], &amp;AllGlyphs[113], &amp;AllGlyphs[113], &amp;AllGlyphs[111], Connection::ORTHO_BOTH, Connection::ORTHO_BOTH, Connection::ORTHO_DOWN, Connection::ORTHO_DOWN, 0, 0, 0, 1 },</v>
      </c>
      <c r="AO113" s="56"/>
      <c r="AP113" s="56"/>
      <c r="AQ113" s="56"/>
      <c r="AR113" s="56"/>
      <c r="AS113" s="56"/>
      <c r="AT113" s="56"/>
      <c r="AU113" s="57"/>
      <c r="AW113" s="54" t="str">
        <f t="shared" si="30"/>
        <v>&amp;AllGlyphs[112]</v>
      </c>
      <c r="AX113" s="54" t="str">
        <f t="shared" si="31"/>
        <v>&amp;AllGlyphs[113]</v>
      </c>
      <c r="AY113" s="54" t="str">
        <f t="shared" si="32"/>
        <v>&amp;AllGlyphs[113]</v>
      </c>
      <c r="AZ113" s="54" t="str">
        <f t="shared" si="33"/>
        <v>&amp;AllGlyphs[111]</v>
      </c>
      <c r="BB113" s="64">
        <f t="shared" si="34"/>
        <v>0</v>
      </c>
      <c r="BC113" s="64">
        <f t="shared" si="35"/>
        <v>0</v>
      </c>
      <c r="BD113" s="64">
        <f t="shared" si="36"/>
        <v>0</v>
      </c>
      <c r="BE113" s="64">
        <f t="shared" si="37"/>
        <v>1</v>
      </c>
    </row>
    <row r="114" spans="1:57" ht="31.5" customHeight="1" x14ac:dyDescent="0.4">
      <c r="A114" s="7" t="s">
        <v>93</v>
      </c>
      <c r="B114" s="6" t="str">
        <f t="shared" si="23"/>
        <v>³</v>
      </c>
      <c r="C114" s="48" cm="1">
        <f t="array" ref="C114">IF($N114,INDEX($O:$O,MATCH(TRUE,EXACT(B114,$A:$A),0)),"")</f>
        <v>112</v>
      </c>
      <c r="D114" s="38" t="s">
        <v>94</v>
      </c>
      <c r="E114" s="48" cm="1">
        <f t="array" ref="E114">IF($N114,INDEX($O:$O,MATCH(TRUE,EXACT(D114,$A:$A),0)),"")</f>
        <v>113</v>
      </c>
      <c r="F114" s="38" t="s">
        <v>95</v>
      </c>
      <c r="G114" s="48" cm="1">
        <f t="array" ref="G114">IF($O114&lt;&gt;"",INDEX($O:$O,MATCH(TRUE,EXACT(F114,$A:$A),0)),"")</f>
        <v>114</v>
      </c>
      <c r="H114" s="38" t="s">
        <v>93</v>
      </c>
      <c r="I114" s="48" cm="1">
        <f t="array" ref="I114">IF($N114,INDEX($O:$O,MATCH(TRUE,EXACT(H114,$A:$A),0)),"")</f>
        <v>112</v>
      </c>
      <c r="J114" s="38" t="s">
        <v>95</v>
      </c>
      <c r="K114" s="52" cm="1">
        <f t="array" ref="K114">IF($N114,INDEX($O:$O,MATCH(TRUE,EXACT(J114,$A:$A),0)),"")</f>
        <v>114</v>
      </c>
      <c r="L114" s="23"/>
      <c r="M114" s="33"/>
      <c r="N114" s="18" t="b">
        <f t="shared" si="25"/>
        <v>1</v>
      </c>
      <c r="O114" s="19">
        <f>IF(N114, MAX(O$2:O113)+1,"")</f>
        <v>112</v>
      </c>
      <c r="P114" s="23" t="str">
        <f t="shared" si="24"/>
        <v>³</v>
      </c>
      <c r="Q114" s="8" t="str" cm="1">
        <f t="array" ref="Q114">CharToUTF8(A114)</f>
        <v>\xC2\xB3</v>
      </c>
      <c r="S114" s="18" t="str">
        <f>$AG$9</f>
        <v>ORTHO_LEFT</v>
      </c>
      <c r="T114" s="24" t="str">
        <f>$AG$9</f>
        <v>ORTHO_LEFT</v>
      </c>
      <c r="U114" s="24" t="str">
        <f>$AG$4</f>
        <v>ORTHO_BOTH</v>
      </c>
      <c r="V114" s="21" t="str">
        <f>$AG$4</f>
        <v>ORTHO_BOTH</v>
      </c>
      <c r="X114" s="31" t="b">
        <f t="shared" si="26"/>
        <v>0</v>
      </c>
      <c r="Y114" s="31" t="b">
        <f t="shared" si="27"/>
        <v>0</v>
      </c>
      <c r="Z114" t="b">
        <f t="shared" si="28"/>
        <v>1</v>
      </c>
      <c r="AA114" t="b">
        <f t="shared" si="29"/>
        <v>0</v>
      </c>
      <c r="AB114" t="b">
        <f>IF($N114,S114=VLOOKUP(S114,$AG$2:$AL$10,4,FALSE),"")</f>
        <v>0</v>
      </c>
      <c r="AC114" t="b">
        <f>IF($N114,T114=VLOOKUP(T114,$AG$2:$AL$10,4,FALSE),"")</f>
        <v>0</v>
      </c>
      <c r="AD114" t="b">
        <f>IF($N114,U114=VLOOKUP(U114,$AG$2:$AL$10,5,FALSE),"")</f>
        <v>1</v>
      </c>
      <c r="AE114" t="b">
        <f>IF($N114,V114=VLOOKUP(V114,$AG$2:$AL$10,5,FALSE),"")</f>
        <v>1</v>
      </c>
      <c r="AN114" s="55" t="str">
        <f t="shared" si="38"/>
        <v xml:space="preserve">    { wxString::FromUTF8("\xC2\xB3"), &amp;AllGlyphs[113], &amp;AllGlyphs[114], &amp;AllGlyphs[112], &amp;AllGlyphs[114], Connection::ORTHO_LEFT, Connection::ORTHO_LEFT, Connection::ORTHO_BOTH, Connection::ORTHO_BOTH, 0, 0, 1, 0 },</v>
      </c>
      <c r="AO114" s="56"/>
      <c r="AP114" s="56"/>
      <c r="AQ114" s="56"/>
      <c r="AR114" s="56"/>
      <c r="AS114" s="56"/>
      <c r="AT114" s="56"/>
      <c r="AU114" s="57"/>
      <c r="AW114" s="54" t="str">
        <f t="shared" si="30"/>
        <v>&amp;AllGlyphs[113]</v>
      </c>
      <c r="AX114" s="54" t="str">
        <f t="shared" si="31"/>
        <v>&amp;AllGlyphs[114]</v>
      </c>
      <c r="AY114" s="54" t="str">
        <f t="shared" si="32"/>
        <v>&amp;AllGlyphs[112]</v>
      </c>
      <c r="AZ114" s="54" t="str">
        <f t="shared" si="33"/>
        <v>&amp;AllGlyphs[114]</v>
      </c>
      <c r="BB114" s="64">
        <f t="shared" si="34"/>
        <v>0</v>
      </c>
      <c r="BC114" s="64">
        <f t="shared" si="35"/>
        <v>0</v>
      </c>
      <c r="BD114" s="64">
        <f t="shared" si="36"/>
        <v>1</v>
      </c>
      <c r="BE114" s="64">
        <f t="shared" si="37"/>
        <v>0</v>
      </c>
    </row>
    <row r="115" spans="1:57" x14ac:dyDescent="0.4">
      <c r="A115" s="7" t="s">
        <v>94</v>
      </c>
      <c r="B115" s="6" t="str">
        <f t="shared" si="23"/>
        <v>´</v>
      </c>
      <c r="C115" s="48" cm="1">
        <f t="array" ref="C115">IF($N115,INDEX($O:$O,MATCH(TRUE,EXACT(B115,$A:$A),0)),"")</f>
        <v>113</v>
      </c>
      <c r="D115" s="38" t="s">
        <v>95</v>
      </c>
      <c r="E115" s="48" cm="1">
        <f t="array" ref="E115">IF($N115,INDEX($O:$O,MATCH(TRUE,EXACT(D115,$A:$A),0)),"")</f>
        <v>114</v>
      </c>
      <c r="F115" s="38" t="s">
        <v>92</v>
      </c>
      <c r="G115" s="48" cm="1">
        <f t="array" ref="G115">IF($O115&lt;&gt;"",INDEX($O:$O,MATCH(TRUE,EXACT(F115,$A:$A),0)),"")</f>
        <v>111</v>
      </c>
      <c r="H115" s="38" t="s">
        <v>92</v>
      </c>
      <c r="I115" s="48" cm="1">
        <f t="array" ref="I115">IF($N115,INDEX($O:$O,MATCH(TRUE,EXACT(H115,$A:$A),0)),"")</f>
        <v>111</v>
      </c>
      <c r="J115" s="38" t="s">
        <v>94</v>
      </c>
      <c r="K115" s="52" cm="1">
        <f t="array" ref="K115">IF($N115,INDEX($O:$O,MATCH(TRUE,EXACT(J115,$A:$A),0)),"")</f>
        <v>113</v>
      </c>
      <c r="L115" s="23"/>
      <c r="M115" s="33"/>
      <c r="N115" s="18" t="b">
        <f t="shared" si="25"/>
        <v>1</v>
      </c>
      <c r="O115" s="19">
        <f>IF(N115, MAX(O$2:O114)+1,"")</f>
        <v>113</v>
      </c>
      <c r="P115" s="23" t="str">
        <f t="shared" si="24"/>
        <v>´</v>
      </c>
      <c r="Q115" s="8" t="str" cm="1">
        <f t="array" ref="Q115">CharToUTF8(A115)</f>
        <v>\xC2\xB4</v>
      </c>
      <c r="S115" s="18" t="str">
        <f>$AG$4</f>
        <v>ORTHO_BOTH</v>
      </c>
      <c r="T115" s="24" t="str">
        <f>$AG$4</f>
        <v>ORTHO_BOTH</v>
      </c>
      <c r="U115" s="24" t="str">
        <f>$AG$7</f>
        <v>ORTHO_UP</v>
      </c>
      <c r="V115" s="21" t="str">
        <f>$AG$7</f>
        <v>ORTHO_UP</v>
      </c>
      <c r="X115" s="31" t="b">
        <f t="shared" si="26"/>
        <v>0</v>
      </c>
      <c r="Y115" s="31" t="b">
        <f t="shared" si="27"/>
        <v>0</v>
      </c>
      <c r="Z115" t="b">
        <f t="shared" si="28"/>
        <v>0</v>
      </c>
      <c r="AA115" t="b">
        <f t="shared" si="29"/>
        <v>1</v>
      </c>
      <c r="AB115" t="b">
        <f>IF($N115,S115=VLOOKUP(S115,$AG$2:$AL$10,4,FALSE),"")</f>
        <v>1</v>
      </c>
      <c r="AC115" t="b">
        <f>IF($N115,T115=VLOOKUP(T115,$AG$2:$AL$10,4,FALSE),"")</f>
        <v>1</v>
      </c>
      <c r="AD115" t="b">
        <f>IF($N115,U115=VLOOKUP(U115,$AG$2:$AL$10,5,FALSE),"")</f>
        <v>0</v>
      </c>
      <c r="AE115" t="b">
        <f>IF($N115,V115=VLOOKUP(V115,$AG$2:$AL$10,5,FALSE),"")</f>
        <v>0</v>
      </c>
      <c r="AN115" s="55" t="str">
        <f t="shared" si="38"/>
        <v xml:space="preserve">    { wxString::FromUTF8("\xC2\xB4"), &amp;AllGlyphs[114], &amp;AllGlyphs[111], &amp;AllGlyphs[111], &amp;AllGlyphs[113], Connection::ORTHO_BOTH, Connection::ORTHO_BOTH, Connection::ORTHO_UP, Connection::ORTHO_UP, 0, 0, 0, 1 },</v>
      </c>
      <c r="AO115" s="56"/>
      <c r="AP115" s="56"/>
      <c r="AQ115" s="56"/>
      <c r="AR115" s="56"/>
      <c r="AS115" s="56"/>
      <c r="AT115" s="56"/>
      <c r="AU115" s="57"/>
      <c r="AW115" s="54" t="str">
        <f t="shared" si="30"/>
        <v>&amp;AllGlyphs[114]</v>
      </c>
      <c r="AX115" s="54" t="str">
        <f t="shared" si="31"/>
        <v>&amp;AllGlyphs[111]</v>
      </c>
      <c r="AY115" s="54" t="str">
        <f t="shared" si="32"/>
        <v>&amp;AllGlyphs[111]</v>
      </c>
      <c r="AZ115" s="54" t="str">
        <f t="shared" si="33"/>
        <v>&amp;AllGlyphs[113]</v>
      </c>
      <c r="BB115" s="64">
        <f t="shared" si="34"/>
        <v>0</v>
      </c>
      <c r="BC115" s="64">
        <f t="shared" si="35"/>
        <v>0</v>
      </c>
      <c r="BD115" s="64">
        <f t="shared" si="36"/>
        <v>0</v>
      </c>
      <c r="BE115" s="64">
        <f t="shared" si="37"/>
        <v>1</v>
      </c>
    </row>
    <row r="116" spans="1:57" x14ac:dyDescent="0.4">
      <c r="A116" s="7" t="s">
        <v>95</v>
      </c>
      <c r="B116" s="6" t="str">
        <f t="shared" si="23"/>
        <v>µ</v>
      </c>
      <c r="C116" s="48" cm="1">
        <f t="array" ref="C116">IF($N116,INDEX($O:$O,MATCH(TRUE,EXACT(B116,$A:$A),0)),"")</f>
        <v>114</v>
      </c>
      <c r="D116" s="38" t="s">
        <v>92</v>
      </c>
      <c r="E116" s="48" cm="1">
        <f t="array" ref="E116">IF($N116,INDEX($O:$O,MATCH(TRUE,EXACT(D116,$A:$A),0)),"")</f>
        <v>111</v>
      </c>
      <c r="F116" s="38" t="s">
        <v>93</v>
      </c>
      <c r="G116" s="48" cm="1">
        <f t="array" ref="G116">IF($O116&lt;&gt;"",INDEX($O:$O,MATCH(TRUE,EXACT(F116,$A:$A),0)),"")</f>
        <v>112</v>
      </c>
      <c r="H116" s="38" t="s">
        <v>95</v>
      </c>
      <c r="I116" s="48" cm="1">
        <f t="array" ref="I116">IF($N116,INDEX($O:$O,MATCH(TRUE,EXACT(H116,$A:$A),0)),"")</f>
        <v>114</v>
      </c>
      <c r="J116" s="38" t="s">
        <v>93</v>
      </c>
      <c r="K116" s="52" cm="1">
        <f t="array" ref="K116">IF($N116,INDEX($O:$O,MATCH(TRUE,EXACT(J116,$A:$A),0)),"")</f>
        <v>112</v>
      </c>
      <c r="L116" s="23"/>
      <c r="M116" s="33"/>
      <c r="N116" s="18" t="b">
        <f t="shared" si="25"/>
        <v>1</v>
      </c>
      <c r="O116" s="19">
        <f>IF(N116, MAX(O$2:O115)+1,"")</f>
        <v>114</v>
      </c>
      <c r="P116" s="23" t="str">
        <f t="shared" si="24"/>
        <v>µ</v>
      </c>
      <c r="Q116" s="8" t="str" cm="1">
        <f t="array" ref="Q116">CharToUTF8(A116)</f>
        <v>\xC2\xB5</v>
      </c>
      <c r="S116" s="18" t="str">
        <f>$AG$10</f>
        <v>ORTHO_RIGHT</v>
      </c>
      <c r="T116" s="24" t="str">
        <f>$AG$10</f>
        <v>ORTHO_RIGHT</v>
      </c>
      <c r="U116" s="24" t="str">
        <f>$AG$4</f>
        <v>ORTHO_BOTH</v>
      </c>
      <c r="V116" s="21" t="str">
        <f>$AG$4</f>
        <v>ORTHO_BOTH</v>
      </c>
      <c r="X116" s="31" t="b">
        <f t="shared" si="26"/>
        <v>0</v>
      </c>
      <c r="Y116" s="31" t="b">
        <f t="shared" si="27"/>
        <v>0</v>
      </c>
      <c r="Z116" t="b">
        <f t="shared" si="28"/>
        <v>1</v>
      </c>
      <c r="AA116" t="b">
        <f t="shared" si="29"/>
        <v>0</v>
      </c>
      <c r="AB116" t="b">
        <f>IF($N116,S116=VLOOKUP(S116,$AG$2:$AL$10,4,FALSE),"")</f>
        <v>0</v>
      </c>
      <c r="AC116" t="b">
        <f>IF($N116,T116=VLOOKUP(T116,$AG$2:$AL$10,4,FALSE),"")</f>
        <v>0</v>
      </c>
      <c r="AD116" t="b">
        <f>IF($N116,U116=VLOOKUP(U116,$AG$2:$AL$10,5,FALSE),"")</f>
        <v>1</v>
      </c>
      <c r="AE116" t="b">
        <f>IF($N116,V116=VLOOKUP(V116,$AG$2:$AL$10,5,FALSE),"")</f>
        <v>1</v>
      </c>
      <c r="AN116" s="55" t="str">
        <f t="shared" si="38"/>
        <v xml:space="preserve">    { wxString::FromUTF8("\xC2\xB5"), &amp;AllGlyphs[111], &amp;AllGlyphs[112], &amp;AllGlyphs[114], &amp;AllGlyphs[112], Connection::ORTHO_RIGHT, Connection::ORTHO_RIGHT, Connection::ORTHO_BOTH, Connection::ORTHO_BOTH, 0, 0, 1, 0 },</v>
      </c>
      <c r="AO116" s="56"/>
      <c r="AP116" s="56"/>
      <c r="AQ116" s="56"/>
      <c r="AR116" s="56"/>
      <c r="AS116" s="56"/>
      <c r="AT116" s="56"/>
      <c r="AU116" s="57"/>
      <c r="AW116" s="54" t="str">
        <f t="shared" si="30"/>
        <v>&amp;AllGlyphs[111]</v>
      </c>
      <c r="AX116" s="54" t="str">
        <f t="shared" si="31"/>
        <v>&amp;AllGlyphs[112]</v>
      </c>
      <c r="AY116" s="54" t="str">
        <f t="shared" si="32"/>
        <v>&amp;AllGlyphs[114]</v>
      </c>
      <c r="AZ116" s="54" t="str">
        <f t="shared" si="33"/>
        <v>&amp;AllGlyphs[112]</v>
      </c>
      <c r="BB116" s="64">
        <f t="shared" si="34"/>
        <v>0</v>
      </c>
      <c r="BC116" s="64">
        <f t="shared" si="35"/>
        <v>0</v>
      </c>
      <c r="BD116" s="64">
        <f t="shared" si="36"/>
        <v>1</v>
      </c>
      <c r="BE116" s="64">
        <f t="shared" si="37"/>
        <v>0</v>
      </c>
    </row>
    <row r="117" spans="1:57" x14ac:dyDescent="0.4">
      <c r="A117" s="7" t="s">
        <v>96</v>
      </c>
      <c r="B117" s="6" t="str">
        <f t="shared" si="23"/>
        <v>¶</v>
      </c>
      <c r="C117" s="48" cm="1">
        <f t="array" ref="C117">IF($N117,INDEX($O:$O,MATCH(TRUE,EXACT(B117,$A:$A),0)),"")</f>
        <v>115</v>
      </c>
      <c r="D117" s="38" t="s">
        <v>97</v>
      </c>
      <c r="E117" s="48" cm="1">
        <f t="array" ref="E117">IF($N117,INDEX($O:$O,MATCH(TRUE,EXACT(D117,$A:$A),0)),"")</f>
        <v>116</v>
      </c>
      <c r="F117" s="38" t="s">
        <v>98</v>
      </c>
      <c r="G117" s="48" cm="1">
        <f t="array" ref="G117">IF($O117&lt;&gt;"",INDEX($O:$O,MATCH(TRUE,EXACT(F117,$A:$A),0)),"")</f>
        <v>117</v>
      </c>
      <c r="H117" s="38" t="s">
        <v>97</v>
      </c>
      <c r="I117" s="48" cm="1">
        <f t="array" ref="I117">IF($N117,INDEX($O:$O,MATCH(TRUE,EXACT(H117,$A:$A),0)),"")</f>
        <v>116</v>
      </c>
      <c r="J117" s="38" t="s">
        <v>99</v>
      </c>
      <c r="K117" s="52" cm="1">
        <f t="array" ref="K117">IF($N117,INDEX($O:$O,MATCH(TRUE,EXACT(J117,$A:$A),0)),"")</f>
        <v>118</v>
      </c>
      <c r="L117" s="23"/>
      <c r="M117" s="33"/>
      <c r="N117" s="18" t="b">
        <f t="shared" si="25"/>
        <v>1</v>
      </c>
      <c r="O117" s="19">
        <f>IF(N117, MAX(O$2:O116)+1,"")</f>
        <v>115</v>
      </c>
      <c r="P117" s="23" t="str">
        <f t="shared" si="24"/>
        <v>¶</v>
      </c>
      <c r="Q117" s="8" t="str" cm="1">
        <f t="array" ref="Q117">CharToUTF8(A117)</f>
        <v>\xC2\xB6</v>
      </c>
      <c r="S117" s="18" t="str">
        <f>$AG$9</f>
        <v>ORTHO_LEFT</v>
      </c>
      <c r="T117" s="24" t="str">
        <f>$AG$9</f>
        <v>ORTHO_LEFT</v>
      </c>
      <c r="U117" s="24" t="str">
        <f>$AG$8</f>
        <v>ORTHO_DOWN</v>
      </c>
      <c r="V117" s="21" t="str">
        <f>$AG$8</f>
        <v>ORTHO_DOWN</v>
      </c>
      <c r="X117" s="31" t="b">
        <f t="shared" si="26"/>
        <v>0</v>
      </c>
      <c r="Y117" s="31" t="b">
        <f t="shared" si="27"/>
        <v>0</v>
      </c>
      <c r="Z117" t="b">
        <f t="shared" si="28"/>
        <v>0</v>
      </c>
      <c r="AA117" t="b">
        <f t="shared" si="29"/>
        <v>0</v>
      </c>
      <c r="AB117" t="b">
        <f>IF($N117,S117=VLOOKUP(S117,$AG$2:$AL$10,4,FALSE),"")</f>
        <v>0</v>
      </c>
      <c r="AC117" t="b">
        <f>IF($N117,T117=VLOOKUP(T117,$AG$2:$AL$10,4,FALSE),"")</f>
        <v>0</v>
      </c>
      <c r="AD117" t="b">
        <f>IF($N117,U117=VLOOKUP(U117,$AG$2:$AL$10,5,FALSE),"")</f>
        <v>0</v>
      </c>
      <c r="AE117" t="b">
        <f>IF($N117,V117=VLOOKUP(V117,$AG$2:$AL$10,5,FALSE),"")</f>
        <v>0</v>
      </c>
      <c r="AN117" s="55" t="str">
        <f t="shared" si="38"/>
        <v xml:space="preserve">    { wxString::FromUTF8("\xC2\xB6"), &amp;AllGlyphs[116], &amp;AllGlyphs[117], &amp;AllGlyphs[116], &amp;AllGlyphs[118], Connection::ORTHO_LEFT, Connection::ORTHO_LEFT, Connection::ORTHO_DOWN, Connection::ORTHO_DOWN, 0, 0, 0, 0 },</v>
      </c>
      <c r="AO117" s="56"/>
      <c r="AP117" s="56"/>
      <c r="AQ117" s="56"/>
      <c r="AR117" s="56"/>
      <c r="AS117" s="56"/>
      <c r="AT117" s="56"/>
      <c r="AU117" s="57"/>
      <c r="AW117" s="54" t="str">
        <f t="shared" si="30"/>
        <v>&amp;AllGlyphs[116]</v>
      </c>
      <c r="AX117" s="54" t="str">
        <f t="shared" si="31"/>
        <v>&amp;AllGlyphs[117]</v>
      </c>
      <c r="AY117" s="54" t="str">
        <f t="shared" si="32"/>
        <v>&amp;AllGlyphs[116]</v>
      </c>
      <c r="AZ117" s="54" t="str">
        <f t="shared" si="33"/>
        <v>&amp;AllGlyphs[118]</v>
      </c>
      <c r="BB117" s="64">
        <f t="shared" si="34"/>
        <v>0</v>
      </c>
      <c r="BC117" s="64">
        <f t="shared" si="35"/>
        <v>0</v>
      </c>
      <c r="BD117" s="64">
        <f t="shared" si="36"/>
        <v>0</v>
      </c>
      <c r="BE117" s="64">
        <f t="shared" si="37"/>
        <v>0</v>
      </c>
    </row>
    <row r="118" spans="1:57" x14ac:dyDescent="0.4">
      <c r="A118" s="7" t="s">
        <v>97</v>
      </c>
      <c r="B118" s="6" t="str">
        <f t="shared" si="23"/>
        <v>¸</v>
      </c>
      <c r="C118" s="48" cm="1">
        <f t="array" ref="C118">IF($N118,INDEX($O:$O,MATCH(TRUE,EXACT(B118,$A:$A),0)),"")</f>
        <v>116</v>
      </c>
      <c r="D118" s="38" t="s">
        <v>98</v>
      </c>
      <c r="E118" s="48" cm="1">
        <f t="array" ref="E118">IF($N118,INDEX($O:$O,MATCH(TRUE,EXACT(D118,$A:$A),0)),"")</f>
        <v>117</v>
      </c>
      <c r="F118" s="38" t="s">
        <v>99</v>
      </c>
      <c r="G118" s="48" cm="1">
        <f t="array" ref="G118">IF($O118&lt;&gt;"",INDEX($O:$O,MATCH(TRUE,EXACT(F118,$A:$A),0)),"")</f>
        <v>118</v>
      </c>
      <c r="H118" s="38" t="s">
        <v>96</v>
      </c>
      <c r="I118" s="48" cm="1">
        <f t="array" ref="I118">IF($N118,INDEX($O:$O,MATCH(TRUE,EXACT(H118,$A:$A),0)),"")</f>
        <v>115</v>
      </c>
      <c r="J118" s="38" t="s">
        <v>98</v>
      </c>
      <c r="K118" s="52" cm="1">
        <f t="array" ref="K118">IF($N118,INDEX($O:$O,MATCH(TRUE,EXACT(J118,$A:$A),0)),"")</f>
        <v>117</v>
      </c>
      <c r="L118" s="23"/>
      <c r="M118" s="33"/>
      <c r="N118" s="18" t="b">
        <f t="shared" si="25"/>
        <v>1</v>
      </c>
      <c r="O118" s="19">
        <f>IF(N118, MAX(O$2:O117)+1,"")</f>
        <v>116</v>
      </c>
      <c r="P118" s="23" t="str">
        <f t="shared" si="24"/>
        <v>¸</v>
      </c>
      <c r="Q118" s="8" t="str" cm="1">
        <f t="array" ref="Q118">CharToUTF8(A118)</f>
        <v>\xC2\xB8</v>
      </c>
      <c r="S118" s="18" t="str">
        <f>$AG$9</f>
        <v>ORTHO_LEFT</v>
      </c>
      <c r="T118" s="24" t="str">
        <f>$AG$9</f>
        <v>ORTHO_LEFT</v>
      </c>
      <c r="U118" s="24" t="str">
        <f>$AG$7</f>
        <v>ORTHO_UP</v>
      </c>
      <c r="V118" s="21" t="str">
        <f>$AG$7</f>
        <v>ORTHO_UP</v>
      </c>
      <c r="X118" s="31" t="b">
        <f t="shared" si="26"/>
        <v>0</v>
      </c>
      <c r="Y118" s="31" t="b">
        <f t="shared" si="27"/>
        <v>0</v>
      </c>
      <c r="Z118" t="b">
        <f t="shared" si="28"/>
        <v>0</v>
      </c>
      <c r="AA118" t="b">
        <f t="shared" si="29"/>
        <v>0</v>
      </c>
      <c r="AB118" t="b">
        <f>IF($N118,S118=VLOOKUP(S118,$AG$2:$AL$10,4,FALSE),"")</f>
        <v>0</v>
      </c>
      <c r="AC118" t="b">
        <f>IF($N118,T118=VLOOKUP(T118,$AG$2:$AL$10,4,FALSE),"")</f>
        <v>0</v>
      </c>
      <c r="AD118" t="b">
        <f>IF($N118,U118=VLOOKUP(U118,$AG$2:$AL$10,5,FALSE),"")</f>
        <v>0</v>
      </c>
      <c r="AE118" t="b">
        <f>IF($N118,V118=VLOOKUP(V118,$AG$2:$AL$10,5,FALSE),"")</f>
        <v>0</v>
      </c>
      <c r="AN118" s="55" t="str">
        <f t="shared" si="38"/>
        <v xml:space="preserve">    { wxString::FromUTF8("\xC2\xB8"), &amp;AllGlyphs[117], &amp;AllGlyphs[118], &amp;AllGlyphs[115], &amp;AllGlyphs[117], Connection::ORTHO_LEFT, Connection::ORTHO_LEFT, Connection::ORTHO_UP, Connection::ORTHO_UP, 0, 0, 0, 0 },</v>
      </c>
      <c r="AO118" s="56"/>
      <c r="AP118" s="56"/>
      <c r="AQ118" s="56"/>
      <c r="AR118" s="56"/>
      <c r="AS118" s="56"/>
      <c r="AT118" s="56"/>
      <c r="AU118" s="57"/>
      <c r="AW118" s="54" t="str">
        <f t="shared" si="30"/>
        <v>&amp;AllGlyphs[117]</v>
      </c>
      <c r="AX118" s="54" t="str">
        <f t="shared" si="31"/>
        <v>&amp;AllGlyphs[118]</v>
      </c>
      <c r="AY118" s="54" t="str">
        <f t="shared" si="32"/>
        <v>&amp;AllGlyphs[115]</v>
      </c>
      <c r="AZ118" s="54" t="str">
        <f t="shared" si="33"/>
        <v>&amp;AllGlyphs[117]</v>
      </c>
      <c r="BB118" s="64">
        <f t="shared" si="34"/>
        <v>0</v>
      </c>
      <c r="BC118" s="64">
        <f t="shared" si="35"/>
        <v>0</v>
      </c>
      <c r="BD118" s="64">
        <f t="shared" si="36"/>
        <v>0</v>
      </c>
      <c r="BE118" s="64">
        <f t="shared" si="37"/>
        <v>0</v>
      </c>
    </row>
    <row r="119" spans="1:57" x14ac:dyDescent="0.4">
      <c r="A119" s="7" t="s">
        <v>98</v>
      </c>
      <c r="B119" s="6" t="str">
        <f t="shared" si="23"/>
        <v>¹</v>
      </c>
      <c r="C119" s="48" cm="1">
        <f t="array" ref="C119">IF($N119,INDEX($O:$O,MATCH(TRUE,EXACT(B119,$A:$A),0)),"")</f>
        <v>117</v>
      </c>
      <c r="D119" s="38" t="s">
        <v>99</v>
      </c>
      <c r="E119" s="48" cm="1">
        <f t="array" ref="E119">IF($N119,INDEX($O:$O,MATCH(TRUE,EXACT(D119,$A:$A),0)),"")</f>
        <v>118</v>
      </c>
      <c r="F119" s="38" t="s">
        <v>96</v>
      </c>
      <c r="G119" s="48" cm="1">
        <f t="array" ref="G119">IF($O119&lt;&gt;"",INDEX($O:$O,MATCH(TRUE,EXACT(F119,$A:$A),0)),"")</f>
        <v>115</v>
      </c>
      <c r="H119" s="38" t="s">
        <v>99</v>
      </c>
      <c r="I119" s="48" cm="1">
        <f t="array" ref="I119">IF($N119,INDEX($O:$O,MATCH(TRUE,EXACT(H119,$A:$A),0)),"")</f>
        <v>118</v>
      </c>
      <c r="J119" s="38" t="s">
        <v>97</v>
      </c>
      <c r="K119" s="52" cm="1">
        <f t="array" ref="K119">IF($N119,INDEX($O:$O,MATCH(TRUE,EXACT(J119,$A:$A),0)),"")</f>
        <v>116</v>
      </c>
      <c r="L119" s="23"/>
      <c r="M119" s="33"/>
      <c r="N119" s="18" t="b">
        <f t="shared" si="25"/>
        <v>1</v>
      </c>
      <c r="O119" s="19">
        <f>IF(N119, MAX(O$2:O118)+1,"")</f>
        <v>117</v>
      </c>
      <c r="P119" s="23" t="str">
        <f t="shared" si="24"/>
        <v>¹</v>
      </c>
      <c r="Q119" s="8" t="str" cm="1">
        <f t="array" ref="Q119">CharToUTF8(A119)</f>
        <v>\xC2\xB9</v>
      </c>
      <c r="S119" s="18" t="str">
        <f t="shared" ref="S119:T121" si="41">$AG$10</f>
        <v>ORTHO_RIGHT</v>
      </c>
      <c r="T119" s="24" t="str">
        <f t="shared" si="41"/>
        <v>ORTHO_RIGHT</v>
      </c>
      <c r="U119" s="24" t="str">
        <f>$AG$7</f>
        <v>ORTHO_UP</v>
      </c>
      <c r="V119" s="21" t="str">
        <f>$AG$7</f>
        <v>ORTHO_UP</v>
      </c>
      <c r="X119" s="31" t="b">
        <f t="shared" si="26"/>
        <v>0</v>
      </c>
      <c r="Y119" s="31" t="b">
        <f t="shared" si="27"/>
        <v>0</v>
      </c>
      <c r="Z119" t="b">
        <f t="shared" si="28"/>
        <v>0</v>
      </c>
      <c r="AA119" t="b">
        <f t="shared" si="29"/>
        <v>0</v>
      </c>
      <c r="AB119" t="b">
        <f>IF($N119,S119=VLOOKUP(S119,$AG$2:$AL$10,4,FALSE),"")</f>
        <v>0</v>
      </c>
      <c r="AC119" t="b">
        <f>IF($N119,T119=VLOOKUP(T119,$AG$2:$AL$10,4,FALSE),"")</f>
        <v>0</v>
      </c>
      <c r="AD119" t="b">
        <f>IF($N119,U119=VLOOKUP(U119,$AG$2:$AL$10,5,FALSE),"")</f>
        <v>0</v>
      </c>
      <c r="AE119" t="b">
        <f>IF($N119,V119=VLOOKUP(V119,$AG$2:$AL$10,5,FALSE),"")</f>
        <v>0</v>
      </c>
      <c r="AN119" s="55" t="str">
        <f t="shared" si="38"/>
        <v xml:space="preserve">    { wxString::FromUTF8("\xC2\xB9"), &amp;AllGlyphs[118], &amp;AllGlyphs[115], &amp;AllGlyphs[118], &amp;AllGlyphs[116], Connection::ORTHO_RIGHT, Connection::ORTHO_RIGHT, Connection::ORTHO_UP, Connection::ORTHO_UP, 0, 0, 0, 0 },</v>
      </c>
      <c r="AO119" s="56"/>
      <c r="AP119" s="56"/>
      <c r="AQ119" s="56"/>
      <c r="AR119" s="56"/>
      <c r="AS119" s="56"/>
      <c r="AT119" s="56"/>
      <c r="AU119" s="57"/>
      <c r="AW119" s="54" t="str">
        <f t="shared" si="30"/>
        <v>&amp;AllGlyphs[118]</v>
      </c>
      <c r="AX119" s="54" t="str">
        <f t="shared" si="31"/>
        <v>&amp;AllGlyphs[115]</v>
      </c>
      <c r="AY119" s="54" t="str">
        <f t="shared" si="32"/>
        <v>&amp;AllGlyphs[118]</v>
      </c>
      <c r="AZ119" s="54" t="str">
        <f t="shared" si="33"/>
        <v>&amp;AllGlyphs[116]</v>
      </c>
      <c r="BB119" s="64">
        <f t="shared" si="34"/>
        <v>0</v>
      </c>
      <c r="BC119" s="64">
        <f t="shared" si="35"/>
        <v>0</v>
      </c>
      <c r="BD119" s="64">
        <f t="shared" si="36"/>
        <v>0</v>
      </c>
      <c r="BE119" s="64">
        <f t="shared" si="37"/>
        <v>0</v>
      </c>
    </row>
    <row r="120" spans="1:57" x14ac:dyDescent="0.4">
      <c r="A120" s="7" t="s">
        <v>99</v>
      </c>
      <c r="B120" s="6" t="str">
        <f t="shared" si="23"/>
        <v>º</v>
      </c>
      <c r="C120" s="48" cm="1">
        <f t="array" ref="C120">IF($N120,INDEX($O:$O,MATCH(TRUE,EXACT(B120,$A:$A),0)),"")</f>
        <v>118</v>
      </c>
      <c r="D120" s="38" t="s">
        <v>96</v>
      </c>
      <c r="E120" s="48" cm="1">
        <f t="array" ref="E120">IF($N120,INDEX($O:$O,MATCH(TRUE,EXACT(D120,$A:$A),0)),"")</f>
        <v>115</v>
      </c>
      <c r="F120" s="38" t="s">
        <v>97</v>
      </c>
      <c r="G120" s="48" cm="1">
        <f t="array" ref="G120">IF($O120&lt;&gt;"",INDEX($O:$O,MATCH(TRUE,EXACT(F120,$A:$A),0)),"")</f>
        <v>116</v>
      </c>
      <c r="H120" s="38" t="s">
        <v>98</v>
      </c>
      <c r="I120" s="48" cm="1">
        <f t="array" ref="I120">IF($N120,INDEX($O:$O,MATCH(TRUE,EXACT(H120,$A:$A),0)),"")</f>
        <v>117</v>
      </c>
      <c r="J120" s="38" t="s">
        <v>96</v>
      </c>
      <c r="K120" s="52" cm="1">
        <f t="array" ref="K120">IF($N120,INDEX($O:$O,MATCH(TRUE,EXACT(J120,$A:$A),0)),"")</f>
        <v>115</v>
      </c>
      <c r="L120" s="23"/>
      <c r="M120" s="33"/>
      <c r="N120" s="18" t="b">
        <f t="shared" si="25"/>
        <v>1</v>
      </c>
      <c r="O120" s="19">
        <f>IF(N120, MAX(O$2:O119)+1,"")</f>
        <v>118</v>
      </c>
      <c r="P120" s="23" t="str">
        <f t="shared" si="24"/>
        <v>º</v>
      </c>
      <c r="Q120" s="8" t="str" cm="1">
        <f t="array" ref="Q120">CharToUTF8(A120)</f>
        <v>\xC2\xBA</v>
      </c>
      <c r="S120" s="18" t="str">
        <f t="shared" si="41"/>
        <v>ORTHO_RIGHT</v>
      </c>
      <c r="T120" s="24" t="str">
        <f t="shared" si="41"/>
        <v>ORTHO_RIGHT</v>
      </c>
      <c r="U120" s="24" t="str">
        <f>$AG$8</f>
        <v>ORTHO_DOWN</v>
      </c>
      <c r="V120" s="21" t="str">
        <f>$AG$8</f>
        <v>ORTHO_DOWN</v>
      </c>
      <c r="X120" s="31" t="b">
        <f t="shared" si="26"/>
        <v>0</v>
      </c>
      <c r="Y120" s="31" t="b">
        <f t="shared" si="27"/>
        <v>0</v>
      </c>
      <c r="Z120" t="b">
        <f t="shared" si="28"/>
        <v>0</v>
      </c>
      <c r="AA120" t="b">
        <f t="shared" si="29"/>
        <v>0</v>
      </c>
      <c r="AB120" t="b">
        <f>IF($N120,S120=VLOOKUP(S120,$AG$2:$AL$10,4,FALSE),"")</f>
        <v>0</v>
      </c>
      <c r="AC120" t="b">
        <f>IF($N120,T120=VLOOKUP(T120,$AG$2:$AL$10,4,FALSE),"")</f>
        <v>0</v>
      </c>
      <c r="AD120" t="b">
        <f>IF($N120,U120=VLOOKUP(U120,$AG$2:$AL$10,5,FALSE),"")</f>
        <v>0</v>
      </c>
      <c r="AE120" t="b">
        <f>IF($N120,V120=VLOOKUP(V120,$AG$2:$AL$10,5,FALSE),"")</f>
        <v>0</v>
      </c>
      <c r="AN120" s="55" t="str">
        <f t="shared" si="38"/>
        <v xml:space="preserve">    { wxString::FromUTF8("\xC2\xBA"), &amp;AllGlyphs[115], &amp;AllGlyphs[116], &amp;AllGlyphs[117], &amp;AllGlyphs[115], Connection::ORTHO_RIGHT, Connection::ORTHO_RIGHT, Connection::ORTHO_DOWN, Connection::ORTHO_DOWN, 0, 0, 0, 0 },</v>
      </c>
      <c r="AO120" s="56"/>
      <c r="AP120" s="56"/>
      <c r="AQ120" s="56"/>
      <c r="AR120" s="56"/>
      <c r="AS120" s="56"/>
      <c r="AT120" s="56"/>
      <c r="AU120" s="57"/>
      <c r="AW120" s="54" t="str">
        <f t="shared" si="30"/>
        <v>&amp;AllGlyphs[115]</v>
      </c>
      <c r="AX120" s="54" t="str">
        <f t="shared" si="31"/>
        <v>&amp;AllGlyphs[116]</v>
      </c>
      <c r="AY120" s="54" t="str">
        <f t="shared" si="32"/>
        <v>&amp;AllGlyphs[117]</v>
      </c>
      <c r="AZ120" s="54" t="str">
        <f t="shared" si="33"/>
        <v>&amp;AllGlyphs[115]</v>
      </c>
      <c r="BB120" s="64">
        <f t="shared" si="34"/>
        <v>0</v>
      </c>
      <c r="BC120" s="64">
        <f t="shared" si="35"/>
        <v>0</v>
      </c>
      <c r="BD120" s="64">
        <f t="shared" si="36"/>
        <v>0</v>
      </c>
      <c r="BE120" s="64">
        <f t="shared" si="37"/>
        <v>0</v>
      </c>
    </row>
    <row r="121" spans="1:57" x14ac:dyDescent="0.4">
      <c r="A121" s="7" t="s">
        <v>100</v>
      </c>
      <c r="B121" s="6" t="str">
        <f t="shared" si="23"/>
        <v>»</v>
      </c>
      <c r="C121" s="48" cm="1">
        <f t="array" ref="C121">IF($N121,INDEX($O:$O,MATCH(TRUE,EXACT(B121,$A:$A),0)),"")</f>
        <v>119</v>
      </c>
      <c r="D121" s="38" t="s">
        <v>103</v>
      </c>
      <c r="E121" s="48" cm="1">
        <f t="array" ref="E121">IF($N121,INDEX($O:$O,MATCH(TRUE,EXACT(D121,$A:$A),0)),"")</f>
        <v>122</v>
      </c>
      <c r="F121" s="38" t="s">
        <v>101</v>
      </c>
      <c r="G121" s="48" cm="1">
        <f t="array" ref="G121">IF($O121&lt;&gt;"",INDEX($O:$O,MATCH(TRUE,EXACT(F121,$A:$A),0)),"")</f>
        <v>120</v>
      </c>
      <c r="H121" s="38" t="s">
        <v>100</v>
      </c>
      <c r="I121" s="48" cm="1">
        <f t="array" ref="I121">IF($N121,INDEX($O:$O,MATCH(TRUE,EXACT(H121,$A:$A),0)),"")</f>
        <v>119</v>
      </c>
      <c r="J121" s="38" t="s">
        <v>101</v>
      </c>
      <c r="K121" s="52" cm="1">
        <f t="array" ref="K121">IF($N121,INDEX($O:$O,MATCH(TRUE,EXACT(J121,$A:$A),0)),"")</f>
        <v>120</v>
      </c>
      <c r="L121" s="23"/>
      <c r="M121" s="33"/>
      <c r="N121" s="18" t="b">
        <f t="shared" si="25"/>
        <v>1</v>
      </c>
      <c r="O121" s="19">
        <f>IF(N121, MAX(O$2:O120)+1,"")</f>
        <v>119</v>
      </c>
      <c r="P121" s="23" t="str">
        <f t="shared" si="24"/>
        <v>»</v>
      </c>
      <c r="Q121" s="8" t="str" cm="1">
        <f t="array" ref="Q121">CharToUTF8(A121)</f>
        <v>\xC2\xBB</v>
      </c>
      <c r="S121" s="18" t="str">
        <f t="shared" si="41"/>
        <v>ORTHO_RIGHT</v>
      </c>
      <c r="T121" s="24" t="str">
        <f t="shared" si="41"/>
        <v>ORTHO_RIGHT</v>
      </c>
      <c r="U121" s="24" t="str">
        <f>$AG$2</f>
        <v>EMPTY</v>
      </c>
      <c r="V121" s="21" t="str">
        <f>$AG$3</f>
        <v>DIAG_BOTH</v>
      </c>
      <c r="X121" s="31" t="b">
        <f t="shared" si="26"/>
        <v>0</v>
      </c>
      <c r="Y121" s="31" t="b">
        <f t="shared" si="27"/>
        <v>0</v>
      </c>
      <c r="Z121" t="b">
        <f t="shared" si="28"/>
        <v>1</v>
      </c>
      <c r="AA121" t="b">
        <f t="shared" si="29"/>
        <v>0</v>
      </c>
      <c r="AB121" t="b">
        <f>IF($N121,S121=VLOOKUP(S121,$AG$2:$AL$10,4,FALSE),"")</f>
        <v>0</v>
      </c>
      <c r="AC121" t="b">
        <f>IF($N121,T121=VLOOKUP(T121,$AG$2:$AL$10,4,FALSE),"")</f>
        <v>0</v>
      </c>
      <c r="AD121" t="b">
        <f>IF($N121,U121=VLOOKUP(U121,$AG$2:$AL$10,5,FALSE),"")</f>
        <v>1</v>
      </c>
      <c r="AE121" t="b">
        <f>IF($N121,V121=VLOOKUP(V121,$AG$2:$AL$10,5,FALSE),"")</f>
        <v>1</v>
      </c>
      <c r="AN121" s="55" t="str">
        <f t="shared" si="38"/>
        <v xml:space="preserve">    { wxString::FromUTF8("\xC2\xBB"), &amp;AllGlyphs[122], &amp;AllGlyphs[120], &amp;AllGlyphs[119], &amp;AllGlyphs[120], Connection::ORTHO_RIGHT, Connection::ORTHO_RIGHT, Connection::EMPTY, Connection::DIAG_BOTH, 0, 0, 1, 0 },</v>
      </c>
      <c r="AO121" s="56"/>
      <c r="AP121" s="56"/>
      <c r="AQ121" s="56"/>
      <c r="AR121" s="56"/>
      <c r="AS121" s="56"/>
      <c r="AT121" s="56"/>
      <c r="AU121" s="57"/>
      <c r="AW121" s="54" t="str">
        <f t="shared" si="30"/>
        <v>&amp;AllGlyphs[122]</v>
      </c>
      <c r="AX121" s="54" t="str">
        <f t="shared" si="31"/>
        <v>&amp;AllGlyphs[120]</v>
      </c>
      <c r="AY121" s="54" t="str">
        <f t="shared" si="32"/>
        <v>&amp;AllGlyphs[119]</v>
      </c>
      <c r="AZ121" s="54" t="str">
        <f t="shared" si="33"/>
        <v>&amp;AllGlyphs[120]</v>
      </c>
      <c r="BB121" s="64">
        <f t="shared" si="34"/>
        <v>0</v>
      </c>
      <c r="BC121" s="64">
        <f t="shared" si="35"/>
        <v>0</v>
      </c>
      <c r="BD121" s="64">
        <f t="shared" si="36"/>
        <v>1</v>
      </c>
      <c r="BE121" s="64">
        <f t="shared" si="37"/>
        <v>0</v>
      </c>
    </row>
    <row r="122" spans="1:57" x14ac:dyDescent="0.4">
      <c r="A122" s="7" t="s">
        <v>101</v>
      </c>
      <c r="B122" s="6" t="str">
        <f t="shared" si="23"/>
        <v>¼</v>
      </c>
      <c r="C122" s="48" cm="1">
        <f t="array" ref="C122">IF($N122,INDEX($O:$O,MATCH(TRUE,EXACT(B122,$A:$A),0)),"")</f>
        <v>120</v>
      </c>
      <c r="D122" s="38" t="s">
        <v>102</v>
      </c>
      <c r="E122" s="48" cm="1">
        <f t="array" ref="E122">IF($N122,INDEX($O:$O,MATCH(TRUE,EXACT(D122,$A:$A),0)),"")</f>
        <v>121</v>
      </c>
      <c r="F122" s="38" t="s">
        <v>100</v>
      </c>
      <c r="G122" s="48" cm="1">
        <f t="array" ref="G122">IF($O122&lt;&gt;"",INDEX($O:$O,MATCH(TRUE,EXACT(F122,$A:$A),0)),"")</f>
        <v>119</v>
      </c>
      <c r="H122" s="38" t="s">
        <v>101</v>
      </c>
      <c r="I122" s="48" cm="1">
        <f t="array" ref="I122">IF($N122,INDEX($O:$O,MATCH(TRUE,EXACT(H122,$A:$A),0)),"")</f>
        <v>120</v>
      </c>
      <c r="J122" s="38" t="s">
        <v>100</v>
      </c>
      <c r="K122" s="52" cm="1">
        <f t="array" ref="K122">IF($N122,INDEX($O:$O,MATCH(TRUE,EXACT(J122,$A:$A),0)),"")</f>
        <v>119</v>
      </c>
      <c r="L122" s="23"/>
      <c r="M122" s="33"/>
      <c r="N122" s="18" t="b">
        <f t="shared" si="25"/>
        <v>1</v>
      </c>
      <c r="O122" s="19">
        <f>IF(N122, MAX(O$2:O121)+1,"")</f>
        <v>120</v>
      </c>
      <c r="P122" s="23" t="str">
        <f t="shared" si="24"/>
        <v>¼</v>
      </c>
      <c r="Q122" s="8" t="str" cm="1">
        <f t="array" ref="Q122">CharToUTF8(A122)</f>
        <v>\xC2\xBC</v>
      </c>
      <c r="S122" s="18" t="str">
        <f>$AG$9</f>
        <v>ORTHO_LEFT</v>
      </c>
      <c r="T122" s="24" t="str">
        <f>$AG$9</f>
        <v>ORTHO_LEFT</v>
      </c>
      <c r="U122" s="24" t="str">
        <f>$AG$3</f>
        <v>DIAG_BOTH</v>
      </c>
      <c r="V122" s="21" t="str">
        <f>$AG$2</f>
        <v>EMPTY</v>
      </c>
      <c r="X122" s="31" t="b">
        <f t="shared" si="26"/>
        <v>0</v>
      </c>
      <c r="Y122" s="31" t="b">
        <f t="shared" si="27"/>
        <v>0</v>
      </c>
      <c r="Z122" t="b">
        <f t="shared" si="28"/>
        <v>1</v>
      </c>
      <c r="AA122" t="b">
        <f t="shared" si="29"/>
        <v>0</v>
      </c>
      <c r="AB122" t="b">
        <f>IF($N122,S122=VLOOKUP(S122,$AG$2:$AL$10,4,FALSE),"")</f>
        <v>0</v>
      </c>
      <c r="AC122" t="b">
        <f>IF($N122,T122=VLOOKUP(T122,$AG$2:$AL$10,4,FALSE),"")</f>
        <v>0</v>
      </c>
      <c r="AD122" t="b">
        <f>IF($N122,U122=VLOOKUP(U122,$AG$2:$AL$10,5,FALSE),"")</f>
        <v>1</v>
      </c>
      <c r="AE122" t="b">
        <f>IF($N122,V122=VLOOKUP(V122,$AG$2:$AL$10,5,FALSE),"")</f>
        <v>1</v>
      </c>
      <c r="AN122" s="55" t="str">
        <f t="shared" si="38"/>
        <v xml:space="preserve">    { wxString::FromUTF8("\xC2\xBC"), &amp;AllGlyphs[121], &amp;AllGlyphs[119], &amp;AllGlyphs[120], &amp;AllGlyphs[119], Connection::ORTHO_LEFT, Connection::ORTHO_LEFT, Connection::DIAG_BOTH, Connection::EMPTY, 0, 0, 1, 0 },</v>
      </c>
      <c r="AO122" s="56"/>
      <c r="AP122" s="56"/>
      <c r="AQ122" s="56"/>
      <c r="AR122" s="56"/>
      <c r="AS122" s="56"/>
      <c r="AT122" s="56"/>
      <c r="AU122" s="57"/>
      <c r="AW122" s="54" t="str">
        <f t="shared" si="30"/>
        <v>&amp;AllGlyphs[121]</v>
      </c>
      <c r="AX122" s="54" t="str">
        <f t="shared" si="31"/>
        <v>&amp;AllGlyphs[119]</v>
      </c>
      <c r="AY122" s="54" t="str">
        <f t="shared" si="32"/>
        <v>&amp;AllGlyphs[120]</v>
      </c>
      <c r="AZ122" s="54" t="str">
        <f t="shared" si="33"/>
        <v>&amp;AllGlyphs[119]</v>
      </c>
      <c r="BB122" s="64">
        <f t="shared" si="34"/>
        <v>0</v>
      </c>
      <c r="BC122" s="64">
        <f t="shared" si="35"/>
        <v>0</v>
      </c>
      <c r="BD122" s="64">
        <f t="shared" si="36"/>
        <v>1</v>
      </c>
      <c r="BE122" s="64">
        <f t="shared" si="37"/>
        <v>0</v>
      </c>
    </row>
    <row r="123" spans="1:57" x14ac:dyDescent="0.4">
      <c r="A123" s="7" t="s">
        <v>102</v>
      </c>
      <c r="B123" s="6" t="str">
        <f t="shared" si="23"/>
        <v>½</v>
      </c>
      <c r="C123" s="48" cm="1">
        <f t="array" ref="C123">IF($N123,INDEX($O:$O,MATCH(TRUE,EXACT(B123,$A:$A),0)),"")</f>
        <v>121</v>
      </c>
      <c r="D123" s="38" t="s">
        <v>100</v>
      </c>
      <c r="E123" s="48" cm="1">
        <f t="array" ref="E123">IF($N123,INDEX($O:$O,MATCH(TRUE,EXACT(D123,$A:$A),0)),"")</f>
        <v>119</v>
      </c>
      <c r="F123" s="38" t="s">
        <v>103</v>
      </c>
      <c r="G123" s="48" cm="1">
        <f t="array" ref="G123">IF($O123&lt;&gt;"",INDEX($O:$O,MATCH(TRUE,EXACT(F123,$A:$A),0)),"")</f>
        <v>122</v>
      </c>
      <c r="H123" s="38" t="s">
        <v>103</v>
      </c>
      <c r="I123" s="48" cm="1">
        <f t="array" ref="I123">IF($N123,INDEX($O:$O,MATCH(TRUE,EXACT(H123,$A:$A),0)),"")</f>
        <v>122</v>
      </c>
      <c r="J123" s="38" t="s">
        <v>102</v>
      </c>
      <c r="K123" s="52" cm="1">
        <f t="array" ref="K123">IF($N123,INDEX($O:$O,MATCH(TRUE,EXACT(J123,$A:$A),0)),"")</f>
        <v>121</v>
      </c>
      <c r="L123" s="23"/>
      <c r="M123" s="33"/>
      <c r="N123" s="18" t="b">
        <f t="shared" si="25"/>
        <v>1</v>
      </c>
      <c r="O123" s="19">
        <f>IF(N123, MAX(O$2:O122)+1,"")</f>
        <v>121</v>
      </c>
      <c r="P123" s="23" t="str">
        <f t="shared" si="24"/>
        <v>½</v>
      </c>
      <c r="Q123" s="8" t="str" cm="1">
        <f t="array" ref="Q123">CharToUTF8(A123)</f>
        <v>\xC2\xBD</v>
      </c>
      <c r="S123" s="18" t="str">
        <f>$AG$3</f>
        <v>DIAG_BOTH</v>
      </c>
      <c r="T123" s="24" t="str">
        <f>$AG$2</f>
        <v>EMPTY</v>
      </c>
      <c r="U123" s="24" t="str">
        <f>$AG$7</f>
        <v>ORTHO_UP</v>
      </c>
      <c r="V123" s="21" t="str">
        <f>$AG$7</f>
        <v>ORTHO_UP</v>
      </c>
      <c r="X123" s="31" t="b">
        <f t="shared" si="26"/>
        <v>0</v>
      </c>
      <c r="Y123" s="31" t="b">
        <f t="shared" si="27"/>
        <v>0</v>
      </c>
      <c r="Z123" t="b">
        <f t="shared" si="28"/>
        <v>0</v>
      </c>
      <c r="AA123" t="b">
        <f t="shared" si="29"/>
        <v>1</v>
      </c>
      <c r="AB123" t="b">
        <f>IF($N123,S123=VLOOKUP(S123,$AG$2:$AL$10,4,FALSE),"")</f>
        <v>1</v>
      </c>
      <c r="AC123" t="b">
        <f>IF($N123,T123=VLOOKUP(T123,$AG$2:$AL$10,4,FALSE),"")</f>
        <v>1</v>
      </c>
      <c r="AD123" t="b">
        <f>IF($N123,U123=VLOOKUP(U123,$AG$2:$AL$10,5,FALSE),"")</f>
        <v>0</v>
      </c>
      <c r="AE123" t="b">
        <f>IF($N123,V123=VLOOKUP(V123,$AG$2:$AL$10,5,FALSE),"")</f>
        <v>0</v>
      </c>
      <c r="AN123" s="55" t="str">
        <f t="shared" si="38"/>
        <v xml:space="preserve">    { wxString::FromUTF8("\xC2\xBD"), &amp;AllGlyphs[119], &amp;AllGlyphs[122], &amp;AllGlyphs[122], &amp;AllGlyphs[121], Connection::DIAG_BOTH, Connection::EMPTY, Connection::ORTHO_UP, Connection::ORTHO_UP, 0, 0, 0, 1 },</v>
      </c>
      <c r="AO123" s="56"/>
      <c r="AP123" s="56"/>
      <c r="AQ123" s="56"/>
      <c r="AR123" s="56"/>
      <c r="AS123" s="56"/>
      <c r="AT123" s="56"/>
      <c r="AU123" s="57"/>
      <c r="AW123" s="54" t="str">
        <f t="shared" si="30"/>
        <v>&amp;AllGlyphs[119]</v>
      </c>
      <c r="AX123" s="54" t="str">
        <f t="shared" si="31"/>
        <v>&amp;AllGlyphs[122]</v>
      </c>
      <c r="AY123" s="54" t="str">
        <f t="shared" si="32"/>
        <v>&amp;AllGlyphs[122]</v>
      </c>
      <c r="AZ123" s="54" t="str">
        <f t="shared" si="33"/>
        <v>&amp;AllGlyphs[121]</v>
      </c>
      <c r="BB123" s="64">
        <f t="shared" si="34"/>
        <v>0</v>
      </c>
      <c r="BC123" s="64">
        <f t="shared" si="35"/>
        <v>0</v>
      </c>
      <c r="BD123" s="64">
        <f t="shared" si="36"/>
        <v>0</v>
      </c>
      <c r="BE123" s="64">
        <f t="shared" si="37"/>
        <v>1</v>
      </c>
    </row>
    <row r="124" spans="1:57" x14ac:dyDescent="0.4">
      <c r="A124" s="7" t="s">
        <v>103</v>
      </c>
      <c r="B124" s="6" t="str">
        <f t="shared" si="23"/>
        <v>¾</v>
      </c>
      <c r="C124" s="48" cm="1">
        <f t="array" ref="C124">IF($N124,INDEX($O:$O,MATCH(TRUE,EXACT(B124,$A:$A),0)),"")</f>
        <v>122</v>
      </c>
      <c r="D124" s="38" t="s">
        <v>101</v>
      </c>
      <c r="E124" s="48" cm="1">
        <f t="array" ref="E124">IF($N124,INDEX($O:$O,MATCH(TRUE,EXACT(D124,$A:$A),0)),"")</f>
        <v>120</v>
      </c>
      <c r="F124" s="38" t="s">
        <v>102</v>
      </c>
      <c r="G124" s="48" cm="1">
        <f t="array" ref="G124">IF($O124&lt;&gt;"",INDEX($O:$O,MATCH(TRUE,EXACT(F124,$A:$A),0)),"")</f>
        <v>121</v>
      </c>
      <c r="H124" s="38" t="s">
        <v>102</v>
      </c>
      <c r="I124" s="48" cm="1">
        <f t="array" ref="I124">IF($N124,INDEX($O:$O,MATCH(TRUE,EXACT(H124,$A:$A),0)),"")</f>
        <v>121</v>
      </c>
      <c r="J124" s="38" t="s">
        <v>103</v>
      </c>
      <c r="K124" s="52" cm="1">
        <f t="array" ref="K124">IF($N124,INDEX($O:$O,MATCH(TRUE,EXACT(J124,$A:$A),0)),"")</f>
        <v>122</v>
      </c>
      <c r="L124" s="23"/>
      <c r="M124" s="33"/>
      <c r="N124" s="18" t="b">
        <f t="shared" si="25"/>
        <v>1</v>
      </c>
      <c r="O124" s="19">
        <f>IF(N124, MAX(O$2:O123)+1,"")</f>
        <v>122</v>
      </c>
      <c r="P124" s="23" t="str">
        <f t="shared" si="24"/>
        <v>¾</v>
      </c>
      <c r="Q124" s="8" t="str" cm="1">
        <f t="array" ref="Q124">CharToUTF8(A124)</f>
        <v>\xC2\xBE</v>
      </c>
      <c r="S124" s="18" t="str">
        <f>$AG$2</f>
        <v>EMPTY</v>
      </c>
      <c r="T124" s="24" t="str">
        <f>$AG$3</f>
        <v>DIAG_BOTH</v>
      </c>
      <c r="U124" s="24" t="str">
        <f>$AG$8</f>
        <v>ORTHO_DOWN</v>
      </c>
      <c r="V124" s="21" t="str">
        <f>$AG$8</f>
        <v>ORTHO_DOWN</v>
      </c>
      <c r="X124" s="31" t="b">
        <f t="shared" si="26"/>
        <v>0</v>
      </c>
      <c r="Y124" s="31" t="b">
        <f t="shared" si="27"/>
        <v>0</v>
      </c>
      <c r="Z124" t="b">
        <f t="shared" si="28"/>
        <v>0</v>
      </c>
      <c r="AA124" t="b">
        <f t="shared" si="29"/>
        <v>1</v>
      </c>
      <c r="AB124" t="b">
        <f>IF($N124,S124=VLOOKUP(S124,$AG$2:$AL$10,4,FALSE),"")</f>
        <v>1</v>
      </c>
      <c r="AC124" t="b">
        <f>IF($N124,T124=VLOOKUP(T124,$AG$2:$AL$10,4,FALSE),"")</f>
        <v>1</v>
      </c>
      <c r="AD124" t="b">
        <f>IF($N124,U124=VLOOKUP(U124,$AG$2:$AL$10,5,FALSE),"")</f>
        <v>0</v>
      </c>
      <c r="AE124" t="b">
        <f>IF($N124,V124=VLOOKUP(V124,$AG$2:$AL$10,5,FALSE),"")</f>
        <v>0</v>
      </c>
      <c r="AN124" s="55" t="str">
        <f t="shared" si="38"/>
        <v xml:space="preserve">    { wxString::FromUTF8("\xC2\xBE"), &amp;AllGlyphs[120], &amp;AllGlyphs[121], &amp;AllGlyphs[121], &amp;AllGlyphs[122], Connection::EMPTY, Connection::DIAG_BOTH, Connection::ORTHO_DOWN, Connection::ORTHO_DOWN, 0, 0, 0, 1 },</v>
      </c>
      <c r="AO124" s="56"/>
      <c r="AP124" s="56"/>
      <c r="AQ124" s="56"/>
      <c r="AR124" s="56"/>
      <c r="AS124" s="56"/>
      <c r="AT124" s="56"/>
      <c r="AU124" s="57"/>
      <c r="AW124" s="54" t="str">
        <f t="shared" si="30"/>
        <v>&amp;AllGlyphs[120]</v>
      </c>
      <c r="AX124" s="54" t="str">
        <f t="shared" si="31"/>
        <v>&amp;AllGlyphs[121]</v>
      </c>
      <c r="AY124" s="54" t="str">
        <f t="shared" si="32"/>
        <v>&amp;AllGlyphs[121]</v>
      </c>
      <c r="AZ124" s="54" t="str">
        <f t="shared" si="33"/>
        <v>&amp;AllGlyphs[122]</v>
      </c>
      <c r="BB124" s="64">
        <f t="shared" si="34"/>
        <v>0</v>
      </c>
      <c r="BC124" s="64">
        <f t="shared" si="35"/>
        <v>0</v>
      </c>
      <c r="BD124" s="64">
        <f t="shared" si="36"/>
        <v>0</v>
      </c>
      <c r="BE124" s="64">
        <f t="shared" si="37"/>
        <v>1</v>
      </c>
    </row>
    <row r="125" spans="1:57" x14ac:dyDescent="0.4">
      <c r="A125" s="7" t="s">
        <v>104</v>
      </c>
      <c r="B125" s="6" t="str">
        <f t="shared" si="23"/>
        <v>¿</v>
      </c>
      <c r="C125" s="48" cm="1">
        <f t="array" ref="C125">IF($N125,INDEX($O:$O,MATCH(TRUE,EXACT(B125,$A:$A),0)),"")</f>
        <v>123</v>
      </c>
      <c r="D125" s="38" t="s">
        <v>107</v>
      </c>
      <c r="E125" s="48" cm="1">
        <f t="array" ref="E125">IF($N125,INDEX($O:$O,MATCH(TRUE,EXACT(D125,$A:$A),0)),"")</f>
        <v>126</v>
      </c>
      <c r="F125" s="38" t="s">
        <v>105</v>
      </c>
      <c r="G125" s="48" cm="1">
        <f t="array" ref="G125">IF($O125&lt;&gt;"",INDEX($O:$O,MATCH(TRUE,EXACT(F125,$A:$A),0)),"")</f>
        <v>124</v>
      </c>
      <c r="H125" s="38" t="s">
        <v>104</v>
      </c>
      <c r="I125" s="48" cm="1">
        <f t="array" ref="I125">IF($N125,INDEX($O:$O,MATCH(TRUE,EXACT(H125,$A:$A),0)),"")</f>
        <v>123</v>
      </c>
      <c r="J125" s="38" t="s">
        <v>105</v>
      </c>
      <c r="K125" s="52" cm="1">
        <f t="array" ref="K125">IF($N125,INDEX($O:$O,MATCH(TRUE,EXACT(J125,$A:$A),0)),"")</f>
        <v>124</v>
      </c>
      <c r="L125" s="23"/>
      <c r="M125" s="33"/>
      <c r="N125" s="18" t="b">
        <f t="shared" si="25"/>
        <v>1</v>
      </c>
      <c r="O125" s="19">
        <f>IF(N125, MAX(O$2:O124)+1,"")</f>
        <v>123</v>
      </c>
      <c r="P125" s="23" t="str">
        <f t="shared" si="24"/>
        <v>¿</v>
      </c>
      <c r="Q125" s="8" t="str" cm="1">
        <f t="array" ref="Q125">CharToUTF8(A125)</f>
        <v>\xC2\xBF</v>
      </c>
      <c r="S125" s="18" t="str">
        <f>$AG$10</f>
        <v>ORTHO_RIGHT</v>
      </c>
      <c r="T125" s="24" t="str">
        <f>$AG$10</f>
        <v>ORTHO_RIGHT</v>
      </c>
      <c r="U125" s="24" t="str">
        <f>$AG$2</f>
        <v>EMPTY</v>
      </c>
      <c r="V125" s="21" t="str">
        <f>$AG$4</f>
        <v>ORTHO_BOTH</v>
      </c>
      <c r="X125" s="31" t="b">
        <f t="shared" si="26"/>
        <v>0</v>
      </c>
      <c r="Y125" s="31" t="b">
        <f t="shared" si="27"/>
        <v>0</v>
      </c>
      <c r="Z125" t="b">
        <f t="shared" si="28"/>
        <v>1</v>
      </c>
      <c r="AA125" t="b">
        <f t="shared" si="29"/>
        <v>0</v>
      </c>
      <c r="AB125" t="b">
        <f>IF($N125,S125=VLOOKUP(S125,$AG$2:$AL$10,4,FALSE),"")</f>
        <v>0</v>
      </c>
      <c r="AC125" t="b">
        <f>IF($N125,T125=VLOOKUP(T125,$AG$2:$AL$10,4,FALSE),"")</f>
        <v>0</v>
      </c>
      <c r="AD125" t="b">
        <f>IF($N125,U125=VLOOKUP(U125,$AG$2:$AL$10,5,FALSE),"")</f>
        <v>1</v>
      </c>
      <c r="AE125" t="b">
        <f>IF($N125,V125=VLOOKUP(V125,$AG$2:$AL$10,5,FALSE),"")</f>
        <v>1</v>
      </c>
      <c r="AN125" s="55" t="str">
        <f t="shared" si="38"/>
        <v xml:space="preserve">    { wxString::FromUTF8("\xC2\xBF"), &amp;AllGlyphs[126], &amp;AllGlyphs[124], &amp;AllGlyphs[123], &amp;AllGlyphs[124], Connection::ORTHO_RIGHT, Connection::ORTHO_RIGHT, Connection::EMPTY, Connection::ORTHO_BOTH, 0, 0, 1, 0 },</v>
      </c>
      <c r="AO125" s="56"/>
      <c r="AP125" s="56"/>
      <c r="AQ125" s="56"/>
      <c r="AR125" s="56"/>
      <c r="AS125" s="56"/>
      <c r="AT125" s="56"/>
      <c r="AU125" s="57"/>
      <c r="AW125" s="54" t="str">
        <f t="shared" si="30"/>
        <v>&amp;AllGlyphs[126]</v>
      </c>
      <c r="AX125" s="54" t="str">
        <f t="shared" si="31"/>
        <v>&amp;AllGlyphs[124]</v>
      </c>
      <c r="AY125" s="54" t="str">
        <f t="shared" si="32"/>
        <v>&amp;AllGlyphs[123]</v>
      </c>
      <c r="AZ125" s="54" t="str">
        <f t="shared" si="33"/>
        <v>&amp;AllGlyphs[124]</v>
      </c>
      <c r="BB125" s="64">
        <f t="shared" si="34"/>
        <v>0</v>
      </c>
      <c r="BC125" s="64">
        <f t="shared" si="35"/>
        <v>0</v>
      </c>
      <c r="BD125" s="64">
        <f t="shared" si="36"/>
        <v>1</v>
      </c>
      <c r="BE125" s="64">
        <f t="shared" si="37"/>
        <v>0</v>
      </c>
    </row>
    <row r="126" spans="1:57" x14ac:dyDescent="0.4">
      <c r="A126" s="7" t="s">
        <v>105</v>
      </c>
      <c r="B126" s="6" t="str">
        <f t="shared" si="23"/>
        <v>À</v>
      </c>
      <c r="C126" s="48" cm="1">
        <f t="array" ref="C126">IF($N126,INDEX($O:$O,MATCH(TRUE,EXACT(B126,$A:$A),0)),"")</f>
        <v>124</v>
      </c>
      <c r="D126" s="38" t="s">
        <v>106</v>
      </c>
      <c r="E126" s="48" cm="1">
        <f t="array" ref="E126">IF($N126,INDEX($O:$O,MATCH(TRUE,EXACT(D126,$A:$A),0)),"")</f>
        <v>125</v>
      </c>
      <c r="F126" s="38" t="s">
        <v>104</v>
      </c>
      <c r="G126" s="48" cm="1">
        <f t="array" ref="G126">IF($O126&lt;&gt;"",INDEX($O:$O,MATCH(TRUE,EXACT(F126,$A:$A),0)),"")</f>
        <v>123</v>
      </c>
      <c r="H126" s="38" t="s">
        <v>105</v>
      </c>
      <c r="I126" s="48" cm="1">
        <f t="array" ref="I126">IF($N126,INDEX($O:$O,MATCH(TRUE,EXACT(H126,$A:$A),0)),"")</f>
        <v>124</v>
      </c>
      <c r="J126" s="38" t="s">
        <v>104</v>
      </c>
      <c r="K126" s="52" cm="1">
        <f t="array" ref="K126">IF($N126,INDEX($O:$O,MATCH(TRUE,EXACT(J126,$A:$A),0)),"")</f>
        <v>123</v>
      </c>
      <c r="L126" s="23"/>
      <c r="M126" s="33"/>
      <c r="N126" s="18" t="b">
        <f t="shared" si="25"/>
        <v>1</v>
      </c>
      <c r="O126" s="19">
        <f>IF(N126, MAX(O$2:O125)+1,"")</f>
        <v>124</v>
      </c>
      <c r="P126" s="23" t="str">
        <f t="shared" si="24"/>
        <v>À</v>
      </c>
      <c r="Q126" s="8" t="str" cm="1">
        <f t="array" ref="Q126">CharToUTF8(A126)</f>
        <v>\xC3\x80</v>
      </c>
      <c r="S126" s="18" t="str">
        <f>$AG$9</f>
        <v>ORTHO_LEFT</v>
      </c>
      <c r="T126" s="24" t="str">
        <f>$AG$9</f>
        <v>ORTHO_LEFT</v>
      </c>
      <c r="U126" s="24" t="str">
        <f>$AG$4</f>
        <v>ORTHO_BOTH</v>
      </c>
      <c r="V126" s="21" t="str">
        <f>$AG$2</f>
        <v>EMPTY</v>
      </c>
      <c r="X126" s="31" t="b">
        <f t="shared" si="26"/>
        <v>0</v>
      </c>
      <c r="Y126" s="31" t="b">
        <f t="shared" si="27"/>
        <v>0</v>
      </c>
      <c r="Z126" t="b">
        <f t="shared" si="28"/>
        <v>1</v>
      </c>
      <c r="AA126" t="b">
        <f t="shared" si="29"/>
        <v>0</v>
      </c>
      <c r="AB126" t="b">
        <f>IF($N126,S126=VLOOKUP(S126,$AG$2:$AL$10,4,FALSE),"")</f>
        <v>0</v>
      </c>
      <c r="AC126" t="b">
        <f>IF($N126,T126=VLOOKUP(T126,$AG$2:$AL$10,4,FALSE),"")</f>
        <v>0</v>
      </c>
      <c r="AD126" t="b">
        <f>IF($N126,U126=VLOOKUP(U126,$AG$2:$AL$10,5,FALSE),"")</f>
        <v>1</v>
      </c>
      <c r="AE126" t="b">
        <f>IF($N126,V126=VLOOKUP(V126,$AG$2:$AL$10,5,FALSE),"")</f>
        <v>1</v>
      </c>
      <c r="AN126" s="55" t="str">
        <f t="shared" si="38"/>
        <v xml:space="preserve">    { wxString::FromUTF8("\xC3\x80"), &amp;AllGlyphs[125], &amp;AllGlyphs[123], &amp;AllGlyphs[124], &amp;AllGlyphs[123], Connection::ORTHO_LEFT, Connection::ORTHO_LEFT, Connection::ORTHO_BOTH, Connection::EMPTY, 0, 0, 1, 0 },</v>
      </c>
      <c r="AO126" s="56"/>
      <c r="AP126" s="56"/>
      <c r="AQ126" s="56"/>
      <c r="AR126" s="56"/>
      <c r="AS126" s="56"/>
      <c r="AT126" s="56"/>
      <c r="AU126" s="57"/>
      <c r="AW126" s="54" t="str">
        <f t="shared" si="30"/>
        <v>&amp;AllGlyphs[125]</v>
      </c>
      <c r="AX126" s="54" t="str">
        <f t="shared" si="31"/>
        <v>&amp;AllGlyphs[123]</v>
      </c>
      <c r="AY126" s="54" t="str">
        <f t="shared" si="32"/>
        <v>&amp;AllGlyphs[124]</v>
      </c>
      <c r="AZ126" s="54" t="str">
        <f t="shared" si="33"/>
        <v>&amp;AllGlyphs[123]</v>
      </c>
      <c r="BB126" s="64">
        <f t="shared" si="34"/>
        <v>0</v>
      </c>
      <c r="BC126" s="64">
        <f t="shared" si="35"/>
        <v>0</v>
      </c>
      <c r="BD126" s="64">
        <f t="shared" si="36"/>
        <v>1</v>
      </c>
      <c r="BE126" s="64">
        <f t="shared" si="37"/>
        <v>0</v>
      </c>
    </row>
    <row r="127" spans="1:57" x14ac:dyDescent="0.4">
      <c r="A127" s="7" t="s">
        <v>106</v>
      </c>
      <c r="B127" s="6" t="str">
        <f t="shared" si="23"/>
        <v>Á</v>
      </c>
      <c r="C127" s="48" cm="1">
        <f t="array" ref="C127">IF($N127,INDEX($O:$O,MATCH(TRUE,EXACT(B127,$A:$A),0)),"")</f>
        <v>125</v>
      </c>
      <c r="D127" s="38" t="s">
        <v>104</v>
      </c>
      <c r="E127" s="48" cm="1">
        <f t="array" ref="E127">IF($N127,INDEX($O:$O,MATCH(TRUE,EXACT(D127,$A:$A),0)),"")</f>
        <v>123</v>
      </c>
      <c r="F127" s="38" t="s">
        <v>107</v>
      </c>
      <c r="G127" s="48" cm="1">
        <f t="array" ref="G127">IF($O127&lt;&gt;"",INDEX($O:$O,MATCH(TRUE,EXACT(F127,$A:$A),0)),"")</f>
        <v>126</v>
      </c>
      <c r="H127" s="38" t="s">
        <v>107</v>
      </c>
      <c r="I127" s="48" cm="1">
        <f t="array" ref="I127">IF($N127,INDEX($O:$O,MATCH(TRUE,EXACT(H127,$A:$A),0)),"")</f>
        <v>126</v>
      </c>
      <c r="J127" s="38" t="s">
        <v>106</v>
      </c>
      <c r="K127" s="52" cm="1">
        <f t="array" ref="K127">IF($N127,INDEX($O:$O,MATCH(TRUE,EXACT(J127,$A:$A),0)),"")</f>
        <v>125</v>
      </c>
      <c r="L127" s="23"/>
      <c r="M127" s="33"/>
      <c r="N127" s="18" t="b">
        <f t="shared" si="25"/>
        <v>1</v>
      </c>
      <c r="O127" s="19">
        <f>IF(N127, MAX(O$2:O126)+1,"")</f>
        <v>125</v>
      </c>
      <c r="P127" s="23" t="str">
        <f t="shared" si="24"/>
        <v>Á</v>
      </c>
      <c r="Q127" s="8" t="str" cm="1">
        <f t="array" ref="Q127">CharToUTF8(A127)</f>
        <v>\xC3\x81</v>
      </c>
      <c r="S127" s="18" t="str">
        <f>$AG$4</f>
        <v>ORTHO_BOTH</v>
      </c>
      <c r="T127" s="24" t="str">
        <f>$AG$2</f>
        <v>EMPTY</v>
      </c>
      <c r="U127" s="24" t="str">
        <f>$AG$7</f>
        <v>ORTHO_UP</v>
      </c>
      <c r="V127" s="21" t="str">
        <f>$AG$7</f>
        <v>ORTHO_UP</v>
      </c>
      <c r="X127" s="31" t="b">
        <f t="shared" si="26"/>
        <v>0</v>
      </c>
      <c r="Y127" s="31" t="b">
        <f t="shared" si="27"/>
        <v>0</v>
      </c>
      <c r="Z127" t="b">
        <f t="shared" si="28"/>
        <v>0</v>
      </c>
      <c r="AA127" t="b">
        <f t="shared" si="29"/>
        <v>1</v>
      </c>
      <c r="AB127" t="b">
        <f>IF($N127,S127=VLOOKUP(S127,$AG$2:$AL$10,4,FALSE),"")</f>
        <v>1</v>
      </c>
      <c r="AC127" t="b">
        <f>IF($N127,T127=VLOOKUP(T127,$AG$2:$AL$10,4,FALSE),"")</f>
        <v>1</v>
      </c>
      <c r="AD127" t="b">
        <f>IF($N127,U127=VLOOKUP(U127,$AG$2:$AL$10,5,FALSE),"")</f>
        <v>0</v>
      </c>
      <c r="AE127" t="b">
        <f>IF($N127,V127=VLOOKUP(V127,$AG$2:$AL$10,5,FALSE),"")</f>
        <v>0</v>
      </c>
      <c r="AN127" s="55" t="str">
        <f t="shared" si="38"/>
        <v xml:space="preserve">    { wxString::FromUTF8("\xC3\x81"), &amp;AllGlyphs[123], &amp;AllGlyphs[126], &amp;AllGlyphs[126], &amp;AllGlyphs[125], Connection::ORTHO_BOTH, Connection::EMPTY, Connection::ORTHO_UP, Connection::ORTHO_UP, 0, 0, 0, 1 },</v>
      </c>
      <c r="AO127" s="56"/>
      <c r="AP127" s="56"/>
      <c r="AQ127" s="56"/>
      <c r="AR127" s="56"/>
      <c r="AS127" s="56"/>
      <c r="AT127" s="56"/>
      <c r="AU127" s="57"/>
      <c r="AW127" s="54" t="str">
        <f t="shared" si="30"/>
        <v>&amp;AllGlyphs[123]</v>
      </c>
      <c r="AX127" s="54" t="str">
        <f t="shared" si="31"/>
        <v>&amp;AllGlyphs[126]</v>
      </c>
      <c r="AY127" s="54" t="str">
        <f t="shared" si="32"/>
        <v>&amp;AllGlyphs[126]</v>
      </c>
      <c r="AZ127" s="54" t="str">
        <f t="shared" si="33"/>
        <v>&amp;AllGlyphs[125]</v>
      </c>
      <c r="BB127" s="64">
        <f t="shared" si="34"/>
        <v>0</v>
      </c>
      <c r="BC127" s="64">
        <f t="shared" si="35"/>
        <v>0</v>
      </c>
      <c r="BD127" s="64">
        <f t="shared" si="36"/>
        <v>0</v>
      </c>
      <c r="BE127" s="64">
        <f t="shared" si="37"/>
        <v>1</v>
      </c>
    </row>
    <row r="128" spans="1:57" x14ac:dyDescent="0.4">
      <c r="A128" s="7" t="s">
        <v>107</v>
      </c>
      <c r="B128" s="6" t="str">
        <f t="shared" si="23"/>
        <v>Â</v>
      </c>
      <c r="C128" s="48" cm="1">
        <f t="array" ref="C128">IF($N128,INDEX($O:$O,MATCH(TRUE,EXACT(B128,$A:$A),0)),"")</f>
        <v>126</v>
      </c>
      <c r="D128" s="38" t="s">
        <v>105</v>
      </c>
      <c r="E128" s="48" cm="1">
        <f t="array" ref="E128">IF($N128,INDEX($O:$O,MATCH(TRUE,EXACT(D128,$A:$A),0)),"")</f>
        <v>124</v>
      </c>
      <c r="F128" s="38" t="s">
        <v>106</v>
      </c>
      <c r="G128" s="48" cm="1">
        <f t="array" ref="G128">IF($O128&lt;&gt;"",INDEX($O:$O,MATCH(TRUE,EXACT(F128,$A:$A),0)),"")</f>
        <v>125</v>
      </c>
      <c r="H128" s="38" t="s">
        <v>106</v>
      </c>
      <c r="I128" s="48" cm="1">
        <f t="array" ref="I128">IF($N128,INDEX($O:$O,MATCH(TRUE,EXACT(H128,$A:$A),0)),"")</f>
        <v>125</v>
      </c>
      <c r="J128" s="38" t="s">
        <v>107</v>
      </c>
      <c r="K128" s="52" cm="1">
        <f t="array" ref="K128">IF($N128,INDEX($O:$O,MATCH(TRUE,EXACT(J128,$A:$A),0)),"")</f>
        <v>126</v>
      </c>
      <c r="L128" s="23"/>
      <c r="M128" s="33"/>
      <c r="N128" s="18" t="b">
        <f t="shared" si="25"/>
        <v>1</v>
      </c>
      <c r="O128" s="19">
        <f>IF(N128, MAX(O$2:O127)+1,"")</f>
        <v>126</v>
      </c>
      <c r="P128" s="23" t="str">
        <f t="shared" si="24"/>
        <v>Â</v>
      </c>
      <c r="Q128" s="8" t="str" cm="1">
        <f t="array" ref="Q128">CharToUTF8(A128)</f>
        <v>\xC3\x82</v>
      </c>
      <c r="S128" s="18" t="str">
        <f>$AG$2</f>
        <v>EMPTY</v>
      </c>
      <c r="T128" s="24" t="str">
        <f>$AG$4</f>
        <v>ORTHO_BOTH</v>
      </c>
      <c r="U128" s="24" t="str">
        <f>$AG$8</f>
        <v>ORTHO_DOWN</v>
      </c>
      <c r="V128" s="21" t="str">
        <f>$AG$8</f>
        <v>ORTHO_DOWN</v>
      </c>
      <c r="X128" s="31" t="b">
        <f t="shared" si="26"/>
        <v>0</v>
      </c>
      <c r="Y128" s="31" t="b">
        <f t="shared" si="27"/>
        <v>0</v>
      </c>
      <c r="Z128" t="b">
        <f t="shared" si="28"/>
        <v>0</v>
      </c>
      <c r="AA128" t="b">
        <f t="shared" si="29"/>
        <v>1</v>
      </c>
      <c r="AB128" t="b">
        <f>IF($N128,S128=VLOOKUP(S128,$AG$2:$AL$10,4,FALSE),"")</f>
        <v>1</v>
      </c>
      <c r="AC128" t="b">
        <f>IF($N128,T128=VLOOKUP(T128,$AG$2:$AL$10,4,FALSE),"")</f>
        <v>1</v>
      </c>
      <c r="AD128" t="b">
        <f>IF($N128,U128=VLOOKUP(U128,$AG$2:$AL$10,5,FALSE),"")</f>
        <v>0</v>
      </c>
      <c r="AE128" t="b">
        <f>IF($N128,V128=VLOOKUP(V128,$AG$2:$AL$10,5,FALSE),"")</f>
        <v>0</v>
      </c>
      <c r="AN128" s="55" t="str">
        <f t="shared" si="38"/>
        <v xml:space="preserve">    { wxString::FromUTF8("\xC3\x82"), &amp;AllGlyphs[124], &amp;AllGlyphs[125], &amp;AllGlyphs[125], &amp;AllGlyphs[126], Connection::EMPTY, Connection::ORTHO_BOTH, Connection::ORTHO_DOWN, Connection::ORTHO_DOWN, 0, 0, 0, 1 },</v>
      </c>
      <c r="AO128" s="56"/>
      <c r="AP128" s="56"/>
      <c r="AQ128" s="56"/>
      <c r="AR128" s="56"/>
      <c r="AS128" s="56"/>
      <c r="AT128" s="56"/>
      <c r="AU128" s="57"/>
      <c r="AW128" s="54" t="str">
        <f t="shared" si="30"/>
        <v>&amp;AllGlyphs[124]</v>
      </c>
      <c r="AX128" s="54" t="str">
        <f t="shared" si="31"/>
        <v>&amp;AllGlyphs[125]</v>
      </c>
      <c r="AY128" s="54" t="str">
        <f t="shared" si="32"/>
        <v>&amp;AllGlyphs[125]</v>
      </c>
      <c r="AZ128" s="54" t="str">
        <f t="shared" si="33"/>
        <v>&amp;AllGlyphs[126]</v>
      </c>
      <c r="BB128" s="64">
        <f t="shared" si="34"/>
        <v>0</v>
      </c>
      <c r="BC128" s="64">
        <f t="shared" si="35"/>
        <v>0</v>
      </c>
      <c r="BD128" s="64">
        <f t="shared" si="36"/>
        <v>0</v>
      </c>
      <c r="BE128" s="64">
        <f t="shared" si="37"/>
        <v>1</v>
      </c>
    </row>
    <row r="129" spans="1:57" x14ac:dyDescent="0.4">
      <c r="A129" s="7" t="s">
        <v>108</v>
      </c>
      <c r="B129" s="6" t="str">
        <f t="shared" si="23"/>
        <v>Ã</v>
      </c>
      <c r="C129" s="48" cm="1">
        <f t="array" ref="C129">IF($N129,INDEX($O:$O,MATCH(TRUE,EXACT(B129,$A:$A),0)),"")</f>
        <v>127</v>
      </c>
      <c r="D129" s="38" t="s">
        <v>109</v>
      </c>
      <c r="E129" s="48" cm="1">
        <f t="array" ref="E129">IF($N129,INDEX($O:$O,MATCH(TRUE,EXACT(D129,$A:$A),0)),"")</f>
        <v>128</v>
      </c>
      <c r="F129" s="38" t="s">
        <v>110</v>
      </c>
      <c r="G129" s="48" cm="1">
        <f t="array" ref="G129">IF($O129&lt;&gt;"",INDEX($O:$O,MATCH(TRUE,EXACT(F129,$A:$A),0)),"")</f>
        <v>129</v>
      </c>
      <c r="H129" s="38" t="s">
        <v>109</v>
      </c>
      <c r="I129" s="48" cm="1">
        <f t="array" ref="I129">IF($N129,INDEX($O:$O,MATCH(TRUE,EXACT(H129,$A:$A),0)),"")</f>
        <v>128</v>
      </c>
      <c r="J129" s="38" t="s">
        <v>111</v>
      </c>
      <c r="K129" s="52" cm="1">
        <f t="array" ref="K129">IF($N129,INDEX($O:$O,MATCH(TRUE,EXACT(J129,$A:$A),0)),"")</f>
        <v>130</v>
      </c>
      <c r="L129" s="23"/>
      <c r="M129" s="33"/>
      <c r="N129" s="18" t="b">
        <f t="shared" si="25"/>
        <v>1</v>
      </c>
      <c r="O129" s="19">
        <f>IF(N129, MAX(O$2:O128)+1,"")</f>
        <v>127</v>
      </c>
      <c r="P129" s="23" t="str">
        <f t="shared" si="24"/>
        <v>Ã</v>
      </c>
      <c r="Q129" s="8" t="str" cm="1">
        <f t="array" ref="Q129">CharToUTF8(A129)</f>
        <v>\xC3\x83</v>
      </c>
      <c r="S129" s="18" t="str">
        <f>$AG$2</f>
        <v>EMPTY</v>
      </c>
      <c r="T129" s="24" t="str">
        <f>$AG$9</f>
        <v>ORTHO_LEFT</v>
      </c>
      <c r="U129" s="24" t="str">
        <f>$AG$8</f>
        <v>ORTHO_DOWN</v>
      </c>
      <c r="V129" s="21" t="str">
        <f>$AG$2</f>
        <v>EMPTY</v>
      </c>
      <c r="X129" s="31" t="b">
        <f t="shared" si="26"/>
        <v>0</v>
      </c>
      <c r="Y129" s="31" t="b">
        <f t="shared" si="27"/>
        <v>0</v>
      </c>
      <c r="Z129" t="b">
        <f t="shared" si="28"/>
        <v>0</v>
      </c>
      <c r="AA129" t="b">
        <f t="shared" si="29"/>
        <v>0</v>
      </c>
      <c r="AB129" t="b">
        <f>IF($N129,S129=VLOOKUP(S129,$AG$2:$AL$10,4,FALSE),"")</f>
        <v>1</v>
      </c>
      <c r="AC129" t="b">
        <f>IF($N129,T129=VLOOKUP(T129,$AG$2:$AL$10,4,FALSE),"")</f>
        <v>0</v>
      </c>
      <c r="AD129" t="b">
        <f>IF($N129,U129=VLOOKUP(U129,$AG$2:$AL$10,5,FALSE),"")</f>
        <v>0</v>
      </c>
      <c r="AE129" t="b">
        <f>IF($N129,V129=VLOOKUP(V129,$AG$2:$AL$10,5,FALSE),"")</f>
        <v>1</v>
      </c>
      <c r="AN129" s="55" t="str">
        <f t="shared" si="38"/>
        <v xml:space="preserve">    { wxString::FromUTF8("\xC3\x83"), &amp;AllGlyphs[128], &amp;AllGlyphs[129], &amp;AllGlyphs[128], &amp;AllGlyphs[130], Connection::EMPTY, Connection::ORTHO_LEFT, Connection::ORTHO_DOWN, Connection::EMPTY, 0, 0, 0, 0 },</v>
      </c>
      <c r="AO129" s="56"/>
      <c r="AP129" s="56"/>
      <c r="AQ129" s="56"/>
      <c r="AR129" s="56"/>
      <c r="AS129" s="56"/>
      <c r="AT129" s="56"/>
      <c r="AU129" s="57"/>
      <c r="AW129" s="54" t="str">
        <f t="shared" si="30"/>
        <v>&amp;AllGlyphs[128]</v>
      </c>
      <c r="AX129" s="54" t="str">
        <f t="shared" si="31"/>
        <v>&amp;AllGlyphs[129]</v>
      </c>
      <c r="AY129" s="54" t="str">
        <f t="shared" si="32"/>
        <v>&amp;AllGlyphs[128]</v>
      </c>
      <c r="AZ129" s="54" t="str">
        <f t="shared" si="33"/>
        <v>&amp;AllGlyphs[130]</v>
      </c>
      <c r="BB129" s="64">
        <f t="shared" si="34"/>
        <v>0</v>
      </c>
      <c r="BC129" s="64">
        <f t="shared" si="35"/>
        <v>0</v>
      </c>
      <c r="BD129" s="64">
        <f t="shared" si="36"/>
        <v>0</v>
      </c>
      <c r="BE129" s="64">
        <f t="shared" si="37"/>
        <v>0</v>
      </c>
    </row>
    <row r="130" spans="1:57" x14ac:dyDescent="0.4">
      <c r="A130" s="7" t="s">
        <v>109</v>
      </c>
      <c r="B130" s="6" t="str">
        <f t="shared" ref="B130:B193" si="42">A130</f>
        <v>Ä</v>
      </c>
      <c r="C130" s="48" cm="1">
        <f t="array" ref="C130">IF($N130,INDEX($O:$O,MATCH(TRUE,EXACT(B130,$A:$A),0)),"")</f>
        <v>128</v>
      </c>
      <c r="D130" s="38" t="s">
        <v>110</v>
      </c>
      <c r="E130" s="48" cm="1">
        <f t="array" ref="E130">IF($N130,INDEX($O:$O,MATCH(TRUE,EXACT(D130,$A:$A),0)),"")</f>
        <v>129</v>
      </c>
      <c r="F130" s="38" t="s">
        <v>111</v>
      </c>
      <c r="G130" s="48" cm="1">
        <f t="array" ref="G130">IF($O130&lt;&gt;"",INDEX($O:$O,MATCH(TRUE,EXACT(F130,$A:$A),0)),"")</f>
        <v>130</v>
      </c>
      <c r="H130" s="38" t="s">
        <v>108</v>
      </c>
      <c r="I130" s="48" cm="1">
        <f t="array" ref="I130">IF($N130,INDEX($O:$O,MATCH(TRUE,EXACT(H130,$A:$A),0)),"")</f>
        <v>127</v>
      </c>
      <c r="J130" s="38" t="s">
        <v>110</v>
      </c>
      <c r="K130" s="52" cm="1">
        <f t="array" ref="K130">IF($N130,INDEX($O:$O,MATCH(TRUE,EXACT(J130,$A:$A),0)),"")</f>
        <v>129</v>
      </c>
      <c r="L130" s="23"/>
      <c r="M130" s="33"/>
      <c r="N130" s="18" t="b">
        <f t="shared" si="25"/>
        <v>1</v>
      </c>
      <c r="O130" s="19">
        <f>IF(N130, MAX(O$2:O129)+1,"")</f>
        <v>128</v>
      </c>
      <c r="P130" s="23" t="str">
        <f t="shared" ref="P130:P193" si="43">A130</f>
        <v>Ä</v>
      </c>
      <c r="Q130" s="8" t="str" cm="1">
        <f t="array" ref="Q130">CharToUTF8(A130)</f>
        <v>\xC3\x84</v>
      </c>
      <c r="S130" s="18" t="str">
        <f>$AG$9</f>
        <v>ORTHO_LEFT</v>
      </c>
      <c r="T130" s="24" t="str">
        <f>$AG$2</f>
        <v>EMPTY</v>
      </c>
      <c r="U130" s="24" t="str">
        <f>$AG$7</f>
        <v>ORTHO_UP</v>
      </c>
      <c r="V130" s="21" t="str">
        <f>$AG$2</f>
        <v>EMPTY</v>
      </c>
      <c r="X130" s="31" t="b">
        <f t="shared" si="26"/>
        <v>0</v>
      </c>
      <c r="Y130" s="31" t="b">
        <f t="shared" si="27"/>
        <v>0</v>
      </c>
      <c r="Z130" t="b">
        <f t="shared" si="28"/>
        <v>0</v>
      </c>
      <c r="AA130" t="b">
        <f t="shared" si="29"/>
        <v>0</v>
      </c>
      <c r="AB130" t="b">
        <f>IF($N130,S130=VLOOKUP(S130,$AG$2:$AL$10,4,FALSE),"")</f>
        <v>0</v>
      </c>
      <c r="AC130" t="b">
        <f>IF($N130,T130=VLOOKUP(T130,$AG$2:$AL$10,4,FALSE),"")</f>
        <v>1</v>
      </c>
      <c r="AD130" t="b">
        <f>IF($N130,U130=VLOOKUP(U130,$AG$2:$AL$10,5,FALSE),"")</f>
        <v>0</v>
      </c>
      <c r="AE130" t="b">
        <f>IF($N130,V130=VLOOKUP(V130,$AG$2:$AL$10,5,FALSE),"")</f>
        <v>1</v>
      </c>
      <c r="AN130" s="55" t="str">
        <f t="shared" si="38"/>
        <v xml:space="preserve">    { wxString::FromUTF8("\xC3\x84"), &amp;AllGlyphs[129], &amp;AllGlyphs[130], &amp;AllGlyphs[127], &amp;AllGlyphs[129], Connection::ORTHO_LEFT, Connection::EMPTY, Connection::ORTHO_UP, Connection::EMPTY, 0, 0, 0, 0 },</v>
      </c>
      <c r="AO130" s="56"/>
      <c r="AP130" s="56"/>
      <c r="AQ130" s="56"/>
      <c r="AR130" s="56"/>
      <c r="AS130" s="56"/>
      <c r="AT130" s="56"/>
      <c r="AU130" s="57"/>
      <c r="AW130" s="54" t="str">
        <f t="shared" si="30"/>
        <v>&amp;AllGlyphs[129]</v>
      </c>
      <c r="AX130" s="54" t="str">
        <f t="shared" si="31"/>
        <v>&amp;AllGlyphs[130]</v>
      </c>
      <c r="AY130" s="54" t="str">
        <f t="shared" si="32"/>
        <v>&amp;AllGlyphs[127]</v>
      </c>
      <c r="AZ130" s="54" t="str">
        <f t="shared" si="33"/>
        <v>&amp;AllGlyphs[129]</v>
      </c>
      <c r="BB130" s="64">
        <f t="shared" si="34"/>
        <v>0</v>
      </c>
      <c r="BC130" s="64">
        <f t="shared" si="35"/>
        <v>0</v>
      </c>
      <c r="BD130" s="64">
        <f t="shared" si="36"/>
        <v>0</v>
      </c>
      <c r="BE130" s="64">
        <f t="shared" si="37"/>
        <v>0</v>
      </c>
    </row>
    <row r="131" spans="1:57" x14ac:dyDescent="0.4">
      <c r="A131" s="7" t="s">
        <v>110</v>
      </c>
      <c r="B131" s="6" t="str">
        <f t="shared" si="42"/>
        <v>Å</v>
      </c>
      <c r="C131" s="48" cm="1">
        <f t="array" ref="C131">IF($N131,INDEX($O:$O,MATCH(TRUE,EXACT(B131,$A:$A),0)),"")</f>
        <v>129</v>
      </c>
      <c r="D131" s="38" t="s">
        <v>111</v>
      </c>
      <c r="E131" s="48" cm="1">
        <f t="array" ref="E131">IF($N131,INDEX($O:$O,MATCH(TRUE,EXACT(D131,$A:$A),0)),"")</f>
        <v>130</v>
      </c>
      <c r="F131" s="38" t="s">
        <v>108</v>
      </c>
      <c r="G131" s="48" cm="1">
        <f t="array" ref="G131">IF($O131&lt;&gt;"",INDEX($O:$O,MATCH(TRUE,EXACT(F131,$A:$A),0)),"")</f>
        <v>127</v>
      </c>
      <c r="H131" s="38" t="s">
        <v>111</v>
      </c>
      <c r="I131" s="48" cm="1">
        <f t="array" ref="I131">IF($N131,INDEX($O:$O,MATCH(TRUE,EXACT(H131,$A:$A),0)),"")</f>
        <v>130</v>
      </c>
      <c r="J131" s="38" t="s">
        <v>109</v>
      </c>
      <c r="K131" s="52" cm="1">
        <f t="array" ref="K131">IF($N131,INDEX($O:$O,MATCH(TRUE,EXACT(J131,$A:$A),0)),"")</f>
        <v>128</v>
      </c>
      <c r="L131" s="23"/>
      <c r="M131" s="33"/>
      <c r="N131" s="18" t="b">
        <f t="shared" ref="N131:N194" si="44">AND(B131&lt;&gt;"", D131&lt;&gt;"", F131&lt;&gt;"", J131&lt;&gt;"", H131&lt;&gt;"")</f>
        <v>1</v>
      </c>
      <c r="O131" s="19">
        <f>IF(N131, MAX(O$2:O130)+1,"")</f>
        <v>129</v>
      </c>
      <c r="P131" s="23" t="str">
        <f t="shared" si="43"/>
        <v>Å</v>
      </c>
      <c r="Q131" s="8" t="str" cm="1">
        <f t="array" ref="Q131">CharToUTF8(A131)</f>
        <v>\xC3\x85</v>
      </c>
      <c r="S131" s="18" t="str">
        <f>$AG$10</f>
        <v>ORTHO_RIGHT</v>
      </c>
      <c r="T131" s="24" t="str">
        <f>$AG$2</f>
        <v>EMPTY</v>
      </c>
      <c r="U131" s="24" t="str">
        <f>$AG$2</f>
        <v>EMPTY</v>
      </c>
      <c r="V131" s="21" t="str">
        <f>$AG$7</f>
        <v>ORTHO_UP</v>
      </c>
      <c r="X131" s="31" t="b">
        <f t="shared" ref="X131:X194" si="45">IF($N131,C131=E131,"")</f>
        <v>0</v>
      </c>
      <c r="Y131" s="31" t="b">
        <f t="shared" ref="Y131:Y194" si="46">IF($N131,C131=G131,"")</f>
        <v>0</v>
      </c>
      <c r="Z131" t="b">
        <f t="shared" ref="Z131:Z194" si="47">IF($N131,C131=I131,"")</f>
        <v>0</v>
      </c>
      <c r="AA131" t="b">
        <f t="shared" ref="AA131:AA194" si="48">IF($N131,C131=K131,"")</f>
        <v>0</v>
      </c>
      <c r="AB131" t="b">
        <f>IF($N131,S131=VLOOKUP(S131,$AG$2:$AL$10,4,FALSE),"")</f>
        <v>0</v>
      </c>
      <c r="AC131" t="b">
        <f>IF($N131,T131=VLOOKUP(T131,$AG$2:$AL$10,4,FALSE),"")</f>
        <v>1</v>
      </c>
      <c r="AD131" t="b">
        <f>IF($N131,U131=VLOOKUP(U131,$AG$2:$AL$10,5,FALSE),"")</f>
        <v>1</v>
      </c>
      <c r="AE131" t="b">
        <f>IF($N131,V131=VLOOKUP(V131,$AG$2:$AL$10,5,FALSE),"")</f>
        <v>0</v>
      </c>
      <c r="AN131" s="55" t="str">
        <f t="shared" si="38"/>
        <v xml:space="preserve">    { wxString::FromUTF8("\xC3\x85"), &amp;AllGlyphs[130], &amp;AllGlyphs[127], &amp;AllGlyphs[130], &amp;AllGlyphs[128], Connection::ORTHO_RIGHT, Connection::EMPTY, Connection::EMPTY, Connection::ORTHO_UP, 0, 0, 0, 0 },</v>
      </c>
      <c r="AO131" s="56"/>
      <c r="AP131" s="56"/>
      <c r="AQ131" s="56"/>
      <c r="AR131" s="56"/>
      <c r="AS131" s="56"/>
      <c r="AT131" s="56"/>
      <c r="AU131" s="57"/>
      <c r="AW131" s="54" t="str">
        <f t="shared" ref="AW131:AW194" si="49">IF($N131,"&amp;AllGlyphs[" &amp; E131 &amp; "]","")</f>
        <v>&amp;AllGlyphs[130]</v>
      </c>
      <c r="AX131" s="54" t="str">
        <f t="shared" ref="AX131:AX194" si="50">IF($N131,"&amp;AllGlyphs[" &amp; G131 &amp; "]","")</f>
        <v>&amp;AllGlyphs[127]</v>
      </c>
      <c r="AY131" s="54" t="str">
        <f t="shared" ref="AY131:AY194" si="51">IF($N131,"&amp;AllGlyphs[" &amp; I131 &amp; "]","")</f>
        <v>&amp;AllGlyphs[130]</v>
      </c>
      <c r="AZ131" s="54" t="str">
        <f t="shared" ref="AZ131:AZ194" si="52">IF($N131,"&amp;AllGlyphs[" &amp; K131 &amp; "]","")</f>
        <v>&amp;AllGlyphs[128]</v>
      </c>
      <c r="BB131" s="64">
        <f t="shared" ref="BB131:BB194" si="53">IF($N131,IF(X131,1,0),"")</f>
        <v>0</v>
      </c>
      <c r="BC131" s="64">
        <f t="shared" ref="BC131:BC194" si="54">IF($N131,IF(Y131,1,0),"")</f>
        <v>0</v>
      </c>
      <c r="BD131" s="64">
        <f t="shared" ref="BD131:BD194" si="55">IF($N131,IF(Z131,1,0),"")</f>
        <v>0</v>
      </c>
      <c r="BE131" s="64">
        <f t="shared" ref="BE131:BE194" si="56">IF($N131,IF(AA131,1,0),"")</f>
        <v>0</v>
      </c>
    </row>
    <row r="132" spans="1:57" x14ac:dyDescent="0.4">
      <c r="A132" s="7" t="s">
        <v>111</v>
      </c>
      <c r="B132" s="6" t="str">
        <f t="shared" si="42"/>
        <v>Æ</v>
      </c>
      <c r="C132" s="48" cm="1">
        <f t="array" ref="C132">IF($N132,INDEX($O:$O,MATCH(TRUE,EXACT(B132,$A:$A),0)),"")</f>
        <v>130</v>
      </c>
      <c r="D132" s="38" t="s">
        <v>108</v>
      </c>
      <c r="E132" s="48" cm="1">
        <f t="array" ref="E132">IF($N132,INDEX($O:$O,MATCH(TRUE,EXACT(D132,$A:$A),0)),"")</f>
        <v>127</v>
      </c>
      <c r="F132" s="38" t="s">
        <v>109</v>
      </c>
      <c r="G132" s="48" cm="1">
        <f t="array" ref="G132">IF($O132&lt;&gt;"",INDEX($O:$O,MATCH(TRUE,EXACT(F132,$A:$A),0)),"")</f>
        <v>128</v>
      </c>
      <c r="H132" s="38" t="s">
        <v>110</v>
      </c>
      <c r="I132" s="48" cm="1">
        <f t="array" ref="I132">IF($N132,INDEX($O:$O,MATCH(TRUE,EXACT(H132,$A:$A),0)),"")</f>
        <v>129</v>
      </c>
      <c r="J132" s="38" t="s">
        <v>108</v>
      </c>
      <c r="K132" s="52" cm="1">
        <f t="array" ref="K132">IF($N132,INDEX($O:$O,MATCH(TRUE,EXACT(J132,$A:$A),0)),"")</f>
        <v>127</v>
      </c>
      <c r="L132" s="23"/>
      <c r="M132" s="33"/>
      <c r="N132" s="18" t="b">
        <f t="shared" si="44"/>
        <v>1</v>
      </c>
      <c r="O132" s="19">
        <f>IF(N132, MAX(O$2:O131)+1,"")</f>
        <v>130</v>
      </c>
      <c r="P132" s="23" t="str">
        <f t="shared" si="43"/>
        <v>Æ</v>
      </c>
      <c r="Q132" s="8" t="str" cm="1">
        <f t="array" ref="Q132">CharToUTF8(A132)</f>
        <v>\xC3\x86</v>
      </c>
      <c r="S132" s="18" t="str">
        <f>$AG$2</f>
        <v>EMPTY</v>
      </c>
      <c r="T132" s="24" t="str">
        <f>$AG$10</f>
        <v>ORTHO_RIGHT</v>
      </c>
      <c r="U132" s="24" t="str">
        <f>$AG$2</f>
        <v>EMPTY</v>
      </c>
      <c r="V132" s="21" t="str">
        <f>$AG$8</f>
        <v>ORTHO_DOWN</v>
      </c>
      <c r="X132" s="31" t="b">
        <f t="shared" si="45"/>
        <v>0</v>
      </c>
      <c r="Y132" s="31" t="b">
        <f t="shared" si="46"/>
        <v>0</v>
      </c>
      <c r="Z132" t="b">
        <f t="shared" si="47"/>
        <v>0</v>
      </c>
      <c r="AA132" t="b">
        <f t="shared" si="48"/>
        <v>0</v>
      </c>
      <c r="AB132" t="b">
        <f>IF($N132,S132=VLOOKUP(S132,$AG$2:$AL$10,4,FALSE),"")</f>
        <v>1</v>
      </c>
      <c r="AC132" t="b">
        <f>IF($N132,T132=VLOOKUP(T132,$AG$2:$AL$10,4,FALSE),"")</f>
        <v>0</v>
      </c>
      <c r="AD132" t="b">
        <f>IF($N132,U132=VLOOKUP(U132,$AG$2:$AL$10,5,FALSE),"")</f>
        <v>1</v>
      </c>
      <c r="AE132" t="b">
        <f>IF($N132,V132=VLOOKUP(V132,$AG$2:$AL$10,5,FALSE),"")</f>
        <v>0</v>
      </c>
      <c r="AN132" s="55" t="str">
        <f t="shared" si="38"/>
        <v xml:space="preserve">    { wxString::FromUTF8("\xC3\x86"), &amp;AllGlyphs[127], &amp;AllGlyphs[128], &amp;AllGlyphs[129], &amp;AllGlyphs[127], Connection::EMPTY, Connection::ORTHO_RIGHT, Connection::EMPTY, Connection::ORTHO_DOWN, 0, 0, 0, 0 },</v>
      </c>
      <c r="AO132" s="56"/>
      <c r="AP132" s="56"/>
      <c r="AQ132" s="56"/>
      <c r="AR132" s="56"/>
      <c r="AS132" s="56"/>
      <c r="AT132" s="56"/>
      <c r="AU132" s="57"/>
      <c r="AW132" s="54" t="str">
        <f t="shared" si="49"/>
        <v>&amp;AllGlyphs[127]</v>
      </c>
      <c r="AX132" s="54" t="str">
        <f t="shared" si="50"/>
        <v>&amp;AllGlyphs[128]</v>
      </c>
      <c r="AY132" s="54" t="str">
        <f t="shared" si="51"/>
        <v>&amp;AllGlyphs[129]</v>
      </c>
      <c r="AZ132" s="54" t="str">
        <f t="shared" si="52"/>
        <v>&amp;AllGlyphs[127]</v>
      </c>
      <c r="BB132" s="64">
        <f t="shared" si="53"/>
        <v>0</v>
      </c>
      <c r="BC132" s="64">
        <f t="shared" si="54"/>
        <v>0</v>
      </c>
      <c r="BD132" s="64">
        <f t="shared" si="55"/>
        <v>0</v>
      </c>
      <c r="BE132" s="64">
        <f t="shared" si="56"/>
        <v>0</v>
      </c>
    </row>
    <row r="133" spans="1:57" x14ac:dyDescent="0.4">
      <c r="A133" s="7" t="s">
        <v>112</v>
      </c>
      <c r="B133" s="6" t="str">
        <f t="shared" si="42"/>
        <v>Ç</v>
      </c>
      <c r="C133" s="48" cm="1">
        <f t="array" ref="C133">IF($N133,INDEX($O:$O,MATCH(TRUE,EXACT(B133,$A:$A),0)),"")</f>
        <v>131</v>
      </c>
      <c r="D133" s="38" t="s">
        <v>115</v>
      </c>
      <c r="E133" s="48" cm="1">
        <f t="array" ref="E133">IF($N133,INDEX($O:$O,MATCH(TRUE,EXACT(D133,$A:$A),0)),"")</f>
        <v>134</v>
      </c>
      <c r="F133" s="38" t="s">
        <v>113</v>
      </c>
      <c r="G133" s="48" cm="1">
        <f t="array" ref="G133">IF($O133&lt;&gt;"",INDEX($O:$O,MATCH(TRUE,EXACT(F133,$A:$A),0)),"")</f>
        <v>132</v>
      </c>
      <c r="H133" s="38" t="s">
        <v>113</v>
      </c>
      <c r="I133" s="48" cm="1">
        <f t="array" ref="I133">IF($N133,INDEX($O:$O,MATCH(TRUE,EXACT(H133,$A:$A),0)),"")</f>
        <v>132</v>
      </c>
      <c r="J133" s="38" t="s">
        <v>112</v>
      </c>
      <c r="K133" s="52" cm="1">
        <f t="array" ref="K133">IF($N133,INDEX($O:$O,MATCH(TRUE,EXACT(J133,$A:$A),0)),"")</f>
        <v>131</v>
      </c>
      <c r="L133" s="23"/>
      <c r="M133" s="33"/>
      <c r="N133" s="18" t="b">
        <f t="shared" si="44"/>
        <v>1</v>
      </c>
      <c r="O133" s="19">
        <f>IF(N133, MAX(O$2:O132)+1,"")</f>
        <v>131</v>
      </c>
      <c r="P133" s="23" t="str">
        <f t="shared" si="43"/>
        <v>Ç</v>
      </c>
      <c r="Q133" s="8" t="str" cm="1">
        <f t="array" ref="Q133">CharToUTF8(A133)</f>
        <v>\xC3\x87</v>
      </c>
      <c r="S133" s="18" t="str">
        <f>$AG$4</f>
        <v>ORTHO_BOTH</v>
      </c>
      <c r="T133" s="24" t="str">
        <f>$AG$2</f>
        <v>EMPTY</v>
      </c>
      <c r="U133" s="24" t="str">
        <f>$AG$2</f>
        <v>EMPTY</v>
      </c>
      <c r="V133" s="21" t="str">
        <f>$AG$2</f>
        <v>EMPTY</v>
      </c>
      <c r="X133" s="31" t="b">
        <f t="shared" si="45"/>
        <v>0</v>
      </c>
      <c r="Y133" s="31" t="b">
        <f t="shared" si="46"/>
        <v>0</v>
      </c>
      <c r="Z133" t="b">
        <f t="shared" si="47"/>
        <v>0</v>
      </c>
      <c r="AA133" t="b">
        <f t="shared" si="48"/>
        <v>1</v>
      </c>
      <c r="AB133" t="b">
        <f>IF($N133,S133=VLOOKUP(S133,$AG$2:$AL$10,4,FALSE),"")</f>
        <v>1</v>
      </c>
      <c r="AC133" t="b">
        <f>IF($N133,T133=VLOOKUP(T133,$AG$2:$AL$10,4,FALSE),"")</f>
        <v>1</v>
      </c>
      <c r="AD133" t="b">
        <f>IF($N133,U133=VLOOKUP(U133,$AG$2:$AL$10,5,FALSE),"")</f>
        <v>1</v>
      </c>
      <c r="AE133" t="b">
        <f>IF($N133,V133=VLOOKUP(V133,$AG$2:$AL$10,5,FALSE),"")</f>
        <v>1</v>
      </c>
      <c r="AN133" s="55" t="str">
        <f t="shared" si="38"/>
        <v xml:space="preserve">    { wxString::FromUTF8("\xC3\x87"), &amp;AllGlyphs[134], &amp;AllGlyphs[132], &amp;AllGlyphs[132], &amp;AllGlyphs[131], Connection::ORTHO_BOTH, Connection::EMPTY, Connection::EMPTY, Connection::EMPTY, 0, 0, 0, 1 },</v>
      </c>
      <c r="AO133" s="56"/>
      <c r="AP133" s="56"/>
      <c r="AQ133" s="56"/>
      <c r="AR133" s="56"/>
      <c r="AS133" s="56"/>
      <c r="AT133" s="56"/>
      <c r="AU133" s="57"/>
      <c r="AW133" s="54" t="str">
        <f t="shared" si="49"/>
        <v>&amp;AllGlyphs[134]</v>
      </c>
      <c r="AX133" s="54" t="str">
        <f t="shared" si="50"/>
        <v>&amp;AllGlyphs[132]</v>
      </c>
      <c r="AY133" s="54" t="str">
        <f t="shared" si="51"/>
        <v>&amp;AllGlyphs[132]</v>
      </c>
      <c r="AZ133" s="54" t="str">
        <f t="shared" si="52"/>
        <v>&amp;AllGlyphs[131]</v>
      </c>
      <c r="BB133" s="64">
        <f t="shared" si="53"/>
        <v>0</v>
      </c>
      <c r="BC133" s="64">
        <f t="shared" si="54"/>
        <v>0</v>
      </c>
      <c r="BD133" s="64">
        <f t="shared" si="55"/>
        <v>0</v>
      </c>
      <c r="BE133" s="64">
        <f t="shared" si="56"/>
        <v>1</v>
      </c>
    </row>
    <row r="134" spans="1:57" x14ac:dyDescent="0.4">
      <c r="A134" s="7" t="s">
        <v>113</v>
      </c>
      <c r="B134" s="6" t="str">
        <f t="shared" si="42"/>
        <v>È</v>
      </c>
      <c r="C134" s="48" cm="1">
        <f t="array" ref="C134">IF($N134,INDEX($O:$O,MATCH(TRUE,EXACT(B134,$A:$A),0)),"")</f>
        <v>132</v>
      </c>
      <c r="D134" s="38" t="s">
        <v>114</v>
      </c>
      <c r="E134" s="48" cm="1">
        <f t="array" ref="E134">IF($N134,INDEX($O:$O,MATCH(TRUE,EXACT(D134,$A:$A),0)),"")</f>
        <v>133</v>
      </c>
      <c r="F134" s="38" t="s">
        <v>112</v>
      </c>
      <c r="G134" s="48" cm="1">
        <f t="array" ref="G134">IF($O134&lt;&gt;"",INDEX($O:$O,MATCH(TRUE,EXACT(F134,$A:$A),0)),"")</f>
        <v>131</v>
      </c>
      <c r="H134" s="38" t="s">
        <v>112</v>
      </c>
      <c r="I134" s="48" cm="1">
        <f t="array" ref="I134">IF($N134,INDEX($O:$O,MATCH(TRUE,EXACT(H134,$A:$A),0)),"")</f>
        <v>131</v>
      </c>
      <c r="J134" s="38" t="s">
        <v>113</v>
      </c>
      <c r="K134" s="52" cm="1">
        <f t="array" ref="K134">IF($N134,INDEX($O:$O,MATCH(TRUE,EXACT(J134,$A:$A),0)),"")</f>
        <v>132</v>
      </c>
      <c r="L134" s="23"/>
      <c r="M134" s="33"/>
      <c r="N134" s="18" t="b">
        <f t="shared" si="44"/>
        <v>1</v>
      </c>
      <c r="O134" s="19">
        <f>IF(N134, MAX(O$2:O133)+1,"")</f>
        <v>132</v>
      </c>
      <c r="P134" s="23" t="str">
        <f t="shared" si="43"/>
        <v>È</v>
      </c>
      <c r="Q134" s="8" t="str" cm="1">
        <f t="array" ref="Q134">CharToUTF8(A134)</f>
        <v>\xC3\x88</v>
      </c>
      <c r="S134" s="18" t="str">
        <f>$AG$2</f>
        <v>EMPTY</v>
      </c>
      <c r="T134" s="24" t="str">
        <f>$AG$4</f>
        <v>ORTHO_BOTH</v>
      </c>
      <c r="U134" s="24" t="str">
        <f>$AG$2</f>
        <v>EMPTY</v>
      </c>
      <c r="V134" s="21" t="str">
        <f>$AG$2</f>
        <v>EMPTY</v>
      </c>
      <c r="X134" s="31" t="b">
        <f t="shared" si="45"/>
        <v>0</v>
      </c>
      <c r="Y134" s="31" t="b">
        <f t="shared" si="46"/>
        <v>0</v>
      </c>
      <c r="Z134" t="b">
        <f t="shared" si="47"/>
        <v>0</v>
      </c>
      <c r="AA134" t="b">
        <f t="shared" si="48"/>
        <v>1</v>
      </c>
      <c r="AB134" t="b">
        <f>IF($N134,S134=VLOOKUP(S134,$AG$2:$AL$10,4,FALSE),"")</f>
        <v>1</v>
      </c>
      <c r="AC134" t="b">
        <f>IF($N134,T134=VLOOKUP(T134,$AG$2:$AL$10,4,FALSE),"")</f>
        <v>1</v>
      </c>
      <c r="AD134" t="b">
        <f>IF($N134,U134=VLOOKUP(U134,$AG$2:$AL$10,5,FALSE),"")</f>
        <v>1</v>
      </c>
      <c r="AE134" t="b">
        <f>IF($N134,V134=VLOOKUP(V134,$AG$2:$AL$10,5,FALSE),"")</f>
        <v>1</v>
      </c>
      <c r="AN134" s="55" t="str">
        <f t="shared" si="38"/>
        <v xml:space="preserve">    { wxString::FromUTF8("\xC3\x88"), &amp;AllGlyphs[133], &amp;AllGlyphs[131], &amp;AllGlyphs[131], &amp;AllGlyphs[132], Connection::EMPTY, Connection::ORTHO_BOTH, Connection::EMPTY, Connection::EMPTY, 0, 0, 0, 1 },</v>
      </c>
      <c r="AO134" s="56"/>
      <c r="AP134" s="56"/>
      <c r="AQ134" s="56"/>
      <c r="AR134" s="56"/>
      <c r="AS134" s="56"/>
      <c r="AT134" s="56"/>
      <c r="AU134" s="57"/>
      <c r="AW134" s="54" t="str">
        <f t="shared" si="49"/>
        <v>&amp;AllGlyphs[133]</v>
      </c>
      <c r="AX134" s="54" t="str">
        <f t="shared" si="50"/>
        <v>&amp;AllGlyphs[131]</v>
      </c>
      <c r="AY134" s="54" t="str">
        <f t="shared" si="51"/>
        <v>&amp;AllGlyphs[131]</v>
      </c>
      <c r="AZ134" s="54" t="str">
        <f t="shared" si="52"/>
        <v>&amp;AllGlyphs[132]</v>
      </c>
      <c r="BB134" s="64">
        <f t="shared" si="53"/>
        <v>0</v>
      </c>
      <c r="BC134" s="64">
        <f t="shared" si="54"/>
        <v>0</v>
      </c>
      <c r="BD134" s="64">
        <f t="shared" si="55"/>
        <v>0</v>
      </c>
      <c r="BE134" s="64">
        <f t="shared" si="56"/>
        <v>1</v>
      </c>
    </row>
    <row r="135" spans="1:57" x14ac:dyDescent="0.4">
      <c r="A135" s="7" t="s">
        <v>114</v>
      </c>
      <c r="B135" s="6" t="str">
        <f t="shared" si="42"/>
        <v>É</v>
      </c>
      <c r="C135" s="48" cm="1">
        <f t="array" ref="C135">IF($N135,INDEX($O:$O,MATCH(TRUE,EXACT(B135,$A:$A),0)),"")</f>
        <v>133</v>
      </c>
      <c r="D135" s="38" t="s">
        <v>112</v>
      </c>
      <c r="E135" s="48" cm="1">
        <f t="array" ref="E135">IF($N135,INDEX($O:$O,MATCH(TRUE,EXACT(D135,$A:$A),0)),"")</f>
        <v>131</v>
      </c>
      <c r="F135" s="38" t="s">
        <v>115</v>
      </c>
      <c r="G135" s="48" cm="1">
        <f t="array" ref="G135">IF($O135&lt;&gt;"",INDEX($O:$O,MATCH(TRUE,EXACT(F135,$A:$A),0)),"")</f>
        <v>134</v>
      </c>
      <c r="H135" s="38" t="s">
        <v>114</v>
      </c>
      <c r="I135" s="48" cm="1">
        <f t="array" ref="I135">IF($N135,INDEX($O:$O,MATCH(TRUE,EXACT(H135,$A:$A),0)),"")</f>
        <v>133</v>
      </c>
      <c r="J135" s="38" t="s">
        <v>115</v>
      </c>
      <c r="K135" s="52" cm="1">
        <f t="array" ref="K135">IF($N135,INDEX($O:$O,MATCH(TRUE,EXACT(J135,$A:$A),0)),"")</f>
        <v>134</v>
      </c>
      <c r="L135" s="23"/>
      <c r="M135" s="33"/>
      <c r="N135" s="18" t="b">
        <f t="shared" si="44"/>
        <v>1</v>
      </c>
      <c r="O135" s="19">
        <f>IF(N135, MAX(O$2:O134)+1,"")</f>
        <v>133</v>
      </c>
      <c r="P135" s="23" t="str">
        <f t="shared" si="43"/>
        <v>É</v>
      </c>
      <c r="Q135" s="8" t="str" cm="1">
        <f t="array" ref="Q135">CharToUTF8(A135)</f>
        <v>\xC3\x89</v>
      </c>
      <c r="S135" s="18" t="str">
        <f>$AG$2</f>
        <v>EMPTY</v>
      </c>
      <c r="T135" s="24" t="str">
        <f>$AG$2</f>
        <v>EMPTY</v>
      </c>
      <c r="U135" s="24" t="str">
        <f>$AG$4</f>
        <v>ORTHO_BOTH</v>
      </c>
      <c r="V135" s="21" t="str">
        <f>$AG$2</f>
        <v>EMPTY</v>
      </c>
      <c r="X135" s="31" t="b">
        <f t="shared" si="45"/>
        <v>0</v>
      </c>
      <c r="Y135" s="31" t="b">
        <f t="shared" si="46"/>
        <v>0</v>
      </c>
      <c r="Z135" t="b">
        <f t="shared" si="47"/>
        <v>1</v>
      </c>
      <c r="AA135" t="b">
        <f t="shared" si="48"/>
        <v>0</v>
      </c>
      <c r="AB135" t="b">
        <f>IF($N135,S135=VLOOKUP(S135,$AG$2:$AL$10,4,FALSE),"")</f>
        <v>1</v>
      </c>
      <c r="AC135" t="b">
        <f>IF($N135,T135=VLOOKUP(T135,$AG$2:$AL$10,4,FALSE),"")</f>
        <v>1</v>
      </c>
      <c r="AD135" t="b">
        <f>IF($N135,U135=VLOOKUP(U135,$AG$2:$AL$10,5,FALSE),"")</f>
        <v>1</v>
      </c>
      <c r="AE135" t="b">
        <f>IF($N135,V135=VLOOKUP(V135,$AG$2:$AL$10,5,FALSE),"")</f>
        <v>1</v>
      </c>
      <c r="AN135" s="55" t="str">
        <f t="shared" si="38"/>
        <v xml:space="preserve">    { wxString::FromUTF8("\xC3\x89"), &amp;AllGlyphs[131], &amp;AllGlyphs[134], &amp;AllGlyphs[133], &amp;AllGlyphs[134], Connection::EMPTY, Connection::EMPTY, Connection::ORTHO_BOTH, Connection::EMPTY, 0, 0, 1, 0 },</v>
      </c>
      <c r="AO135" s="56"/>
      <c r="AP135" s="56"/>
      <c r="AQ135" s="56"/>
      <c r="AR135" s="56"/>
      <c r="AS135" s="56"/>
      <c r="AT135" s="56"/>
      <c r="AU135" s="57"/>
      <c r="AW135" s="54" t="str">
        <f t="shared" si="49"/>
        <v>&amp;AllGlyphs[131]</v>
      </c>
      <c r="AX135" s="54" t="str">
        <f t="shared" si="50"/>
        <v>&amp;AllGlyphs[134]</v>
      </c>
      <c r="AY135" s="54" t="str">
        <f t="shared" si="51"/>
        <v>&amp;AllGlyphs[133]</v>
      </c>
      <c r="AZ135" s="54" t="str">
        <f t="shared" si="52"/>
        <v>&amp;AllGlyphs[134]</v>
      </c>
      <c r="BB135" s="64">
        <f t="shared" si="53"/>
        <v>0</v>
      </c>
      <c r="BC135" s="64">
        <f t="shared" si="54"/>
        <v>0</v>
      </c>
      <c r="BD135" s="64">
        <f t="shared" si="55"/>
        <v>1</v>
      </c>
      <c r="BE135" s="64">
        <f t="shared" si="56"/>
        <v>0</v>
      </c>
    </row>
    <row r="136" spans="1:57" x14ac:dyDescent="0.4">
      <c r="A136" s="7" t="s">
        <v>115</v>
      </c>
      <c r="B136" s="6" t="str">
        <f t="shared" si="42"/>
        <v>Ê</v>
      </c>
      <c r="C136" s="48" cm="1">
        <f t="array" ref="C136">IF($N136,INDEX($O:$O,MATCH(TRUE,EXACT(B136,$A:$A),0)),"")</f>
        <v>134</v>
      </c>
      <c r="D136" s="38" t="s">
        <v>113</v>
      </c>
      <c r="E136" s="48" cm="1">
        <f t="array" ref="E136">IF($N136,INDEX($O:$O,MATCH(TRUE,EXACT(D136,$A:$A),0)),"")</f>
        <v>132</v>
      </c>
      <c r="F136" s="38" t="s">
        <v>114</v>
      </c>
      <c r="G136" s="48" cm="1">
        <f t="array" ref="G136">IF($O136&lt;&gt;"",INDEX($O:$O,MATCH(TRUE,EXACT(F136,$A:$A),0)),"")</f>
        <v>133</v>
      </c>
      <c r="H136" s="38" t="s">
        <v>115</v>
      </c>
      <c r="I136" s="48" cm="1">
        <f t="array" ref="I136">IF($N136,INDEX($O:$O,MATCH(TRUE,EXACT(H136,$A:$A),0)),"")</f>
        <v>134</v>
      </c>
      <c r="J136" s="38" t="s">
        <v>114</v>
      </c>
      <c r="K136" s="52" cm="1">
        <f t="array" ref="K136">IF($N136,INDEX($O:$O,MATCH(TRUE,EXACT(J136,$A:$A),0)),"")</f>
        <v>133</v>
      </c>
      <c r="L136" s="23"/>
      <c r="M136" s="33"/>
      <c r="N136" s="18" t="b">
        <f t="shared" si="44"/>
        <v>1</v>
      </c>
      <c r="O136" s="19">
        <f>IF(N136, MAX(O$2:O135)+1,"")</f>
        <v>134</v>
      </c>
      <c r="P136" s="23" t="str">
        <f t="shared" si="43"/>
        <v>Ê</v>
      </c>
      <c r="Q136" s="8" t="str" cm="1">
        <f t="array" ref="Q136">CharToUTF8(A136)</f>
        <v>\xC3\x8A</v>
      </c>
      <c r="S136" s="18" t="str">
        <f>$AG$2</f>
        <v>EMPTY</v>
      </c>
      <c r="T136" s="24" t="str">
        <f>$AG$2</f>
        <v>EMPTY</v>
      </c>
      <c r="U136" s="24" t="str">
        <f>$AG$2</f>
        <v>EMPTY</v>
      </c>
      <c r="V136" s="21" t="str">
        <f>$AG$4</f>
        <v>ORTHO_BOTH</v>
      </c>
      <c r="X136" s="31" t="b">
        <f t="shared" si="45"/>
        <v>0</v>
      </c>
      <c r="Y136" s="31" t="b">
        <f t="shared" si="46"/>
        <v>0</v>
      </c>
      <c r="Z136" t="b">
        <f t="shared" si="47"/>
        <v>1</v>
      </c>
      <c r="AA136" t="b">
        <f t="shared" si="48"/>
        <v>0</v>
      </c>
      <c r="AB136" t="b">
        <f>IF($N136,S136=VLOOKUP(S136,$AG$2:$AL$10,4,FALSE),"")</f>
        <v>1</v>
      </c>
      <c r="AC136" t="b">
        <f>IF($N136,T136=VLOOKUP(T136,$AG$2:$AL$10,4,FALSE),"")</f>
        <v>1</v>
      </c>
      <c r="AD136" t="b">
        <f>IF($N136,U136=VLOOKUP(U136,$AG$2:$AL$10,5,FALSE),"")</f>
        <v>1</v>
      </c>
      <c r="AE136" t="b">
        <f>IF($N136,V136=VLOOKUP(V136,$AG$2:$AL$10,5,FALSE),"")</f>
        <v>1</v>
      </c>
      <c r="AN136" s="55" t="str">
        <f t="shared" si="38"/>
        <v xml:space="preserve">    { wxString::FromUTF8("\xC3\x8A"), &amp;AllGlyphs[132], &amp;AllGlyphs[133], &amp;AllGlyphs[134], &amp;AllGlyphs[133], Connection::EMPTY, Connection::EMPTY, Connection::EMPTY, Connection::ORTHO_BOTH, 0, 0, 1, 0 },</v>
      </c>
      <c r="AO136" s="56"/>
      <c r="AP136" s="56"/>
      <c r="AQ136" s="56"/>
      <c r="AR136" s="56"/>
      <c r="AS136" s="56"/>
      <c r="AT136" s="56"/>
      <c r="AU136" s="57"/>
      <c r="AW136" s="54" t="str">
        <f t="shared" si="49"/>
        <v>&amp;AllGlyphs[132]</v>
      </c>
      <c r="AX136" s="54" t="str">
        <f t="shared" si="50"/>
        <v>&amp;AllGlyphs[133]</v>
      </c>
      <c r="AY136" s="54" t="str">
        <f t="shared" si="51"/>
        <v>&amp;AllGlyphs[134]</v>
      </c>
      <c r="AZ136" s="54" t="str">
        <f t="shared" si="52"/>
        <v>&amp;AllGlyphs[133]</v>
      </c>
      <c r="BB136" s="64">
        <f t="shared" si="53"/>
        <v>0</v>
      </c>
      <c r="BC136" s="64">
        <f t="shared" si="54"/>
        <v>0</v>
      </c>
      <c r="BD136" s="64">
        <f t="shared" si="55"/>
        <v>1</v>
      </c>
      <c r="BE136" s="64">
        <f t="shared" si="56"/>
        <v>0</v>
      </c>
    </row>
    <row r="137" spans="1:57" x14ac:dyDescent="0.4">
      <c r="A137" s="7" t="s">
        <v>116</v>
      </c>
      <c r="B137" s="6" t="str">
        <f t="shared" si="42"/>
        <v>Ë</v>
      </c>
      <c r="C137" s="48" cm="1">
        <f t="array" ref="C137">IF($N137,INDEX($O:$O,MATCH(TRUE,EXACT(B137,$A:$A),0)),"")</f>
        <v>135</v>
      </c>
      <c r="D137" s="38" t="s">
        <v>117</v>
      </c>
      <c r="E137" s="48" cm="1">
        <f t="array" ref="E137">IF($N137,INDEX($O:$O,MATCH(TRUE,EXACT(D137,$A:$A),0)),"")</f>
        <v>136</v>
      </c>
      <c r="F137" s="38" t="s">
        <v>119</v>
      </c>
      <c r="G137" s="48" cm="1">
        <f t="array" ref="G137">IF($O137&lt;&gt;"",INDEX($O:$O,MATCH(TRUE,EXACT(F137,$A:$A),0)),"")</f>
        <v>138</v>
      </c>
      <c r="H137" s="38" t="s">
        <v>118</v>
      </c>
      <c r="I137" s="48" cm="1">
        <f t="array" ref="I137">IF($N137,INDEX($O:$O,MATCH(TRUE,EXACT(H137,$A:$A),0)),"")</f>
        <v>137</v>
      </c>
      <c r="J137" s="38" t="s">
        <v>117</v>
      </c>
      <c r="K137" s="52" cm="1">
        <f t="array" ref="K137">IF($N137,INDEX($O:$O,MATCH(TRUE,EXACT(J137,$A:$A),0)),"")</f>
        <v>136</v>
      </c>
      <c r="L137" s="23"/>
      <c r="M137" s="33"/>
      <c r="N137" s="18" t="b">
        <f t="shared" si="44"/>
        <v>1</v>
      </c>
      <c r="O137" s="19">
        <f>IF(N137, MAX(O$2:O136)+1,"")</f>
        <v>135</v>
      </c>
      <c r="P137" s="23" t="str">
        <f t="shared" si="43"/>
        <v>Ë</v>
      </c>
      <c r="Q137" s="8" t="str" cm="1">
        <f t="array" ref="Q137">CharToUTF8(A137)</f>
        <v>\xC3\x8B</v>
      </c>
      <c r="S137" s="18" t="str">
        <f>$AG$2</f>
        <v>EMPTY</v>
      </c>
      <c r="T137" s="24" t="str">
        <f>$AG$9</f>
        <v>ORTHO_LEFT</v>
      </c>
      <c r="U137" s="24" t="str">
        <f>$AG$2</f>
        <v>EMPTY</v>
      </c>
      <c r="V137" s="21" t="str">
        <f>$AG$7</f>
        <v>ORTHO_UP</v>
      </c>
      <c r="X137" s="31" t="b">
        <f t="shared" si="45"/>
        <v>0</v>
      </c>
      <c r="Y137" s="31" t="b">
        <f t="shared" si="46"/>
        <v>0</v>
      </c>
      <c r="Z137" t="b">
        <f t="shared" si="47"/>
        <v>0</v>
      </c>
      <c r="AA137" t="b">
        <f t="shared" si="48"/>
        <v>0</v>
      </c>
      <c r="AB137" t="b">
        <f>IF($N137,S137=VLOOKUP(S137,$AG$2:$AL$10,4,FALSE),"")</f>
        <v>1</v>
      </c>
      <c r="AC137" t="b">
        <f>IF($N137,T137=VLOOKUP(T137,$AG$2:$AL$10,4,FALSE),"")</f>
        <v>0</v>
      </c>
      <c r="AD137" t="b">
        <f>IF($N137,U137=VLOOKUP(U137,$AG$2:$AL$10,5,FALSE),"")</f>
        <v>1</v>
      </c>
      <c r="AE137" t="b">
        <f>IF($N137,V137=VLOOKUP(V137,$AG$2:$AL$10,5,FALSE),"")</f>
        <v>0</v>
      </c>
      <c r="AN137" s="55" t="str">
        <f t="shared" si="38"/>
        <v xml:space="preserve">    { wxString::FromUTF8("\xC3\x8B"), &amp;AllGlyphs[136], &amp;AllGlyphs[138], &amp;AllGlyphs[137], &amp;AllGlyphs[136], Connection::EMPTY, Connection::ORTHO_LEFT, Connection::EMPTY, Connection::ORTHO_UP, 0, 0, 0, 0 },</v>
      </c>
      <c r="AO137" s="56"/>
      <c r="AP137" s="56"/>
      <c r="AQ137" s="56"/>
      <c r="AR137" s="56"/>
      <c r="AS137" s="56"/>
      <c r="AT137" s="56"/>
      <c r="AU137" s="57"/>
      <c r="AW137" s="54" t="str">
        <f t="shared" si="49"/>
        <v>&amp;AllGlyphs[136]</v>
      </c>
      <c r="AX137" s="54" t="str">
        <f t="shared" si="50"/>
        <v>&amp;AllGlyphs[138]</v>
      </c>
      <c r="AY137" s="54" t="str">
        <f t="shared" si="51"/>
        <v>&amp;AllGlyphs[137]</v>
      </c>
      <c r="AZ137" s="54" t="str">
        <f t="shared" si="52"/>
        <v>&amp;AllGlyphs[136]</v>
      </c>
      <c r="BB137" s="64">
        <f t="shared" si="53"/>
        <v>0</v>
      </c>
      <c r="BC137" s="64">
        <f t="shared" si="54"/>
        <v>0</v>
      </c>
      <c r="BD137" s="64">
        <f t="shared" si="55"/>
        <v>0</v>
      </c>
      <c r="BE137" s="64">
        <f t="shared" si="56"/>
        <v>0</v>
      </c>
    </row>
    <row r="138" spans="1:57" x14ac:dyDescent="0.4">
      <c r="A138" s="7" t="s">
        <v>117</v>
      </c>
      <c r="B138" s="6" t="str">
        <f t="shared" si="42"/>
        <v>Ì</v>
      </c>
      <c r="C138" s="48" cm="1">
        <f t="array" ref="C138">IF($N138,INDEX($O:$O,MATCH(TRUE,EXACT(B138,$A:$A),0)),"")</f>
        <v>136</v>
      </c>
      <c r="D138" s="38" t="s">
        <v>119</v>
      </c>
      <c r="E138" s="48" cm="1">
        <f t="array" ref="E138">IF($N138,INDEX($O:$O,MATCH(TRUE,EXACT(D138,$A:$A),0)),"")</f>
        <v>138</v>
      </c>
      <c r="F138" s="38" t="s">
        <v>118</v>
      </c>
      <c r="G138" s="48" cm="1">
        <f t="array" ref="G138">IF($O138&lt;&gt;"",INDEX($O:$O,MATCH(TRUE,EXACT(F138,$A:$A),0)),"")</f>
        <v>137</v>
      </c>
      <c r="H138" s="38" t="s">
        <v>119</v>
      </c>
      <c r="I138" s="48" cm="1">
        <f t="array" ref="I138">IF($N138,INDEX($O:$O,MATCH(TRUE,EXACT(H138,$A:$A),0)),"")</f>
        <v>138</v>
      </c>
      <c r="J138" s="38" t="s">
        <v>116</v>
      </c>
      <c r="K138" s="52" cm="1">
        <f t="array" ref="K138">IF($N138,INDEX($O:$O,MATCH(TRUE,EXACT(J138,$A:$A),0)),"")</f>
        <v>135</v>
      </c>
      <c r="L138" s="23"/>
      <c r="M138" s="33"/>
      <c r="N138" s="18" t="b">
        <f t="shared" si="44"/>
        <v>1</v>
      </c>
      <c r="O138" s="19">
        <f>IF(N138, MAX(O$2:O137)+1,"")</f>
        <v>136</v>
      </c>
      <c r="P138" s="23" t="str">
        <f t="shared" si="43"/>
        <v>Ì</v>
      </c>
      <c r="Q138" s="8" t="str" cm="1">
        <f t="array" ref="Q138">CharToUTF8(A138)</f>
        <v>\xC3\x8C</v>
      </c>
      <c r="S138" s="18" t="str">
        <f>$AG$2</f>
        <v>EMPTY</v>
      </c>
      <c r="T138" s="24" t="str">
        <f>$AG$10</f>
        <v>ORTHO_RIGHT</v>
      </c>
      <c r="U138" s="24" t="str">
        <f>$AG$7</f>
        <v>ORTHO_UP</v>
      </c>
      <c r="V138" s="21" t="str">
        <f>$AG$2</f>
        <v>EMPTY</v>
      </c>
      <c r="X138" s="31" t="b">
        <f t="shared" si="45"/>
        <v>0</v>
      </c>
      <c r="Y138" s="31" t="b">
        <f t="shared" si="46"/>
        <v>0</v>
      </c>
      <c r="Z138" t="b">
        <f t="shared" si="47"/>
        <v>0</v>
      </c>
      <c r="AA138" t="b">
        <f t="shared" si="48"/>
        <v>0</v>
      </c>
      <c r="AB138" t="b">
        <f>IF($N138,S138=VLOOKUP(S138,$AG$2:$AL$10,4,FALSE),"")</f>
        <v>1</v>
      </c>
      <c r="AC138" t="b">
        <f>IF($N138,T138=VLOOKUP(T138,$AG$2:$AL$10,4,FALSE),"")</f>
        <v>0</v>
      </c>
      <c r="AD138" t="b">
        <f>IF($N138,U138=VLOOKUP(U138,$AG$2:$AL$10,5,FALSE),"")</f>
        <v>0</v>
      </c>
      <c r="AE138" t="b">
        <f>IF($N138,V138=VLOOKUP(V138,$AG$2:$AL$10,5,FALSE),"")</f>
        <v>1</v>
      </c>
      <c r="AN138" s="55" t="str">
        <f t="shared" si="38"/>
        <v xml:space="preserve">    { wxString::FromUTF8("\xC3\x8C"), &amp;AllGlyphs[138], &amp;AllGlyphs[137], &amp;AllGlyphs[138], &amp;AllGlyphs[135], Connection::EMPTY, Connection::ORTHO_RIGHT, Connection::ORTHO_UP, Connection::EMPTY, 0, 0, 0, 0 },</v>
      </c>
      <c r="AO138" s="56"/>
      <c r="AP138" s="56"/>
      <c r="AQ138" s="56"/>
      <c r="AR138" s="56"/>
      <c r="AS138" s="56"/>
      <c r="AT138" s="56"/>
      <c r="AU138" s="57"/>
      <c r="AW138" s="54" t="str">
        <f t="shared" si="49"/>
        <v>&amp;AllGlyphs[138]</v>
      </c>
      <c r="AX138" s="54" t="str">
        <f t="shared" si="50"/>
        <v>&amp;AllGlyphs[137]</v>
      </c>
      <c r="AY138" s="54" t="str">
        <f t="shared" si="51"/>
        <v>&amp;AllGlyphs[138]</v>
      </c>
      <c r="AZ138" s="54" t="str">
        <f t="shared" si="52"/>
        <v>&amp;AllGlyphs[135]</v>
      </c>
      <c r="BB138" s="64">
        <f t="shared" si="53"/>
        <v>0</v>
      </c>
      <c r="BC138" s="64">
        <f t="shared" si="54"/>
        <v>0</v>
      </c>
      <c r="BD138" s="64">
        <f t="shared" si="55"/>
        <v>0</v>
      </c>
      <c r="BE138" s="64">
        <f t="shared" si="56"/>
        <v>0</v>
      </c>
    </row>
    <row r="139" spans="1:57" x14ac:dyDescent="0.4">
      <c r="A139" s="7" t="s">
        <v>118</v>
      </c>
      <c r="B139" s="6" t="str">
        <f t="shared" si="42"/>
        <v>Í</v>
      </c>
      <c r="C139" s="48" cm="1">
        <f t="array" ref="C139">IF($N139,INDEX($O:$O,MATCH(TRUE,EXACT(B139,$A:$A),0)),"")</f>
        <v>137</v>
      </c>
      <c r="D139" s="38" t="s">
        <v>116</v>
      </c>
      <c r="E139" s="48" cm="1">
        <f t="array" ref="E139">IF($N139,INDEX($O:$O,MATCH(TRUE,EXACT(D139,$A:$A),0)),"")</f>
        <v>135</v>
      </c>
      <c r="F139" s="38" t="s">
        <v>117</v>
      </c>
      <c r="G139" s="48" cm="1">
        <f t="array" ref="G139">IF($O139&lt;&gt;"",INDEX($O:$O,MATCH(TRUE,EXACT(F139,$A:$A),0)),"")</f>
        <v>136</v>
      </c>
      <c r="H139" s="38" t="s">
        <v>116</v>
      </c>
      <c r="I139" s="48" cm="1">
        <f t="array" ref="I139">IF($N139,INDEX($O:$O,MATCH(TRUE,EXACT(H139,$A:$A),0)),"")</f>
        <v>135</v>
      </c>
      <c r="J139" s="38" t="s">
        <v>119</v>
      </c>
      <c r="K139" s="52" cm="1">
        <f t="array" ref="K139">IF($N139,INDEX($O:$O,MATCH(TRUE,EXACT(J139,$A:$A),0)),"")</f>
        <v>138</v>
      </c>
      <c r="L139" s="23"/>
      <c r="M139" s="33"/>
      <c r="N139" s="18" t="b">
        <f t="shared" si="44"/>
        <v>1</v>
      </c>
      <c r="O139" s="19">
        <f>IF(N139, MAX(O$2:O138)+1,"")</f>
        <v>137</v>
      </c>
      <c r="P139" s="23" t="str">
        <f t="shared" si="43"/>
        <v>Í</v>
      </c>
      <c r="Q139" s="8" t="str" cm="1">
        <f t="array" ref="Q139">CharToUTF8(A139)</f>
        <v>\xC3\x8D</v>
      </c>
      <c r="S139" s="18" t="str">
        <f>$AG$9</f>
        <v>ORTHO_LEFT</v>
      </c>
      <c r="T139" s="24" t="str">
        <f>$AG$2</f>
        <v>EMPTY</v>
      </c>
      <c r="U139" s="24" t="str">
        <f>$AG$2</f>
        <v>EMPTY</v>
      </c>
      <c r="V139" s="21" t="str">
        <f>$AG$8</f>
        <v>ORTHO_DOWN</v>
      </c>
      <c r="X139" s="31" t="b">
        <f t="shared" si="45"/>
        <v>0</v>
      </c>
      <c r="Y139" s="31" t="b">
        <f t="shared" si="46"/>
        <v>0</v>
      </c>
      <c r="Z139" t="b">
        <f t="shared" si="47"/>
        <v>0</v>
      </c>
      <c r="AA139" t="b">
        <f t="shared" si="48"/>
        <v>0</v>
      </c>
      <c r="AB139" t="b">
        <f>IF($N139,S139=VLOOKUP(S139,$AG$2:$AL$10,4,FALSE),"")</f>
        <v>0</v>
      </c>
      <c r="AC139" t="b">
        <f>IF($N139,T139=VLOOKUP(T139,$AG$2:$AL$10,4,FALSE),"")</f>
        <v>1</v>
      </c>
      <c r="AD139" t="b">
        <f>IF($N139,U139=VLOOKUP(U139,$AG$2:$AL$10,5,FALSE),"")</f>
        <v>1</v>
      </c>
      <c r="AE139" t="b">
        <f>IF($N139,V139=VLOOKUP(V139,$AG$2:$AL$10,5,FALSE),"")</f>
        <v>0</v>
      </c>
      <c r="AN139" s="55" t="str">
        <f t="shared" si="38"/>
        <v xml:space="preserve">    { wxString::FromUTF8("\xC3\x8D"), &amp;AllGlyphs[135], &amp;AllGlyphs[136], &amp;AllGlyphs[135], &amp;AllGlyphs[138], Connection::ORTHO_LEFT, Connection::EMPTY, Connection::EMPTY, Connection::ORTHO_DOWN, 0, 0, 0, 0 },</v>
      </c>
      <c r="AO139" s="56"/>
      <c r="AP139" s="56"/>
      <c r="AQ139" s="56"/>
      <c r="AR139" s="56"/>
      <c r="AS139" s="56"/>
      <c r="AT139" s="56"/>
      <c r="AU139" s="57"/>
      <c r="AW139" s="54" t="str">
        <f t="shared" si="49"/>
        <v>&amp;AllGlyphs[135]</v>
      </c>
      <c r="AX139" s="54" t="str">
        <f t="shared" si="50"/>
        <v>&amp;AllGlyphs[136]</v>
      </c>
      <c r="AY139" s="54" t="str">
        <f t="shared" si="51"/>
        <v>&amp;AllGlyphs[135]</v>
      </c>
      <c r="AZ139" s="54" t="str">
        <f t="shared" si="52"/>
        <v>&amp;AllGlyphs[138]</v>
      </c>
      <c r="BB139" s="64">
        <f t="shared" si="53"/>
        <v>0</v>
      </c>
      <c r="BC139" s="64">
        <f t="shared" si="54"/>
        <v>0</v>
      </c>
      <c r="BD139" s="64">
        <f t="shared" si="55"/>
        <v>0</v>
      </c>
      <c r="BE139" s="64">
        <f t="shared" si="56"/>
        <v>0</v>
      </c>
    </row>
    <row r="140" spans="1:57" x14ac:dyDescent="0.4">
      <c r="A140" s="7" t="s">
        <v>119</v>
      </c>
      <c r="B140" s="6" t="str">
        <f t="shared" si="42"/>
        <v>Î</v>
      </c>
      <c r="C140" s="48" cm="1">
        <f t="array" ref="C140">IF($N140,INDEX($O:$O,MATCH(TRUE,EXACT(B140,$A:$A),0)),"")</f>
        <v>138</v>
      </c>
      <c r="D140" s="38" t="s">
        <v>118</v>
      </c>
      <c r="E140" s="48" cm="1">
        <f t="array" ref="E140">IF($N140,INDEX($O:$O,MATCH(TRUE,EXACT(D140,$A:$A),0)),"")</f>
        <v>137</v>
      </c>
      <c r="F140" s="38" t="s">
        <v>116</v>
      </c>
      <c r="G140" s="48" cm="1">
        <f t="array" ref="G140">IF($O140&lt;&gt;"",INDEX($O:$O,MATCH(TRUE,EXACT(F140,$A:$A),0)),"")</f>
        <v>135</v>
      </c>
      <c r="H140" s="38" t="s">
        <v>117</v>
      </c>
      <c r="I140" s="48" cm="1">
        <f t="array" ref="I140">IF($N140,INDEX($O:$O,MATCH(TRUE,EXACT(H140,$A:$A),0)),"")</f>
        <v>136</v>
      </c>
      <c r="J140" s="38" t="s">
        <v>118</v>
      </c>
      <c r="K140" s="52" cm="1">
        <f t="array" ref="K140">IF($N140,INDEX($O:$O,MATCH(TRUE,EXACT(J140,$A:$A),0)),"")</f>
        <v>137</v>
      </c>
      <c r="L140" s="23"/>
      <c r="M140" s="33"/>
      <c r="N140" s="18" t="b">
        <f t="shared" si="44"/>
        <v>1</v>
      </c>
      <c r="O140" s="19">
        <f>IF(N140, MAX(O$2:O139)+1,"")</f>
        <v>138</v>
      </c>
      <c r="P140" s="23" t="str">
        <f t="shared" si="43"/>
        <v>Î</v>
      </c>
      <c r="Q140" s="8" t="str" cm="1">
        <f t="array" ref="Q140">CharToUTF8(A140)</f>
        <v>\xC3\x8E</v>
      </c>
      <c r="S140" s="18" t="str">
        <f>$AG$10</f>
        <v>ORTHO_RIGHT</v>
      </c>
      <c r="T140" s="24" t="str">
        <f>$AG$2</f>
        <v>EMPTY</v>
      </c>
      <c r="U140" s="24" t="str">
        <f>$AG$8</f>
        <v>ORTHO_DOWN</v>
      </c>
      <c r="V140" s="21" t="str">
        <f>$AG$2</f>
        <v>EMPTY</v>
      </c>
      <c r="X140" s="31" t="b">
        <f t="shared" si="45"/>
        <v>0</v>
      </c>
      <c r="Y140" s="31" t="b">
        <f t="shared" si="46"/>
        <v>0</v>
      </c>
      <c r="Z140" t="b">
        <f t="shared" si="47"/>
        <v>0</v>
      </c>
      <c r="AA140" t="b">
        <f t="shared" si="48"/>
        <v>0</v>
      </c>
      <c r="AB140" t="b">
        <f>IF($N140,S140=VLOOKUP(S140,$AG$2:$AL$10,4,FALSE),"")</f>
        <v>0</v>
      </c>
      <c r="AC140" t="b">
        <f>IF($N140,T140=VLOOKUP(T140,$AG$2:$AL$10,4,FALSE),"")</f>
        <v>1</v>
      </c>
      <c r="AD140" t="b">
        <f>IF($N140,U140=VLOOKUP(U140,$AG$2:$AL$10,5,FALSE),"")</f>
        <v>0</v>
      </c>
      <c r="AE140" t="b">
        <f>IF($N140,V140=VLOOKUP(V140,$AG$2:$AL$10,5,FALSE),"")</f>
        <v>1</v>
      </c>
      <c r="AN140" s="55" t="str">
        <f t="shared" si="38"/>
        <v xml:space="preserve">    { wxString::FromUTF8("\xC3\x8E"), &amp;AllGlyphs[137], &amp;AllGlyphs[135], &amp;AllGlyphs[136], &amp;AllGlyphs[137], Connection::ORTHO_RIGHT, Connection::EMPTY, Connection::ORTHO_DOWN, Connection::EMPTY, 0, 0, 0, 0 },</v>
      </c>
      <c r="AO140" s="56"/>
      <c r="AP140" s="56"/>
      <c r="AQ140" s="56"/>
      <c r="AR140" s="56"/>
      <c r="AS140" s="56"/>
      <c r="AT140" s="56"/>
      <c r="AU140" s="57"/>
      <c r="AW140" s="54" t="str">
        <f t="shared" si="49"/>
        <v>&amp;AllGlyphs[137]</v>
      </c>
      <c r="AX140" s="54" t="str">
        <f t="shared" si="50"/>
        <v>&amp;AllGlyphs[135]</v>
      </c>
      <c r="AY140" s="54" t="str">
        <f t="shared" si="51"/>
        <v>&amp;AllGlyphs[136]</v>
      </c>
      <c r="AZ140" s="54" t="str">
        <f t="shared" si="52"/>
        <v>&amp;AllGlyphs[137]</v>
      </c>
      <c r="BB140" s="64">
        <f t="shared" si="53"/>
        <v>0</v>
      </c>
      <c r="BC140" s="64">
        <f t="shared" si="54"/>
        <v>0</v>
      </c>
      <c r="BD140" s="64">
        <f t="shared" si="55"/>
        <v>0</v>
      </c>
      <c r="BE140" s="64">
        <f t="shared" si="56"/>
        <v>0</v>
      </c>
    </row>
    <row r="141" spans="1:57" x14ac:dyDescent="0.4">
      <c r="A141" s="7" t="s">
        <v>120</v>
      </c>
      <c r="B141" s="6" t="str">
        <f t="shared" si="42"/>
        <v>Ï</v>
      </c>
      <c r="C141" s="48" cm="1">
        <f t="array" ref="C141">IF($N141,INDEX($O:$O,MATCH(TRUE,EXACT(B141,$A:$A),0)),"")</f>
        <v>139</v>
      </c>
      <c r="D141" s="38" t="s">
        <v>121</v>
      </c>
      <c r="E141" s="48" cm="1">
        <f t="array" ref="E141">IF($N141,INDEX($O:$O,MATCH(TRUE,EXACT(D141,$A:$A),0)),"")</f>
        <v>140</v>
      </c>
      <c r="F141" s="38" t="s">
        <v>123</v>
      </c>
      <c r="G141" s="48" cm="1">
        <f t="array" ref="G141">IF($O141&lt;&gt;"",INDEX($O:$O,MATCH(TRUE,EXACT(F141,$A:$A),0)),"")</f>
        <v>142</v>
      </c>
      <c r="H141" s="38" t="s">
        <v>122</v>
      </c>
      <c r="I141" s="48" cm="1">
        <f t="array" ref="I141">IF($N141,INDEX($O:$O,MATCH(TRUE,EXACT(H141,$A:$A),0)),"")</f>
        <v>141</v>
      </c>
      <c r="J141" s="38" t="s">
        <v>121</v>
      </c>
      <c r="K141" s="52" cm="1">
        <f t="array" ref="K141">IF($N141,INDEX($O:$O,MATCH(TRUE,EXACT(J141,$A:$A),0)),"")</f>
        <v>140</v>
      </c>
      <c r="L141" s="23"/>
      <c r="M141" s="33"/>
      <c r="N141" s="18" t="b">
        <f t="shared" si="44"/>
        <v>1</v>
      </c>
      <c r="O141" s="19">
        <f>IF(N141, MAX(O$2:O140)+1,"")</f>
        <v>139</v>
      </c>
      <c r="P141" s="23" t="str">
        <f t="shared" si="43"/>
        <v>Ï</v>
      </c>
      <c r="Q141" s="8" t="str" cm="1">
        <f t="array" ref="Q141">CharToUTF8(A141)</f>
        <v>\xC3\x8F</v>
      </c>
      <c r="S141" s="18" t="str">
        <f>$AG$2</f>
        <v>EMPTY</v>
      </c>
      <c r="T141" s="24" t="str">
        <f>$AG$10</f>
        <v>ORTHO_RIGHT</v>
      </c>
      <c r="U141" s="24" t="str">
        <f>$AG$2</f>
        <v>EMPTY</v>
      </c>
      <c r="V141" s="21" t="str">
        <f>$AG$8</f>
        <v>ORTHO_DOWN</v>
      </c>
      <c r="X141" s="31" t="b">
        <f t="shared" si="45"/>
        <v>0</v>
      </c>
      <c r="Y141" s="31" t="b">
        <f t="shared" si="46"/>
        <v>0</v>
      </c>
      <c r="Z141" t="b">
        <f t="shared" si="47"/>
        <v>0</v>
      </c>
      <c r="AA141" t="b">
        <f t="shared" si="48"/>
        <v>0</v>
      </c>
      <c r="AB141" t="b">
        <f>IF($N141,S141=VLOOKUP(S141,$AG$2:$AL$10,4,FALSE),"")</f>
        <v>1</v>
      </c>
      <c r="AC141" t="b">
        <f>IF($N141,T141=VLOOKUP(T141,$AG$2:$AL$10,4,FALSE),"")</f>
        <v>0</v>
      </c>
      <c r="AD141" t="b">
        <f>IF($N141,U141=VLOOKUP(U141,$AG$2:$AL$10,5,FALSE),"")</f>
        <v>1</v>
      </c>
      <c r="AE141" t="b">
        <f>IF($N141,V141=VLOOKUP(V141,$AG$2:$AL$10,5,FALSE),"")</f>
        <v>0</v>
      </c>
      <c r="AN141" s="55" t="str">
        <f t="shared" si="38"/>
        <v xml:space="preserve">    { wxString::FromUTF8("\xC3\x8F"), &amp;AllGlyphs[140], &amp;AllGlyphs[142], &amp;AllGlyphs[141], &amp;AllGlyphs[140], Connection::EMPTY, Connection::ORTHO_RIGHT, Connection::EMPTY, Connection::ORTHO_DOWN, 0, 0, 0, 0 },</v>
      </c>
      <c r="AO141" s="56"/>
      <c r="AP141" s="56"/>
      <c r="AQ141" s="56"/>
      <c r="AR141" s="56"/>
      <c r="AS141" s="56"/>
      <c r="AT141" s="56"/>
      <c r="AU141" s="57"/>
      <c r="AW141" s="54" t="str">
        <f t="shared" si="49"/>
        <v>&amp;AllGlyphs[140]</v>
      </c>
      <c r="AX141" s="54" t="str">
        <f t="shared" si="50"/>
        <v>&amp;AllGlyphs[142]</v>
      </c>
      <c r="AY141" s="54" t="str">
        <f t="shared" si="51"/>
        <v>&amp;AllGlyphs[141]</v>
      </c>
      <c r="AZ141" s="54" t="str">
        <f t="shared" si="52"/>
        <v>&amp;AllGlyphs[140]</v>
      </c>
      <c r="BB141" s="64">
        <f t="shared" si="53"/>
        <v>0</v>
      </c>
      <c r="BC141" s="64">
        <f t="shared" si="54"/>
        <v>0</v>
      </c>
      <c r="BD141" s="64">
        <f t="shared" si="55"/>
        <v>0</v>
      </c>
      <c r="BE141" s="64">
        <f t="shared" si="56"/>
        <v>0</v>
      </c>
    </row>
    <row r="142" spans="1:57" x14ac:dyDescent="0.4">
      <c r="A142" s="7" t="s">
        <v>121</v>
      </c>
      <c r="B142" s="6" t="str">
        <f t="shared" si="42"/>
        <v>Ð</v>
      </c>
      <c r="C142" s="48" cm="1">
        <f t="array" ref="C142">IF($N142,INDEX($O:$O,MATCH(TRUE,EXACT(B142,$A:$A),0)),"")</f>
        <v>140</v>
      </c>
      <c r="D142" s="38" t="s">
        <v>123</v>
      </c>
      <c r="E142" s="48" cm="1">
        <f t="array" ref="E142">IF($N142,INDEX($O:$O,MATCH(TRUE,EXACT(D142,$A:$A),0)),"")</f>
        <v>142</v>
      </c>
      <c r="F142" s="38" t="s">
        <v>122</v>
      </c>
      <c r="G142" s="48" cm="1">
        <f t="array" ref="G142">IF($O142&lt;&gt;"",INDEX($O:$O,MATCH(TRUE,EXACT(F142,$A:$A),0)),"")</f>
        <v>141</v>
      </c>
      <c r="H142" s="38" t="s">
        <v>123</v>
      </c>
      <c r="I142" s="48" cm="1">
        <f t="array" ref="I142">IF($N142,INDEX($O:$O,MATCH(TRUE,EXACT(H142,$A:$A),0)),"")</f>
        <v>142</v>
      </c>
      <c r="J142" s="38" t="s">
        <v>120</v>
      </c>
      <c r="K142" s="52" cm="1">
        <f t="array" ref="K142">IF($N142,INDEX($O:$O,MATCH(TRUE,EXACT(J142,$A:$A),0)),"")</f>
        <v>139</v>
      </c>
      <c r="L142" s="23"/>
      <c r="M142" s="33"/>
      <c r="N142" s="18" t="b">
        <f t="shared" si="44"/>
        <v>1</v>
      </c>
      <c r="O142" s="19">
        <f>IF(N142, MAX(O$2:O141)+1,"")</f>
        <v>140</v>
      </c>
      <c r="P142" s="23" t="str">
        <f t="shared" si="43"/>
        <v>Ð</v>
      </c>
      <c r="Q142" s="8" t="str" cm="1">
        <f t="array" ref="Q142">CharToUTF8(A142)</f>
        <v>\xC3\x90</v>
      </c>
      <c r="S142" s="18" t="str">
        <f>$AG$2</f>
        <v>EMPTY</v>
      </c>
      <c r="T142" s="24" t="str">
        <f>$AG$9</f>
        <v>ORTHO_LEFT</v>
      </c>
      <c r="U142" s="24" t="str">
        <f>$AG$8</f>
        <v>ORTHO_DOWN</v>
      </c>
      <c r="V142" s="21" t="str">
        <f>$AG$2</f>
        <v>EMPTY</v>
      </c>
      <c r="X142" s="31" t="b">
        <f t="shared" si="45"/>
        <v>0</v>
      </c>
      <c r="Y142" s="31" t="b">
        <f t="shared" si="46"/>
        <v>0</v>
      </c>
      <c r="Z142" t="b">
        <f t="shared" si="47"/>
        <v>0</v>
      </c>
      <c r="AA142" t="b">
        <f t="shared" si="48"/>
        <v>0</v>
      </c>
      <c r="AB142" t="b">
        <f>IF($N142,S142=VLOOKUP(S142,$AG$2:$AL$10,4,FALSE),"")</f>
        <v>1</v>
      </c>
      <c r="AC142" t="b">
        <f>IF($N142,T142=VLOOKUP(T142,$AG$2:$AL$10,4,FALSE),"")</f>
        <v>0</v>
      </c>
      <c r="AD142" t="b">
        <f>IF($N142,U142=VLOOKUP(U142,$AG$2:$AL$10,5,FALSE),"")</f>
        <v>0</v>
      </c>
      <c r="AE142" t="b">
        <f>IF($N142,V142=VLOOKUP(V142,$AG$2:$AL$10,5,FALSE),"")</f>
        <v>1</v>
      </c>
      <c r="AN142" s="55" t="str">
        <f t="shared" si="38"/>
        <v xml:space="preserve">    { wxString::FromUTF8("\xC3\x90"), &amp;AllGlyphs[142], &amp;AllGlyphs[141], &amp;AllGlyphs[142], &amp;AllGlyphs[139], Connection::EMPTY, Connection::ORTHO_LEFT, Connection::ORTHO_DOWN, Connection::EMPTY, 0, 0, 0, 0 },</v>
      </c>
      <c r="AO142" s="56"/>
      <c r="AP142" s="56"/>
      <c r="AQ142" s="56"/>
      <c r="AR142" s="56"/>
      <c r="AS142" s="56"/>
      <c r="AT142" s="56"/>
      <c r="AU142" s="57"/>
      <c r="AW142" s="54" t="str">
        <f t="shared" si="49"/>
        <v>&amp;AllGlyphs[142]</v>
      </c>
      <c r="AX142" s="54" t="str">
        <f t="shared" si="50"/>
        <v>&amp;AllGlyphs[141]</v>
      </c>
      <c r="AY142" s="54" t="str">
        <f t="shared" si="51"/>
        <v>&amp;AllGlyphs[142]</v>
      </c>
      <c r="AZ142" s="54" t="str">
        <f t="shared" si="52"/>
        <v>&amp;AllGlyphs[139]</v>
      </c>
      <c r="BB142" s="64">
        <f t="shared" si="53"/>
        <v>0</v>
      </c>
      <c r="BC142" s="64">
        <f t="shared" si="54"/>
        <v>0</v>
      </c>
      <c r="BD142" s="64">
        <f t="shared" si="55"/>
        <v>0</v>
      </c>
      <c r="BE142" s="64">
        <f t="shared" si="56"/>
        <v>0</v>
      </c>
    </row>
    <row r="143" spans="1:57" x14ac:dyDescent="0.4">
      <c r="A143" s="7" t="s">
        <v>122</v>
      </c>
      <c r="B143" s="6" t="str">
        <f t="shared" si="42"/>
        <v>Ñ</v>
      </c>
      <c r="C143" s="48" cm="1">
        <f t="array" ref="C143">IF($N143,INDEX($O:$O,MATCH(TRUE,EXACT(B143,$A:$A),0)),"")</f>
        <v>141</v>
      </c>
      <c r="D143" s="38" t="s">
        <v>120</v>
      </c>
      <c r="E143" s="48" cm="1">
        <f t="array" ref="E143">IF($N143,INDEX($O:$O,MATCH(TRUE,EXACT(D143,$A:$A),0)),"")</f>
        <v>139</v>
      </c>
      <c r="F143" s="38" t="s">
        <v>121</v>
      </c>
      <c r="G143" s="48" cm="1">
        <f t="array" ref="G143">IF($O143&lt;&gt;"",INDEX($O:$O,MATCH(TRUE,EXACT(F143,$A:$A),0)),"")</f>
        <v>140</v>
      </c>
      <c r="H143" s="38" t="s">
        <v>120</v>
      </c>
      <c r="I143" s="48" cm="1">
        <f t="array" ref="I143">IF($N143,INDEX($O:$O,MATCH(TRUE,EXACT(H143,$A:$A),0)),"")</f>
        <v>139</v>
      </c>
      <c r="J143" s="38" t="s">
        <v>123</v>
      </c>
      <c r="K143" s="52" cm="1">
        <f t="array" ref="K143">IF($N143,INDEX($O:$O,MATCH(TRUE,EXACT(J143,$A:$A),0)),"")</f>
        <v>142</v>
      </c>
      <c r="L143" s="23"/>
      <c r="M143" s="33"/>
      <c r="N143" s="18" t="b">
        <f t="shared" si="44"/>
        <v>1</v>
      </c>
      <c r="O143" s="19">
        <f>IF(N143, MAX(O$2:O142)+1,"")</f>
        <v>141</v>
      </c>
      <c r="P143" s="23" t="str">
        <f t="shared" si="43"/>
        <v>Ñ</v>
      </c>
      <c r="Q143" s="8" t="str" cm="1">
        <f t="array" ref="Q143">CharToUTF8(A143)</f>
        <v>\xC3\x91</v>
      </c>
      <c r="S143" s="18" t="str">
        <f>$AG$10</f>
        <v>ORTHO_RIGHT</v>
      </c>
      <c r="T143" s="24" t="str">
        <f>$AG$2</f>
        <v>EMPTY</v>
      </c>
      <c r="U143" s="24" t="str">
        <f>$AG$2</f>
        <v>EMPTY</v>
      </c>
      <c r="V143" s="21" t="str">
        <f>$AG$7</f>
        <v>ORTHO_UP</v>
      </c>
      <c r="X143" s="31" t="b">
        <f t="shared" si="45"/>
        <v>0</v>
      </c>
      <c r="Y143" s="31" t="b">
        <f t="shared" si="46"/>
        <v>0</v>
      </c>
      <c r="Z143" t="b">
        <f t="shared" si="47"/>
        <v>0</v>
      </c>
      <c r="AA143" t="b">
        <f t="shared" si="48"/>
        <v>0</v>
      </c>
      <c r="AB143" t="b">
        <f>IF($N143,S143=VLOOKUP(S143,$AG$2:$AL$10,4,FALSE),"")</f>
        <v>0</v>
      </c>
      <c r="AC143" t="b">
        <f>IF($N143,T143=VLOOKUP(T143,$AG$2:$AL$10,4,FALSE),"")</f>
        <v>1</v>
      </c>
      <c r="AD143" t="b">
        <f>IF($N143,U143=VLOOKUP(U143,$AG$2:$AL$10,5,FALSE),"")</f>
        <v>1</v>
      </c>
      <c r="AE143" t="b">
        <f>IF($N143,V143=VLOOKUP(V143,$AG$2:$AL$10,5,FALSE),"")</f>
        <v>0</v>
      </c>
      <c r="AN143" s="55" t="str">
        <f t="shared" si="38"/>
        <v xml:space="preserve">    { wxString::FromUTF8("\xC3\x91"), &amp;AllGlyphs[139], &amp;AllGlyphs[140], &amp;AllGlyphs[139], &amp;AllGlyphs[142], Connection::ORTHO_RIGHT, Connection::EMPTY, Connection::EMPTY, Connection::ORTHO_UP, 0, 0, 0, 0 },</v>
      </c>
      <c r="AO143" s="56"/>
      <c r="AP143" s="56"/>
      <c r="AQ143" s="56"/>
      <c r="AR143" s="56"/>
      <c r="AS143" s="56"/>
      <c r="AT143" s="56"/>
      <c r="AU143" s="57"/>
      <c r="AW143" s="54" t="str">
        <f t="shared" si="49"/>
        <v>&amp;AllGlyphs[139]</v>
      </c>
      <c r="AX143" s="54" t="str">
        <f t="shared" si="50"/>
        <v>&amp;AllGlyphs[140]</v>
      </c>
      <c r="AY143" s="54" t="str">
        <f t="shared" si="51"/>
        <v>&amp;AllGlyphs[139]</v>
      </c>
      <c r="AZ143" s="54" t="str">
        <f t="shared" si="52"/>
        <v>&amp;AllGlyphs[142]</v>
      </c>
      <c r="BB143" s="64">
        <f t="shared" si="53"/>
        <v>0</v>
      </c>
      <c r="BC143" s="64">
        <f t="shared" si="54"/>
        <v>0</v>
      </c>
      <c r="BD143" s="64">
        <f t="shared" si="55"/>
        <v>0</v>
      </c>
      <c r="BE143" s="64">
        <f t="shared" si="56"/>
        <v>0</v>
      </c>
    </row>
    <row r="144" spans="1:57" x14ac:dyDescent="0.4">
      <c r="A144" s="7" t="s">
        <v>123</v>
      </c>
      <c r="B144" s="6" t="str">
        <f t="shared" si="42"/>
        <v>Ò</v>
      </c>
      <c r="C144" s="48" cm="1">
        <f t="array" ref="C144">IF($N144,INDEX($O:$O,MATCH(TRUE,EXACT(B144,$A:$A),0)),"")</f>
        <v>142</v>
      </c>
      <c r="D144" s="38" t="s">
        <v>122</v>
      </c>
      <c r="E144" s="48" cm="1">
        <f t="array" ref="E144">IF($N144,INDEX($O:$O,MATCH(TRUE,EXACT(D144,$A:$A),0)),"")</f>
        <v>141</v>
      </c>
      <c r="F144" s="38" t="s">
        <v>120</v>
      </c>
      <c r="G144" s="48" cm="1">
        <f t="array" ref="G144">IF($O144&lt;&gt;"",INDEX($O:$O,MATCH(TRUE,EXACT(F144,$A:$A),0)),"")</f>
        <v>139</v>
      </c>
      <c r="H144" s="38" t="s">
        <v>121</v>
      </c>
      <c r="I144" s="48" cm="1">
        <f t="array" ref="I144">IF($N144,INDEX($O:$O,MATCH(TRUE,EXACT(H144,$A:$A),0)),"")</f>
        <v>140</v>
      </c>
      <c r="J144" s="38" t="s">
        <v>122</v>
      </c>
      <c r="K144" s="52" cm="1">
        <f t="array" ref="K144">IF($N144,INDEX($O:$O,MATCH(TRUE,EXACT(J144,$A:$A),0)),"")</f>
        <v>141</v>
      </c>
      <c r="L144" s="23"/>
      <c r="M144" s="33"/>
      <c r="N144" s="18" t="b">
        <f t="shared" si="44"/>
        <v>1</v>
      </c>
      <c r="O144" s="19">
        <f>IF(N144, MAX(O$2:O143)+1,"")</f>
        <v>142</v>
      </c>
      <c r="P144" s="23" t="str">
        <f t="shared" si="43"/>
        <v>Ò</v>
      </c>
      <c r="Q144" s="8" t="str" cm="1">
        <f t="array" ref="Q144">CharToUTF8(A144)</f>
        <v>\xC3\x92</v>
      </c>
      <c r="S144" s="18" t="str">
        <f>$AG$9</f>
        <v>ORTHO_LEFT</v>
      </c>
      <c r="T144" s="24" t="str">
        <f>$AG$2</f>
        <v>EMPTY</v>
      </c>
      <c r="U144" s="24" t="str">
        <f>$AG$7</f>
        <v>ORTHO_UP</v>
      </c>
      <c r="V144" s="21" t="str">
        <f>$AG$2</f>
        <v>EMPTY</v>
      </c>
      <c r="X144" s="31" t="b">
        <f t="shared" si="45"/>
        <v>0</v>
      </c>
      <c r="Y144" s="31" t="b">
        <f t="shared" si="46"/>
        <v>0</v>
      </c>
      <c r="Z144" t="b">
        <f t="shared" si="47"/>
        <v>0</v>
      </c>
      <c r="AA144" t="b">
        <f t="shared" si="48"/>
        <v>0</v>
      </c>
      <c r="AB144" t="b">
        <f>IF($N144,S144=VLOOKUP(S144,$AG$2:$AL$10,4,FALSE),"")</f>
        <v>0</v>
      </c>
      <c r="AC144" t="b">
        <f>IF($N144,T144=VLOOKUP(T144,$AG$2:$AL$10,4,FALSE),"")</f>
        <v>1</v>
      </c>
      <c r="AD144" t="b">
        <f>IF($N144,U144=VLOOKUP(U144,$AG$2:$AL$10,5,FALSE),"")</f>
        <v>0</v>
      </c>
      <c r="AE144" t="b">
        <f>IF($N144,V144=VLOOKUP(V144,$AG$2:$AL$10,5,FALSE),"")</f>
        <v>1</v>
      </c>
      <c r="AN144" s="55" t="str">
        <f t="shared" si="38"/>
        <v xml:space="preserve">    { wxString::FromUTF8("\xC3\x92"), &amp;AllGlyphs[141], &amp;AllGlyphs[139], &amp;AllGlyphs[140], &amp;AllGlyphs[141], Connection::ORTHO_LEFT, Connection::EMPTY, Connection::ORTHO_UP, Connection::EMPTY, 0, 0, 0, 0 },</v>
      </c>
      <c r="AO144" s="56"/>
      <c r="AP144" s="56"/>
      <c r="AQ144" s="56"/>
      <c r="AR144" s="56"/>
      <c r="AS144" s="56"/>
      <c r="AT144" s="56"/>
      <c r="AU144" s="57"/>
      <c r="AW144" s="54" t="str">
        <f t="shared" si="49"/>
        <v>&amp;AllGlyphs[141]</v>
      </c>
      <c r="AX144" s="54" t="str">
        <f t="shared" si="50"/>
        <v>&amp;AllGlyphs[139]</v>
      </c>
      <c r="AY144" s="54" t="str">
        <f t="shared" si="51"/>
        <v>&amp;AllGlyphs[140]</v>
      </c>
      <c r="AZ144" s="54" t="str">
        <f t="shared" si="52"/>
        <v>&amp;AllGlyphs[141]</v>
      </c>
      <c r="BB144" s="64">
        <f t="shared" si="53"/>
        <v>0</v>
      </c>
      <c r="BC144" s="64">
        <f t="shared" si="54"/>
        <v>0</v>
      </c>
      <c r="BD144" s="64">
        <f t="shared" si="55"/>
        <v>0</v>
      </c>
      <c r="BE144" s="64">
        <f t="shared" si="56"/>
        <v>0</v>
      </c>
    </row>
    <row r="145" spans="1:57" x14ac:dyDescent="0.4">
      <c r="A145" s="7" t="s">
        <v>124</v>
      </c>
      <c r="B145" s="6" t="str">
        <f t="shared" si="42"/>
        <v>Ó</v>
      </c>
      <c r="C145" s="48" cm="1">
        <f t="array" ref="C145">IF($N145,INDEX($O:$O,MATCH(TRUE,EXACT(B145,$A:$A),0)),"")</f>
        <v>143</v>
      </c>
      <c r="D145" s="38" t="s">
        <v>126</v>
      </c>
      <c r="E145" s="48" cm="1">
        <f t="array" ref="E145">IF($N145,INDEX($O:$O,MATCH(TRUE,EXACT(D145,$A:$A),0)),"")</f>
        <v>145</v>
      </c>
      <c r="F145" s="38" t="s">
        <v>124</v>
      </c>
      <c r="G145" s="48" cm="1">
        <f t="array" ref="G145">IF($O145&lt;&gt;"",INDEX($O:$O,MATCH(TRUE,EXACT(F145,$A:$A),0)),"")</f>
        <v>143</v>
      </c>
      <c r="H145" s="38" t="s">
        <v>125</v>
      </c>
      <c r="I145" s="48" cm="1">
        <f t="array" ref="I145">IF($N145,INDEX($O:$O,MATCH(TRUE,EXACT(H145,$A:$A),0)),"")</f>
        <v>144</v>
      </c>
      <c r="J145" s="38" t="s">
        <v>125</v>
      </c>
      <c r="K145" s="52" cm="1">
        <f t="array" ref="K145">IF($N145,INDEX($O:$O,MATCH(TRUE,EXACT(J145,$A:$A),0)),"")</f>
        <v>144</v>
      </c>
      <c r="L145" s="23"/>
      <c r="M145" s="33"/>
      <c r="N145" s="18" t="b">
        <f t="shared" si="44"/>
        <v>1</v>
      </c>
      <c r="O145" s="19">
        <f>IF(N145, MAX(O$2:O144)+1,"")</f>
        <v>143</v>
      </c>
      <c r="P145" s="23" t="str">
        <f t="shared" si="43"/>
        <v>Ó</v>
      </c>
      <c r="Q145" s="8" t="str" cm="1">
        <f t="array" ref="Q145">CharToUTF8(A145)</f>
        <v>\xC3\x93</v>
      </c>
      <c r="S145" s="18" t="str">
        <f>$AG$9</f>
        <v>ORTHO_LEFT</v>
      </c>
      <c r="T145" s="24" t="str">
        <f>$AG$10</f>
        <v>ORTHO_RIGHT</v>
      </c>
      <c r="U145" s="24" t="str">
        <f>$AG$2</f>
        <v>EMPTY</v>
      </c>
      <c r="V145" s="21" t="str">
        <f>$AG$2</f>
        <v>EMPTY</v>
      </c>
      <c r="X145" s="31" t="b">
        <f t="shared" si="45"/>
        <v>0</v>
      </c>
      <c r="Y145" s="31" t="b">
        <f t="shared" si="46"/>
        <v>1</v>
      </c>
      <c r="Z145" t="b">
        <f t="shared" si="47"/>
        <v>0</v>
      </c>
      <c r="AA145" t="b">
        <f t="shared" si="48"/>
        <v>0</v>
      </c>
      <c r="AB145" t="b">
        <f>IF($N145,S145=VLOOKUP(S145,$AG$2:$AL$10,4,FALSE),"")</f>
        <v>0</v>
      </c>
      <c r="AC145" t="b">
        <f>IF($N145,T145=VLOOKUP(T145,$AG$2:$AL$10,4,FALSE),"")</f>
        <v>0</v>
      </c>
      <c r="AD145" t="b">
        <f>IF($N145,U145=VLOOKUP(U145,$AG$2:$AL$10,5,FALSE),"")</f>
        <v>1</v>
      </c>
      <c r="AE145" t="b">
        <f>IF($N145,V145=VLOOKUP(V145,$AG$2:$AL$10,5,FALSE),"")</f>
        <v>1</v>
      </c>
      <c r="AN145" s="55" t="str">
        <f t="shared" si="38"/>
        <v xml:space="preserve">    { wxString::FromUTF8("\xC3\x93"), &amp;AllGlyphs[145], &amp;AllGlyphs[143], &amp;AllGlyphs[144], &amp;AllGlyphs[144], Connection::ORTHO_LEFT, Connection::ORTHO_RIGHT, Connection::EMPTY, Connection::EMPTY, 0, 1, 0, 0 },</v>
      </c>
      <c r="AO145" s="56"/>
      <c r="AP145" s="56"/>
      <c r="AQ145" s="56"/>
      <c r="AR145" s="56"/>
      <c r="AS145" s="56"/>
      <c r="AT145" s="56"/>
      <c r="AU145" s="57"/>
      <c r="AW145" s="54" t="str">
        <f t="shared" si="49"/>
        <v>&amp;AllGlyphs[145]</v>
      </c>
      <c r="AX145" s="54" t="str">
        <f t="shared" si="50"/>
        <v>&amp;AllGlyphs[143]</v>
      </c>
      <c r="AY145" s="54" t="str">
        <f t="shared" si="51"/>
        <v>&amp;AllGlyphs[144]</v>
      </c>
      <c r="AZ145" s="54" t="str">
        <f t="shared" si="52"/>
        <v>&amp;AllGlyphs[144]</v>
      </c>
      <c r="BB145" s="64">
        <f t="shared" si="53"/>
        <v>0</v>
      </c>
      <c r="BC145" s="64">
        <f t="shared" si="54"/>
        <v>1</v>
      </c>
      <c r="BD145" s="64">
        <f t="shared" si="55"/>
        <v>0</v>
      </c>
      <c r="BE145" s="64">
        <f t="shared" si="56"/>
        <v>0</v>
      </c>
    </row>
    <row r="146" spans="1:57" x14ac:dyDescent="0.4">
      <c r="A146" s="7" t="s">
        <v>125</v>
      </c>
      <c r="B146" s="6" t="str">
        <f t="shared" si="42"/>
        <v>Ô</v>
      </c>
      <c r="C146" s="48" cm="1">
        <f t="array" ref="C146">IF($N146,INDEX($O:$O,MATCH(TRUE,EXACT(B146,$A:$A),0)),"")</f>
        <v>144</v>
      </c>
      <c r="D146" s="38" t="s">
        <v>127</v>
      </c>
      <c r="E146" s="48" cm="1">
        <f t="array" ref="E146">IF($N146,INDEX($O:$O,MATCH(TRUE,EXACT(D146,$A:$A),0)),"")</f>
        <v>146</v>
      </c>
      <c r="F146" s="38" t="s">
        <v>125</v>
      </c>
      <c r="G146" s="48" cm="1">
        <f t="array" ref="G146">IF($O146&lt;&gt;"",INDEX($O:$O,MATCH(TRUE,EXACT(F146,$A:$A),0)),"")</f>
        <v>144</v>
      </c>
      <c r="H146" s="38" t="s">
        <v>124</v>
      </c>
      <c r="I146" s="48" cm="1">
        <f t="array" ref="I146">IF($N146,INDEX($O:$O,MATCH(TRUE,EXACT(H146,$A:$A),0)),"")</f>
        <v>143</v>
      </c>
      <c r="J146" s="38" t="s">
        <v>124</v>
      </c>
      <c r="K146" s="52" cm="1">
        <f t="array" ref="K146">IF($N146,INDEX($O:$O,MATCH(TRUE,EXACT(J146,$A:$A),0)),"")</f>
        <v>143</v>
      </c>
      <c r="L146" s="23"/>
      <c r="M146" s="33"/>
      <c r="N146" s="18" t="b">
        <f t="shared" si="44"/>
        <v>1</v>
      </c>
      <c r="O146" s="19">
        <f>IF(N146, MAX(O$2:O145)+1,"")</f>
        <v>144</v>
      </c>
      <c r="P146" s="23" t="str">
        <f t="shared" si="43"/>
        <v>Ô</v>
      </c>
      <c r="Q146" s="8" t="str" cm="1">
        <f t="array" ref="Q146">CharToUTF8(A146)</f>
        <v>\xC3\x94</v>
      </c>
      <c r="S146" s="18" t="str">
        <f>$AG$10</f>
        <v>ORTHO_RIGHT</v>
      </c>
      <c r="T146" s="24" t="str">
        <f>$AG$9</f>
        <v>ORTHO_LEFT</v>
      </c>
      <c r="U146" s="24" t="str">
        <f>$AG$2</f>
        <v>EMPTY</v>
      </c>
      <c r="V146" s="21" t="str">
        <f>$AG$2</f>
        <v>EMPTY</v>
      </c>
      <c r="X146" s="31" t="b">
        <f t="shared" si="45"/>
        <v>0</v>
      </c>
      <c r="Y146" s="31" t="b">
        <f t="shared" si="46"/>
        <v>1</v>
      </c>
      <c r="Z146" t="b">
        <f t="shared" si="47"/>
        <v>0</v>
      </c>
      <c r="AA146" t="b">
        <f t="shared" si="48"/>
        <v>0</v>
      </c>
      <c r="AB146" t="b">
        <f>IF($N146,S146=VLOOKUP(S146,$AG$2:$AL$10,4,FALSE),"")</f>
        <v>0</v>
      </c>
      <c r="AC146" t="b">
        <f>IF($N146,T146=VLOOKUP(T146,$AG$2:$AL$10,4,FALSE),"")</f>
        <v>0</v>
      </c>
      <c r="AD146" t="b">
        <f>IF($N146,U146=VLOOKUP(U146,$AG$2:$AL$10,5,FALSE),"")</f>
        <v>1</v>
      </c>
      <c r="AE146" t="b">
        <f>IF($N146,V146=VLOOKUP(V146,$AG$2:$AL$10,5,FALSE),"")</f>
        <v>1</v>
      </c>
      <c r="AN146" s="55" t="str">
        <f t="shared" ref="AN146:AN202" si="57">IF($N146,"    { wxString::FromUTF8(""" &amp; $Q146 &amp; """), " &amp; _xlfn.TEXTJOIN(", ", TRUE, AW146:AZ146) &amp; ", " &amp; $AG$1 &amp; _xlfn.TEXTJOIN(", " &amp; $AG$1, TRUE, $S146:$V146) &amp; ", " &amp; _xlfn.TEXTJOIN(", ", TRUE, BB146:BE146) &amp; " },","")</f>
        <v xml:space="preserve">    { wxString::FromUTF8("\xC3\x94"), &amp;AllGlyphs[146], &amp;AllGlyphs[144], &amp;AllGlyphs[143], &amp;AllGlyphs[143], Connection::ORTHO_RIGHT, Connection::ORTHO_LEFT, Connection::EMPTY, Connection::EMPTY, 0, 1, 0, 0 },</v>
      </c>
      <c r="AO146" s="56"/>
      <c r="AP146" s="56"/>
      <c r="AQ146" s="56"/>
      <c r="AR146" s="56"/>
      <c r="AS146" s="56"/>
      <c r="AT146" s="56"/>
      <c r="AU146" s="57"/>
      <c r="AW146" s="54" t="str">
        <f t="shared" si="49"/>
        <v>&amp;AllGlyphs[146]</v>
      </c>
      <c r="AX146" s="54" t="str">
        <f t="shared" si="50"/>
        <v>&amp;AllGlyphs[144]</v>
      </c>
      <c r="AY146" s="54" t="str">
        <f t="shared" si="51"/>
        <v>&amp;AllGlyphs[143]</v>
      </c>
      <c r="AZ146" s="54" t="str">
        <f t="shared" si="52"/>
        <v>&amp;AllGlyphs[143]</v>
      </c>
      <c r="BB146" s="64">
        <f t="shared" si="53"/>
        <v>0</v>
      </c>
      <c r="BC146" s="64">
        <f t="shared" si="54"/>
        <v>1</v>
      </c>
      <c r="BD146" s="64">
        <f t="shared" si="55"/>
        <v>0</v>
      </c>
      <c r="BE146" s="64">
        <f t="shared" si="56"/>
        <v>0</v>
      </c>
    </row>
    <row r="147" spans="1:57" x14ac:dyDescent="0.4">
      <c r="A147" s="7" t="s">
        <v>126</v>
      </c>
      <c r="B147" s="6" t="str">
        <f t="shared" si="42"/>
        <v>Õ</v>
      </c>
      <c r="C147" s="48" cm="1">
        <f t="array" ref="C147">IF($N147,INDEX($O:$O,MATCH(TRUE,EXACT(B147,$A:$A),0)),"")</f>
        <v>145</v>
      </c>
      <c r="D147" s="38" t="s">
        <v>124</v>
      </c>
      <c r="E147" s="48" cm="1">
        <f t="array" ref="E147">IF($N147,INDEX($O:$O,MATCH(TRUE,EXACT(D147,$A:$A),0)),"")</f>
        <v>143</v>
      </c>
      <c r="F147" s="38" t="s">
        <v>126</v>
      </c>
      <c r="G147" s="48" cm="1">
        <f t="array" ref="G147">IF($O147&lt;&gt;"",INDEX($O:$O,MATCH(TRUE,EXACT(F147,$A:$A),0)),"")</f>
        <v>145</v>
      </c>
      <c r="H147" s="38" t="s">
        <v>127</v>
      </c>
      <c r="I147" s="48" cm="1">
        <f t="array" ref="I147">IF($N147,INDEX($O:$O,MATCH(TRUE,EXACT(H147,$A:$A),0)),"")</f>
        <v>146</v>
      </c>
      <c r="J147" s="38" t="s">
        <v>127</v>
      </c>
      <c r="K147" s="52" cm="1">
        <f t="array" ref="K147">IF($N147,INDEX($O:$O,MATCH(TRUE,EXACT(J147,$A:$A),0)),"")</f>
        <v>146</v>
      </c>
      <c r="L147" s="23"/>
      <c r="M147" s="33"/>
      <c r="N147" s="18" t="b">
        <f t="shared" si="44"/>
        <v>1</v>
      </c>
      <c r="O147" s="19">
        <f>IF(N147, MAX(O$2:O146)+1,"")</f>
        <v>145</v>
      </c>
      <c r="P147" s="23" t="str">
        <f t="shared" si="43"/>
        <v>Õ</v>
      </c>
      <c r="Q147" s="8" t="str" cm="1">
        <f t="array" ref="Q147">CharToUTF8(A147)</f>
        <v>\xC3\x95</v>
      </c>
      <c r="S147" s="18" t="str">
        <f>$AG$2</f>
        <v>EMPTY</v>
      </c>
      <c r="T147" s="24" t="str">
        <f>$AG$2</f>
        <v>EMPTY</v>
      </c>
      <c r="U147" s="24" t="str">
        <f>$AG$8</f>
        <v>ORTHO_DOWN</v>
      </c>
      <c r="V147" s="21" t="str">
        <f>$AG$7</f>
        <v>ORTHO_UP</v>
      </c>
      <c r="X147" s="31" t="b">
        <f t="shared" si="45"/>
        <v>0</v>
      </c>
      <c r="Y147" s="31" t="b">
        <f t="shared" si="46"/>
        <v>1</v>
      </c>
      <c r="Z147" t="b">
        <f t="shared" si="47"/>
        <v>0</v>
      </c>
      <c r="AA147" t="b">
        <f t="shared" si="48"/>
        <v>0</v>
      </c>
      <c r="AB147" t="b">
        <f>IF($N147,S147=VLOOKUP(S147,$AG$2:$AL$10,4,FALSE),"")</f>
        <v>1</v>
      </c>
      <c r="AC147" t="b">
        <f>IF($N147,T147=VLOOKUP(T147,$AG$2:$AL$10,4,FALSE),"")</f>
        <v>1</v>
      </c>
      <c r="AD147" t="b">
        <f>IF($N147,U147=VLOOKUP(U147,$AG$2:$AL$10,5,FALSE),"")</f>
        <v>0</v>
      </c>
      <c r="AE147" t="b">
        <f>IF($N147,V147=VLOOKUP(V147,$AG$2:$AL$10,5,FALSE),"")</f>
        <v>0</v>
      </c>
      <c r="AN147" s="55" t="str">
        <f t="shared" si="57"/>
        <v xml:space="preserve">    { wxString::FromUTF8("\xC3\x95"), &amp;AllGlyphs[143], &amp;AllGlyphs[145], &amp;AllGlyphs[146], &amp;AllGlyphs[146], Connection::EMPTY, Connection::EMPTY, Connection::ORTHO_DOWN, Connection::ORTHO_UP, 0, 1, 0, 0 },</v>
      </c>
      <c r="AO147" s="56"/>
      <c r="AP147" s="56"/>
      <c r="AQ147" s="56"/>
      <c r="AR147" s="56"/>
      <c r="AS147" s="56"/>
      <c r="AT147" s="56"/>
      <c r="AU147" s="57"/>
      <c r="AW147" s="54" t="str">
        <f t="shared" si="49"/>
        <v>&amp;AllGlyphs[143]</v>
      </c>
      <c r="AX147" s="54" t="str">
        <f t="shared" si="50"/>
        <v>&amp;AllGlyphs[145]</v>
      </c>
      <c r="AY147" s="54" t="str">
        <f t="shared" si="51"/>
        <v>&amp;AllGlyphs[146]</v>
      </c>
      <c r="AZ147" s="54" t="str">
        <f t="shared" si="52"/>
        <v>&amp;AllGlyphs[146]</v>
      </c>
      <c r="BB147" s="64">
        <f t="shared" si="53"/>
        <v>0</v>
      </c>
      <c r="BC147" s="64">
        <f t="shared" si="54"/>
        <v>1</v>
      </c>
      <c r="BD147" s="64">
        <f t="shared" si="55"/>
        <v>0</v>
      </c>
      <c r="BE147" s="64">
        <f t="shared" si="56"/>
        <v>0</v>
      </c>
    </row>
    <row r="148" spans="1:57" x14ac:dyDescent="0.4">
      <c r="A148" s="7" t="s">
        <v>127</v>
      </c>
      <c r="B148" s="6" t="str">
        <f t="shared" si="42"/>
        <v>Ö</v>
      </c>
      <c r="C148" s="48" cm="1">
        <f t="array" ref="C148">IF($N148,INDEX($O:$O,MATCH(TRUE,EXACT(B148,$A:$A),0)),"")</f>
        <v>146</v>
      </c>
      <c r="D148" s="38" t="s">
        <v>125</v>
      </c>
      <c r="E148" s="48" cm="1">
        <f t="array" ref="E148">IF($N148,INDEX($O:$O,MATCH(TRUE,EXACT(D148,$A:$A),0)),"")</f>
        <v>144</v>
      </c>
      <c r="F148" s="38" t="s">
        <v>127</v>
      </c>
      <c r="G148" s="48" cm="1">
        <f t="array" ref="G148">IF($O148&lt;&gt;"",INDEX($O:$O,MATCH(TRUE,EXACT(F148,$A:$A),0)),"")</f>
        <v>146</v>
      </c>
      <c r="H148" s="38" t="s">
        <v>126</v>
      </c>
      <c r="I148" s="48" cm="1">
        <f t="array" ref="I148">IF($N148,INDEX($O:$O,MATCH(TRUE,EXACT(H148,$A:$A),0)),"")</f>
        <v>145</v>
      </c>
      <c r="J148" s="38" t="s">
        <v>126</v>
      </c>
      <c r="K148" s="52" cm="1">
        <f t="array" ref="K148">IF($N148,INDEX($O:$O,MATCH(TRUE,EXACT(J148,$A:$A),0)),"")</f>
        <v>145</v>
      </c>
      <c r="L148" s="23"/>
      <c r="M148" s="33"/>
      <c r="N148" s="18" t="b">
        <f t="shared" si="44"/>
        <v>1</v>
      </c>
      <c r="O148" s="19">
        <f>IF(N148, MAX(O$2:O147)+1,"")</f>
        <v>146</v>
      </c>
      <c r="P148" s="23" t="str">
        <f t="shared" si="43"/>
        <v>Ö</v>
      </c>
      <c r="Q148" s="8" t="str" cm="1">
        <f t="array" ref="Q148">CharToUTF8(A148)</f>
        <v>\xC3\x96</v>
      </c>
      <c r="S148" s="18" t="str">
        <f>$AG$2</f>
        <v>EMPTY</v>
      </c>
      <c r="T148" s="24" t="str">
        <f>$AG$2</f>
        <v>EMPTY</v>
      </c>
      <c r="U148" s="24" t="str">
        <f>$AG$7</f>
        <v>ORTHO_UP</v>
      </c>
      <c r="V148" s="21" t="str">
        <f>$AG$8</f>
        <v>ORTHO_DOWN</v>
      </c>
      <c r="X148" s="31" t="b">
        <f t="shared" si="45"/>
        <v>0</v>
      </c>
      <c r="Y148" s="31" t="b">
        <f t="shared" si="46"/>
        <v>1</v>
      </c>
      <c r="Z148" t="b">
        <f t="shared" si="47"/>
        <v>0</v>
      </c>
      <c r="AA148" t="b">
        <f t="shared" si="48"/>
        <v>0</v>
      </c>
      <c r="AB148" t="b">
        <f>IF($N148,S148=VLOOKUP(S148,$AG$2:$AL$10,4,FALSE),"")</f>
        <v>1</v>
      </c>
      <c r="AC148" t="b">
        <f>IF($N148,T148=VLOOKUP(T148,$AG$2:$AL$10,4,FALSE),"")</f>
        <v>1</v>
      </c>
      <c r="AD148" t="b">
        <f>IF($N148,U148=VLOOKUP(U148,$AG$2:$AL$10,5,FALSE),"")</f>
        <v>0</v>
      </c>
      <c r="AE148" t="b">
        <f>IF($N148,V148=VLOOKUP(V148,$AG$2:$AL$10,5,FALSE),"")</f>
        <v>0</v>
      </c>
      <c r="AN148" s="55" t="str">
        <f t="shared" si="57"/>
        <v xml:space="preserve">    { wxString::FromUTF8("\xC3\x96"), &amp;AllGlyphs[144], &amp;AllGlyphs[146], &amp;AllGlyphs[145], &amp;AllGlyphs[145], Connection::EMPTY, Connection::EMPTY, Connection::ORTHO_UP, Connection::ORTHO_DOWN, 0, 1, 0, 0 },</v>
      </c>
      <c r="AO148" s="56"/>
      <c r="AP148" s="56"/>
      <c r="AQ148" s="56"/>
      <c r="AR148" s="56"/>
      <c r="AS148" s="56"/>
      <c r="AT148" s="56"/>
      <c r="AU148" s="57"/>
      <c r="AW148" s="54" t="str">
        <f t="shared" si="49"/>
        <v>&amp;AllGlyphs[144]</v>
      </c>
      <c r="AX148" s="54" t="str">
        <f t="shared" si="50"/>
        <v>&amp;AllGlyphs[146]</v>
      </c>
      <c r="AY148" s="54" t="str">
        <f t="shared" si="51"/>
        <v>&amp;AllGlyphs[145]</v>
      </c>
      <c r="AZ148" s="54" t="str">
        <f t="shared" si="52"/>
        <v>&amp;AllGlyphs[145]</v>
      </c>
      <c r="BB148" s="64">
        <f t="shared" si="53"/>
        <v>0</v>
      </c>
      <c r="BC148" s="64">
        <f t="shared" si="54"/>
        <v>1</v>
      </c>
      <c r="BD148" s="64">
        <f t="shared" si="55"/>
        <v>0</v>
      </c>
      <c r="BE148" s="64">
        <f t="shared" si="56"/>
        <v>0</v>
      </c>
    </row>
    <row r="149" spans="1:57" x14ac:dyDescent="0.4">
      <c r="A149" s="7" t="s">
        <v>128</v>
      </c>
      <c r="B149" s="6" t="str">
        <f t="shared" si="42"/>
        <v>×</v>
      </c>
      <c r="C149" s="48" cm="1">
        <f t="array" ref="C149">IF($N149,INDEX($O:$O,MATCH(TRUE,EXACT(B149,$A:$A),0)),"")</f>
        <v>147</v>
      </c>
      <c r="D149" s="38" t="s">
        <v>129</v>
      </c>
      <c r="E149" s="48" cm="1">
        <f t="array" ref="E149">IF($N149,INDEX($O:$O,MATCH(TRUE,EXACT(D149,$A:$A),0)),"")</f>
        <v>148</v>
      </c>
      <c r="F149" s="38" t="s">
        <v>130</v>
      </c>
      <c r="G149" s="48" cm="1">
        <f t="array" ref="G149">IF($O149&lt;&gt;"",INDEX($O:$O,MATCH(TRUE,EXACT(F149,$A:$A),0)),"")</f>
        <v>149</v>
      </c>
      <c r="H149" s="38" t="s">
        <v>130</v>
      </c>
      <c r="I149" s="48" cm="1">
        <f t="array" ref="I149">IF($N149,INDEX($O:$O,MATCH(TRUE,EXACT(H149,$A:$A),0)),"")</f>
        <v>149</v>
      </c>
      <c r="J149" s="38" t="s">
        <v>128</v>
      </c>
      <c r="K149" s="52" cm="1">
        <f t="array" ref="K149">IF($N149,INDEX($O:$O,MATCH(TRUE,EXACT(J149,$A:$A),0)),"")</f>
        <v>147</v>
      </c>
      <c r="L149" s="23"/>
      <c r="M149" s="33"/>
      <c r="N149" s="18" t="b">
        <f t="shared" si="44"/>
        <v>1</v>
      </c>
      <c r="O149" s="19">
        <f>IF(N149, MAX(O$2:O148)+1,"")</f>
        <v>147</v>
      </c>
      <c r="P149" s="23" t="str">
        <f t="shared" si="43"/>
        <v>×</v>
      </c>
      <c r="Q149" s="8" t="str" cm="1">
        <f t="array" ref="Q149">CharToUTF8(A149)</f>
        <v>\xC3\x97</v>
      </c>
      <c r="S149" s="18" t="str">
        <f>$AG$2</f>
        <v>EMPTY</v>
      </c>
      <c r="T149" s="24" t="str">
        <f>$AG$4</f>
        <v>ORTHO_BOTH</v>
      </c>
      <c r="U149" s="24" t="str">
        <f>$AG$4</f>
        <v>ORTHO_BOTH</v>
      </c>
      <c r="V149" s="21" t="str">
        <f>$AG$4</f>
        <v>ORTHO_BOTH</v>
      </c>
      <c r="X149" s="31" t="b">
        <f t="shared" si="45"/>
        <v>0</v>
      </c>
      <c r="Y149" s="31" t="b">
        <f t="shared" si="46"/>
        <v>0</v>
      </c>
      <c r="Z149" t="b">
        <f t="shared" si="47"/>
        <v>0</v>
      </c>
      <c r="AA149" t="b">
        <f t="shared" si="48"/>
        <v>1</v>
      </c>
      <c r="AB149" t="b">
        <f>IF($N149,S149=VLOOKUP(S149,$AG$2:$AL$10,4,FALSE),"")</f>
        <v>1</v>
      </c>
      <c r="AC149" t="b">
        <f>IF($N149,T149=VLOOKUP(T149,$AG$2:$AL$10,4,FALSE),"")</f>
        <v>1</v>
      </c>
      <c r="AD149" t="b">
        <f>IF($N149,U149=VLOOKUP(U149,$AG$2:$AL$10,5,FALSE),"")</f>
        <v>1</v>
      </c>
      <c r="AE149" t="b">
        <f>IF($N149,V149=VLOOKUP(V149,$AG$2:$AL$10,5,FALSE),"")</f>
        <v>1</v>
      </c>
      <c r="AN149" s="55" t="str">
        <f t="shared" si="57"/>
        <v xml:space="preserve">    { wxString::FromUTF8("\xC3\x97"), &amp;AllGlyphs[148], &amp;AllGlyphs[149], &amp;AllGlyphs[149], &amp;AllGlyphs[147], Connection::EMPTY, Connection::ORTHO_BOTH, Connection::ORTHO_BOTH, Connection::ORTHO_BOTH, 0, 0, 0, 1 },</v>
      </c>
      <c r="AO149" s="56"/>
      <c r="AP149" s="56"/>
      <c r="AQ149" s="56"/>
      <c r="AR149" s="56"/>
      <c r="AS149" s="56"/>
      <c r="AT149" s="56"/>
      <c r="AU149" s="57"/>
      <c r="AW149" s="54" t="str">
        <f t="shared" si="49"/>
        <v>&amp;AllGlyphs[148]</v>
      </c>
      <c r="AX149" s="54" t="str">
        <f t="shared" si="50"/>
        <v>&amp;AllGlyphs[149]</v>
      </c>
      <c r="AY149" s="54" t="str">
        <f t="shared" si="51"/>
        <v>&amp;AllGlyphs[149]</v>
      </c>
      <c r="AZ149" s="54" t="str">
        <f t="shared" si="52"/>
        <v>&amp;AllGlyphs[147]</v>
      </c>
      <c r="BB149" s="64">
        <f t="shared" si="53"/>
        <v>0</v>
      </c>
      <c r="BC149" s="64">
        <f t="shared" si="54"/>
        <v>0</v>
      </c>
      <c r="BD149" s="64">
        <f t="shared" si="55"/>
        <v>0</v>
      </c>
      <c r="BE149" s="64">
        <f t="shared" si="56"/>
        <v>1</v>
      </c>
    </row>
    <row r="150" spans="1:57" x14ac:dyDescent="0.4">
      <c r="A150" s="7" t="s">
        <v>129</v>
      </c>
      <c r="B150" s="6" t="str">
        <f t="shared" si="42"/>
        <v>Ø</v>
      </c>
      <c r="C150" s="48" cm="1">
        <f t="array" ref="C150">IF($N150,INDEX($O:$O,MATCH(TRUE,EXACT(B150,$A:$A),0)),"")</f>
        <v>148</v>
      </c>
      <c r="D150" s="38" t="s">
        <v>130</v>
      </c>
      <c r="E150" s="48" cm="1">
        <f t="array" ref="E150">IF($N150,INDEX($O:$O,MATCH(TRUE,EXACT(D150,$A:$A),0)),"")</f>
        <v>149</v>
      </c>
      <c r="F150" s="38" t="s">
        <v>131</v>
      </c>
      <c r="G150" s="48" cm="1">
        <f t="array" ref="G150">IF($O150&lt;&gt;"",INDEX($O:$O,MATCH(TRUE,EXACT(F150,$A:$A),0)),"")</f>
        <v>150</v>
      </c>
      <c r="H150" s="38" t="s">
        <v>129</v>
      </c>
      <c r="I150" s="48" cm="1">
        <f t="array" ref="I150">IF($N150,INDEX($O:$O,MATCH(TRUE,EXACT(H150,$A:$A),0)),"")</f>
        <v>148</v>
      </c>
      <c r="J150" s="38" t="s">
        <v>131</v>
      </c>
      <c r="K150" s="52" cm="1">
        <f t="array" ref="K150">IF($N150,INDEX($O:$O,MATCH(TRUE,EXACT(J150,$A:$A),0)),"")</f>
        <v>150</v>
      </c>
      <c r="L150" s="23"/>
      <c r="M150" s="33"/>
      <c r="N150" s="18" t="b">
        <f t="shared" si="44"/>
        <v>1</v>
      </c>
      <c r="O150" s="19">
        <f>IF(N150, MAX(O$2:O149)+1,"")</f>
        <v>148</v>
      </c>
      <c r="P150" s="23" t="str">
        <f t="shared" si="43"/>
        <v>Ø</v>
      </c>
      <c r="Q150" s="8" t="str" cm="1">
        <f t="array" ref="Q150">CharToUTF8(A150)</f>
        <v>\xC3\x98</v>
      </c>
      <c r="S150" s="18" t="str">
        <f>$AG$4</f>
        <v>ORTHO_BOTH</v>
      </c>
      <c r="T150" s="24" t="str">
        <f>$AG$4</f>
        <v>ORTHO_BOTH</v>
      </c>
      <c r="U150" s="24" t="str">
        <f>$AG$4</f>
        <v>ORTHO_BOTH</v>
      </c>
      <c r="V150" s="21" t="str">
        <f>$AG$2</f>
        <v>EMPTY</v>
      </c>
      <c r="X150" s="31" t="b">
        <f t="shared" si="45"/>
        <v>0</v>
      </c>
      <c r="Y150" s="31" t="b">
        <f t="shared" si="46"/>
        <v>0</v>
      </c>
      <c r="Z150" t="b">
        <f t="shared" si="47"/>
        <v>1</v>
      </c>
      <c r="AA150" t="b">
        <f t="shared" si="48"/>
        <v>0</v>
      </c>
      <c r="AB150" t="b">
        <f>IF($N150,S150=VLOOKUP(S150,$AG$2:$AL$10,4,FALSE),"")</f>
        <v>1</v>
      </c>
      <c r="AC150" t="b">
        <f>IF($N150,T150=VLOOKUP(T150,$AG$2:$AL$10,4,FALSE),"")</f>
        <v>1</v>
      </c>
      <c r="AD150" t="b">
        <f>IF($N150,U150=VLOOKUP(U150,$AG$2:$AL$10,5,FALSE),"")</f>
        <v>1</v>
      </c>
      <c r="AE150" t="b">
        <f>IF($N150,V150=VLOOKUP(V150,$AG$2:$AL$10,5,FALSE),"")</f>
        <v>1</v>
      </c>
      <c r="AN150" s="55" t="str">
        <f t="shared" si="57"/>
        <v xml:space="preserve">    { wxString::FromUTF8("\xC3\x98"), &amp;AllGlyphs[149], &amp;AllGlyphs[150], &amp;AllGlyphs[148], &amp;AllGlyphs[150], Connection::ORTHO_BOTH, Connection::ORTHO_BOTH, Connection::ORTHO_BOTH, Connection::EMPTY, 0, 0, 1, 0 },</v>
      </c>
      <c r="AO150" s="56"/>
      <c r="AP150" s="56"/>
      <c r="AQ150" s="56"/>
      <c r="AR150" s="56"/>
      <c r="AS150" s="56"/>
      <c r="AT150" s="56"/>
      <c r="AU150" s="57"/>
      <c r="AW150" s="54" t="str">
        <f t="shared" si="49"/>
        <v>&amp;AllGlyphs[149]</v>
      </c>
      <c r="AX150" s="54" t="str">
        <f t="shared" si="50"/>
        <v>&amp;AllGlyphs[150]</v>
      </c>
      <c r="AY150" s="54" t="str">
        <f t="shared" si="51"/>
        <v>&amp;AllGlyphs[148]</v>
      </c>
      <c r="AZ150" s="54" t="str">
        <f t="shared" si="52"/>
        <v>&amp;AllGlyphs[150]</v>
      </c>
      <c r="BB150" s="64">
        <f t="shared" si="53"/>
        <v>0</v>
      </c>
      <c r="BC150" s="64">
        <f t="shared" si="54"/>
        <v>0</v>
      </c>
      <c r="BD150" s="64">
        <f t="shared" si="55"/>
        <v>1</v>
      </c>
      <c r="BE150" s="64">
        <f t="shared" si="56"/>
        <v>0</v>
      </c>
    </row>
    <row r="151" spans="1:57" x14ac:dyDescent="0.4">
      <c r="A151" s="7" t="s">
        <v>130</v>
      </c>
      <c r="B151" s="6" t="str">
        <f t="shared" si="42"/>
        <v>Ù</v>
      </c>
      <c r="C151" s="48" cm="1">
        <f t="array" ref="C151">IF($N151,INDEX($O:$O,MATCH(TRUE,EXACT(B151,$A:$A),0)),"")</f>
        <v>149</v>
      </c>
      <c r="D151" s="38" t="s">
        <v>131</v>
      </c>
      <c r="E151" s="48" cm="1">
        <f t="array" ref="E151">IF($N151,INDEX($O:$O,MATCH(TRUE,EXACT(D151,$A:$A),0)),"")</f>
        <v>150</v>
      </c>
      <c r="F151" s="38" t="s">
        <v>128</v>
      </c>
      <c r="G151" s="48" cm="1">
        <f t="array" ref="G151">IF($O151&lt;&gt;"",INDEX($O:$O,MATCH(TRUE,EXACT(F151,$A:$A),0)),"")</f>
        <v>147</v>
      </c>
      <c r="H151" s="38" t="s">
        <v>128</v>
      </c>
      <c r="I151" s="48" cm="1">
        <f t="array" ref="I151">IF($N151,INDEX($O:$O,MATCH(TRUE,EXACT(H151,$A:$A),0)),"")</f>
        <v>147</v>
      </c>
      <c r="J151" s="38" t="s">
        <v>130</v>
      </c>
      <c r="K151" s="52" cm="1">
        <f t="array" ref="K151">IF($N151,INDEX($O:$O,MATCH(TRUE,EXACT(J151,$A:$A),0)),"")</f>
        <v>149</v>
      </c>
      <c r="L151" s="23"/>
      <c r="M151" s="33"/>
      <c r="N151" s="18" t="b">
        <f t="shared" si="44"/>
        <v>1</v>
      </c>
      <c r="O151" s="19">
        <f>IF(N151, MAX(O$2:O150)+1,"")</f>
        <v>149</v>
      </c>
      <c r="P151" s="23" t="str">
        <f t="shared" si="43"/>
        <v>Ù</v>
      </c>
      <c r="Q151" s="8" t="str" cm="1">
        <f t="array" ref="Q151">CharToUTF8(A151)</f>
        <v>\xC3\x99</v>
      </c>
      <c r="S151" s="18" t="str">
        <f>$AG$4</f>
        <v>ORTHO_BOTH</v>
      </c>
      <c r="T151" s="24" t="str">
        <f>$AG$2</f>
        <v>EMPTY</v>
      </c>
      <c r="U151" s="24" t="str">
        <f>$AG$4</f>
        <v>ORTHO_BOTH</v>
      </c>
      <c r="V151" s="21" t="str">
        <f>$AG$4</f>
        <v>ORTHO_BOTH</v>
      </c>
      <c r="X151" s="31" t="b">
        <f t="shared" si="45"/>
        <v>0</v>
      </c>
      <c r="Y151" s="31" t="b">
        <f t="shared" si="46"/>
        <v>0</v>
      </c>
      <c r="Z151" t="b">
        <f t="shared" si="47"/>
        <v>0</v>
      </c>
      <c r="AA151" t="b">
        <f t="shared" si="48"/>
        <v>1</v>
      </c>
      <c r="AB151" t="b">
        <f>IF($N151,S151=VLOOKUP(S151,$AG$2:$AL$10,4,FALSE),"")</f>
        <v>1</v>
      </c>
      <c r="AC151" t="b">
        <f>IF($N151,T151=VLOOKUP(T151,$AG$2:$AL$10,4,FALSE),"")</f>
        <v>1</v>
      </c>
      <c r="AD151" t="b">
        <f>IF($N151,U151=VLOOKUP(U151,$AG$2:$AL$10,5,FALSE),"")</f>
        <v>1</v>
      </c>
      <c r="AE151" t="b">
        <f>IF($N151,V151=VLOOKUP(V151,$AG$2:$AL$10,5,FALSE),"")</f>
        <v>1</v>
      </c>
      <c r="AN151" s="55" t="str">
        <f t="shared" si="57"/>
        <v xml:space="preserve">    { wxString::FromUTF8("\xC3\x99"), &amp;AllGlyphs[150], &amp;AllGlyphs[147], &amp;AllGlyphs[147], &amp;AllGlyphs[149], Connection::ORTHO_BOTH, Connection::EMPTY, Connection::ORTHO_BOTH, Connection::ORTHO_BOTH, 0, 0, 0, 1 },</v>
      </c>
      <c r="AO151" s="56"/>
      <c r="AP151" s="56"/>
      <c r="AQ151" s="56"/>
      <c r="AR151" s="56"/>
      <c r="AS151" s="56"/>
      <c r="AT151" s="56"/>
      <c r="AU151" s="57"/>
      <c r="AW151" s="54" t="str">
        <f t="shared" si="49"/>
        <v>&amp;AllGlyphs[150]</v>
      </c>
      <c r="AX151" s="54" t="str">
        <f t="shared" si="50"/>
        <v>&amp;AllGlyphs[147]</v>
      </c>
      <c r="AY151" s="54" t="str">
        <f t="shared" si="51"/>
        <v>&amp;AllGlyphs[147]</v>
      </c>
      <c r="AZ151" s="54" t="str">
        <f t="shared" si="52"/>
        <v>&amp;AllGlyphs[149]</v>
      </c>
      <c r="BB151" s="64">
        <f t="shared" si="53"/>
        <v>0</v>
      </c>
      <c r="BC151" s="64">
        <f t="shared" si="54"/>
        <v>0</v>
      </c>
      <c r="BD151" s="64">
        <f t="shared" si="55"/>
        <v>0</v>
      </c>
      <c r="BE151" s="64">
        <f t="shared" si="56"/>
        <v>1</v>
      </c>
    </row>
    <row r="152" spans="1:57" x14ac:dyDescent="0.4">
      <c r="A152" s="7" t="s">
        <v>131</v>
      </c>
      <c r="B152" s="6" t="str">
        <f t="shared" si="42"/>
        <v>Ú</v>
      </c>
      <c r="C152" s="48" cm="1">
        <f t="array" ref="C152">IF($N152,INDEX($O:$O,MATCH(TRUE,EXACT(B152,$A:$A),0)),"")</f>
        <v>150</v>
      </c>
      <c r="D152" s="38" t="s">
        <v>128</v>
      </c>
      <c r="E152" s="48" cm="1">
        <f t="array" ref="E152">IF($N152,INDEX($O:$O,MATCH(TRUE,EXACT(D152,$A:$A),0)),"")</f>
        <v>147</v>
      </c>
      <c r="F152" s="38" t="s">
        <v>129</v>
      </c>
      <c r="G152" s="48" cm="1">
        <f t="array" ref="G152">IF($O152&lt;&gt;"",INDEX($O:$O,MATCH(TRUE,EXACT(F152,$A:$A),0)),"")</f>
        <v>148</v>
      </c>
      <c r="H152" s="38" t="s">
        <v>131</v>
      </c>
      <c r="I152" s="48" cm="1">
        <f t="array" ref="I152">IF($N152,INDEX($O:$O,MATCH(TRUE,EXACT(H152,$A:$A),0)),"")</f>
        <v>150</v>
      </c>
      <c r="J152" s="38" t="s">
        <v>129</v>
      </c>
      <c r="K152" s="52" cm="1">
        <f t="array" ref="K152">IF($N152,INDEX($O:$O,MATCH(TRUE,EXACT(J152,$A:$A),0)),"")</f>
        <v>148</v>
      </c>
      <c r="L152" s="23"/>
      <c r="M152" s="33"/>
      <c r="N152" s="18" t="b">
        <f t="shared" si="44"/>
        <v>1</v>
      </c>
      <c r="O152" s="19">
        <f>IF(N152, MAX(O$2:O151)+1,"")</f>
        <v>150</v>
      </c>
      <c r="P152" s="23" t="str">
        <f t="shared" si="43"/>
        <v>Ú</v>
      </c>
      <c r="Q152" s="8" t="str" cm="1">
        <f t="array" ref="Q152">CharToUTF8(A152)</f>
        <v>\xC3\x9A</v>
      </c>
      <c r="S152" s="18" t="str">
        <f>$AG$4</f>
        <v>ORTHO_BOTH</v>
      </c>
      <c r="T152" s="24" t="str">
        <f>$AG$4</f>
        <v>ORTHO_BOTH</v>
      </c>
      <c r="U152" s="24" t="str">
        <f>$AG$2</f>
        <v>EMPTY</v>
      </c>
      <c r="V152" s="21" t="str">
        <f>$AG$4</f>
        <v>ORTHO_BOTH</v>
      </c>
      <c r="X152" s="31" t="b">
        <f t="shared" si="45"/>
        <v>0</v>
      </c>
      <c r="Y152" s="31" t="b">
        <f t="shared" si="46"/>
        <v>0</v>
      </c>
      <c r="Z152" t="b">
        <f t="shared" si="47"/>
        <v>1</v>
      </c>
      <c r="AA152" t="b">
        <f t="shared" si="48"/>
        <v>0</v>
      </c>
      <c r="AB152" t="b">
        <f>IF($N152,S152=VLOOKUP(S152,$AG$2:$AL$10,4,FALSE),"")</f>
        <v>1</v>
      </c>
      <c r="AC152" t="b">
        <f>IF($N152,T152=VLOOKUP(T152,$AG$2:$AL$10,4,FALSE),"")</f>
        <v>1</v>
      </c>
      <c r="AD152" t="b">
        <f>IF($N152,U152=VLOOKUP(U152,$AG$2:$AL$10,5,FALSE),"")</f>
        <v>1</v>
      </c>
      <c r="AE152" t="b">
        <f>IF($N152,V152=VLOOKUP(V152,$AG$2:$AL$10,5,FALSE),"")</f>
        <v>1</v>
      </c>
      <c r="AN152" s="55" t="str">
        <f t="shared" si="57"/>
        <v xml:space="preserve">    { wxString::FromUTF8("\xC3\x9A"), &amp;AllGlyphs[147], &amp;AllGlyphs[148], &amp;AllGlyphs[150], &amp;AllGlyphs[148], Connection::ORTHO_BOTH, Connection::ORTHO_BOTH, Connection::EMPTY, Connection::ORTHO_BOTH, 0, 0, 1, 0 },</v>
      </c>
      <c r="AO152" s="56"/>
      <c r="AP152" s="56"/>
      <c r="AQ152" s="56"/>
      <c r="AR152" s="56"/>
      <c r="AS152" s="56"/>
      <c r="AT152" s="56"/>
      <c r="AU152" s="57"/>
      <c r="AW152" s="54" t="str">
        <f t="shared" si="49"/>
        <v>&amp;AllGlyphs[147]</v>
      </c>
      <c r="AX152" s="54" t="str">
        <f t="shared" si="50"/>
        <v>&amp;AllGlyphs[148]</v>
      </c>
      <c r="AY152" s="54" t="str">
        <f t="shared" si="51"/>
        <v>&amp;AllGlyphs[150]</v>
      </c>
      <c r="AZ152" s="54" t="str">
        <f t="shared" si="52"/>
        <v>&amp;AllGlyphs[148]</v>
      </c>
      <c r="BB152" s="64">
        <f t="shared" si="53"/>
        <v>0</v>
      </c>
      <c r="BC152" s="64">
        <f t="shared" si="54"/>
        <v>0</v>
      </c>
      <c r="BD152" s="64">
        <f t="shared" si="55"/>
        <v>1</v>
      </c>
      <c r="BE152" s="64">
        <f t="shared" si="56"/>
        <v>0</v>
      </c>
    </row>
    <row r="153" spans="1:57" x14ac:dyDescent="0.4">
      <c r="A153" s="7" t="s">
        <v>132</v>
      </c>
      <c r="B153" s="6" t="str">
        <f t="shared" si="42"/>
        <v>Û</v>
      </c>
      <c r="C153" s="48" cm="1">
        <f t="array" ref="C153">IF($N153,INDEX($O:$O,MATCH(TRUE,EXACT(B153,$A:$A),0)),"")</f>
        <v>151</v>
      </c>
      <c r="D153" s="38" t="s">
        <v>133</v>
      </c>
      <c r="E153" s="48" cm="1">
        <f t="array" ref="E153">IF($N153,INDEX($O:$O,MATCH(TRUE,EXACT(D153,$A:$A),0)),"")</f>
        <v>152</v>
      </c>
      <c r="F153" s="38" t="s">
        <v>134</v>
      </c>
      <c r="G153" s="48" cm="1">
        <f t="array" ref="G153">IF($O153&lt;&gt;"",INDEX($O:$O,MATCH(TRUE,EXACT(F153,$A:$A),0)),"")</f>
        <v>153</v>
      </c>
      <c r="H153" s="38" t="s">
        <v>134</v>
      </c>
      <c r="I153" s="48" cm="1">
        <f t="array" ref="I153">IF($N153,INDEX($O:$O,MATCH(TRUE,EXACT(H153,$A:$A),0)),"")</f>
        <v>153</v>
      </c>
      <c r="J153" s="38" t="s">
        <v>132</v>
      </c>
      <c r="K153" s="52" cm="1">
        <f t="array" ref="K153">IF($N153,INDEX($O:$O,MATCH(TRUE,EXACT(J153,$A:$A),0)),"")</f>
        <v>151</v>
      </c>
      <c r="L153" s="23"/>
      <c r="M153" s="33"/>
      <c r="N153" s="18" t="b">
        <f t="shared" si="44"/>
        <v>1</v>
      </c>
      <c r="O153" s="19">
        <f>IF(N153, MAX(O$2:O152)+1,"")</f>
        <v>151</v>
      </c>
      <c r="P153" s="23" t="str">
        <f t="shared" si="43"/>
        <v>Û</v>
      </c>
      <c r="Q153" s="8" t="str" cm="1">
        <f t="array" ref="Q153">CharToUTF8(A153)</f>
        <v>\xC3\x9B</v>
      </c>
      <c r="S153" s="18" t="str">
        <f>$AG$2</f>
        <v>EMPTY</v>
      </c>
      <c r="T153" s="24" t="str">
        <f>$AG$4</f>
        <v>ORTHO_BOTH</v>
      </c>
      <c r="U153" s="24" t="str">
        <f>$AG$4</f>
        <v>ORTHO_BOTH</v>
      </c>
      <c r="V153" s="21" t="str">
        <f>$AG$4</f>
        <v>ORTHO_BOTH</v>
      </c>
      <c r="X153" s="31" t="b">
        <f t="shared" si="45"/>
        <v>0</v>
      </c>
      <c r="Y153" s="31" t="b">
        <f t="shared" si="46"/>
        <v>0</v>
      </c>
      <c r="Z153" t="b">
        <f t="shared" si="47"/>
        <v>0</v>
      </c>
      <c r="AA153" t="b">
        <f t="shared" si="48"/>
        <v>1</v>
      </c>
      <c r="AB153" t="b">
        <f>IF($N153,S153=VLOOKUP(S153,$AG$2:$AL$10,4,FALSE),"")</f>
        <v>1</v>
      </c>
      <c r="AC153" t="b">
        <f>IF($N153,T153=VLOOKUP(T153,$AG$2:$AL$10,4,FALSE),"")</f>
        <v>1</v>
      </c>
      <c r="AD153" t="b">
        <f>IF($N153,U153=VLOOKUP(U153,$AG$2:$AL$10,5,FALSE),"")</f>
        <v>1</v>
      </c>
      <c r="AE153" t="b">
        <f>IF($N153,V153=VLOOKUP(V153,$AG$2:$AL$10,5,FALSE),"")</f>
        <v>1</v>
      </c>
      <c r="AN153" s="55" t="str">
        <f t="shared" si="57"/>
        <v xml:space="preserve">    { wxString::FromUTF8("\xC3\x9B"), &amp;AllGlyphs[152], &amp;AllGlyphs[153], &amp;AllGlyphs[153], &amp;AllGlyphs[151], Connection::EMPTY, Connection::ORTHO_BOTH, Connection::ORTHO_BOTH, Connection::ORTHO_BOTH, 0, 0, 0, 1 },</v>
      </c>
      <c r="AO153" s="56"/>
      <c r="AP153" s="56"/>
      <c r="AQ153" s="56"/>
      <c r="AR153" s="56"/>
      <c r="AS153" s="56"/>
      <c r="AT153" s="56"/>
      <c r="AU153" s="57"/>
      <c r="AW153" s="54" t="str">
        <f t="shared" si="49"/>
        <v>&amp;AllGlyphs[152]</v>
      </c>
      <c r="AX153" s="54" t="str">
        <f t="shared" si="50"/>
        <v>&amp;AllGlyphs[153]</v>
      </c>
      <c r="AY153" s="54" t="str">
        <f t="shared" si="51"/>
        <v>&amp;AllGlyphs[153]</v>
      </c>
      <c r="AZ153" s="54" t="str">
        <f t="shared" si="52"/>
        <v>&amp;AllGlyphs[151]</v>
      </c>
      <c r="BB153" s="64">
        <f t="shared" si="53"/>
        <v>0</v>
      </c>
      <c r="BC153" s="64">
        <f t="shared" si="54"/>
        <v>0</v>
      </c>
      <c r="BD153" s="64">
        <f t="shared" si="55"/>
        <v>0</v>
      </c>
      <c r="BE153" s="64">
        <f t="shared" si="56"/>
        <v>1</v>
      </c>
    </row>
    <row r="154" spans="1:57" x14ac:dyDescent="0.4">
      <c r="A154" s="7" t="s">
        <v>133</v>
      </c>
      <c r="B154" s="6" t="str">
        <f t="shared" si="42"/>
        <v>Ü</v>
      </c>
      <c r="C154" s="48" cm="1">
        <f t="array" ref="C154">IF($N154,INDEX($O:$O,MATCH(TRUE,EXACT(B154,$A:$A),0)),"")</f>
        <v>152</v>
      </c>
      <c r="D154" s="38" t="s">
        <v>134</v>
      </c>
      <c r="E154" s="48" cm="1">
        <f t="array" ref="E154">IF($N154,INDEX($O:$O,MATCH(TRUE,EXACT(D154,$A:$A),0)),"")</f>
        <v>153</v>
      </c>
      <c r="F154" s="38" t="s">
        <v>135</v>
      </c>
      <c r="G154" s="48" cm="1">
        <f t="array" ref="G154">IF($O154&lt;&gt;"",INDEX($O:$O,MATCH(TRUE,EXACT(F154,$A:$A),0)),"")</f>
        <v>154</v>
      </c>
      <c r="H154" s="38" t="s">
        <v>133</v>
      </c>
      <c r="I154" s="48" cm="1">
        <f t="array" ref="I154">IF($N154,INDEX($O:$O,MATCH(TRUE,EXACT(H154,$A:$A),0)),"")</f>
        <v>152</v>
      </c>
      <c r="J154" s="38" t="s">
        <v>135</v>
      </c>
      <c r="K154" s="52" cm="1">
        <f t="array" ref="K154">IF($N154,INDEX($O:$O,MATCH(TRUE,EXACT(J154,$A:$A),0)),"")</f>
        <v>154</v>
      </c>
      <c r="L154" s="23"/>
      <c r="M154" s="33"/>
      <c r="N154" s="18" t="b">
        <f t="shared" si="44"/>
        <v>1</v>
      </c>
      <c r="O154" s="19">
        <f>IF(N154, MAX(O$2:O153)+1,"")</f>
        <v>152</v>
      </c>
      <c r="P154" s="23" t="str">
        <f t="shared" si="43"/>
        <v>Ü</v>
      </c>
      <c r="Q154" s="8" t="str" cm="1">
        <f t="array" ref="Q154">CharToUTF8(A154)</f>
        <v>\xC3\x9C</v>
      </c>
      <c r="S154" s="18" t="str">
        <f>$AG$4</f>
        <v>ORTHO_BOTH</v>
      </c>
      <c r="T154" s="24" t="str">
        <f>$AG$4</f>
        <v>ORTHO_BOTH</v>
      </c>
      <c r="U154" s="24" t="str">
        <f>$AG$4</f>
        <v>ORTHO_BOTH</v>
      </c>
      <c r="V154" s="21" t="str">
        <f>$AG$2</f>
        <v>EMPTY</v>
      </c>
      <c r="X154" s="31" t="b">
        <f t="shared" si="45"/>
        <v>0</v>
      </c>
      <c r="Y154" s="31" t="b">
        <f t="shared" si="46"/>
        <v>0</v>
      </c>
      <c r="Z154" t="b">
        <f t="shared" si="47"/>
        <v>1</v>
      </c>
      <c r="AA154" t="b">
        <f t="shared" si="48"/>
        <v>0</v>
      </c>
      <c r="AB154" t="b">
        <f>IF($N154,S154=VLOOKUP(S154,$AG$2:$AL$10,4,FALSE),"")</f>
        <v>1</v>
      </c>
      <c r="AC154" t="b">
        <f>IF($N154,T154=VLOOKUP(T154,$AG$2:$AL$10,4,FALSE),"")</f>
        <v>1</v>
      </c>
      <c r="AD154" t="b">
        <f>IF($N154,U154=VLOOKUP(U154,$AG$2:$AL$10,5,FALSE),"")</f>
        <v>1</v>
      </c>
      <c r="AE154" t="b">
        <f>IF($N154,V154=VLOOKUP(V154,$AG$2:$AL$10,5,FALSE),"")</f>
        <v>1</v>
      </c>
      <c r="AN154" s="55" t="str">
        <f t="shared" si="57"/>
        <v xml:space="preserve">    { wxString::FromUTF8("\xC3\x9C"), &amp;AllGlyphs[153], &amp;AllGlyphs[154], &amp;AllGlyphs[152], &amp;AllGlyphs[154], Connection::ORTHO_BOTH, Connection::ORTHO_BOTH, Connection::ORTHO_BOTH, Connection::EMPTY, 0, 0, 1, 0 },</v>
      </c>
      <c r="AO154" s="56"/>
      <c r="AP154" s="56"/>
      <c r="AQ154" s="56"/>
      <c r="AR154" s="56"/>
      <c r="AS154" s="56"/>
      <c r="AT154" s="56"/>
      <c r="AU154" s="57"/>
      <c r="AW154" s="54" t="str">
        <f t="shared" si="49"/>
        <v>&amp;AllGlyphs[153]</v>
      </c>
      <c r="AX154" s="54" t="str">
        <f t="shared" si="50"/>
        <v>&amp;AllGlyphs[154]</v>
      </c>
      <c r="AY154" s="54" t="str">
        <f t="shared" si="51"/>
        <v>&amp;AllGlyphs[152]</v>
      </c>
      <c r="AZ154" s="54" t="str">
        <f t="shared" si="52"/>
        <v>&amp;AllGlyphs[154]</v>
      </c>
      <c r="BB154" s="64">
        <f t="shared" si="53"/>
        <v>0</v>
      </c>
      <c r="BC154" s="64">
        <f t="shared" si="54"/>
        <v>0</v>
      </c>
      <c r="BD154" s="64">
        <f t="shared" si="55"/>
        <v>1</v>
      </c>
      <c r="BE154" s="64">
        <f t="shared" si="56"/>
        <v>0</v>
      </c>
    </row>
    <row r="155" spans="1:57" x14ac:dyDescent="0.4">
      <c r="A155" s="7" t="s">
        <v>134</v>
      </c>
      <c r="B155" s="6" t="str">
        <f t="shared" si="42"/>
        <v>Ý</v>
      </c>
      <c r="C155" s="48" cm="1">
        <f t="array" ref="C155">IF($N155,INDEX($O:$O,MATCH(TRUE,EXACT(B155,$A:$A),0)),"")</f>
        <v>153</v>
      </c>
      <c r="D155" s="38" t="s">
        <v>135</v>
      </c>
      <c r="E155" s="48" cm="1">
        <f t="array" ref="E155">IF($N155,INDEX($O:$O,MATCH(TRUE,EXACT(D155,$A:$A),0)),"")</f>
        <v>154</v>
      </c>
      <c r="F155" s="38" t="s">
        <v>132</v>
      </c>
      <c r="G155" s="48" cm="1">
        <f t="array" ref="G155">IF($O155&lt;&gt;"",INDEX($O:$O,MATCH(TRUE,EXACT(F155,$A:$A),0)),"")</f>
        <v>151</v>
      </c>
      <c r="H155" s="38" t="s">
        <v>132</v>
      </c>
      <c r="I155" s="48" cm="1">
        <f t="array" ref="I155">IF($N155,INDEX($O:$O,MATCH(TRUE,EXACT(H155,$A:$A),0)),"")</f>
        <v>151</v>
      </c>
      <c r="J155" s="38" t="s">
        <v>134</v>
      </c>
      <c r="K155" s="52" cm="1">
        <f t="array" ref="K155">IF($N155,INDEX($O:$O,MATCH(TRUE,EXACT(J155,$A:$A),0)),"")</f>
        <v>153</v>
      </c>
      <c r="L155" s="23"/>
      <c r="M155" s="33"/>
      <c r="N155" s="18" t="b">
        <f t="shared" si="44"/>
        <v>1</v>
      </c>
      <c r="O155" s="19">
        <f>IF(N155, MAX(O$2:O154)+1,"")</f>
        <v>153</v>
      </c>
      <c r="P155" s="23" t="str">
        <f t="shared" si="43"/>
        <v>Ý</v>
      </c>
      <c r="Q155" s="8" t="str" cm="1">
        <f t="array" ref="Q155">CharToUTF8(A155)</f>
        <v>\xC3\x9D</v>
      </c>
      <c r="S155" s="18" t="str">
        <f>$AG$4</f>
        <v>ORTHO_BOTH</v>
      </c>
      <c r="T155" s="24" t="str">
        <f>$AG$2</f>
        <v>EMPTY</v>
      </c>
      <c r="U155" s="24" t="str">
        <f>$AG$4</f>
        <v>ORTHO_BOTH</v>
      </c>
      <c r="V155" s="21" t="str">
        <f>$AG$4</f>
        <v>ORTHO_BOTH</v>
      </c>
      <c r="X155" s="31" t="b">
        <f t="shared" si="45"/>
        <v>0</v>
      </c>
      <c r="Y155" s="31" t="b">
        <f t="shared" si="46"/>
        <v>0</v>
      </c>
      <c r="Z155" t="b">
        <f t="shared" si="47"/>
        <v>0</v>
      </c>
      <c r="AA155" t="b">
        <f t="shared" si="48"/>
        <v>1</v>
      </c>
      <c r="AB155" t="b">
        <f>IF($N155,S155=VLOOKUP(S155,$AG$2:$AL$10,4,FALSE),"")</f>
        <v>1</v>
      </c>
      <c r="AC155" t="b">
        <f>IF($N155,T155=VLOOKUP(T155,$AG$2:$AL$10,4,FALSE),"")</f>
        <v>1</v>
      </c>
      <c r="AD155" t="b">
        <f>IF($N155,U155=VLOOKUP(U155,$AG$2:$AL$10,5,FALSE),"")</f>
        <v>1</v>
      </c>
      <c r="AE155" t="b">
        <f>IF($N155,V155=VLOOKUP(V155,$AG$2:$AL$10,5,FALSE),"")</f>
        <v>1</v>
      </c>
      <c r="AN155" s="55" t="str">
        <f t="shared" si="57"/>
        <v xml:space="preserve">    { wxString::FromUTF8("\xC3\x9D"), &amp;AllGlyphs[154], &amp;AllGlyphs[151], &amp;AllGlyphs[151], &amp;AllGlyphs[153], Connection::ORTHO_BOTH, Connection::EMPTY, Connection::ORTHO_BOTH, Connection::ORTHO_BOTH, 0, 0, 0, 1 },</v>
      </c>
      <c r="AO155" s="56"/>
      <c r="AP155" s="56"/>
      <c r="AQ155" s="56"/>
      <c r="AR155" s="56"/>
      <c r="AS155" s="56"/>
      <c r="AT155" s="56"/>
      <c r="AU155" s="57"/>
      <c r="AW155" s="54" t="str">
        <f t="shared" si="49"/>
        <v>&amp;AllGlyphs[154]</v>
      </c>
      <c r="AX155" s="54" t="str">
        <f t="shared" si="50"/>
        <v>&amp;AllGlyphs[151]</v>
      </c>
      <c r="AY155" s="54" t="str">
        <f t="shared" si="51"/>
        <v>&amp;AllGlyphs[151]</v>
      </c>
      <c r="AZ155" s="54" t="str">
        <f t="shared" si="52"/>
        <v>&amp;AllGlyphs[153]</v>
      </c>
      <c r="BB155" s="64">
        <f t="shared" si="53"/>
        <v>0</v>
      </c>
      <c r="BC155" s="64">
        <f t="shared" si="54"/>
        <v>0</v>
      </c>
      <c r="BD155" s="64">
        <f t="shared" si="55"/>
        <v>0</v>
      </c>
      <c r="BE155" s="64">
        <f t="shared" si="56"/>
        <v>1</v>
      </c>
    </row>
    <row r="156" spans="1:57" x14ac:dyDescent="0.4">
      <c r="A156" s="7" t="s">
        <v>135</v>
      </c>
      <c r="B156" s="6" t="str">
        <f t="shared" si="42"/>
        <v>Þ</v>
      </c>
      <c r="C156" s="48" cm="1">
        <f t="array" ref="C156">IF($N156,INDEX($O:$O,MATCH(TRUE,EXACT(B156,$A:$A),0)),"")</f>
        <v>154</v>
      </c>
      <c r="D156" s="38" t="s">
        <v>132</v>
      </c>
      <c r="E156" s="48" cm="1">
        <f t="array" ref="E156">IF($N156,INDEX($O:$O,MATCH(TRUE,EXACT(D156,$A:$A),0)),"")</f>
        <v>151</v>
      </c>
      <c r="F156" s="38" t="s">
        <v>133</v>
      </c>
      <c r="G156" s="48" cm="1">
        <f t="array" ref="G156">IF($O156&lt;&gt;"",INDEX($O:$O,MATCH(TRUE,EXACT(F156,$A:$A),0)),"")</f>
        <v>152</v>
      </c>
      <c r="H156" s="38" t="s">
        <v>135</v>
      </c>
      <c r="I156" s="48" cm="1">
        <f t="array" ref="I156">IF($N156,INDEX($O:$O,MATCH(TRUE,EXACT(H156,$A:$A),0)),"")</f>
        <v>154</v>
      </c>
      <c r="J156" s="38" t="s">
        <v>133</v>
      </c>
      <c r="K156" s="52" cm="1">
        <f t="array" ref="K156">IF($N156,INDEX($O:$O,MATCH(TRUE,EXACT(J156,$A:$A),0)),"")</f>
        <v>152</v>
      </c>
      <c r="L156" s="23"/>
      <c r="M156" s="33"/>
      <c r="N156" s="18" t="b">
        <f t="shared" si="44"/>
        <v>1</v>
      </c>
      <c r="O156" s="19">
        <f>IF(N156, MAX(O$2:O155)+1,"")</f>
        <v>154</v>
      </c>
      <c r="P156" s="23" t="str">
        <f t="shared" si="43"/>
        <v>Þ</v>
      </c>
      <c r="Q156" s="8" t="str" cm="1">
        <f t="array" ref="Q156">CharToUTF8(A156)</f>
        <v>\xC3\x9E</v>
      </c>
      <c r="S156" s="18" t="str">
        <f>$AG$4</f>
        <v>ORTHO_BOTH</v>
      </c>
      <c r="T156" s="24" t="str">
        <f>$AG$4</f>
        <v>ORTHO_BOTH</v>
      </c>
      <c r="U156" s="24" t="str">
        <f>$AG$2</f>
        <v>EMPTY</v>
      </c>
      <c r="V156" s="21" t="str">
        <f>$AG$4</f>
        <v>ORTHO_BOTH</v>
      </c>
      <c r="X156" s="31" t="b">
        <f t="shared" si="45"/>
        <v>0</v>
      </c>
      <c r="Y156" s="31" t="b">
        <f t="shared" si="46"/>
        <v>0</v>
      </c>
      <c r="Z156" t="b">
        <f t="shared" si="47"/>
        <v>1</v>
      </c>
      <c r="AA156" t="b">
        <f t="shared" si="48"/>
        <v>0</v>
      </c>
      <c r="AB156" t="b">
        <f>IF($N156,S156=VLOOKUP(S156,$AG$2:$AL$10,4,FALSE),"")</f>
        <v>1</v>
      </c>
      <c r="AC156" t="b">
        <f>IF($N156,T156=VLOOKUP(T156,$AG$2:$AL$10,4,FALSE),"")</f>
        <v>1</v>
      </c>
      <c r="AD156" t="b">
        <f>IF($N156,U156=VLOOKUP(U156,$AG$2:$AL$10,5,FALSE),"")</f>
        <v>1</v>
      </c>
      <c r="AE156" t="b">
        <f>IF($N156,V156=VLOOKUP(V156,$AG$2:$AL$10,5,FALSE),"")</f>
        <v>1</v>
      </c>
      <c r="AN156" s="55" t="str">
        <f t="shared" si="57"/>
        <v xml:space="preserve">    { wxString::FromUTF8("\xC3\x9E"), &amp;AllGlyphs[151], &amp;AllGlyphs[152], &amp;AllGlyphs[154], &amp;AllGlyphs[152], Connection::ORTHO_BOTH, Connection::ORTHO_BOTH, Connection::EMPTY, Connection::ORTHO_BOTH, 0, 0, 1, 0 },</v>
      </c>
      <c r="AO156" s="56"/>
      <c r="AP156" s="56"/>
      <c r="AQ156" s="56"/>
      <c r="AR156" s="56"/>
      <c r="AS156" s="56"/>
      <c r="AT156" s="56"/>
      <c r="AU156" s="57"/>
      <c r="AW156" s="54" t="str">
        <f t="shared" si="49"/>
        <v>&amp;AllGlyphs[151]</v>
      </c>
      <c r="AX156" s="54" t="str">
        <f t="shared" si="50"/>
        <v>&amp;AllGlyphs[152]</v>
      </c>
      <c r="AY156" s="54" t="str">
        <f t="shared" si="51"/>
        <v>&amp;AllGlyphs[154]</v>
      </c>
      <c r="AZ156" s="54" t="str">
        <f t="shared" si="52"/>
        <v>&amp;AllGlyphs[152]</v>
      </c>
      <c r="BB156" s="64">
        <f t="shared" si="53"/>
        <v>0</v>
      </c>
      <c r="BC156" s="64">
        <f t="shared" si="54"/>
        <v>0</v>
      </c>
      <c r="BD156" s="64">
        <f t="shared" si="55"/>
        <v>1</v>
      </c>
      <c r="BE156" s="64">
        <f t="shared" si="56"/>
        <v>0</v>
      </c>
    </row>
    <row r="157" spans="1:57" x14ac:dyDescent="0.4">
      <c r="A157" s="7" t="s">
        <v>136</v>
      </c>
      <c r="B157" s="6" t="str">
        <f t="shared" si="42"/>
        <v>ß</v>
      </c>
      <c r="C157" s="48" cm="1">
        <f t="array" ref="C157">IF($N157,INDEX($O:$O,MATCH(TRUE,EXACT(B157,$A:$A),0)),"")</f>
        <v>155</v>
      </c>
      <c r="D157" s="38" t="s">
        <v>136</v>
      </c>
      <c r="E157" s="48" cm="1">
        <f t="array" ref="E157">IF($N157,INDEX($O:$O,MATCH(TRUE,EXACT(D157,$A:$A),0)),"")</f>
        <v>155</v>
      </c>
      <c r="F157" s="38" t="s">
        <v>136</v>
      </c>
      <c r="G157" s="48" cm="1">
        <f t="array" ref="G157">IF($O157&lt;&gt;"",INDEX($O:$O,MATCH(TRUE,EXACT(F157,$A:$A),0)),"")</f>
        <v>155</v>
      </c>
      <c r="H157" s="38" t="s">
        <v>136</v>
      </c>
      <c r="I157" s="48" cm="1">
        <f t="array" ref="I157">IF($N157,INDEX($O:$O,MATCH(TRUE,EXACT(H157,$A:$A),0)),"")</f>
        <v>155</v>
      </c>
      <c r="J157" s="38" t="s">
        <v>136</v>
      </c>
      <c r="K157" s="52" cm="1">
        <f t="array" ref="K157">IF($N157,INDEX($O:$O,MATCH(TRUE,EXACT(J157,$A:$A),0)),"")</f>
        <v>155</v>
      </c>
      <c r="L157" s="23"/>
      <c r="M157" s="33"/>
      <c r="N157" s="18" t="b">
        <f t="shared" si="44"/>
        <v>1</v>
      </c>
      <c r="O157" s="19">
        <f>IF(N157, MAX(O$2:O156)+1,"")</f>
        <v>155</v>
      </c>
      <c r="P157" s="23" t="str">
        <f t="shared" si="43"/>
        <v>ß</v>
      </c>
      <c r="Q157" s="8" t="str" cm="1">
        <f t="array" ref="Q157">CharToUTF8(A157)</f>
        <v>\xC3\x9F</v>
      </c>
      <c r="S157" s="18" t="str">
        <f>$AG$4</f>
        <v>ORTHO_BOTH</v>
      </c>
      <c r="T157" s="24" t="str">
        <f>$AG$4</f>
        <v>ORTHO_BOTH</v>
      </c>
      <c r="U157" s="24" t="str">
        <f>$AG$4</f>
        <v>ORTHO_BOTH</v>
      </c>
      <c r="V157" s="21" t="str">
        <f>$AG$4</f>
        <v>ORTHO_BOTH</v>
      </c>
      <c r="X157" s="31" t="b">
        <f t="shared" si="45"/>
        <v>1</v>
      </c>
      <c r="Y157" s="31" t="b">
        <f t="shared" si="46"/>
        <v>1</v>
      </c>
      <c r="Z157" t="b">
        <f t="shared" si="47"/>
        <v>1</v>
      </c>
      <c r="AA157" t="b">
        <f t="shared" si="48"/>
        <v>1</v>
      </c>
      <c r="AB157" t="b">
        <f>IF($N157,S157=VLOOKUP(S157,$AG$2:$AL$10,4,FALSE),"")</f>
        <v>1</v>
      </c>
      <c r="AC157" t="b">
        <f>IF($N157,T157=VLOOKUP(T157,$AG$2:$AL$10,4,FALSE),"")</f>
        <v>1</v>
      </c>
      <c r="AD157" t="b">
        <f>IF($N157,U157=VLOOKUP(U157,$AG$2:$AL$10,5,FALSE),"")</f>
        <v>1</v>
      </c>
      <c r="AE157" t="b">
        <f>IF($N157,V157=VLOOKUP(V157,$AG$2:$AL$10,5,FALSE),"")</f>
        <v>1</v>
      </c>
      <c r="AN157" s="55" t="str">
        <f t="shared" si="57"/>
        <v xml:space="preserve">    { wxString::FromUTF8("\xC3\x9F"), &amp;AllGlyphs[155], &amp;AllGlyphs[155], &amp;AllGlyphs[155], &amp;AllGlyphs[155], Connection::ORTHO_BOTH, Connection::ORTHO_BOTH, Connection::ORTHO_BOTH, Connection::ORTHO_BOTH, 1, 1, 1, 1 },</v>
      </c>
      <c r="AO157" s="56"/>
      <c r="AP157" s="56"/>
      <c r="AQ157" s="56"/>
      <c r="AR157" s="56"/>
      <c r="AS157" s="56"/>
      <c r="AT157" s="56"/>
      <c r="AU157" s="57"/>
      <c r="AW157" s="54" t="str">
        <f t="shared" si="49"/>
        <v>&amp;AllGlyphs[155]</v>
      </c>
      <c r="AX157" s="54" t="str">
        <f t="shared" si="50"/>
        <v>&amp;AllGlyphs[155]</v>
      </c>
      <c r="AY157" s="54" t="str">
        <f t="shared" si="51"/>
        <v>&amp;AllGlyphs[155]</v>
      </c>
      <c r="AZ157" s="54" t="str">
        <f t="shared" si="52"/>
        <v>&amp;AllGlyphs[155]</v>
      </c>
      <c r="BB157" s="64">
        <f t="shared" si="53"/>
        <v>1</v>
      </c>
      <c r="BC157" s="64">
        <f t="shared" si="54"/>
        <v>1</v>
      </c>
      <c r="BD157" s="64">
        <f t="shared" si="55"/>
        <v>1</v>
      </c>
      <c r="BE157" s="64">
        <f t="shared" si="56"/>
        <v>1</v>
      </c>
    </row>
    <row r="158" spans="1:57" x14ac:dyDescent="0.4">
      <c r="A158" s="7" t="s">
        <v>137</v>
      </c>
      <c r="B158" s="6" t="str">
        <f t="shared" si="42"/>
        <v>à</v>
      </c>
      <c r="C158" s="48" cm="1">
        <f t="array" ref="C158">IF($N158,INDEX($O:$O,MATCH(TRUE,EXACT(B158,$A:$A),0)),"")</f>
        <v>156</v>
      </c>
      <c r="D158" s="38" t="s">
        <v>138</v>
      </c>
      <c r="E158" s="48" cm="1">
        <f t="array" ref="E158">IF($N158,INDEX($O:$O,MATCH(TRUE,EXACT(D158,$A:$A),0)),"")</f>
        <v>157</v>
      </c>
      <c r="F158" s="40" t="s">
        <v>139</v>
      </c>
      <c r="G158" s="48" cm="1">
        <f t="array" ref="G158">IF($O158&lt;&gt;"",INDEX($O:$O,MATCH(TRUE,EXACT(F158,$A:$A),0)),"")</f>
        <v>158</v>
      </c>
      <c r="H158" s="38" t="s">
        <v>140</v>
      </c>
      <c r="I158" s="48" cm="1">
        <f t="array" ref="I158">IF($N158,INDEX($O:$O,MATCH(TRUE,EXACT(H158,$A:$A),0)),"")</f>
        <v>159</v>
      </c>
      <c r="J158" s="38" t="s">
        <v>138</v>
      </c>
      <c r="K158" s="52" cm="1">
        <f t="array" ref="K158">IF($N158,INDEX($O:$O,MATCH(TRUE,EXACT(J158,$A:$A),0)),"")</f>
        <v>157</v>
      </c>
      <c r="L158" s="23"/>
      <c r="M158" s="33"/>
      <c r="N158" s="18" t="b">
        <f t="shared" si="44"/>
        <v>1</v>
      </c>
      <c r="O158" s="19">
        <f>IF(N158, MAX(O$2:O157)+1,"")</f>
        <v>156</v>
      </c>
      <c r="P158" s="23" t="str">
        <f t="shared" si="43"/>
        <v>à</v>
      </c>
      <c r="Q158" s="8" t="str" cm="1">
        <f t="array" ref="Q158">CharToUTF8(A158)</f>
        <v>\xC3\xA0</v>
      </c>
      <c r="S158" s="18" t="str">
        <f>$AG$10</f>
        <v>ORTHO_RIGHT</v>
      </c>
      <c r="T158" s="24" t="str">
        <f>$AG$4</f>
        <v>ORTHO_BOTH</v>
      </c>
      <c r="U158" s="24" t="str">
        <f>$AG$8</f>
        <v>ORTHO_DOWN</v>
      </c>
      <c r="V158" s="21" t="str">
        <f>$AG$4</f>
        <v>ORTHO_BOTH</v>
      </c>
      <c r="X158" s="31" t="b">
        <f t="shared" si="45"/>
        <v>0</v>
      </c>
      <c r="Y158" s="31" t="b">
        <f t="shared" si="46"/>
        <v>0</v>
      </c>
      <c r="Z158" t="b">
        <f t="shared" si="47"/>
        <v>0</v>
      </c>
      <c r="AA158" t="b">
        <f t="shared" si="48"/>
        <v>0</v>
      </c>
      <c r="AB158" t="b">
        <f>IF($N158,S158=VLOOKUP(S158,$AG$2:$AL$10,4,FALSE),"")</f>
        <v>0</v>
      </c>
      <c r="AC158" t="b">
        <f>IF($N158,T158=VLOOKUP(T158,$AG$2:$AL$10,4,FALSE),"")</f>
        <v>1</v>
      </c>
      <c r="AD158" t="b">
        <f>IF($N158,U158=VLOOKUP(U158,$AG$2:$AL$10,5,FALSE),"")</f>
        <v>0</v>
      </c>
      <c r="AE158" t="b">
        <f>IF($N158,V158=VLOOKUP(V158,$AG$2:$AL$10,5,FALSE),"")</f>
        <v>1</v>
      </c>
      <c r="AN158" s="55" t="str">
        <f t="shared" si="57"/>
        <v xml:space="preserve">    { wxString::FromUTF8("\xC3\xA0"), &amp;AllGlyphs[157], &amp;AllGlyphs[158], &amp;AllGlyphs[159], &amp;AllGlyphs[157], Connection::ORTHO_RIGHT, Connection::ORTHO_BOTH, Connection::ORTHO_DOWN, Connection::ORTHO_BOTH, 0, 0, 0, 0 },</v>
      </c>
      <c r="AO158" s="56"/>
      <c r="AP158" s="56"/>
      <c r="AQ158" s="56"/>
      <c r="AR158" s="56"/>
      <c r="AS158" s="56"/>
      <c r="AT158" s="56"/>
      <c r="AU158" s="57"/>
      <c r="AW158" s="54" t="str">
        <f t="shared" si="49"/>
        <v>&amp;AllGlyphs[157]</v>
      </c>
      <c r="AX158" s="54" t="str">
        <f t="shared" si="50"/>
        <v>&amp;AllGlyphs[158]</v>
      </c>
      <c r="AY158" s="54" t="str">
        <f t="shared" si="51"/>
        <v>&amp;AllGlyphs[159]</v>
      </c>
      <c r="AZ158" s="54" t="str">
        <f t="shared" si="52"/>
        <v>&amp;AllGlyphs[157]</v>
      </c>
      <c r="BB158" s="64">
        <f t="shared" si="53"/>
        <v>0</v>
      </c>
      <c r="BC158" s="64">
        <f t="shared" si="54"/>
        <v>0</v>
      </c>
      <c r="BD158" s="64">
        <f t="shared" si="55"/>
        <v>0</v>
      </c>
      <c r="BE158" s="64">
        <f t="shared" si="56"/>
        <v>0</v>
      </c>
    </row>
    <row r="159" spans="1:57" x14ac:dyDescent="0.4">
      <c r="A159" s="7" t="s">
        <v>138</v>
      </c>
      <c r="B159" s="6" t="str">
        <f t="shared" si="42"/>
        <v>á</v>
      </c>
      <c r="C159" s="48" cm="1">
        <f t="array" ref="C159">IF($N159,INDEX($O:$O,MATCH(TRUE,EXACT(B159,$A:$A),0)),"")</f>
        <v>157</v>
      </c>
      <c r="D159" s="38" t="s">
        <v>139</v>
      </c>
      <c r="E159" s="48" cm="1">
        <f t="array" ref="E159">IF($N159,INDEX($O:$O,MATCH(TRUE,EXACT(D159,$A:$A),0)),"")</f>
        <v>158</v>
      </c>
      <c r="F159" s="38" t="s">
        <v>140</v>
      </c>
      <c r="G159" s="48" cm="1">
        <f t="array" ref="G159">IF($O159&lt;&gt;"",INDEX($O:$O,MATCH(TRUE,EXACT(F159,$A:$A),0)),"")</f>
        <v>159</v>
      </c>
      <c r="H159" s="38" t="s">
        <v>139</v>
      </c>
      <c r="I159" s="48" cm="1">
        <f t="array" ref="I159">IF($N159,INDEX($O:$O,MATCH(TRUE,EXACT(H159,$A:$A),0)),"")</f>
        <v>158</v>
      </c>
      <c r="J159" s="38" t="s">
        <v>137</v>
      </c>
      <c r="K159" s="52" cm="1">
        <f t="array" ref="K159">IF($N159,INDEX($O:$O,MATCH(TRUE,EXACT(J159,$A:$A),0)),"")</f>
        <v>156</v>
      </c>
      <c r="L159" s="23"/>
      <c r="M159" s="33"/>
      <c r="N159" s="18" t="b">
        <f t="shared" si="44"/>
        <v>1</v>
      </c>
      <c r="O159" s="19">
        <f>IF(N159, MAX(O$2:O158)+1,"")</f>
        <v>157</v>
      </c>
      <c r="P159" s="23" t="str">
        <f t="shared" si="43"/>
        <v>á</v>
      </c>
      <c r="Q159" s="8" t="str" cm="1">
        <f t="array" ref="Q159">CharToUTF8(A159)</f>
        <v>\xC3\xA1</v>
      </c>
      <c r="S159" s="18" t="str">
        <f>$AG$9</f>
        <v>ORTHO_LEFT</v>
      </c>
      <c r="T159" s="24" t="str">
        <f>$AG$4</f>
        <v>ORTHO_BOTH</v>
      </c>
      <c r="U159" s="24" t="str">
        <f>$AG$4</f>
        <v>ORTHO_BOTH</v>
      </c>
      <c r="V159" s="21" t="str">
        <f>$AG$8</f>
        <v>ORTHO_DOWN</v>
      </c>
      <c r="X159" s="31" t="b">
        <f t="shared" si="45"/>
        <v>0</v>
      </c>
      <c r="Y159" s="31" t="b">
        <f t="shared" si="46"/>
        <v>0</v>
      </c>
      <c r="Z159" t="b">
        <f t="shared" si="47"/>
        <v>0</v>
      </c>
      <c r="AA159" t="b">
        <f t="shared" si="48"/>
        <v>0</v>
      </c>
      <c r="AB159" t="b">
        <f>IF($N159,S159=VLOOKUP(S159,$AG$2:$AL$10,4,FALSE),"")</f>
        <v>0</v>
      </c>
      <c r="AC159" t="b">
        <f>IF($N159,T159=VLOOKUP(T159,$AG$2:$AL$10,4,FALSE),"")</f>
        <v>1</v>
      </c>
      <c r="AD159" t="b">
        <f>IF($N159,U159=VLOOKUP(U159,$AG$2:$AL$10,5,FALSE),"")</f>
        <v>1</v>
      </c>
      <c r="AE159" t="b">
        <f>IF($N159,V159=VLOOKUP(V159,$AG$2:$AL$10,5,FALSE),"")</f>
        <v>0</v>
      </c>
      <c r="AN159" s="55" t="str">
        <f t="shared" si="57"/>
        <v xml:space="preserve">    { wxString::FromUTF8("\xC3\xA1"), &amp;AllGlyphs[158], &amp;AllGlyphs[159], &amp;AllGlyphs[158], &amp;AllGlyphs[156], Connection::ORTHO_LEFT, Connection::ORTHO_BOTH, Connection::ORTHO_BOTH, Connection::ORTHO_DOWN, 0, 0, 0, 0 },</v>
      </c>
      <c r="AO159" s="56"/>
      <c r="AP159" s="56"/>
      <c r="AQ159" s="56"/>
      <c r="AR159" s="56"/>
      <c r="AS159" s="56"/>
      <c r="AT159" s="56"/>
      <c r="AU159" s="57"/>
      <c r="AW159" s="54" t="str">
        <f t="shared" si="49"/>
        <v>&amp;AllGlyphs[158]</v>
      </c>
      <c r="AX159" s="54" t="str">
        <f t="shared" si="50"/>
        <v>&amp;AllGlyphs[159]</v>
      </c>
      <c r="AY159" s="54" t="str">
        <f t="shared" si="51"/>
        <v>&amp;AllGlyphs[158]</v>
      </c>
      <c r="AZ159" s="54" t="str">
        <f t="shared" si="52"/>
        <v>&amp;AllGlyphs[156]</v>
      </c>
      <c r="BB159" s="64">
        <f t="shared" si="53"/>
        <v>0</v>
      </c>
      <c r="BC159" s="64">
        <f t="shared" si="54"/>
        <v>0</v>
      </c>
      <c r="BD159" s="64">
        <f t="shared" si="55"/>
        <v>0</v>
      </c>
      <c r="BE159" s="64">
        <f t="shared" si="56"/>
        <v>0</v>
      </c>
    </row>
    <row r="160" spans="1:57" x14ac:dyDescent="0.4">
      <c r="A160" s="7" t="s">
        <v>139</v>
      </c>
      <c r="B160" s="6" t="str">
        <f t="shared" si="42"/>
        <v>â</v>
      </c>
      <c r="C160" s="48" cm="1">
        <f t="array" ref="C160">IF($N160,INDEX($O:$O,MATCH(TRUE,EXACT(B160,$A:$A),0)),"")</f>
        <v>158</v>
      </c>
      <c r="D160" s="38" t="s">
        <v>140</v>
      </c>
      <c r="E160" s="48" cm="1">
        <f t="array" ref="E160">IF($N160,INDEX($O:$O,MATCH(TRUE,EXACT(D160,$A:$A),0)),"")</f>
        <v>159</v>
      </c>
      <c r="F160" s="38" t="s">
        <v>137</v>
      </c>
      <c r="G160" s="48" cm="1">
        <f t="array" ref="G160">IF($O160&lt;&gt;"",INDEX($O:$O,MATCH(TRUE,EXACT(F160,$A:$A),0)),"")</f>
        <v>156</v>
      </c>
      <c r="H160" s="38" t="s">
        <v>138</v>
      </c>
      <c r="I160" s="48" cm="1">
        <f t="array" ref="I160">IF($N160,INDEX($O:$O,MATCH(TRUE,EXACT(H160,$A:$A),0)),"")</f>
        <v>157</v>
      </c>
      <c r="J160" s="38" t="s">
        <v>140</v>
      </c>
      <c r="K160" s="52" cm="1">
        <f t="array" ref="K160">IF($N160,INDEX($O:$O,MATCH(TRUE,EXACT(J160,$A:$A),0)),"")</f>
        <v>159</v>
      </c>
      <c r="L160" s="23"/>
      <c r="M160" s="33"/>
      <c r="N160" s="18" t="b">
        <f t="shared" si="44"/>
        <v>1</v>
      </c>
      <c r="O160" s="19">
        <f>IF(N160, MAX(O$2:O159)+1,"")</f>
        <v>158</v>
      </c>
      <c r="P160" s="23" t="str">
        <f t="shared" si="43"/>
        <v>â</v>
      </c>
      <c r="Q160" s="8" t="str" cm="1">
        <f t="array" ref="Q160">CharToUTF8(A160)</f>
        <v>\xC3\xA2</v>
      </c>
      <c r="S160" s="18" t="str">
        <f>$AG$4</f>
        <v>ORTHO_BOTH</v>
      </c>
      <c r="T160" s="24" t="str">
        <f>$AG$9</f>
        <v>ORTHO_LEFT</v>
      </c>
      <c r="U160" s="24" t="str">
        <f>$AG$4</f>
        <v>ORTHO_BOTH</v>
      </c>
      <c r="V160" s="21" t="str">
        <f>$AG$7</f>
        <v>ORTHO_UP</v>
      </c>
      <c r="X160" s="31" t="b">
        <f t="shared" si="45"/>
        <v>0</v>
      </c>
      <c r="Y160" s="31" t="b">
        <f t="shared" si="46"/>
        <v>0</v>
      </c>
      <c r="Z160" t="b">
        <f t="shared" si="47"/>
        <v>0</v>
      </c>
      <c r="AA160" t="b">
        <f t="shared" si="48"/>
        <v>0</v>
      </c>
      <c r="AB160" t="b">
        <f>IF($N160,S160=VLOOKUP(S160,$AG$2:$AL$10,4,FALSE),"")</f>
        <v>1</v>
      </c>
      <c r="AC160" t="b">
        <f>IF($N160,T160=VLOOKUP(T160,$AG$2:$AL$10,4,FALSE),"")</f>
        <v>0</v>
      </c>
      <c r="AD160" t="b">
        <f>IF($N160,U160=VLOOKUP(U160,$AG$2:$AL$10,5,FALSE),"")</f>
        <v>1</v>
      </c>
      <c r="AE160" t="b">
        <f>IF($N160,V160=VLOOKUP(V160,$AG$2:$AL$10,5,FALSE),"")</f>
        <v>0</v>
      </c>
      <c r="AN160" s="55" t="str">
        <f t="shared" si="57"/>
        <v xml:space="preserve">    { wxString::FromUTF8("\xC3\xA2"), &amp;AllGlyphs[159], &amp;AllGlyphs[156], &amp;AllGlyphs[157], &amp;AllGlyphs[159], Connection::ORTHO_BOTH, Connection::ORTHO_LEFT, Connection::ORTHO_BOTH, Connection::ORTHO_UP, 0, 0, 0, 0 },</v>
      </c>
      <c r="AO160" s="56"/>
      <c r="AP160" s="56"/>
      <c r="AQ160" s="56"/>
      <c r="AR160" s="56"/>
      <c r="AS160" s="56"/>
      <c r="AT160" s="56"/>
      <c r="AU160" s="57"/>
      <c r="AW160" s="54" t="str">
        <f t="shared" si="49"/>
        <v>&amp;AllGlyphs[159]</v>
      </c>
      <c r="AX160" s="54" t="str">
        <f t="shared" si="50"/>
        <v>&amp;AllGlyphs[156]</v>
      </c>
      <c r="AY160" s="54" t="str">
        <f t="shared" si="51"/>
        <v>&amp;AllGlyphs[157]</v>
      </c>
      <c r="AZ160" s="54" t="str">
        <f t="shared" si="52"/>
        <v>&amp;AllGlyphs[159]</v>
      </c>
      <c r="BB160" s="64">
        <f t="shared" si="53"/>
        <v>0</v>
      </c>
      <c r="BC160" s="64">
        <f t="shared" si="54"/>
        <v>0</v>
      </c>
      <c r="BD160" s="64">
        <f t="shared" si="55"/>
        <v>0</v>
      </c>
      <c r="BE160" s="64">
        <f t="shared" si="56"/>
        <v>0</v>
      </c>
    </row>
    <row r="161" spans="1:57" s="14" customFormat="1" x14ac:dyDescent="0.4">
      <c r="A161" s="7" t="s">
        <v>140</v>
      </c>
      <c r="B161" s="13" t="str">
        <f t="shared" si="42"/>
        <v>ã</v>
      </c>
      <c r="C161" s="48" cm="1">
        <f t="array" ref="C161">IF($N161,INDEX($O:$O,MATCH(TRUE,EXACT(B161,$A:$A),0)),"")</f>
        <v>159</v>
      </c>
      <c r="D161" s="40" t="s">
        <v>137</v>
      </c>
      <c r="E161" s="48" cm="1">
        <f t="array" ref="E161">IF($N161,INDEX($O:$O,MATCH(TRUE,EXACT(D161,$A:$A),0)),"")</f>
        <v>156</v>
      </c>
      <c r="F161" s="38" t="s">
        <v>138</v>
      </c>
      <c r="G161" s="48" cm="1">
        <f t="array" ref="G161">IF($O161&lt;&gt;"",INDEX($O:$O,MATCH(TRUE,EXACT(F161,$A:$A),0)),"")</f>
        <v>157</v>
      </c>
      <c r="H161" s="40" t="s">
        <v>137</v>
      </c>
      <c r="I161" s="48" cm="1">
        <f t="array" ref="I161">IF($N161,INDEX($O:$O,MATCH(TRUE,EXACT(H161,$A:$A),0)),"")</f>
        <v>156</v>
      </c>
      <c r="J161" s="40" t="s">
        <v>139</v>
      </c>
      <c r="K161" s="52" cm="1">
        <f t="array" ref="K161">IF($N161,INDEX($O:$O,MATCH(TRUE,EXACT(J161,$A:$A),0)),"")</f>
        <v>158</v>
      </c>
      <c r="L161" s="47"/>
      <c r="M161" s="35"/>
      <c r="N161" s="18" t="b">
        <f t="shared" si="44"/>
        <v>1</v>
      </c>
      <c r="O161" s="19">
        <f>IF(N161, MAX(O$2:O160)+1,"")</f>
        <v>159</v>
      </c>
      <c r="P161" s="23" t="str">
        <f t="shared" si="43"/>
        <v>ã</v>
      </c>
      <c r="Q161" s="8" t="str" cm="1">
        <f t="array" ref="Q161">CharToUTF8(A161)</f>
        <v>\xC3\xA3</v>
      </c>
      <c r="R161" s="22"/>
      <c r="S161" s="30" t="str">
        <f>$AG$4</f>
        <v>ORTHO_BOTH</v>
      </c>
      <c r="T161" s="24" t="str">
        <f>$AG$10</f>
        <v>ORTHO_RIGHT</v>
      </c>
      <c r="U161" s="31" t="str">
        <f>$AG$7</f>
        <v>ORTHO_UP</v>
      </c>
      <c r="V161" s="32" t="str">
        <f>$AG$4</f>
        <v>ORTHO_BOTH</v>
      </c>
      <c r="W161"/>
      <c r="X161" s="31" t="b">
        <f t="shared" si="45"/>
        <v>0</v>
      </c>
      <c r="Y161" s="31" t="b">
        <f t="shared" si="46"/>
        <v>0</v>
      </c>
      <c r="Z161" t="b">
        <f t="shared" si="47"/>
        <v>0</v>
      </c>
      <c r="AA161" t="b">
        <f t="shared" si="48"/>
        <v>0</v>
      </c>
      <c r="AB161" t="b">
        <f>IF($N161,S161=VLOOKUP(S161,$AG$2:$AL$10,4,FALSE),"")</f>
        <v>1</v>
      </c>
      <c r="AC161" t="b">
        <f>IF($N161,T161=VLOOKUP(T161,$AG$2:$AL$10,4,FALSE),"")</f>
        <v>0</v>
      </c>
      <c r="AD161" t="b">
        <f>IF($N161,U161=VLOOKUP(U161,$AG$2:$AL$10,5,FALSE),"")</f>
        <v>0</v>
      </c>
      <c r="AE161" t="b">
        <f>IF($N161,V161=VLOOKUP(V161,$AG$2:$AL$10,5,FALSE),"")</f>
        <v>1</v>
      </c>
      <c r="AF161"/>
      <c r="AN161" s="55" t="str">
        <f t="shared" si="57"/>
        <v xml:space="preserve">    { wxString::FromUTF8("\xC3\xA3"), &amp;AllGlyphs[156], &amp;AllGlyphs[157], &amp;AllGlyphs[156], &amp;AllGlyphs[158], Connection::ORTHO_BOTH, Connection::ORTHO_RIGHT, Connection::ORTHO_UP, Connection::ORTHO_BOTH, 0, 0, 0, 0 },</v>
      </c>
      <c r="AO161" s="56"/>
      <c r="AP161" s="56"/>
      <c r="AQ161" s="56"/>
      <c r="AR161" s="56"/>
      <c r="AS161" s="56"/>
      <c r="AT161" s="56"/>
      <c r="AU161" s="57"/>
      <c r="AW161" s="54" t="str">
        <f t="shared" si="49"/>
        <v>&amp;AllGlyphs[156]</v>
      </c>
      <c r="AX161" s="54" t="str">
        <f t="shared" si="50"/>
        <v>&amp;AllGlyphs[157]</v>
      </c>
      <c r="AY161" s="54" t="str">
        <f t="shared" si="51"/>
        <v>&amp;AllGlyphs[156]</v>
      </c>
      <c r="AZ161" s="54" t="str">
        <f t="shared" si="52"/>
        <v>&amp;AllGlyphs[158]</v>
      </c>
      <c r="BB161" s="64">
        <f t="shared" si="53"/>
        <v>0</v>
      </c>
      <c r="BC161" s="64">
        <f t="shared" si="54"/>
        <v>0</v>
      </c>
      <c r="BD161" s="64">
        <f t="shared" si="55"/>
        <v>0</v>
      </c>
      <c r="BE161" s="64">
        <f t="shared" si="56"/>
        <v>0</v>
      </c>
    </row>
    <row r="162" spans="1:57" s="14" customFormat="1" x14ac:dyDescent="0.4">
      <c r="A162" s="7" t="s">
        <v>141</v>
      </c>
      <c r="B162" s="13" t="str">
        <f t="shared" si="42"/>
        <v>ä</v>
      </c>
      <c r="C162" s="48" t="str" cm="1">
        <f t="array" ref="C162">IF($N162,INDEX($O:$O,MATCH(TRUE,EXACT(B162,$A:$A),0)),"")</f>
        <v/>
      </c>
      <c r="D162" s="40"/>
      <c r="E162" s="48" t="str" cm="1">
        <f t="array" ref="E162">IF($N162,INDEX($O:$O,MATCH(TRUE,EXACT(D162,$A:$A),0)),"")</f>
        <v/>
      </c>
      <c r="F162" s="40" t="s">
        <v>144</v>
      </c>
      <c r="G162" s="48" t="str" cm="1">
        <f t="array" ref="G162">IF($O162&lt;&gt;"",INDEX($O:$O,MATCH(TRUE,EXACT(F162,$A:$A),0)),"")</f>
        <v/>
      </c>
      <c r="H162" s="40" t="s">
        <v>143</v>
      </c>
      <c r="I162" s="48" t="str" cm="1">
        <f t="array" ref="I162">IF($N162,INDEX($O:$O,MATCH(TRUE,EXACT(H162,$A:$A),0)),"")</f>
        <v/>
      </c>
      <c r="J162" s="40" t="s">
        <v>142</v>
      </c>
      <c r="K162" s="52" t="str" cm="1">
        <f t="array" ref="K162">IF($N162,INDEX($O:$O,MATCH(TRUE,EXACT(J162,$A:$A),0)),"")</f>
        <v/>
      </c>
      <c r="L162" s="47"/>
      <c r="M162" s="35"/>
      <c r="N162" s="18" t="b">
        <f t="shared" si="44"/>
        <v>0</v>
      </c>
      <c r="O162" s="19" t="str">
        <f>IF(N162, MAX(O$2:O161)+1,"")</f>
        <v/>
      </c>
      <c r="P162" s="23" t="str">
        <f t="shared" si="43"/>
        <v>ä</v>
      </c>
      <c r="Q162" s="8" t="str" cm="1">
        <f t="array" ref="Q162">CharToUTF8(A162)</f>
        <v>\xC3\xA4</v>
      </c>
      <c r="R162" s="22"/>
      <c r="S162" s="30">
        <v>10</v>
      </c>
      <c r="T162" s="31" t="str">
        <f>$AG$3</f>
        <v>DIAG_BOTH</v>
      </c>
      <c r="U162" s="31" t="str">
        <f>$AG$2</f>
        <v>EMPTY</v>
      </c>
      <c r="V162" s="32" t="str">
        <f>$AG$3</f>
        <v>DIAG_BOTH</v>
      </c>
      <c r="W162"/>
      <c r="X162" s="31" t="str">
        <f t="shared" si="45"/>
        <v/>
      </c>
      <c r="Y162" s="31" t="str">
        <f t="shared" si="46"/>
        <v/>
      </c>
      <c r="Z162" t="str">
        <f t="shared" si="47"/>
        <v/>
      </c>
      <c r="AA162" t="str">
        <f t="shared" si="48"/>
        <v/>
      </c>
      <c r="AB162" t="str">
        <f>IF($N162,S162=VLOOKUP(S162,$AG$2:$AL$10,4,FALSE),"")</f>
        <v/>
      </c>
      <c r="AC162" t="str">
        <f>IF($N162,T162=VLOOKUP(T162,$AG$2:$AL$10,4,FALSE),"")</f>
        <v/>
      </c>
      <c r="AD162" t="str">
        <f>IF($N162,U162=VLOOKUP(U162,$AG$2:$AL$10,5,FALSE),"")</f>
        <v/>
      </c>
      <c r="AE162" t="str">
        <f>IF($N162,V162=VLOOKUP(V162,$AG$2:$AL$10,5,FALSE),"")</f>
        <v/>
      </c>
      <c r="AF162"/>
      <c r="AN162" s="55" t="str">
        <f t="shared" si="57"/>
        <v/>
      </c>
      <c r="AO162" s="56"/>
      <c r="AP162" s="56"/>
      <c r="AQ162" s="56"/>
      <c r="AR162" s="56"/>
      <c r="AS162" s="56"/>
      <c r="AT162" s="56"/>
      <c r="AU162" s="57"/>
      <c r="AW162" s="54" t="str">
        <f t="shared" si="49"/>
        <v/>
      </c>
      <c r="AX162" s="54" t="str">
        <f t="shared" si="50"/>
        <v/>
      </c>
      <c r="AY162" s="54" t="str">
        <f t="shared" si="51"/>
        <v/>
      </c>
      <c r="AZ162" s="54" t="str">
        <f t="shared" si="52"/>
        <v/>
      </c>
      <c r="BB162" s="64" t="str">
        <f t="shared" si="53"/>
        <v/>
      </c>
      <c r="BC162" s="64" t="str">
        <f t="shared" si="54"/>
        <v/>
      </c>
      <c r="BD162" s="64" t="str">
        <f t="shared" si="55"/>
        <v/>
      </c>
      <c r="BE162" s="64" t="str">
        <f t="shared" si="56"/>
        <v/>
      </c>
    </row>
    <row r="163" spans="1:57" s="14" customFormat="1" x14ac:dyDescent="0.4">
      <c r="A163" s="7" t="s">
        <v>142</v>
      </c>
      <c r="B163" s="13" t="str">
        <f t="shared" si="42"/>
        <v>å</v>
      </c>
      <c r="C163" s="48" t="str" cm="1">
        <f t="array" ref="C163">IF($N163,INDEX($O:$O,MATCH(TRUE,EXACT(B163,$A:$A),0)),"")</f>
        <v/>
      </c>
      <c r="D163" s="40"/>
      <c r="E163" s="48" t="str" cm="1">
        <f t="array" ref="E163">IF($N163,INDEX($O:$O,MATCH(TRUE,EXACT(D163,$A:$A),0)),"")</f>
        <v/>
      </c>
      <c r="F163" s="40" t="s">
        <v>143</v>
      </c>
      <c r="G163" s="48" t="str" cm="1">
        <f t="array" ref="G163">IF($O163&lt;&gt;"",INDEX($O:$O,MATCH(TRUE,EXACT(F163,$A:$A),0)),"")</f>
        <v/>
      </c>
      <c r="H163" s="40" t="s">
        <v>144</v>
      </c>
      <c r="I163" s="48" t="str" cm="1">
        <f t="array" ref="I163">IF($N163,INDEX($O:$O,MATCH(TRUE,EXACT(H163,$A:$A),0)),"")</f>
        <v/>
      </c>
      <c r="J163" s="40" t="s">
        <v>141</v>
      </c>
      <c r="K163" s="52" t="str" cm="1">
        <f t="array" ref="K163">IF($N163,INDEX($O:$O,MATCH(TRUE,EXACT(J163,$A:$A),0)),"")</f>
        <v/>
      </c>
      <c r="L163" s="47"/>
      <c r="M163" s="35"/>
      <c r="N163" s="18" t="b">
        <f t="shared" si="44"/>
        <v>0</v>
      </c>
      <c r="O163" s="19" t="str">
        <f>IF(N163, MAX(O$2:O162)+1,"")</f>
        <v/>
      </c>
      <c r="P163" s="23" t="str">
        <f t="shared" si="43"/>
        <v>å</v>
      </c>
      <c r="Q163" s="8" t="str" cm="1">
        <f t="array" ref="Q163">CharToUTF8(A163)</f>
        <v>\xC3\xA5</v>
      </c>
      <c r="R163" s="22"/>
      <c r="S163" s="30">
        <v>10</v>
      </c>
      <c r="T163" s="31" t="str">
        <f>$AG$3</f>
        <v>DIAG_BOTH</v>
      </c>
      <c r="U163" s="31" t="str">
        <f>$AG$3</f>
        <v>DIAG_BOTH</v>
      </c>
      <c r="V163" s="32" t="str">
        <f>$AG$2</f>
        <v>EMPTY</v>
      </c>
      <c r="W163"/>
      <c r="X163" s="31" t="str">
        <f t="shared" si="45"/>
        <v/>
      </c>
      <c r="Y163" s="31" t="str">
        <f t="shared" si="46"/>
        <v/>
      </c>
      <c r="Z163" t="str">
        <f t="shared" si="47"/>
        <v/>
      </c>
      <c r="AA163" t="str">
        <f t="shared" si="48"/>
        <v/>
      </c>
      <c r="AB163" t="str">
        <f>IF($N163,S163=VLOOKUP(S163,$AG$2:$AL$10,4,FALSE),"")</f>
        <v/>
      </c>
      <c r="AC163" t="str">
        <f>IF($N163,T163=VLOOKUP(T163,$AG$2:$AL$10,4,FALSE),"")</f>
        <v/>
      </c>
      <c r="AD163" t="str">
        <f>IF($N163,U163=VLOOKUP(U163,$AG$2:$AL$10,5,FALSE),"")</f>
        <v/>
      </c>
      <c r="AE163" t="str">
        <f>IF($N163,V163=VLOOKUP(V163,$AG$2:$AL$10,5,FALSE),"")</f>
        <v/>
      </c>
      <c r="AF163"/>
      <c r="AG163"/>
      <c r="AH163"/>
      <c r="AI163"/>
      <c r="AJ163"/>
      <c r="AK163"/>
      <c r="AL163"/>
      <c r="AN163" s="55" t="str">
        <f t="shared" si="57"/>
        <v/>
      </c>
      <c r="AO163" s="56"/>
      <c r="AP163" s="56"/>
      <c r="AQ163" s="56"/>
      <c r="AR163" s="56"/>
      <c r="AS163" s="56"/>
      <c r="AT163" s="56"/>
      <c r="AU163" s="57"/>
      <c r="AW163" s="54" t="str">
        <f t="shared" si="49"/>
        <v/>
      </c>
      <c r="AX163" s="54" t="str">
        <f t="shared" si="50"/>
        <v/>
      </c>
      <c r="AY163" s="54" t="str">
        <f t="shared" si="51"/>
        <v/>
      </c>
      <c r="AZ163" s="54" t="str">
        <f t="shared" si="52"/>
        <v/>
      </c>
      <c r="BB163" s="64" t="str">
        <f t="shared" si="53"/>
        <v/>
      </c>
      <c r="BC163" s="64" t="str">
        <f t="shared" si="54"/>
        <v/>
      </c>
      <c r="BD163" s="64" t="str">
        <f t="shared" si="55"/>
        <v/>
      </c>
      <c r="BE163" s="64" t="str">
        <f t="shared" si="56"/>
        <v/>
      </c>
    </row>
    <row r="164" spans="1:57" s="14" customFormat="1" x14ac:dyDescent="0.4">
      <c r="A164" s="7" t="s">
        <v>143</v>
      </c>
      <c r="B164" s="13" t="str">
        <f t="shared" si="42"/>
        <v>ç</v>
      </c>
      <c r="C164" s="48" t="str" cm="1">
        <f t="array" ref="C164">IF($N164,INDEX($O:$O,MATCH(TRUE,EXACT(B164,$A:$A),0)),"")</f>
        <v/>
      </c>
      <c r="D164" s="40"/>
      <c r="E164" s="48" t="str" cm="1">
        <f t="array" ref="E164">IF($N164,INDEX($O:$O,MATCH(TRUE,EXACT(D164,$A:$A),0)),"")</f>
        <v/>
      </c>
      <c r="F164" s="40" t="s">
        <v>142</v>
      </c>
      <c r="G164" s="48" t="str" cm="1">
        <f t="array" ref="G164">IF($O164&lt;&gt;"",INDEX($O:$O,MATCH(TRUE,EXACT(F164,$A:$A),0)),"")</f>
        <v/>
      </c>
      <c r="H164" s="40" t="s">
        <v>141</v>
      </c>
      <c r="I164" s="48" t="str" cm="1">
        <f t="array" ref="I164">IF($N164,INDEX($O:$O,MATCH(TRUE,EXACT(H164,$A:$A),0)),"")</f>
        <v/>
      </c>
      <c r="J164" s="40" t="s">
        <v>144</v>
      </c>
      <c r="K164" s="52" t="str" cm="1">
        <f t="array" ref="K164">IF($N164,INDEX($O:$O,MATCH(TRUE,EXACT(J164,$A:$A),0)),"")</f>
        <v/>
      </c>
      <c r="L164" s="47"/>
      <c r="M164" s="35"/>
      <c r="N164" s="18" t="b">
        <f t="shared" si="44"/>
        <v>0</v>
      </c>
      <c r="O164" s="19" t="str">
        <f>IF(N164, MAX(O$2:O163)+1,"")</f>
        <v/>
      </c>
      <c r="P164" s="23" t="str">
        <f t="shared" si="43"/>
        <v>ç</v>
      </c>
      <c r="Q164" s="8" t="str" cm="1">
        <f t="array" ref="Q164">CharToUTF8(A164)</f>
        <v>\xC3\xA7</v>
      </c>
      <c r="R164" s="22"/>
      <c r="S164" s="30" t="str">
        <f>$AG$3</f>
        <v>DIAG_BOTH</v>
      </c>
      <c r="T164" s="31">
        <v>10</v>
      </c>
      <c r="U164" s="31" t="str">
        <f>$AG$2</f>
        <v>EMPTY</v>
      </c>
      <c r="V164" s="32" t="str">
        <f>$AG$3</f>
        <v>DIAG_BOTH</v>
      </c>
      <c r="W164"/>
      <c r="X164" s="31" t="str">
        <f t="shared" si="45"/>
        <v/>
      </c>
      <c r="Y164" s="31" t="str">
        <f t="shared" si="46"/>
        <v/>
      </c>
      <c r="Z164" t="str">
        <f t="shared" si="47"/>
        <v/>
      </c>
      <c r="AA164" t="str">
        <f t="shared" si="48"/>
        <v/>
      </c>
      <c r="AB164" t="str">
        <f>IF($N164,S164=VLOOKUP(S164,$AG$2:$AL$10,4,FALSE),"")</f>
        <v/>
      </c>
      <c r="AC164" t="str">
        <f>IF($N164,T164=VLOOKUP(T164,$AG$2:$AL$10,4,FALSE),"")</f>
        <v/>
      </c>
      <c r="AD164" t="str">
        <f>IF($N164,U164=VLOOKUP(U164,$AG$2:$AL$10,5,FALSE),"")</f>
        <v/>
      </c>
      <c r="AE164" t="str">
        <f>IF($N164,V164=VLOOKUP(V164,$AG$2:$AL$10,5,FALSE),"")</f>
        <v/>
      </c>
      <c r="AF164"/>
      <c r="AG164"/>
      <c r="AH164"/>
      <c r="AI164"/>
      <c r="AJ164"/>
      <c r="AK164"/>
      <c r="AL164"/>
      <c r="AN164" s="55" t="str">
        <f t="shared" si="57"/>
        <v/>
      </c>
      <c r="AO164" s="56"/>
      <c r="AP164" s="56"/>
      <c r="AQ164" s="56"/>
      <c r="AR164" s="56"/>
      <c r="AS164" s="56"/>
      <c r="AT164" s="56"/>
      <c r="AU164" s="57"/>
      <c r="AW164" s="54" t="str">
        <f t="shared" si="49"/>
        <v/>
      </c>
      <c r="AX164" s="54" t="str">
        <f t="shared" si="50"/>
        <v/>
      </c>
      <c r="AY164" s="54" t="str">
        <f t="shared" si="51"/>
        <v/>
      </c>
      <c r="AZ164" s="54" t="str">
        <f t="shared" si="52"/>
        <v/>
      </c>
      <c r="BB164" s="64" t="str">
        <f t="shared" si="53"/>
        <v/>
      </c>
      <c r="BC164" s="64" t="str">
        <f t="shared" si="54"/>
        <v/>
      </c>
      <c r="BD164" s="64" t="str">
        <f t="shared" si="55"/>
        <v/>
      </c>
      <c r="BE164" s="64" t="str">
        <f t="shared" si="56"/>
        <v/>
      </c>
    </row>
    <row r="165" spans="1:57" s="14" customFormat="1" x14ac:dyDescent="0.4">
      <c r="A165" s="7" t="s">
        <v>144</v>
      </c>
      <c r="B165" s="13" t="str">
        <f t="shared" si="42"/>
        <v>è</v>
      </c>
      <c r="C165" s="48" t="str" cm="1">
        <f t="array" ref="C165">IF($N165,INDEX($O:$O,MATCH(TRUE,EXACT(B165,$A:$A),0)),"")</f>
        <v/>
      </c>
      <c r="D165" s="40"/>
      <c r="E165" s="48" t="str" cm="1">
        <f t="array" ref="E165">IF($N165,INDEX($O:$O,MATCH(TRUE,EXACT(D165,$A:$A),0)),"")</f>
        <v/>
      </c>
      <c r="F165" s="40" t="s">
        <v>141</v>
      </c>
      <c r="G165" s="48" t="str" cm="1">
        <f t="array" ref="G165">IF($O165&lt;&gt;"",INDEX($O:$O,MATCH(TRUE,EXACT(F165,$A:$A),0)),"")</f>
        <v/>
      </c>
      <c r="H165" s="40" t="s">
        <v>142</v>
      </c>
      <c r="I165" s="48" t="str" cm="1">
        <f t="array" ref="I165">IF($N165,INDEX($O:$O,MATCH(TRUE,EXACT(H165,$A:$A),0)),"")</f>
        <v/>
      </c>
      <c r="J165" s="40" t="s">
        <v>143</v>
      </c>
      <c r="K165" s="52" t="str" cm="1">
        <f t="array" ref="K165">IF($N165,INDEX($O:$O,MATCH(TRUE,EXACT(J165,$A:$A),0)),"")</f>
        <v/>
      </c>
      <c r="L165" s="47"/>
      <c r="M165" s="35"/>
      <c r="N165" s="18" t="b">
        <f t="shared" si="44"/>
        <v>0</v>
      </c>
      <c r="O165" s="19" t="str">
        <f>IF(N165, MAX(O$2:O164)+1,"")</f>
        <v/>
      </c>
      <c r="P165" s="23" t="str">
        <f t="shared" si="43"/>
        <v>è</v>
      </c>
      <c r="Q165" s="8" t="str" cm="1">
        <f t="array" ref="Q165">CharToUTF8(A165)</f>
        <v>\xC3\xA8</v>
      </c>
      <c r="R165" s="22"/>
      <c r="S165" s="30" t="str">
        <f>$AG$3</f>
        <v>DIAG_BOTH</v>
      </c>
      <c r="T165" s="31">
        <v>10</v>
      </c>
      <c r="U165" s="31" t="str">
        <f>$AG$3</f>
        <v>DIAG_BOTH</v>
      </c>
      <c r="V165" s="32" t="str">
        <f>$AG$2</f>
        <v>EMPTY</v>
      </c>
      <c r="W165"/>
      <c r="X165" s="31" t="str">
        <f t="shared" si="45"/>
        <v/>
      </c>
      <c r="Y165" s="31" t="str">
        <f t="shared" si="46"/>
        <v/>
      </c>
      <c r="Z165" t="str">
        <f t="shared" si="47"/>
        <v/>
      </c>
      <c r="AA165" t="str">
        <f t="shared" si="48"/>
        <v/>
      </c>
      <c r="AB165" t="str">
        <f>IF($N165,S165=VLOOKUP(S165,$AG$2:$AL$10,4,FALSE),"")</f>
        <v/>
      </c>
      <c r="AC165" t="str">
        <f>IF($N165,T165=VLOOKUP(T165,$AG$2:$AL$10,4,FALSE),"")</f>
        <v/>
      </c>
      <c r="AD165" t="str">
        <f>IF($N165,U165=VLOOKUP(U165,$AG$2:$AL$10,5,FALSE),"")</f>
        <v/>
      </c>
      <c r="AE165" t="str">
        <f>IF($N165,V165=VLOOKUP(V165,$AG$2:$AL$10,5,FALSE),"")</f>
        <v/>
      </c>
      <c r="AF165"/>
      <c r="AG165"/>
      <c r="AH165"/>
      <c r="AI165"/>
      <c r="AJ165"/>
      <c r="AK165"/>
      <c r="AL165"/>
      <c r="AN165" s="55" t="str">
        <f t="shared" si="57"/>
        <v/>
      </c>
      <c r="AO165" s="56"/>
      <c r="AP165" s="56"/>
      <c r="AQ165" s="56"/>
      <c r="AR165" s="56"/>
      <c r="AS165" s="56"/>
      <c r="AT165" s="56"/>
      <c r="AU165" s="57"/>
      <c r="AW165" s="54" t="str">
        <f t="shared" si="49"/>
        <v/>
      </c>
      <c r="AX165" s="54" t="str">
        <f t="shared" si="50"/>
        <v/>
      </c>
      <c r="AY165" s="54" t="str">
        <f t="shared" si="51"/>
        <v/>
      </c>
      <c r="AZ165" s="54" t="str">
        <f t="shared" si="52"/>
        <v/>
      </c>
      <c r="BB165" s="64" t="str">
        <f t="shared" si="53"/>
        <v/>
      </c>
      <c r="BC165" s="64" t="str">
        <f t="shared" si="54"/>
        <v/>
      </c>
      <c r="BD165" s="64" t="str">
        <f t="shared" si="55"/>
        <v/>
      </c>
      <c r="BE165" s="64" t="str">
        <f t="shared" si="56"/>
        <v/>
      </c>
    </row>
    <row r="166" spans="1:57" s="14" customFormat="1" x14ac:dyDescent="0.4">
      <c r="A166" s="7" t="s">
        <v>161</v>
      </c>
      <c r="B166" s="13" t="str">
        <f t="shared" si="42"/>
        <v>é</v>
      </c>
      <c r="C166" s="48" t="str" cm="1">
        <f t="array" ref="C166">IF($N166,INDEX($O:$O,MATCH(TRUE,EXACT(B166,$A:$A),0)),"")</f>
        <v/>
      </c>
      <c r="D166" s="40"/>
      <c r="E166" s="48" t="str" cm="1">
        <f t="array" ref="E166">IF($N166,INDEX($O:$O,MATCH(TRUE,EXACT(D166,$A:$A),0)),"")</f>
        <v/>
      </c>
      <c r="F166" s="40" t="s">
        <v>162</v>
      </c>
      <c r="G166" s="48" t="str" cm="1">
        <f t="array" ref="G166">IF($O166&lt;&gt;"",INDEX($O:$O,MATCH(TRUE,EXACT(F166,$A:$A),0)),"")</f>
        <v/>
      </c>
      <c r="H166" s="40" t="s">
        <v>162</v>
      </c>
      <c r="I166" s="48" t="str" cm="1">
        <f t="array" ref="I166">IF($N166,INDEX($O:$O,MATCH(TRUE,EXACT(H166,$A:$A),0)),"")</f>
        <v/>
      </c>
      <c r="J166" s="40" t="s">
        <v>161</v>
      </c>
      <c r="K166" s="52" t="str" cm="1">
        <f t="array" ref="K166">IF($N166,INDEX($O:$O,MATCH(TRUE,EXACT(J166,$A:$A),0)),"")</f>
        <v/>
      </c>
      <c r="L166" s="47"/>
      <c r="M166" s="35"/>
      <c r="N166" s="18" t="b">
        <f t="shared" si="44"/>
        <v>0</v>
      </c>
      <c r="O166" s="19" t="str">
        <f>IF(N166, MAX(O$2:O165)+1,"")</f>
        <v/>
      </c>
      <c r="P166" s="23" t="str">
        <f t="shared" si="43"/>
        <v>é</v>
      </c>
      <c r="Q166" s="8" t="str" cm="1">
        <f t="array" ref="Q166">CharToUTF8(A166)</f>
        <v>\xC3\xA9</v>
      </c>
      <c r="R166" s="22"/>
      <c r="S166" s="30" t="str">
        <f>$AG$2</f>
        <v>EMPTY</v>
      </c>
      <c r="T166" s="31">
        <v>10</v>
      </c>
      <c r="U166" s="31" t="str">
        <f>$AG$2</f>
        <v>EMPTY</v>
      </c>
      <c r="V166" s="32" t="str">
        <f>$AG$2</f>
        <v>EMPTY</v>
      </c>
      <c r="W166"/>
      <c r="X166" s="31" t="str">
        <f t="shared" si="45"/>
        <v/>
      </c>
      <c r="Y166" s="31" t="str">
        <f t="shared" si="46"/>
        <v/>
      </c>
      <c r="Z166" t="str">
        <f t="shared" si="47"/>
        <v/>
      </c>
      <c r="AA166" t="str">
        <f t="shared" si="48"/>
        <v/>
      </c>
      <c r="AB166" t="str">
        <f>IF($N166,S166=VLOOKUP(S166,$AG$2:$AL$10,4,FALSE),"")</f>
        <v/>
      </c>
      <c r="AC166" t="str">
        <f>IF($N166,T166=VLOOKUP(T166,$AG$2:$AL$10,4,FALSE),"")</f>
        <v/>
      </c>
      <c r="AD166" t="str">
        <f>IF($N166,U166=VLOOKUP(U166,$AG$2:$AL$10,5,FALSE),"")</f>
        <v/>
      </c>
      <c r="AE166" t="str">
        <f>IF($N166,V166=VLOOKUP(V166,$AG$2:$AL$10,5,FALSE),"")</f>
        <v/>
      </c>
      <c r="AF166"/>
      <c r="AG166"/>
      <c r="AH166"/>
      <c r="AI166"/>
      <c r="AJ166"/>
      <c r="AK166"/>
      <c r="AL166"/>
      <c r="AN166" s="55" t="str">
        <f t="shared" si="57"/>
        <v/>
      </c>
      <c r="AO166" s="56"/>
      <c r="AP166" s="56"/>
      <c r="AQ166" s="56"/>
      <c r="AR166" s="56"/>
      <c r="AS166" s="56"/>
      <c r="AT166" s="56"/>
      <c r="AU166" s="57"/>
      <c r="AW166" s="54" t="str">
        <f t="shared" si="49"/>
        <v/>
      </c>
      <c r="AX166" s="54" t="str">
        <f t="shared" si="50"/>
        <v/>
      </c>
      <c r="AY166" s="54" t="str">
        <f t="shared" si="51"/>
        <v/>
      </c>
      <c r="AZ166" s="54" t="str">
        <f t="shared" si="52"/>
        <v/>
      </c>
      <c r="BB166" s="64" t="str">
        <f t="shared" si="53"/>
        <v/>
      </c>
      <c r="BC166" s="64" t="str">
        <f t="shared" si="54"/>
        <v/>
      </c>
      <c r="BD166" s="64" t="str">
        <f t="shared" si="55"/>
        <v/>
      </c>
      <c r="BE166" s="64" t="str">
        <f t="shared" si="56"/>
        <v/>
      </c>
    </row>
    <row r="167" spans="1:57" s="14" customFormat="1" x14ac:dyDescent="0.4">
      <c r="A167" s="7" t="s">
        <v>162</v>
      </c>
      <c r="B167" s="13" t="str">
        <f t="shared" si="42"/>
        <v>ê</v>
      </c>
      <c r="C167" s="48" t="str" cm="1">
        <f t="array" ref="C167">IF($N167,INDEX($O:$O,MATCH(TRUE,EXACT(B167,$A:$A),0)),"")</f>
        <v/>
      </c>
      <c r="D167" s="40"/>
      <c r="E167" s="48" t="str" cm="1">
        <f t="array" ref="E167">IF($N167,INDEX($O:$O,MATCH(TRUE,EXACT(D167,$A:$A),0)),"")</f>
        <v/>
      </c>
      <c r="F167" s="40" t="s">
        <v>161</v>
      </c>
      <c r="G167" s="48" t="str" cm="1">
        <f t="array" ref="G167">IF($O167&lt;&gt;"",INDEX($O:$O,MATCH(TRUE,EXACT(F167,$A:$A),0)),"")</f>
        <v/>
      </c>
      <c r="H167" s="40" t="s">
        <v>161</v>
      </c>
      <c r="I167" s="48" t="str" cm="1">
        <f t="array" ref="I167">IF($N167,INDEX($O:$O,MATCH(TRUE,EXACT(H167,$A:$A),0)),"")</f>
        <v/>
      </c>
      <c r="J167" s="40" t="s">
        <v>162</v>
      </c>
      <c r="K167" s="52" t="str" cm="1">
        <f t="array" ref="K167">IF($N167,INDEX($O:$O,MATCH(TRUE,EXACT(J167,$A:$A),0)),"")</f>
        <v/>
      </c>
      <c r="L167" s="47"/>
      <c r="M167" s="35"/>
      <c r="N167" s="18" t="b">
        <f t="shared" si="44"/>
        <v>0</v>
      </c>
      <c r="O167" s="19" t="str">
        <f>IF(N167, MAX(O$2:O166)+1,"")</f>
        <v/>
      </c>
      <c r="P167" s="23" t="str">
        <f t="shared" si="43"/>
        <v>ê</v>
      </c>
      <c r="Q167" s="8" t="str" cm="1">
        <f t="array" ref="Q167">CharToUTF8(A167)</f>
        <v>\xC3\xAA</v>
      </c>
      <c r="R167" s="22"/>
      <c r="S167" s="30">
        <v>10</v>
      </c>
      <c r="T167" s="31" t="str">
        <f>$AG$2</f>
        <v>EMPTY</v>
      </c>
      <c r="U167" s="31" t="str">
        <f>$AG$2</f>
        <v>EMPTY</v>
      </c>
      <c r="V167" s="32" t="str">
        <f>$AG$2</f>
        <v>EMPTY</v>
      </c>
      <c r="W167"/>
      <c r="X167" s="31" t="str">
        <f t="shared" si="45"/>
        <v/>
      </c>
      <c r="Y167" s="31" t="str">
        <f t="shared" si="46"/>
        <v/>
      </c>
      <c r="Z167" t="str">
        <f t="shared" si="47"/>
        <v/>
      </c>
      <c r="AA167" t="str">
        <f t="shared" si="48"/>
        <v/>
      </c>
      <c r="AB167" t="str">
        <f>IF($N167,S167=VLOOKUP(S167,$AG$2:$AL$10,4,FALSE),"")</f>
        <v/>
      </c>
      <c r="AC167" t="str">
        <f>IF($N167,T167=VLOOKUP(T167,$AG$2:$AL$10,4,FALSE),"")</f>
        <v/>
      </c>
      <c r="AD167" t="str">
        <f>IF($N167,U167=VLOOKUP(U167,$AG$2:$AL$10,5,FALSE),"")</f>
        <v/>
      </c>
      <c r="AE167" t="str">
        <f>IF($N167,V167=VLOOKUP(V167,$AG$2:$AL$10,5,FALSE),"")</f>
        <v/>
      </c>
      <c r="AF167"/>
      <c r="AG167"/>
      <c r="AH167"/>
      <c r="AI167"/>
      <c r="AJ167"/>
      <c r="AK167"/>
      <c r="AL167"/>
      <c r="AN167" s="55" t="str">
        <f t="shared" si="57"/>
        <v/>
      </c>
      <c r="AO167" s="56"/>
      <c r="AP167" s="56"/>
      <c r="AQ167" s="56"/>
      <c r="AR167" s="56"/>
      <c r="AS167" s="56"/>
      <c r="AT167" s="56"/>
      <c r="AU167" s="57"/>
      <c r="AW167" s="54" t="str">
        <f t="shared" si="49"/>
        <v/>
      </c>
      <c r="AX167" s="54" t="str">
        <f t="shared" si="50"/>
        <v/>
      </c>
      <c r="AY167" s="54" t="str">
        <f t="shared" si="51"/>
        <v/>
      </c>
      <c r="AZ167" s="54" t="str">
        <f t="shared" si="52"/>
        <v/>
      </c>
      <c r="BB167" s="64" t="str">
        <f t="shared" si="53"/>
        <v/>
      </c>
      <c r="BC167" s="64" t="str">
        <f t="shared" si="54"/>
        <v/>
      </c>
      <c r="BD167" s="64" t="str">
        <f t="shared" si="55"/>
        <v/>
      </c>
      <c r="BE167" s="64" t="str">
        <f t="shared" si="56"/>
        <v/>
      </c>
    </row>
    <row r="168" spans="1:57" s="14" customFormat="1" x14ac:dyDescent="0.4">
      <c r="A168" s="7" t="s">
        <v>163</v>
      </c>
      <c r="B168" s="13" t="str">
        <f t="shared" si="42"/>
        <v>ë</v>
      </c>
      <c r="C168" s="48" t="str" cm="1">
        <f t="array" ref="C168">IF($N168,INDEX($O:$O,MATCH(TRUE,EXACT(B168,$A:$A),0)),"")</f>
        <v/>
      </c>
      <c r="D168" s="40"/>
      <c r="E168" s="48" t="str" cm="1">
        <f t="array" ref="E168">IF($N168,INDEX($O:$O,MATCH(TRUE,EXACT(D168,$A:$A),0)),"")</f>
        <v/>
      </c>
      <c r="F168" s="40" t="s">
        <v>163</v>
      </c>
      <c r="G168" s="48" t="str" cm="1">
        <f t="array" ref="G168">IF($O168&lt;&gt;"",INDEX($O:$O,MATCH(TRUE,EXACT(F168,$A:$A),0)),"")</f>
        <v/>
      </c>
      <c r="H168" s="40" t="s">
        <v>163</v>
      </c>
      <c r="I168" s="48" t="str" cm="1">
        <f t="array" ref="I168">IF($N168,INDEX($O:$O,MATCH(TRUE,EXACT(H168,$A:$A),0)),"")</f>
        <v/>
      </c>
      <c r="J168" s="40" t="s">
        <v>163</v>
      </c>
      <c r="K168" s="52" t="str" cm="1">
        <f t="array" ref="K168">IF($N168,INDEX($O:$O,MATCH(TRUE,EXACT(J168,$A:$A),0)),"")</f>
        <v/>
      </c>
      <c r="L168" s="47"/>
      <c r="M168" s="35"/>
      <c r="N168" s="18" t="b">
        <f t="shared" si="44"/>
        <v>0</v>
      </c>
      <c r="O168" s="19" t="str">
        <f>IF(N168, MAX(O$2:O167)+1,"")</f>
        <v/>
      </c>
      <c r="P168" s="23" t="str">
        <f t="shared" si="43"/>
        <v>ë</v>
      </c>
      <c r="Q168" s="8" t="str" cm="1">
        <f t="array" ref="Q168">CharToUTF8(A168)</f>
        <v>\xC3\xAB</v>
      </c>
      <c r="R168" s="22"/>
      <c r="S168" s="30">
        <v>10</v>
      </c>
      <c r="T168" s="31">
        <v>10</v>
      </c>
      <c r="U168" s="31" t="str">
        <f>$AG$2</f>
        <v>EMPTY</v>
      </c>
      <c r="V168" s="32" t="str">
        <f>$AG$2</f>
        <v>EMPTY</v>
      </c>
      <c r="W168"/>
      <c r="X168" s="31" t="str">
        <f t="shared" si="45"/>
        <v/>
      </c>
      <c r="Y168" s="31" t="str">
        <f t="shared" si="46"/>
        <v/>
      </c>
      <c r="Z168" t="str">
        <f t="shared" si="47"/>
        <v/>
      </c>
      <c r="AA168" t="str">
        <f t="shared" si="48"/>
        <v/>
      </c>
      <c r="AB168" t="str">
        <f>IF($N168,S168=VLOOKUP(S168,$AG$2:$AL$10,4,FALSE),"")</f>
        <v/>
      </c>
      <c r="AC168" t="str">
        <f>IF($N168,T168=VLOOKUP(T168,$AG$2:$AL$10,4,FALSE),"")</f>
        <v/>
      </c>
      <c r="AD168" t="str">
        <f>IF($N168,U168=VLOOKUP(U168,$AG$2:$AL$10,5,FALSE),"")</f>
        <v/>
      </c>
      <c r="AE168" t="str">
        <f>IF($N168,V168=VLOOKUP(V168,$AG$2:$AL$10,5,FALSE),"")</f>
        <v/>
      </c>
      <c r="AF168"/>
      <c r="AG168"/>
      <c r="AH168"/>
      <c r="AI168"/>
      <c r="AJ168"/>
      <c r="AK168"/>
      <c r="AL168"/>
      <c r="AN168" s="55" t="str">
        <f t="shared" si="57"/>
        <v/>
      </c>
      <c r="AO168" s="56"/>
      <c r="AP168" s="56"/>
      <c r="AQ168" s="56"/>
      <c r="AR168" s="56"/>
      <c r="AS168" s="56"/>
      <c r="AT168" s="56"/>
      <c r="AU168" s="57"/>
      <c r="AW168" s="54" t="str">
        <f t="shared" si="49"/>
        <v/>
      </c>
      <c r="AX168" s="54" t="str">
        <f t="shared" si="50"/>
        <v/>
      </c>
      <c r="AY168" s="54" t="str">
        <f t="shared" si="51"/>
        <v/>
      </c>
      <c r="AZ168" s="54" t="str">
        <f t="shared" si="52"/>
        <v/>
      </c>
      <c r="BB168" s="64" t="str">
        <f t="shared" si="53"/>
        <v/>
      </c>
      <c r="BC168" s="64" t="str">
        <f t="shared" si="54"/>
        <v/>
      </c>
      <c r="BD168" s="64" t="str">
        <f t="shared" si="55"/>
        <v/>
      </c>
      <c r="BE168" s="64" t="str">
        <f t="shared" si="56"/>
        <v/>
      </c>
    </row>
    <row r="169" spans="1:57" s="14" customFormat="1" x14ac:dyDescent="0.4">
      <c r="A169" s="7" t="s">
        <v>145</v>
      </c>
      <c r="B169" s="13" t="str">
        <f t="shared" si="42"/>
        <v>ì</v>
      </c>
      <c r="C169" s="48" t="str" cm="1">
        <f t="array" ref="C169">IF($N169,INDEX($O:$O,MATCH(TRUE,EXACT(B169,$A:$A),0)),"")</f>
        <v/>
      </c>
      <c r="D169" s="40"/>
      <c r="E169" s="48" t="str" cm="1">
        <f t="array" ref="E169">IF($N169,INDEX($O:$O,MATCH(TRUE,EXACT(D169,$A:$A),0)),"")</f>
        <v/>
      </c>
      <c r="F169" s="40" t="s">
        <v>148</v>
      </c>
      <c r="G169" s="48" t="str" cm="1">
        <f t="array" ref="G169">IF($O169&lt;&gt;"",INDEX($O:$O,MATCH(TRUE,EXACT(F169,$A:$A),0)),"")</f>
        <v/>
      </c>
      <c r="H169" s="40" t="s">
        <v>147</v>
      </c>
      <c r="I169" s="48" t="str" cm="1">
        <f t="array" ref="I169">IF($N169,INDEX($O:$O,MATCH(TRUE,EXACT(H169,$A:$A),0)),"")</f>
        <v/>
      </c>
      <c r="J169" s="40" t="s">
        <v>146</v>
      </c>
      <c r="K169" s="52" t="str" cm="1">
        <f t="array" ref="K169">IF($N169,INDEX($O:$O,MATCH(TRUE,EXACT(J169,$A:$A),0)),"")</f>
        <v/>
      </c>
      <c r="L169" s="47"/>
      <c r="M169" s="35"/>
      <c r="N169" s="18" t="b">
        <f t="shared" si="44"/>
        <v>0</v>
      </c>
      <c r="O169" s="19" t="str">
        <f>IF(N169, MAX(O$2:O168)+1,"")</f>
        <v/>
      </c>
      <c r="P169" s="23" t="str">
        <f t="shared" si="43"/>
        <v>ì</v>
      </c>
      <c r="Q169" s="8" t="str" cm="1">
        <f t="array" ref="Q169">CharToUTF8(A169)</f>
        <v>\xC3\xAC</v>
      </c>
      <c r="R169" s="22"/>
      <c r="S169" s="30" t="str">
        <f>$AG$2</f>
        <v>EMPTY</v>
      </c>
      <c r="T169" s="31" t="str">
        <f>$AG$3</f>
        <v>DIAG_BOTH</v>
      </c>
      <c r="U169" s="31">
        <v>9</v>
      </c>
      <c r="V169" s="32" t="str">
        <f>$AG$3</f>
        <v>DIAG_BOTH</v>
      </c>
      <c r="W169"/>
      <c r="X169" s="31" t="str">
        <f t="shared" si="45"/>
        <v/>
      </c>
      <c r="Y169" s="31" t="str">
        <f t="shared" si="46"/>
        <v/>
      </c>
      <c r="Z169" t="str">
        <f t="shared" si="47"/>
        <v/>
      </c>
      <c r="AA169" t="str">
        <f t="shared" si="48"/>
        <v/>
      </c>
      <c r="AB169" t="str">
        <f>IF($N169,S169=VLOOKUP(S169,$AG$2:$AL$10,4,FALSE),"")</f>
        <v/>
      </c>
      <c r="AC169" t="str">
        <f>IF($N169,T169=VLOOKUP(T169,$AG$2:$AL$10,4,FALSE),"")</f>
        <v/>
      </c>
      <c r="AD169" t="str">
        <f>IF($N169,U169=VLOOKUP(U169,$AG$2:$AL$10,5,FALSE),"")</f>
        <v/>
      </c>
      <c r="AE169" t="str">
        <f>IF($N169,V169=VLOOKUP(V169,$AG$2:$AL$10,5,FALSE),"")</f>
        <v/>
      </c>
      <c r="AF169"/>
      <c r="AG169"/>
      <c r="AH169"/>
      <c r="AI169"/>
      <c r="AJ169"/>
      <c r="AK169"/>
      <c r="AL169"/>
      <c r="AN169" s="55" t="str">
        <f t="shared" si="57"/>
        <v/>
      </c>
      <c r="AO169" s="56"/>
      <c r="AP169" s="56"/>
      <c r="AQ169" s="56"/>
      <c r="AR169" s="56"/>
      <c r="AS169" s="56"/>
      <c r="AT169" s="56"/>
      <c r="AU169" s="57"/>
      <c r="AW169" s="54" t="str">
        <f t="shared" si="49"/>
        <v/>
      </c>
      <c r="AX169" s="54" t="str">
        <f t="shared" si="50"/>
        <v/>
      </c>
      <c r="AY169" s="54" t="str">
        <f t="shared" si="51"/>
        <v/>
      </c>
      <c r="AZ169" s="54" t="str">
        <f t="shared" si="52"/>
        <v/>
      </c>
      <c r="BB169" s="64" t="str">
        <f t="shared" si="53"/>
        <v/>
      </c>
      <c r="BC169" s="64" t="str">
        <f t="shared" si="54"/>
        <v/>
      </c>
      <c r="BD169" s="64" t="str">
        <f t="shared" si="55"/>
        <v/>
      </c>
      <c r="BE169" s="64" t="str">
        <f t="shared" si="56"/>
        <v/>
      </c>
    </row>
    <row r="170" spans="1:57" s="14" customFormat="1" x14ac:dyDescent="0.4">
      <c r="A170" s="7" t="s">
        <v>146</v>
      </c>
      <c r="B170" s="13" t="str">
        <f t="shared" si="42"/>
        <v>í</v>
      </c>
      <c r="C170" s="48" t="str" cm="1">
        <f t="array" ref="C170">IF($N170,INDEX($O:$O,MATCH(TRUE,EXACT(B170,$A:$A),0)),"")</f>
        <v/>
      </c>
      <c r="D170" s="40"/>
      <c r="E170" s="48" t="str" cm="1">
        <f t="array" ref="E170">IF($N170,INDEX($O:$O,MATCH(TRUE,EXACT(D170,$A:$A),0)),"")</f>
        <v/>
      </c>
      <c r="F170" s="40" t="s">
        <v>147</v>
      </c>
      <c r="G170" s="48" t="str" cm="1">
        <f t="array" ref="G170">IF($O170&lt;&gt;"",INDEX($O:$O,MATCH(TRUE,EXACT(F170,$A:$A),0)),"")</f>
        <v/>
      </c>
      <c r="H170" s="40" t="s">
        <v>148</v>
      </c>
      <c r="I170" s="48" t="str" cm="1">
        <f t="array" ref="I170">IF($N170,INDEX($O:$O,MATCH(TRUE,EXACT(H170,$A:$A),0)),"")</f>
        <v/>
      </c>
      <c r="J170" s="40" t="s">
        <v>145</v>
      </c>
      <c r="K170" s="52" t="str" cm="1">
        <f t="array" ref="K170">IF($N170,INDEX($O:$O,MATCH(TRUE,EXACT(J170,$A:$A),0)),"")</f>
        <v/>
      </c>
      <c r="L170" s="47"/>
      <c r="M170" s="35"/>
      <c r="N170" s="18" t="b">
        <f t="shared" si="44"/>
        <v>0</v>
      </c>
      <c r="O170" s="19" t="str">
        <f>IF(N170, MAX(O$2:O169)+1,"")</f>
        <v/>
      </c>
      <c r="P170" s="23" t="str">
        <f t="shared" si="43"/>
        <v>í</v>
      </c>
      <c r="Q170" s="8" t="str" cm="1">
        <f t="array" ref="Q170">CharToUTF8(A170)</f>
        <v>\xC3\xAD</v>
      </c>
      <c r="R170" s="22"/>
      <c r="S170" s="30" t="str">
        <f>$AG$2</f>
        <v>EMPTY</v>
      </c>
      <c r="T170" s="31" t="str">
        <f>$AG$3</f>
        <v>DIAG_BOTH</v>
      </c>
      <c r="U170" s="31" t="str">
        <f>$AG$3</f>
        <v>DIAG_BOTH</v>
      </c>
      <c r="V170" s="32">
        <v>9</v>
      </c>
      <c r="W170"/>
      <c r="X170" s="31" t="str">
        <f t="shared" si="45"/>
        <v/>
      </c>
      <c r="Y170" s="31" t="str">
        <f t="shared" si="46"/>
        <v/>
      </c>
      <c r="Z170" t="str">
        <f t="shared" si="47"/>
        <v/>
      </c>
      <c r="AA170" t="str">
        <f t="shared" si="48"/>
        <v/>
      </c>
      <c r="AB170" t="str">
        <f>IF($N170,S170=VLOOKUP(S170,$AG$2:$AL$10,4,FALSE),"")</f>
        <v/>
      </c>
      <c r="AC170" t="str">
        <f>IF($N170,T170=VLOOKUP(T170,$AG$2:$AL$10,4,FALSE),"")</f>
        <v/>
      </c>
      <c r="AD170" t="str">
        <f>IF($N170,U170=VLOOKUP(U170,$AG$2:$AL$10,5,FALSE),"")</f>
        <v/>
      </c>
      <c r="AE170" t="str">
        <f>IF($N170,V170=VLOOKUP(V170,$AG$2:$AL$10,5,FALSE),"")</f>
        <v/>
      </c>
      <c r="AF170"/>
      <c r="AG170"/>
      <c r="AH170"/>
      <c r="AI170"/>
      <c r="AJ170"/>
      <c r="AK170"/>
      <c r="AL170"/>
      <c r="AN170" s="55" t="str">
        <f t="shared" si="57"/>
        <v/>
      </c>
      <c r="AO170" s="56"/>
      <c r="AP170" s="56"/>
      <c r="AQ170" s="56"/>
      <c r="AR170" s="56"/>
      <c r="AS170" s="56"/>
      <c r="AT170" s="56"/>
      <c r="AU170" s="57"/>
      <c r="AW170" s="54" t="str">
        <f t="shared" si="49"/>
        <v/>
      </c>
      <c r="AX170" s="54" t="str">
        <f t="shared" si="50"/>
        <v/>
      </c>
      <c r="AY170" s="54" t="str">
        <f t="shared" si="51"/>
        <v/>
      </c>
      <c r="AZ170" s="54" t="str">
        <f t="shared" si="52"/>
        <v/>
      </c>
      <c r="BB170" s="64" t="str">
        <f t="shared" si="53"/>
        <v/>
      </c>
      <c r="BC170" s="64" t="str">
        <f t="shared" si="54"/>
        <v/>
      </c>
      <c r="BD170" s="64" t="str">
        <f t="shared" si="55"/>
        <v/>
      </c>
      <c r="BE170" s="64" t="str">
        <f t="shared" si="56"/>
        <v/>
      </c>
    </row>
    <row r="171" spans="1:57" s="14" customFormat="1" x14ac:dyDescent="0.4">
      <c r="A171" s="7" t="s">
        <v>147</v>
      </c>
      <c r="B171" s="13" t="str">
        <f t="shared" si="42"/>
        <v>î</v>
      </c>
      <c r="C171" s="48" t="str" cm="1">
        <f t="array" ref="C171">IF($N171,INDEX($O:$O,MATCH(TRUE,EXACT(B171,$A:$A),0)),"")</f>
        <v/>
      </c>
      <c r="D171" s="40"/>
      <c r="E171" s="48" t="str" cm="1">
        <f t="array" ref="E171">IF($N171,INDEX($O:$O,MATCH(TRUE,EXACT(D171,$A:$A),0)),"")</f>
        <v/>
      </c>
      <c r="F171" s="40" t="s">
        <v>146</v>
      </c>
      <c r="G171" s="48" t="str" cm="1">
        <f t="array" ref="G171">IF($O171&lt;&gt;"",INDEX($O:$O,MATCH(TRUE,EXACT(F171,$A:$A),0)),"")</f>
        <v/>
      </c>
      <c r="H171" s="40" t="s">
        <v>145</v>
      </c>
      <c r="I171" s="48" t="str" cm="1">
        <f t="array" ref="I171">IF($N171,INDEX($O:$O,MATCH(TRUE,EXACT(H171,$A:$A),0)),"")</f>
        <v/>
      </c>
      <c r="J171" s="40" t="s">
        <v>148</v>
      </c>
      <c r="K171" s="52" t="str" cm="1">
        <f t="array" ref="K171">IF($N171,INDEX($O:$O,MATCH(TRUE,EXACT(J171,$A:$A),0)),"")</f>
        <v/>
      </c>
      <c r="L171" s="47"/>
      <c r="M171" s="35"/>
      <c r="N171" s="18" t="b">
        <f t="shared" si="44"/>
        <v>0</v>
      </c>
      <c r="O171" s="19" t="str">
        <f>IF(N171, MAX(O$2:O170)+1,"")</f>
        <v/>
      </c>
      <c r="P171" s="23" t="str">
        <f t="shared" si="43"/>
        <v>î</v>
      </c>
      <c r="Q171" s="8" t="str" cm="1">
        <f t="array" ref="Q171">CharToUTF8(A171)</f>
        <v>\xC3\xAE</v>
      </c>
      <c r="R171" s="22"/>
      <c r="S171" s="30" t="str">
        <f>$AG$3</f>
        <v>DIAG_BOTH</v>
      </c>
      <c r="T171" s="31" t="str">
        <f>$AG$2</f>
        <v>EMPTY</v>
      </c>
      <c r="U171" s="31">
        <v>9</v>
      </c>
      <c r="V171" s="32" t="str">
        <f>$AG$3</f>
        <v>DIAG_BOTH</v>
      </c>
      <c r="W171"/>
      <c r="X171" s="31" t="str">
        <f t="shared" si="45"/>
        <v/>
      </c>
      <c r="Y171" s="31" t="str">
        <f t="shared" si="46"/>
        <v/>
      </c>
      <c r="Z171" t="str">
        <f t="shared" si="47"/>
        <v/>
      </c>
      <c r="AA171" t="str">
        <f t="shared" si="48"/>
        <v/>
      </c>
      <c r="AB171" t="str">
        <f>IF($N171,S171=VLOOKUP(S171,$AG$2:$AL$10,4,FALSE),"")</f>
        <v/>
      </c>
      <c r="AC171" t="str">
        <f>IF($N171,T171=VLOOKUP(T171,$AG$2:$AL$10,4,FALSE),"")</f>
        <v/>
      </c>
      <c r="AD171" t="str">
        <f>IF($N171,U171=VLOOKUP(U171,$AG$2:$AL$10,5,FALSE),"")</f>
        <v/>
      </c>
      <c r="AE171" t="str">
        <f>IF($N171,V171=VLOOKUP(V171,$AG$2:$AL$10,5,FALSE),"")</f>
        <v/>
      </c>
      <c r="AF171"/>
      <c r="AG171"/>
      <c r="AH171"/>
      <c r="AI171"/>
      <c r="AJ171"/>
      <c r="AK171"/>
      <c r="AL171"/>
      <c r="AN171" s="55" t="str">
        <f t="shared" si="57"/>
        <v/>
      </c>
      <c r="AO171" s="56"/>
      <c r="AP171" s="56"/>
      <c r="AQ171" s="56"/>
      <c r="AR171" s="56"/>
      <c r="AS171" s="56"/>
      <c r="AT171" s="56"/>
      <c r="AU171" s="57"/>
      <c r="AW171" s="54" t="str">
        <f t="shared" si="49"/>
        <v/>
      </c>
      <c r="AX171" s="54" t="str">
        <f t="shared" si="50"/>
        <v/>
      </c>
      <c r="AY171" s="54" t="str">
        <f t="shared" si="51"/>
        <v/>
      </c>
      <c r="AZ171" s="54" t="str">
        <f t="shared" si="52"/>
        <v/>
      </c>
      <c r="BB171" s="64" t="str">
        <f t="shared" si="53"/>
        <v/>
      </c>
      <c r="BC171" s="64" t="str">
        <f t="shared" si="54"/>
        <v/>
      </c>
      <c r="BD171" s="64" t="str">
        <f t="shared" si="55"/>
        <v/>
      </c>
      <c r="BE171" s="64" t="str">
        <f t="shared" si="56"/>
        <v/>
      </c>
    </row>
    <row r="172" spans="1:57" s="14" customFormat="1" x14ac:dyDescent="0.4">
      <c r="A172" s="7" t="s">
        <v>148</v>
      </c>
      <c r="B172" s="13" t="str">
        <f t="shared" si="42"/>
        <v>ï</v>
      </c>
      <c r="C172" s="48" t="str" cm="1">
        <f t="array" ref="C172">IF($N172,INDEX($O:$O,MATCH(TRUE,EXACT(B172,$A:$A),0)),"")</f>
        <v/>
      </c>
      <c r="D172" s="40"/>
      <c r="E172" s="48" t="str" cm="1">
        <f t="array" ref="E172">IF($N172,INDEX($O:$O,MATCH(TRUE,EXACT(D172,$A:$A),0)),"")</f>
        <v/>
      </c>
      <c r="F172" s="40" t="s">
        <v>145</v>
      </c>
      <c r="G172" s="48" t="str" cm="1">
        <f t="array" ref="G172">IF($O172&lt;&gt;"",INDEX($O:$O,MATCH(TRUE,EXACT(F172,$A:$A),0)),"")</f>
        <v/>
      </c>
      <c r="H172" s="40" t="s">
        <v>146</v>
      </c>
      <c r="I172" s="48" t="str" cm="1">
        <f t="array" ref="I172">IF($N172,INDEX($O:$O,MATCH(TRUE,EXACT(H172,$A:$A),0)),"")</f>
        <v/>
      </c>
      <c r="J172" s="40" t="s">
        <v>147</v>
      </c>
      <c r="K172" s="52" t="str" cm="1">
        <f t="array" ref="K172">IF($N172,INDEX($O:$O,MATCH(TRUE,EXACT(J172,$A:$A),0)),"")</f>
        <v/>
      </c>
      <c r="L172" s="47"/>
      <c r="M172" s="35"/>
      <c r="N172" s="18" t="b">
        <f t="shared" si="44"/>
        <v>0</v>
      </c>
      <c r="O172" s="19" t="str">
        <f>IF(N172, MAX(O$2:O171)+1,"")</f>
        <v/>
      </c>
      <c r="P172" s="23" t="str">
        <f t="shared" si="43"/>
        <v>ï</v>
      </c>
      <c r="Q172" s="8" t="str" cm="1">
        <f t="array" ref="Q172">CharToUTF8(A172)</f>
        <v>\xC3\xAF</v>
      </c>
      <c r="R172" s="22"/>
      <c r="S172" s="30" t="str">
        <f>$AG$3</f>
        <v>DIAG_BOTH</v>
      </c>
      <c r="T172" s="31" t="str">
        <f>$AG$2</f>
        <v>EMPTY</v>
      </c>
      <c r="U172" s="31" t="str">
        <f>$AG$3</f>
        <v>DIAG_BOTH</v>
      </c>
      <c r="V172" s="32">
        <v>9</v>
      </c>
      <c r="W172"/>
      <c r="X172" s="31" t="str">
        <f t="shared" si="45"/>
        <v/>
      </c>
      <c r="Y172" s="31" t="str">
        <f t="shared" si="46"/>
        <v/>
      </c>
      <c r="Z172" t="str">
        <f t="shared" si="47"/>
        <v/>
      </c>
      <c r="AA172" t="str">
        <f t="shared" si="48"/>
        <v/>
      </c>
      <c r="AB172" t="str">
        <f>IF($N172,S172=VLOOKUP(S172,$AG$2:$AL$10,4,FALSE),"")</f>
        <v/>
      </c>
      <c r="AC172" t="str">
        <f>IF($N172,T172=VLOOKUP(T172,$AG$2:$AL$10,4,FALSE),"")</f>
        <v/>
      </c>
      <c r="AD172" t="str">
        <f>IF($N172,U172=VLOOKUP(U172,$AG$2:$AL$10,5,FALSE),"")</f>
        <v/>
      </c>
      <c r="AE172" t="str">
        <f>IF($N172,V172=VLOOKUP(V172,$AG$2:$AL$10,5,FALSE),"")</f>
        <v/>
      </c>
      <c r="AF172"/>
      <c r="AG172"/>
      <c r="AH172"/>
      <c r="AI172"/>
      <c r="AJ172"/>
      <c r="AK172"/>
      <c r="AL172"/>
      <c r="AN172" s="55" t="str">
        <f t="shared" si="57"/>
        <v/>
      </c>
      <c r="AO172" s="56"/>
      <c r="AP172" s="56"/>
      <c r="AQ172" s="56"/>
      <c r="AR172" s="56"/>
      <c r="AS172" s="56"/>
      <c r="AT172" s="56"/>
      <c r="AU172" s="57"/>
      <c r="AW172" s="54" t="str">
        <f t="shared" si="49"/>
        <v/>
      </c>
      <c r="AX172" s="54" t="str">
        <f t="shared" si="50"/>
        <v/>
      </c>
      <c r="AY172" s="54" t="str">
        <f t="shared" si="51"/>
        <v/>
      </c>
      <c r="AZ172" s="54" t="str">
        <f t="shared" si="52"/>
        <v/>
      </c>
      <c r="BB172" s="64" t="str">
        <f t="shared" si="53"/>
        <v/>
      </c>
      <c r="BC172" s="64" t="str">
        <f t="shared" si="54"/>
        <v/>
      </c>
      <c r="BD172" s="64" t="str">
        <f t="shared" si="55"/>
        <v/>
      </c>
      <c r="BE172" s="64" t="str">
        <f t="shared" si="56"/>
        <v/>
      </c>
    </row>
    <row r="173" spans="1:57" x14ac:dyDescent="0.4">
      <c r="A173" s="7" t="s">
        <v>149</v>
      </c>
      <c r="B173" s="13" t="str">
        <f t="shared" si="42"/>
        <v>ð</v>
      </c>
      <c r="C173" s="48" cm="1">
        <f t="array" ref="C173">IF($N173,INDEX($O:$O,MATCH(TRUE,EXACT(B173,$A:$A),0)),"")</f>
        <v>160</v>
      </c>
      <c r="D173" s="40" t="s">
        <v>152</v>
      </c>
      <c r="E173" s="48" cm="1">
        <f t="array" ref="E173">IF($N173,INDEX($O:$O,MATCH(TRUE,EXACT(D173,$A:$A),0)),"")</f>
        <v>163</v>
      </c>
      <c r="F173" s="40" t="s">
        <v>150</v>
      </c>
      <c r="G173" s="48" cm="1">
        <f t="array" ref="G173">IF($O173&lt;&gt;"",INDEX($O:$O,MATCH(TRUE,EXACT(F173,$A:$A),0)),"")</f>
        <v>161</v>
      </c>
      <c r="H173" s="40" t="s">
        <v>150</v>
      </c>
      <c r="I173" s="48" cm="1">
        <f t="array" ref="I173">IF($N173,INDEX($O:$O,MATCH(TRUE,EXACT(H173,$A:$A),0)),"")</f>
        <v>161</v>
      </c>
      <c r="J173" s="40" t="s">
        <v>149</v>
      </c>
      <c r="K173" s="52" cm="1">
        <f t="array" ref="K173">IF($N173,INDEX($O:$O,MATCH(TRUE,EXACT(J173,$A:$A),0)),"")</f>
        <v>160</v>
      </c>
      <c r="L173" s="47"/>
      <c r="M173" s="35"/>
      <c r="N173" s="18" t="b">
        <f t="shared" si="44"/>
        <v>1</v>
      </c>
      <c r="O173" s="19">
        <f>IF(N173, MAX(O$2:O172)+1,"")</f>
        <v>160</v>
      </c>
      <c r="P173" s="23" t="str">
        <f t="shared" si="43"/>
        <v>ð</v>
      </c>
      <c r="Q173" s="8" t="str" cm="1">
        <f t="array" ref="Q173">CharToUTF8(A173)</f>
        <v>\xC3\xB0</v>
      </c>
      <c r="S173" s="18" t="str">
        <f>$AG$2</f>
        <v>EMPTY</v>
      </c>
      <c r="T173" s="24" t="str">
        <f>$AG$2</f>
        <v>EMPTY</v>
      </c>
      <c r="U173" s="24" t="str">
        <f>$AG$5</f>
        <v>DIAG_FRONT</v>
      </c>
      <c r="V173" s="21" t="str">
        <f>$AG$6</f>
        <v>DIAG_BACK</v>
      </c>
      <c r="X173" s="31" t="b">
        <f t="shared" si="45"/>
        <v>0</v>
      </c>
      <c r="Y173" s="31" t="b">
        <f t="shared" si="46"/>
        <v>0</v>
      </c>
      <c r="Z173" t="b">
        <f t="shared" si="47"/>
        <v>0</v>
      </c>
      <c r="AA173" t="b">
        <f t="shared" si="48"/>
        <v>1</v>
      </c>
      <c r="AB173" t="b">
        <f>IF($N173,S173=VLOOKUP(S173,$AG$2:$AL$10,4,FALSE),"")</f>
        <v>1</v>
      </c>
      <c r="AC173" t="b">
        <f>IF($N173,T173=VLOOKUP(T173,$AG$2:$AL$10,4,FALSE),"")</f>
        <v>1</v>
      </c>
      <c r="AD173" t="b">
        <f>IF($N173,U173=VLOOKUP(U173,$AG$2:$AL$10,5,FALSE),"")</f>
        <v>0</v>
      </c>
      <c r="AE173" t="b">
        <f>IF($N173,V173=VLOOKUP(V173,$AG$2:$AL$10,5,FALSE),"")</f>
        <v>0</v>
      </c>
      <c r="AN173" s="55" t="str">
        <f t="shared" si="57"/>
        <v xml:space="preserve">    { wxString::FromUTF8("\xC3\xB0"), &amp;AllGlyphs[163], &amp;AllGlyphs[161], &amp;AllGlyphs[161], &amp;AllGlyphs[160], Connection::EMPTY, Connection::EMPTY, Connection::DIAG_FRONT, Connection::DIAG_BACK, 0, 0, 0, 1 },</v>
      </c>
      <c r="AO173" s="56"/>
      <c r="AP173" s="56"/>
      <c r="AQ173" s="56"/>
      <c r="AR173" s="56"/>
      <c r="AS173" s="56"/>
      <c r="AT173" s="56"/>
      <c r="AU173" s="57"/>
      <c r="AW173" s="54" t="str">
        <f t="shared" si="49"/>
        <v>&amp;AllGlyphs[163]</v>
      </c>
      <c r="AX173" s="54" t="str">
        <f t="shared" si="50"/>
        <v>&amp;AllGlyphs[161]</v>
      </c>
      <c r="AY173" s="54" t="str">
        <f t="shared" si="51"/>
        <v>&amp;AllGlyphs[161]</v>
      </c>
      <c r="AZ173" s="54" t="str">
        <f t="shared" si="52"/>
        <v>&amp;AllGlyphs[160]</v>
      </c>
      <c r="BB173" s="64">
        <f t="shared" si="53"/>
        <v>0</v>
      </c>
      <c r="BC173" s="64">
        <f t="shared" si="54"/>
        <v>0</v>
      </c>
      <c r="BD173" s="64">
        <f t="shared" si="55"/>
        <v>0</v>
      </c>
      <c r="BE173" s="64">
        <f t="shared" si="56"/>
        <v>1</v>
      </c>
    </row>
    <row r="174" spans="1:57" x14ac:dyDescent="0.4">
      <c r="A174" s="7" t="s">
        <v>150</v>
      </c>
      <c r="B174" s="6" t="str">
        <f t="shared" si="42"/>
        <v>ñ</v>
      </c>
      <c r="C174" s="48" cm="1">
        <f t="array" ref="C174">IF($N174,INDEX($O:$O,MATCH(TRUE,EXACT(B174,$A:$A),0)),"")</f>
        <v>161</v>
      </c>
      <c r="D174" s="38" t="s">
        <v>151</v>
      </c>
      <c r="E174" s="48" cm="1">
        <f t="array" ref="E174">IF($N174,INDEX($O:$O,MATCH(TRUE,EXACT(D174,$A:$A),0)),"")</f>
        <v>162</v>
      </c>
      <c r="F174" s="38" t="s">
        <v>149</v>
      </c>
      <c r="G174" s="48" cm="1">
        <f t="array" ref="G174">IF($O174&lt;&gt;"",INDEX($O:$O,MATCH(TRUE,EXACT(F174,$A:$A),0)),"")</f>
        <v>160</v>
      </c>
      <c r="H174" s="38" t="s">
        <v>149</v>
      </c>
      <c r="I174" s="48" cm="1">
        <f t="array" ref="I174">IF($N174,INDEX($O:$O,MATCH(TRUE,EXACT(H174,$A:$A),0)),"")</f>
        <v>160</v>
      </c>
      <c r="J174" s="38" t="s">
        <v>150</v>
      </c>
      <c r="K174" s="52" cm="1">
        <f t="array" ref="K174">IF($N174,INDEX($O:$O,MATCH(TRUE,EXACT(J174,$A:$A),0)),"")</f>
        <v>161</v>
      </c>
      <c r="L174" s="23"/>
      <c r="M174" s="33"/>
      <c r="N174" s="18" t="b">
        <f t="shared" si="44"/>
        <v>1</v>
      </c>
      <c r="O174" s="19">
        <f>IF(N174, MAX(O$2:O173)+1,"")</f>
        <v>161</v>
      </c>
      <c r="P174" s="23" t="str">
        <f t="shared" si="43"/>
        <v>ñ</v>
      </c>
      <c r="Q174" s="8" t="str" cm="1">
        <f t="array" ref="Q174">CharToUTF8(A174)</f>
        <v>\xC3\xB1</v>
      </c>
      <c r="S174" s="18" t="str">
        <f>$AG$2</f>
        <v>EMPTY</v>
      </c>
      <c r="T174" s="24" t="str">
        <f>$AG$2</f>
        <v>EMPTY</v>
      </c>
      <c r="U174" s="24" t="str">
        <f>$AG$6</f>
        <v>DIAG_BACK</v>
      </c>
      <c r="V174" s="21" t="str">
        <f>$AG$5</f>
        <v>DIAG_FRONT</v>
      </c>
      <c r="X174" s="31" t="b">
        <f t="shared" si="45"/>
        <v>0</v>
      </c>
      <c r="Y174" s="31" t="b">
        <f t="shared" si="46"/>
        <v>0</v>
      </c>
      <c r="Z174" t="b">
        <f t="shared" si="47"/>
        <v>0</v>
      </c>
      <c r="AA174" t="b">
        <f t="shared" si="48"/>
        <v>1</v>
      </c>
      <c r="AB174" t="b">
        <f>IF($N174,S174=VLOOKUP(S174,$AG$2:$AL$10,4,FALSE),"")</f>
        <v>1</v>
      </c>
      <c r="AC174" t="b">
        <f>IF($N174,T174=VLOOKUP(T174,$AG$2:$AL$10,4,FALSE),"")</f>
        <v>1</v>
      </c>
      <c r="AD174" t="b">
        <f>IF($N174,U174=VLOOKUP(U174,$AG$2:$AL$10,5,FALSE),"")</f>
        <v>0</v>
      </c>
      <c r="AE174" t="b">
        <f>IF($N174,V174=VLOOKUP(V174,$AG$2:$AL$10,5,FALSE),"")</f>
        <v>0</v>
      </c>
      <c r="AN174" s="55" t="str">
        <f t="shared" si="57"/>
        <v xml:space="preserve">    { wxString::FromUTF8("\xC3\xB1"), &amp;AllGlyphs[162], &amp;AllGlyphs[160], &amp;AllGlyphs[160], &amp;AllGlyphs[161], Connection::EMPTY, Connection::EMPTY, Connection::DIAG_BACK, Connection::DIAG_FRONT, 0, 0, 0, 1 },</v>
      </c>
      <c r="AO174" s="56"/>
      <c r="AP174" s="56"/>
      <c r="AQ174" s="56"/>
      <c r="AR174" s="56"/>
      <c r="AS174" s="56"/>
      <c r="AT174" s="56"/>
      <c r="AU174" s="57"/>
      <c r="AW174" s="54" t="str">
        <f t="shared" si="49"/>
        <v>&amp;AllGlyphs[162]</v>
      </c>
      <c r="AX174" s="54" t="str">
        <f t="shared" si="50"/>
        <v>&amp;AllGlyphs[160]</v>
      </c>
      <c r="AY174" s="54" t="str">
        <f t="shared" si="51"/>
        <v>&amp;AllGlyphs[160]</v>
      </c>
      <c r="AZ174" s="54" t="str">
        <f t="shared" si="52"/>
        <v>&amp;AllGlyphs[161]</v>
      </c>
      <c r="BB174" s="64">
        <f t="shared" si="53"/>
        <v>0</v>
      </c>
      <c r="BC174" s="64">
        <f t="shared" si="54"/>
        <v>0</v>
      </c>
      <c r="BD174" s="64">
        <f t="shared" si="55"/>
        <v>0</v>
      </c>
      <c r="BE174" s="64">
        <f t="shared" si="56"/>
        <v>1</v>
      </c>
    </row>
    <row r="175" spans="1:57" x14ac:dyDescent="0.4">
      <c r="A175" s="7" t="s">
        <v>151</v>
      </c>
      <c r="B175" s="6" t="str">
        <f t="shared" si="42"/>
        <v>ò</v>
      </c>
      <c r="C175" s="48" cm="1">
        <f t="array" ref="C175">IF($N175,INDEX($O:$O,MATCH(TRUE,EXACT(B175,$A:$A),0)),"")</f>
        <v>162</v>
      </c>
      <c r="D175" s="38" t="s">
        <v>149</v>
      </c>
      <c r="E175" s="48" cm="1">
        <f t="array" ref="E175">IF($N175,INDEX($O:$O,MATCH(TRUE,EXACT(D175,$A:$A),0)),"")</f>
        <v>160</v>
      </c>
      <c r="F175" s="38" t="s">
        <v>152</v>
      </c>
      <c r="G175" s="48" cm="1">
        <f t="array" ref="G175">IF($O175&lt;&gt;"",INDEX($O:$O,MATCH(TRUE,EXACT(F175,$A:$A),0)),"")</f>
        <v>163</v>
      </c>
      <c r="H175" s="38" t="s">
        <v>151</v>
      </c>
      <c r="I175" s="48" cm="1">
        <f t="array" ref="I175">IF($N175,INDEX($O:$O,MATCH(TRUE,EXACT(H175,$A:$A),0)),"")</f>
        <v>162</v>
      </c>
      <c r="J175" s="38" t="s">
        <v>152</v>
      </c>
      <c r="K175" s="52" cm="1">
        <f t="array" ref="K175">IF($N175,INDEX($O:$O,MATCH(TRUE,EXACT(J175,$A:$A),0)),"")</f>
        <v>163</v>
      </c>
      <c r="L175" s="23"/>
      <c r="M175" s="33"/>
      <c r="N175" s="18" t="b">
        <f t="shared" si="44"/>
        <v>1</v>
      </c>
      <c r="O175" s="19">
        <f>IF(N175, MAX(O$2:O174)+1,"")</f>
        <v>162</v>
      </c>
      <c r="P175" s="23" t="str">
        <f t="shared" si="43"/>
        <v>ò</v>
      </c>
      <c r="Q175" s="8" t="str" cm="1">
        <f t="array" ref="Q175">CharToUTF8(A175)</f>
        <v>\xC3\xB2</v>
      </c>
      <c r="S175" s="18" t="str">
        <f>$AG$6</f>
        <v>DIAG_BACK</v>
      </c>
      <c r="T175" s="24" t="str">
        <f>$AG$5</f>
        <v>DIAG_FRONT</v>
      </c>
      <c r="U175" s="24" t="str">
        <f>$AG$2</f>
        <v>EMPTY</v>
      </c>
      <c r="V175" s="21" t="str">
        <f>$AG$2</f>
        <v>EMPTY</v>
      </c>
      <c r="X175" s="31" t="b">
        <f t="shared" si="45"/>
        <v>0</v>
      </c>
      <c r="Y175" s="31" t="b">
        <f t="shared" si="46"/>
        <v>0</v>
      </c>
      <c r="Z175" t="b">
        <f t="shared" si="47"/>
        <v>1</v>
      </c>
      <c r="AA175" t="b">
        <f t="shared" si="48"/>
        <v>0</v>
      </c>
      <c r="AB175" t="b">
        <f>IF($N175,S175=VLOOKUP(S175,$AG$2:$AL$10,4,FALSE),"")</f>
        <v>1</v>
      </c>
      <c r="AC175" t="b">
        <f>IF($N175,T175=VLOOKUP(T175,$AG$2:$AL$10,4,FALSE),"")</f>
        <v>1</v>
      </c>
      <c r="AD175" t="b">
        <f>IF($N175,U175=VLOOKUP(U175,$AG$2:$AL$10,5,FALSE),"")</f>
        <v>1</v>
      </c>
      <c r="AE175" t="b">
        <f>IF($N175,V175=VLOOKUP(V175,$AG$2:$AL$10,5,FALSE),"")</f>
        <v>1</v>
      </c>
      <c r="AN175" s="55" t="str">
        <f t="shared" si="57"/>
        <v xml:space="preserve">    { wxString::FromUTF8("\xC3\xB2"), &amp;AllGlyphs[160], &amp;AllGlyphs[163], &amp;AllGlyphs[162], &amp;AllGlyphs[163], Connection::DIAG_BACK, Connection::DIAG_FRONT, Connection::EMPTY, Connection::EMPTY, 0, 0, 1, 0 },</v>
      </c>
      <c r="AO175" s="56"/>
      <c r="AP175" s="56"/>
      <c r="AQ175" s="56"/>
      <c r="AR175" s="56"/>
      <c r="AS175" s="56"/>
      <c r="AT175" s="56"/>
      <c r="AU175" s="57"/>
      <c r="AW175" s="54" t="str">
        <f t="shared" si="49"/>
        <v>&amp;AllGlyphs[160]</v>
      </c>
      <c r="AX175" s="54" t="str">
        <f t="shared" si="50"/>
        <v>&amp;AllGlyphs[163]</v>
      </c>
      <c r="AY175" s="54" t="str">
        <f t="shared" si="51"/>
        <v>&amp;AllGlyphs[162]</v>
      </c>
      <c r="AZ175" s="54" t="str">
        <f t="shared" si="52"/>
        <v>&amp;AllGlyphs[163]</v>
      </c>
      <c r="BB175" s="64">
        <f t="shared" si="53"/>
        <v>0</v>
      </c>
      <c r="BC175" s="64">
        <f t="shared" si="54"/>
        <v>0</v>
      </c>
      <c r="BD175" s="64">
        <f t="shared" si="55"/>
        <v>1</v>
      </c>
      <c r="BE175" s="64">
        <f t="shared" si="56"/>
        <v>0</v>
      </c>
    </row>
    <row r="176" spans="1:57" x14ac:dyDescent="0.4">
      <c r="A176" s="7" t="s">
        <v>152</v>
      </c>
      <c r="B176" s="6" t="str">
        <f t="shared" si="42"/>
        <v>ó</v>
      </c>
      <c r="C176" s="48" cm="1">
        <f t="array" ref="C176">IF($N176,INDEX($O:$O,MATCH(TRUE,EXACT(B176,$A:$A),0)),"")</f>
        <v>163</v>
      </c>
      <c r="D176" s="38" t="s">
        <v>150</v>
      </c>
      <c r="E176" s="48" cm="1">
        <f t="array" ref="E176">IF($N176,INDEX($O:$O,MATCH(TRUE,EXACT(D176,$A:$A),0)),"")</f>
        <v>161</v>
      </c>
      <c r="F176" s="38" t="s">
        <v>151</v>
      </c>
      <c r="G176" s="48" cm="1">
        <f t="array" ref="G176">IF($O176&lt;&gt;"",INDEX($O:$O,MATCH(TRUE,EXACT(F176,$A:$A),0)),"")</f>
        <v>162</v>
      </c>
      <c r="H176" s="38" t="s">
        <v>152</v>
      </c>
      <c r="I176" s="48" cm="1">
        <f t="array" ref="I176">IF($N176,INDEX($O:$O,MATCH(TRUE,EXACT(H176,$A:$A),0)),"")</f>
        <v>163</v>
      </c>
      <c r="J176" s="38" t="s">
        <v>151</v>
      </c>
      <c r="K176" s="52" cm="1">
        <f t="array" ref="K176">IF($N176,INDEX($O:$O,MATCH(TRUE,EXACT(J176,$A:$A),0)),"")</f>
        <v>162</v>
      </c>
      <c r="L176" s="23"/>
      <c r="M176" s="33"/>
      <c r="N176" s="18" t="b">
        <f t="shared" si="44"/>
        <v>1</v>
      </c>
      <c r="O176" s="19">
        <f>IF(N176, MAX(O$2:O175)+1,"")</f>
        <v>163</v>
      </c>
      <c r="P176" s="23" t="str">
        <f t="shared" si="43"/>
        <v>ó</v>
      </c>
      <c r="Q176" s="8" t="str" cm="1">
        <f t="array" ref="Q176">CharToUTF8(A176)</f>
        <v>\xC3\xB3</v>
      </c>
      <c r="S176" s="18" t="str">
        <f>$AG$5</f>
        <v>DIAG_FRONT</v>
      </c>
      <c r="T176" s="24" t="str">
        <f>$AG$6</f>
        <v>DIAG_BACK</v>
      </c>
      <c r="U176" s="24" t="str">
        <f>$AG$2</f>
        <v>EMPTY</v>
      </c>
      <c r="V176" s="21" t="str">
        <f>$AG$2</f>
        <v>EMPTY</v>
      </c>
      <c r="X176" s="31" t="b">
        <f t="shared" si="45"/>
        <v>0</v>
      </c>
      <c r="Y176" s="31" t="b">
        <f t="shared" si="46"/>
        <v>0</v>
      </c>
      <c r="Z176" t="b">
        <f t="shared" si="47"/>
        <v>1</v>
      </c>
      <c r="AA176" t="b">
        <f t="shared" si="48"/>
        <v>0</v>
      </c>
      <c r="AB176" t="b">
        <f>IF($N176,S176=VLOOKUP(S176,$AG$2:$AL$10,4,FALSE),"")</f>
        <v>1</v>
      </c>
      <c r="AC176" t="b">
        <f>IF($N176,T176=VLOOKUP(T176,$AG$2:$AL$10,4,FALSE),"")</f>
        <v>1</v>
      </c>
      <c r="AD176" t="b">
        <f>IF($N176,U176=VLOOKUP(U176,$AG$2:$AL$10,5,FALSE),"")</f>
        <v>1</v>
      </c>
      <c r="AE176" t="b">
        <f>IF($N176,V176=VLOOKUP(V176,$AG$2:$AL$10,5,FALSE),"")</f>
        <v>1</v>
      </c>
      <c r="AN176" s="55" t="str">
        <f t="shared" si="57"/>
        <v xml:space="preserve">    { wxString::FromUTF8("\xC3\xB3"), &amp;AllGlyphs[161], &amp;AllGlyphs[162], &amp;AllGlyphs[163], &amp;AllGlyphs[162], Connection::DIAG_FRONT, Connection::DIAG_BACK, Connection::EMPTY, Connection::EMPTY, 0, 0, 1, 0 },</v>
      </c>
      <c r="AO176" s="56"/>
      <c r="AP176" s="56"/>
      <c r="AQ176" s="56"/>
      <c r="AR176" s="56"/>
      <c r="AS176" s="56"/>
      <c r="AT176" s="56"/>
      <c r="AU176" s="57"/>
      <c r="AW176" s="54" t="str">
        <f t="shared" si="49"/>
        <v>&amp;AllGlyphs[161]</v>
      </c>
      <c r="AX176" s="54" t="str">
        <f t="shared" si="50"/>
        <v>&amp;AllGlyphs[162]</v>
      </c>
      <c r="AY176" s="54" t="str">
        <f t="shared" si="51"/>
        <v>&amp;AllGlyphs[163]</v>
      </c>
      <c r="AZ176" s="54" t="str">
        <f t="shared" si="52"/>
        <v>&amp;AllGlyphs[162]</v>
      </c>
      <c r="BB176" s="64">
        <f t="shared" si="53"/>
        <v>0</v>
      </c>
      <c r="BC176" s="64">
        <f t="shared" si="54"/>
        <v>0</v>
      </c>
      <c r="BD176" s="64">
        <f t="shared" si="55"/>
        <v>1</v>
      </c>
      <c r="BE176" s="64">
        <f t="shared" si="56"/>
        <v>0</v>
      </c>
    </row>
    <row r="177" spans="1:57" ht="32.25" customHeight="1" x14ac:dyDescent="0.4">
      <c r="A177" s="7" t="s">
        <v>153</v>
      </c>
      <c r="B177" s="6" t="str">
        <f t="shared" si="42"/>
        <v>ô</v>
      </c>
      <c r="C177" s="48" cm="1">
        <f t="array" ref="C177">IF($N177,INDEX($O:$O,MATCH(TRUE,EXACT(B177,$A:$A),0)),"")</f>
        <v>164</v>
      </c>
      <c r="D177" s="38" t="s">
        <v>164</v>
      </c>
      <c r="E177" s="48" cm="1">
        <f t="array" ref="E177">IF($N177,INDEX($O:$O,MATCH(TRUE,EXACT(D177,$A:$A),0)),"")</f>
        <v>169</v>
      </c>
      <c r="F177" s="38" t="s">
        <v>156</v>
      </c>
      <c r="G177" s="48" cm="1">
        <f t="array" ref="G177">IF($O177&lt;&gt;"",INDEX($O:$O,MATCH(TRUE,EXACT(F177,$A:$A),0)),"")</f>
        <v>167</v>
      </c>
      <c r="H177" s="38" t="s">
        <v>155</v>
      </c>
      <c r="I177" s="48" cm="1">
        <f t="array" ref="I177">IF($N177,INDEX($O:$O,MATCH(TRUE,EXACT(H177,$A:$A),0)),"")</f>
        <v>166</v>
      </c>
      <c r="J177" s="38" t="s">
        <v>154</v>
      </c>
      <c r="K177" s="52" cm="1">
        <f t="array" ref="K177">IF($N177,INDEX($O:$O,MATCH(TRUE,EXACT(J177,$A:$A),0)),"")</f>
        <v>165</v>
      </c>
      <c r="L177" s="23"/>
      <c r="M177" s="33"/>
      <c r="N177" s="18" t="b">
        <f t="shared" si="44"/>
        <v>1</v>
      </c>
      <c r="O177" s="19">
        <f>IF(N177, MAX(O$2:O176)+1,"")</f>
        <v>164</v>
      </c>
      <c r="P177" s="23" t="str">
        <f t="shared" si="43"/>
        <v>ô</v>
      </c>
      <c r="Q177" s="8" t="str" cm="1">
        <f t="array" ref="Q177">CharToUTF8(A177)</f>
        <v>\xC3\xB4</v>
      </c>
      <c r="S177" s="18" t="str">
        <f>$AG$2</f>
        <v>EMPTY</v>
      </c>
      <c r="T177" s="24" t="str">
        <f>$AG$3</f>
        <v>DIAG_BOTH</v>
      </c>
      <c r="U177" s="24" t="str">
        <f>$AG$2</f>
        <v>EMPTY</v>
      </c>
      <c r="V177" s="21" t="str">
        <f>$AG$4</f>
        <v>ORTHO_BOTH</v>
      </c>
      <c r="X177" s="31" t="b">
        <f t="shared" si="45"/>
        <v>0</v>
      </c>
      <c r="Y177" s="31" t="b">
        <f t="shared" si="46"/>
        <v>0</v>
      </c>
      <c r="Z177" t="b">
        <f t="shared" si="47"/>
        <v>0</v>
      </c>
      <c r="AA177" t="b">
        <f t="shared" si="48"/>
        <v>0</v>
      </c>
      <c r="AB177" t="b">
        <f>IF($N177,S177=VLOOKUP(S177,$AG$2:$AL$10,4,FALSE),"")</f>
        <v>1</v>
      </c>
      <c r="AC177" t="b">
        <f>IF($N177,T177=VLOOKUP(T177,$AG$2:$AL$10,4,FALSE),"")</f>
        <v>1</v>
      </c>
      <c r="AD177" t="b">
        <f>IF($N177,U177=VLOOKUP(U177,$AG$2:$AL$10,5,FALSE),"")</f>
        <v>1</v>
      </c>
      <c r="AE177" t="b">
        <f>IF($N177,V177=VLOOKUP(V177,$AG$2:$AL$10,5,FALSE),"")</f>
        <v>1</v>
      </c>
      <c r="AN177" s="55" t="str">
        <f t="shared" si="57"/>
        <v xml:space="preserve">    { wxString::FromUTF8("\xC3\xB4"), &amp;AllGlyphs[169], &amp;AllGlyphs[167], &amp;AllGlyphs[166], &amp;AllGlyphs[165], Connection::EMPTY, Connection::DIAG_BOTH, Connection::EMPTY, Connection::ORTHO_BOTH, 0, 0, 0, 0 },</v>
      </c>
      <c r="AO177" s="56"/>
      <c r="AP177" s="56"/>
      <c r="AQ177" s="56"/>
      <c r="AR177" s="56"/>
      <c r="AS177" s="56"/>
      <c r="AT177" s="56"/>
      <c r="AU177" s="57"/>
      <c r="AW177" s="54" t="str">
        <f t="shared" si="49"/>
        <v>&amp;AllGlyphs[169]</v>
      </c>
      <c r="AX177" s="54" t="str">
        <f t="shared" si="50"/>
        <v>&amp;AllGlyphs[167]</v>
      </c>
      <c r="AY177" s="54" t="str">
        <f t="shared" si="51"/>
        <v>&amp;AllGlyphs[166]</v>
      </c>
      <c r="AZ177" s="54" t="str">
        <f t="shared" si="52"/>
        <v>&amp;AllGlyphs[165]</v>
      </c>
      <c r="BB177" s="64">
        <f t="shared" si="53"/>
        <v>0</v>
      </c>
      <c r="BC177" s="64">
        <f t="shared" si="54"/>
        <v>0</v>
      </c>
      <c r="BD177" s="64">
        <f t="shared" si="55"/>
        <v>0</v>
      </c>
      <c r="BE177" s="64">
        <f t="shared" si="56"/>
        <v>0</v>
      </c>
    </row>
    <row r="178" spans="1:57" ht="34.5" customHeight="1" x14ac:dyDescent="0.4">
      <c r="A178" s="7" t="s">
        <v>154</v>
      </c>
      <c r="B178" s="6" t="str">
        <f t="shared" si="42"/>
        <v>õ</v>
      </c>
      <c r="C178" s="48" cm="1">
        <f t="array" ref="C178">IF($N178,INDEX($O:$O,MATCH(TRUE,EXACT(B178,$A:$A),0)),"")</f>
        <v>165</v>
      </c>
      <c r="D178" s="38" t="s">
        <v>159</v>
      </c>
      <c r="E178" s="48" cm="1">
        <f t="array" ref="E178">IF($N178,INDEX($O:$O,MATCH(TRUE,EXACT(D178,$A:$A),0)),"")</f>
        <v>171</v>
      </c>
      <c r="F178" s="38" t="s">
        <v>155</v>
      </c>
      <c r="G178" s="48" cm="1">
        <f t="array" ref="G178">IF($O178&lt;&gt;"",INDEX($O:$O,MATCH(TRUE,EXACT(F178,$A:$A),0)),"")</f>
        <v>166</v>
      </c>
      <c r="H178" s="38" t="s">
        <v>156</v>
      </c>
      <c r="I178" s="48" cm="1">
        <f t="array" ref="I178">IF($N178,INDEX($O:$O,MATCH(TRUE,EXACT(H178,$A:$A),0)),"")</f>
        <v>167</v>
      </c>
      <c r="J178" s="38" t="s">
        <v>153</v>
      </c>
      <c r="K178" s="52" cm="1">
        <f t="array" ref="K178">IF($N178,INDEX($O:$O,MATCH(TRUE,EXACT(J178,$A:$A),0)),"")</f>
        <v>164</v>
      </c>
      <c r="L178" s="23"/>
      <c r="M178" s="33"/>
      <c r="N178" s="18" t="b">
        <f t="shared" si="44"/>
        <v>1</v>
      </c>
      <c r="O178" s="19">
        <f>IF(N178, MAX(O$2:O177)+1,"")</f>
        <v>165</v>
      </c>
      <c r="P178" s="23" t="str">
        <f t="shared" si="43"/>
        <v>õ</v>
      </c>
      <c r="Q178" s="8" t="str" cm="1">
        <f t="array" ref="Q178">CharToUTF8(A178)</f>
        <v>\xC3\xB5</v>
      </c>
      <c r="S178" s="18" t="str">
        <f>$AG$2</f>
        <v>EMPTY</v>
      </c>
      <c r="T178" s="24" t="str">
        <f>$AG$3</f>
        <v>DIAG_BOTH</v>
      </c>
      <c r="U178" s="24" t="str">
        <f>$AG$4</f>
        <v>ORTHO_BOTH</v>
      </c>
      <c r="V178" s="21" t="str">
        <f>$AG$2</f>
        <v>EMPTY</v>
      </c>
      <c r="X178" s="31" t="b">
        <f t="shared" si="45"/>
        <v>0</v>
      </c>
      <c r="Y178" s="31" t="b">
        <f t="shared" si="46"/>
        <v>0</v>
      </c>
      <c r="Z178" t="b">
        <f t="shared" si="47"/>
        <v>0</v>
      </c>
      <c r="AA178" t="b">
        <f t="shared" si="48"/>
        <v>0</v>
      </c>
      <c r="AB178" t="b">
        <f>IF($N178,S178=VLOOKUP(S178,$AG$2:$AL$10,4,FALSE),"")</f>
        <v>1</v>
      </c>
      <c r="AC178" t="b">
        <f>IF($N178,T178=VLOOKUP(T178,$AG$2:$AL$10,4,FALSE),"")</f>
        <v>1</v>
      </c>
      <c r="AD178" t="b">
        <f>IF($N178,U178=VLOOKUP(U178,$AG$2:$AL$10,5,FALSE),"")</f>
        <v>1</v>
      </c>
      <c r="AE178" t="b">
        <f>IF($N178,V178=VLOOKUP(V178,$AG$2:$AL$10,5,FALSE),"")</f>
        <v>1</v>
      </c>
      <c r="AN178" s="55" t="str">
        <f t="shared" si="57"/>
        <v xml:space="preserve">    { wxString::FromUTF8("\xC3\xB5"), &amp;AllGlyphs[171], &amp;AllGlyphs[166], &amp;AllGlyphs[167], &amp;AllGlyphs[164], Connection::EMPTY, Connection::DIAG_BOTH, Connection::ORTHO_BOTH, Connection::EMPTY, 0, 0, 0, 0 },</v>
      </c>
      <c r="AO178" s="56"/>
      <c r="AP178" s="56"/>
      <c r="AQ178" s="56"/>
      <c r="AR178" s="56"/>
      <c r="AS178" s="56"/>
      <c r="AT178" s="56"/>
      <c r="AU178" s="57"/>
      <c r="AW178" s="54" t="str">
        <f t="shared" si="49"/>
        <v>&amp;AllGlyphs[171]</v>
      </c>
      <c r="AX178" s="54" t="str">
        <f t="shared" si="50"/>
        <v>&amp;AllGlyphs[166]</v>
      </c>
      <c r="AY178" s="54" t="str">
        <f t="shared" si="51"/>
        <v>&amp;AllGlyphs[167]</v>
      </c>
      <c r="AZ178" s="54" t="str">
        <f t="shared" si="52"/>
        <v>&amp;AllGlyphs[164]</v>
      </c>
      <c r="BB178" s="64">
        <f t="shared" si="53"/>
        <v>0</v>
      </c>
      <c r="BC178" s="64">
        <f t="shared" si="54"/>
        <v>0</v>
      </c>
      <c r="BD178" s="64">
        <f t="shared" si="55"/>
        <v>0</v>
      </c>
      <c r="BE178" s="64">
        <f t="shared" si="56"/>
        <v>0</v>
      </c>
    </row>
    <row r="179" spans="1:57" x14ac:dyDescent="0.4">
      <c r="A179" s="7" t="s">
        <v>155</v>
      </c>
      <c r="B179" s="6" t="str">
        <f t="shared" si="42"/>
        <v>ö</v>
      </c>
      <c r="C179" s="48" cm="1">
        <f t="array" ref="C179">IF($N179,INDEX($O:$O,MATCH(TRUE,EXACT(B179,$A:$A),0)),"")</f>
        <v>166</v>
      </c>
      <c r="D179" s="38" t="s">
        <v>157</v>
      </c>
      <c r="E179" s="48" cm="1">
        <f t="array" ref="E179">IF($N179,INDEX($O:$O,MATCH(TRUE,EXACT(D179,$A:$A),0)),"")</f>
        <v>168</v>
      </c>
      <c r="F179" s="38" t="s">
        <v>154</v>
      </c>
      <c r="G179" s="48" cm="1">
        <f t="array" ref="G179">IF($O179&lt;&gt;"",INDEX($O:$O,MATCH(TRUE,EXACT(F179,$A:$A),0)),"")</f>
        <v>165</v>
      </c>
      <c r="H179" s="38" t="s">
        <v>153</v>
      </c>
      <c r="I179" s="48" cm="1">
        <f t="array" ref="I179">IF($N179,INDEX($O:$O,MATCH(TRUE,EXACT(H179,$A:$A),0)),"")</f>
        <v>164</v>
      </c>
      <c r="J179" s="38" t="s">
        <v>156</v>
      </c>
      <c r="K179" s="52" cm="1">
        <f t="array" ref="K179">IF($N179,INDEX($O:$O,MATCH(TRUE,EXACT(J179,$A:$A),0)),"")</f>
        <v>167</v>
      </c>
      <c r="L179" s="23"/>
      <c r="M179" s="33"/>
      <c r="N179" s="18" t="b">
        <f t="shared" si="44"/>
        <v>1</v>
      </c>
      <c r="O179" s="19">
        <f>IF(N179, MAX(O$2:O178)+1,"")</f>
        <v>166</v>
      </c>
      <c r="P179" s="23" t="str">
        <f t="shared" si="43"/>
        <v>ö</v>
      </c>
      <c r="Q179" s="8" t="str" cm="1">
        <f t="array" ref="Q179">CharToUTF8(A179)</f>
        <v>\xC3\xB6</v>
      </c>
      <c r="S179" s="18" t="str">
        <f>$AG$3</f>
        <v>DIAG_BOTH</v>
      </c>
      <c r="T179" s="24" t="str">
        <f>$AG$2</f>
        <v>EMPTY</v>
      </c>
      <c r="U179" s="24" t="str">
        <f>$AG$2</f>
        <v>EMPTY</v>
      </c>
      <c r="V179" s="21" t="str">
        <f>$AG$4</f>
        <v>ORTHO_BOTH</v>
      </c>
      <c r="X179" s="31" t="b">
        <f t="shared" si="45"/>
        <v>0</v>
      </c>
      <c r="Y179" s="31" t="b">
        <f t="shared" si="46"/>
        <v>0</v>
      </c>
      <c r="Z179" t="b">
        <f t="shared" si="47"/>
        <v>0</v>
      </c>
      <c r="AA179" t="b">
        <f t="shared" si="48"/>
        <v>0</v>
      </c>
      <c r="AB179" t="b">
        <f>IF($N179,S179=VLOOKUP(S179,$AG$2:$AL$10,4,FALSE),"")</f>
        <v>1</v>
      </c>
      <c r="AC179" t="b">
        <f>IF($N179,T179=VLOOKUP(T179,$AG$2:$AL$10,4,FALSE),"")</f>
        <v>1</v>
      </c>
      <c r="AD179" t="b">
        <f>IF($N179,U179=VLOOKUP(U179,$AG$2:$AL$10,5,FALSE),"")</f>
        <v>1</v>
      </c>
      <c r="AE179" t="b">
        <f>IF($N179,V179=VLOOKUP(V179,$AG$2:$AL$10,5,FALSE),"")</f>
        <v>1</v>
      </c>
      <c r="AN179" s="55" t="str">
        <f t="shared" si="57"/>
        <v xml:space="preserve">    { wxString::FromUTF8("\xC3\xB6"), &amp;AllGlyphs[168], &amp;AllGlyphs[165], &amp;AllGlyphs[164], &amp;AllGlyphs[167], Connection::DIAG_BOTH, Connection::EMPTY, Connection::EMPTY, Connection::ORTHO_BOTH, 0, 0, 0, 0 },</v>
      </c>
      <c r="AO179" s="56"/>
      <c r="AP179" s="56"/>
      <c r="AQ179" s="56"/>
      <c r="AR179" s="56"/>
      <c r="AS179" s="56"/>
      <c r="AT179" s="56"/>
      <c r="AU179" s="57"/>
      <c r="AW179" s="54" t="str">
        <f t="shared" si="49"/>
        <v>&amp;AllGlyphs[168]</v>
      </c>
      <c r="AX179" s="54" t="str">
        <f t="shared" si="50"/>
        <v>&amp;AllGlyphs[165]</v>
      </c>
      <c r="AY179" s="54" t="str">
        <f t="shared" si="51"/>
        <v>&amp;AllGlyphs[164]</v>
      </c>
      <c r="AZ179" s="54" t="str">
        <f t="shared" si="52"/>
        <v>&amp;AllGlyphs[167]</v>
      </c>
      <c r="BB179" s="64">
        <f t="shared" si="53"/>
        <v>0</v>
      </c>
      <c r="BC179" s="64">
        <f t="shared" si="54"/>
        <v>0</v>
      </c>
      <c r="BD179" s="64">
        <f t="shared" si="55"/>
        <v>0</v>
      </c>
      <c r="BE179" s="64">
        <f t="shared" si="56"/>
        <v>0</v>
      </c>
    </row>
    <row r="180" spans="1:57" x14ac:dyDescent="0.4">
      <c r="A180" s="7" t="s">
        <v>156</v>
      </c>
      <c r="B180" s="6" t="str">
        <f t="shared" si="42"/>
        <v>÷</v>
      </c>
      <c r="C180" s="48" cm="1">
        <f t="array" ref="C180">IF($N180,INDEX($O:$O,MATCH(TRUE,EXACT(B180,$A:$A),0)),"")</f>
        <v>167</v>
      </c>
      <c r="D180" s="38" t="s">
        <v>158</v>
      </c>
      <c r="E180" s="48" cm="1">
        <f t="array" ref="E180">IF($N180,INDEX($O:$O,MATCH(TRUE,EXACT(D180,$A:$A),0)),"")</f>
        <v>170</v>
      </c>
      <c r="F180" s="38" t="s">
        <v>153</v>
      </c>
      <c r="G180" s="48" cm="1">
        <f t="array" ref="G180">IF($O180&lt;&gt;"",INDEX($O:$O,MATCH(TRUE,EXACT(F180,$A:$A),0)),"")</f>
        <v>164</v>
      </c>
      <c r="H180" s="38" t="s">
        <v>154</v>
      </c>
      <c r="I180" s="48" cm="1">
        <f t="array" ref="I180">IF($N180,INDEX($O:$O,MATCH(TRUE,EXACT(H180,$A:$A),0)),"")</f>
        <v>165</v>
      </c>
      <c r="J180" s="38" t="s">
        <v>155</v>
      </c>
      <c r="K180" s="52" cm="1">
        <f t="array" ref="K180">IF($N180,INDEX($O:$O,MATCH(TRUE,EXACT(J180,$A:$A),0)),"")</f>
        <v>166</v>
      </c>
      <c r="L180" s="23"/>
      <c r="M180" s="33"/>
      <c r="N180" s="18" t="b">
        <f t="shared" si="44"/>
        <v>1</v>
      </c>
      <c r="O180" s="19">
        <f>IF(N180, MAX(O$2:O179)+1,"")</f>
        <v>167</v>
      </c>
      <c r="P180" s="23" t="str">
        <f t="shared" si="43"/>
        <v>÷</v>
      </c>
      <c r="Q180" s="8" t="str" cm="1">
        <f t="array" ref="Q180">CharToUTF8(A180)</f>
        <v>\xC3\xB7</v>
      </c>
      <c r="S180" s="18" t="str">
        <f>$AG$3</f>
        <v>DIAG_BOTH</v>
      </c>
      <c r="T180" s="24" t="str">
        <f>$AG$2</f>
        <v>EMPTY</v>
      </c>
      <c r="U180" s="24" t="str">
        <f>$AG$4</f>
        <v>ORTHO_BOTH</v>
      </c>
      <c r="V180" s="21" t="str">
        <f>$AG$2</f>
        <v>EMPTY</v>
      </c>
      <c r="X180" s="31" t="b">
        <f t="shared" si="45"/>
        <v>0</v>
      </c>
      <c r="Y180" s="31" t="b">
        <f t="shared" si="46"/>
        <v>0</v>
      </c>
      <c r="Z180" t="b">
        <f t="shared" si="47"/>
        <v>0</v>
      </c>
      <c r="AA180" t="b">
        <f t="shared" si="48"/>
        <v>0</v>
      </c>
      <c r="AB180" t="b">
        <f>IF($N180,S180=VLOOKUP(S180,$AG$2:$AL$10,4,FALSE),"")</f>
        <v>1</v>
      </c>
      <c r="AC180" t="b">
        <f>IF($N180,T180=VLOOKUP(T180,$AG$2:$AL$10,4,FALSE),"")</f>
        <v>1</v>
      </c>
      <c r="AD180" t="b">
        <f>IF($N180,U180=VLOOKUP(U180,$AG$2:$AL$10,5,FALSE),"")</f>
        <v>1</v>
      </c>
      <c r="AE180" t="b">
        <f>IF($N180,V180=VLOOKUP(V180,$AG$2:$AL$10,5,FALSE),"")</f>
        <v>1</v>
      </c>
      <c r="AN180" s="55" t="str">
        <f t="shared" si="57"/>
        <v xml:space="preserve">    { wxString::FromUTF8("\xC3\xB7"), &amp;AllGlyphs[170], &amp;AllGlyphs[164], &amp;AllGlyphs[165], &amp;AllGlyphs[166], Connection::DIAG_BOTH, Connection::EMPTY, Connection::ORTHO_BOTH, Connection::EMPTY, 0, 0, 0, 0 },</v>
      </c>
      <c r="AO180" s="56"/>
      <c r="AP180" s="56"/>
      <c r="AQ180" s="56"/>
      <c r="AR180" s="56"/>
      <c r="AS180" s="56"/>
      <c r="AT180" s="56"/>
      <c r="AU180" s="57"/>
      <c r="AW180" s="54" t="str">
        <f t="shared" si="49"/>
        <v>&amp;AllGlyphs[170]</v>
      </c>
      <c r="AX180" s="54" t="str">
        <f t="shared" si="50"/>
        <v>&amp;AllGlyphs[164]</v>
      </c>
      <c r="AY180" s="54" t="str">
        <f t="shared" si="51"/>
        <v>&amp;AllGlyphs[165]</v>
      </c>
      <c r="AZ180" s="54" t="str">
        <f t="shared" si="52"/>
        <v>&amp;AllGlyphs[166]</v>
      </c>
      <c r="BB180" s="64">
        <f t="shared" si="53"/>
        <v>0</v>
      </c>
      <c r="BC180" s="64">
        <f t="shared" si="54"/>
        <v>0</v>
      </c>
      <c r="BD180" s="64">
        <f t="shared" si="55"/>
        <v>0</v>
      </c>
      <c r="BE180" s="64">
        <f t="shared" si="56"/>
        <v>0</v>
      </c>
    </row>
    <row r="181" spans="1:57" x14ac:dyDescent="0.4">
      <c r="A181" s="7" t="s">
        <v>157</v>
      </c>
      <c r="B181" s="6" t="str">
        <f t="shared" si="42"/>
        <v>ø</v>
      </c>
      <c r="C181" s="48" cm="1">
        <f t="array" ref="C181">IF($N181,INDEX($O:$O,MATCH(TRUE,EXACT(B181,$A:$A),0)),"")</f>
        <v>168</v>
      </c>
      <c r="D181" s="38" t="s">
        <v>154</v>
      </c>
      <c r="E181" s="48" cm="1">
        <f t="array" ref="E181">IF($N181,INDEX($O:$O,MATCH(TRUE,EXACT(D181,$A:$A),0)),"")</f>
        <v>165</v>
      </c>
      <c r="F181" s="38" t="s">
        <v>159</v>
      </c>
      <c r="G181" s="48" cm="1">
        <f t="array" ref="G181">IF($O181&lt;&gt;"",INDEX($O:$O,MATCH(TRUE,EXACT(F181,$A:$A),0)),"")</f>
        <v>171</v>
      </c>
      <c r="H181" s="38" t="s">
        <v>158</v>
      </c>
      <c r="I181" s="48" cm="1">
        <f t="array" ref="I181">IF($N181,INDEX($O:$O,MATCH(TRUE,EXACT(H181,$A:$A),0)),"")</f>
        <v>170</v>
      </c>
      <c r="J181" s="38" t="s">
        <v>164</v>
      </c>
      <c r="K181" s="52" cm="1">
        <f t="array" ref="K181">IF($N181,INDEX($O:$O,MATCH(TRUE,EXACT(J181,$A:$A),0)),"")</f>
        <v>169</v>
      </c>
      <c r="L181" s="23"/>
      <c r="M181" s="33"/>
      <c r="N181" s="18" t="b">
        <f t="shared" si="44"/>
        <v>1</v>
      </c>
      <c r="O181" s="19">
        <f>IF(N181, MAX(O$2:O180)+1,"")</f>
        <v>168</v>
      </c>
      <c r="P181" s="23" t="str">
        <f t="shared" si="43"/>
        <v>ø</v>
      </c>
      <c r="Q181" s="8" t="str" cm="1">
        <f t="array" ref="Q181">CharToUTF8(A181)</f>
        <v>\xC3\xB8</v>
      </c>
      <c r="S181" s="18" t="str">
        <f>$AG$2</f>
        <v>EMPTY</v>
      </c>
      <c r="T181" s="24" t="str">
        <f>$AG$4</f>
        <v>ORTHO_BOTH</v>
      </c>
      <c r="U181" s="24" t="str">
        <f>$AG$2</f>
        <v>EMPTY</v>
      </c>
      <c r="V181" s="21" t="str">
        <f>$AG$3</f>
        <v>DIAG_BOTH</v>
      </c>
      <c r="X181" s="31" t="b">
        <f t="shared" si="45"/>
        <v>0</v>
      </c>
      <c r="Y181" s="31" t="b">
        <f t="shared" si="46"/>
        <v>0</v>
      </c>
      <c r="Z181" t="b">
        <f t="shared" si="47"/>
        <v>0</v>
      </c>
      <c r="AA181" t="b">
        <f t="shared" si="48"/>
        <v>0</v>
      </c>
      <c r="AB181" t="b">
        <f>IF($N181,S181=VLOOKUP(S181,$AG$2:$AL$10,4,FALSE),"")</f>
        <v>1</v>
      </c>
      <c r="AC181" t="b">
        <f>IF($N181,T181=VLOOKUP(T181,$AG$2:$AL$10,4,FALSE),"")</f>
        <v>1</v>
      </c>
      <c r="AD181" t="b">
        <f>IF($N181,U181=VLOOKUP(U181,$AG$2:$AL$10,5,FALSE),"")</f>
        <v>1</v>
      </c>
      <c r="AE181" t="b">
        <f>IF($N181,V181=VLOOKUP(V181,$AG$2:$AL$10,5,FALSE),"")</f>
        <v>1</v>
      </c>
      <c r="AN181" s="55" t="str">
        <f t="shared" si="57"/>
        <v xml:space="preserve">    { wxString::FromUTF8("\xC3\xB8"), &amp;AllGlyphs[165], &amp;AllGlyphs[171], &amp;AllGlyphs[170], &amp;AllGlyphs[169], Connection::EMPTY, Connection::ORTHO_BOTH, Connection::EMPTY, Connection::DIAG_BOTH, 0, 0, 0, 0 },</v>
      </c>
      <c r="AO181" s="56"/>
      <c r="AP181" s="56"/>
      <c r="AQ181" s="56"/>
      <c r="AR181" s="56"/>
      <c r="AS181" s="56"/>
      <c r="AT181" s="56"/>
      <c r="AU181" s="57"/>
      <c r="AW181" s="54" t="str">
        <f t="shared" si="49"/>
        <v>&amp;AllGlyphs[165]</v>
      </c>
      <c r="AX181" s="54" t="str">
        <f t="shared" si="50"/>
        <v>&amp;AllGlyphs[171]</v>
      </c>
      <c r="AY181" s="54" t="str">
        <f t="shared" si="51"/>
        <v>&amp;AllGlyphs[170]</v>
      </c>
      <c r="AZ181" s="54" t="str">
        <f t="shared" si="52"/>
        <v>&amp;AllGlyphs[169]</v>
      </c>
      <c r="BB181" s="64">
        <f t="shared" si="53"/>
        <v>0</v>
      </c>
      <c r="BC181" s="64">
        <f t="shared" si="54"/>
        <v>0</v>
      </c>
      <c r="BD181" s="64">
        <f t="shared" si="55"/>
        <v>0</v>
      </c>
      <c r="BE181" s="64">
        <f t="shared" si="56"/>
        <v>0</v>
      </c>
    </row>
    <row r="182" spans="1:57" x14ac:dyDescent="0.4">
      <c r="A182" s="7" t="s">
        <v>164</v>
      </c>
      <c r="B182" s="6" t="str">
        <f t="shared" si="42"/>
        <v>ù</v>
      </c>
      <c r="C182" s="48" cm="1">
        <f t="array" ref="C182">IF($N182,INDEX($O:$O,MATCH(TRUE,EXACT(B182,$A:$A),0)),"")</f>
        <v>169</v>
      </c>
      <c r="D182" s="38" t="s">
        <v>156</v>
      </c>
      <c r="E182" s="48" cm="1">
        <f t="array" ref="E182">IF($N182,INDEX($O:$O,MATCH(TRUE,EXACT(D182,$A:$A),0)),"")</f>
        <v>167</v>
      </c>
      <c r="F182" s="38" t="s">
        <v>158</v>
      </c>
      <c r="G182" s="48" cm="1">
        <f t="array" ref="G182">IF($O182&lt;&gt;"",INDEX($O:$O,MATCH(TRUE,EXACT(F182,$A:$A),0)),"")</f>
        <v>170</v>
      </c>
      <c r="H182" s="38" t="s">
        <v>159</v>
      </c>
      <c r="I182" s="48" cm="1">
        <f t="array" ref="I182">IF($N182,INDEX($O:$O,MATCH(TRUE,EXACT(H182,$A:$A),0)),"")</f>
        <v>171</v>
      </c>
      <c r="J182" s="38" t="s">
        <v>157</v>
      </c>
      <c r="K182" s="52" cm="1">
        <f t="array" ref="K182">IF($N182,INDEX($O:$O,MATCH(TRUE,EXACT(J182,$A:$A),0)),"")</f>
        <v>168</v>
      </c>
      <c r="L182" s="23"/>
      <c r="M182" s="33"/>
      <c r="N182" s="18" t="b">
        <f t="shared" si="44"/>
        <v>1</v>
      </c>
      <c r="O182" s="19">
        <f>IF(N182, MAX(O$2:O181)+1,"")</f>
        <v>169</v>
      </c>
      <c r="P182" s="23" t="str">
        <f t="shared" si="43"/>
        <v>ù</v>
      </c>
      <c r="Q182" s="8" t="str" cm="1">
        <f t="array" ref="Q182">CharToUTF8(A182)</f>
        <v>\xC3\xB9</v>
      </c>
      <c r="S182" s="18" t="str">
        <f>$AG$2</f>
        <v>EMPTY</v>
      </c>
      <c r="T182" s="24" t="str">
        <f>$AG$4</f>
        <v>ORTHO_BOTH</v>
      </c>
      <c r="U182" s="24" t="str">
        <f>$AG$3</f>
        <v>DIAG_BOTH</v>
      </c>
      <c r="V182" s="21" t="str">
        <f>$AG$2</f>
        <v>EMPTY</v>
      </c>
      <c r="X182" s="31" t="b">
        <f t="shared" si="45"/>
        <v>0</v>
      </c>
      <c r="Y182" s="31" t="b">
        <f t="shared" si="46"/>
        <v>0</v>
      </c>
      <c r="Z182" t="b">
        <f t="shared" si="47"/>
        <v>0</v>
      </c>
      <c r="AA182" t="b">
        <f t="shared" si="48"/>
        <v>0</v>
      </c>
      <c r="AB182" t="b">
        <f>IF($N182,S182=VLOOKUP(S182,$AG$2:$AL$10,4,FALSE),"")</f>
        <v>1</v>
      </c>
      <c r="AC182" t="b">
        <f>IF($N182,T182=VLOOKUP(T182,$AG$2:$AL$10,4,FALSE),"")</f>
        <v>1</v>
      </c>
      <c r="AD182" t="b">
        <f>IF($N182,U182=VLOOKUP(U182,$AG$2:$AL$10,5,FALSE),"")</f>
        <v>1</v>
      </c>
      <c r="AE182" t="b">
        <f>IF($N182,V182=VLOOKUP(V182,$AG$2:$AL$10,5,FALSE),"")</f>
        <v>1</v>
      </c>
      <c r="AN182" s="55" t="str">
        <f t="shared" si="57"/>
        <v xml:space="preserve">    { wxString::FromUTF8("\xC3\xB9"), &amp;AllGlyphs[167], &amp;AllGlyphs[170], &amp;AllGlyphs[171], &amp;AllGlyphs[168], Connection::EMPTY, Connection::ORTHO_BOTH, Connection::DIAG_BOTH, Connection::EMPTY, 0, 0, 0, 0 },</v>
      </c>
      <c r="AO182" s="56"/>
      <c r="AP182" s="56"/>
      <c r="AQ182" s="56"/>
      <c r="AR182" s="56"/>
      <c r="AS182" s="56"/>
      <c r="AT182" s="56"/>
      <c r="AU182" s="57"/>
      <c r="AW182" s="54" t="str">
        <f t="shared" si="49"/>
        <v>&amp;AllGlyphs[167]</v>
      </c>
      <c r="AX182" s="54" t="str">
        <f t="shared" si="50"/>
        <v>&amp;AllGlyphs[170]</v>
      </c>
      <c r="AY182" s="54" t="str">
        <f t="shared" si="51"/>
        <v>&amp;AllGlyphs[171]</v>
      </c>
      <c r="AZ182" s="54" t="str">
        <f t="shared" si="52"/>
        <v>&amp;AllGlyphs[168]</v>
      </c>
      <c r="BB182" s="64">
        <f t="shared" si="53"/>
        <v>0</v>
      </c>
      <c r="BC182" s="64">
        <f t="shared" si="54"/>
        <v>0</v>
      </c>
      <c r="BD182" s="64">
        <f t="shared" si="55"/>
        <v>0</v>
      </c>
      <c r="BE182" s="64">
        <f t="shared" si="56"/>
        <v>0</v>
      </c>
    </row>
    <row r="183" spans="1:57" x14ac:dyDescent="0.4">
      <c r="A183" s="7" t="s">
        <v>158</v>
      </c>
      <c r="B183" s="6" t="str">
        <f t="shared" si="42"/>
        <v>û</v>
      </c>
      <c r="C183" s="48" cm="1">
        <f t="array" ref="C183">IF($N183,INDEX($O:$O,MATCH(TRUE,EXACT(B183,$A:$A),0)),"")</f>
        <v>170</v>
      </c>
      <c r="D183" s="38" t="s">
        <v>153</v>
      </c>
      <c r="E183" s="48" cm="1">
        <f t="array" ref="E183">IF($N183,INDEX($O:$O,MATCH(TRUE,EXACT(D183,$A:$A),0)),"")</f>
        <v>164</v>
      </c>
      <c r="F183" s="38" t="s">
        <v>164</v>
      </c>
      <c r="G183" s="48" cm="1">
        <f t="array" ref="G183">IF($O183&lt;&gt;"",INDEX($O:$O,MATCH(TRUE,EXACT(F183,$A:$A),0)),"")</f>
        <v>169</v>
      </c>
      <c r="H183" s="38" t="s">
        <v>157</v>
      </c>
      <c r="I183" s="48" cm="1">
        <f t="array" ref="I183">IF($N183,INDEX($O:$O,MATCH(TRUE,EXACT(H183,$A:$A),0)),"")</f>
        <v>168</v>
      </c>
      <c r="J183" s="38" t="s">
        <v>159</v>
      </c>
      <c r="K183" s="52" cm="1">
        <f t="array" ref="K183">IF($N183,INDEX($O:$O,MATCH(TRUE,EXACT(J183,$A:$A),0)),"")</f>
        <v>171</v>
      </c>
      <c r="L183" s="23"/>
      <c r="M183" s="33"/>
      <c r="N183" s="18" t="b">
        <f t="shared" si="44"/>
        <v>1</v>
      </c>
      <c r="O183" s="19">
        <f>IF(N183, MAX(O$2:O182)+1,"")</f>
        <v>170</v>
      </c>
      <c r="P183" s="23" t="str">
        <f t="shared" si="43"/>
        <v>û</v>
      </c>
      <c r="Q183" s="8" t="str" cm="1">
        <f t="array" ref="Q183">CharToUTF8(A183)</f>
        <v>\xC3\xBB</v>
      </c>
      <c r="S183" s="18" t="str">
        <f>$AG$4</f>
        <v>ORTHO_BOTH</v>
      </c>
      <c r="T183" s="24" t="str">
        <f>$AG$2</f>
        <v>EMPTY</v>
      </c>
      <c r="U183" s="24" t="str">
        <f>$AG$2</f>
        <v>EMPTY</v>
      </c>
      <c r="V183" s="21" t="str">
        <f>$AG$3</f>
        <v>DIAG_BOTH</v>
      </c>
      <c r="X183" s="31" t="b">
        <f t="shared" si="45"/>
        <v>0</v>
      </c>
      <c r="Y183" s="31" t="b">
        <f t="shared" si="46"/>
        <v>0</v>
      </c>
      <c r="Z183" t="b">
        <f t="shared" si="47"/>
        <v>0</v>
      </c>
      <c r="AA183" t="b">
        <f t="shared" si="48"/>
        <v>0</v>
      </c>
      <c r="AB183" t="b">
        <f>IF($N183,S183=VLOOKUP(S183,$AG$2:$AL$10,4,FALSE),"")</f>
        <v>1</v>
      </c>
      <c r="AC183" t="b">
        <f>IF($N183,T183=VLOOKUP(T183,$AG$2:$AL$10,4,FALSE),"")</f>
        <v>1</v>
      </c>
      <c r="AD183" t="b">
        <f>IF($N183,U183=VLOOKUP(U183,$AG$2:$AL$10,5,FALSE),"")</f>
        <v>1</v>
      </c>
      <c r="AE183" t="b">
        <f>IF($N183,V183=VLOOKUP(V183,$AG$2:$AL$10,5,FALSE),"")</f>
        <v>1</v>
      </c>
      <c r="AN183" s="55" t="str">
        <f t="shared" si="57"/>
        <v xml:space="preserve">    { wxString::FromUTF8("\xC3\xBB"), &amp;AllGlyphs[164], &amp;AllGlyphs[169], &amp;AllGlyphs[168], &amp;AllGlyphs[171], Connection::ORTHO_BOTH, Connection::EMPTY, Connection::EMPTY, Connection::DIAG_BOTH, 0, 0, 0, 0 },</v>
      </c>
      <c r="AO183" s="56"/>
      <c r="AP183" s="56"/>
      <c r="AQ183" s="56"/>
      <c r="AR183" s="56"/>
      <c r="AS183" s="56"/>
      <c r="AT183" s="56"/>
      <c r="AU183" s="57"/>
      <c r="AW183" s="54" t="str">
        <f t="shared" si="49"/>
        <v>&amp;AllGlyphs[164]</v>
      </c>
      <c r="AX183" s="54" t="str">
        <f t="shared" si="50"/>
        <v>&amp;AllGlyphs[169]</v>
      </c>
      <c r="AY183" s="54" t="str">
        <f t="shared" si="51"/>
        <v>&amp;AllGlyphs[168]</v>
      </c>
      <c r="AZ183" s="54" t="str">
        <f t="shared" si="52"/>
        <v>&amp;AllGlyphs[171]</v>
      </c>
      <c r="BB183" s="64">
        <f t="shared" si="53"/>
        <v>0</v>
      </c>
      <c r="BC183" s="64">
        <f t="shared" si="54"/>
        <v>0</v>
      </c>
      <c r="BD183" s="64">
        <f t="shared" si="55"/>
        <v>0</v>
      </c>
      <c r="BE183" s="64">
        <f t="shared" si="56"/>
        <v>0</v>
      </c>
    </row>
    <row r="184" spans="1:57" x14ac:dyDescent="0.4">
      <c r="A184" s="7" t="s">
        <v>159</v>
      </c>
      <c r="B184" s="6" t="str">
        <f t="shared" si="42"/>
        <v>ü</v>
      </c>
      <c r="C184" s="48" cm="1">
        <f t="array" ref="C184">IF($N184,INDEX($O:$O,MATCH(TRUE,EXACT(B184,$A:$A),0)),"")</f>
        <v>171</v>
      </c>
      <c r="D184" s="38" t="s">
        <v>155</v>
      </c>
      <c r="E184" s="48" cm="1">
        <f t="array" ref="E184">IF($N184,INDEX($O:$O,MATCH(TRUE,EXACT(D184,$A:$A),0)),"")</f>
        <v>166</v>
      </c>
      <c r="F184" s="38" t="s">
        <v>157</v>
      </c>
      <c r="G184" s="48" cm="1">
        <f t="array" ref="G184">IF($O184&lt;&gt;"",INDEX($O:$O,MATCH(TRUE,EXACT(F184,$A:$A),0)),"")</f>
        <v>168</v>
      </c>
      <c r="H184" s="38" t="s">
        <v>164</v>
      </c>
      <c r="I184" s="48" cm="1">
        <f t="array" ref="I184">IF($N184,INDEX($O:$O,MATCH(TRUE,EXACT(H184,$A:$A),0)),"")</f>
        <v>169</v>
      </c>
      <c r="J184" s="38" t="s">
        <v>158</v>
      </c>
      <c r="K184" s="52" cm="1">
        <f t="array" ref="K184">IF($N184,INDEX($O:$O,MATCH(TRUE,EXACT(J184,$A:$A),0)),"")</f>
        <v>170</v>
      </c>
      <c r="L184" s="23"/>
      <c r="M184" s="33"/>
      <c r="N184" s="18" t="b">
        <f t="shared" si="44"/>
        <v>1</v>
      </c>
      <c r="O184" s="19">
        <f>IF(N184, MAX(O$2:O183)+1,"")</f>
        <v>171</v>
      </c>
      <c r="P184" s="23" t="str">
        <f t="shared" si="43"/>
        <v>ü</v>
      </c>
      <c r="Q184" s="8" t="str" cm="1">
        <f t="array" ref="Q184">CharToUTF8(A184)</f>
        <v>\xC3\xBC</v>
      </c>
      <c r="S184" s="18" t="str">
        <f>$AG$4</f>
        <v>ORTHO_BOTH</v>
      </c>
      <c r="T184" s="24" t="str">
        <f>$AG$2</f>
        <v>EMPTY</v>
      </c>
      <c r="U184" s="24" t="str">
        <f>$AG$3</f>
        <v>DIAG_BOTH</v>
      </c>
      <c r="V184" s="21" t="str">
        <f>$AG$2</f>
        <v>EMPTY</v>
      </c>
      <c r="X184" s="31" t="b">
        <f t="shared" si="45"/>
        <v>0</v>
      </c>
      <c r="Y184" s="31" t="b">
        <f t="shared" si="46"/>
        <v>0</v>
      </c>
      <c r="Z184" t="b">
        <f t="shared" si="47"/>
        <v>0</v>
      </c>
      <c r="AA184" t="b">
        <f t="shared" si="48"/>
        <v>0</v>
      </c>
      <c r="AB184" t="b">
        <f>IF($N184,S184=VLOOKUP(S184,$AG$2:$AL$10,4,FALSE),"")</f>
        <v>1</v>
      </c>
      <c r="AC184" t="b">
        <f>IF($N184,T184=VLOOKUP(T184,$AG$2:$AL$10,4,FALSE),"")</f>
        <v>1</v>
      </c>
      <c r="AD184" t="b">
        <f>IF($N184,U184=VLOOKUP(U184,$AG$2:$AL$10,5,FALSE),"")</f>
        <v>1</v>
      </c>
      <c r="AE184" t="b">
        <f>IF($N184,V184=VLOOKUP(V184,$AG$2:$AL$10,5,FALSE),"")</f>
        <v>1</v>
      </c>
      <c r="AN184" s="55" t="str">
        <f t="shared" si="57"/>
        <v xml:space="preserve">    { wxString::FromUTF8("\xC3\xBC"), &amp;AllGlyphs[166], &amp;AllGlyphs[168], &amp;AllGlyphs[169], &amp;AllGlyphs[170], Connection::ORTHO_BOTH, Connection::EMPTY, Connection::DIAG_BOTH, Connection::EMPTY, 0, 0, 0, 0 },</v>
      </c>
      <c r="AO184" s="56"/>
      <c r="AP184" s="56"/>
      <c r="AQ184" s="56"/>
      <c r="AR184" s="56"/>
      <c r="AS184" s="56"/>
      <c r="AT184" s="56"/>
      <c r="AU184" s="57"/>
      <c r="AW184" s="54" t="str">
        <f t="shared" si="49"/>
        <v>&amp;AllGlyphs[166]</v>
      </c>
      <c r="AX184" s="54" t="str">
        <f t="shared" si="50"/>
        <v>&amp;AllGlyphs[168]</v>
      </c>
      <c r="AY184" s="54" t="str">
        <f t="shared" si="51"/>
        <v>&amp;AllGlyphs[169]</v>
      </c>
      <c r="AZ184" s="54" t="str">
        <f t="shared" si="52"/>
        <v>&amp;AllGlyphs[170]</v>
      </c>
      <c r="BB184" s="64">
        <f t="shared" si="53"/>
        <v>0</v>
      </c>
      <c r="BC184" s="64">
        <f t="shared" si="54"/>
        <v>0</v>
      </c>
      <c r="BD184" s="64">
        <f t="shared" si="55"/>
        <v>0</v>
      </c>
      <c r="BE184" s="64">
        <f t="shared" si="56"/>
        <v>0</v>
      </c>
    </row>
    <row r="185" spans="1:57" x14ac:dyDescent="0.4">
      <c r="A185" s="7" t="s">
        <v>179</v>
      </c>
      <c r="B185" s="6" t="str">
        <f t="shared" si="42"/>
        <v>ģ</v>
      </c>
      <c r="C185" s="48" cm="1">
        <f t="array" ref="C185">IF($N185,INDEX($O:$O,MATCH(TRUE,EXACT(B185,$A:$A),0)),"")</f>
        <v>172</v>
      </c>
      <c r="D185" s="38" t="s">
        <v>180</v>
      </c>
      <c r="E185" s="48" cm="1">
        <f t="array" ref="E185">IF($N185,INDEX($O:$O,MATCH(TRUE,EXACT(D185,$A:$A),0)),"")</f>
        <v>173</v>
      </c>
      <c r="F185" s="38" t="s">
        <v>181</v>
      </c>
      <c r="G185" s="48" cm="1">
        <f t="array" ref="G185">IF($O185&lt;&gt;"",INDEX($O:$O,MATCH(TRUE,EXACT(F185,$A:$A),0)),"")</f>
        <v>174</v>
      </c>
      <c r="H185" s="38" t="s">
        <v>185</v>
      </c>
      <c r="I185" s="48" cm="1">
        <f t="array" ref="I185">IF($N185,INDEX($O:$O,MATCH(TRUE,EXACT(H185,$A:$A),0)),"")</f>
        <v>178</v>
      </c>
      <c r="J185" s="38" t="s">
        <v>183</v>
      </c>
      <c r="K185" s="52" cm="1">
        <f t="array" ref="K185">IF($N185,INDEX($O:$O,MATCH(TRUE,EXACT(J185,$A:$A),0)),"")</f>
        <v>176</v>
      </c>
      <c r="L185" s="23"/>
      <c r="M185" s="33"/>
      <c r="N185" s="18" t="b">
        <f t="shared" si="44"/>
        <v>1</v>
      </c>
      <c r="O185" s="19">
        <f>IF(N185, MAX(O$2:O184)+1,"")</f>
        <v>172</v>
      </c>
      <c r="P185" s="23" t="str">
        <f t="shared" si="43"/>
        <v>ģ</v>
      </c>
      <c r="Q185" s="8" t="str" cm="1">
        <f t="array" ref="Q185">CharToUTF8(A185)</f>
        <v>\xC4\xA3</v>
      </c>
      <c r="S185" s="18" t="str">
        <f>$AG$2</f>
        <v>EMPTY</v>
      </c>
      <c r="T185" s="24" t="str">
        <f>$AG$5</f>
        <v>DIAG_FRONT</v>
      </c>
      <c r="U185" s="24" t="str">
        <f>$AG$8</f>
        <v>ORTHO_DOWN</v>
      </c>
      <c r="V185" s="21" t="str">
        <f>$AG$2</f>
        <v>EMPTY</v>
      </c>
      <c r="X185" s="31" t="b">
        <f t="shared" si="45"/>
        <v>0</v>
      </c>
      <c r="Y185" s="31" t="b">
        <f t="shared" si="46"/>
        <v>0</v>
      </c>
      <c r="Z185" t="b">
        <f t="shared" si="47"/>
        <v>0</v>
      </c>
      <c r="AA185" t="b">
        <f t="shared" si="48"/>
        <v>0</v>
      </c>
      <c r="AB185" t="b">
        <f>IF($N185,S185=VLOOKUP(S185,$AG$2:$AL$10,4,FALSE),"")</f>
        <v>1</v>
      </c>
      <c r="AC185" t="b">
        <f>IF($N185,T185=VLOOKUP(T185,$AG$2:$AL$10,4,FALSE),"")</f>
        <v>1</v>
      </c>
      <c r="AD185" t="b">
        <f>IF($N185,U185=VLOOKUP(U185,$AG$2:$AL$10,5,FALSE),"")</f>
        <v>0</v>
      </c>
      <c r="AE185" t="b">
        <f>IF($N185,V185=VLOOKUP(V185,$AG$2:$AL$10,5,FALSE),"")</f>
        <v>1</v>
      </c>
      <c r="AN185" s="55" t="str">
        <f t="shared" si="57"/>
        <v xml:space="preserve">    { wxString::FromUTF8("\xC4\xA3"), &amp;AllGlyphs[173], &amp;AllGlyphs[174], &amp;AllGlyphs[178], &amp;AllGlyphs[176], Connection::EMPTY, Connection::DIAG_FRONT, Connection::ORTHO_DOWN, Connection::EMPTY, 0, 0, 0, 0 },</v>
      </c>
      <c r="AO185" s="56"/>
      <c r="AP185" s="56"/>
      <c r="AQ185" s="56"/>
      <c r="AR185" s="56"/>
      <c r="AS185" s="56"/>
      <c r="AT185" s="56"/>
      <c r="AU185" s="57"/>
      <c r="AW185" s="54" t="str">
        <f t="shared" si="49"/>
        <v>&amp;AllGlyphs[173]</v>
      </c>
      <c r="AX185" s="54" t="str">
        <f t="shared" si="50"/>
        <v>&amp;AllGlyphs[174]</v>
      </c>
      <c r="AY185" s="54" t="str">
        <f t="shared" si="51"/>
        <v>&amp;AllGlyphs[178]</v>
      </c>
      <c r="AZ185" s="54" t="str">
        <f t="shared" si="52"/>
        <v>&amp;AllGlyphs[176]</v>
      </c>
      <c r="BB185" s="64">
        <f t="shared" si="53"/>
        <v>0</v>
      </c>
      <c r="BC185" s="64">
        <f t="shared" si="54"/>
        <v>0</v>
      </c>
      <c r="BD185" s="64">
        <f t="shared" si="55"/>
        <v>0</v>
      </c>
      <c r="BE185" s="64">
        <f t="shared" si="56"/>
        <v>0</v>
      </c>
    </row>
    <row r="186" spans="1:57" x14ac:dyDescent="0.4">
      <c r="A186" s="7" t="s">
        <v>180</v>
      </c>
      <c r="B186" s="6" t="str">
        <f t="shared" si="42"/>
        <v>Ĥ</v>
      </c>
      <c r="C186" s="48" cm="1">
        <f t="array" ref="C186">IF($N186,INDEX($O:$O,MATCH(TRUE,EXACT(B186,$A:$A),0)),"")</f>
        <v>173</v>
      </c>
      <c r="D186" s="38" t="s">
        <v>181</v>
      </c>
      <c r="E186" s="48" cm="1">
        <f t="array" ref="E186">IF($N186,INDEX($O:$O,MATCH(TRUE,EXACT(D186,$A:$A),0)),"")</f>
        <v>174</v>
      </c>
      <c r="F186" s="38" t="s">
        <v>182</v>
      </c>
      <c r="G186" s="48" cm="1">
        <f t="array" ref="G186">IF($O186&lt;&gt;"",INDEX($O:$O,MATCH(TRUE,EXACT(F186,$A:$A),0)),"")</f>
        <v>175</v>
      </c>
      <c r="H186" s="38" t="s">
        <v>184</v>
      </c>
      <c r="I186" s="48" cm="1">
        <f t="array" ref="I186">IF($N186,INDEX($O:$O,MATCH(TRUE,EXACT(H186,$A:$A),0)),"")</f>
        <v>177</v>
      </c>
      <c r="J186" s="38" t="s">
        <v>186</v>
      </c>
      <c r="K186" s="52" cm="1">
        <f t="array" ref="K186">IF($N186,INDEX($O:$O,MATCH(TRUE,EXACT(J186,$A:$A),0)),"")</f>
        <v>179</v>
      </c>
      <c r="L186" s="23"/>
      <c r="M186" s="33"/>
      <c r="N186" s="18" t="b">
        <f t="shared" si="44"/>
        <v>1</v>
      </c>
      <c r="O186" s="19">
        <f>IF(N186, MAX(O$2:O185)+1,"")</f>
        <v>173</v>
      </c>
      <c r="P186" s="23" t="str">
        <f t="shared" si="43"/>
        <v>Ĥ</v>
      </c>
      <c r="Q186" s="8" t="str" cm="1">
        <f t="array" ref="Q186">CharToUTF8(A186)</f>
        <v>\xC4\xA4</v>
      </c>
      <c r="S186" s="18" t="str">
        <f>$AG$9</f>
        <v>ORTHO_LEFT</v>
      </c>
      <c r="T186" s="24" t="str">
        <f>$AG$2</f>
        <v>EMPTY</v>
      </c>
      <c r="U186" s="24" t="str">
        <f>$AG$5</f>
        <v>DIAG_FRONT</v>
      </c>
      <c r="V186" s="21" t="str">
        <f>$AG$2</f>
        <v>EMPTY</v>
      </c>
      <c r="X186" s="31" t="b">
        <f t="shared" si="45"/>
        <v>0</v>
      </c>
      <c r="Y186" s="31" t="b">
        <f t="shared" si="46"/>
        <v>0</v>
      </c>
      <c r="Z186" t="b">
        <f t="shared" si="47"/>
        <v>0</v>
      </c>
      <c r="AA186" t="b">
        <f t="shared" si="48"/>
        <v>0</v>
      </c>
      <c r="AB186" t="b">
        <f>IF($N186,S186=VLOOKUP(S186,$AG$2:$AL$10,4,FALSE),"")</f>
        <v>0</v>
      </c>
      <c r="AC186" t="b">
        <f>IF($N186,T186=VLOOKUP(T186,$AG$2:$AL$10,4,FALSE),"")</f>
        <v>1</v>
      </c>
      <c r="AD186" t="b">
        <f>IF($N186,U186=VLOOKUP(U186,$AG$2:$AL$10,5,FALSE),"")</f>
        <v>0</v>
      </c>
      <c r="AE186" t="b">
        <f>IF($N186,V186=VLOOKUP(V186,$AG$2:$AL$10,5,FALSE),"")</f>
        <v>1</v>
      </c>
      <c r="AN186" s="55" t="str">
        <f t="shared" si="57"/>
        <v xml:space="preserve">    { wxString::FromUTF8("\xC4\xA4"), &amp;AllGlyphs[174], &amp;AllGlyphs[175], &amp;AllGlyphs[177], &amp;AllGlyphs[179], Connection::ORTHO_LEFT, Connection::EMPTY, Connection::DIAG_FRONT, Connection::EMPTY, 0, 0, 0, 0 },</v>
      </c>
      <c r="AO186" s="56"/>
      <c r="AP186" s="56"/>
      <c r="AQ186" s="56"/>
      <c r="AR186" s="56"/>
      <c r="AS186" s="56"/>
      <c r="AT186" s="56"/>
      <c r="AU186" s="57"/>
      <c r="AW186" s="54" t="str">
        <f t="shared" si="49"/>
        <v>&amp;AllGlyphs[174]</v>
      </c>
      <c r="AX186" s="54" t="str">
        <f t="shared" si="50"/>
        <v>&amp;AllGlyphs[175]</v>
      </c>
      <c r="AY186" s="54" t="str">
        <f t="shared" si="51"/>
        <v>&amp;AllGlyphs[177]</v>
      </c>
      <c r="AZ186" s="54" t="str">
        <f t="shared" si="52"/>
        <v>&amp;AllGlyphs[179]</v>
      </c>
      <c r="BB186" s="64">
        <f t="shared" si="53"/>
        <v>0</v>
      </c>
      <c r="BC186" s="64">
        <f t="shared" si="54"/>
        <v>0</v>
      </c>
      <c r="BD186" s="64">
        <f t="shared" si="55"/>
        <v>0</v>
      </c>
      <c r="BE186" s="64">
        <f t="shared" si="56"/>
        <v>0</v>
      </c>
    </row>
    <row r="187" spans="1:57" x14ac:dyDescent="0.4">
      <c r="A187" s="7" t="s">
        <v>181</v>
      </c>
      <c r="B187" s="6" t="str">
        <f t="shared" si="42"/>
        <v>ĥ</v>
      </c>
      <c r="C187" s="48" cm="1">
        <f t="array" ref="C187">IF($N187,INDEX($O:$O,MATCH(TRUE,EXACT(B187,$A:$A),0)),"")</f>
        <v>174</v>
      </c>
      <c r="D187" s="38" t="s">
        <v>182</v>
      </c>
      <c r="E187" s="48" cm="1">
        <f t="array" ref="E187">IF($N187,INDEX($O:$O,MATCH(TRUE,EXACT(D187,$A:$A),0)),"")</f>
        <v>175</v>
      </c>
      <c r="F187" s="38" t="s">
        <v>179</v>
      </c>
      <c r="G187" s="48" cm="1">
        <f t="array" ref="G187">IF($O187&lt;&gt;"",INDEX($O:$O,MATCH(TRUE,EXACT(F187,$A:$A),0)),"")</f>
        <v>172</v>
      </c>
      <c r="H187" s="38" t="s">
        <v>183</v>
      </c>
      <c r="I187" s="48" cm="1">
        <f t="array" ref="I187">IF($N187,INDEX($O:$O,MATCH(TRUE,EXACT(H187,$A:$A),0)),"")</f>
        <v>176</v>
      </c>
      <c r="J187" s="38" t="s">
        <v>185</v>
      </c>
      <c r="K187" s="52" cm="1">
        <f t="array" ref="K187">IF($N187,INDEX($O:$O,MATCH(TRUE,EXACT(J187,$A:$A),0)),"")</f>
        <v>178</v>
      </c>
      <c r="L187" s="23"/>
      <c r="M187" s="33"/>
      <c r="N187" s="18" t="b">
        <f t="shared" si="44"/>
        <v>1</v>
      </c>
      <c r="O187" s="19">
        <f>IF(N187, MAX(O$2:O186)+1,"")</f>
        <v>174</v>
      </c>
      <c r="P187" s="23" t="str">
        <f t="shared" si="43"/>
        <v>ĥ</v>
      </c>
      <c r="Q187" s="8" t="str" cm="1">
        <f t="array" ref="Q187">CharToUTF8(A187)</f>
        <v>\xC4\xA5</v>
      </c>
      <c r="S187" s="18" t="str">
        <f>$AG$5</f>
        <v>DIAG_FRONT</v>
      </c>
      <c r="T187" s="24" t="str">
        <f>$AG$2</f>
        <v>EMPTY</v>
      </c>
      <c r="U187" s="24" t="str">
        <f>$AG$2</f>
        <v>EMPTY</v>
      </c>
      <c r="V187" s="21" t="str">
        <f>$AG$7</f>
        <v>ORTHO_UP</v>
      </c>
      <c r="X187" s="31" t="b">
        <f t="shared" si="45"/>
        <v>0</v>
      </c>
      <c r="Y187" s="31" t="b">
        <f t="shared" si="46"/>
        <v>0</v>
      </c>
      <c r="Z187" t="b">
        <f t="shared" si="47"/>
        <v>0</v>
      </c>
      <c r="AA187" t="b">
        <f t="shared" si="48"/>
        <v>0</v>
      </c>
      <c r="AB187" t="b">
        <f>IF($N187,S187=VLOOKUP(S187,$AG$2:$AL$10,4,FALSE),"")</f>
        <v>1</v>
      </c>
      <c r="AC187" t="b">
        <f>IF($N187,T187=VLOOKUP(T187,$AG$2:$AL$10,4,FALSE),"")</f>
        <v>1</v>
      </c>
      <c r="AD187" t="b">
        <f>IF($N187,U187=VLOOKUP(U187,$AG$2:$AL$10,5,FALSE),"")</f>
        <v>1</v>
      </c>
      <c r="AE187" t="b">
        <f>IF($N187,V187=VLOOKUP(V187,$AG$2:$AL$10,5,FALSE),"")</f>
        <v>0</v>
      </c>
      <c r="AN187" s="55" t="str">
        <f t="shared" si="57"/>
        <v xml:space="preserve">    { wxString::FromUTF8("\xC4\xA5"), &amp;AllGlyphs[175], &amp;AllGlyphs[172], &amp;AllGlyphs[176], &amp;AllGlyphs[178], Connection::DIAG_FRONT, Connection::EMPTY, Connection::EMPTY, Connection::ORTHO_UP, 0, 0, 0, 0 },</v>
      </c>
      <c r="AO187" s="56"/>
      <c r="AP187" s="56"/>
      <c r="AQ187" s="56"/>
      <c r="AR187" s="56"/>
      <c r="AS187" s="56"/>
      <c r="AT187" s="56"/>
      <c r="AU187" s="57"/>
      <c r="AW187" s="54" t="str">
        <f t="shared" si="49"/>
        <v>&amp;AllGlyphs[175]</v>
      </c>
      <c r="AX187" s="54" t="str">
        <f t="shared" si="50"/>
        <v>&amp;AllGlyphs[172]</v>
      </c>
      <c r="AY187" s="54" t="str">
        <f t="shared" si="51"/>
        <v>&amp;AllGlyphs[176]</v>
      </c>
      <c r="AZ187" s="54" t="str">
        <f t="shared" si="52"/>
        <v>&amp;AllGlyphs[178]</v>
      </c>
      <c r="BB187" s="64">
        <f t="shared" si="53"/>
        <v>0</v>
      </c>
      <c r="BC187" s="64">
        <f t="shared" si="54"/>
        <v>0</v>
      </c>
      <c r="BD187" s="64">
        <f t="shared" si="55"/>
        <v>0</v>
      </c>
      <c r="BE187" s="64">
        <f t="shared" si="56"/>
        <v>0</v>
      </c>
    </row>
    <row r="188" spans="1:57" x14ac:dyDescent="0.4">
      <c r="A188" s="7" t="s">
        <v>182</v>
      </c>
      <c r="B188" s="6" t="str">
        <f t="shared" si="42"/>
        <v>Ħ</v>
      </c>
      <c r="C188" s="48" cm="1">
        <f t="array" ref="C188">IF($N188,INDEX($O:$O,MATCH(TRUE,EXACT(B188,$A:$A),0)),"")</f>
        <v>175</v>
      </c>
      <c r="D188" s="38" t="s">
        <v>179</v>
      </c>
      <c r="E188" s="48" cm="1">
        <f t="array" ref="E188">IF($N188,INDEX($O:$O,MATCH(TRUE,EXACT(D188,$A:$A),0)),"")</f>
        <v>172</v>
      </c>
      <c r="F188" s="38" t="s">
        <v>180</v>
      </c>
      <c r="G188" s="48" cm="1">
        <f t="array" ref="G188">IF($O188&lt;&gt;"",INDEX($O:$O,MATCH(TRUE,EXACT(F188,$A:$A),0)),"")</f>
        <v>173</v>
      </c>
      <c r="H188" s="38" t="s">
        <v>186</v>
      </c>
      <c r="I188" s="48" cm="1">
        <f t="array" ref="I188">IF($N188,INDEX($O:$O,MATCH(TRUE,EXACT(H188,$A:$A),0)),"")</f>
        <v>179</v>
      </c>
      <c r="J188" s="38" t="s">
        <v>184</v>
      </c>
      <c r="K188" s="52" cm="1">
        <f t="array" ref="K188">IF($N188,INDEX($O:$O,MATCH(TRUE,EXACT(J188,$A:$A),0)),"")</f>
        <v>177</v>
      </c>
      <c r="L188" s="23"/>
      <c r="M188" s="33"/>
      <c r="N188" s="18" t="b">
        <f t="shared" si="44"/>
        <v>1</v>
      </c>
      <c r="O188" s="19">
        <f>IF(N188, MAX(O$2:O187)+1,"")</f>
        <v>175</v>
      </c>
      <c r="P188" s="23" t="str">
        <f t="shared" si="43"/>
        <v>Ħ</v>
      </c>
      <c r="Q188" s="8" t="str" cm="1">
        <f t="array" ref="Q188">CharToUTF8(A188)</f>
        <v>\xC4\xA6</v>
      </c>
      <c r="S188" s="18" t="str">
        <f>$AG$2</f>
        <v>EMPTY</v>
      </c>
      <c r="T188" s="24" t="str">
        <f>$AG$10</f>
        <v>ORTHO_RIGHT</v>
      </c>
      <c r="U188" s="24" t="str">
        <f>$AG$2</f>
        <v>EMPTY</v>
      </c>
      <c r="V188" s="21" t="str">
        <f>$AG$5</f>
        <v>DIAG_FRONT</v>
      </c>
      <c r="X188" s="31" t="b">
        <f t="shared" si="45"/>
        <v>0</v>
      </c>
      <c r="Y188" s="31" t="b">
        <f t="shared" si="46"/>
        <v>0</v>
      </c>
      <c r="Z188" t="b">
        <f t="shared" si="47"/>
        <v>0</v>
      </c>
      <c r="AA188" t="b">
        <f t="shared" si="48"/>
        <v>0</v>
      </c>
      <c r="AB188" t="b">
        <f>IF($N188,S188=VLOOKUP(S188,$AG$2:$AL$10,4,FALSE),"")</f>
        <v>1</v>
      </c>
      <c r="AC188" t="b">
        <f>IF($N188,T188=VLOOKUP(T188,$AG$2:$AL$10,4,FALSE),"")</f>
        <v>0</v>
      </c>
      <c r="AD188" t="b">
        <f>IF($N188,U188=VLOOKUP(U188,$AG$2:$AL$10,5,FALSE),"")</f>
        <v>1</v>
      </c>
      <c r="AE188" t="b">
        <f>IF($N188,V188=VLOOKUP(V188,$AG$2:$AL$10,5,FALSE),"")</f>
        <v>0</v>
      </c>
      <c r="AN188" s="55" t="str">
        <f t="shared" si="57"/>
        <v xml:space="preserve">    { wxString::FromUTF8("\xC4\xA6"), &amp;AllGlyphs[172], &amp;AllGlyphs[173], &amp;AllGlyphs[179], &amp;AllGlyphs[177], Connection::EMPTY, Connection::ORTHO_RIGHT, Connection::EMPTY, Connection::DIAG_FRONT, 0, 0, 0, 0 },</v>
      </c>
      <c r="AO188" s="56"/>
      <c r="AP188" s="56"/>
      <c r="AQ188" s="56"/>
      <c r="AR188" s="56"/>
      <c r="AS188" s="56"/>
      <c r="AT188" s="56"/>
      <c r="AU188" s="57"/>
      <c r="AW188" s="54" t="str">
        <f t="shared" si="49"/>
        <v>&amp;AllGlyphs[172]</v>
      </c>
      <c r="AX188" s="54" t="str">
        <f t="shared" si="50"/>
        <v>&amp;AllGlyphs[173]</v>
      </c>
      <c r="AY188" s="54" t="str">
        <f t="shared" si="51"/>
        <v>&amp;AllGlyphs[179]</v>
      </c>
      <c r="AZ188" s="54" t="str">
        <f t="shared" si="52"/>
        <v>&amp;AllGlyphs[177]</v>
      </c>
      <c r="BB188" s="64">
        <f t="shared" si="53"/>
        <v>0</v>
      </c>
      <c r="BC188" s="64">
        <f t="shared" si="54"/>
        <v>0</v>
      </c>
      <c r="BD188" s="64">
        <f t="shared" si="55"/>
        <v>0</v>
      </c>
      <c r="BE188" s="64">
        <f t="shared" si="56"/>
        <v>0</v>
      </c>
    </row>
    <row r="189" spans="1:57" x14ac:dyDescent="0.4">
      <c r="A189" s="7" t="s">
        <v>183</v>
      </c>
      <c r="B189" s="6" t="str">
        <f t="shared" si="42"/>
        <v>ħ</v>
      </c>
      <c r="C189" s="48" cm="1">
        <f t="array" ref="C189">IF($N189,INDEX($O:$O,MATCH(TRUE,EXACT(B189,$A:$A),0)),"")</f>
        <v>176</v>
      </c>
      <c r="D189" s="38" t="s">
        <v>184</v>
      </c>
      <c r="E189" s="48" cm="1">
        <f t="array" ref="E189">IF($N189,INDEX($O:$O,MATCH(TRUE,EXACT(D189,$A:$A),0)),"")</f>
        <v>177</v>
      </c>
      <c r="F189" s="38" t="s">
        <v>185</v>
      </c>
      <c r="G189" s="48" cm="1">
        <f t="array" ref="G189">IF($O189&lt;&gt;"",INDEX($O:$O,MATCH(TRUE,EXACT(F189,$A:$A),0)),"")</f>
        <v>178</v>
      </c>
      <c r="H189" s="38" t="s">
        <v>181</v>
      </c>
      <c r="I189" s="48" cm="1">
        <f t="array" ref="I189">IF($N189,INDEX($O:$O,MATCH(TRUE,EXACT(H189,$A:$A),0)),"")</f>
        <v>174</v>
      </c>
      <c r="J189" s="38" t="s">
        <v>179</v>
      </c>
      <c r="K189" s="52" cm="1">
        <f t="array" ref="K189">IF($N189,INDEX($O:$O,MATCH(TRUE,EXACT(J189,$A:$A),0)),"")</f>
        <v>172</v>
      </c>
      <c r="L189" s="23"/>
      <c r="M189" s="33"/>
      <c r="N189" s="18" t="b">
        <f t="shared" si="44"/>
        <v>1</v>
      </c>
      <c r="O189" s="19">
        <f>IF(N189, MAX(O$2:O188)+1,"")</f>
        <v>176</v>
      </c>
      <c r="P189" s="23" t="str">
        <f t="shared" si="43"/>
        <v>ħ</v>
      </c>
      <c r="Q189" s="8" t="str" cm="1">
        <f t="array" ref="Q189">CharToUTF8(A189)</f>
        <v>\xC4\xA7</v>
      </c>
      <c r="S189" s="18" t="str">
        <f>$AG$2</f>
        <v>EMPTY</v>
      </c>
      <c r="T189" s="24" t="str">
        <f>$AG$6</f>
        <v>DIAG_BACK</v>
      </c>
      <c r="U189" s="24" t="str">
        <f>$AG$2</f>
        <v>EMPTY</v>
      </c>
      <c r="V189" s="21" t="str">
        <f>$AG$8</f>
        <v>ORTHO_DOWN</v>
      </c>
      <c r="X189" s="31" t="b">
        <f t="shared" si="45"/>
        <v>0</v>
      </c>
      <c r="Y189" s="31" t="b">
        <f t="shared" si="46"/>
        <v>0</v>
      </c>
      <c r="Z189" t="b">
        <f t="shared" si="47"/>
        <v>0</v>
      </c>
      <c r="AA189" t="b">
        <f t="shared" si="48"/>
        <v>0</v>
      </c>
      <c r="AB189" t="b">
        <f>IF($N189,S189=VLOOKUP(S189,$AG$2:$AL$10,4,FALSE),"")</f>
        <v>1</v>
      </c>
      <c r="AC189" t="b">
        <f>IF($N189,T189=VLOOKUP(T189,$AG$2:$AL$10,4,FALSE),"")</f>
        <v>1</v>
      </c>
      <c r="AD189" t="b">
        <f>IF($N189,U189=VLOOKUP(U189,$AG$2:$AL$10,5,FALSE),"")</f>
        <v>1</v>
      </c>
      <c r="AE189" t="b">
        <f>IF($N189,V189=VLOOKUP(V189,$AG$2:$AL$10,5,FALSE),"")</f>
        <v>0</v>
      </c>
      <c r="AN189" s="55" t="str">
        <f t="shared" si="57"/>
        <v xml:space="preserve">    { wxString::FromUTF8("\xC4\xA7"), &amp;AllGlyphs[177], &amp;AllGlyphs[178], &amp;AllGlyphs[174], &amp;AllGlyphs[172], Connection::EMPTY, Connection::DIAG_BACK, Connection::EMPTY, Connection::ORTHO_DOWN, 0, 0, 0, 0 },</v>
      </c>
      <c r="AO189" s="56"/>
      <c r="AP189" s="56"/>
      <c r="AQ189" s="56"/>
      <c r="AR189" s="56"/>
      <c r="AS189" s="56"/>
      <c r="AT189" s="56"/>
      <c r="AU189" s="57"/>
      <c r="AW189" s="54" t="str">
        <f t="shared" si="49"/>
        <v>&amp;AllGlyphs[177]</v>
      </c>
      <c r="AX189" s="54" t="str">
        <f t="shared" si="50"/>
        <v>&amp;AllGlyphs[178]</v>
      </c>
      <c r="AY189" s="54" t="str">
        <f t="shared" si="51"/>
        <v>&amp;AllGlyphs[174]</v>
      </c>
      <c r="AZ189" s="54" t="str">
        <f t="shared" si="52"/>
        <v>&amp;AllGlyphs[172]</v>
      </c>
      <c r="BB189" s="64">
        <f t="shared" si="53"/>
        <v>0</v>
      </c>
      <c r="BC189" s="64">
        <f t="shared" si="54"/>
        <v>0</v>
      </c>
      <c r="BD189" s="64">
        <f t="shared" si="55"/>
        <v>0</v>
      </c>
      <c r="BE189" s="64">
        <f t="shared" si="56"/>
        <v>0</v>
      </c>
    </row>
    <row r="190" spans="1:57" x14ac:dyDescent="0.4">
      <c r="A190" s="7" t="s">
        <v>184</v>
      </c>
      <c r="B190" s="6" t="str">
        <f t="shared" si="42"/>
        <v>Ĩ</v>
      </c>
      <c r="C190" s="48" cm="1">
        <f t="array" ref="C190">IF($N190,INDEX($O:$O,MATCH(TRUE,EXACT(B190,$A:$A),0)),"")</f>
        <v>177</v>
      </c>
      <c r="D190" s="38" t="s">
        <v>185</v>
      </c>
      <c r="E190" s="48" cm="1">
        <f t="array" ref="E190">IF($N190,INDEX($O:$O,MATCH(TRUE,EXACT(D190,$A:$A),0)),"")</f>
        <v>178</v>
      </c>
      <c r="F190" s="38" t="s">
        <v>186</v>
      </c>
      <c r="G190" s="48" cm="1">
        <f t="array" ref="G190">IF($O190&lt;&gt;"",INDEX($O:$O,MATCH(TRUE,EXACT(F190,$A:$A),0)),"")</f>
        <v>179</v>
      </c>
      <c r="H190" s="38" t="s">
        <v>180</v>
      </c>
      <c r="I190" s="48" cm="1">
        <f t="array" ref="I190">IF($N190,INDEX($O:$O,MATCH(TRUE,EXACT(H190,$A:$A),0)),"")</f>
        <v>173</v>
      </c>
      <c r="J190" s="38" t="s">
        <v>182</v>
      </c>
      <c r="K190" s="52" cm="1">
        <f t="array" ref="K190">IF($N190,INDEX($O:$O,MATCH(TRUE,EXACT(J190,$A:$A),0)),"")</f>
        <v>175</v>
      </c>
      <c r="L190" s="23"/>
      <c r="M190" s="33"/>
      <c r="N190" s="18" t="b">
        <f t="shared" si="44"/>
        <v>1</v>
      </c>
      <c r="O190" s="19">
        <f>IF(N190, MAX(O$2:O189)+1,"")</f>
        <v>177</v>
      </c>
      <c r="P190" s="23" t="str">
        <f t="shared" si="43"/>
        <v>Ĩ</v>
      </c>
      <c r="Q190" s="8" t="str" cm="1">
        <f t="array" ref="Q190">CharToUTF8(A190)</f>
        <v>\xC4\xA8</v>
      </c>
      <c r="S190" s="18" t="str">
        <f>$AG$2</f>
        <v>EMPTY</v>
      </c>
      <c r="T190" s="24" t="str">
        <f>$AG$9</f>
        <v>ORTHO_LEFT</v>
      </c>
      <c r="U190" s="24" t="str">
        <f>$AG$6</f>
        <v>DIAG_BACK</v>
      </c>
      <c r="V190" s="21" t="str">
        <f>$AG$2</f>
        <v>EMPTY</v>
      </c>
      <c r="X190" s="31" t="b">
        <f t="shared" si="45"/>
        <v>0</v>
      </c>
      <c r="Y190" s="31" t="b">
        <f t="shared" si="46"/>
        <v>0</v>
      </c>
      <c r="Z190" t="b">
        <f t="shared" si="47"/>
        <v>0</v>
      </c>
      <c r="AA190" t="b">
        <f t="shared" si="48"/>
        <v>0</v>
      </c>
      <c r="AB190" t="b">
        <f>IF($N190,S190=VLOOKUP(S190,$AG$2:$AL$10,4,FALSE),"")</f>
        <v>1</v>
      </c>
      <c r="AC190" t="b">
        <f>IF($N190,T190=VLOOKUP(T190,$AG$2:$AL$10,4,FALSE),"")</f>
        <v>0</v>
      </c>
      <c r="AD190" t="b">
        <f>IF($N190,U190=VLOOKUP(U190,$AG$2:$AL$10,5,FALSE),"")</f>
        <v>0</v>
      </c>
      <c r="AE190" t="b">
        <f>IF($N190,V190=VLOOKUP(V190,$AG$2:$AL$10,5,FALSE),"")</f>
        <v>1</v>
      </c>
      <c r="AN190" s="55" t="str">
        <f t="shared" si="57"/>
        <v xml:space="preserve">    { wxString::FromUTF8("\xC4\xA8"), &amp;AllGlyphs[178], &amp;AllGlyphs[179], &amp;AllGlyphs[173], &amp;AllGlyphs[175], Connection::EMPTY, Connection::ORTHO_LEFT, Connection::DIAG_BACK, Connection::EMPTY, 0, 0, 0, 0 },</v>
      </c>
      <c r="AO190" s="56"/>
      <c r="AP190" s="56"/>
      <c r="AQ190" s="56"/>
      <c r="AR190" s="56"/>
      <c r="AS190" s="56"/>
      <c r="AT190" s="56"/>
      <c r="AU190" s="57"/>
      <c r="AW190" s="54" t="str">
        <f t="shared" si="49"/>
        <v>&amp;AllGlyphs[178]</v>
      </c>
      <c r="AX190" s="54" t="str">
        <f t="shared" si="50"/>
        <v>&amp;AllGlyphs[179]</v>
      </c>
      <c r="AY190" s="54" t="str">
        <f t="shared" si="51"/>
        <v>&amp;AllGlyphs[173]</v>
      </c>
      <c r="AZ190" s="54" t="str">
        <f t="shared" si="52"/>
        <v>&amp;AllGlyphs[175]</v>
      </c>
      <c r="BB190" s="64">
        <f t="shared" si="53"/>
        <v>0</v>
      </c>
      <c r="BC190" s="64">
        <f t="shared" si="54"/>
        <v>0</v>
      </c>
      <c r="BD190" s="64">
        <f t="shared" si="55"/>
        <v>0</v>
      </c>
      <c r="BE190" s="64">
        <f t="shared" si="56"/>
        <v>0</v>
      </c>
    </row>
    <row r="191" spans="1:57" x14ac:dyDescent="0.4">
      <c r="A191" s="7" t="s">
        <v>185</v>
      </c>
      <c r="B191" s="6" t="str">
        <f t="shared" si="42"/>
        <v>ĩ</v>
      </c>
      <c r="C191" s="48" cm="1">
        <f t="array" ref="C191">IF($N191,INDEX($O:$O,MATCH(TRUE,EXACT(B191,$A:$A),0)),"")</f>
        <v>178</v>
      </c>
      <c r="D191" s="38" t="s">
        <v>186</v>
      </c>
      <c r="E191" s="48" cm="1">
        <f t="array" ref="E191">IF($N191,INDEX($O:$O,MATCH(TRUE,EXACT(D191,$A:$A),0)),"")</f>
        <v>179</v>
      </c>
      <c r="F191" s="38" t="s">
        <v>183</v>
      </c>
      <c r="G191" s="48" cm="1">
        <f t="array" ref="G191">IF($O191&lt;&gt;"",INDEX($O:$O,MATCH(TRUE,EXACT(F191,$A:$A),0)),"")</f>
        <v>176</v>
      </c>
      <c r="H191" s="38" t="s">
        <v>179</v>
      </c>
      <c r="I191" s="48" cm="1">
        <f t="array" ref="I191">IF($N191,INDEX($O:$O,MATCH(TRUE,EXACT(H191,$A:$A),0)),"")</f>
        <v>172</v>
      </c>
      <c r="J191" s="38" t="s">
        <v>181</v>
      </c>
      <c r="K191" s="52" cm="1">
        <f t="array" ref="K191">IF($N191,INDEX($O:$O,MATCH(TRUE,EXACT(J191,$A:$A),0)),"")</f>
        <v>174</v>
      </c>
      <c r="L191" s="23"/>
      <c r="M191" s="33"/>
      <c r="N191" s="18" t="b">
        <f t="shared" si="44"/>
        <v>1</v>
      </c>
      <c r="O191" s="19">
        <f>IF(N191, MAX(O$2:O190)+1,"")</f>
        <v>178</v>
      </c>
      <c r="P191" s="23" t="str">
        <f t="shared" si="43"/>
        <v>ĩ</v>
      </c>
      <c r="Q191" s="8" t="str" cm="1">
        <f t="array" ref="Q191">CharToUTF8(A191)</f>
        <v>\xC4\xA9</v>
      </c>
      <c r="S191" s="18" t="str">
        <f>$AG$6</f>
        <v>DIAG_BACK</v>
      </c>
      <c r="T191" s="24" t="str">
        <f>$AG$2</f>
        <v>EMPTY</v>
      </c>
      <c r="U191" s="24" t="str">
        <f>$AG$7</f>
        <v>ORTHO_UP</v>
      </c>
      <c r="V191" s="21" t="str">
        <f>$AG$2</f>
        <v>EMPTY</v>
      </c>
      <c r="X191" s="31" t="b">
        <f t="shared" si="45"/>
        <v>0</v>
      </c>
      <c r="Y191" s="31" t="b">
        <f t="shared" si="46"/>
        <v>0</v>
      </c>
      <c r="Z191" t="b">
        <f t="shared" si="47"/>
        <v>0</v>
      </c>
      <c r="AA191" t="b">
        <f t="shared" si="48"/>
        <v>0</v>
      </c>
      <c r="AB191" t="b">
        <f>IF($N191,S191=VLOOKUP(S191,$AG$2:$AL$10,4,FALSE),"")</f>
        <v>1</v>
      </c>
      <c r="AC191" t="b">
        <f>IF($N191,T191=VLOOKUP(T191,$AG$2:$AL$10,4,FALSE),"")</f>
        <v>1</v>
      </c>
      <c r="AD191" t="b">
        <f>IF($N191,U191=VLOOKUP(U191,$AG$2:$AL$10,5,FALSE),"")</f>
        <v>0</v>
      </c>
      <c r="AE191" t="b">
        <f>IF($N191,V191=VLOOKUP(V191,$AG$2:$AL$10,5,FALSE),"")</f>
        <v>1</v>
      </c>
      <c r="AN191" s="55" t="str">
        <f t="shared" si="57"/>
        <v xml:space="preserve">    { wxString::FromUTF8("\xC4\xA9"), &amp;AllGlyphs[179], &amp;AllGlyphs[176], &amp;AllGlyphs[172], &amp;AllGlyphs[174], Connection::DIAG_BACK, Connection::EMPTY, Connection::ORTHO_UP, Connection::EMPTY, 0, 0, 0, 0 },</v>
      </c>
      <c r="AO191" s="56"/>
      <c r="AP191" s="56"/>
      <c r="AQ191" s="56"/>
      <c r="AR191" s="56"/>
      <c r="AS191" s="56"/>
      <c r="AT191" s="56"/>
      <c r="AU191" s="57"/>
      <c r="AW191" s="54" t="str">
        <f t="shared" si="49"/>
        <v>&amp;AllGlyphs[179]</v>
      </c>
      <c r="AX191" s="54" t="str">
        <f t="shared" si="50"/>
        <v>&amp;AllGlyphs[176]</v>
      </c>
      <c r="AY191" s="54" t="str">
        <f t="shared" si="51"/>
        <v>&amp;AllGlyphs[172]</v>
      </c>
      <c r="AZ191" s="54" t="str">
        <f t="shared" si="52"/>
        <v>&amp;AllGlyphs[174]</v>
      </c>
      <c r="BB191" s="64">
        <f t="shared" si="53"/>
        <v>0</v>
      </c>
      <c r="BC191" s="64">
        <f t="shared" si="54"/>
        <v>0</v>
      </c>
      <c r="BD191" s="64">
        <f t="shared" si="55"/>
        <v>0</v>
      </c>
      <c r="BE191" s="64">
        <f t="shared" si="56"/>
        <v>0</v>
      </c>
    </row>
    <row r="192" spans="1:57" x14ac:dyDescent="0.4">
      <c r="A192" s="7" t="s">
        <v>186</v>
      </c>
      <c r="B192" s="6" t="str">
        <f t="shared" si="42"/>
        <v>Ī</v>
      </c>
      <c r="C192" s="48" cm="1">
        <f t="array" ref="C192">IF($N192,INDEX($O:$O,MATCH(TRUE,EXACT(B192,$A:$A),0)),"")</f>
        <v>179</v>
      </c>
      <c r="D192" s="38" t="s">
        <v>183</v>
      </c>
      <c r="E192" s="48" cm="1">
        <f t="array" ref="E192">IF($N192,INDEX($O:$O,MATCH(TRUE,EXACT(D192,$A:$A),0)),"")</f>
        <v>176</v>
      </c>
      <c r="F192" s="38" t="s">
        <v>184</v>
      </c>
      <c r="G192" s="48" cm="1">
        <f t="array" ref="G192">IF($O192&lt;&gt;"",INDEX($O:$O,MATCH(TRUE,EXACT(F192,$A:$A),0)),"")</f>
        <v>177</v>
      </c>
      <c r="H192" s="38" t="s">
        <v>182</v>
      </c>
      <c r="I192" s="48" cm="1">
        <f t="array" ref="I192">IF($N192,INDEX($O:$O,MATCH(TRUE,EXACT(H192,$A:$A),0)),"")</f>
        <v>175</v>
      </c>
      <c r="J192" s="38" t="s">
        <v>180</v>
      </c>
      <c r="K192" s="52" cm="1">
        <f t="array" ref="K192">IF($N192,INDEX($O:$O,MATCH(TRUE,EXACT(J192,$A:$A),0)),"")</f>
        <v>173</v>
      </c>
      <c r="L192" s="23"/>
      <c r="M192" s="33"/>
      <c r="N192" s="18" t="b">
        <f t="shared" si="44"/>
        <v>1</v>
      </c>
      <c r="O192" s="19">
        <f>IF(N192, MAX(O$2:O191)+1,"")</f>
        <v>179</v>
      </c>
      <c r="P192" s="23" t="str">
        <f t="shared" si="43"/>
        <v>Ī</v>
      </c>
      <c r="Q192" s="8" t="str" cm="1">
        <f t="array" ref="Q192">CharToUTF8(A192)</f>
        <v>\xC4\xAA</v>
      </c>
      <c r="S192" s="18" t="str">
        <f>$AG$10</f>
        <v>ORTHO_RIGHT</v>
      </c>
      <c r="T192" s="24" t="str">
        <f>$AG$2</f>
        <v>EMPTY</v>
      </c>
      <c r="U192" s="24" t="str">
        <f>$AG$2</f>
        <v>EMPTY</v>
      </c>
      <c r="V192" s="21" t="str">
        <f>$AG$6</f>
        <v>DIAG_BACK</v>
      </c>
      <c r="X192" s="31" t="b">
        <f t="shared" si="45"/>
        <v>0</v>
      </c>
      <c r="Y192" s="31" t="b">
        <f t="shared" si="46"/>
        <v>0</v>
      </c>
      <c r="Z192" t="b">
        <f t="shared" si="47"/>
        <v>0</v>
      </c>
      <c r="AA192" t="b">
        <f t="shared" si="48"/>
        <v>0</v>
      </c>
      <c r="AB192" t="b">
        <f>IF($N192,S192=VLOOKUP(S192,$AG$2:$AL$10,4,FALSE),"")</f>
        <v>0</v>
      </c>
      <c r="AC192" t="b">
        <f>IF($N192,T192=VLOOKUP(T192,$AG$2:$AL$10,4,FALSE),"")</f>
        <v>1</v>
      </c>
      <c r="AD192" t="b">
        <f>IF($N192,U192=VLOOKUP(U192,$AG$2:$AL$10,5,FALSE),"")</f>
        <v>1</v>
      </c>
      <c r="AE192" t="b">
        <f>IF($N192,V192=VLOOKUP(V192,$AG$2:$AL$10,5,FALSE),"")</f>
        <v>0</v>
      </c>
      <c r="AN192" s="55" t="str">
        <f t="shared" si="57"/>
        <v xml:space="preserve">    { wxString::FromUTF8("\xC4\xAA"), &amp;AllGlyphs[176], &amp;AllGlyphs[177], &amp;AllGlyphs[175], &amp;AllGlyphs[173], Connection::ORTHO_RIGHT, Connection::EMPTY, Connection::EMPTY, Connection::DIAG_BACK, 0, 0, 0, 0 },</v>
      </c>
      <c r="AO192" s="56"/>
      <c r="AP192" s="56"/>
      <c r="AQ192" s="56"/>
      <c r="AR192" s="56"/>
      <c r="AS192" s="56"/>
      <c r="AT192" s="56"/>
      <c r="AU192" s="57"/>
      <c r="AW192" s="54" t="str">
        <f t="shared" si="49"/>
        <v>&amp;AllGlyphs[176]</v>
      </c>
      <c r="AX192" s="54" t="str">
        <f t="shared" si="50"/>
        <v>&amp;AllGlyphs[177]</v>
      </c>
      <c r="AY192" s="54" t="str">
        <f t="shared" si="51"/>
        <v>&amp;AllGlyphs[175]</v>
      </c>
      <c r="AZ192" s="54" t="str">
        <f t="shared" si="52"/>
        <v>&amp;AllGlyphs[173]</v>
      </c>
      <c r="BB192" s="64">
        <f t="shared" si="53"/>
        <v>0</v>
      </c>
      <c r="BC192" s="64">
        <f t="shared" si="54"/>
        <v>0</v>
      </c>
      <c r="BD192" s="64">
        <f t="shared" si="55"/>
        <v>0</v>
      </c>
      <c r="BE192" s="64">
        <f t="shared" si="56"/>
        <v>0</v>
      </c>
    </row>
    <row r="193" spans="1:57" x14ac:dyDescent="0.4">
      <c r="A193" s="7" t="s">
        <v>187</v>
      </c>
      <c r="B193" s="6" t="str">
        <f t="shared" si="42"/>
        <v>Œ</v>
      </c>
      <c r="C193" s="48" cm="1">
        <f t="array" ref="C193">IF($N193,INDEX($O:$O,MATCH(TRUE,EXACT(B193,$A:$A),0)),"")</f>
        <v>180</v>
      </c>
      <c r="D193" s="38" t="s">
        <v>190</v>
      </c>
      <c r="E193" s="48" cm="1">
        <f t="array" ref="E193">IF($N193,INDEX($O:$O,MATCH(TRUE,EXACT(D193,$A:$A),0)),"")</f>
        <v>183</v>
      </c>
      <c r="F193" s="38" t="s">
        <v>187</v>
      </c>
      <c r="G193" s="48" cm="1">
        <f t="array" ref="G193">IF($O193&lt;&gt;"",INDEX($O:$O,MATCH(TRUE,EXACT(F193,$A:$A),0)),"")</f>
        <v>180</v>
      </c>
      <c r="H193" s="38" t="s">
        <v>187</v>
      </c>
      <c r="I193" s="48" cm="1">
        <f t="array" ref="I193">IF($N193,INDEX($O:$O,MATCH(TRUE,EXACT(H193,$A:$A),0)),"")</f>
        <v>180</v>
      </c>
      <c r="J193" s="38" t="s">
        <v>187</v>
      </c>
      <c r="K193" s="52" cm="1">
        <f t="array" ref="K193">IF($N193,INDEX($O:$O,MATCH(TRUE,EXACT(J193,$A:$A),0)),"")</f>
        <v>180</v>
      </c>
      <c r="L193" s="23"/>
      <c r="M193" s="33"/>
      <c r="N193" s="18" t="b">
        <f t="shared" si="44"/>
        <v>1</v>
      </c>
      <c r="O193" s="19">
        <f>IF(N193, MAX(O$2:O192)+1,"")</f>
        <v>180</v>
      </c>
      <c r="P193" s="23" t="str">
        <f t="shared" si="43"/>
        <v>Œ</v>
      </c>
      <c r="Q193" s="8" t="str" cm="1">
        <f t="array" ref="Q193">CharToUTF8(A193)</f>
        <v>\xC5\x92</v>
      </c>
      <c r="S193" s="18" t="str">
        <f>$AG$2</f>
        <v>EMPTY</v>
      </c>
      <c r="T193" s="24" t="str">
        <f>$AG$2</f>
        <v>EMPTY</v>
      </c>
      <c r="U193" s="24" t="str">
        <f>$AG$4</f>
        <v>ORTHO_BOTH</v>
      </c>
      <c r="V193" s="21" t="str">
        <f>$AG$4</f>
        <v>ORTHO_BOTH</v>
      </c>
      <c r="X193" s="31" t="b">
        <f t="shared" si="45"/>
        <v>0</v>
      </c>
      <c r="Y193" s="31" t="b">
        <f t="shared" si="46"/>
        <v>1</v>
      </c>
      <c r="Z193" t="b">
        <f t="shared" si="47"/>
        <v>1</v>
      </c>
      <c r="AA193" t="b">
        <f t="shared" si="48"/>
        <v>1</v>
      </c>
      <c r="AB193" t="b">
        <f>IF($N193,S193=VLOOKUP(S193,$AG$2:$AL$10,4,FALSE),"")</f>
        <v>1</v>
      </c>
      <c r="AC193" t="b">
        <f>IF($N193,T193=VLOOKUP(T193,$AG$2:$AL$10,4,FALSE),"")</f>
        <v>1</v>
      </c>
      <c r="AD193" t="b">
        <f>IF($N193,U193=VLOOKUP(U193,$AG$2:$AL$10,5,FALSE),"")</f>
        <v>1</v>
      </c>
      <c r="AE193" t="b">
        <f>IF($N193,V193=VLOOKUP(V193,$AG$2:$AL$10,5,FALSE),"")</f>
        <v>1</v>
      </c>
      <c r="AN193" s="55" t="str">
        <f t="shared" si="57"/>
        <v xml:space="preserve">    { wxString::FromUTF8("\xC5\x92"), &amp;AllGlyphs[183], &amp;AllGlyphs[180], &amp;AllGlyphs[180], &amp;AllGlyphs[180], Connection::EMPTY, Connection::EMPTY, Connection::ORTHO_BOTH, Connection::ORTHO_BOTH, 0, 1, 1, 1 },</v>
      </c>
      <c r="AO193" s="56"/>
      <c r="AP193" s="56"/>
      <c r="AQ193" s="56"/>
      <c r="AR193" s="56"/>
      <c r="AS193" s="56"/>
      <c r="AT193" s="56"/>
      <c r="AU193" s="57"/>
      <c r="AW193" s="54" t="str">
        <f t="shared" si="49"/>
        <v>&amp;AllGlyphs[183]</v>
      </c>
      <c r="AX193" s="54" t="str">
        <f t="shared" si="50"/>
        <v>&amp;AllGlyphs[180]</v>
      </c>
      <c r="AY193" s="54" t="str">
        <f t="shared" si="51"/>
        <v>&amp;AllGlyphs[180]</v>
      </c>
      <c r="AZ193" s="54" t="str">
        <f t="shared" si="52"/>
        <v>&amp;AllGlyphs[180]</v>
      </c>
      <c r="BB193" s="64">
        <f t="shared" si="53"/>
        <v>0</v>
      </c>
      <c r="BC193" s="64">
        <f t="shared" si="54"/>
        <v>1</v>
      </c>
      <c r="BD193" s="64">
        <f t="shared" si="55"/>
        <v>1</v>
      </c>
      <c r="BE193" s="64">
        <f t="shared" si="56"/>
        <v>1</v>
      </c>
    </row>
    <row r="194" spans="1:57" x14ac:dyDescent="0.4">
      <c r="A194" s="7" t="s">
        <v>188</v>
      </c>
      <c r="B194" s="6" t="str">
        <f t="shared" ref="B194:B202" si="58">A194</f>
        <v>Š</v>
      </c>
      <c r="C194" s="48" cm="1">
        <f t="array" ref="C194">IF($N194,INDEX($O:$O,MATCH(TRUE,EXACT(B194,$A:$A),0)),"")</f>
        <v>181</v>
      </c>
      <c r="D194" s="38" t="s">
        <v>189</v>
      </c>
      <c r="E194" s="48" cm="1">
        <f t="array" ref="E194">IF($N194,INDEX($O:$O,MATCH(TRUE,EXACT(D194,$A:$A),0)),"")</f>
        <v>182</v>
      </c>
      <c r="F194" s="38" t="s">
        <v>196</v>
      </c>
      <c r="G194" s="48" cm="1">
        <f t="array" ref="G194">IF($O194&lt;&gt;"",INDEX($O:$O,MATCH(TRUE,EXACT(F194,$A:$A),0)),"")</f>
        <v>189</v>
      </c>
      <c r="H194" s="38" t="s">
        <v>188</v>
      </c>
      <c r="I194" s="48" cm="1">
        <f t="array" ref="I194">IF($N194,INDEX($O:$O,MATCH(TRUE,EXACT(H194,$A:$A),0)),"")</f>
        <v>181</v>
      </c>
      <c r="J194" s="38" t="s">
        <v>196</v>
      </c>
      <c r="K194" s="52" cm="1">
        <f t="array" ref="K194">IF($N194,INDEX($O:$O,MATCH(TRUE,EXACT(J194,$A:$A),0)),"")</f>
        <v>189</v>
      </c>
      <c r="L194" s="23"/>
      <c r="M194" s="33"/>
      <c r="N194" s="18" t="b">
        <f t="shared" si="44"/>
        <v>1</v>
      </c>
      <c r="O194" s="19">
        <f>IF(N194, MAX(O$2:O193)+1,"")</f>
        <v>181</v>
      </c>
      <c r="P194" s="23" t="str">
        <f t="shared" ref="P194:P202" si="59">A194</f>
        <v>Š</v>
      </c>
      <c r="Q194" s="8" t="str" cm="1">
        <f t="array" ref="Q194">CharToUTF8(A194)</f>
        <v>\xC5\xA0</v>
      </c>
      <c r="S194" s="18" t="str">
        <f>$AG$2</f>
        <v>EMPTY</v>
      </c>
      <c r="T194" s="24" t="str">
        <f>$AG$2</f>
        <v>EMPTY</v>
      </c>
      <c r="U194" s="24" t="str">
        <f>$AG$2</f>
        <v>EMPTY</v>
      </c>
      <c r="V194" s="21" t="str">
        <f>$AG$3</f>
        <v>DIAG_BOTH</v>
      </c>
      <c r="X194" s="31" t="b">
        <f t="shared" si="45"/>
        <v>0</v>
      </c>
      <c r="Y194" s="31" t="b">
        <f t="shared" si="46"/>
        <v>0</v>
      </c>
      <c r="Z194" t="b">
        <f t="shared" si="47"/>
        <v>1</v>
      </c>
      <c r="AA194" t="b">
        <f t="shared" si="48"/>
        <v>0</v>
      </c>
      <c r="AB194" t="b">
        <f>IF($N194,S194=VLOOKUP(S194,$AG$2:$AL$10,4,FALSE),"")</f>
        <v>1</v>
      </c>
      <c r="AC194" t="b">
        <f>IF($N194,T194=VLOOKUP(T194,$AG$2:$AL$10,4,FALSE),"")</f>
        <v>1</v>
      </c>
      <c r="AD194" t="b">
        <f>IF($N194,U194=VLOOKUP(U194,$AG$2:$AL$10,5,FALSE),"")</f>
        <v>1</v>
      </c>
      <c r="AE194" t="b">
        <f>IF($N194,V194=VLOOKUP(V194,$AG$2:$AL$10,5,FALSE),"")</f>
        <v>1</v>
      </c>
      <c r="AN194" s="55" t="str">
        <f t="shared" si="57"/>
        <v xml:space="preserve">    { wxString::FromUTF8("\xC5\xA0"), &amp;AllGlyphs[182], &amp;AllGlyphs[189], &amp;AllGlyphs[181], &amp;AllGlyphs[189], Connection::EMPTY, Connection::EMPTY, Connection::EMPTY, Connection::DIAG_BOTH, 0, 0, 1, 0 },</v>
      </c>
      <c r="AO194" s="56"/>
      <c r="AP194" s="56"/>
      <c r="AQ194" s="56"/>
      <c r="AR194" s="56"/>
      <c r="AS194" s="56"/>
      <c r="AT194" s="56"/>
      <c r="AU194" s="57"/>
      <c r="AW194" s="54" t="str">
        <f t="shared" si="49"/>
        <v>&amp;AllGlyphs[182]</v>
      </c>
      <c r="AX194" s="54" t="str">
        <f t="shared" si="50"/>
        <v>&amp;AllGlyphs[189]</v>
      </c>
      <c r="AY194" s="54" t="str">
        <f t="shared" si="51"/>
        <v>&amp;AllGlyphs[181]</v>
      </c>
      <c r="AZ194" s="54" t="str">
        <f t="shared" si="52"/>
        <v>&amp;AllGlyphs[189]</v>
      </c>
      <c r="BB194" s="64">
        <f t="shared" si="53"/>
        <v>0</v>
      </c>
      <c r="BC194" s="64">
        <f t="shared" si="54"/>
        <v>0</v>
      </c>
      <c r="BD194" s="64">
        <f t="shared" si="55"/>
        <v>1</v>
      </c>
      <c r="BE194" s="64">
        <f t="shared" si="56"/>
        <v>0</v>
      </c>
    </row>
    <row r="195" spans="1:57" x14ac:dyDescent="0.4">
      <c r="A195" s="7" t="s">
        <v>189</v>
      </c>
      <c r="B195" s="6" t="str">
        <f t="shared" si="58"/>
        <v>ˆ</v>
      </c>
      <c r="C195" s="48" cm="1">
        <f t="array" ref="C195">IF($N195,INDEX($O:$O,MATCH(TRUE,EXACT(B195,$A:$A),0)),"")</f>
        <v>182</v>
      </c>
      <c r="D195" s="38" t="s">
        <v>196</v>
      </c>
      <c r="E195" s="48" cm="1">
        <f t="array" ref="E195">IF($N195,INDEX($O:$O,MATCH(TRUE,EXACT(D195,$A:$A),0)),"")</f>
        <v>189</v>
      </c>
      <c r="F195" s="38" t="s">
        <v>195</v>
      </c>
      <c r="G195" s="48" cm="1">
        <f t="array" ref="G195">IF($O195&lt;&gt;"",INDEX($O:$O,MATCH(TRUE,EXACT(F195,$A:$A),0)),"")</f>
        <v>188</v>
      </c>
      <c r="H195" s="38" t="s">
        <v>195</v>
      </c>
      <c r="I195" s="48" cm="1">
        <f t="array" ref="I195">IF($N195,INDEX($O:$O,MATCH(TRUE,EXACT(H195,$A:$A),0)),"")</f>
        <v>188</v>
      </c>
      <c r="J195" s="38" t="s">
        <v>189</v>
      </c>
      <c r="K195" s="52" cm="1">
        <f t="array" ref="K195">IF($N195,INDEX($O:$O,MATCH(TRUE,EXACT(J195,$A:$A),0)),"")</f>
        <v>182</v>
      </c>
      <c r="L195" s="23"/>
      <c r="M195" s="33"/>
      <c r="N195" s="18" t="b">
        <f t="shared" ref="N195:N202" si="60">AND(B195&lt;&gt;"", D195&lt;&gt;"", F195&lt;&gt;"", J195&lt;&gt;"", H195&lt;&gt;"")</f>
        <v>1</v>
      </c>
      <c r="O195" s="19">
        <f>IF(N195, MAX(O$2:O194)+1,"")</f>
        <v>182</v>
      </c>
      <c r="P195" s="23" t="str">
        <f t="shared" si="59"/>
        <v>ˆ</v>
      </c>
      <c r="Q195" s="8" t="str" cm="1">
        <f t="array" ref="Q195">CharToUTF8(A195)</f>
        <v>\xCB\x86</v>
      </c>
      <c r="S195" s="18" t="str">
        <f>$AG$2</f>
        <v>EMPTY</v>
      </c>
      <c r="T195" s="24" t="str">
        <f>$AG$3</f>
        <v>DIAG_BOTH</v>
      </c>
      <c r="U195" s="24" t="str">
        <f>$AG$2</f>
        <v>EMPTY</v>
      </c>
      <c r="V195" s="21" t="str">
        <f>$AG$2</f>
        <v>EMPTY</v>
      </c>
      <c r="X195" s="31" t="b">
        <f t="shared" ref="X195:X202" si="61">IF($N195,C195=E195,"")</f>
        <v>0</v>
      </c>
      <c r="Y195" s="31" t="b">
        <f t="shared" ref="Y195:Y202" si="62">IF($N195,C195=G195,"")</f>
        <v>0</v>
      </c>
      <c r="Z195" t="b">
        <f t="shared" ref="Z195:Z202" si="63">IF($N195,C195=I195,"")</f>
        <v>0</v>
      </c>
      <c r="AA195" t="b">
        <f t="shared" ref="AA195:AA202" si="64">IF($N195,C195=K195,"")</f>
        <v>1</v>
      </c>
      <c r="AB195" t="b">
        <f>IF($N195,S195=VLOOKUP(S195,$AG$2:$AL$10,4,FALSE),"")</f>
        <v>1</v>
      </c>
      <c r="AC195" t="b">
        <f>IF($N195,T195=VLOOKUP(T195,$AG$2:$AL$10,4,FALSE),"")</f>
        <v>1</v>
      </c>
      <c r="AD195" t="b">
        <f>IF($N195,U195=VLOOKUP(U195,$AG$2:$AL$10,5,FALSE),"")</f>
        <v>1</v>
      </c>
      <c r="AE195" t="b">
        <f>IF($N195,V195=VLOOKUP(V195,$AG$2:$AL$10,5,FALSE),"")</f>
        <v>1</v>
      </c>
      <c r="AN195" s="55" t="str">
        <f t="shared" si="57"/>
        <v xml:space="preserve">    { wxString::FromUTF8("\xCB\x86"), &amp;AllGlyphs[189], &amp;AllGlyphs[188], &amp;AllGlyphs[188], &amp;AllGlyphs[182], Connection::EMPTY, Connection::DIAG_BOTH, Connection::EMPTY, Connection::EMPTY, 0, 0, 0, 1 },</v>
      </c>
      <c r="AO195" s="56"/>
      <c r="AP195" s="56"/>
      <c r="AQ195" s="56"/>
      <c r="AR195" s="56"/>
      <c r="AS195" s="56"/>
      <c r="AT195" s="56"/>
      <c r="AU195" s="57"/>
      <c r="AW195" s="54" t="str">
        <f t="shared" ref="AW195:AW202" si="65">IF($N195,"&amp;AllGlyphs[" &amp; E195 &amp; "]","")</f>
        <v>&amp;AllGlyphs[189]</v>
      </c>
      <c r="AX195" s="54" t="str">
        <f t="shared" ref="AX195:AX202" si="66">IF($N195,"&amp;AllGlyphs[" &amp; G195 &amp; "]","")</f>
        <v>&amp;AllGlyphs[188]</v>
      </c>
      <c r="AY195" s="54" t="str">
        <f t="shared" ref="AY195:AY202" si="67">IF($N195,"&amp;AllGlyphs[" &amp; I195 &amp; "]","")</f>
        <v>&amp;AllGlyphs[188]</v>
      </c>
      <c r="AZ195" s="54" t="str">
        <f t="shared" ref="AZ195:AZ202" si="68">IF($N195,"&amp;AllGlyphs[" &amp; K195 &amp; "]","")</f>
        <v>&amp;AllGlyphs[182]</v>
      </c>
      <c r="BB195" s="64">
        <f t="shared" ref="BB195:BB202" si="69">IF($N195,IF(X195,1,0),"")</f>
        <v>0</v>
      </c>
      <c r="BC195" s="64">
        <f t="shared" ref="BC195:BC202" si="70">IF($N195,IF(Y195,1,0),"")</f>
        <v>0</v>
      </c>
      <c r="BD195" s="64">
        <f t="shared" ref="BD195:BD202" si="71">IF($N195,IF(Z195,1,0),"")</f>
        <v>0</v>
      </c>
      <c r="BE195" s="64">
        <f t="shared" ref="BE195:BE202" si="72">IF($N195,IF(AA195,1,0),"")</f>
        <v>1</v>
      </c>
    </row>
    <row r="196" spans="1:57" x14ac:dyDescent="0.4">
      <c r="A196" s="7" t="s">
        <v>190</v>
      </c>
      <c r="B196" s="6" t="str">
        <f t="shared" si="58"/>
        <v>‚</v>
      </c>
      <c r="C196" s="48" cm="1">
        <f t="array" ref="C196">IF($N196,INDEX($O:$O,MATCH(TRUE,EXACT(B196,$A:$A),0)),"")</f>
        <v>183</v>
      </c>
      <c r="D196" s="38" t="s">
        <v>187</v>
      </c>
      <c r="E196" s="48" cm="1">
        <f t="array" ref="E196">IF($N196,INDEX($O:$O,MATCH(TRUE,EXACT(D196,$A:$A),0)),"")</f>
        <v>180</v>
      </c>
      <c r="F196" s="38" t="s">
        <v>190</v>
      </c>
      <c r="G196" s="48" cm="1">
        <f t="array" ref="G196">IF($O196&lt;&gt;"",INDEX($O:$O,MATCH(TRUE,EXACT(F196,$A:$A),0)),"")</f>
        <v>183</v>
      </c>
      <c r="H196" s="38" t="s">
        <v>190</v>
      </c>
      <c r="I196" s="48" cm="1">
        <f t="array" ref="I196">IF($N196,INDEX($O:$O,MATCH(TRUE,EXACT(H196,$A:$A),0)),"")</f>
        <v>183</v>
      </c>
      <c r="J196" s="38" t="s">
        <v>190</v>
      </c>
      <c r="K196" s="52" cm="1">
        <f t="array" ref="K196">IF($N196,INDEX($O:$O,MATCH(TRUE,EXACT(J196,$A:$A),0)),"")</f>
        <v>183</v>
      </c>
      <c r="L196" s="23"/>
      <c r="M196" s="33"/>
      <c r="N196" s="18" t="b">
        <f t="shared" si="60"/>
        <v>1</v>
      </c>
      <c r="O196" s="19">
        <f>IF(N196, MAX(O$2:O195)+1,"")</f>
        <v>183</v>
      </c>
      <c r="P196" s="23" t="str">
        <f t="shared" si="59"/>
        <v>‚</v>
      </c>
      <c r="Q196" s="8" t="str" cm="1">
        <f t="array" ref="Q196">CharToUTF8(A196)</f>
        <v>\xE2\x80\x9A</v>
      </c>
      <c r="S196" s="18" t="str">
        <f>$AG$4</f>
        <v>ORTHO_BOTH</v>
      </c>
      <c r="T196" s="24" t="str">
        <f>$AG$4</f>
        <v>ORTHO_BOTH</v>
      </c>
      <c r="U196" s="24" t="str">
        <f>$AG$2</f>
        <v>EMPTY</v>
      </c>
      <c r="V196" s="21" t="str">
        <f>$AG$2</f>
        <v>EMPTY</v>
      </c>
      <c r="X196" s="31" t="b">
        <f t="shared" si="61"/>
        <v>0</v>
      </c>
      <c r="Y196" s="31" t="b">
        <f t="shared" si="62"/>
        <v>1</v>
      </c>
      <c r="Z196" t="b">
        <f t="shared" si="63"/>
        <v>1</v>
      </c>
      <c r="AA196" t="b">
        <f t="shared" si="64"/>
        <v>1</v>
      </c>
      <c r="AB196" t="b">
        <f>IF($N196,S196=VLOOKUP(S196,$AG$2:$AL$10,4,FALSE),"")</f>
        <v>1</v>
      </c>
      <c r="AC196" t="b">
        <f>IF($N196,T196=VLOOKUP(T196,$AG$2:$AL$10,4,FALSE),"")</f>
        <v>1</v>
      </c>
      <c r="AD196" t="b">
        <f>IF($N196,U196=VLOOKUP(U196,$AG$2:$AL$10,5,FALSE),"")</f>
        <v>1</v>
      </c>
      <c r="AE196" t="b">
        <f>IF($N196,V196=VLOOKUP(V196,$AG$2:$AL$10,5,FALSE),"")</f>
        <v>1</v>
      </c>
      <c r="AN196" s="55" t="str">
        <f t="shared" si="57"/>
        <v xml:space="preserve">    { wxString::FromUTF8("\xE2\x80\x9A"), &amp;AllGlyphs[180], &amp;AllGlyphs[183], &amp;AllGlyphs[183], &amp;AllGlyphs[183], Connection::ORTHO_BOTH, Connection::ORTHO_BOTH, Connection::EMPTY, Connection::EMPTY, 0, 1, 1, 1 },</v>
      </c>
      <c r="AO196" s="56"/>
      <c r="AP196" s="56"/>
      <c r="AQ196" s="56"/>
      <c r="AR196" s="56"/>
      <c r="AS196" s="56"/>
      <c r="AT196" s="56"/>
      <c r="AU196" s="57"/>
      <c r="AW196" s="54" t="str">
        <f t="shared" si="65"/>
        <v>&amp;AllGlyphs[180]</v>
      </c>
      <c r="AX196" s="54" t="str">
        <f t="shared" si="66"/>
        <v>&amp;AllGlyphs[183]</v>
      </c>
      <c r="AY196" s="54" t="str">
        <f t="shared" si="67"/>
        <v>&amp;AllGlyphs[183]</v>
      </c>
      <c r="AZ196" s="54" t="str">
        <f t="shared" si="68"/>
        <v>&amp;AllGlyphs[183]</v>
      </c>
      <c r="BB196" s="64">
        <f t="shared" si="69"/>
        <v>0</v>
      </c>
      <c r="BC196" s="64">
        <f t="shared" si="70"/>
        <v>1</v>
      </c>
      <c r="BD196" s="64">
        <f t="shared" si="71"/>
        <v>1</v>
      </c>
      <c r="BE196" s="64">
        <f t="shared" si="72"/>
        <v>1</v>
      </c>
    </row>
    <row r="197" spans="1:57" x14ac:dyDescent="0.4">
      <c r="A197" s="7" t="s">
        <v>191</v>
      </c>
      <c r="B197" s="6" t="str">
        <f t="shared" si="58"/>
        <v>„</v>
      </c>
      <c r="C197" s="48" cm="1">
        <f t="array" ref="C197">IF($N197,INDEX($O:$O,MATCH(TRUE,EXACT(B197,$A:$A),0)),"")</f>
        <v>184</v>
      </c>
      <c r="D197" s="38" t="s">
        <v>194</v>
      </c>
      <c r="E197" s="48" cm="1">
        <f t="array" ref="E197">IF($N197,INDEX($O:$O,MATCH(TRUE,EXACT(D197,$A:$A),0)),"")</f>
        <v>187</v>
      </c>
      <c r="F197" s="38" t="s">
        <v>193</v>
      </c>
      <c r="G197" s="48" cm="1">
        <f t="array" ref="G197">IF($O197&lt;&gt;"",INDEX($O:$O,MATCH(TRUE,EXACT(F197,$A:$A),0)),"")</f>
        <v>186</v>
      </c>
      <c r="H197" s="38" t="s">
        <v>192</v>
      </c>
      <c r="I197" s="48" cm="1">
        <f t="array" ref="I197">IF($N197,INDEX($O:$O,MATCH(TRUE,EXACT(H197,$A:$A),0)),"")</f>
        <v>185</v>
      </c>
      <c r="J197" s="38" t="s">
        <v>194</v>
      </c>
      <c r="K197" s="52" cm="1">
        <f t="array" ref="K197">IF($N197,INDEX($O:$O,MATCH(TRUE,EXACT(J197,$A:$A),0)),"")</f>
        <v>187</v>
      </c>
      <c r="L197" s="23"/>
      <c r="M197" s="33"/>
      <c r="N197" s="18" t="b">
        <f t="shared" si="60"/>
        <v>1</v>
      </c>
      <c r="O197" s="19">
        <f>IF(N197, MAX(O$2:O196)+1,"")</f>
        <v>184</v>
      </c>
      <c r="P197" s="23" t="str">
        <f t="shared" si="59"/>
        <v>„</v>
      </c>
      <c r="Q197" s="8" t="str" cm="1">
        <f t="array" ref="Q197">CharToUTF8(A197)</f>
        <v>\xE2\x80\x9E</v>
      </c>
      <c r="S197" s="18" t="str">
        <f>$AG$2</f>
        <v>EMPTY</v>
      </c>
      <c r="T197" s="24" t="str">
        <f>$AG$3</f>
        <v>DIAG_BOTH</v>
      </c>
      <c r="U197" s="24" t="str">
        <f>$AG$2</f>
        <v>EMPTY</v>
      </c>
      <c r="V197" s="21" t="str">
        <f>$AG$3</f>
        <v>DIAG_BOTH</v>
      </c>
      <c r="X197" s="31" t="b">
        <f t="shared" si="61"/>
        <v>0</v>
      </c>
      <c r="Y197" s="31" t="b">
        <f t="shared" si="62"/>
        <v>0</v>
      </c>
      <c r="Z197" t="b">
        <f t="shared" si="63"/>
        <v>0</v>
      </c>
      <c r="AA197" t="b">
        <f t="shared" si="64"/>
        <v>0</v>
      </c>
      <c r="AB197" t="b">
        <f>IF($N197,S197=VLOOKUP(S197,$AG$2:$AL$10,4,FALSE),"")</f>
        <v>1</v>
      </c>
      <c r="AC197" t="b">
        <f>IF($N197,T197=VLOOKUP(T197,$AG$2:$AL$10,4,FALSE),"")</f>
        <v>1</v>
      </c>
      <c r="AD197" t="b">
        <f>IF($N197,U197=VLOOKUP(U197,$AG$2:$AL$10,5,FALSE),"")</f>
        <v>1</v>
      </c>
      <c r="AE197" t="b">
        <f>IF($N197,V197=VLOOKUP(V197,$AG$2:$AL$10,5,FALSE),"")</f>
        <v>1</v>
      </c>
      <c r="AG197" s="1"/>
      <c r="AN197" s="55" t="str">
        <f t="shared" si="57"/>
        <v xml:space="preserve">    { wxString::FromUTF8("\xE2\x80\x9E"), &amp;AllGlyphs[187], &amp;AllGlyphs[186], &amp;AllGlyphs[185], &amp;AllGlyphs[187], Connection::EMPTY, Connection::DIAG_BOTH, Connection::EMPTY, Connection::DIAG_BOTH, 0, 0, 0, 0 },</v>
      </c>
      <c r="AO197" s="56"/>
      <c r="AP197" s="56"/>
      <c r="AQ197" s="56"/>
      <c r="AR197" s="56"/>
      <c r="AS197" s="56"/>
      <c r="AT197" s="56"/>
      <c r="AU197" s="57"/>
      <c r="AW197" s="54" t="str">
        <f t="shared" si="65"/>
        <v>&amp;AllGlyphs[187]</v>
      </c>
      <c r="AX197" s="54" t="str">
        <f t="shared" si="66"/>
        <v>&amp;AllGlyphs[186]</v>
      </c>
      <c r="AY197" s="54" t="str">
        <f t="shared" si="67"/>
        <v>&amp;AllGlyphs[185]</v>
      </c>
      <c r="AZ197" s="54" t="str">
        <f t="shared" si="68"/>
        <v>&amp;AllGlyphs[187]</v>
      </c>
      <c r="BB197" s="64">
        <f t="shared" si="69"/>
        <v>0</v>
      </c>
      <c r="BC197" s="64">
        <f t="shared" si="70"/>
        <v>0</v>
      </c>
      <c r="BD197" s="64">
        <f t="shared" si="71"/>
        <v>0</v>
      </c>
      <c r="BE197" s="64">
        <f t="shared" si="72"/>
        <v>0</v>
      </c>
    </row>
    <row r="198" spans="1:57" x14ac:dyDescent="0.4">
      <c r="A198" s="7" t="s">
        <v>192</v>
      </c>
      <c r="B198" s="6" t="str">
        <f t="shared" si="58"/>
        <v>†</v>
      </c>
      <c r="C198" s="48" cm="1">
        <f t="array" ref="C198">IF($N198,INDEX($O:$O,MATCH(TRUE,EXACT(B198,$A:$A),0)),"")</f>
        <v>185</v>
      </c>
      <c r="D198" s="38" t="s">
        <v>191</v>
      </c>
      <c r="E198" s="48" cm="1">
        <f t="array" ref="E198">IF($N198,INDEX($O:$O,MATCH(TRUE,EXACT(D198,$A:$A),0)),"")</f>
        <v>184</v>
      </c>
      <c r="F198" s="38" t="s">
        <v>194</v>
      </c>
      <c r="G198" s="48" cm="1">
        <f t="array" ref="G198">IF($O198&lt;&gt;"",INDEX($O:$O,MATCH(TRUE,EXACT(F198,$A:$A),0)),"")</f>
        <v>187</v>
      </c>
      <c r="H198" s="38" t="s">
        <v>191</v>
      </c>
      <c r="I198" s="48" cm="1">
        <f t="array" ref="I198">IF($N198,INDEX($O:$O,MATCH(TRUE,EXACT(H198,$A:$A),0)),"")</f>
        <v>184</v>
      </c>
      <c r="J198" s="38" t="s">
        <v>193</v>
      </c>
      <c r="K198" s="52" cm="1">
        <f t="array" ref="K198">IF($N198,INDEX($O:$O,MATCH(TRUE,EXACT(J198,$A:$A),0)),"")</f>
        <v>186</v>
      </c>
      <c r="L198" s="23"/>
      <c r="M198" s="33"/>
      <c r="N198" s="18" t="b">
        <f t="shared" si="60"/>
        <v>1</v>
      </c>
      <c r="O198" s="19">
        <f>IF(N198, MAX(O$2:O197)+1,"")</f>
        <v>185</v>
      </c>
      <c r="P198" s="23" t="str">
        <f t="shared" si="59"/>
        <v>†</v>
      </c>
      <c r="Q198" s="8" t="str" cm="1">
        <f t="array" ref="Q198">CharToUTF8(A198)</f>
        <v>\xE2\x80\xA0</v>
      </c>
      <c r="S198" s="18" t="str">
        <f>$AG$3</f>
        <v>DIAG_BOTH</v>
      </c>
      <c r="T198" s="24" t="str">
        <f>$AG$2</f>
        <v>EMPTY</v>
      </c>
      <c r="U198" s="24" t="str">
        <f>$AG$2</f>
        <v>EMPTY</v>
      </c>
      <c r="V198" s="21" t="str">
        <f>$AG$3</f>
        <v>DIAG_BOTH</v>
      </c>
      <c r="X198" s="31" t="b">
        <f t="shared" si="61"/>
        <v>0</v>
      </c>
      <c r="Y198" s="31" t="b">
        <f t="shared" si="62"/>
        <v>0</v>
      </c>
      <c r="Z198" t="b">
        <f t="shared" si="63"/>
        <v>0</v>
      </c>
      <c r="AA198" t="b">
        <f t="shared" si="64"/>
        <v>0</v>
      </c>
      <c r="AB198" t="b">
        <f>IF($N198,S198=VLOOKUP(S198,$AG$2:$AL$10,4,FALSE),"")</f>
        <v>1</v>
      </c>
      <c r="AC198" t="b">
        <f>IF($N198,T198=VLOOKUP(T198,$AG$2:$AL$10,4,FALSE),"")</f>
        <v>1</v>
      </c>
      <c r="AD198" t="b">
        <f>IF($N198,U198=VLOOKUP(U198,$AG$2:$AL$10,5,FALSE),"")</f>
        <v>1</v>
      </c>
      <c r="AE198" t="b">
        <f>IF($N198,V198=VLOOKUP(V198,$AG$2:$AL$10,5,FALSE),"")</f>
        <v>1</v>
      </c>
      <c r="AG198" s="1"/>
      <c r="AN198" s="55" t="str">
        <f t="shared" si="57"/>
        <v xml:space="preserve">    { wxString::FromUTF8("\xE2\x80\xA0"), &amp;AllGlyphs[184], &amp;AllGlyphs[187], &amp;AllGlyphs[184], &amp;AllGlyphs[186], Connection::DIAG_BOTH, Connection::EMPTY, Connection::EMPTY, Connection::DIAG_BOTH, 0, 0, 0, 0 },</v>
      </c>
      <c r="AO198" s="56"/>
      <c r="AP198" s="56"/>
      <c r="AQ198" s="56"/>
      <c r="AR198" s="56"/>
      <c r="AS198" s="56"/>
      <c r="AT198" s="56"/>
      <c r="AU198" s="57"/>
      <c r="AW198" s="54" t="str">
        <f t="shared" si="65"/>
        <v>&amp;AllGlyphs[184]</v>
      </c>
      <c r="AX198" s="54" t="str">
        <f t="shared" si="66"/>
        <v>&amp;AllGlyphs[187]</v>
      </c>
      <c r="AY198" s="54" t="str">
        <f t="shared" si="67"/>
        <v>&amp;AllGlyphs[184]</v>
      </c>
      <c r="AZ198" s="54" t="str">
        <f t="shared" si="68"/>
        <v>&amp;AllGlyphs[186]</v>
      </c>
      <c r="BB198" s="64">
        <f t="shared" si="69"/>
        <v>0</v>
      </c>
      <c r="BC198" s="64">
        <f t="shared" si="70"/>
        <v>0</v>
      </c>
      <c r="BD198" s="64">
        <f t="shared" si="71"/>
        <v>0</v>
      </c>
      <c r="BE198" s="64">
        <f t="shared" si="72"/>
        <v>0</v>
      </c>
    </row>
    <row r="199" spans="1:57" x14ac:dyDescent="0.4">
      <c r="A199" s="7" t="s">
        <v>193</v>
      </c>
      <c r="B199" s="6" t="str">
        <f t="shared" si="58"/>
        <v>‡</v>
      </c>
      <c r="C199" s="48" cm="1">
        <f t="array" ref="C199">IF($N199,INDEX($O:$O,MATCH(TRUE,EXACT(B199,$A:$A),0)),"")</f>
        <v>186</v>
      </c>
      <c r="D199" s="38" t="s">
        <v>192</v>
      </c>
      <c r="E199" s="48" cm="1">
        <f t="array" ref="E199">IF($N199,INDEX($O:$O,MATCH(TRUE,EXACT(D199,$A:$A),0)),"")</f>
        <v>185</v>
      </c>
      <c r="F199" s="38" t="s">
        <v>191</v>
      </c>
      <c r="G199" s="48" cm="1">
        <f t="array" ref="G199">IF($O199&lt;&gt;"",INDEX($O:$O,MATCH(TRUE,EXACT(F199,$A:$A),0)),"")</f>
        <v>184</v>
      </c>
      <c r="H199" s="38" t="s">
        <v>194</v>
      </c>
      <c r="I199" s="48" cm="1">
        <f t="array" ref="I199">IF($N199,INDEX($O:$O,MATCH(TRUE,EXACT(H199,$A:$A),0)),"")</f>
        <v>187</v>
      </c>
      <c r="J199" s="38" t="s">
        <v>192</v>
      </c>
      <c r="K199" s="52" cm="1">
        <f t="array" ref="K199">IF($N199,INDEX($O:$O,MATCH(TRUE,EXACT(J199,$A:$A),0)),"")</f>
        <v>185</v>
      </c>
      <c r="L199" s="23"/>
      <c r="M199" s="33"/>
      <c r="N199" s="18" t="b">
        <f t="shared" si="60"/>
        <v>1</v>
      </c>
      <c r="O199" s="19">
        <f>IF(N199, MAX(O$2:O198)+1,"")</f>
        <v>186</v>
      </c>
      <c r="P199" s="23" t="str">
        <f t="shared" si="59"/>
        <v>‡</v>
      </c>
      <c r="Q199" s="8" t="str" cm="1">
        <f t="array" ref="Q199">CharToUTF8(A199)</f>
        <v>\xE2\x80\xA1</v>
      </c>
      <c r="S199" s="18" t="str">
        <f>$AG$3</f>
        <v>DIAG_BOTH</v>
      </c>
      <c r="T199" s="24" t="str">
        <f>$AG$2</f>
        <v>EMPTY</v>
      </c>
      <c r="U199" s="24" t="str">
        <f>$AG$3</f>
        <v>DIAG_BOTH</v>
      </c>
      <c r="V199" s="21" t="str">
        <f>$AG$2</f>
        <v>EMPTY</v>
      </c>
      <c r="X199" s="31" t="b">
        <f t="shared" si="61"/>
        <v>0</v>
      </c>
      <c r="Y199" s="31" t="b">
        <f t="shared" si="62"/>
        <v>0</v>
      </c>
      <c r="Z199" t="b">
        <f t="shared" si="63"/>
        <v>0</v>
      </c>
      <c r="AA199" t="b">
        <f t="shared" si="64"/>
        <v>0</v>
      </c>
      <c r="AB199" t="b">
        <f>IF($N199,S199=VLOOKUP(S199,$AG$2:$AL$10,4,FALSE),"")</f>
        <v>1</v>
      </c>
      <c r="AC199" t="b">
        <f>IF($N199,T199=VLOOKUP(T199,$AG$2:$AL$10,4,FALSE),"")</f>
        <v>1</v>
      </c>
      <c r="AD199" t="b">
        <f>IF($N199,U199=VLOOKUP(U199,$AG$2:$AL$10,5,FALSE),"")</f>
        <v>1</v>
      </c>
      <c r="AE199" t="b">
        <f>IF($N199,V199=VLOOKUP(V199,$AG$2:$AL$10,5,FALSE),"")</f>
        <v>1</v>
      </c>
      <c r="AG199" s="1"/>
      <c r="AN199" s="55" t="str">
        <f t="shared" si="57"/>
        <v xml:space="preserve">    { wxString::FromUTF8("\xE2\x80\xA1"), &amp;AllGlyphs[185], &amp;AllGlyphs[184], &amp;AllGlyphs[187], &amp;AllGlyphs[185], Connection::DIAG_BOTH, Connection::EMPTY, Connection::DIAG_BOTH, Connection::EMPTY, 0, 0, 0, 0 },</v>
      </c>
      <c r="AO199" s="56"/>
      <c r="AP199" s="56"/>
      <c r="AQ199" s="56"/>
      <c r="AR199" s="56"/>
      <c r="AS199" s="56"/>
      <c r="AT199" s="56"/>
      <c r="AU199" s="57"/>
      <c r="AW199" s="54" t="str">
        <f t="shared" si="65"/>
        <v>&amp;AllGlyphs[185]</v>
      </c>
      <c r="AX199" s="54" t="str">
        <f t="shared" si="66"/>
        <v>&amp;AllGlyphs[184]</v>
      </c>
      <c r="AY199" s="54" t="str">
        <f t="shared" si="67"/>
        <v>&amp;AllGlyphs[187]</v>
      </c>
      <c r="AZ199" s="54" t="str">
        <f t="shared" si="68"/>
        <v>&amp;AllGlyphs[185]</v>
      </c>
      <c r="BB199" s="64">
        <f t="shared" si="69"/>
        <v>0</v>
      </c>
      <c r="BC199" s="64">
        <f t="shared" si="70"/>
        <v>0</v>
      </c>
      <c r="BD199" s="64">
        <f t="shared" si="71"/>
        <v>0</v>
      </c>
      <c r="BE199" s="64">
        <f t="shared" si="72"/>
        <v>0</v>
      </c>
    </row>
    <row r="200" spans="1:57" x14ac:dyDescent="0.4">
      <c r="A200" s="7" t="s">
        <v>194</v>
      </c>
      <c r="B200" s="6" t="str">
        <f t="shared" si="58"/>
        <v>…</v>
      </c>
      <c r="C200" s="48" cm="1">
        <f t="array" ref="C200">IF($N200,INDEX($O:$O,MATCH(TRUE,EXACT(B200,$A:$A),0)),"")</f>
        <v>187</v>
      </c>
      <c r="D200" s="38" t="s">
        <v>193</v>
      </c>
      <c r="E200" s="48" cm="1">
        <f t="array" ref="E200">IF($N200,INDEX($O:$O,MATCH(TRUE,EXACT(D200,$A:$A),0)),"")</f>
        <v>186</v>
      </c>
      <c r="F200" s="38" t="s">
        <v>192</v>
      </c>
      <c r="G200" s="48" cm="1">
        <f t="array" ref="G200">IF($O200&lt;&gt;"",INDEX($O:$O,MATCH(TRUE,EXACT(F200,$A:$A),0)),"")</f>
        <v>185</v>
      </c>
      <c r="H200" s="38" t="s">
        <v>193</v>
      </c>
      <c r="I200" s="48" cm="1">
        <f t="array" ref="I200">IF($N200,INDEX($O:$O,MATCH(TRUE,EXACT(H200,$A:$A),0)),"")</f>
        <v>186</v>
      </c>
      <c r="J200" s="38" t="s">
        <v>191</v>
      </c>
      <c r="K200" s="52" cm="1">
        <f t="array" ref="K200">IF($N200,INDEX($O:$O,MATCH(TRUE,EXACT(J200,$A:$A),0)),"")</f>
        <v>184</v>
      </c>
      <c r="L200" s="23"/>
      <c r="M200" s="33"/>
      <c r="N200" s="18" t="b">
        <f t="shared" si="60"/>
        <v>1</v>
      </c>
      <c r="O200" s="19">
        <f>IF(N200, MAX(O$2:O199)+1,"")</f>
        <v>187</v>
      </c>
      <c r="P200" s="23" t="str">
        <f t="shared" si="59"/>
        <v>…</v>
      </c>
      <c r="Q200" s="8" t="str" cm="1">
        <f t="array" ref="Q200">CharToUTF8(A200)</f>
        <v>\xE2\x80\xA6</v>
      </c>
      <c r="S200" s="18" t="str">
        <f>$AG$2</f>
        <v>EMPTY</v>
      </c>
      <c r="T200" s="24" t="str">
        <f>$AG$3</f>
        <v>DIAG_BOTH</v>
      </c>
      <c r="U200" s="24" t="str">
        <f>$AG$3</f>
        <v>DIAG_BOTH</v>
      </c>
      <c r="V200" s="21" t="str">
        <f>$AG$2</f>
        <v>EMPTY</v>
      </c>
      <c r="X200" s="31" t="b">
        <f t="shared" si="61"/>
        <v>0</v>
      </c>
      <c r="Y200" s="31" t="b">
        <f t="shared" si="62"/>
        <v>0</v>
      </c>
      <c r="Z200" t="b">
        <f t="shared" si="63"/>
        <v>0</v>
      </c>
      <c r="AA200" t="b">
        <f t="shared" si="64"/>
        <v>0</v>
      </c>
      <c r="AB200" t="b">
        <f>IF($N200,S200=VLOOKUP(S200,$AG$2:$AL$10,4,FALSE),"")</f>
        <v>1</v>
      </c>
      <c r="AC200" t="b">
        <f>IF($N200,T200=VLOOKUP(T200,$AG$2:$AL$10,4,FALSE),"")</f>
        <v>1</v>
      </c>
      <c r="AD200" t="b">
        <f>IF($N200,U200=VLOOKUP(U200,$AG$2:$AL$10,5,FALSE),"")</f>
        <v>1</v>
      </c>
      <c r="AE200" t="b">
        <f>IF($N200,V200=VLOOKUP(V200,$AG$2:$AL$10,5,FALSE),"")</f>
        <v>1</v>
      </c>
      <c r="AG200" s="1"/>
      <c r="AN200" s="55" t="str">
        <f t="shared" si="57"/>
        <v xml:space="preserve">    { wxString::FromUTF8("\xE2\x80\xA6"), &amp;AllGlyphs[186], &amp;AllGlyphs[185], &amp;AllGlyphs[186], &amp;AllGlyphs[184], Connection::EMPTY, Connection::DIAG_BOTH, Connection::DIAG_BOTH, Connection::EMPTY, 0, 0, 0, 0 },</v>
      </c>
      <c r="AO200" s="56"/>
      <c r="AP200" s="56"/>
      <c r="AQ200" s="56"/>
      <c r="AR200" s="56"/>
      <c r="AS200" s="56"/>
      <c r="AT200" s="56"/>
      <c r="AU200" s="57"/>
      <c r="AW200" s="54" t="str">
        <f t="shared" si="65"/>
        <v>&amp;AllGlyphs[186]</v>
      </c>
      <c r="AX200" s="54" t="str">
        <f t="shared" si="66"/>
        <v>&amp;AllGlyphs[185]</v>
      </c>
      <c r="AY200" s="54" t="str">
        <f t="shared" si="67"/>
        <v>&amp;AllGlyphs[186]</v>
      </c>
      <c r="AZ200" s="54" t="str">
        <f t="shared" si="68"/>
        <v>&amp;AllGlyphs[184]</v>
      </c>
      <c r="BB200" s="64">
        <f t="shared" si="69"/>
        <v>0</v>
      </c>
      <c r="BC200" s="64">
        <f t="shared" si="70"/>
        <v>0</v>
      </c>
      <c r="BD200" s="64">
        <f t="shared" si="71"/>
        <v>0</v>
      </c>
      <c r="BE200" s="64">
        <f t="shared" si="72"/>
        <v>0</v>
      </c>
    </row>
    <row r="201" spans="1:57" x14ac:dyDescent="0.4">
      <c r="A201" s="7" t="s">
        <v>195</v>
      </c>
      <c r="B201" s="6" t="str">
        <f t="shared" si="58"/>
        <v>‰</v>
      </c>
      <c r="C201" s="48" cm="1">
        <f t="array" ref="C201">IF($N201,INDEX($O:$O,MATCH(TRUE,EXACT(B201,$A:$A),0)),"")</f>
        <v>188</v>
      </c>
      <c r="D201" s="38" t="s">
        <v>188</v>
      </c>
      <c r="E201" s="48" cm="1">
        <f t="array" ref="E201">IF($N201,INDEX($O:$O,MATCH(TRUE,EXACT(D201,$A:$A),0)),"")</f>
        <v>181</v>
      </c>
      <c r="F201" s="38" t="s">
        <v>189</v>
      </c>
      <c r="G201" s="48" cm="1">
        <f t="array" ref="G201">IF($O201&lt;&gt;"",INDEX($O:$O,MATCH(TRUE,EXACT(F201,$A:$A),0)),"")</f>
        <v>182</v>
      </c>
      <c r="H201" s="38" t="s">
        <v>189</v>
      </c>
      <c r="I201" s="48" cm="1">
        <f t="array" ref="I201">IF($N201,INDEX($O:$O,MATCH(TRUE,EXACT(H201,$A:$A),0)),"")</f>
        <v>182</v>
      </c>
      <c r="J201" s="38" t="s">
        <v>195</v>
      </c>
      <c r="K201" s="52" cm="1">
        <f t="array" ref="K201">IF($N201,INDEX($O:$O,MATCH(TRUE,EXACT(J201,$A:$A),0)),"")</f>
        <v>188</v>
      </c>
      <c r="L201" s="23"/>
      <c r="M201" s="33"/>
      <c r="N201" s="18" t="b">
        <f t="shared" si="60"/>
        <v>1</v>
      </c>
      <c r="O201" s="19">
        <f>IF(N201, MAX(O$2:O200)+1,"")</f>
        <v>188</v>
      </c>
      <c r="P201" s="23" t="str">
        <f t="shared" si="59"/>
        <v>‰</v>
      </c>
      <c r="Q201" s="8" t="str" cm="1">
        <f t="array" ref="Q201">CharToUTF8(A201)</f>
        <v>\xE2\x80\xB0</v>
      </c>
      <c r="S201" s="18" t="str">
        <f>$AG$3</f>
        <v>DIAG_BOTH</v>
      </c>
      <c r="T201" s="24" t="str">
        <f>$AG$2</f>
        <v>EMPTY</v>
      </c>
      <c r="U201" s="24" t="str">
        <f>$AG$2</f>
        <v>EMPTY</v>
      </c>
      <c r="V201" s="21" t="str">
        <f>$AG$2</f>
        <v>EMPTY</v>
      </c>
      <c r="X201" s="31" t="b">
        <f t="shared" si="61"/>
        <v>0</v>
      </c>
      <c r="Y201" s="31" t="b">
        <f t="shared" si="62"/>
        <v>0</v>
      </c>
      <c r="Z201" t="b">
        <f t="shared" si="63"/>
        <v>0</v>
      </c>
      <c r="AA201" t="b">
        <f t="shared" si="64"/>
        <v>1</v>
      </c>
      <c r="AB201" t="b">
        <f>IF($N201,S201=VLOOKUP(S201,$AG$2:$AL$10,4,FALSE),"")</f>
        <v>1</v>
      </c>
      <c r="AC201" t="b">
        <f>IF($N201,T201=VLOOKUP(T201,$AG$2:$AL$10,4,FALSE),"")</f>
        <v>1</v>
      </c>
      <c r="AD201" t="b">
        <f>IF($N201,U201=VLOOKUP(U201,$AG$2:$AL$10,5,FALSE),"")</f>
        <v>1</v>
      </c>
      <c r="AE201" t="b">
        <f>IF($N201,V201=VLOOKUP(V201,$AG$2:$AL$10,5,FALSE),"")</f>
        <v>1</v>
      </c>
      <c r="AG201" s="1"/>
      <c r="AN201" s="55" t="str">
        <f t="shared" si="57"/>
        <v xml:space="preserve">    { wxString::FromUTF8("\xE2\x80\xB0"), &amp;AllGlyphs[181], &amp;AllGlyphs[182], &amp;AllGlyphs[182], &amp;AllGlyphs[188], Connection::DIAG_BOTH, Connection::EMPTY, Connection::EMPTY, Connection::EMPTY, 0, 0, 0, 1 },</v>
      </c>
      <c r="AO201" s="56"/>
      <c r="AP201" s="56"/>
      <c r="AQ201" s="56"/>
      <c r="AR201" s="56"/>
      <c r="AS201" s="56"/>
      <c r="AT201" s="56"/>
      <c r="AU201" s="57"/>
      <c r="AW201" s="54" t="str">
        <f t="shared" si="65"/>
        <v>&amp;AllGlyphs[181]</v>
      </c>
      <c r="AX201" s="54" t="str">
        <f t="shared" si="66"/>
        <v>&amp;AllGlyphs[182]</v>
      </c>
      <c r="AY201" s="54" t="str">
        <f t="shared" si="67"/>
        <v>&amp;AllGlyphs[182]</v>
      </c>
      <c r="AZ201" s="54" t="str">
        <f t="shared" si="68"/>
        <v>&amp;AllGlyphs[188]</v>
      </c>
      <c r="BB201" s="64">
        <f t="shared" si="69"/>
        <v>0</v>
      </c>
      <c r="BC201" s="64">
        <f t="shared" si="70"/>
        <v>0</v>
      </c>
      <c r="BD201" s="64">
        <f t="shared" si="71"/>
        <v>0</v>
      </c>
      <c r="BE201" s="64">
        <f t="shared" si="72"/>
        <v>1</v>
      </c>
    </row>
    <row r="202" spans="1:57" x14ac:dyDescent="0.4">
      <c r="A202" s="7" t="s">
        <v>196</v>
      </c>
      <c r="B202" s="6" t="str">
        <f t="shared" si="58"/>
        <v>‹</v>
      </c>
      <c r="C202" s="48" cm="1">
        <f t="array" ref="C202">IF($N202,INDEX($O:$O,MATCH(TRUE,EXACT(B202,$A:$A),0)),"")</f>
        <v>189</v>
      </c>
      <c r="D202" s="38" t="s">
        <v>195</v>
      </c>
      <c r="E202" s="48" cm="1">
        <f t="array" ref="E202">IF($N202,INDEX($O:$O,MATCH(TRUE,EXACT(D202,$A:$A),0)),"")</f>
        <v>188</v>
      </c>
      <c r="F202" s="38" t="s">
        <v>188</v>
      </c>
      <c r="G202" s="48" cm="1">
        <f t="array" ref="G202">IF($O202&lt;&gt;"",INDEX($O:$O,MATCH(TRUE,EXACT(F202,$A:$A),0)),"")</f>
        <v>181</v>
      </c>
      <c r="H202" s="38" t="s">
        <v>196</v>
      </c>
      <c r="I202" s="48" cm="1">
        <f t="array" ref="I202">IF($N202,INDEX($O:$O,MATCH(TRUE,EXACT(H202,$A:$A),0)),"")</f>
        <v>189</v>
      </c>
      <c r="J202" s="38" t="s">
        <v>188</v>
      </c>
      <c r="K202" s="52" cm="1">
        <f t="array" ref="K202">IF($N202,INDEX($O:$O,MATCH(TRUE,EXACT(J202,$A:$A),0)),"")</f>
        <v>181</v>
      </c>
      <c r="L202" s="23"/>
      <c r="M202" s="33"/>
      <c r="N202" s="18" t="b">
        <f t="shared" si="60"/>
        <v>1</v>
      </c>
      <c r="O202" s="19">
        <f>IF(N202, MAX(O$2:O201)+1,"")</f>
        <v>189</v>
      </c>
      <c r="P202" s="23" t="str">
        <f t="shared" si="59"/>
        <v>‹</v>
      </c>
      <c r="Q202" s="8" t="str" cm="1">
        <f t="array" ref="Q202">CharToUTF8(A202)</f>
        <v>\xE2\x80\xB9</v>
      </c>
      <c r="S202" s="18" t="str">
        <f>$AG$2</f>
        <v>EMPTY</v>
      </c>
      <c r="T202" s="24" t="str">
        <f>$AG$2</f>
        <v>EMPTY</v>
      </c>
      <c r="U202" s="24" t="str">
        <f>$AG$3</f>
        <v>DIAG_BOTH</v>
      </c>
      <c r="V202" s="21" t="str">
        <f>$AG$2</f>
        <v>EMPTY</v>
      </c>
      <c r="X202" s="31" t="b">
        <f t="shared" si="61"/>
        <v>0</v>
      </c>
      <c r="Y202" s="31" t="b">
        <f t="shared" si="62"/>
        <v>0</v>
      </c>
      <c r="Z202" t="b">
        <f t="shared" si="63"/>
        <v>1</v>
      </c>
      <c r="AA202" t="b">
        <f t="shared" si="64"/>
        <v>0</v>
      </c>
      <c r="AB202" t="b">
        <f>IF($N202,S202=VLOOKUP(S202,$AG$2:$AL$10,4,FALSE),"")</f>
        <v>1</v>
      </c>
      <c r="AC202" t="b">
        <f>IF($N202,T202=VLOOKUP(T202,$AG$2:$AL$10,4,FALSE),"")</f>
        <v>1</v>
      </c>
      <c r="AD202" t="b">
        <f>IF($N202,U202=VLOOKUP(U202,$AG$2:$AL$10,5,FALSE),"")</f>
        <v>1</v>
      </c>
      <c r="AE202" t="b">
        <f>IF($N202,V202=VLOOKUP(V202,$AG$2:$AL$10,5,FALSE),"")</f>
        <v>1</v>
      </c>
      <c r="AG202" s="1"/>
      <c r="AN202" s="55" t="str">
        <f t="shared" si="57"/>
        <v xml:space="preserve">    { wxString::FromUTF8("\xE2\x80\xB9"), &amp;AllGlyphs[188], &amp;AllGlyphs[181], &amp;AllGlyphs[189], &amp;AllGlyphs[181], Connection::EMPTY, Connection::EMPTY, Connection::DIAG_BOTH, Connection::EMPTY, 0, 0, 1, 0 },</v>
      </c>
      <c r="AO202" s="56"/>
      <c r="AP202" s="56"/>
      <c r="AQ202" s="56"/>
      <c r="AR202" s="56"/>
      <c r="AS202" s="56"/>
      <c r="AT202" s="56"/>
      <c r="AU202" s="57"/>
      <c r="AW202" s="54" t="str">
        <f t="shared" si="65"/>
        <v>&amp;AllGlyphs[188]</v>
      </c>
      <c r="AX202" s="54" t="str">
        <f t="shared" si="66"/>
        <v>&amp;AllGlyphs[181]</v>
      </c>
      <c r="AY202" s="54" t="str">
        <f t="shared" si="67"/>
        <v>&amp;AllGlyphs[189]</v>
      </c>
      <c r="AZ202" s="54" t="str">
        <f t="shared" si="68"/>
        <v>&amp;AllGlyphs[181]</v>
      </c>
      <c r="BB202" s="64">
        <f t="shared" si="69"/>
        <v>0</v>
      </c>
      <c r="BC202" s="64">
        <f t="shared" si="70"/>
        <v>0</v>
      </c>
      <c r="BD202" s="64">
        <f t="shared" si="71"/>
        <v>1</v>
      </c>
      <c r="BE202" s="64">
        <f t="shared" si="72"/>
        <v>0</v>
      </c>
    </row>
    <row r="203" spans="1:57" x14ac:dyDescent="0.4">
      <c r="AG203" s="1"/>
    </row>
    <row r="204" spans="1:57" x14ac:dyDescent="0.4">
      <c r="AG204" s="1"/>
    </row>
    <row r="205" spans="1:57" x14ac:dyDescent="0.4">
      <c r="AG205" s="1"/>
    </row>
    <row r="206" spans="1:57" x14ac:dyDescent="0.4">
      <c r="AG206" s="1"/>
    </row>
  </sheetData>
  <autoFilter ref="S1:AA202" xr:uid="{5830F797-49A0-4183-ABF6-6E6516163AA1}"/>
  <mergeCells count="202">
    <mergeCell ref="AN34:AU34"/>
    <mergeCell ref="AN35:AU35"/>
    <mergeCell ref="AN36:AU36"/>
    <mergeCell ref="AN56:AU56"/>
    <mergeCell ref="AN37:AU37"/>
    <mergeCell ref="AN38:AU38"/>
    <mergeCell ref="AN39:AU39"/>
    <mergeCell ref="AN40:AU40"/>
    <mergeCell ref="AN41:AU41"/>
    <mergeCell ref="AN42:AU42"/>
    <mergeCell ref="AN43:AU43"/>
    <mergeCell ref="AN44:AU44"/>
    <mergeCell ref="AN45:AU45"/>
    <mergeCell ref="AN46:AU46"/>
    <mergeCell ref="AN47:AU47"/>
    <mergeCell ref="AN48:AU48"/>
    <mergeCell ref="AN49:AU49"/>
    <mergeCell ref="AN50:AU50"/>
    <mergeCell ref="AN51:AU51"/>
    <mergeCell ref="AN52:AU52"/>
    <mergeCell ref="AN53:AU53"/>
    <mergeCell ref="AN54:AU54"/>
    <mergeCell ref="AN55:AU55"/>
    <mergeCell ref="AN76:AU76"/>
    <mergeCell ref="AN57:AU57"/>
    <mergeCell ref="AN58:AU58"/>
    <mergeCell ref="AN59:AU59"/>
    <mergeCell ref="AN60:AU60"/>
    <mergeCell ref="AN61:AU61"/>
    <mergeCell ref="AN62:AU62"/>
    <mergeCell ref="AN63:AU63"/>
    <mergeCell ref="AN64:AU64"/>
    <mergeCell ref="AN65:AU65"/>
    <mergeCell ref="AN66:AU66"/>
    <mergeCell ref="AN67:AU67"/>
    <mergeCell ref="AN68:AU68"/>
    <mergeCell ref="AN69:AU69"/>
    <mergeCell ref="AN70:AU70"/>
    <mergeCell ref="AN71:AU71"/>
    <mergeCell ref="AN72:AU72"/>
    <mergeCell ref="AN73:AU73"/>
    <mergeCell ref="AN74:AU74"/>
    <mergeCell ref="AN75:AU75"/>
    <mergeCell ref="AN96:AU96"/>
    <mergeCell ref="AN77:AU77"/>
    <mergeCell ref="AN78:AU78"/>
    <mergeCell ref="AN79:AU79"/>
    <mergeCell ref="AN80:AU80"/>
    <mergeCell ref="AN81:AU81"/>
    <mergeCell ref="AN82:AU82"/>
    <mergeCell ref="AN83:AU83"/>
    <mergeCell ref="AN84:AU84"/>
    <mergeCell ref="AN85:AU85"/>
    <mergeCell ref="AN86:AU86"/>
    <mergeCell ref="AN87:AU87"/>
    <mergeCell ref="AN88:AU88"/>
    <mergeCell ref="AN89:AU89"/>
    <mergeCell ref="AN90:AU90"/>
    <mergeCell ref="AN91:AU91"/>
    <mergeCell ref="AN92:AU92"/>
    <mergeCell ref="AN93:AU93"/>
    <mergeCell ref="AN94:AU94"/>
    <mergeCell ref="AN95:AU95"/>
    <mergeCell ref="AN116:AU116"/>
    <mergeCell ref="AN97:AU97"/>
    <mergeCell ref="AN98:AU98"/>
    <mergeCell ref="AN99:AU99"/>
    <mergeCell ref="AN100:AU100"/>
    <mergeCell ref="AN101:AU101"/>
    <mergeCell ref="AN102:AU102"/>
    <mergeCell ref="AN103:AU103"/>
    <mergeCell ref="AN104:AU104"/>
    <mergeCell ref="AN105:AU105"/>
    <mergeCell ref="AN106:AU106"/>
    <mergeCell ref="AN107:AU107"/>
    <mergeCell ref="AN108:AU108"/>
    <mergeCell ref="AN109:AU109"/>
    <mergeCell ref="AN110:AU110"/>
    <mergeCell ref="AN111:AU111"/>
    <mergeCell ref="AN112:AU112"/>
    <mergeCell ref="AN113:AU113"/>
    <mergeCell ref="AN114:AU114"/>
    <mergeCell ref="AN115:AU115"/>
    <mergeCell ref="AN136:AU136"/>
    <mergeCell ref="AN117:AU117"/>
    <mergeCell ref="AN118:AU118"/>
    <mergeCell ref="AN119:AU119"/>
    <mergeCell ref="AN120:AU120"/>
    <mergeCell ref="AN121:AU121"/>
    <mergeCell ref="AN122:AU122"/>
    <mergeCell ref="AN123:AU123"/>
    <mergeCell ref="AN124:AU124"/>
    <mergeCell ref="AN125:AU125"/>
    <mergeCell ref="AN126:AU126"/>
    <mergeCell ref="AN127:AU127"/>
    <mergeCell ref="AN128:AU128"/>
    <mergeCell ref="AN129:AU129"/>
    <mergeCell ref="AN130:AU130"/>
    <mergeCell ref="AN131:AU131"/>
    <mergeCell ref="AN132:AU132"/>
    <mergeCell ref="AN133:AU133"/>
    <mergeCell ref="AN134:AU134"/>
    <mergeCell ref="AN135:AU135"/>
    <mergeCell ref="AN156:AU156"/>
    <mergeCell ref="AN137:AU137"/>
    <mergeCell ref="AN138:AU138"/>
    <mergeCell ref="AN139:AU139"/>
    <mergeCell ref="AN140:AU140"/>
    <mergeCell ref="AN141:AU141"/>
    <mergeCell ref="AN142:AU142"/>
    <mergeCell ref="AN143:AU143"/>
    <mergeCell ref="AN144:AU144"/>
    <mergeCell ref="AN145:AU145"/>
    <mergeCell ref="AN146:AU146"/>
    <mergeCell ref="AN147:AU147"/>
    <mergeCell ref="AN148:AU148"/>
    <mergeCell ref="AN149:AU149"/>
    <mergeCell ref="AN150:AU150"/>
    <mergeCell ref="AN151:AU151"/>
    <mergeCell ref="AN152:AU152"/>
    <mergeCell ref="AN153:AU153"/>
    <mergeCell ref="AN154:AU154"/>
    <mergeCell ref="AN155:AU155"/>
    <mergeCell ref="AN176:AU176"/>
    <mergeCell ref="AN177:AU177"/>
    <mergeCell ref="AN157:AU157"/>
    <mergeCell ref="AN158:AU158"/>
    <mergeCell ref="AN159:AU159"/>
    <mergeCell ref="AN160:AU160"/>
    <mergeCell ref="AN161:AU161"/>
    <mergeCell ref="AN162:AU162"/>
    <mergeCell ref="AN163:AU163"/>
    <mergeCell ref="AN164:AU164"/>
    <mergeCell ref="AN165:AU165"/>
    <mergeCell ref="AN166:AU166"/>
    <mergeCell ref="AN167:AU167"/>
    <mergeCell ref="AN168:AU168"/>
    <mergeCell ref="AN169:AU169"/>
    <mergeCell ref="AN170:AU170"/>
    <mergeCell ref="AN171:AU171"/>
    <mergeCell ref="AN172:AU172"/>
    <mergeCell ref="AN173:AU173"/>
    <mergeCell ref="AN174:AU174"/>
    <mergeCell ref="AN175:AU175"/>
    <mergeCell ref="AN27:AU27"/>
    <mergeCell ref="AN1:AU1"/>
    <mergeCell ref="AN28:AU28"/>
    <mergeCell ref="AN29:AU29"/>
    <mergeCell ref="AN30:AU30"/>
    <mergeCell ref="AN31:AU31"/>
    <mergeCell ref="AN32:AU32"/>
    <mergeCell ref="AN33:AU33"/>
    <mergeCell ref="AN19:AU19"/>
    <mergeCell ref="AN20:AU20"/>
    <mergeCell ref="AN21:AU21"/>
    <mergeCell ref="AN22:AU22"/>
    <mergeCell ref="AN23:AU23"/>
    <mergeCell ref="AN24:AU24"/>
    <mergeCell ref="AN25:AU25"/>
    <mergeCell ref="AN26:AU26"/>
    <mergeCell ref="AN178:AU178"/>
    <mergeCell ref="AN179:AU179"/>
    <mergeCell ref="AN180:AU180"/>
    <mergeCell ref="AN181:AU181"/>
    <mergeCell ref="AN182:AU182"/>
    <mergeCell ref="AN183:AU183"/>
    <mergeCell ref="AN184:AU184"/>
    <mergeCell ref="AN185:AU185"/>
    <mergeCell ref="AN186:AU186"/>
    <mergeCell ref="AN187:AU187"/>
    <mergeCell ref="AN188:AU188"/>
    <mergeCell ref="AN189:AU189"/>
    <mergeCell ref="AN190:AU190"/>
    <mergeCell ref="AN191:AU191"/>
    <mergeCell ref="AN192:AU192"/>
    <mergeCell ref="AN193:AU193"/>
    <mergeCell ref="AN194:AU194"/>
    <mergeCell ref="AN195:AU195"/>
    <mergeCell ref="AN196:AU196"/>
    <mergeCell ref="AN197:AU197"/>
    <mergeCell ref="AN198:AU198"/>
    <mergeCell ref="AN199:AU199"/>
    <mergeCell ref="AN200:AU200"/>
    <mergeCell ref="AN201:AU201"/>
    <mergeCell ref="AN202:AU202"/>
    <mergeCell ref="AN2:AU2"/>
    <mergeCell ref="AN3:AU3"/>
    <mergeCell ref="AN4:AU4"/>
    <mergeCell ref="AN5:AU5"/>
    <mergeCell ref="AN6:AU6"/>
    <mergeCell ref="AN7:AU7"/>
    <mergeCell ref="AN8:AU8"/>
    <mergeCell ref="AN9:AU9"/>
    <mergeCell ref="AN10:AU10"/>
    <mergeCell ref="AN11:AU11"/>
    <mergeCell ref="AN12:AU12"/>
    <mergeCell ref="AN13:AU13"/>
    <mergeCell ref="AN14:AU14"/>
    <mergeCell ref="AN15:AU15"/>
    <mergeCell ref="AN16:AU16"/>
    <mergeCell ref="AN17:AU17"/>
    <mergeCell ref="AN18:AU18"/>
  </mergeCells>
  <phoneticPr fontId="5" type="noConversion"/>
  <conditionalFormatting sqref="AM2:AT2 AI2:AI6 AK2:AK4 AK9:AK10 AF113:AM202 F2:AH2 F10:F12 F15:F17 F19:F27 F29:F32 F3:F8 F34:F42 F44:F80 F82:F94 F96:F185 F193:F202 A2:C202 AM3:AM10 G3:AE202 AV2:XFD202 AN3:AT202 AK11:AM112 AF3:AH112">
    <cfRule type="expression" dxfId="40" priority="47">
      <formula>$N2=FALSE</formula>
    </cfRule>
  </conditionalFormatting>
  <conditionalFormatting sqref="AI9">
    <cfRule type="expression" dxfId="39" priority="51">
      <formula>$N7=FALSE</formula>
    </cfRule>
  </conditionalFormatting>
  <conditionalFormatting sqref="AI7">
    <cfRule type="expression" dxfId="38" priority="53">
      <formula>$N10=FALSE</formula>
    </cfRule>
  </conditionalFormatting>
  <conditionalFormatting sqref="AI10">
    <cfRule type="expression" dxfId="37" priority="55">
      <formula>$N8=FALSE</formula>
    </cfRule>
  </conditionalFormatting>
  <conditionalFormatting sqref="AI8">
    <cfRule type="expression" dxfId="36" priority="56">
      <formula>$N9=FALSE</formula>
    </cfRule>
  </conditionalFormatting>
  <conditionalFormatting sqref="AI9">
    <cfRule type="expression" dxfId="35" priority="58">
      <formula>$N11=FALSE</formula>
    </cfRule>
  </conditionalFormatting>
  <conditionalFormatting sqref="AK5">
    <cfRule type="expression" dxfId="34" priority="60">
      <formula>$N6=FALSE</formula>
    </cfRule>
  </conditionalFormatting>
  <conditionalFormatting sqref="AK6 AK8">
    <cfRule type="expression" dxfId="33" priority="62">
      <formula>$N5=FALSE</formula>
    </cfRule>
  </conditionalFormatting>
  <conditionalFormatting sqref="AK5">
    <cfRule type="expression" dxfId="32" priority="64">
      <formula>$N11=FALSE</formula>
    </cfRule>
  </conditionalFormatting>
  <conditionalFormatting sqref="AK7">
    <cfRule type="expression" dxfId="31" priority="66">
      <formula>$N8=FALSE</formula>
    </cfRule>
  </conditionalFormatting>
  <conditionalFormatting sqref="AL2:AL4">
    <cfRule type="expression" dxfId="30" priority="33">
      <formula>$N2=FALSE</formula>
    </cfRule>
  </conditionalFormatting>
  <conditionalFormatting sqref="AL5">
    <cfRule type="expression" dxfId="29" priority="34">
      <formula>$N6=FALSE</formula>
    </cfRule>
  </conditionalFormatting>
  <conditionalFormatting sqref="AL6">
    <cfRule type="expression" dxfId="28" priority="35">
      <formula>$N5=FALSE</formula>
    </cfRule>
  </conditionalFormatting>
  <conditionalFormatting sqref="AL5">
    <cfRule type="expression" dxfId="27" priority="36">
      <formula>$N11=FALSE</formula>
    </cfRule>
  </conditionalFormatting>
  <conditionalFormatting sqref="AL7">
    <cfRule type="expression" dxfId="26" priority="30">
      <formula>$N5=FALSE</formula>
    </cfRule>
  </conditionalFormatting>
  <conditionalFormatting sqref="AL8">
    <cfRule type="expression" dxfId="25" priority="31">
      <formula>$N6=FALSE</formula>
    </cfRule>
  </conditionalFormatting>
  <conditionalFormatting sqref="AL7">
    <cfRule type="expression" dxfId="24" priority="32">
      <formula>$N9=FALSE</formula>
    </cfRule>
  </conditionalFormatting>
  <conditionalFormatting sqref="AL9">
    <cfRule type="expression" dxfId="23" priority="28">
      <formula>$N12=FALSE</formula>
    </cfRule>
  </conditionalFormatting>
  <conditionalFormatting sqref="AL10">
    <cfRule type="expression" dxfId="22" priority="29">
      <formula>$N11=FALSE</formula>
    </cfRule>
  </conditionalFormatting>
  <conditionalFormatting sqref="D2:E202">
    <cfRule type="expression" dxfId="21" priority="27">
      <formula>$N2=FALSE</formula>
    </cfRule>
  </conditionalFormatting>
  <conditionalFormatting sqref="F9">
    <cfRule type="expression" dxfId="20" priority="26">
      <formula>$N9=FALSE</formula>
    </cfRule>
  </conditionalFormatting>
  <conditionalFormatting sqref="F13">
    <cfRule type="expression" dxfId="19" priority="25">
      <formula>$N13=FALSE</formula>
    </cfRule>
  </conditionalFormatting>
  <conditionalFormatting sqref="F14">
    <cfRule type="expression" dxfId="18" priority="24">
      <formula>$N14=FALSE</formula>
    </cfRule>
  </conditionalFormatting>
  <conditionalFormatting sqref="F18">
    <cfRule type="expression" dxfId="17" priority="23">
      <formula>$N18=FALSE</formula>
    </cfRule>
  </conditionalFormatting>
  <conditionalFormatting sqref="F28">
    <cfRule type="expression" dxfId="16" priority="22">
      <formula>$N28=FALSE</formula>
    </cfRule>
  </conditionalFormatting>
  <conditionalFormatting sqref="F33">
    <cfRule type="expression" dxfId="15" priority="21">
      <formula>$N33=FALSE</formula>
    </cfRule>
  </conditionalFormatting>
  <conditionalFormatting sqref="F43">
    <cfRule type="expression" dxfId="14" priority="20">
      <formula>$N43=FALSE</formula>
    </cfRule>
  </conditionalFormatting>
  <conditionalFormatting sqref="F81">
    <cfRule type="expression" dxfId="13" priority="19">
      <formula>$N81=FALSE</formula>
    </cfRule>
  </conditionalFormatting>
  <conditionalFormatting sqref="F95">
    <cfRule type="expression" dxfId="12" priority="18">
      <formula>$N95=FALSE</formula>
    </cfRule>
  </conditionalFormatting>
  <conditionalFormatting sqref="F186">
    <cfRule type="expression" dxfId="11" priority="17">
      <formula>$N186=FALSE</formula>
    </cfRule>
  </conditionalFormatting>
  <conditionalFormatting sqref="F187">
    <cfRule type="expression" dxfId="10" priority="16">
      <formula>$N187=FALSE</formula>
    </cfRule>
  </conditionalFormatting>
  <conditionalFormatting sqref="F188">
    <cfRule type="expression" dxfId="9" priority="15">
      <formula>$N188=FALSE</formula>
    </cfRule>
  </conditionalFormatting>
  <conditionalFormatting sqref="F189">
    <cfRule type="expression" dxfId="8" priority="14">
      <formula>$N189=FALSE</formula>
    </cfRule>
  </conditionalFormatting>
  <conditionalFormatting sqref="F190">
    <cfRule type="expression" dxfId="7" priority="13">
      <formula>$N190=FALSE</formula>
    </cfRule>
  </conditionalFormatting>
  <conditionalFormatting sqref="F191">
    <cfRule type="expression" dxfId="6" priority="12">
      <formula>$N191=FALSE</formula>
    </cfRule>
  </conditionalFormatting>
  <conditionalFormatting sqref="F192">
    <cfRule type="expression" dxfId="5" priority="11">
      <formula>$N192=FALSE</formula>
    </cfRule>
  </conditionalFormatting>
  <conditionalFormatting sqref="AJ2:AJ6">
    <cfRule type="expression" dxfId="4" priority="5">
      <formula>$N2=FALSE</formula>
    </cfRule>
  </conditionalFormatting>
  <conditionalFormatting sqref="AJ8">
    <cfRule type="expression" dxfId="3" priority="3">
      <formula>$N7=FALSE</formula>
    </cfRule>
  </conditionalFormatting>
  <conditionalFormatting sqref="AJ7">
    <cfRule type="expression" dxfId="2" priority="4">
      <formula>$N8=FALSE</formula>
    </cfRule>
  </conditionalFormatting>
  <conditionalFormatting sqref="AJ9">
    <cfRule type="expression" dxfId="1" priority="1">
      <formula>$N12=FALSE</formula>
    </cfRule>
  </conditionalFormatting>
  <conditionalFormatting sqref="AJ10">
    <cfRule type="expression" dxfId="0" priority="2">
      <formula>$N11=FALSE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2021-01-24T21:10:28Z</dcterms:modified>
</cp:coreProperties>
</file>