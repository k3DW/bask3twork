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aden\source\repos\Knots\"/>
    </mc:Choice>
  </mc:AlternateContent>
  <xr:revisionPtr revIDLastSave="0" documentId="13_ncr:1_{4D59D6C5-F833-4163-978A-6505744A4760}" xr6:coauthVersionLast="45" xr6:coauthVersionMax="45" xr10:uidLastSave="{00000000-0000-0000-0000-000000000000}"/>
  <bookViews>
    <workbookView xWindow="-120" yWindow="-120" windowWidth="29040" windowHeight="15840" xr2:uid="{99B17581-380B-4F08-85C3-11527A7D200D}"/>
  </bookViews>
  <sheets>
    <sheet name="Formatted NEW" sheetId="6" r:id="rId1"/>
  </sheets>
  <functionGroups builtInGroupCount="19"/>
  <definedNames>
    <definedName name="_xlnm._FilterDatabase" localSheetId="0" hidden="1">'Formatted NEW'!$S$1:$AM$202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U202" i="6" l="1"/>
  <c r="S201" i="6"/>
  <c r="U200" i="6"/>
  <c r="T200" i="6"/>
  <c r="U199" i="6"/>
  <c r="S199" i="6"/>
  <c r="V198" i="6"/>
  <c r="S198" i="6"/>
  <c r="V197" i="6"/>
  <c r="T197" i="6"/>
  <c r="T196" i="6"/>
  <c r="S196" i="6"/>
  <c r="T195" i="6"/>
  <c r="V194" i="6"/>
  <c r="V193" i="6"/>
  <c r="U193" i="6"/>
  <c r="V192" i="6"/>
  <c r="S192" i="6"/>
  <c r="U191" i="6"/>
  <c r="S191" i="6"/>
  <c r="U190" i="6"/>
  <c r="T190" i="6"/>
  <c r="V189" i="6"/>
  <c r="T189" i="6"/>
  <c r="V188" i="6"/>
  <c r="T188" i="6"/>
  <c r="V187" i="6"/>
  <c r="S187" i="6"/>
  <c r="U186" i="6"/>
  <c r="S186" i="6"/>
  <c r="U185" i="6"/>
  <c r="T185" i="6"/>
  <c r="U184" i="6"/>
  <c r="S184" i="6"/>
  <c r="V183" i="6"/>
  <c r="S183" i="6"/>
  <c r="U182" i="6"/>
  <c r="T182" i="6"/>
  <c r="V181" i="6"/>
  <c r="T181" i="6"/>
  <c r="U180" i="6"/>
  <c r="S180" i="6"/>
  <c r="V179" i="6"/>
  <c r="S179" i="6"/>
  <c r="U178" i="6"/>
  <c r="T178" i="6"/>
  <c r="V177" i="6"/>
  <c r="T177" i="6"/>
  <c r="T176" i="6"/>
  <c r="S176" i="6"/>
  <c r="T175" i="6"/>
  <c r="S175" i="6"/>
  <c r="V174" i="6"/>
  <c r="U174" i="6"/>
  <c r="V173" i="6"/>
  <c r="U173" i="6"/>
  <c r="U172" i="6"/>
  <c r="S172" i="6"/>
  <c r="V171" i="6"/>
  <c r="S171" i="6"/>
  <c r="U170" i="6"/>
  <c r="T170" i="6"/>
  <c r="V169" i="6"/>
  <c r="T169" i="6"/>
  <c r="U165" i="6"/>
  <c r="S165" i="6"/>
  <c r="V164" i="6"/>
  <c r="S164" i="6"/>
  <c r="U163" i="6"/>
  <c r="T163" i="6"/>
  <c r="V162" i="6"/>
  <c r="T162" i="6"/>
  <c r="V161" i="6"/>
  <c r="U161" i="6"/>
  <c r="T161" i="6"/>
  <c r="S161" i="6"/>
  <c r="V160" i="6"/>
  <c r="U160" i="6"/>
  <c r="T160" i="6"/>
  <c r="S160" i="6"/>
  <c r="V159" i="6"/>
  <c r="U159" i="6"/>
  <c r="T159" i="6"/>
  <c r="S159" i="6"/>
  <c r="V158" i="6"/>
  <c r="U158" i="6"/>
  <c r="T158" i="6"/>
  <c r="S158" i="6"/>
  <c r="V157" i="6"/>
  <c r="U157" i="6"/>
  <c r="T157" i="6"/>
  <c r="S157" i="6"/>
  <c r="V156" i="6"/>
  <c r="T156" i="6"/>
  <c r="S156" i="6"/>
  <c r="V155" i="6"/>
  <c r="U155" i="6"/>
  <c r="S155" i="6"/>
  <c r="U154" i="6"/>
  <c r="T154" i="6"/>
  <c r="S154" i="6"/>
  <c r="V153" i="6"/>
  <c r="U153" i="6"/>
  <c r="T153" i="6"/>
  <c r="V152" i="6"/>
  <c r="T152" i="6"/>
  <c r="S152" i="6"/>
  <c r="V151" i="6"/>
  <c r="U151" i="6"/>
  <c r="S151" i="6"/>
  <c r="U150" i="6"/>
  <c r="T150" i="6"/>
  <c r="S150" i="6"/>
  <c r="V149" i="6"/>
  <c r="U149" i="6"/>
  <c r="T149" i="6"/>
  <c r="V148" i="6"/>
  <c r="U148" i="6"/>
  <c r="V147" i="6"/>
  <c r="U147" i="6"/>
  <c r="T146" i="6"/>
  <c r="S146" i="6"/>
  <c r="T145" i="6"/>
  <c r="S145" i="6"/>
  <c r="U144" i="6"/>
  <c r="S144" i="6"/>
  <c r="V143" i="6"/>
  <c r="S143" i="6"/>
  <c r="U142" i="6"/>
  <c r="T142" i="6"/>
  <c r="V141" i="6"/>
  <c r="T141" i="6"/>
  <c r="U140" i="6"/>
  <c r="S140" i="6"/>
  <c r="V139" i="6"/>
  <c r="S139" i="6"/>
  <c r="U138" i="6"/>
  <c r="T138" i="6"/>
  <c r="V137" i="6"/>
  <c r="T137" i="6"/>
  <c r="V136" i="6"/>
  <c r="U135" i="6"/>
  <c r="T134" i="6"/>
  <c r="S133" i="6"/>
  <c r="V132" i="6"/>
  <c r="T132" i="6"/>
  <c r="V131" i="6"/>
  <c r="S131" i="6"/>
  <c r="U130" i="6"/>
  <c r="S130" i="6"/>
  <c r="U129" i="6"/>
  <c r="T129" i="6"/>
  <c r="V128" i="6"/>
  <c r="U128" i="6"/>
  <c r="T128" i="6"/>
  <c r="V127" i="6"/>
  <c r="U127" i="6"/>
  <c r="S127" i="6"/>
  <c r="U126" i="6"/>
  <c r="T126" i="6"/>
  <c r="S126" i="6"/>
  <c r="V125" i="6"/>
  <c r="T125" i="6"/>
  <c r="S125" i="6"/>
  <c r="V124" i="6"/>
  <c r="U124" i="6"/>
  <c r="T124" i="6"/>
  <c r="V123" i="6"/>
  <c r="U123" i="6"/>
  <c r="S123" i="6"/>
  <c r="U122" i="6"/>
  <c r="T122" i="6"/>
  <c r="S122" i="6"/>
  <c r="V121" i="6"/>
  <c r="T121" i="6"/>
  <c r="S121" i="6"/>
  <c r="V120" i="6"/>
  <c r="U120" i="6"/>
  <c r="T120" i="6"/>
  <c r="S120" i="6"/>
  <c r="V119" i="6"/>
  <c r="U119" i="6"/>
  <c r="T119" i="6"/>
  <c r="S119" i="6"/>
  <c r="V118" i="6"/>
  <c r="U118" i="6"/>
  <c r="T118" i="6"/>
  <c r="S118" i="6"/>
  <c r="V117" i="6"/>
  <c r="U117" i="6"/>
  <c r="T117" i="6"/>
  <c r="S117" i="6"/>
  <c r="V116" i="6"/>
  <c r="U116" i="6"/>
  <c r="T116" i="6"/>
  <c r="S116" i="6"/>
  <c r="V115" i="6"/>
  <c r="U115" i="6"/>
  <c r="T115" i="6"/>
  <c r="S115" i="6"/>
  <c r="V114" i="6"/>
  <c r="U114" i="6"/>
  <c r="T114" i="6"/>
  <c r="S114" i="6"/>
  <c r="V113" i="6"/>
  <c r="U113" i="6"/>
  <c r="T113" i="6"/>
  <c r="S113" i="6"/>
  <c r="V112" i="6"/>
  <c r="T112" i="6"/>
  <c r="V111" i="6"/>
  <c r="S111" i="6"/>
  <c r="U110" i="6"/>
  <c r="S110" i="6"/>
  <c r="U109" i="6"/>
  <c r="T109" i="6"/>
  <c r="V108" i="6"/>
  <c r="T108" i="6"/>
  <c r="S108" i="6"/>
  <c r="V107" i="6"/>
  <c r="U107" i="6"/>
  <c r="S107" i="6"/>
  <c r="U106" i="6"/>
  <c r="T106" i="6"/>
  <c r="S106" i="6"/>
  <c r="V105" i="6"/>
  <c r="U105" i="6"/>
  <c r="T105" i="6"/>
  <c r="V104" i="6"/>
  <c r="U104" i="6"/>
  <c r="T104" i="6"/>
  <c r="S104" i="6"/>
  <c r="V103" i="6"/>
  <c r="U103" i="6"/>
  <c r="T103" i="6"/>
  <c r="S103" i="6"/>
  <c r="V102" i="6"/>
  <c r="U102" i="6"/>
  <c r="T102" i="6"/>
  <c r="S102" i="6"/>
  <c r="V101" i="6"/>
  <c r="U101" i="6"/>
  <c r="T101" i="6"/>
  <c r="S101" i="6"/>
  <c r="V100" i="6"/>
  <c r="U100" i="6"/>
  <c r="V99" i="6"/>
  <c r="U99" i="6"/>
  <c r="T98" i="6"/>
  <c r="S98" i="6"/>
  <c r="T97" i="6"/>
  <c r="S97" i="6"/>
  <c r="T96" i="6"/>
  <c r="S96" i="6"/>
  <c r="V95" i="6"/>
  <c r="U95" i="6"/>
  <c r="T95" i="6"/>
  <c r="S95" i="6"/>
  <c r="V94" i="6"/>
  <c r="U94" i="6"/>
  <c r="V93" i="6"/>
  <c r="U93" i="6"/>
  <c r="T93" i="6"/>
  <c r="S93" i="6"/>
  <c r="V92" i="6"/>
  <c r="S92" i="6"/>
  <c r="V91" i="6"/>
  <c r="U91" i="6"/>
  <c r="S91" i="6"/>
  <c r="V90" i="6"/>
  <c r="U90" i="6"/>
  <c r="S90" i="6"/>
  <c r="V89" i="6"/>
  <c r="U89" i="6"/>
  <c r="T89" i="6"/>
  <c r="U88" i="6"/>
  <c r="V87" i="6"/>
  <c r="T87" i="6"/>
  <c r="S87" i="6"/>
  <c r="V86" i="6"/>
  <c r="U86" i="6"/>
  <c r="T86" i="6"/>
  <c r="S86" i="6"/>
  <c r="V85" i="6"/>
  <c r="U85" i="6"/>
  <c r="T85" i="6"/>
  <c r="S85" i="6"/>
  <c r="S84" i="6"/>
  <c r="V83" i="6"/>
  <c r="T83" i="6"/>
  <c r="U82" i="6"/>
  <c r="S82" i="6"/>
  <c r="V81" i="6"/>
  <c r="S81" i="6"/>
  <c r="U80" i="6"/>
  <c r="T80" i="6"/>
  <c r="S80" i="6"/>
  <c r="V79" i="6"/>
  <c r="U79" i="6"/>
  <c r="S79" i="6"/>
  <c r="V78" i="6"/>
  <c r="T78" i="6"/>
  <c r="V77" i="6"/>
  <c r="U77" i="6"/>
  <c r="T77" i="6"/>
  <c r="V76" i="6"/>
  <c r="U76" i="6"/>
  <c r="T76" i="6"/>
  <c r="U75" i="6"/>
  <c r="T75" i="6"/>
  <c r="S75" i="6"/>
  <c r="V74" i="6"/>
  <c r="U74" i="6"/>
  <c r="T74" i="6"/>
  <c r="S74" i="6"/>
  <c r="V73" i="6"/>
  <c r="U73" i="6"/>
  <c r="T73" i="6"/>
  <c r="S73" i="6"/>
  <c r="V72" i="6"/>
  <c r="U71" i="6"/>
  <c r="T71" i="6"/>
  <c r="U70" i="6"/>
  <c r="T70" i="6"/>
  <c r="S70" i="6"/>
  <c r="U69" i="6"/>
  <c r="S69" i="6"/>
  <c r="V68" i="6"/>
  <c r="T68" i="6"/>
  <c r="S68" i="6"/>
  <c r="V67" i="6"/>
  <c r="T67" i="6"/>
  <c r="S67" i="6"/>
  <c r="T66" i="6"/>
  <c r="S66" i="6"/>
  <c r="V65" i="6"/>
  <c r="U65" i="6"/>
  <c r="T65" i="6"/>
  <c r="S65" i="6"/>
  <c r="V64" i="6"/>
  <c r="U64" i="6"/>
  <c r="T64" i="6"/>
  <c r="S64" i="6"/>
  <c r="V63" i="6"/>
  <c r="U63" i="6"/>
  <c r="T62" i="6"/>
  <c r="S62" i="6"/>
  <c r="V61" i="6"/>
  <c r="U61" i="6"/>
  <c r="V60" i="6"/>
  <c r="S60" i="6"/>
  <c r="V59" i="6"/>
  <c r="U59" i="6"/>
  <c r="T59" i="6"/>
  <c r="S59" i="6"/>
  <c r="V58" i="6"/>
  <c r="U58" i="6"/>
  <c r="S58" i="6"/>
  <c r="V57" i="6"/>
  <c r="U57" i="6"/>
  <c r="T57" i="6"/>
  <c r="U56" i="6"/>
  <c r="V55" i="6"/>
  <c r="T55" i="6"/>
  <c r="S55" i="6"/>
  <c r="V54" i="6"/>
  <c r="U54" i="6"/>
  <c r="S54" i="6"/>
  <c r="V53" i="6"/>
  <c r="U53" i="6"/>
  <c r="T53" i="6"/>
  <c r="S53" i="6"/>
  <c r="S52" i="6"/>
  <c r="V51" i="6"/>
  <c r="T51" i="6"/>
  <c r="U50" i="6"/>
  <c r="S50" i="6"/>
  <c r="V49" i="6"/>
  <c r="S49" i="6"/>
  <c r="V48" i="6"/>
  <c r="U48" i="6"/>
  <c r="T48" i="6"/>
  <c r="S48" i="6"/>
  <c r="V47" i="6"/>
  <c r="U47" i="6"/>
  <c r="S47" i="6"/>
  <c r="V46" i="6"/>
  <c r="T46" i="6"/>
  <c r="V45" i="6"/>
  <c r="U45" i="6"/>
  <c r="T45" i="6"/>
  <c r="V44" i="6"/>
  <c r="U44" i="6"/>
  <c r="T44" i="6"/>
  <c r="U43" i="6"/>
  <c r="T43" i="6"/>
  <c r="S43" i="6"/>
  <c r="U42" i="6"/>
  <c r="T42" i="6"/>
  <c r="S42" i="6"/>
  <c r="V41" i="6"/>
  <c r="T41" i="6"/>
  <c r="S41" i="6"/>
  <c r="V40" i="6"/>
  <c r="U39" i="6"/>
  <c r="T39" i="6"/>
  <c r="U38" i="6"/>
  <c r="T38" i="6"/>
  <c r="S38" i="6"/>
  <c r="U37" i="6"/>
  <c r="S37" i="6"/>
  <c r="V36" i="6"/>
  <c r="U36" i="6"/>
  <c r="T36" i="6"/>
  <c r="S36" i="6"/>
  <c r="V35" i="6"/>
  <c r="T35" i="6"/>
  <c r="S35" i="6"/>
  <c r="T34" i="6"/>
  <c r="S34" i="6"/>
  <c r="U33" i="6"/>
  <c r="S33" i="6"/>
  <c r="V32" i="6"/>
  <c r="S32" i="6"/>
  <c r="T31" i="6"/>
  <c r="S31" i="6"/>
  <c r="V30" i="6"/>
  <c r="U30" i="6"/>
  <c r="S30" i="6"/>
  <c r="U29" i="6"/>
  <c r="T29" i="6"/>
  <c r="U28" i="6"/>
  <c r="T28" i="6"/>
  <c r="V27" i="6"/>
  <c r="T27" i="6"/>
  <c r="U26" i="6"/>
  <c r="T26" i="6"/>
  <c r="S26" i="6"/>
  <c r="V25" i="6"/>
  <c r="T25" i="6"/>
  <c r="S25" i="6"/>
  <c r="V24" i="6"/>
  <c r="U24" i="6"/>
  <c r="T24" i="6"/>
  <c r="V23" i="6"/>
  <c r="U23" i="6"/>
  <c r="T23" i="6"/>
  <c r="S23" i="6"/>
  <c r="T22" i="6"/>
  <c r="V21" i="6"/>
  <c r="U21" i="6"/>
  <c r="T21" i="6"/>
  <c r="S21" i="6"/>
  <c r="V20" i="6"/>
  <c r="U20" i="6"/>
  <c r="T20" i="6"/>
  <c r="S20" i="6"/>
  <c r="V19" i="6"/>
  <c r="U19" i="6"/>
  <c r="U18" i="6"/>
  <c r="T18" i="6"/>
  <c r="U17" i="6"/>
  <c r="S17" i="6"/>
  <c r="V16" i="6"/>
  <c r="S16" i="6"/>
  <c r="T15" i="6"/>
  <c r="S15" i="6"/>
  <c r="V14" i="6"/>
  <c r="U14" i="6"/>
  <c r="S14" i="6"/>
  <c r="V13" i="6"/>
  <c r="U13" i="6"/>
  <c r="T13" i="6"/>
  <c r="S13" i="6"/>
  <c r="U12" i="6"/>
  <c r="T12" i="6"/>
  <c r="S12" i="6"/>
  <c r="U11" i="6"/>
  <c r="T11" i="6"/>
  <c r="V10" i="6"/>
  <c r="T10" i="6"/>
  <c r="V9" i="6"/>
  <c r="U9" i="6"/>
  <c r="T9" i="6"/>
  <c r="S9" i="6"/>
  <c r="V8" i="6"/>
  <c r="T8" i="6"/>
  <c r="S8" i="6"/>
  <c r="V7" i="6"/>
  <c r="U7" i="6"/>
  <c r="T7" i="6"/>
  <c r="T6" i="6"/>
  <c r="V5" i="6"/>
  <c r="U5" i="6"/>
  <c r="V4" i="6"/>
  <c r="U4" i="6"/>
  <c r="T4" i="6"/>
  <c r="S4" i="6"/>
  <c r="V3" i="6"/>
  <c r="U3" i="6"/>
  <c r="P3" i="6" l="1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166" i="6"/>
  <c r="P167" i="6"/>
  <c r="P168" i="6"/>
  <c r="P169" i="6"/>
  <c r="P170" i="6"/>
  <c r="P171" i="6"/>
  <c r="P172" i="6"/>
  <c r="P173" i="6"/>
  <c r="P174" i="6"/>
  <c r="P175" i="6"/>
  <c r="P176" i="6"/>
  <c r="P177" i="6"/>
  <c r="P178" i="6"/>
  <c r="P179" i="6"/>
  <c r="P180" i="6"/>
  <c r="P181" i="6"/>
  <c r="P182" i="6"/>
  <c r="P183" i="6"/>
  <c r="P184" i="6"/>
  <c r="P185" i="6"/>
  <c r="P186" i="6"/>
  <c r="P187" i="6"/>
  <c r="P188" i="6"/>
  <c r="P189" i="6"/>
  <c r="P190" i="6"/>
  <c r="P191" i="6"/>
  <c r="P192" i="6"/>
  <c r="P193" i="6"/>
  <c r="P194" i="6"/>
  <c r="P195" i="6"/>
  <c r="P196" i="6"/>
  <c r="P197" i="6"/>
  <c r="P198" i="6"/>
  <c r="P199" i="6"/>
  <c r="P200" i="6"/>
  <c r="P201" i="6"/>
  <c r="P202" i="6"/>
  <c r="P2" i="6"/>
  <c r="B2" i="6"/>
  <c r="N2" i="6" s="1"/>
  <c r="Q182" i="6" a="1"/>
  <c r="Q104" i="6" a="1"/>
  <c r="Q15" i="6" a="1"/>
  <c r="Q191" i="6" a="1"/>
  <c r="Q187" i="6" a="1"/>
  <c r="Q19" i="6" a="1"/>
  <c r="Q13" i="6" a="1"/>
  <c r="Q21" i="6" a="1"/>
  <c r="Q58" i="6" a="1"/>
  <c r="Q163" i="6" a="1"/>
  <c r="Q190" i="6" a="1"/>
  <c r="Q79" i="6" a="1"/>
  <c r="Q174" i="6" a="1"/>
  <c r="Q2" i="6" a="1"/>
  <c r="Q137" i="6" a="1"/>
  <c r="Q106" i="6" a="1"/>
  <c r="Q75" i="6" a="1"/>
  <c r="Q86" i="6" a="1"/>
  <c r="Q59" i="6" a="1"/>
  <c r="Q129" i="6" a="1"/>
  <c r="Q175" i="6" a="1"/>
  <c r="Q31" i="6" a="1"/>
  <c r="Q147" i="6" a="1"/>
  <c r="Q9" i="6" a="1"/>
  <c r="Q64" i="6" a="1"/>
  <c r="Q18" i="6" a="1"/>
  <c r="Q72" i="6" a="1"/>
  <c r="Q120" i="6" a="1"/>
  <c r="Q99" i="6" a="1"/>
  <c r="Q62" i="6" a="1"/>
  <c r="Q114" i="6" a="1"/>
  <c r="Q54" i="6" a="1"/>
  <c r="Q152" i="6" a="1"/>
  <c r="Q169" i="6" a="1"/>
  <c r="Q199" i="6" a="1"/>
  <c r="Q74" i="6" a="1"/>
  <c r="Q3" i="6" a="1"/>
  <c r="Q198" i="6" a="1"/>
  <c r="Q115" i="6" a="1"/>
  <c r="Q118" i="6" a="1"/>
  <c r="Q83" i="6" a="1"/>
  <c r="Q165" i="6" a="1"/>
  <c r="Q141" i="6" a="1"/>
  <c r="Q7" i="6" a="1"/>
  <c r="Q63" i="6" a="1"/>
  <c r="Q159" i="6" a="1"/>
  <c r="Q16" i="6" a="1"/>
  <c r="Q113" i="6" a="1"/>
  <c r="Q194" i="6" a="1"/>
  <c r="Q5" i="6" a="1"/>
  <c r="Q85" i="6" a="1"/>
  <c r="Q88" i="6" a="1"/>
  <c r="Q82" i="6" a="1"/>
  <c r="Q131" i="6" a="1"/>
  <c r="Q95" i="6" a="1"/>
  <c r="Q94" i="6" a="1"/>
  <c r="Q40" i="6" a="1"/>
  <c r="Q173" i="6" a="1"/>
  <c r="Q148" i="6" a="1"/>
  <c r="Q166" i="6" a="1"/>
  <c r="Q28" i="6" a="1"/>
  <c r="Q179" i="6" a="1"/>
  <c r="Q50" i="6" a="1"/>
  <c r="Q53" i="6" a="1"/>
  <c r="Q192" i="6" a="1"/>
  <c r="Q52" i="6" a="1"/>
  <c r="Q196" i="6" a="1"/>
  <c r="Q84" i="6" a="1"/>
  <c r="Q77" i="6" a="1"/>
  <c r="Q143" i="6" a="1"/>
  <c r="Q145" i="6" a="1"/>
  <c r="Q17" i="6" a="1"/>
  <c r="Q133" i="6" a="1"/>
  <c r="Q162" i="6" a="1"/>
  <c r="Q42" i="6" a="1"/>
  <c r="Q124" i="6" a="1"/>
  <c r="Q57" i="6" a="1"/>
  <c r="Q70" i="6" a="1"/>
  <c r="Q92" i="6" a="1"/>
  <c r="Q122" i="6" a="1"/>
  <c r="Q41" i="6" a="1"/>
  <c r="Q172" i="6" a="1"/>
  <c r="Q98" i="6" a="1"/>
  <c r="Q78" i="6" a="1"/>
  <c r="Q156" i="6" a="1"/>
  <c r="Q170" i="6" a="1"/>
  <c r="Q11" i="6" a="1"/>
  <c r="Q136" i="6" a="1"/>
  <c r="Q71" i="6" a="1"/>
  <c r="Q12" i="6" a="1"/>
  <c r="Q171" i="6" a="1"/>
  <c r="Q37" i="6" a="1"/>
  <c r="Q93" i="6" a="1"/>
  <c r="Q39" i="6" a="1"/>
  <c r="Q135" i="6" a="1"/>
  <c r="Q149" i="6" a="1"/>
  <c r="Q153" i="6" a="1"/>
  <c r="Q22" i="6" a="1"/>
  <c r="Q144" i="6" a="1"/>
  <c r="Q73" i="6" a="1"/>
  <c r="Q60" i="6" a="1"/>
  <c r="Q36" i="6" a="1"/>
  <c r="Q32" i="6" a="1"/>
  <c r="Q34" i="6" a="1"/>
  <c r="Q183" i="6" a="1"/>
  <c r="Q44" i="6" a="1"/>
  <c r="Q110" i="6" a="1"/>
  <c r="Q45" i="6" a="1"/>
  <c r="Q97" i="6" a="1"/>
  <c r="Q151" i="6" a="1"/>
  <c r="Q202" i="6" a="1"/>
  <c r="Q68" i="6" a="1"/>
  <c r="Q55" i="6" a="1"/>
  <c r="Q10" i="6" a="1"/>
  <c r="Q26" i="6" a="1"/>
  <c r="Q61" i="6" a="1"/>
  <c r="Q168" i="6" a="1"/>
  <c r="Q117" i="6" a="1"/>
  <c r="Q8" i="6" a="1"/>
  <c r="Q66" i="6" a="1"/>
  <c r="Q20" i="6" a="1"/>
  <c r="Q130" i="6" a="1"/>
  <c r="Q158" i="6" a="1"/>
  <c r="Q46" i="6" a="1"/>
  <c r="Q121" i="6" a="1"/>
  <c r="Q167" i="6" a="1"/>
  <c r="Q102" i="6" a="1"/>
  <c r="Q138" i="6" a="1"/>
  <c r="Q128" i="6" a="1"/>
  <c r="Q116" i="6" a="1"/>
  <c r="Q112" i="6" a="1"/>
  <c r="Q47" i="6" a="1"/>
  <c r="Q189" i="6" a="1"/>
  <c r="Q48" i="6" a="1"/>
  <c r="Q80" i="6" a="1"/>
  <c r="Q134" i="6" a="1"/>
  <c r="Q43" i="6" a="1"/>
  <c r="Q176" i="6" a="1"/>
  <c r="Q140" i="6" a="1"/>
  <c r="Q23" i="6" a="1"/>
  <c r="Q155" i="6" a="1"/>
  <c r="Q157" i="6" a="1"/>
  <c r="Q125" i="6" a="1"/>
  <c r="Q105" i="6" a="1"/>
  <c r="Q91" i="6" a="1"/>
  <c r="Q103" i="6" a="1"/>
  <c r="Q109" i="6" a="1"/>
  <c r="Q49" i="6" a="1"/>
  <c r="Q81" i="6" a="1"/>
  <c r="Q38" i="6" a="1"/>
  <c r="Q65" i="6" a="1"/>
  <c r="Q186" i="6" a="1"/>
  <c r="Q119" i="6" a="1"/>
  <c r="Q185" i="6" a="1"/>
  <c r="Q164" i="6" a="1"/>
  <c r="Q89" i="6" a="1"/>
  <c r="Q177" i="6" a="1"/>
  <c r="Q201" i="6" a="1"/>
  <c r="Q87" i="6" a="1"/>
  <c r="Q180" i="6" a="1"/>
  <c r="Q107" i="6" a="1"/>
  <c r="Q90" i="6" a="1"/>
  <c r="Q154" i="6" a="1"/>
  <c r="Q123" i="6" a="1"/>
  <c r="Q14" i="6" a="1"/>
  <c r="Q30" i="6" a="1"/>
  <c r="Q96" i="6" a="1"/>
  <c r="Q150" i="6" a="1"/>
  <c r="Q27" i="6" a="1"/>
  <c r="Q29" i="6" a="1"/>
  <c r="Q76" i="6" a="1"/>
  <c r="Q101" i="6" a="1"/>
  <c r="Q181" i="6" a="1"/>
  <c r="Q24" i="6" a="1"/>
  <c r="Q184" i="6" a="1"/>
  <c r="Q142" i="6" a="1"/>
  <c r="Q132" i="6" a="1"/>
  <c r="Q160" i="6" a="1"/>
  <c r="Q197" i="6" a="1"/>
  <c r="Q56" i="6" a="1"/>
  <c r="Q69" i="6" a="1"/>
  <c r="Q100" i="6" a="1"/>
  <c r="Q146" i="6" a="1"/>
  <c r="Q108" i="6" a="1"/>
  <c r="Q33" i="6" a="1"/>
  <c r="Q51" i="6" a="1"/>
  <c r="Q67" i="6" a="1"/>
  <c r="Q35" i="6" a="1"/>
  <c r="Q161" i="6" a="1"/>
  <c r="Q126" i="6" a="1"/>
  <c r="Q178" i="6" a="1"/>
  <c r="Q25" i="6" a="1"/>
  <c r="Q4" i="6" a="1"/>
  <c r="Q193" i="6" a="1"/>
  <c r="Q127" i="6" a="1"/>
  <c r="Q188" i="6" a="1"/>
  <c r="Q195" i="6" a="1"/>
  <c r="Q111" i="6" a="1"/>
  <c r="Q139" i="6" a="1"/>
  <c r="Q200" i="6" a="1"/>
  <c r="Q6" i="6" a="1"/>
  <c r="K2" i="6" l="1" a="1"/>
  <c r="K2" i="6" s="1"/>
  <c r="BH2" i="6" s="1"/>
  <c r="I2" i="6" a="1"/>
  <c r="I2" i="6" s="1"/>
  <c r="BG2" i="6" s="1"/>
  <c r="G2" i="6" a="1"/>
  <c r="G2" i="6" s="1"/>
  <c r="BF2" i="6" s="1"/>
  <c r="E2" i="6" a="1"/>
  <c r="E2" i="6" s="1"/>
  <c r="BE2" i="6" s="1"/>
  <c r="C2" i="6" a="1"/>
  <c r="C2" i="6" s="1"/>
  <c r="Q176" i="6"/>
  <c r="Q146" i="6"/>
  <c r="Q116" i="6"/>
  <c r="Q86" i="6"/>
  <c r="Q56" i="6"/>
  <c r="Q32" i="6"/>
  <c r="Q199" i="6"/>
  <c r="Q169" i="6"/>
  <c r="Q145" i="6"/>
  <c r="Q115" i="6"/>
  <c r="Q79" i="6"/>
  <c r="Q49" i="6"/>
  <c r="Q19" i="6"/>
  <c r="Q198" i="6"/>
  <c r="Q174" i="6"/>
  <c r="Q156" i="6"/>
  <c r="Q132" i="6"/>
  <c r="Q126" i="6"/>
  <c r="Q114" i="6"/>
  <c r="Q90" i="6"/>
  <c r="Q84" i="6"/>
  <c r="Q78" i="6"/>
  <c r="Q72" i="6"/>
  <c r="Q66" i="6"/>
  <c r="Q60" i="6"/>
  <c r="Q54" i="6"/>
  <c r="Q48" i="6"/>
  <c r="Q42" i="6"/>
  <c r="Q36" i="6"/>
  <c r="Q30" i="6"/>
  <c r="Q24" i="6"/>
  <c r="Q18" i="6"/>
  <c r="Q12" i="6"/>
  <c r="Q6" i="6"/>
  <c r="Q182" i="6"/>
  <c r="Q152" i="6"/>
  <c r="Q122" i="6"/>
  <c r="Q92" i="6"/>
  <c r="Q62" i="6"/>
  <c r="Q26" i="6"/>
  <c r="Q193" i="6"/>
  <c r="Q163" i="6"/>
  <c r="Q133" i="6"/>
  <c r="Q103" i="6"/>
  <c r="Q73" i="6"/>
  <c r="Q31" i="6"/>
  <c r="Q162" i="6"/>
  <c r="Q120" i="6"/>
  <c r="Q185" i="6"/>
  <c r="Q161" i="6"/>
  <c r="Q131" i="6"/>
  <c r="Q101" i="6"/>
  <c r="Q83" i="6"/>
  <c r="Q59" i="6"/>
  <c r="Q41" i="6"/>
  <c r="Q23" i="6"/>
  <c r="Q5" i="6"/>
  <c r="Q200" i="6"/>
  <c r="Q170" i="6"/>
  <c r="Q140" i="6"/>
  <c r="Q110" i="6"/>
  <c r="Q80" i="6"/>
  <c r="Q50" i="6"/>
  <c r="Q14" i="6"/>
  <c r="Q175" i="6"/>
  <c r="Q139" i="6"/>
  <c r="Q109" i="6"/>
  <c r="Q85" i="6"/>
  <c r="Q55" i="6"/>
  <c r="Q25" i="6"/>
  <c r="Q180" i="6"/>
  <c r="Q150" i="6"/>
  <c r="Q108" i="6"/>
  <c r="Q179" i="6"/>
  <c r="Q143" i="6"/>
  <c r="Q119" i="6"/>
  <c r="Q95" i="6"/>
  <c r="Q77" i="6"/>
  <c r="Q53" i="6"/>
  <c r="Q29" i="6"/>
  <c r="Q11" i="6"/>
  <c r="Q190" i="6"/>
  <c r="Q184" i="6"/>
  <c r="Q178" i="6"/>
  <c r="Q172" i="6"/>
  <c r="Q166" i="6"/>
  <c r="Q160" i="6"/>
  <c r="Q154" i="6"/>
  <c r="Q148" i="6"/>
  <c r="Q142" i="6"/>
  <c r="Q136" i="6"/>
  <c r="Q130" i="6"/>
  <c r="Q124" i="6"/>
  <c r="Q118" i="6"/>
  <c r="Q112" i="6"/>
  <c r="Q106" i="6"/>
  <c r="Q100" i="6"/>
  <c r="Q94" i="6"/>
  <c r="Q88" i="6"/>
  <c r="Q82" i="6"/>
  <c r="Q76" i="6"/>
  <c r="Q70" i="6"/>
  <c r="Q64" i="6"/>
  <c r="Q58" i="6"/>
  <c r="Q52" i="6"/>
  <c r="Q46" i="6"/>
  <c r="Q40" i="6"/>
  <c r="Q34" i="6"/>
  <c r="Q28" i="6"/>
  <c r="Q22" i="6"/>
  <c r="Q16" i="6"/>
  <c r="Q10" i="6"/>
  <c r="Q4" i="6"/>
  <c r="Q188" i="6"/>
  <c r="Q158" i="6"/>
  <c r="Q128" i="6"/>
  <c r="Q98" i="6"/>
  <c r="Q68" i="6"/>
  <c r="Q44" i="6"/>
  <c r="Q20" i="6"/>
  <c r="Q181" i="6"/>
  <c r="Q151" i="6"/>
  <c r="Q121" i="6"/>
  <c r="Q91" i="6"/>
  <c r="Q61" i="6"/>
  <c r="Q37" i="6"/>
  <c r="Q13" i="6"/>
  <c r="Q192" i="6"/>
  <c r="Q168" i="6"/>
  <c r="Q138" i="6"/>
  <c r="Q102" i="6"/>
  <c r="Q197" i="6"/>
  <c r="Q173" i="6"/>
  <c r="Q155" i="6"/>
  <c r="Q137" i="6"/>
  <c r="Q113" i="6"/>
  <c r="Q65" i="6"/>
  <c r="Q196" i="6"/>
  <c r="Q194" i="6"/>
  <c r="Q164" i="6"/>
  <c r="Q134" i="6"/>
  <c r="Q104" i="6"/>
  <c r="Q74" i="6"/>
  <c r="Q38" i="6"/>
  <c r="Q8" i="6"/>
  <c r="Q187" i="6"/>
  <c r="Q157" i="6"/>
  <c r="Q127" i="6"/>
  <c r="Q97" i="6"/>
  <c r="Q67" i="6"/>
  <c r="Q43" i="6"/>
  <c r="Q7" i="6"/>
  <c r="Q186" i="6"/>
  <c r="Q144" i="6"/>
  <c r="Q96" i="6"/>
  <c r="Q191" i="6"/>
  <c r="Q167" i="6"/>
  <c r="Q149" i="6"/>
  <c r="Q125" i="6"/>
  <c r="Q107" i="6"/>
  <c r="Q89" i="6"/>
  <c r="Q71" i="6"/>
  <c r="Q47" i="6"/>
  <c r="Q35" i="6"/>
  <c r="Q17" i="6"/>
  <c r="Q202" i="6"/>
  <c r="Q201" i="6"/>
  <c r="Q195" i="6"/>
  <c r="Q189" i="6"/>
  <c r="Q183" i="6"/>
  <c r="Q177" i="6"/>
  <c r="Q171" i="6"/>
  <c r="Q165" i="6"/>
  <c r="Q159" i="6"/>
  <c r="Q153" i="6"/>
  <c r="Q147" i="6"/>
  <c r="Q141" i="6"/>
  <c r="Q135" i="6"/>
  <c r="Q129" i="6"/>
  <c r="Q123" i="6"/>
  <c r="Q117" i="6"/>
  <c r="Q111" i="6"/>
  <c r="Q105" i="6"/>
  <c r="Q99" i="6"/>
  <c r="Q93" i="6"/>
  <c r="Q87" i="6"/>
  <c r="Q81" i="6"/>
  <c r="Q75" i="6"/>
  <c r="Q69" i="6"/>
  <c r="Q63" i="6"/>
  <c r="Q57" i="6"/>
  <c r="Q51" i="6"/>
  <c r="Q45" i="6"/>
  <c r="Q39" i="6"/>
  <c r="Q33" i="6"/>
  <c r="Q27" i="6"/>
  <c r="Q21" i="6"/>
  <c r="Q15" i="6"/>
  <c r="Q9" i="6"/>
  <c r="Q3" i="6"/>
  <c r="Q2" i="6"/>
  <c r="B15" i="6"/>
  <c r="N15" i="6" s="1"/>
  <c r="B16" i="6"/>
  <c r="N16" i="6" s="1"/>
  <c r="B17" i="6"/>
  <c r="N17" i="6" s="1"/>
  <c r="B18" i="6"/>
  <c r="N18" i="6" s="1"/>
  <c r="B19" i="6"/>
  <c r="N19" i="6" s="1"/>
  <c r="B20" i="6"/>
  <c r="N20" i="6" s="1"/>
  <c r="B21" i="6"/>
  <c r="N21" i="6" s="1"/>
  <c r="B22" i="6"/>
  <c r="N22" i="6" s="1"/>
  <c r="B23" i="6"/>
  <c r="N23" i="6" s="1"/>
  <c r="B24" i="6"/>
  <c r="N24" i="6" s="1"/>
  <c r="B25" i="6"/>
  <c r="N25" i="6" s="1"/>
  <c r="B26" i="6"/>
  <c r="N26" i="6" s="1"/>
  <c r="B27" i="6"/>
  <c r="N27" i="6" s="1"/>
  <c r="B28" i="6"/>
  <c r="N28" i="6" s="1"/>
  <c r="B29" i="6"/>
  <c r="N29" i="6" s="1"/>
  <c r="B30" i="6"/>
  <c r="N30" i="6" s="1"/>
  <c r="B31" i="6"/>
  <c r="N31" i="6" s="1"/>
  <c r="B32" i="6"/>
  <c r="N32" i="6" s="1"/>
  <c r="B33" i="6"/>
  <c r="N33" i="6" s="1"/>
  <c r="B34" i="6"/>
  <c r="N34" i="6" s="1"/>
  <c r="B35" i="6"/>
  <c r="N35" i="6" s="1"/>
  <c r="B36" i="6"/>
  <c r="N36" i="6" s="1"/>
  <c r="B37" i="6"/>
  <c r="N37" i="6" s="1"/>
  <c r="B38" i="6"/>
  <c r="N38" i="6" s="1"/>
  <c r="B39" i="6"/>
  <c r="N39" i="6" s="1"/>
  <c r="B40" i="6"/>
  <c r="N40" i="6" s="1"/>
  <c r="B41" i="6"/>
  <c r="N41" i="6" s="1"/>
  <c r="B42" i="6"/>
  <c r="N42" i="6" s="1"/>
  <c r="B43" i="6"/>
  <c r="N43" i="6" s="1"/>
  <c r="B44" i="6"/>
  <c r="N44" i="6" s="1"/>
  <c r="B45" i="6"/>
  <c r="N45" i="6" s="1"/>
  <c r="B46" i="6"/>
  <c r="N46" i="6" s="1"/>
  <c r="B47" i="6"/>
  <c r="N47" i="6" s="1"/>
  <c r="B48" i="6"/>
  <c r="N48" i="6" s="1"/>
  <c r="B49" i="6"/>
  <c r="N49" i="6" s="1"/>
  <c r="B50" i="6"/>
  <c r="N50" i="6" s="1"/>
  <c r="B51" i="6"/>
  <c r="N51" i="6" s="1"/>
  <c r="B52" i="6"/>
  <c r="N52" i="6" s="1"/>
  <c r="B53" i="6"/>
  <c r="N53" i="6" s="1"/>
  <c r="B54" i="6"/>
  <c r="N54" i="6" s="1"/>
  <c r="B55" i="6"/>
  <c r="N55" i="6" s="1"/>
  <c r="B56" i="6"/>
  <c r="N56" i="6" s="1"/>
  <c r="B57" i="6"/>
  <c r="N57" i="6" s="1"/>
  <c r="B58" i="6"/>
  <c r="N58" i="6" s="1"/>
  <c r="B59" i="6"/>
  <c r="N59" i="6" s="1"/>
  <c r="B60" i="6"/>
  <c r="N60" i="6" s="1"/>
  <c r="B61" i="6"/>
  <c r="N61" i="6" s="1"/>
  <c r="B62" i="6"/>
  <c r="N62" i="6" s="1"/>
  <c r="B63" i="6"/>
  <c r="N63" i="6" s="1"/>
  <c r="B64" i="6"/>
  <c r="N64" i="6" s="1"/>
  <c r="B65" i="6"/>
  <c r="N65" i="6" s="1"/>
  <c r="B66" i="6"/>
  <c r="N66" i="6" s="1"/>
  <c r="B67" i="6"/>
  <c r="N67" i="6" s="1"/>
  <c r="B68" i="6"/>
  <c r="N68" i="6" s="1"/>
  <c r="B69" i="6"/>
  <c r="N69" i="6" s="1"/>
  <c r="B70" i="6"/>
  <c r="N70" i="6" s="1"/>
  <c r="B71" i="6"/>
  <c r="N71" i="6" s="1"/>
  <c r="B72" i="6"/>
  <c r="N72" i="6" s="1"/>
  <c r="B73" i="6"/>
  <c r="N73" i="6" s="1"/>
  <c r="B74" i="6"/>
  <c r="N74" i="6" s="1"/>
  <c r="B75" i="6"/>
  <c r="N75" i="6" s="1"/>
  <c r="B76" i="6"/>
  <c r="N76" i="6" s="1"/>
  <c r="B77" i="6"/>
  <c r="N77" i="6" s="1"/>
  <c r="B78" i="6"/>
  <c r="N78" i="6" s="1"/>
  <c r="B79" i="6"/>
  <c r="N79" i="6" s="1"/>
  <c r="B80" i="6"/>
  <c r="N80" i="6" s="1"/>
  <c r="B81" i="6"/>
  <c r="N81" i="6" s="1"/>
  <c r="B82" i="6"/>
  <c r="N82" i="6" s="1"/>
  <c r="B83" i="6"/>
  <c r="N83" i="6" s="1"/>
  <c r="B84" i="6"/>
  <c r="N84" i="6" s="1"/>
  <c r="B85" i="6"/>
  <c r="N85" i="6" s="1"/>
  <c r="B86" i="6"/>
  <c r="N86" i="6" s="1"/>
  <c r="B87" i="6"/>
  <c r="N87" i="6" s="1"/>
  <c r="B88" i="6"/>
  <c r="N88" i="6" s="1"/>
  <c r="B89" i="6"/>
  <c r="N89" i="6" s="1"/>
  <c r="B90" i="6"/>
  <c r="N90" i="6" s="1"/>
  <c r="B91" i="6"/>
  <c r="N91" i="6" s="1"/>
  <c r="B92" i="6"/>
  <c r="N92" i="6" s="1"/>
  <c r="B93" i="6"/>
  <c r="N93" i="6" s="1"/>
  <c r="B94" i="6"/>
  <c r="N94" i="6" s="1"/>
  <c r="B95" i="6"/>
  <c r="N95" i="6" s="1"/>
  <c r="B96" i="6"/>
  <c r="N96" i="6" s="1"/>
  <c r="B97" i="6"/>
  <c r="N97" i="6" s="1"/>
  <c r="B98" i="6"/>
  <c r="N98" i="6" s="1"/>
  <c r="B99" i="6"/>
  <c r="N99" i="6" s="1"/>
  <c r="B100" i="6"/>
  <c r="N100" i="6" s="1"/>
  <c r="B101" i="6"/>
  <c r="N101" i="6" s="1"/>
  <c r="B102" i="6"/>
  <c r="N102" i="6" s="1"/>
  <c r="B103" i="6"/>
  <c r="N103" i="6" s="1"/>
  <c r="B104" i="6"/>
  <c r="N104" i="6" s="1"/>
  <c r="B105" i="6"/>
  <c r="N105" i="6" s="1"/>
  <c r="B106" i="6"/>
  <c r="N106" i="6" s="1"/>
  <c r="B107" i="6"/>
  <c r="N107" i="6" s="1"/>
  <c r="B108" i="6"/>
  <c r="N108" i="6" s="1"/>
  <c r="B109" i="6"/>
  <c r="N109" i="6" s="1"/>
  <c r="B110" i="6"/>
  <c r="N110" i="6" s="1"/>
  <c r="B111" i="6"/>
  <c r="N111" i="6" s="1"/>
  <c r="B112" i="6"/>
  <c r="N112" i="6" s="1"/>
  <c r="B113" i="6"/>
  <c r="N113" i="6" s="1"/>
  <c r="B114" i="6"/>
  <c r="N114" i="6" s="1"/>
  <c r="B115" i="6"/>
  <c r="N115" i="6" s="1"/>
  <c r="B116" i="6"/>
  <c r="N116" i="6" s="1"/>
  <c r="B117" i="6"/>
  <c r="N117" i="6" s="1"/>
  <c r="B118" i="6"/>
  <c r="N118" i="6" s="1"/>
  <c r="B119" i="6"/>
  <c r="N119" i="6" s="1"/>
  <c r="B120" i="6"/>
  <c r="N120" i="6" s="1"/>
  <c r="B121" i="6"/>
  <c r="N121" i="6" s="1"/>
  <c r="B122" i="6"/>
  <c r="N122" i="6" s="1"/>
  <c r="B123" i="6"/>
  <c r="N123" i="6" s="1"/>
  <c r="B124" i="6"/>
  <c r="N124" i="6" s="1"/>
  <c r="B125" i="6"/>
  <c r="N125" i="6" s="1"/>
  <c r="B126" i="6"/>
  <c r="N126" i="6" s="1"/>
  <c r="B127" i="6"/>
  <c r="N127" i="6" s="1"/>
  <c r="B128" i="6"/>
  <c r="N128" i="6" s="1"/>
  <c r="B129" i="6"/>
  <c r="N129" i="6" s="1"/>
  <c r="B130" i="6"/>
  <c r="N130" i="6" s="1"/>
  <c r="B131" i="6"/>
  <c r="N131" i="6" s="1"/>
  <c r="B132" i="6"/>
  <c r="N132" i="6" s="1"/>
  <c r="B133" i="6"/>
  <c r="N133" i="6" s="1"/>
  <c r="B134" i="6"/>
  <c r="N134" i="6" s="1"/>
  <c r="B135" i="6"/>
  <c r="N135" i="6" s="1"/>
  <c r="B136" i="6"/>
  <c r="N136" i="6" s="1"/>
  <c r="B137" i="6"/>
  <c r="N137" i="6" s="1"/>
  <c r="B138" i="6"/>
  <c r="N138" i="6" s="1"/>
  <c r="B139" i="6"/>
  <c r="N139" i="6" s="1"/>
  <c r="B140" i="6"/>
  <c r="N140" i="6" s="1"/>
  <c r="B141" i="6"/>
  <c r="N141" i="6" s="1"/>
  <c r="B142" i="6"/>
  <c r="N142" i="6" s="1"/>
  <c r="B143" i="6"/>
  <c r="N143" i="6" s="1"/>
  <c r="B144" i="6"/>
  <c r="N144" i="6" s="1"/>
  <c r="B145" i="6"/>
  <c r="N145" i="6" s="1"/>
  <c r="B146" i="6"/>
  <c r="N146" i="6" s="1"/>
  <c r="B147" i="6"/>
  <c r="N147" i="6" s="1"/>
  <c r="B148" i="6"/>
  <c r="N148" i="6" s="1"/>
  <c r="B149" i="6"/>
  <c r="N149" i="6" s="1"/>
  <c r="B150" i="6"/>
  <c r="N150" i="6" s="1"/>
  <c r="B151" i="6"/>
  <c r="N151" i="6" s="1"/>
  <c r="B152" i="6"/>
  <c r="N152" i="6" s="1"/>
  <c r="B153" i="6"/>
  <c r="N153" i="6" s="1"/>
  <c r="B154" i="6"/>
  <c r="N154" i="6" s="1"/>
  <c r="B155" i="6"/>
  <c r="N155" i="6" s="1"/>
  <c r="B156" i="6"/>
  <c r="N156" i="6" s="1"/>
  <c r="B157" i="6"/>
  <c r="N157" i="6" s="1"/>
  <c r="B158" i="6"/>
  <c r="N158" i="6" s="1"/>
  <c r="B159" i="6"/>
  <c r="N159" i="6" s="1"/>
  <c r="B160" i="6"/>
  <c r="N160" i="6" s="1"/>
  <c r="B161" i="6"/>
  <c r="N161" i="6" s="1"/>
  <c r="B162" i="6"/>
  <c r="N162" i="6" s="1"/>
  <c r="B163" i="6"/>
  <c r="N163" i="6" s="1"/>
  <c r="B164" i="6"/>
  <c r="N164" i="6" s="1"/>
  <c r="B165" i="6"/>
  <c r="N165" i="6" s="1"/>
  <c r="B166" i="6"/>
  <c r="N166" i="6" s="1"/>
  <c r="B167" i="6"/>
  <c r="N167" i="6" s="1"/>
  <c r="B168" i="6"/>
  <c r="N168" i="6" s="1"/>
  <c r="B169" i="6"/>
  <c r="N169" i="6" s="1"/>
  <c r="B170" i="6"/>
  <c r="N170" i="6" s="1"/>
  <c r="B171" i="6"/>
  <c r="N171" i="6" s="1"/>
  <c r="B172" i="6"/>
  <c r="N172" i="6" s="1"/>
  <c r="B173" i="6"/>
  <c r="N173" i="6" s="1"/>
  <c r="B174" i="6"/>
  <c r="N174" i="6" s="1"/>
  <c r="B175" i="6"/>
  <c r="N175" i="6" s="1"/>
  <c r="B176" i="6"/>
  <c r="N176" i="6" s="1"/>
  <c r="B177" i="6"/>
  <c r="N177" i="6" s="1"/>
  <c r="B178" i="6"/>
  <c r="N178" i="6" s="1"/>
  <c r="B179" i="6"/>
  <c r="N179" i="6" s="1"/>
  <c r="B180" i="6"/>
  <c r="N180" i="6" s="1"/>
  <c r="B181" i="6"/>
  <c r="N181" i="6" s="1"/>
  <c r="B182" i="6"/>
  <c r="N182" i="6" s="1"/>
  <c r="B183" i="6"/>
  <c r="N183" i="6" s="1"/>
  <c r="B184" i="6"/>
  <c r="N184" i="6" s="1"/>
  <c r="B185" i="6"/>
  <c r="N185" i="6" s="1"/>
  <c r="B186" i="6"/>
  <c r="N186" i="6" s="1"/>
  <c r="B187" i="6"/>
  <c r="N187" i="6" s="1"/>
  <c r="B188" i="6"/>
  <c r="N188" i="6" s="1"/>
  <c r="B189" i="6"/>
  <c r="N189" i="6" s="1"/>
  <c r="B190" i="6"/>
  <c r="N190" i="6" s="1"/>
  <c r="B191" i="6"/>
  <c r="N191" i="6" s="1"/>
  <c r="B192" i="6"/>
  <c r="N192" i="6" s="1"/>
  <c r="B193" i="6"/>
  <c r="N193" i="6" s="1"/>
  <c r="B194" i="6"/>
  <c r="N194" i="6" s="1"/>
  <c r="B195" i="6"/>
  <c r="N195" i="6" s="1"/>
  <c r="B196" i="6"/>
  <c r="N196" i="6" s="1"/>
  <c r="B197" i="6"/>
  <c r="N197" i="6" s="1"/>
  <c r="B198" i="6"/>
  <c r="N198" i="6" s="1"/>
  <c r="B199" i="6"/>
  <c r="N199" i="6" s="1"/>
  <c r="B200" i="6"/>
  <c r="N200" i="6" s="1"/>
  <c r="B201" i="6"/>
  <c r="N201" i="6" s="1"/>
  <c r="B202" i="6"/>
  <c r="N202" i="6" s="1"/>
  <c r="B3" i="6"/>
  <c r="N3" i="6" s="1"/>
  <c r="B4" i="6"/>
  <c r="N4" i="6" s="1"/>
  <c r="B5" i="6"/>
  <c r="N5" i="6" s="1"/>
  <c r="B6" i="6"/>
  <c r="N6" i="6" s="1"/>
  <c r="B7" i="6"/>
  <c r="N7" i="6" s="1"/>
  <c r="B8" i="6"/>
  <c r="N8" i="6" s="1"/>
  <c r="B9" i="6"/>
  <c r="N9" i="6" s="1"/>
  <c r="B10" i="6"/>
  <c r="N10" i="6" s="1"/>
  <c r="B11" i="6"/>
  <c r="N11" i="6" s="1"/>
  <c r="B12" i="6"/>
  <c r="N12" i="6" s="1"/>
  <c r="B13" i="6"/>
  <c r="N13" i="6" s="1"/>
  <c r="B14" i="6"/>
  <c r="N14" i="6" s="1"/>
  <c r="AC12" i="6" l="1"/>
  <c r="AD12" i="6"/>
  <c r="AC200" i="6"/>
  <c r="AE188" i="6"/>
  <c r="AE164" i="6"/>
  <c r="AD164" i="6"/>
  <c r="AC164" i="6"/>
  <c r="AB164" i="6"/>
  <c r="AB152" i="6"/>
  <c r="AE152" i="6"/>
  <c r="AD140" i="6"/>
  <c r="AE128" i="6"/>
  <c r="AC128" i="6"/>
  <c r="AC116" i="6"/>
  <c r="AE116" i="6"/>
  <c r="AB116" i="6"/>
  <c r="AD116" i="6"/>
  <c r="AD104" i="6"/>
  <c r="AB104" i="6"/>
  <c r="AC104" i="6"/>
  <c r="AE104" i="6"/>
  <c r="AB92" i="6"/>
  <c r="AD80" i="6"/>
  <c r="AC80" i="6"/>
  <c r="AB68" i="6"/>
  <c r="AE68" i="6"/>
  <c r="AC44" i="6"/>
  <c r="AE44" i="6"/>
  <c r="AB32" i="6"/>
  <c r="AE20" i="6"/>
  <c r="AB20" i="6"/>
  <c r="AC20" i="6"/>
  <c r="AD20" i="6"/>
  <c r="AC11" i="6"/>
  <c r="AD199" i="6"/>
  <c r="AB187" i="6"/>
  <c r="AB163" i="6"/>
  <c r="AC163" i="6"/>
  <c r="AD163" i="6"/>
  <c r="AE163" i="6"/>
  <c r="AB151" i="6"/>
  <c r="AD151" i="6"/>
  <c r="AB139" i="6"/>
  <c r="AB127" i="6"/>
  <c r="AD127" i="6"/>
  <c r="AB115" i="6"/>
  <c r="AD115" i="6"/>
  <c r="AC115" i="6"/>
  <c r="AE115" i="6"/>
  <c r="AB103" i="6"/>
  <c r="AE103" i="6"/>
  <c r="AD103" i="6"/>
  <c r="AC103" i="6"/>
  <c r="AB91" i="6"/>
  <c r="AD91" i="6"/>
  <c r="AB79" i="6"/>
  <c r="AD79" i="6"/>
  <c r="AB67" i="6"/>
  <c r="AE67" i="6"/>
  <c r="AB55" i="6"/>
  <c r="AE55" i="6"/>
  <c r="AD43" i="6"/>
  <c r="AC43" i="6"/>
  <c r="AE10" i="6"/>
  <c r="AB198" i="6"/>
  <c r="AD186" i="6"/>
  <c r="AB162" i="6"/>
  <c r="AC162" i="6"/>
  <c r="AD162" i="6"/>
  <c r="AE162" i="6"/>
  <c r="AC150" i="6"/>
  <c r="AD150" i="6"/>
  <c r="AC138" i="6"/>
  <c r="AC126" i="6"/>
  <c r="AD126" i="6"/>
  <c r="AB114" i="6"/>
  <c r="AC114" i="6"/>
  <c r="AD114" i="6"/>
  <c r="AE114" i="6"/>
  <c r="AB102" i="6"/>
  <c r="AC102" i="6"/>
  <c r="AD102" i="6"/>
  <c r="AE102" i="6"/>
  <c r="AB90" i="6"/>
  <c r="AD90" i="6"/>
  <c r="AE78" i="6"/>
  <c r="AB54" i="6"/>
  <c r="AD54" i="6"/>
  <c r="AC42" i="6"/>
  <c r="AD42" i="6"/>
  <c r="AB30" i="6"/>
  <c r="AD30" i="6"/>
  <c r="AC18" i="6"/>
  <c r="AB9" i="6"/>
  <c r="AC9" i="6"/>
  <c r="AD9" i="6"/>
  <c r="AE9" i="6"/>
  <c r="AE197" i="6"/>
  <c r="AC185" i="6"/>
  <c r="AB161" i="6"/>
  <c r="AC161" i="6"/>
  <c r="AD161" i="6"/>
  <c r="AE161" i="6"/>
  <c r="AE149" i="6"/>
  <c r="AC149" i="6"/>
  <c r="AE137" i="6"/>
  <c r="AB125" i="6"/>
  <c r="AE125" i="6"/>
  <c r="AD113" i="6"/>
  <c r="AE113" i="6"/>
  <c r="AB113" i="6"/>
  <c r="AC113" i="6"/>
  <c r="AD101" i="6"/>
  <c r="AB101" i="6"/>
  <c r="AC101" i="6"/>
  <c r="AE101" i="6"/>
  <c r="AC89" i="6"/>
  <c r="AE89" i="6"/>
  <c r="AE77" i="6"/>
  <c r="AC77" i="6"/>
  <c r="AD65" i="6"/>
  <c r="AE65" i="6"/>
  <c r="AB65" i="6"/>
  <c r="AC65" i="6"/>
  <c r="AB53" i="6"/>
  <c r="AC53" i="6"/>
  <c r="AD53" i="6"/>
  <c r="AE53" i="6"/>
  <c r="AE41" i="6"/>
  <c r="AB41" i="6"/>
  <c r="AC29" i="6"/>
  <c r="AD17" i="6"/>
  <c r="X2" i="6"/>
  <c r="BJ2" i="6" s="1"/>
  <c r="AB8" i="6"/>
  <c r="AE8" i="6"/>
  <c r="AD184" i="6"/>
  <c r="AB172" i="6"/>
  <c r="AC172" i="6"/>
  <c r="AD172" i="6"/>
  <c r="AE172" i="6"/>
  <c r="AB160" i="6"/>
  <c r="AD160" i="6"/>
  <c r="AE160" i="6"/>
  <c r="AC160" i="6"/>
  <c r="AE124" i="6"/>
  <c r="AC124" i="6"/>
  <c r="AE112" i="6"/>
  <c r="AC76" i="6"/>
  <c r="AE76" i="6"/>
  <c r="AB64" i="6"/>
  <c r="AC64" i="6"/>
  <c r="AE64" i="6"/>
  <c r="AD64" i="6"/>
  <c r="AC28" i="6"/>
  <c r="AB16" i="6"/>
  <c r="AC170" i="6"/>
  <c r="AE170" i="6"/>
  <c r="AD170" i="6"/>
  <c r="AB170" i="6"/>
  <c r="AC122" i="6"/>
  <c r="AD122" i="6"/>
  <c r="AB74" i="6"/>
  <c r="AC74" i="6"/>
  <c r="AE74" i="6"/>
  <c r="AD74" i="6"/>
  <c r="AD50" i="6"/>
  <c r="AC26" i="6"/>
  <c r="AD26" i="6"/>
  <c r="AE181" i="6"/>
  <c r="AC109" i="6"/>
  <c r="AB49" i="6"/>
  <c r="AC4" i="6"/>
  <c r="AB4" i="6"/>
  <c r="AD4" i="6"/>
  <c r="AE4" i="6"/>
  <c r="AB156" i="6"/>
  <c r="AE156" i="6"/>
  <c r="AC7" i="6"/>
  <c r="AE7" i="6"/>
  <c r="AB183" i="6"/>
  <c r="AB171" i="6"/>
  <c r="AC171" i="6"/>
  <c r="AD171" i="6"/>
  <c r="AE171" i="6"/>
  <c r="AB159" i="6"/>
  <c r="AC159" i="6"/>
  <c r="AD159" i="6"/>
  <c r="AE159" i="6"/>
  <c r="AB123" i="6"/>
  <c r="AD123" i="6"/>
  <c r="AB111" i="6"/>
  <c r="AB87" i="6"/>
  <c r="AE87" i="6"/>
  <c r="AC75" i="6"/>
  <c r="AD75" i="6"/>
  <c r="AE51" i="6"/>
  <c r="AC39" i="6"/>
  <c r="AE27" i="6"/>
  <c r="AC182" i="6"/>
  <c r="AC158" i="6"/>
  <c r="AD158" i="6"/>
  <c r="AE158" i="6"/>
  <c r="AB158" i="6"/>
  <c r="AD110" i="6"/>
  <c r="AB86" i="6"/>
  <c r="AC86" i="6"/>
  <c r="AD86" i="6"/>
  <c r="AE86" i="6"/>
  <c r="AC38" i="6"/>
  <c r="AD38" i="6"/>
  <c r="AB169" i="6"/>
  <c r="AC169" i="6"/>
  <c r="AD169" i="6"/>
  <c r="AE169" i="6"/>
  <c r="AB73" i="6"/>
  <c r="AC73" i="6"/>
  <c r="AE73" i="6"/>
  <c r="AD73" i="6"/>
  <c r="AB25" i="6"/>
  <c r="AE25" i="6"/>
  <c r="AB192" i="6"/>
  <c r="AE132" i="6"/>
  <c r="AD191" i="6"/>
  <c r="AB179" i="6"/>
  <c r="AB167" i="6"/>
  <c r="AC167" i="6"/>
  <c r="AD167" i="6"/>
  <c r="AE167" i="6"/>
  <c r="AB155" i="6"/>
  <c r="AD155" i="6"/>
  <c r="AB143" i="6"/>
  <c r="AB131" i="6"/>
  <c r="AB119" i="6"/>
  <c r="AD119" i="6"/>
  <c r="AE119" i="6"/>
  <c r="AC119" i="6"/>
  <c r="AB107" i="6"/>
  <c r="AD107" i="6"/>
  <c r="AC95" i="6"/>
  <c r="AB95" i="6"/>
  <c r="AE95" i="6"/>
  <c r="AD95" i="6"/>
  <c r="AE83" i="6"/>
  <c r="AC71" i="6"/>
  <c r="AB59" i="6"/>
  <c r="AC59" i="6"/>
  <c r="AD59" i="6"/>
  <c r="AE59" i="6"/>
  <c r="AB47" i="6"/>
  <c r="AD47" i="6"/>
  <c r="AB35" i="6"/>
  <c r="AE35" i="6"/>
  <c r="AB23" i="6"/>
  <c r="AC23" i="6"/>
  <c r="AD23" i="6"/>
  <c r="AE23" i="6"/>
  <c r="AB168" i="6"/>
  <c r="AC168" i="6"/>
  <c r="AD168" i="6"/>
  <c r="AE168" i="6"/>
  <c r="AB120" i="6"/>
  <c r="AC120" i="6"/>
  <c r="AD120" i="6"/>
  <c r="AE120" i="6"/>
  <c r="AB48" i="6"/>
  <c r="AC48" i="6"/>
  <c r="AD48" i="6"/>
  <c r="AE48" i="6"/>
  <c r="AC24" i="6"/>
  <c r="AE24" i="6"/>
  <c r="AD14" i="6"/>
  <c r="AB14" i="6"/>
  <c r="AC190" i="6"/>
  <c r="AC178" i="6"/>
  <c r="AB166" i="6"/>
  <c r="AE166" i="6"/>
  <c r="AC166" i="6"/>
  <c r="AD166" i="6"/>
  <c r="AC154" i="6"/>
  <c r="AD154" i="6"/>
  <c r="AC142" i="6"/>
  <c r="AD130" i="6"/>
  <c r="AB118" i="6"/>
  <c r="AC118" i="6"/>
  <c r="AE118" i="6"/>
  <c r="AD118" i="6"/>
  <c r="AC106" i="6"/>
  <c r="AD106" i="6"/>
  <c r="AD82" i="6"/>
  <c r="AC70" i="6"/>
  <c r="AD70" i="6"/>
  <c r="AB58" i="6"/>
  <c r="AD58" i="6"/>
  <c r="AE46" i="6"/>
  <c r="AB157" i="6"/>
  <c r="AC157" i="6"/>
  <c r="AD157" i="6"/>
  <c r="AE157" i="6"/>
  <c r="AB121" i="6"/>
  <c r="AE121" i="6"/>
  <c r="AB85" i="6"/>
  <c r="AC85" i="6"/>
  <c r="AD85" i="6"/>
  <c r="AE85" i="6"/>
  <c r="AD37" i="6"/>
  <c r="AD180" i="6"/>
  <c r="AD144" i="6"/>
  <c r="AB108" i="6"/>
  <c r="AE108" i="6"/>
  <c r="AB60" i="6"/>
  <c r="AB36" i="6"/>
  <c r="AC36" i="6"/>
  <c r="AD36" i="6"/>
  <c r="AE36" i="6"/>
  <c r="AB13" i="6"/>
  <c r="AD13" i="6"/>
  <c r="AC13" i="6"/>
  <c r="AE13" i="6"/>
  <c r="AE189" i="6"/>
  <c r="AE177" i="6"/>
  <c r="AB165" i="6"/>
  <c r="AC165" i="6"/>
  <c r="AD165" i="6"/>
  <c r="AE165" i="6"/>
  <c r="AC153" i="6"/>
  <c r="AE153" i="6"/>
  <c r="AE141" i="6"/>
  <c r="AC129" i="6"/>
  <c r="AB117" i="6"/>
  <c r="AC117" i="6"/>
  <c r="AD117" i="6"/>
  <c r="AE117" i="6"/>
  <c r="AC105" i="6"/>
  <c r="AE105" i="6"/>
  <c r="AB93" i="6"/>
  <c r="AC93" i="6"/>
  <c r="AD93" i="6"/>
  <c r="AE93" i="6"/>
  <c r="AB81" i="6"/>
  <c r="AD69" i="6"/>
  <c r="AC57" i="6"/>
  <c r="AE57" i="6"/>
  <c r="AC45" i="6"/>
  <c r="AE45" i="6"/>
  <c r="AD33" i="6"/>
  <c r="AB21" i="6"/>
  <c r="AC21" i="6"/>
  <c r="AD21" i="6"/>
  <c r="AE21" i="6"/>
  <c r="AG9" i="6"/>
  <c r="AF9" i="6"/>
  <c r="AM9" i="6"/>
  <c r="AJ9" i="6"/>
  <c r="AK9" i="6"/>
  <c r="AL9" i="6"/>
  <c r="AH9" i="6"/>
  <c r="AI9" i="6"/>
  <c r="AG149" i="6"/>
  <c r="AH149" i="6"/>
  <c r="AI149" i="6"/>
  <c r="AK149" i="6"/>
  <c r="AL149" i="6"/>
  <c r="AM149" i="6"/>
  <c r="AG101" i="6"/>
  <c r="AH101" i="6"/>
  <c r="AJ101" i="6"/>
  <c r="AL101" i="6"/>
  <c r="AK101" i="6"/>
  <c r="AI101" i="6"/>
  <c r="AM101" i="6"/>
  <c r="AF101" i="6"/>
  <c r="AG29" i="6"/>
  <c r="AH29" i="6"/>
  <c r="AK29" i="6"/>
  <c r="AL29" i="6"/>
  <c r="AH184" i="6"/>
  <c r="AF184" i="6"/>
  <c r="AJ184" i="6"/>
  <c r="AL184" i="6"/>
  <c r="AH100" i="6"/>
  <c r="AI100" i="6"/>
  <c r="AL100" i="6"/>
  <c r="AM100" i="6"/>
  <c r="AG28" i="6"/>
  <c r="AH28" i="6"/>
  <c r="AL28" i="6"/>
  <c r="AK28" i="6"/>
  <c r="AF183" i="6"/>
  <c r="AJ183" i="6"/>
  <c r="AI183" i="6"/>
  <c r="AM183" i="6"/>
  <c r="AM123" i="6"/>
  <c r="AH123" i="6"/>
  <c r="AI123" i="6"/>
  <c r="AF123" i="6"/>
  <c r="AJ123" i="6"/>
  <c r="AL123" i="6"/>
  <c r="AM63" i="6"/>
  <c r="AH63" i="6"/>
  <c r="AL63" i="6"/>
  <c r="AI63" i="6"/>
  <c r="AM194" i="6"/>
  <c r="AI194" i="6"/>
  <c r="AF122" i="6"/>
  <c r="AH122" i="6"/>
  <c r="AJ122" i="6"/>
  <c r="AK122" i="6"/>
  <c r="AL122" i="6"/>
  <c r="AG122" i="6"/>
  <c r="AF62" i="6"/>
  <c r="AG62" i="6"/>
  <c r="AJ62" i="6"/>
  <c r="AK62" i="6"/>
  <c r="AF38" i="6"/>
  <c r="AG38" i="6"/>
  <c r="AH38" i="6"/>
  <c r="AL38" i="6"/>
  <c r="AJ38" i="6"/>
  <c r="AK38" i="6"/>
  <c r="AG181" i="6"/>
  <c r="AM181" i="6"/>
  <c r="AI181" i="6"/>
  <c r="AK181" i="6"/>
  <c r="AG145" i="6"/>
  <c r="AJ145" i="6"/>
  <c r="AK145" i="6"/>
  <c r="AF145" i="6"/>
  <c r="AG109" i="6"/>
  <c r="AH109" i="6"/>
  <c r="AL109" i="6"/>
  <c r="AK109" i="6"/>
  <c r="AH61" i="6"/>
  <c r="AI61" i="6"/>
  <c r="AL61" i="6"/>
  <c r="AM61" i="6"/>
  <c r="AF25" i="6"/>
  <c r="AG25" i="6"/>
  <c r="AI25" i="6"/>
  <c r="AJ25" i="6"/>
  <c r="AK25" i="6"/>
  <c r="AM25" i="6"/>
  <c r="AF192" i="6"/>
  <c r="AI192" i="6"/>
  <c r="AJ192" i="6"/>
  <c r="AM192" i="6"/>
  <c r="AG156" i="6"/>
  <c r="AM156" i="6"/>
  <c r="AF156" i="6"/>
  <c r="AJ156" i="6"/>
  <c r="AK156" i="6"/>
  <c r="AI156" i="6"/>
  <c r="AG120" i="6"/>
  <c r="AM120" i="6"/>
  <c r="AF120" i="6"/>
  <c r="AH120" i="6"/>
  <c r="AI120" i="6"/>
  <c r="AJ120" i="6"/>
  <c r="AK120" i="6"/>
  <c r="AL120" i="6"/>
  <c r="AI72" i="6"/>
  <c r="AM72" i="6"/>
  <c r="AG36" i="6"/>
  <c r="AI36" i="6"/>
  <c r="AM36" i="6"/>
  <c r="AJ36" i="6"/>
  <c r="AF36" i="6"/>
  <c r="AL36" i="6"/>
  <c r="AH36" i="6"/>
  <c r="AK36" i="6"/>
  <c r="AH3" i="6"/>
  <c r="AI3" i="6"/>
  <c r="AM3" i="6"/>
  <c r="AL3" i="6"/>
  <c r="AJ191" i="6"/>
  <c r="AF191" i="6"/>
  <c r="AH191" i="6"/>
  <c r="AL191" i="6"/>
  <c r="AF179" i="6"/>
  <c r="AI179" i="6"/>
  <c r="AJ179" i="6"/>
  <c r="AM179" i="6"/>
  <c r="AF167" i="6"/>
  <c r="AJ167" i="6"/>
  <c r="AK167" i="6"/>
  <c r="AL167" i="6"/>
  <c r="AM167" i="6"/>
  <c r="AG167" i="6"/>
  <c r="AH167" i="6"/>
  <c r="AI167" i="6"/>
  <c r="AV167" i="6"/>
  <c r="AF155" i="6"/>
  <c r="AJ155" i="6"/>
  <c r="AL155" i="6"/>
  <c r="AM155" i="6"/>
  <c r="AH155" i="6"/>
  <c r="AI155" i="6"/>
  <c r="AF143" i="6"/>
  <c r="AI143" i="6"/>
  <c r="AJ143" i="6"/>
  <c r="AM143" i="6"/>
  <c r="AF131" i="6"/>
  <c r="AI131" i="6"/>
  <c r="AJ131" i="6"/>
  <c r="AM131" i="6"/>
  <c r="AG119" i="6"/>
  <c r="AH119" i="6"/>
  <c r="AF119" i="6"/>
  <c r="AJ119" i="6"/>
  <c r="AI119" i="6"/>
  <c r="AL119" i="6"/>
  <c r="AM119" i="6"/>
  <c r="AK119" i="6"/>
  <c r="AH107" i="6"/>
  <c r="AI107" i="6"/>
  <c r="AJ107" i="6"/>
  <c r="AL107" i="6"/>
  <c r="AM107" i="6"/>
  <c r="AF107" i="6"/>
  <c r="AH95" i="6"/>
  <c r="AF95" i="6"/>
  <c r="AI95" i="6"/>
  <c r="AM95" i="6"/>
  <c r="AG95" i="6"/>
  <c r="AL95" i="6"/>
  <c r="AJ95" i="6"/>
  <c r="AK95" i="6"/>
  <c r="AG83" i="6"/>
  <c r="AI83" i="6"/>
  <c r="AM83" i="6"/>
  <c r="AK83" i="6"/>
  <c r="AG71" i="6"/>
  <c r="AH71" i="6"/>
  <c r="AK71" i="6"/>
  <c r="AL71" i="6"/>
  <c r="AH59" i="6"/>
  <c r="AJ59" i="6"/>
  <c r="AK59" i="6"/>
  <c r="AL59" i="6"/>
  <c r="AM59" i="6"/>
  <c r="AF59" i="6"/>
  <c r="AG59" i="6"/>
  <c r="AI59" i="6"/>
  <c r="AH47" i="6"/>
  <c r="AF47" i="6"/>
  <c r="AJ47" i="6"/>
  <c r="AL47" i="6"/>
  <c r="AI47" i="6"/>
  <c r="AM47" i="6"/>
  <c r="AG35" i="6"/>
  <c r="AK35" i="6"/>
  <c r="AJ35" i="6"/>
  <c r="AI35" i="6"/>
  <c r="AF35" i="6"/>
  <c r="AM35" i="6"/>
  <c r="AH23" i="6"/>
  <c r="AI23" i="6"/>
  <c r="AG23" i="6"/>
  <c r="AJ23" i="6"/>
  <c r="AK23" i="6"/>
  <c r="AL23" i="6"/>
  <c r="AF23" i="6"/>
  <c r="AM23" i="6"/>
  <c r="AH173" i="6"/>
  <c r="AI173" i="6"/>
  <c r="AL173" i="6"/>
  <c r="AM173" i="6"/>
  <c r="AH113" i="6"/>
  <c r="AF113" i="6"/>
  <c r="AM113" i="6"/>
  <c r="AI113" i="6"/>
  <c r="AG113" i="6"/>
  <c r="AJ113" i="6"/>
  <c r="AK113" i="6"/>
  <c r="AL113" i="6"/>
  <c r="AG65" i="6"/>
  <c r="AH65" i="6"/>
  <c r="AF65" i="6"/>
  <c r="AK65" i="6"/>
  <c r="AJ65" i="6"/>
  <c r="AL65" i="6"/>
  <c r="AM65" i="6"/>
  <c r="AI65" i="6"/>
  <c r="AF196" i="6"/>
  <c r="AJ196" i="6"/>
  <c r="AK196" i="6"/>
  <c r="AG196" i="6"/>
  <c r="AI136" i="6"/>
  <c r="AM136" i="6"/>
  <c r="AG76" i="6"/>
  <c r="AH76" i="6"/>
  <c r="AI76" i="6"/>
  <c r="AL76" i="6"/>
  <c r="AM76" i="6"/>
  <c r="AK76" i="6"/>
  <c r="AF16" i="6"/>
  <c r="AI16" i="6"/>
  <c r="AJ16" i="6"/>
  <c r="AM16" i="6"/>
  <c r="AG195" i="6"/>
  <c r="AK195" i="6"/>
  <c r="AG159" i="6"/>
  <c r="AF159" i="6"/>
  <c r="AM159" i="6"/>
  <c r="AH159" i="6"/>
  <c r="AI159" i="6"/>
  <c r="AJ159" i="6"/>
  <c r="AK159" i="6"/>
  <c r="AL159" i="6"/>
  <c r="AG87" i="6"/>
  <c r="AM87" i="6"/>
  <c r="AF87" i="6"/>
  <c r="AI87" i="6"/>
  <c r="AK87" i="6"/>
  <c r="AJ87" i="6"/>
  <c r="AG15" i="6"/>
  <c r="AF15" i="6"/>
  <c r="AJ15" i="6"/>
  <c r="AK15" i="6"/>
  <c r="AK182" i="6"/>
  <c r="AL182" i="6"/>
  <c r="AG182" i="6"/>
  <c r="AH182" i="6"/>
  <c r="AG134" i="6"/>
  <c r="AK134" i="6"/>
  <c r="AF98" i="6"/>
  <c r="AG98" i="6"/>
  <c r="AJ98" i="6"/>
  <c r="AK98" i="6"/>
  <c r="AF50" i="6"/>
  <c r="AH50" i="6"/>
  <c r="AL50" i="6"/>
  <c r="AJ50" i="6"/>
  <c r="AH5" i="6"/>
  <c r="AI5" i="6"/>
  <c r="AL5" i="6"/>
  <c r="AM5" i="6"/>
  <c r="AM169" i="6"/>
  <c r="AG169" i="6"/>
  <c r="AI169" i="6"/>
  <c r="AH169" i="6"/>
  <c r="AK169" i="6"/>
  <c r="AJ169" i="6"/>
  <c r="AF169" i="6"/>
  <c r="AL169" i="6"/>
  <c r="AV169" i="6"/>
  <c r="AJ133" i="6"/>
  <c r="AF133" i="6"/>
  <c r="AF97" i="6"/>
  <c r="AG97" i="6"/>
  <c r="AJ97" i="6"/>
  <c r="AK97" i="6"/>
  <c r="AF73" i="6"/>
  <c r="AG73" i="6"/>
  <c r="AH73" i="6"/>
  <c r="AI73" i="6"/>
  <c r="AJ73" i="6"/>
  <c r="AK73" i="6"/>
  <c r="AL73" i="6"/>
  <c r="AM73" i="6"/>
  <c r="AF37" i="6"/>
  <c r="AH37" i="6"/>
  <c r="AJ37" i="6"/>
  <c r="AL37" i="6"/>
  <c r="AJ180" i="6"/>
  <c r="AH180" i="6"/>
  <c r="AL180" i="6"/>
  <c r="AF180" i="6"/>
  <c r="AJ144" i="6"/>
  <c r="AL144" i="6"/>
  <c r="AF144" i="6"/>
  <c r="AH144" i="6"/>
  <c r="AG108" i="6"/>
  <c r="AI108" i="6"/>
  <c r="AM108" i="6"/>
  <c r="AF108" i="6"/>
  <c r="AJ108" i="6"/>
  <c r="AK108" i="6"/>
  <c r="AF84" i="6"/>
  <c r="AJ84" i="6"/>
  <c r="AG48" i="6"/>
  <c r="AM48" i="6"/>
  <c r="AF48" i="6"/>
  <c r="AJ48" i="6"/>
  <c r="AI48" i="6"/>
  <c r="AH48" i="6"/>
  <c r="AK48" i="6"/>
  <c r="AL48" i="6"/>
  <c r="AF14" i="6"/>
  <c r="AJ14" i="6"/>
  <c r="AL14" i="6"/>
  <c r="AM14" i="6"/>
  <c r="AH14" i="6"/>
  <c r="AI14" i="6"/>
  <c r="AH202" i="6"/>
  <c r="AL202" i="6"/>
  <c r="AG190" i="6"/>
  <c r="AK190" i="6"/>
  <c r="AH190" i="6"/>
  <c r="AL190" i="6"/>
  <c r="AH178" i="6"/>
  <c r="AG178" i="6"/>
  <c r="AK178" i="6"/>
  <c r="AL178" i="6"/>
  <c r="AH166" i="6"/>
  <c r="AI166" i="6"/>
  <c r="AM166" i="6"/>
  <c r="AG166" i="6"/>
  <c r="AJ166" i="6"/>
  <c r="AK166" i="6"/>
  <c r="AL166" i="6"/>
  <c r="AF166" i="6"/>
  <c r="AV166" i="6"/>
  <c r="AG154" i="6"/>
  <c r="AH154" i="6"/>
  <c r="AF154" i="6"/>
  <c r="AJ154" i="6"/>
  <c r="AL154" i="6"/>
  <c r="AK154" i="6"/>
  <c r="AK142" i="6"/>
  <c r="AG142" i="6"/>
  <c r="AH142" i="6"/>
  <c r="AL142" i="6"/>
  <c r="AF130" i="6"/>
  <c r="AJ130" i="6"/>
  <c r="AH130" i="6"/>
  <c r="AL130" i="6"/>
  <c r="AF118" i="6"/>
  <c r="AG118" i="6"/>
  <c r="AH118" i="6"/>
  <c r="AI118" i="6"/>
  <c r="AJ118" i="6"/>
  <c r="AK118" i="6"/>
  <c r="AL118" i="6"/>
  <c r="AM118" i="6"/>
  <c r="AF106" i="6"/>
  <c r="AG106" i="6"/>
  <c r="AH106" i="6"/>
  <c r="AJ106" i="6"/>
  <c r="AK106" i="6"/>
  <c r="AL106" i="6"/>
  <c r="AH94" i="6"/>
  <c r="AI94" i="6"/>
  <c r="AM94" i="6"/>
  <c r="AL94" i="6"/>
  <c r="AF82" i="6"/>
  <c r="AH82" i="6"/>
  <c r="AJ82" i="6"/>
  <c r="AL82" i="6"/>
  <c r="AF70" i="6"/>
  <c r="AG70" i="6"/>
  <c r="AH70" i="6"/>
  <c r="AJ70" i="6"/>
  <c r="AL70" i="6"/>
  <c r="AK70" i="6"/>
  <c r="AF58" i="6"/>
  <c r="AH58" i="6"/>
  <c r="AI58" i="6"/>
  <c r="AJ58" i="6"/>
  <c r="AL58" i="6"/>
  <c r="AM58" i="6"/>
  <c r="AG46" i="6"/>
  <c r="AI46" i="6"/>
  <c r="AM46" i="6"/>
  <c r="AK46" i="6"/>
  <c r="AF34" i="6"/>
  <c r="AG34" i="6"/>
  <c r="AJ34" i="6"/>
  <c r="AK34" i="6"/>
  <c r="AG22" i="6"/>
  <c r="AK22" i="6"/>
  <c r="AF161" i="6"/>
  <c r="AG161" i="6"/>
  <c r="AI161" i="6"/>
  <c r="AJ161" i="6"/>
  <c r="AK161" i="6"/>
  <c r="AL161" i="6"/>
  <c r="AM161" i="6"/>
  <c r="AH161" i="6"/>
  <c r="AH77" i="6"/>
  <c r="AI77" i="6"/>
  <c r="AM77" i="6"/>
  <c r="AG77" i="6"/>
  <c r="AK77" i="6"/>
  <c r="AL77" i="6"/>
  <c r="AF17" i="6"/>
  <c r="AH17" i="6"/>
  <c r="AJ17" i="6"/>
  <c r="AL17" i="6"/>
  <c r="AL160" i="6"/>
  <c r="AF160" i="6"/>
  <c r="AM160" i="6"/>
  <c r="AG160" i="6"/>
  <c r="AH160" i="6"/>
  <c r="AI160" i="6"/>
  <c r="AJ160" i="6"/>
  <c r="AK160" i="6"/>
  <c r="AG112" i="6"/>
  <c r="AI112" i="6"/>
  <c r="AM112" i="6"/>
  <c r="AK112" i="6"/>
  <c r="AF52" i="6"/>
  <c r="AJ52" i="6"/>
  <c r="AG7" i="6"/>
  <c r="AH7" i="6"/>
  <c r="AI7" i="6"/>
  <c r="AL7" i="6"/>
  <c r="AM7" i="6"/>
  <c r="AK7" i="6"/>
  <c r="AH135" i="6"/>
  <c r="AL135" i="6"/>
  <c r="AG75" i="6"/>
  <c r="AF75" i="6"/>
  <c r="AH75" i="6"/>
  <c r="AJ75" i="6"/>
  <c r="AL75" i="6"/>
  <c r="AK75" i="6"/>
  <c r="AG39" i="6"/>
  <c r="AH39" i="6"/>
  <c r="AK39" i="6"/>
  <c r="AL39" i="6"/>
  <c r="AF146" i="6"/>
  <c r="AG146" i="6"/>
  <c r="AJ146" i="6"/>
  <c r="AK146" i="6"/>
  <c r="AF86" i="6"/>
  <c r="AJ86" i="6"/>
  <c r="AK86" i="6"/>
  <c r="AL86" i="6"/>
  <c r="AG86" i="6"/>
  <c r="AI86" i="6"/>
  <c r="AH86" i="6"/>
  <c r="AM86" i="6"/>
  <c r="AF26" i="6"/>
  <c r="AG26" i="6"/>
  <c r="AH26" i="6"/>
  <c r="AL26" i="6"/>
  <c r="AJ26" i="6"/>
  <c r="AK26" i="6"/>
  <c r="AI193" i="6"/>
  <c r="AM193" i="6"/>
  <c r="AH193" i="6"/>
  <c r="AL193" i="6"/>
  <c r="AH157" i="6"/>
  <c r="AI157" i="6"/>
  <c r="AK157" i="6"/>
  <c r="AF157" i="6"/>
  <c r="AL157" i="6"/>
  <c r="AM157" i="6"/>
  <c r="AG157" i="6"/>
  <c r="AJ157" i="6"/>
  <c r="AF121" i="6"/>
  <c r="AG121" i="6"/>
  <c r="AI121" i="6"/>
  <c r="AJ121" i="6"/>
  <c r="AK121" i="6"/>
  <c r="AM121" i="6"/>
  <c r="AF85" i="6"/>
  <c r="AG85" i="6"/>
  <c r="AH85" i="6"/>
  <c r="AI85" i="6"/>
  <c r="AJ85" i="6"/>
  <c r="AK85" i="6"/>
  <c r="AL85" i="6"/>
  <c r="AM85" i="6"/>
  <c r="AF49" i="6"/>
  <c r="AI49" i="6"/>
  <c r="AJ49" i="6"/>
  <c r="AM49" i="6"/>
  <c r="AF4" i="6"/>
  <c r="AG4" i="6"/>
  <c r="AH4" i="6"/>
  <c r="AI4" i="6"/>
  <c r="AJ4" i="6"/>
  <c r="AL4" i="6"/>
  <c r="AM4" i="6"/>
  <c r="AK4" i="6"/>
  <c r="AG168" i="6"/>
  <c r="AF168" i="6"/>
  <c r="AH168" i="6"/>
  <c r="AI168" i="6"/>
  <c r="AJ168" i="6"/>
  <c r="AM168" i="6"/>
  <c r="AK168" i="6"/>
  <c r="AL168" i="6"/>
  <c r="AV168" i="6"/>
  <c r="AG132" i="6"/>
  <c r="AM132" i="6"/>
  <c r="AI132" i="6"/>
  <c r="AK132" i="6"/>
  <c r="AG96" i="6"/>
  <c r="AF96" i="6"/>
  <c r="AJ96" i="6"/>
  <c r="AK96" i="6"/>
  <c r="AI60" i="6"/>
  <c r="AM60" i="6"/>
  <c r="AJ60" i="6"/>
  <c r="AF60" i="6"/>
  <c r="AG24" i="6"/>
  <c r="AH24" i="6"/>
  <c r="AI24" i="6"/>
  <c r="AM24" i="6"/>
  <c r="AK24" i="6"/>
  <c r="AL24" i="6"/>
  <c r="AF13" i="6"/>
  <c r="AG13" i="6"/>
  <c r="AH13" i="6"/>
  <c r="AI13" i="6"/>
  <c r="AJ13" i="6"/>
  <c r="AL13" i="6"/>
  <c r="AM13" i="6"/>
  <c r="AK13" i="6"/>
  <c r="AF201" i="6"/>
  <c r="AJ201" i="6"/>
  <c r="AI189" i="6"/>
  <c r="AG189" i="6"/>
  <c r="AM189" i="6"/>
  <c r="AK189" i="6"/>
  <c r="AG177" i="6"/>
  <c r="AM177" i="6"/>
  <c r="AI177" i="6"/>
  <c r="AK177" i="6"/>
  <c r="AG165" i="6"/>
  <c r="AF165" i="6"/>
  <c r="AI165" i="6"/>
  <c r="AH165" i="6"/>
  <c r="AJ165" i="6"/>
  <c r="AL165" i="6"/>
  <c r="AM165" i="6"/>
  <c r="AK165" i="6"/>
  <c r="AV165" i="6"/>
  <c r="AG153" i="6"/>
  <c r="AM153" i="6"/>
  <c r="AH153" i="6"/>
  <c r="AI153" i="6"/>
  <c r="AK153" i="6"/>
  <c r="AL153" i="6"/>
  <c r="AG141" i="6"/>
  <c r="AM141" i="6"/>
  <c r="AK141" i="6"/>
  <c r="AI141" i="6"/>
  <c r="AG129" i="6"/>
  <c r="AH129" i="6"/>
  <c r="AL129" i="6"/>
  <c r="AK129" i="6"/>
  <c r="AG117" i="6"/>
  <c r="AF117" i="6"/>
  <c r="AM117" i="6"/>
  <c r="AK117" i="6"/>
  <c r="AL117" i="6"/>
  <c r="AH117" i="6"/>
  <c r="AI117" i="6"/>
  <c r="AJ117" i="6"/>
  <c r="AG105" i="6"/>
  <c r="AH105" i="6"/>
  <c r="AM105" i="6"/>
  <c r="AI105" i="6"/>
  <c r="AK105" i="6"/>
  <c r="AL105" i="6"/>
  <c r="AG93" i="6"/>
  <c r="AF93" i="6"/>
  <c r="AM93" i="6"/>
  <c r="AH93" i="6"/>
  <c r="AI93" i="6"/>
  <c r="AJ93" i="6"/>
  <c r="AK93" i="6"/>
  <c r="AL93" i="6"/>
  <c r="AF81" i="6"/>
  <c r="AI81" i="6"/>
  <c r="AM81" i="6"/>
  <c r="AJ81" i="6"/>
  <c r="AF69" i="6"/>
  <c r="AH69" i="6"/>
  <c r="AJ69" i="6"/>
  <c r="AL69" i="6"/>
  <c r="AG57" i="6"/>
  <c r="AH57" i="6"/>
  <c r="AM57" i="6"/>
  <c r="AI57" i="6"/>
  <c r="AL57" i="6"/>
  <c r="AK57" i="6"/>
  <c r="AG45" i="6"/>
  <c r="AM45" i="6"/>
  <c r="AI45" i="6"/>
  <c r="AH45" i="6"/>
  <c r="AK45" i="6"/>
  <c r="AL45" i="6"/>
  <c r="AF33" i="6"/>
  <c r="AH33" i="6"/>
  <c r="AJ33" i="6"/>
  <c r="AL33" i="6"/>
  <c r="AG21" i="6"/>
  <c r="AF21" i="6"/>
  <c r="AH21" i="6"/>
  <c r="AM21" i="6"/>
  <c r="AI21" i="6"/>
  <c r="AJ21" i="6"/>
  <c r="AK21" i="6"/>
  <c r="AL21" i="6"/>
  <c r="AI197" i="6"/>
  <c r="AK197" i="6"/>
  <c r="AM197" i="6"/>
  <c r="AG197" i="6"/>
  <c r="AG137" i="6"/>
  <c r="AI137" i="6"/>
  <c r="AM137" i="6"/>
  <c r="AK137" i="6"/>
  <c r="AG89" i="6"/>
  <c r="AK89" i="6"/>
  <c r="AL89" i="6"/>
  <c r="AH89" i="6"/>
  <c r="AM89" i="6"/>
  <c r="AI89" i="6"/>
  <c r="AI41" i="6"/>
  <c r="AF41" i="6"/>
  <c r="AJ41" i="6"/>
  <c r="AG41" i="6"/>
  <c r="AK41" i="6"/>
  <c r="AM41" i="6"/>
  <c r="AG172" i="6"/>
  <c r="AH172" i="6"/>
  <c r="AM172" i="6"/>
  <c r="AJ172" i="6"/>
  <c r="AK172" i="6"/>
  <c r="AI172" i="6"/>
  <c r="AL172" i="6"/>
  <c r="AF172" i="6"/>
  <c r="AV172" i="6"/>
  <c r="AH88" i="6"/>
  <c r="AL88" i="6"/>
  <c r="AI40" i="6"/>
  <c r="AM40" i="6"/>
  <c r="AG171" i="6"/>
  <c r="AJ171" i="6"/>
  <c r="AF171" i="6"/>
  <c r="AH171" i="6"/>
  <c r="AL171" i="6"/>
  <c r="AM171" i="6"/>
  <c r="AK171" i="6"/>
  <c r="AI171" i="6"/>
  <c r="AV171" i="6"/>
  <c r="AF111" i="6"/>
  <c r="AM111" i="6"/>
  <c r="AJ111" i="6"/>
  <c r="AI111" i="6"/>
  <c r="AG27" i="6"/>
  <c r="AM27" i="6"/>
  <c r="AI27" i="6"/>
  <c r="AK27" i="6"/>
  <c r="AF170" i="6"/>
  <c r="AG170" i="6"/>
  <c r="AI170" i="6"/>
  <c r="AH170" i="6"/>
  <c r="AJ170" i="6"/>
  <c r="AK170" i="6"/>
  <c r="AL170" i="6"/>
  <c r="AM170" i="6"/>
  <c r="AV170" i="6"/>
  <c r="AL110" i="6"/>
  <c r="AF110" i="6"/>
  <c r="AH110" i="6"/>
  <c r="AJ110" i="6"/>
  <c r="AG12" i="6"/>
  <c r="AH12" i="6"/>
  <c r="AF12" i="6"/>
  <c r="AJ12" i="6"/>
  <c r="AK12" i="6"/>
  <c r="AL12" i="6"/>
  <c r="AI188" i="6"/>
  <c r="AK188" i="6"/>
  <c r="AM188" i="6"/>
  <c r="AG188" i="6"/>
  <c r="AF164" i="6"/>
  <c r="AJ164" i="6"/>
  <c r="AK164" i="6"/>
  <c r="AL164" i="6"/>
  <c r="AM164" i="6"/>
  <c r="AG164" i="6"/>
  <c r="AH164" i="6"/>
  <c r="AI164" i="6"/>
  <c r="AV164" i="6"/>
  <c r="AF140" i="6"/>
  <c r="AJ140" i="6"/>
  <c r="AH140" i="6"/>
  <c r="AL140" i="6"/>
  <c r="AF116" i="6"/>
  <c r="AI116" i="6"/>
  <c r="AG116" i="6"/>
  <c r="AH116" i="6"/>
  <c r="AM116" i="6"/>
  <c r="AK116" i="6"/>
  <c r="AL116" i="6"/>
  <c r="AJ116" i="6"/>
  <c r="AF92" i="6"/>
  <c r="AI92" i="6"/>
  <c r="AM92" i="6"/>
  <c r="AJ92" i="6"/>
  <c r="AF68" i="6"/>
  <c r="AI68" i="6"/>
  <c r="AK68" i="6"/>
  <c r="AG68" i="6"/>
  <c r="AJ68" i="6"/>
  <c r="AM68" i="6"/>
  <c r="AG44" i="6"/>
  <c r="AI44" i="6"/>
  <c r="AH44" i="6"/>
  <c r="AK44" i="6"/>
  <c r="AM44" i="6"/>
  <c r="AL44" i="6"/>
  <c r="AF20" i="6"/>
  <c r="AJ20" i="6"/>
  <c r="AG20" i="6"/>
  <c r="AL20" i="6"/>
  <c r="AI20" i="6"/>
  <c r="AH20" i="6"/>
  <c r="AM20" i="6"/>
  <c r="AK20" i="6"/>
  <c r="AF199" i="6"/>
  <c r="AH199" i="6"/>
  <c r="AJ199" i="6"/>
  <c r="AL199" i="6"/>
  <c r="AG163" i="6"/>
  <c r="AH163" i="6"/>
  <c r="AM163" i="6"/>
  <c r="AI163" i="6"/>
  <c r="AF163" i="6"/>
  <c r="AJ163" i="6"/>
  <c r="AL163" i="6"/>
  <c r="AK163" i="6"/>
  <c r="AV163" i="6"/>
  <c r="AI139" i="6"/>
  <c r="AJ139" i="6"/>
  <c r="AM139" i="6"/>
  <c r="AF139" i="6"/>
  <c r="AF115" i="6"/>
  <c r="AG115" i="6"/>
  <c r="AH115" i="6"/>
  <c r="AI115" i="6"/>
  <c r="AJ115" i="6"/>
  <c r="AK115" i="6"/>
  <c r="AL115" i="6"/>
  <c r="AM115" i="6"/>
  <c r="AF91" i="6"/>
  <c r="AH91" i="6"/>
  <c r="AI91" i="6"/>
  <c r="AJ91" i="6"/>
  <c r="AL91" i="6"/>
  <c r="AM91" i="6"/>
  <c r="AF67" i="6"/>
  <c r="AG67" i="6"/>
  <c r="AI67" i="6"/>
  <c r="AJ67" i="6"/>
  <c r="AK67" i="6"/>
  <c r="AM67" i="6"/>
  <c r="AF55" i="6"/>
  <c r="AG55" i="6"/>
  <c r="AI55" i="6"/>
  <c r="AJ55" i="6"/>
  <c r="AK55" i="6"/>
  <c r="AM55" i="6"/>
  <c r="AF43" i="6"/>
  <c r="AG43" i="6"/>
  <c r="AH43" i="6"/>
  <c r="AJ43" i="6"/>
  <c r="AL43" i="6"/>
  <c r="AK43" i="6"/>
  <c r="AF31" i="6"/>
  <c r="AG31" i="6"/>
  <c r="AJ31" i="6"/>
  <c r="AK31" i="6"/>
  <c r="AH19" i="6"/>
  <c r="AI19" i="6"/>
  <c r="AL19" i="6"/>
  <c r="AM19" i="6"/>
  <c r="AK185" i="6"/>
  <c r="AL185" i="6"/>
  <c r="AG185" i="6"/>
  <c r="AH185" i="6"/>
  <c r="AI125" i="6"/>
  <c r="AJ125" i="6"/>
  <c r="AK125" i="6"/>
  <c r="AM125" i="6"/>
  <c r="AF125" i="6"/>
  <c r="AG125" i="6"/>
  <c r="AH53" i="6"/>
  <c r="AI53" i="6"/>
  <c r="AF53" i="6"/>
  <c r="AJ53" i="6"/>
  <c r="AL53" i="6"/>
  <c r="AK53" i="6"/>
  <c r="AM53" i="6"/>
  <c r="AG53" i="6"/>
  <c r="AF8" i="6"/>
  <c r="AG8" i="6"/>
  <c r="AI8" i="6"/>
  <c r="AM8" i="6"/>
  <c r="AK8" i="6"/>
  <c r="AJ8" i="6"/>
  <c r="AH148" i="6"/>
  <c r="AI148" i="6"/>
  <c r="AL148" i="6"/>
  <c r="AM148" i="6"/>
  <c r="AG124" i="6"/>
  <c r="AH124" i="6"/>
  <c r="AI124" i="6"/>
  <c r="AL124" i="6"/>
  <c r="AM124" i="6"/>
  <c r="AK124" i="6"/>
  <c r="AF64" i="6"/>
  <c r="AG64" i="6"/>
  <c r="AH64" i="6"/>
  <c r="AI64" i="6"/>
  <c r="AJ64" i="6"/>
  <c r="AL64" i="6"/>
  <c r="AK64" i="6"/>
  <c r="AM64" i="6"/>
  <c r="AM147" i="6"/>
  <c r="AL147" i="6"/>
  <c r="AH147" i="6"/>
  <c r="AI147" i="6"/>
  <c r="AM99" i="6"/>
  <c r="AI99" i="6"/>
  <c r="AL99" i="6"/>
  <c r="AH99" i="6"/>
  <c r="AG51" i="6"/>
  <c r="AM51" i="6"/>
  <c r="AI51" i="6"/>
  <c r="AK51" i="6"/>
  <c r="AG6" i="6"/>
  <c r="AK6" i="6"/>
  <c r="AF158" i="6"/>
  <c r="AJ158" i="6"/>
  <c r="AG158" i="6"/>
  <c r="AL158" i="6"/>
  <c r="AK158" i="6"/>
  <c r="AI158" i="6"/>
  <c r="AM158" i="6"/>
  <c r="AH158" i="6"/>
  <c r="AG74" i="6"/>
  <c r="AH74" i="6"/>
  <c r="AK74" i="6"/>
  <c r="AL74" i="6"/>
  <c r="AM74" i="6"/>
  <c r="AF74" i="6"/>
  <c r="AI74" i="6"/>
  <c r="AJ74" i="6"/>
  <c r="AG200" i="6"/>
  <c r="AK200" i="6"/>
  <c r="AH200" i="6"/>
  <c r="AL200" i="6"/>
  <c r="AF176" i="6"/>
  <c r="AJ176" i="6"/>
  <c r="AK176" i="6"/>
  <c r="AG176" i="6"/>
  <c r="AF152" i="6"/>
  <c r="AG152" i="6"/>
  <c r="AI152" i="6"/>
  <c r="AJ152" i="6"/>
  <c r="AM152" i="6"/>
  <c r="AK152" i="6"/>
  <c r="AG128" i="6"/>
  <c r="AH128" i="6"/>
  <c r="AK128" i="6"/>
  <c r="AI128" i="6"/>
  <c r="AL128" i="6"/>
  <c r="AM128" i="6"/>
  <c r="AF104" i="6"/>
  <c r="AJ104" i="6"/>
  <c r="AL104" i="6"/>
  <c r="AG104" i="6"/>
  <c r="AK104" i="6"/>
  <c r="AH104" i="6"/>
  <c r="AI104" i="6"/>
  <c r="AM104" i="6"/>
  <c r="AF80" i="6"/>
  <c r="AG80" i="6"/>
  <c r="AH80" i="6"/>
  <c r="AL80" i="6"/>
  <c r="AJ80" i="6"/>
  <c r="AK80" i="6"/>
  <c r="AH56" i="6"/>
  <c r="AL56" i="6"/>
  <c r="AF32" i="6"/>
  <c r="AJ32" i="6"/>
  <c r="AI32" i="6"/>
  <c r="AM32" i="6"/>
  <c r="AG11" i="6"/>
  <c r="AH11" i="6"/>
  <c r="AL11" i="6"/>
  <c r="AK11" i="6"/>
  <c r="AI187" i="6"/>
  <c r="AM187" i="6"/>
  <c r="AF187" i="6"/>
  <c r="AJ187" i="6"/>
  <c r="AK175" i="6"/>
  <c r="AF175" i="6"/>
  <c r="AG175" i="6"/>
  <c r="AJ175" i="6"/>
  <c r="AH151" i="6"/>
  <c r="AI151" i="6"/>
  <c r="AJ151" i="6"/>
  <c r="AL151" i="6"/>
  <c r="AM151" i="6"/>
  <c r="AF151" i="6"/>
  <c r="AF127" i="6"/>
  <c r="AH127" i="6"/>
  <c r="AI127" i="6"/>
  <c r="AM127" i="6"/>
  <c r="AJ127" i="6"/>
  <c r="AL127" i="6"/>
  <c r="AF103" i="6"/>
  <c r="AG103" i="6"/>
  <c r="AH103" i="6"/>
  <c r="AI103" i="6"/>
  <c r="AJ103" i="6"/>
  <c r="AK103" i="6"/>
  <c r="AL103" i="6"/>
  <c r="AM103" i="6"/>
  <c r="AF79" i="6"/>
  <c r="AH79" i="6"/>
  <c r="AI79" i="6"/>
  <c r="AJ79" i="6"/>
  <c r="AL79" i="6"/>
  <c r="AM79" i="6"/>
  <c r="AG10" i="6"/>
  <c r="AI10" i="6"/>
  <c r="AM10" i="6"/>
  <c r="AK10" i="6"/>
  <c r="AF198" i="6"/>
  <c r="AI198" i="6"/>
  <c r="AJ198" i="6"/>
  <c r="AM198" i="6"/>
  <c r="AH186" i="6"/>
  <c r="AF186" i="6"/>
  <c r="AJ186" i="6"/>
  <c r="AL186" i="6"/>
  <c r="AH174" i="6"/>
  <c r="AL174" i="6"/>
  <c r="AM174" i="6"/>
  <c r="AI174" i="6"/>
  <c r="AG162" i="6"/>
  <c r="AM162" i="6"/>
  <c r="AF162" i="6"/>
  <c r="AH162" i="6"/>
  <c r="AI162" i="6"/>
  <c r="AJ162" i="6"/>
  <c r="AL162" i="6"/>
  <c r="AK162" i="6"/>
  <c r="AV162" i="6"/>
  <c r="AG150" i="6"/>
  <c r="AF150" i="6"/>
  <c r="AH150" i="6"/>
  <c r="AL150" i="6"/>
  <c r="AJ150" i="6"/>
  <c r="AK150" i="6"/>
  <c r="AG138" i="6"/>
  <c r="AH138" i="6"/>
  <c r="AK138" i="6"/>
  <c r="AL138" i="6"/>
  <c r="AG126" i="6"/>
  <c r="AF126" i="6"/>
  <c r="AK126" i="6"/>
  <c r="AH126" i="6"/>
  <c r="AL126" i="6"/>
  <c r="AJ126" i="6"/>
  <c r="AG114" i="6"/>
  <c r="AH114" i="6"/>
  <c r="AI114" i="6"/>
  <c r="AM114" i="6"/>
  <c r="AK114" i="6"/>
  <c r="AJ114" i="6"/>
  <c r="AF114" i="6"/>
  <c r="AL114" i="6"/>
  <c r="AG102" i="6"/>
  <c r="AF102" i="6"/>
  <c r="AM102" i="6"/>
  <c r="AH102" i="6"/>
  <c r="AI102" i="6"/>
  <c r="AJ102" i="6"/>
  <c r="AL102" i="6"/>
  <c r="AK102" i="6"/>
  <c r="AI90" i="6"/>
  <c r="AM90" i="6"/>
  <c r="AJ90" i="6"/>
  <c r="AL90" i="6"/>
  <c r="AF90" i="6"/>
  <c r="AH90" i="6"/>
  <c r="AG78" i="6"/>
  <c r="AI78" i="6"/>
  <c r="AM78" i="6"/>
  <c r="AK78" i="6"/>
  <c r="AG66" i="6"/>
  <c r="AK66" i="6"/>
  <c r="AJ66" i="6"/>
  <c r="AF66" i="6"/>
  <c r="AI54" i="6"/>
  <c r="AM54" i="6"/>
  <c r="AH54" i="6"/>
  <c r="AL54" i="6"/>
  <c r="AJ54" i="6"/>
  <c r="AF54" i="6"/>
  <c r="AG42" i="6"/>
  <c r="AH42" i="6"/>
  <c r="AF42" i="6"/>
  <c r="AK42" i="6"/>
  <c r="AL42" i="6"/>
  <c r="AJ42" i="6"/>
  <c r="AI30" i="6"/>
  <c r="AM30" i="6"/>
  <c r="AL30" i="6"/>
  <c r="AF30" i="6"/>
  <c r="AH30" i="6"/>
  <c r="AJ30" i="6"/>
  <c r="AG18" i="6"/>
  <c r="AK18" i="6"/>
  <c r="AL18" i="6"/>
  <c r="AH18" i="6"/>
  <c r="BJ162" i="6"/>
  <c r="BK162" i="6"/>
  <c r="AA162" i="6"/>
  <c r="Z162" i="6"/>
  <c r="Y162" i="6"/>
  <c r="BL162" i="6"/>
  <c r="BM162" i="6"/>
  <c r="X162" i="6"/>
  <c r="BJ168" i="6"/>
  <c r="BK168" i="6"/>
  <c r="BL168" i="6"/>
  <c r="BM168" i="6"/>
  <c r="Y168" i="6"/>
  <c r="X168" i="6"/>
  <c r="AA168" i="6"/>
  <c r="Z168" i="6"/>
  <c r="AA166" i="6"/>
  <c r="Z166" i="6"/>
  <c r="Y166" i="6"/>
  <c r="X166" i="6"/>
  <c r="BL166" i="6"/>
  <c r="BM166" i="6"/>
  <c r="BJ166" i="6"/>
  <c r="BK166" i="6"/>
  <c r="AA172" i="6"/>
  <c r="Z172" i="6"/>
  <c r="BJ172" i="6"/>
  <c r="BK172" i="6"/>
  <c r="BL172" i="6"/>
  <c r="Y172" i="6"/>
  <c r="BM172" i="6"/>
  <c r="X172" i="6"/>
  <c r="BJ171" i="6"/>
  <c r="BK171" i="6"/>
  <c r="AA171" i="6"/>
  <c r="Z171" i="6"/>
  <c r="BL171" i="6"/>
  <c r="BM171" i="6"/>
  <c r="X171" i="6"/>
  <c r="Y171" i="6"/>
  <c r="BJ165" i="6"/>
  <c r="BK165" i="6"/>
  <c r="BL165" i="6"/>
  <c r="AA165" i="6"/>
  <c r="X165" i="6"/>
  <c r="BM165" i="6"/>
  <c r="Z165" i="6"/>
  <c r="Y165" i="6"/>
  <c r="Y170" i="6"/>
  <c r="X170" i="6"/>
  <c r="BM170" i="6"/>
  <c r="BK170" i="6"/>
  <c r="BJ170" i="6"/>
  <c r="AA170" i="6"/>
  <c r="Z170" i="6"/>
  <c r="BL170" i="6"/>
  <c r="AA169" i="6"/>
  <c r="Z169" i="6"/>
  <c r="BJ169" i="6"/>
  <c r="Y169" i="6"/>
  <c r="BM169" i="6"/>
  <c r="X169" i="6"/>
  <c r="BK169" i="6"/>
  <c r="BL169" i="6"/>
  <c r="BL164" i="6"/>
  <c r="BM164" i="6"/>
  <c r="X164" i="6"/>
  <c r="AA164" i="6"/>
  <c r="Y164" i="6"/>
  <c r="Z164" i="6"/>
  <c r="BJ164" i="6"/>
  <c r="BK164" i="6"/>
  <c r="Y2" i="6"/>
  <c r="BK2" i="6" s="1"/>
  <c r="BK167" i="6"/>
  <c r="Z167" i="6"/>
  <c r="BJ167" i="6"/>
  <c r="AA167" i="6"/>
  <c r="BL167" i="6"/>
  <c r="Y167" i="6"/>
  <c r="BM167" i="6"/>
  <c r="X167" i="6"/>
  <c r="AA163" i="6"/>
  <c r="Z163" i="6"/>
  <c r="BK163" i="6"/>
  <c r="Y163" i="6"/>
  <c r="X163" i="6"/>
  <c r="BJ163" i="6"/>
  <c r="BM163" i="6"/>
  <c r="BL163" i="6"/>
  <c r="BF172" i="6"/>
  <c r="BE172" i="6"/>
  <c r="BH172" i="6"/>
  <c r="BG172" i="6"/>
  <c r="BE171" i="6"/>
  <c r="BG171" i="6"/>
  <c r="BF171" i="6"/>
  <c r="BH171" i="6"/>
  <c r="BE166" i="6"/>
  <c r="BF166" i="6"/>
  <c r="BG166" i="6"/>
  <c r="BH166" i="6"/>
  <c r="BE168" i="6"/>
  <c r="BF168" i="6"/>
  <c r="BG168" i="6"/>
  <c r="BH168" i="6"/>
  <c r="BF164" i="6"/>
  <c r="BE164" i="6"/>
  <c r="BH164" i="6"/>
  <c r="BG164" i="6"/>
  <c r="BE170" i="6"/>
  <c r="BF170" i="6"/>
  <c r="BG170" i="6"/>
  <c r="BH170" i="6"/>
  <c r="BF163" i="6"/>
  <c r="BE163" i="6"/>
  <c r="BH163" i="6"/>
  <c r="BG163" i="6"/>
  <c r="BF169" i="6"/>
  <c r="BE169" i="6"/>
  <c r="BH169" i="6"/>
  <c r="BG169" i="6"/>
  <c r="BF167" i="6"/>
  <c r="BH167" i="6"/>
  <c r="BE167" i="6"/>
  <c r="BG167" i="6"/>
  <c r="BE165" i="6"/>
  <c r="BH165" i="6"/>
  <c r="BF165" i="6"/>
  <c r="BG165" i="6"/>
  <c r="BE162" i="6"/>
  <c r="BG162" i="6"/>
  <c r="BF162" i="6"/>
  <c r="BH162" i="6"/>
  <c r="I169" i="6" a="1"/>
  <c r="I169" i="6" s="1"/>
  <c r="K169" i="6" a="1"/>
  <c r="K169" i="6" s="1"/>
  <c r="E169" i="6" a="1"/>
  <c r="E169" i="6" s="1"/>
  <c r="C169" i="6" a="1"/>
  <c r="C169" i="6" s="1"/>
  <c r="K168" i="6" a="1"/>
  <c r="K168" i="6" s="1"/>
  <c r="I168" i="6" a="1"/>
  <c r="I168" i="6" s="1"/>
  <c r="C168" i="6" a="1"/>
  <c r="C168" i="6" s="1"/>
  <c r="E168" i="6" a="1"/>
  <c r="E168" i="6" s="1"/>
  <c r="K164" i="6" a="1"/>
  <c r="K164" i="6" s="1"/>
  <c r="E164" i="6" a="1"/>
  <c r="E164" i="6" s="1"/>
  <c r="I164" i="6" a="1"/>
  <c r="I164" i="6" s="1"/>
  <c r="C164" i="6" a="1"/>
  <c r="C164" i="6" s="1"/>
  <c r="I163" i="6" a="1"/>
  <c r="I163" i="6" s="1"/>
  <c r="K163" i="6" a="1"/>
  <c r="K163" i="6" s="1"/>
  <c r="E163" i="6" a="1"/>
  <c r="E163" i="6" s="1"/>
  <c r="C163" i="6" a="1"/>
  <c r="C163" i="6" s="1"/>
  <c r="K162" i="6" a="1"/>
  <c r="K162" i="6" s="1"/>
  <c r="I162" i="6" a="1"/>
  <c r="I162" i="6" s="1"/>
  <c r="C162" i="6" a="1"/>
  <c r="C162" i="6" s="1"/>
  <c r="E162" i="6" a="1"/>
  <c r="E162" i="6" s="1"/>
  <c r="K172" i="6" a="1"/>
  <c r="K172" i="6" s="1"/>
  <c r="E172" i="6" a="1"/>
  <c r="E172" i="6" s="1"/>
  <c r="I172" i="6" a="1"/>
  <c r="I172" i="6" s="1"/>
  <c r="C172" i="6" a="1"/>
  <c r="C172" i="6" s="1"/>
  <c r="K171" i="6" a="1"/>
  <c r="K171" i="6" s="1"/>
  <c r="I171" i="6" a="1"/>
  <c r="I171" i="6" s="1"/>
  <c r="E171" i="6" a="1"/>
  <c r="E171" i="6" s="1"/>
  <c r="C171" i="6" a="1"/>
  <c r="C171" i="6" s="1"/>
  <c r="I170" i="6" a="1"/>
  <c r="I170" i="6" s="1"/>
  <c r="K170" i="6" a="1"/>
  <c r="K170" i="6" s="1"/>
  <c r="E170" i="6" a="1"/>
  <c r="E170" i="6" s="1"/>
  <c r="C170" i="6" a="1"/>
  <c r="C170" i="6" s="1"/>
  <c r="I167" i="6" a="1"/>
  <c r="I167" i="6" s="1"/>
  <c r="K167" i="6" a="1"/>
  <c r="K167" i="6" s="1"/>
  <c r="E167" i="6" a="1"/>
  <c r="E167" i="6" s="1"/>
  <c r="C167" i="6" a="1"/>
  <c r="C167" i="6" s="1"/>
  <c r="K166" i="6" a="1"/>
  <c r="K166" i="6" s="1"/>
  <c r="I166" i="6" a="1"/>
  <c r="I166" i="6" s="1"/>
  <c r="E166" i="6" a="1"/>
  <c r="E166" i="6" s="1"/>
  <c r="C166" i="6" a="1"/>
  <c r="C166" i="6" s="1"/>
  <c r="K165" i="6" a="1"/>
  <c r="K165" i="6" s="1"/>
  <c r="I165" i="6" a="1"/>
  <c r="I165" i="6" s="1"/>
  <c r="C165" i="6" a="1"/>
  <c r="C165" i="6" s="1"/>
  <c r="E165" i="6" a="1"/>
  <c r="E165" i="6" s="1"/>
  <c r="AA2" i="6"/>
  <c r="BM2" i="6" s="1"/>
  <c r="Z2" i="6"/>
  <c r="BL2" i="6" s="1"/>
  <c r="O163" i="6"/>
  <c r="G163" i="6" s="1" a="1"/>
  <c r="G163" i="6" s="1"/>
  <c r="O171" i="6"/>
  <c r="G171" i="6" s="1" a="1"/>
  <c r="G171" i="6" s="1"/>
  <c r="O162" i="6"/>
  <c r="G162" i="6" s="1" a="1"/>
  <c r="G162" i="6" s="1"/>
  <c r="O172" i="6"/>
  <c r="G172" i="6" s="1" a="1"/>
  <c r="G172" i="6" s="1"/>
  <c r="O170" i="6" l="1"/>
  <c r="G170" i="6" s="1" a="1"/>
  <c r="G170" i="6" s="1"/>
  <c r="O164" i="6"/>
  <c r="G164" i="6" s="1" a="1"/>
  <c r="G164" i="6" s="1"/>
  <c r="O166" i="6"/>
  <c r="G166" i="6" s="1" a="1"/>
  <c r="G166" i="6" s="1"/>
  <c r="O165" i="6"/>
  <c r="G165" i="6" s="1" a="1"/>
  <c r="G165" i="6" s="1"/>
  <c r="O169" i="6"/>
  <c r="G169" i="6" s="1" a="1"/>
  <c r="G169" i="6" s="1"/>
  <c r="O167" i="6"/>
  <c r="G167" i="6" s="1" a="1"/>
  <c r="G167" i="6" s="1"/>
  <c r="O168" i="6"/>
  <c r="G168" i="6" s="1" a="1"/>
  <c r="G168" i="6" s="1"/>
  <c r="V201" i="6" l="1"/>
  <c r="AB201" i="6" l="1"/>
  <c r="AM201" i="6"/>
  <c r="AI201" i="6"/>
  <c r="U132" i="6"/>
  <c r="AC132" i="6" l="1"/>
  <c r="AL132" i="6"/>
  <c r="AH132" i="6"/>
  <c r="V50" i="6"/>
  <c r="AB50" i="6" l="1"/>
  <c r="AM50" i="6"/>
  <c r="AI50" i="6"/>
  <c r="T136" i="6"/>
  <c r="AE136" i="6" l="1"/>
  <c r="AK136" i="6"/>
  <c r="AG136" i="6"/>
  <c r="V62" i="6"/>
  <c r="AE62" i="6" l="1"/>
  <c r="AB62" i="6"/>
  <c r="AI62" i="6"/>
  <c r="AM62" i="6"/>
  <c r="U60" i="6"/>
  <c r="AD60" i="6" s="1"/>
  <c r="AH60" i="6" l="1"/>
  <c r="AL60" i="6"/>
  <c r="V84" i="6"/>
  <c r="AB84" i="6" l="1"/>
  <c r="AI84" i="6"/>
  <c r="AM84" i="6"/>
  <c r="V199" i="6"/>
  <c r="AB199" i="6" l="1"/>
  <c r="AI199" i="6"/>
  <c r="AM199" i="6"/>
  <c r="V180" i="6"/>
  <c r="AB180" i="6" l="1"/>
  <c r="AI180" i="6"/>
  <c r="AM180" i="6"/>
  <c r="U111" i="6"/>
  <c r="AD111" i="6" s="1"/>
  <c r="AL111" i="6" l="1"/>
  <c r="AH111" i="6"/>
  <c r="U46" i="6"/>
  <c r="AC46" i="6" l="1"/>
  <c r="AL46" i="6"/>
  <c r="AH46" i="6"/>
  <c r="U177" i="6"/>
  <c r="AC177" i="6" l="1"/>
  <c r="AL177" i="6"/>
  <c r="AH177" i="6"/>
  <c r="U49" i="6"/>
  <c r="AD49" i="6" s="1"/>
  <c r="AL49" i="6" l="1"/>
  <c r="AH49" i="6"/>
  <c r="U194" i="6"/>
  <c r="AL194" i="6" l="1"/>
  <c r="AH194" i="6"/>
  <c r="T202" i="6"/>
  <c r="AC202" i="6" s="1"/>
  <c r="AK202" i="6" l="1"/>
  <c r="AG202" i="6"/>
  <c r="V186" i="6"/>
  <c r="AB186" i="6" l="1"/>
  <c r="AI186" i="6"/>
  <c r="AM186" i="6"/>
  <c r="V31" i="6"/>
  <c r="AB31" i="6" l="1"/>
  <c r="AE31" i="6"/>
  <c r="AI31" i="6"/>
  <c r="AM31" i="6"/>
  <c r="V69" i="6"/>
  <c r="AB69" i="6" l="1"/>
  <c r="AI69" i="6"/>
  <c r="AM69" i="6"/>
  <c r="T88" i="6"/>
  <c r="AC88" i="6" s="1"/>
  <c r="AK88" i="6" l="1"/>
  <c r="AG88" i="6"/>
  <c r="V22" i="6"/>
  <c r="AE22" i="6" s="1"/>
  <c r="AM22" i="6" l="1"/>
  <c r="AI22" i="6"/>
  <c r="V138" i="6"/>
  <c r="AE138" i="6" s="1"/>
  <c r="AM138" i="6" l="1"/>
  <c r="AI138" i="6"/>
  <c r="T72" i="6"/>
  <c r="AE72" i="6" l="1"/>
  <c r="AG72" i="6"/>
  <c r="AK72" i="6"/>
  <c r="V33" i="6"/>
  <c r="AB33" i="6" l="1"/>
  <c r="AI33" i="6"/>
  <c r="AM33" i="6"/>
  <c r="V175" i="6"/>
  <c r="AB175" i="6" l="1"/>
  <c r="AE175" i="6"/>
  <c r="AI175" i="6"/>
  <c r="AM175" i="6"/>
  <c r="U183" i="6"/>
  <c r="AD183" i="6" s="1"/>
  <c r="AH183" i="6" l="1"/>
  <c r="AL183" i="6"/>
  <c r="V195" i="6"/>
  <c r="AE195" i="6" s="1"/>
  <c r="AI195" i="6" l="1"/>
  <c r="AM195" i="6"/>
  <c r="U139" i="6"/>
  <c r="AD139" i="6" s="1"/>
  <c r="AH139" i="6" l="1"/>
  <c r="AL139" i="6"/>
  <c r="U27" i="6"/>
  <c r="AC27" i="6" l="1"/>
  <c r="AH27" i="6"/>
  <c r="AL27" i="6"/>
  <c r="V15" i="6"/>
  <c r="AB15" i="6" l="1"/>
  <c r="AE15" i="6"/>
  <c r="AI15" i="6"/>
  <c r="AM15" i="6"/>
  <c r="T99" i="6"/>
  <c r="AE99" i="6" l="1"/>
  <c r="AC99" i="6"/>
  <c r="AG99" i="6"/>
  <c r="AK99" i="6"/>
  <c r="T40" i="6"/>
  <c r="AE40" i="6" l="1"/>
  <c r="AK40" i="6"/>
  <c r="AG40" i="6"/>
  <c r="U112" i="6"/>
  <c r="AC112" i="6" l="1"/>
  <c r="AL112" i="6"/>
  <c r="AH112" i="6"/>
  <c r="T56" i="6"/>
  <c r="AC56" i="6" s="1"/>
  <c r="AG56" i="6" l="1"/>
  <c r="AK56" i="6"/>
  <c r="V29" i="6"/>
  <c r="AE29" i="6" s="1"/>
  <c r="AM29" i="6" l="1"/>
  <c r="AI29" i="6"/>
  <c r="V145" i="6"/>
  <c r="AE145" i="6" l="1"/>
  <c r="AB145" i="6"/>
  <c r="AM145" i="6"/>
  <c r="AI145" i="6"/>
  <c r="U22" i="6"/>
  <c r="AC22" i="6" l="1"/>
  <c r="AL22" i="6"/>
  <c r="AH22" i="6"/>
  <c r="T174" i="6"/>
  <c r="AC174" i="6" l="1"/>
  <c r="AE174" i="6"/>
  <c r="AG174" i="6"/>
  <c r="AK174" i="6"/>
  <c r="V176" i="6"/>
  <c r="AB176" i="6" l="1"/>
  <c r="AE176" i="6"/>
  <c r="AM176" i="6"/>
  <c r="AI176" i="6"/>
  <c r="V134" i="6"/>
  <c r="AE134" i="6" s="1"/>
  <c r="AI134" i="6" l="1"/>
  <c r="AM134" i="6"/>
  <c r="U181" i="6"/>
  <c r="AC181" i="6" l="1"/>
  <c r="AH181" i="6"/>
  <c r="AL181" i="6"/>
  <c r="T135" i="6"/>
  <c r="AC135" i="6" s="1"/>
  <c r="AK135" i="6" l="1"/>
  <c r="AG135" i="6"/>
  <c r="T5" i="6"/>
  <c r="AC5" i="6" l="1"/>
  <c r="AE5" i="6"/>
  <c r="AG5" i="6"/>
  <c r="AK5" i="6"/>
  <c r="U143" i="6"/>
  <c r="AD143" i="6" s="1"/>
  <c r="AL143" i="6" l="1"/>
  <c r="AH143" i="6"/>
  <c r="V130" i="6"/>
  <c r="AB130" i="6" l="1"/>
  <c r="AI130" i="6"/>
  <c r="AM130" i="6"/>
  <c r="V190" i="6"/>
  <c r="AE190" i="6" s="1"/>
  <c r="AM190" i="6" l="1"/>
  <c r="AI190" i="6"/>
  <c r="U136" i="6"/>
  <c r="AC136" i="6" l="1"/>
  <c r="AH136" i="6"/>
  <c r="AL136" i="6"/>
  <c r="V82" i="6"/>
  <c r="AB82" i="6" l="1"/>
  <c r="AM82" i="6"/>
  <c r="AI82" i="6"/>
  <c r="V34" i="6"/>
  <c r="AB34" i="6" l="1"/>
  <c r="AE34" i="6"/>
  <c r="AM34" i="6"/>
  <c r="AI34" i="6"/>
  <c r="U51" i="6"/>
  <c r="AC51" i="6" l="1"/>
  <c r="AL51" i="6"/>
  <c r="AH51" i="6"/>
  <c r="V144" i="6"/>
  <c r="AB144" i="6" l="1"/>
  <c r="AI144" i="6"/>
  <c r="AM144" i="6"/>
  <c r="U195" i="6"/>
  <c r="AC195" i="6" l="1"/>
  <c r="AH195" i="6"/>
  <c r="AL195" i="6"/>
  <c r="U84" i="6"/>
  <c r="AD84" i="6" s="1"/>
  <c r="AL84" i="6" l="1"/>
  <c r="AH84" i="6"/>
  <c r="U198" i="6"/>
  <c r="AD198" i="6" s="1"/>
  <c r="AH198" i="6" l="1"/>
  <c r="AL198" i="6"/>
  <c r="V37" i="6"/>
  <c r="AB37" i="6" l="1"/>
  <c r="AM37" i="6"/>
  <c r="AI37" i="6"/>
  <c r="T94" i="6"/>
  <c r="AE94" i="6" l="1"/>
  <c r="AC94" i="6"/>
  <c r="AG94" i="6"/>
  <c r="AK94" i="6"/>
  <c r="U131" i="6"/>
  <c r="AD131" i="6" s="1"/>
  <c r="AH131" i="6" l="1"/>
  <c r="AL131" i="6"/>
  <c r="U137" i="6"/>
  <c r="AC137" i="6" l="1"/>
  <c r="AH137" i="6"/>
  <c r="AL137" i="6"/>
  <c r="T173" i="6"/>
  <c r="AE173" i="6" l="1"/>
  <c r="AC173" i="6"/>
  <c r="AG173" i="6"/>
  <c r="AK173" i="6"/>
  <c r="V202" i="6"/>
  <c r="AE202" i="6" s="1"/>
  <c r="AI202" i="6" l="1"/>
  <c r="AM202" i="6"/>
  <c r="V184" i="6"/>
  <c r="AB184" i="6" l="1"/>
  <c r="AM184" i="6"/>
  <c r="AI184" i="6"/>
  <c r="V56" i="6"/>
  <c r="AE56" i="6" s="1"/>
  <c r="AM56" i="6" l="1"/>
  <c r="AI56" i="6"/>
  <c r="V88" i="6"/>
  <c r="AE88" i="6" s="1"/>
  <c r="AI88" i="6" l="1"/>
  <c r="AM88" i="6"/>
  <c r="U83" i="6"/>
  <c r="AC83" i="6" l="1"/>
  <c r="AH83" i="6"/>
  <c r="AL83" i="6"/>
  <c r="V28" i="6"/>
  <c r="AE28" i="6" s="1"/>
  <c r="AI28" i="6" l="1"/>
  <c r="AM28" i="6"/>
  <c r="T194" i="6"/>
  <c r="AC194" i="6" l="1"/>
  <c r="AE194" i="6"/>
  <c r="AK194" i="6"/>
  <c r="AG194" i="6"/>
  <c r="U134" i="6"/>
  <c r="AC134" i="6" l="1"/>
  <c r="AH134" i="6"/>
  <c r="AL134" i="6"/>
  <c r="V39" i="6"/>
  <c r="AE39" i="6" s="1"/>
  <c r="AM39" i="6" l="1"/>
  <c r="AI39" i="6"/>
  <c r="U81" i="6"/>
  <c r="AD81" i="6" s="1"/>
  <c r="AH81" i="6" l="1"/>
  <c r="AL81" i="6"/>
  <c r="V182" i="6"/>
  <c r="AE182" i="6" s="1"/>
  <c r="AM182" i="6" l="1"/>
  <c r="AI182" i="6"/>
  <c r="U133" i="6"/>
  <c r="AD133" i="6" s="1"/>
  <c r="AH133" i="6" l="1"/>
  <c r="AL133" i="6"/>
  <c r="U16" i="6"/>
  <c r="AD16" i="6" s="1"/>
  <c r="AH16" i="6" l="1"/>
  <c r="AL16" i="6"/>
  <c r="V140" i="6"/>
  <c r="AB140" i="6" l="1"/>
  <c r="AM140" i="6"/>
  <c r="AI140" i="6"/>
  <c r="V11" i="6"/>
  <c r="AE11" i="6" s="1"/>
  <c r="AI11" i="6" l="1"/>
  <c r="AM11" i="6"/>
  <c r="V178" i="6"/>
  <c r="AE178" i="6" s="1"/>
  <c r="AM178" i="6" l="1"/>
  <c r="AI178" i="6"/>
  <c r="V196" i="6"/>
  <c r="AB196" i="6" l="1"/>
  <c r="AE196" i="6"/>
  <c r="AM196" i="6"/>
  <c r="AI196" i="6"/>
  <c r="U189" i="6"/>
  <c r="AC189" i="6" l="1"/>
  <c r="AL189" i="6"/>
  <c r="AH189" i="6"/>
  <c r="V6" i="6"/>
  <c r="AE6" i="6" s="1"/>
  <c r="AI6" i="6" l="1"/>
  <c r="AM6" i="6"/>
  <c r="U187" i="6"/>
  <c r="AD187" i="6" s="1"/>
  <c r="AH187" i="6" l="1"/>
  <c r="AL187" i="6"/>
  <c r="V52" i="6"/>
  <c r="AB52" i="6" l="1"/>
  <c r="AM52" i="6"/>
  <c r="AI52" i="6"/>
  <c r="T148" i="6"/>
  <c r="AC148" i="6" l="1"/>
  <c r="AE148" i="6"/>
  <c r="AG148" i="6"/>
  <c r="AK148" i="6"/>
  <c r="V96" i="6"/>
  <c r="AE96" i="6" l="1"/>
  <c r="AB96" i="6"/>
  <c r="AI96" i="6"/>
  <c r="AM96" i="6"/>
  <c r="U10" i="6"/>
  <c r="AC10" i="6" l="1"/>
  <c r="AH10" i="6"/>
  <c r="AL10" i="6"/>
  <c r="U32" i="6"/>
  <c r="AD32" i="6" s="1"/>
  <c r="AL32" i="6" l="1"/>
  <c r="AH32" i="6"/>
  <c r="V185" i="6"/>
  <c r="AE185" i="6" s="1"/>
  <c r="AI185" i="6" l="1"/>
  <c r="AM185" i="6"/>
  <c r="U188" i="6"/>
  <c r="AC188" i="6" l="1"/>
  <c r="AL188" i="6"/>
  <c r="AH188" i="6"/>
  <c r="U52" i="6"/>
  <c r="AD52" i="6" s="1"/>
  <c r="AL52" i="6" l="1"/>
  <c r="AH52" i="6"/>
  <c r="V71" i="6"/>
  <c r="AE71" i="6" s="1"/>
  <c r="AM71" i="6" l="1"/>
  <c r="AI71" i="6"/>
  <c r="V200" i="6"/>
  <c r="AE200" i="6" s="1"/>
  <c r="AM200" i="6" l="1"/>
  <c r="AI200" i="6"/>
  <c r="U141" i="6"/>
  <c r="AC141" i="6" l="1"/>
  <c r="AL141" i="6"/>
  <c r="AH141" i="6"/>
  <c r="V66" i="6"/>
  <c r="AB66" i="6" l="1"/>
  <c r="AE66" i="6"/>
  <c r="AM66" i="6"/>
  <c r="AI66" i="6"/>
  <c r="U201" i="6"/>
  <c r="AD201" i="6" s="1"/>
  <c r="AL201" i="6" l="1"/>
  <c r="AH201" i="6"/>
  <c r="V135" i="6"/>
  <c r="AE135" i="6" s="1"/>
  <c r="AM135" i="6" l="1"/>
  <c r="AI135" i="6"/>
  <c r="U92" i="6"/>
  <c r="AD92" i="6" s="1"/>
  <c r="AH92" i="6" l="1"/>
  <c r="AL92" i="6"/>
  <c r="V98" i="6"/>
  <c r="AB98" i="6" l="1"/>
  <c r="AE98" i="6"/>
  <c r="AM98" i="6"/>
  <c r="AI98" i="6"/>
  <c r="U40" i="6"/>
  <c r="AC40" i="6" l="1"/>
  <c r="AL40" i="6"/>
  <c r="AH40" i="6"/>
  <c r="U78" i="6"/>
  <c r="AC78" i="6" l="1"/>
  <c r="AH78" i="6"/>
  <c r="AL78" i="6"/>
  <c r="T63" i="6"/>
  <c r="AE63" i="6" l="1"/>
  <c r="AC63" i="6"/>
  <c r="AG63" i="6"/>
  <c r="AK63" i="6"/>
  <c r="V109" i="6"/>
  <c r="AE109" i="6" s="1"/>
  <c r="AI109" i="6" l="1"/>
  <c r="AM109" i="6"/>
  <c r="V97" i="6"/>
  <c r="AB97" i="6" l="1"/>
  <c r="AE97" i="6"/>
  <c r="AM97" i="6"/>
  <c r="AI97" i="6"/>
  <c r="T100" i="6"/>
  <c r="AE100" i="6" l="1"/>
  <c r="AC100" i="6"/>
  <c r="AG100" i="6"/>
  <c r="AK100" i="6"/>
  <c r="V129" i="6"/>
  <c r="AE129" i="6" s="1"/>
  <c r="AM129" i="6" l="1"/>
  <c r="AI129" i="6"/>
  <c r="U72" i="6"/>
  <c r="AC72" i="6" l="1"/>
  <c r="AH72" i="6"/>
  <c r="AL72" i="6"/>
  <c r="U179" i="6"/>
  <c r="AD179" i="6" s="1"/>
  <c r="AL179" i="6" l="1"/>
  <c r="AH179" i="6"/>
  <c r="V18" i="6"/>
  <c r="AE18" i="6" s="1"/>
  <c r="AI18" i="6" l="1"/>
  <c r="AM18" i="6"/>
  <c r="U192" i="6"/>
  <c r="AD192" i="6" s="1"/>
  <c r="AL192" i="6" l="1"/>
  <c r="AH192" i="6"/>
  <c r="V110" i="6"/>
  <c r="AB110" i="6" l="1"/>
  <c r="AM110" i="6"/>
  <c r="AI110" i="6"/>
  <c r="T193" i="6"/>
  <c r="AE193" i="6" l="1"/>
  <c r="AC193" i="6"/>
  <c r="AK193" i="6"/>
  <c r="AG193" i="6"/>
  <c r="V142" i="6"/>
  <c r="AE142" i="6" s="1"/>
  <c r="AM142" i="6" l="1"/>
  <c r="AI142" i="6"/>
  <c r="T61" i="6"/>
  <c r="AC61" i="6" l="1"/>
  <c r="AE61" i="6"/>
  <c r="AG61" i="6"/>
  <c r="AK61" i="6"/>
  <c r="V133" i="6"/>
  <c r="AB133" i="6" l="1"/>
  <c r="AM133" i="6"/>
  <c r="AI133" i="6"/>
  <c r="T147" i="6"/>
  <c r="AC147" i="6" l="1"/>
  <c r="AE147" i="6"/>
  <c r="AK147" i="6"/>
  <c r="AG147" i="6"/>
  <c r="V146" i="6"/>
  <c r="AB146" i="6" l="1"/>
  <c r="AE146" i="6"/>
  <c r="AM146" i="6"/>
  <c r="AI146" i="6"/>
  <c r="V191" i="6"/>
  <c r="AB191" i="6" l="1"/>
  <c r="AI191" i="6"/>
  <c r="AM191" i="6"/>
  <c r="V17" i="6"/>
  <c r="AB17" i="6" l="1"/>
  <c r="AI17" i="6"/>
  <c r="AM17" i="6"/>
  <c r="T19" i="6"/>
  <c r="AC19" i="6" l="1"/>
  <c r="AE19" i="6"/>
  <c r="AK19" i="6"/>
  <c r="AG19" i="6"/>
  <c r="U197" i="6"/>
  <c r="AC197" i="6" l="1"/>
  <c r="AH197" i="6"/>
  <c r="AL197" i="6"/>
  <c r="T3" i="6"/>
  <c r="AE3" i="6" l="1"/>
  <c r="AC3" i="6"/>
  <c r="AG3" i="6"/>
  <c r="AK3" i="6"/>
  <c r="U6" i="6"/>
  <c r="AC6" i="6" l="1"/>
  <c r="AH6" i="6"/>
  <c r="AL6" i="6"/>
  <c r="S202" i="6"/>
  <c r="S194" i="6"/>
  <c r="S195" i="6"/>
  <c r="T201" i="6"/>
  <c r="S197" i="6"/>
  <c r="S200" i="6"/>
  <c r="T199" i="6"/>
  <c r="T198" i="6"/>
  <c r="U196" i="6"/>
  <c r="S193" i="6"/>
  <c r="T192" i="6"/>
  <c r="S188" i="6"/>
  <c r="T186" i="6"/>
  <c r="T191" i="6"/>
  <c r="S185" i="6"/>
  <c r="T187" i="6"/>
  <c r="S190" i="6"/>
  <c r="S189" i="6"/>
  <c r="T184" i="6"/>
  <c r="S182" i="6"/>
  <c r="S178" i="6"/>
  <c r="T183" i="6"/>
  <c r="T180" i="6"/>
  <c r="S181" i="6"/>
  <c r="T179" i="6"/>
  <c r="S177" i="6"/>
  <c r="U176" i="6"/>
  <c r="U175" i="6"/>
  <c r="S173" i="6"/>
  <c r="S174" i="6"/>
  <c r="U156" i="6"/>
  <c r="V154" i="6"/>
  <c r="T155" i="6"/>
  <c r="S153" i="6"/>
  <c r="U152" i="6"/>
  <c r="V150" i="6"/>
  <c r="T151" i="6"/>
  <c r="S149" i="6"/>
  <c r="S148" i="6"/>
  <c r="U146" i="6"/>
  <c r="S147" i="6"/>
  <c r="U145" i="6"/>
  <c r="S142" i="6"/>
  <c r="T144" i="6"/>
  <c r="T143" i="6"/>
  <c r="S141" i="6"/>
  <c r="S138" i="6"/>
  <c r="T140" i="6"/>
  <c r="T139" i="6"/>
  <c r="S137" i="6"/>
  <c r="S136" i="6"/>
  <c r="S135" i="6"/>
  <c r="T133" i="6"/>
  <c r="S134" i="6"/>
  <c r="S132" i="6"/>
  <c r="T131" i="6"/>
  <c r="S129" i="6"/>
  <c r="T130" i="6"/>
  <c r="S128" i="6"/>
  <c r="T127" i="6"/>
  <c r="U125" i="6"/>
  <c r="V126" i="6"/>
  <c r="S124" i="6"/>
  <c r="T123" i="6"/>
  <c r="U121" i="6"/>
  <c r="V122" i="6"/>
  <c r="S112" i="6"/>
  <c r="T111" i="6"/>
  <c r="S109" i="6"/>
  <c r="T110" i="6"/>
  <c r="V106" i="6"/>
  <c r="U108" i="6"/>
  <c r="S105" i="6"/>
  <c r="T107" i="6"/>
  <c r="S100" i="6"/>
  <c r="S99" i="6"/>
  <c r="U97" i="6"/>
  <c r="U98" i="6"/>
  <c r="U96" i="6"/>
  <c r="S3" i="6"/>
  <c r="S94" i="6"/>
  <c r="U62" i="6"/>
  <c r="T69" i="6"/>
  <c r="T92" i="6"/>
  <c r="T91" i="6"/>
  <c r="S24" i="6"/>
  <c r="S83" i="6"/>
  <c r="T90" i="6"/>
  <c r="V80" i="6"/>
  <c r="S89" i="6"/>
  <c r="U67" i="6"/>
  <c r="V70" i="6"/>
  <c r="S88" i="6"/>
  <c r="S22" i="6"/>
  <c r="U87" i="6"/>
  <c r="U25" i="6"/>
  <c r="S72" i="6"/>
  <c r="T14" i="6"/>
  <c r="V75" i="6"/>
  <c r="T84" i="6"/>
  <c r="T82" i="6"/>
  <c r="S18" i="6"/>
  <c r="S71" i="6"/>
  <c r="S29" i="6"/>
  <c r="S27" i="6"/>
  <c r="T81" i="6"/>
  <c r="T17" i="6"/>
  <c r="U68" i="6"/>
  <c r="T79" i="6"/>
  <c r="S76" i="6"/>
  <c r="T16" i="6"/>
  <c r="S78" i="6"/>
  <c r="S77" i="6"/>
  <c r="V26" i="6"/>
  <c r="U66" i="6"/>
  <c r="S19" i="6"/>
  <c r="S63" i="6"/>
  <c r="U15" i="6"/>
  <c r="S61" i="6"/>
  <c r="U31" i="6"/>
  <c r="T37" i="6"/>
  <c r="T60" i="6"/>
  <c r="S51" i="6"/>
  <c r="T58" i="6"/>
  <c r="V38" i="6"/>
  <c r="S57" i="6"/>
  <c r="U35" i="6"/>
  <c r="S56" i="6"/>
  <c r="S6" i="6"/>
  <c r="AB6" i="6" s="1"/>
  <c r="S40" i="6"/>
  <c r="U55" i="6"/>
  <c r="U8" i="6"/>
  <c r="T30" i="6"/>
  <c r="V43" i="6"/>
  <c r="T54" i="6"/>
  <c r="S7" i="6"/>
  <c r="V42" i="6"/>
  <c r="T52" i="6"/>
  <c r="S11" i="6"/>
  <c r="S39" i="6"/>
  <c r="T50" i="6"/>
  <c r="T49" i="6"/>
  <c r="S10" i="6"/>
  <c r="T47" i="6"/>
  <c r="T32" i="6"/>
  <c r="S44" i="6"/>
  <c r="S46" i="6"/>
  <c r="S28" i="6"/>
  <c r="S45" i="6"/>
  <c r="V12" i="6"/>
  <c r="U41" i="6"/>
  <c r="U34" i="6"/>
  <c r="S5" i="6"/>
  <c r="T33" i="6"/>
  <c r="S2" i="6"/>
  <c r="AB2" i="6" s="1"/>
  <c r="V2" i="6"/>
  <c r="T2" i="6"/>
  <c r="U2" i="6"/>
  <c r="AD2" i="6" s="1"/>
  <c r="U166" i="6"/>
  <c r="T167" i="6"/>
  <c r="T171" i="6"/>
  <c r="S169" i="6"/>
  <c r="S170" i="6"/>
  <c r="U167" i="6"/>
  <c r="V165" i="6"/>
  <c r="V166" i="6"/>
  <c r="V163" i="6"/>
  <c r="V167" i="6"/>
  <c r="S166" i="6"/>
  <c r="U162" i="6"/>
  <c r="U168" i="6"/>
  <c r="T172" i="6"/>
  <c r="U164" i="6"/>
  <c r="V168" i="6"/>
  <c r="AD34" i="6" l="1"/>
  <c r="AC34" i="6"/>
  <c r="AC111" i="6"/>
  <c r="AE111" i="6"/>
  <c r="AD35" i="6"/>
  <c r="AC35" i="6"/>
  <c r="AC199" i="6"/>
  <c r="AE199" i="6"/>
  <c r="AB12" i="6"/>
  <c r="AE12" i="6"/>
  <c r="AC52" i="6"/>
  <c r="AE52" i="6"/>
  <c r="AB57" i="6"/>
  <c r="AD57" i="6"/>
  <c r="AB26" i="6"/>
  <c r="AE26" i="6"/>
  <c r="AB18" i="6"/>
  <c r="AD18" i="6"/>
  <c r="AB89" i="6"/>
  <c r="AD89" i="6"/>
  <c r="AD98" i="6"/>
  <c r="AC98" i="6"/>
  <c r="AB122" i="6"/>
  <c r="AE122" i="6"/>
  <c r="AB134" i="6"/>
  <c r="AD134" i="6"/>
  <c r="AC145" i="6"/>
  <c r="AD145" i="6"/>
  <c r="AB174" i="6"/>
  <c r="AD174" i="6"/>
  <c r="AB189" i="6"/>
  <c r="AD189" i="6"/>
  <c r="AD200" i="6"/>
  <c r="AB200" i="6"/>
  <c r="AE131" i="6"/>
  <c r="AC131" i="6"/>
  <c r="AD67" i="6"/>
  <c r="AC67" i="6"/>
  <c r="AD77" i="6"/>
  <c r="AB77" i="6"/>
  <c r="AD7" i="6"/>
  <c r="AB7" i="6"/>
  <c r="AE58" i="6"/>
  <c r="AC58" i="6"/>
  <c r="AB78" i="6"/>
  <c r="AD78" i="6"/>
  <c r="AC84" i="6"/>
  <c r="AE84" i="6"/>
  <c r="AE90" i="6"/>
  <c r="AC90" i="6"/>
  <c r="AD99" i="6"/>
  <c r="AB99" i="6"/>
  <c r="AC123" i="6"/>
  <c r="AE123" i="6"/>
  <c r="AB135" i="6"/>
  <c r="AD135" i="6"/>
  <c r="AD146" i="6"/>
  <c r="AC146" i="6"/>
  <c r="AC175" i="6"/>
  <c r="AD175" i="6"/>
  <c r="AC187" i="6"/>
  <c r="AE187" i="6"/>
  <c r="AC201" i="6"/>
  <c r="AE201" i="6"/>
  <c r="AB70" i="6"/>
  <c r="AE70" i="6"/>
  <c r="AB142" i="6"/>
  <c r="AD142" i="6"/>
  <c r="AB75" i="6"/>
  <c r="AE75" i="6"/>
  <c r="AB83" i="6"/>
  <c r="AD83" i="6"/>
  <c r="AD100" i="6"/>
  <c r="AB100" i="6"/>
  <c r="AB124" i="6"/>
  <c r="AD124" i="6"/>
  <c r="AB136" i="6"/>
  <c r="AD136" i="6"/>
  <c r="AB148" i="6"/>
  <c r="AD148" i="6"/>
  <c r="AD176" i="6"/>
  <c r="AC176" i="6"/>
  <c r="AB185" i="6"/>
  <c r="AD185" i="6"/>
  <c r="AB195" i="6"/>
  <c r="AD195" i="6"/>
  <c r="AB19" i="6"/>
  <c r="AD19" i="6"/>
  <c r="AD182" i="6"/>
  <c r="AB182" i="6"/>
  <c r="AC66" i="6"/>
  <c r="AD66" i="6"/>
  <c r="AC156" i="6"/>
  <c r="AD156" i="6"/>
  <c r="AC82" i="6"/>
  <c r="AE82" i="6"/>
  <c r="AD190" i="6"/>
  <c r="AB190" i="6"/>
  <c r="AB46" i="6"/>
  <c r="AD46" i="6"/>
  <c r="AB51" i="6"/>
  <c r="AD51" i="6"/>
  <c r="AB44" i="6"/>
  <c r="AD44" i="6"/>
  <c r="AB43" i="6"/>
  <c r="AE43" i="6"/>
  <c r="AC60" i="6"/>
  <c r="AE60" i="6"/>
  <c r="AB76" i="6"/>
  <c r="AD76" i="6"/>
  <c r="AE14" i="6"/>
  <c r="AC14" i="6"/>
  <c r="AB24" i="6"/>
  <c r="AD24" i="6"/>
  <c r="AC107" i="6"/>
  <c r="AE107" i="6"/>
  <c r="AE126" i="6"/>
  <c r="AB126" i="6"/>
  <c r="AB137" i="6"/>
  <c r="AD137" i="6"/>
  <c r="AD149" i="6"/>
  <c r="AB149" i="6"/>
  <c r="AB177" i="6"/>
  <c r="AD177" i="6"/>
  <c r="AC191" i="6"/>
  <c r="AE191" i="6"/>
  <c r="AB194" i="6"/>
  <c r="AD194" i="6"/>
  <c r="AE154" i="6"/>
  <c r="AB154" i="6"/>
  <c r="AB112" i="6"/>
  <c r="AD112" i="6"/>
  <c r="AC97" i="6"/>
  <c r="AD97" i="6"/>
  <c r="AD173" i="6"/>
  <c r="AB173" i="6"/>
  <c r="AB28" i="6"/>
  <c r="AD28" i="6"/>
  <c r="AC54" i="6"/>
  <c r="AE54" i="6"/>
  <c r="AC2" i="6"/>
  <c r="AC32" i="6"/>
  <c r="AE32" i="6"/>
  <c r="AC30" i="6"/>
  <c r="AE30" i="6"/>
  <c r="AC37" i="6"/>
  <c r="AE37" i="6"/>
  <c r="AC79" i="6"/>
  <c r="AE79" i="6"/>
  <c r="AB72" i="6"/>
  <c r="AD72" i="6"/>
  <c r="AE91" i="6"/>
  <c r="AC91" i="6"/>
  <c r="AB105" i="6"/>
  <c r="AD105" i="6"/>
  <c r="AC125" i="6"/>
  <c r="AD125" i="6"/>
  <c r="AC139" i="6"/>
  <c r="AE139" i="6"/>
  <c r="AC151" i="6"/>
  <c r="AE151" i="6"/>
  <c r="AC179" i="6"/>
  <c r="AE179" i="6"/>
  <c r="AC186" i="6"/>
  <c r="AE186" i="6"/>
  <c r="AB202" i="6"/>
  <c r="AD202" i="6"/>
  <c r="AB39" i="6"/>
  <c r="AD39" i="6"/>
  <c r="AB3" i="6"/>
  <c r="AD3" i="6"/>
  <c r="AC41" i="6"/>
  <c r="AD41" i="6"/>
  <c r="AB132" i="6"/>
  <c r="AD132" i="6"/>
  <c r="AE38" i="6"/>
  <c r="AB38" i="6"/>
  <c r="AE80" i="6"/>
  <c r="AB80" i="6"/>
  <c r="AC133" i="6"/>
  <c r="AE133" i="6"/>
  <c r="AE2" i="6"/>
  <c r="AE47" i="6"/>
  <c r="AC47" i="6"/>
  <c r="AD8" i="6"/>
  <c r="AC8" i="6"/>
  <c r="AC31" i="6"/>
  <c r="AD31" i="6"/>
  <c r="AD68" i="6"/>
  <c r="AC68" i="6"/>
  <c r="AD25" i="6"/>
  <c r="AC25" i="6"/>
  <c r="AE92" i="6"/>
  <c r="AC92" i="6"/>
  <c r="AC108" i="6"/>
  <c r="AD108" i="6"/>
  <c r="AE127" i="6"/>
  <c r="AC127" i="6"/>
  <c r="AC140" i="6"/>
  <c r="AE140" i="6"/>
  <c r="AB150" i="6"/>
  <c r="AE150" i="6"/>
  <c r="AB181" i="6"/>
  <c r="AD181" i="6"/>
  <c r="AB188" i="6"/>
  <c r="AD188" i="6"/>
  <c r="AC184" i="6"/>
  <c r="AE184" i="6"/>
  <c r="AC17" i="6"/>
  <c r="AE17" i="6"/>
  <c r="AC87" i="6"/>
  <c r="AD87" i="6"/>
  <c r="AC69" i="6"/>
  <c r="AE69" i="6"/>
  <c r="AB106" i="6"/>
  <c r="AE106" i="6"/>
  <c r="AB128" i="6"/>
  <c r="AD128" i="6"/>
  <c r="AB138" i="6"/>
  <c r="AD138" i="6"/>
  <c r="AD152" i="6"/>
  <c r="AC152" i="6"/>
  <c r="AC180" i="6"/>
  <c r="AE180" i="6"/>
  <c r="AC192" i="6"/>
  <c r="AE192" i="6"/>
  <c r="AB29" i="6"/>
  <c r="AD29" i="6"/>
  <c r="AC144" i="6"/>
  <c r="AE144" i="6"/>
  <c r="AD11" i="6"/>
  <c r="AB11" i="6"/>
  <c r="AD96" i="6"/>
  <c r="AC96" i="6"/>
  <c r="AB42" i="6"/>
  <c r="AE42" i="6"/>
  <c r="AC121" i="6"/>
  <c r="AD121" i="6"/>
  <c r="AB147" i="6"/>
  <c r="AD147" i="6"/>
  <c r="AB61" i="6"/>
  <c r="AD61" i="6"/>
  <c r="AC33" i="6"/>
  <c r="AE33" i="6"/>
  <c r="AC49" i="6"/>
  <c r="AE49" i="6"/>
  <c r="AB40" i="6"/>
  <c r="AD40" i="6"/>
  <c r="AC15" i="6"/>
  <c r="AD15" i="6"/>
  <c r="AE81" i="6"/>
  <c r="AC81" i="6"/>
  <c r="AB22" i="6"/>
  <c r="AD22" i="6"/>
  <c r="AC62" i="6"/>
  <c r="AD62" i="6"/>
  <c r="AC110" i="6"/>
  <c r="AE110" i="6"/>
  <c r="AC130" i="6"/>
  <c r="AE130" i="6"/>
  <c r="AB141" i="6"/>
  <c r="AD141" i="6"/>
  <c r="AD153" i="6"/>
  <c r="AB153" i="6"/>
  <c r="AC183" i="6"/>
  <c r="AE183" i="6"/>
  <c r="AD193" i="6"/>
  <c r="AB193" i="6"/>
  <c r="AD6" i="6"/>
  <c r="AB56" i="6"/>
  <c r="AD56" i="6"/>
  <c r="AE198" i="6"/>
  <c r="AC198" i="6"/>
  <c r="AB71" i="6"/>
  <c r="AD71" i="6"/>
  <c r="AD45" i="6"/>
  <c r="AB45" i="6"/>
  <c r="AB197" i="6"/>
  <c r="AD197" i="6"/>
  <c r="AC16" i="6"/>
  <c r="AE16" i="6"/>
  <c r="AB10" i="6"/>
  <c r="AD10" i="6"/>
  <c r="AC55" i="6"/>
  <c r="AD55" i="6"/>
  <c r="AB5" i="6"/>
  <c r="AD5" i="6"/>
  <c r="AC50" i="6"/>
  <c r="AE50" i="6"/>
  <c r="AD63" i="6"/>
  <c r="AB63" i="6"/>
  <c r="AB27" i="6"/>
  <c r="AD27" i="6"/>
  <c r="AB88" i="6"/>
  <c r="AD88" i="6"/>
  <c r="AB94" i="6"/>
  <c r="AD94" i="6"/>
  <c r="AD109" i="6"/>
  <c r="AB109" i="6"/>
  <c r="AB129" i="6"/>
  <c r="AD129" i="6"/>
  <c r="AC143" i="6"/>
  <c r="AE143" i="6"/>
  <c r="AE155" i="6"/>
  <c r="AC155" i="6"/>
  <c r="AB178" i="6"/>
  <c r="AD178" i="6"/>
  <c r="AD196" i="6"/>
  <c r="AC196" i="6"/>
  <c r="AF63" i="6"/>
  <c r="AJ63" i="6"/>
  <c r="AF27" i="6"/>
  <c r="AJ27" i="6"/>
  <c r="AJ88" i="6"/>
  <c r="AF88" i="6"/>
  <c r="AF94" i="6"/>
  <c r="AJ94" i="6"/>
  <c r="AF109" i="6"/>
  <c r="AJ109" i="6"/>
  <c r="AJ129" i="6"/>
  <c r="AF129" i="6"/>
  <c r="AG143" i="6"/>
  <c r="AK143" i="6"/>
  <c r="AK155" i="6"/>
  <c r="AG155" i="6"/>
  <c r="AF178" i="6"/>
  <c r="AJ178" i="6"/>
  <c r="AH196" i="6"/>
  <c r="AL196" i="6"/>
  <c r="AM70" i="6"/>
  <c r="AI70" i="6"/>
  <c r="AK111" i="6"/>
  <c r="AG111" i="6"/>
  <c r="AL41" i="6"/>
  <c r="AH41" i="6"/>
  <c r="AF11" i="6"/>
  <c r="AJ11" i="6"/>
  <c r="AL35" i="6"/>
  <c r="AH35" i="6"/>
  <c r="AH66" i="6"/>
  <c r="AL66" i="6"/>
  <c r="AF71" i="6"/>
  <c r="AJ71" i="6"/>
  <c r="AH67" i="6"/>
  <c r="AL67" i="6"/>
  <c r="AL96" i="6"/>
  <c r="AH96" i="6"/>
  <c r="AF112" i="6"/>
  <c r="AJ112" i="6"/>
  <c r="AJ132" i="6"/>
  <c r="AF132" i="6"/>
  <c r="AF142" i="6"/>
  <c r="AJ142" i="6"/>
  <c r="AH156" i="6"/>
  <c r="AL156" i="6"/>
  <c r="AG184" i="6"/>
  <c r="AK184" i="6"/>
  <c r="AG199" i="6"/>
  <c r="AK199" i="6"/>
  <c r="AM12" i="6"/>
  <c r="AI12" i="6"/>
  <c r="AK52" i="6"/>
  <c r="AG52" i="6"/>
  <c r="AJ57" i="6"/>
  <c r="AF57" i="6"/>
  <c r="AM26" i="6"/>
  <c r="AI26" i="6"/>
  <c r="AF18" i="6"/>
  <c r="AJ18" i="6"/>
  <c r="AF89" i="6"/>
  <c r="AJ89" i="6"/>
  <c r="AL98" i="6"/>
  <c r="AH98" i="6"/>
  <c r="AI122" i="6"/>
  <c r="AM122" i="6"/>
  <c r="AJ134" i="6"/>
  <c r="AF134" i="6"/>
  <c r="AH145" i="6"/>
  <c r="AL145" i="6"/>
  <c r="AJ174" i="6"/>
  <c r="AF174" i="6"/>
  <c r="AJ189" i="6"/>
  <c r="AF189" i="6"/>
  <c r="AJ200" i="6"/>
  <c r="AF200" i="6"/>
  <c r="AG198" i="6"/>
  <c r="AK198" i="6"/>
  <c r="AJ83" i="6"/>
  <c r="AF83" i="6"/>
  <c r="AF100" i="6"/>
  <c r="AJ100" i="6"/>
  <c r="AJ124" i="6"/>
  <c r="AF124" i="6"/>
  <c r="AF136" i="6"/>
  <c r="AJ136" i="6"/>
  <c r="AF148" i="6"/>
  <c r="AJ148" i="6"/>
  <c r="AH176" i="6"/>
  <c r="AL176" i="6"/>
  <c r="AJ185" i="6"/>
  <c r="AF185" i="6"/>
  <c r="AF195" i="6"/>
  <c r="AJ195" i="6"/>
  <c r="AJ56" i="6"/>
  <c r="AF56" i="6"/>
  <c r="AJ182" i="6"/>
  <c r="AF182" i="6"/>
  <c r="AI42" i="6"/>
  <c r="AM42" i="6"/>
  <c r="AI80" i="6"/>
  <c r="AM80" i="6"/>
  <c r="AJ190" i="6"/>
  <c r="AF190" i="6"/>
  <c r="AF7" i="6"/>
  <c r="AJ7" i="6"/>
  <c r="AF99" i="6"/>
  <c r="AJ99" i="6"/>
  <c r="AL146" i="6"/>
  <c r="AH146" i="6"/>
  <c r="AF46" i="6"/>
  <c r="AJ46" i="6"/>
  <c r="AI43" i="6"/>
  <c r="AM43" i="6"/>
  <c r="AG107" i="6"/>
  <c r="AK107" i="6"/>
  <c r="AI126" i="6"/>
  <c r="AM126" i="6"/>
  <c r="AJ137" i="6"/>
  <c r="AF137" i="6"/>
  <c r="AF149" i="6"/>
  <c r="AJ149" i="6"/>
  <c r="AJ177" i="6"/>
  <c r="AF177" i="6"/>
  <c r="AG191" i="6"/>
  <c r="AK191" i="6"/>
  <c r="AJ194" i="6"/>
  <c r="AF194" i="6"/>
  <c r="AK50" i="6"/>
  <c r="AG50" i="6"/>
  <c r="AF19" i="6"/>
  <c r="AJ19" i="6"/>
  <c r="AJ3" i="6"/>
  <c r="AF3" i="6"/>
  <c r="AF77" i="6"/>
  <c r="AJ77" i="6"/>
  <c r="AK133" i="6"/>
  <c r="AG133" i="6"/>
  <c r="AJ78" i="6"/>
  <c r="AF78" i="6"/>
  <c r="AK187" i="6"/>
  <c r="AG187" i="6"/>
  <c r="AF51" i="6"/>
  <c r="AJ51" i="6"/>
  <c r="AL2" i="6"/>
  <c r="AH2" i="6"/>
  <c r="AF24" i="6"/>
  <c r="AJ24" i="6"/>
  <c r="AG2" i="6"/>
  <c r="AK2" i="6"/>
  <c r="AG30" i="6"/>
  <c r="AK30" i="6"/>
  <c r="AK37" i="6"/>
  <c r="AG37" i="6"/>
  <c r="AG79" i="6"/>
  <c r="AK79" i="6"/>
  <c r="AJ72" i="6"/>
  <c r="AF72" i="6"/>
  <c r="AG91" i="6"/>
  <c r="AK91" i="6"/>
  <c r="AJ105" i="6"/>
  <c r="AF105" i="6"/>
  <c r="AH125" i="6"/>
  <c r="AL125" i="6"/>
  <c r="AG139" i="6"/>
  <c r="AK139" i="6"/>
  <c r="AK151" i="6"/>
  <c r="AG151" i="6"/>
  <c r="AG179" i="6"/>
  <c r="AK179" i="6"/>
  <c r="AG186" i="6"/>
  <c r="AK186" i="6"/>
  <c r="AJ202" i="6"/>
  <c r="AF202" i="6"/>
  <c r="AJ5" i="6"/>
  <c r="AF5" i="6"/>
  <c r="AL34" i="6"/>
  <c r="AH34" i="6"/>
  <c r="AM154" i="6"/>
  <c r="AI154" i="6"/>
  <c r="AI38" i="6"/>
  <c r="AM38" i="6"/>
  <c r="AL121" i="6"/>
  <c r="AH121" i="6"/>
  <c r="AF197" i="6"/>
  <c r="AJ197" i="6"/>
  <c r="AF28" i="6"/>
  <c r="AJ28" i="6"/>
  <c r="AK84" i="6"/>
  <c r="AG84" i="6"/>
  <c r="AG123" i="6"/>
  <c r="AK123" i="6"/>
  <c r="AF135" i="6"/>
  <c r="AJ135" i="6"/>
  <c r="AM75" i="6"/>
  <c r="AI75" i="6"/>
  <c r="AJ44" i="6"/>
  <c r="AF44" i="6"/>
  <c r="AG14" i="6"/>
  <c r="AK14" i="6"/>
  <c r="AK32" i="6"/>
  <c r="AG32" i="6"/>
  <c r="AI2" i="6"/>
  <c r="AM2" i="6"/>
  <c r="AG47" i="6"/>
  <c r="AK47" i="6"/>
  <c r="AH8" i="6"/>
  <c r="AL8" i="6"/>
  <c r="AH31" i="6"/>
  <c r="AL31" i="6"/>
  <c r="AL68" i="6"/>
  <c r="AH68" i="6"/>
  <c r="AH25" i="6"/>
  <c r="AL25" i="6"/>
  <c r="AG92" i="6"/>
  <c r="AK92" i="6"/>
  <c r="AL108" i="6"/>
  <c r="AH108" i="6"/>
  <c r="AK127" i="6"/>
  <c r="AG127" i="6"/>
  <c r="AK140" i="6"/>
  <c r="AG140" i="6"/>
  <c r="AM150" i="6"/>
  <c r="AI150" i="6"/>
  <c r="AJ181" i="6"/>
  <c r="AF181" i="6"/>
  <c r="AJ188" i="6"/>
  <c r="AF188" i="6"/>
  <c r="AJ6" i="6"/>
  <c r="AF6" i="6"/>
  <c r="AJ29" i="6"/>
  <c r="AF29" i="6"/>
  <c r="AG131" i="6"/>
  <c r="AK131" i="6"/>
  <c r="AK82" i="6"/>
  <c r="AG82" i="6"/>
  <c r="AF147" i="6"/>
  <c r="AJ147" i="6"/>
  <c r="AG90" i="6"/>
  <c r="AK90" i="6"/>
  <c r="AH175" i="6"/>
  <c r="AL175" i="6"/>
  <c r="AK16" i="6"/>
  <c r="AG16" i="6"/>
  <c r="AK60" i="6"/>
  <c r="AG60" i="6"/>
  <c r="AF2" i="6"/>
  <c r="AJ2" i="6"/>
  <c r="AV2" i="6"/>
  <c r="AH55" i="6"/>
  <c r="AL55" i="6"/>
  <c r="AF61" i="6"/>
  <c r="AJ61" i="6"/>
  <c r="AK17" i="6"/>
  <c r="AG17" i="6"/>
  <c r="AH87" i="6"/>
  <c r="AL87" i="6"/>
  <c r="AK69" i="6"/>
  <c r="AG69" i="6"/>
  <c r="AM106" i="6"/>
  <c r="AI106" i="6"/>
  <c r="AF128" i="6"/>
  <c r="AJ128" i="6"/>
  <c r="AJ138" i="6"/>
  <c r="AF138" i="6"/>
  <c r="AH152" i="6"/>
  <c r="AL152" i="6"/>
  <c r="AK180" i="6"/>
  <c r="AG180" i="6"/>
  <c r="AK192" i="6"/>
  <c r="AG192" i="6"/>
  <c r="AJ39" i="6"/>
  <c r="AF39" i="6"/>
  <c r="AG144" i="6"/>
  <c r="AK144" i="6"/>
  <c r="AF45" i="6"/>
  <c r="AJ45" i="6"/>
  <c r="AH97" i="6"/>
  <c r="AL97" i="6"/>
  <c r="AF173" i="6"/>
  <c r="AJ173" i="6"/>
  <c r="AG58" i="6"/>
  <c r="AK58" i="6"/>
  <c r="AK201" i="6"/>
  <c r="AG201" i="6"/>
  <c r="AG54" i="6"/>
  <c r="AK54" i="6"/>
  <c r="AF76" i="6"/>
  <c r="AJ76" i="6"/>
  <c r="AF10" i="6"/>
  <c r="AJ10" i="6"/>
  <c r="AK33" i="6"/>
  <c r="AG33" i="6"/>
  <c r="AK49" i="6"/>
  <c r="AG49" i="6"/>
  <c r="AJ40" i="6"/>
  <c r="AF40" i="6"/>
  <c r="AH15" i="6"/>
  <c r="AL15" i="6"/>
  <c r="AK81" i="6"/>
  <c r="AG81" i="6"/>
  <c r="AF22" i="6"/>
  <c r="AJ22" i="6"/>
  <c r="AL62" i="6"/>
  <c r="AH62" i="6"/>
  <c r="AG110" i="6"/>
  <c r="AK110" i="6"/>
  <c r="AK130" i="6"/>
  <c r="AG130" i="6"/>
  <c r="AJ141" i="6"/>
  <c r="AF141" i="6"/>
  <c r="AJ153" i="6"/>
  <c r="AF153" i="6"/>
  <c r="AG183" i="6"/>
  <c r="AK183" i="6"/>
  <c r="AJ193" i="6"/>
  <c r="AF193" i="6"/>
  <c r="O3" i="6"/>
  <c r="I3" i="6" l="1" a="1"/>
  <c r="I3" i="6" s="1"/>
  <c r="BG3" i="6" s="1"/>
  <c r="K3" i="6" a="1"/>
  <c r="K3" i="6" s="1"/>
  <c r="BH3" i="6" s="1"/>
  <c r="C3" i="6" a="1"/>
  <c r="C3" i="6" s="1"/>
  <c r="E96" i="6" a="1"/>
  <c r="E96" i="6" s="1"/>
  <c r="BE96" i="6" s="1"/>
  <c r="O4" i="6"/>
  <c r="G3" i="6" a="1"/>
  <c r="G3" i="6" s="1"/>
  <c r="BF3" i="6" s="1"/>
  <c r="Y3" i="6" l="1"/>
  <c r="BK3" i="6" s="1"/>
  <c r="AA3" i="6"/>
  <c r="BM3" i="6" s="1"/>
  <c r="Z3" i="6"/>
  <c r="BL3" i="6" s="1"/>
  <c r="G4" i="6" a="1"/>
  <c r="G4" i="6" s="1"/>
  <c r="BF4" i="6" s="1"/>
  <c r="I4" i="6" a="1"/>
  <c r="I4" i="6" s="1"/>
  <c r="BG4" i="6" s="1"/>
  <c r="K4" i="6" a="1"/>
  <c r="K4" i="6" s="1"/>
  <c r="BH4" i="6" s="1"/>
  <c r="E4" i="6" a="1"/>
  <c r="E4" i="6" s="1"/>
  <c r="BE4" i="6" s="1"/>
  <c r="C4" i="6" a="1"/>
  <c r="C4" i="6" s="1"/>
  <c r="O5" i="6"/>
  <c r="AA4" i="6" l="1"/>
  <c r="BM4" i="6" s="1"/>
  <c r="Y4" i="6"/>
  <c r="BK4" i="6" s="1"/>
  <c r="Z4" i="6"/>
  <c r="BL4" i="6" s="1"/>
  <c r="X4" i="6"/>
  <c r="BJ4" i="6" s="1"/>
  <c r="AV4" i="6" s="1"/>
  <c r="G5" i="6" a="1"/>
  <c r="G5" i="6" s="1"/>
  <c r="BF5" i="6" s="1"/>
  <c r="K5" i="6" a="1"/>
  <c r="K5" i="6" s="1"/>
  <c r="BH5" i="6" s="1"/>
  <c r="I5" i="6" a="1"/>
  <c r="I5" i="6" s="1"/>
  <c r="BG5" i="6" s="1"/>
  <c r="C5" i="6" a="1"/>
  <c r="C5" i="6" s="1"/>
  <c r="E34" i="6" a="1"/>
  <c r="E34" i="6" s="1"/>
  <c r="BE34" i="6" s="1"/>
  <c r="O6" i="6"/>
  <c r="AA5" i="6" l="1"/>
  <c r="BM5" i="6" s="1"/>
  <c r="Y5" i="6"/>
  <c r="BK5" i="6" s="1"/>
  <c r="Z5" i="6"/>
  <c r="BL5" i="6" s="1"/>
  <c r="I52" i="6" a="1"/>
  <c r="I52" i="6" s="1"/>
  <c r="BG52" i="6" s="1"/>
  <c r="K6" i="6" a="1"/>
  <c r="K6" i="6" s="1"/>
  <c r="BH6" i="6" s="1"/>
  <c r="C6" i="6" a="1"/>
  <c r="C6" i="6" s="1"/>
  <c r="E40" i="6" a="1"/>
  <c r="E40" i="6" s="1"/>
  <c r="BE40" i="6" s="1"/>
  <c r="O7" i="6"/>
  <c r="AA6" i="6" l="1"/>
  <c r="BM6" i="6" s="1"/>
  <c r="K7" i="6" a="1"/>
  <c r="K7" i="6" s="1"/>
  <c r="BH7" i="6" s="1"/>
  <c r="C7" i="6" a="1"/>
  <c r="C7" i="6" s="1"/>
  <c r="I54" i="6" a="1"/>
  <c r="I54" i="6" s="1"/>
  <c r="BG54" i="6" s="1"/>
  <c r="E41" i="6" a="1"/>
  <c r="E41" i="6" s="1"/>
  <c r="BE41" i="6" s="1"/>
  <c r="O8" i="6"/>
  <c r="O9" i="6" s="1"/>
  <c r="AA7" i="6" l="1"/>
  <c r="BM7" i="6" s="1"/>
  <c r="G9" i="6" a="1"/>
  <c r="G9" i="6" s="1"/>
  <c r="BF9" i="6" s="1"/>
  <c r="K9" i="6" a="1"/>
  <c r="K9" i="6" s="1"/>
  <c r="BH9" i="6" s="1"/>
  <c r="E9" i="6" a="1"/>
  <c r="E9" i="6" s="1"/>
  <c r="BE9" i="6" s="1"/>
  <c r="C9" i="6" a="1"/>
  <c r="C9" i="6" s="1"/>
  <c r="I9" i="6" a="1"/>
  <c r="I9" i="6" s="1"/>
  <c r="BG9" i="6" s="1"/>
  <c r="K12" i="6" a="1"/>
  <c r="K12" i="6" s="1"/>
  <c r="BH12" i="6" s="1"/>
  <c r="I55" i="6" a="1"/>
  <c r="I55" i="6" s="1"/>
  <c r="BG55" i="6" s="1"/>
  <c r="E47" i="6" a="1"/>
  <c r="E47" i="6" s="1"/>
  <c r="BE47" i="6" s="1"/>
  <c r="C8" i="6" a="1"/>
  <c r="C8" i="6" s="1"/>
  <c r="O10" i="6"/>
  <c r="AV9" i="6" l="1"/>
  <c r="AA9" i="6"/>
  <c r="BM9" i="6" s="1"/>
  <c r="Z9" i="6"/>
  <c r="BL9" i="6" s="1"/>
  <c r="X9" i="6"/>
  <c r="BJ9" i="6" s="1"/>
  <c r="Y9" i="6"/>
  <c r="BK9" i="6" s="1"/>
  <c r="I49" i="6" a="1"/>
  <c r="I49" i="6" s="1"/>
  <c r="BG49" i="6" s="1"/>
  <c r="E49" i="6" a="1"/>
  <c r="E49" i="6" s="1"/>
  <c r="BE49" i="6" s="1"/>
  <c r="C10" i="6" a="1"/>
  <c r="C10" i="6" s="1"/>
  <c r="K11" i="6" a="1"/>
  <c r="K11" i="6" s="1"/>
  <c r="BH11" i="6" s="1"/>
  <c r="O11" i="6"/>
  <c r="K10" i="6" l="1" a="1"/>
  <c r="K10" i="6" s="1"/>
  <c r="BH10" i="6" s="1"/>
  <c r="I50" i="6" a="1"/>
  <c r="I50" i="6" s="1"/>
  <c r="BG50" i="6" s="1"/>
  <c r="E10" i="6" a="1"/>
  <c r="E10" i="6" s="1"/>
  <c r="BE10" i="6" s="1"/>
  <c r="C11" i="6" a="1"/>
  <c r="C11" i="6" s="1"/>
  <c r="O12" i="6"/>
  <c r="X10" i="6" l="1"/>
  <c r="BJ10" i="6" s="1"/>
  <c r="AA10" i="6"/>
  <c r="BM10" i="6" s="1"/>
  <c r="AA11" i="6"/>
  <c r="BM11" i="6" s="1"/>
  <c r="C12" i="6" a="1"/>
  <c r="C12" i="6" s="1"/>
  <c r="I43" i="6" a="1"/>
  <c r="I43" i="6" s="1"/>
  <c r="BG43" i="6" s="1"/>
  <c r="K8" i="6" a="1"/>
  <c r="K8" i="6" s="1"/>
  <c r="E44" i="6" a="1"/>
  <c r="E44" i="6" s="1"/>
  <c r="BE44" i="6" s="1"/>
  <c r="O13" i="6"/>
  <c r="BH8" i="6" l="1"/>
  <c r="AA8" i="6"/>
  <c r="BM8" i="6" s="1"/>
  <c r="AA12" i="6"/>
  <c r="BM12" i="6" s="1"/>
  <c r="O14" i="6"/>
  <c r="E65" i="6" a="1"/>
  <c r="E65" i="6" s="1"/>
  <c r="BE65" i="6" s="1"/>
  <c r="K65" i="6" a="1"/>
  <c r="K65" i="6" s="1"/>
  <c r="BH65" i="6" s="1"/>
  <c r="I95" i="6" a="1"/>
  <c r="I95" i="6" s="1"/>
  <c r="BG95" i="6" s="1"/>
  <c r="C13" i="6" a="1"/>
  <c r="C13" i="6" s="1"/>
  <c r="E26" i="6" l="1" a="1"/>
  <c r="E26" i="6" s="1"/>
  <c r="BE26" i="6" s="1"/>
  <c r="K79" i="6" a="1"/>
  <c r="K79" i="6" s="1"/>
  <c r="BH79" i="6" s="1"/>
  <c r="I77" i="6" a="1"/>
  <c r="I77" i="6" s="1"/>
  <c r="BG77" i="6" s="1"/>
  <c r="C14" i="6" a="1"/>
  <c r="C14" i="6" s="1"/>
  <c r="O15" i="6"/>
  <c r="E61" i="6" l="1" a="1"/>
  <c r="E61" i="6" s="1"/>
  <c r="BE61" i="6" s="1"/>
  <c r="I31" i="6" a="1"/>
  <c r="I31" i="6" s="1"/>
  <c r="BG31" i="6" s="1"/>
  <c r="K15" i="6" a="1"/>
  <c r="K15" i="6" s="1"/>
  <c r="BH15" i="6" s="1"/>
  <c r="C15" i="6" a="1"/>
  <c r="C15" i="6" s="1"/>
  <c r="O16" i="6"/>
  <c r="O17" i="6" s="1"/>
  <c r="AA15" i="6" l="1"/>
  <c r="BM15" i="6" s="1"/>
  <c r="E18" i="6" a="1"/>
  <c r="E18" i="6" s="1"/>
  <c r="BE18" i="6" s="1"/>
  <c r="I29" i="6" a="1"/>
  <c r="I29" i="6" s="1"/>
  <c r="BG29" i="6" s="1"/>
  <c r="K16" i="6" a="1"/>
  <c r="K16" i="6" s="1"/>
  <c r="BH16" i="6" s="1"/>
  <c r="C17" i="6" a="1"/>
  <c r="C17" i="6" s="1"/>
  <c r="I78" i="6" a="1"/>
  <c r="I78" i="6" s="1"/>
  <c r="BG78" i="6" s="1"/>
  <c r="C16" i="6" a="1"/>
  <c r="C16" i="6" s="1"/>
  <c r="K17" i="6" a="1"/>
  <c r="K17" i="6" s="1"/>
  <c r="BH17" i="6" s="1"/>
  <c r="E82" i="6" a="1"/>
  <c r="E82" i="6" s="1"/>
  <c r="BE82" i="6" s="1"/>
  <c r="O18" i="6"/>
  <c r="AA16" i="6" l="1"/>
  <c r="BM16" i="6" s="1"/>
  <c r="AA17" i="6"/>
  <c r="BM17" i="6" s="1"/>
  <c r="K27" i="6" a="1"/>
  <c r="K27" i="6" s="1"/>
  <c r="BH27" i="6" s="1"/>
  <c r="C18" i="6" a="1"/>
  <c r="C18" i="6" s="1"/>
  <c r="E78" i="6" a="1"/>
  <c r="E78" i="6" s="1"/>
  <c r="BE78" i="6" s="1"/>
  <c r="I82" i="6" a="1"/>
  <c r="I82" i="6" s="1"/>
  <c r="BG82" i="6" s="1"/>
  <c r="O19" i="6"/>
  <c r="O20" i="6" s="1"/>
  <c r="X18" i="6" l="1"/>
  <c r="BJ18" i="6" s="1"/>
  <c r="O21" i="6"/>
  <c r="O22" i="6" s="1"/>
  <c r="E20" i="6" a="1"/>
  <c r="E20" i="6" s="1"/>
  <c r="BE20" i="6" s="1"/>
  <c r="K21" i="6" a="1"/>
  <c r="K21" i="6" s="1"/>
  <c r="BH21" i="6" s="1"/>
  <c r="I21" i="6" a="1"/>
  <c r="I21" i="6" s="1"/>
  <c r="BG21" i="6" s="1"/>
  <c r="C21" i="6" a="1"/>
  <c r="C21" i="6" s="1"/>
  <c r="G20" i="6" a="1"/>
  <c r="G20" i="6" s="1"/>
  <c r="BF20" i="6" s="1"/>
  <c r="I20" i="6" a="1"/>
  <c r="I20" i="6" s="1"/>
  <c r="BG20" i="6" s="1"/>
  <c r="C20" i="6" a="1"/>
  <c r="C20" i="6" s="1"/>
  <c r="E21" i="6" a="1"/>
  <c r="E21" i="6" s="1"/>
  <c r="BE21" i="6" s="1"/>
  <c r="K20" i="6" a="1"/>
  <c r="K20" i="6" s="1"/>
  <c r="BH20" i="6" s="1"/>
  <c r="E66" i="6" a="1"/>
  <c r="E66" i="6" s="1"/>
  <c r="BE66" i="6" s="1"/>
  <c r="G19" i="6" a="1"/>
  <c r="G19" i="6" s="1"/>
  <c r="BF19" i="6" s="1"/>
  <c r="K19" i="6" a="1"/>
  <c r="K19" i="6" s="1"/>
  <c r="BH19" i="6" s="1"/>
  <c r="I19" i="6" a="1"/>
  <c r="I19" i="6" s="1"/>
  <c r="BG19" i="6" s="1"/>
  <c r="C19" i="6" a="1"/>
  <c r="C19" i="6" s="1"/>
  <c r="G21" i="6" l="1" a="1"/>
  <c r="G21" i="6" s="1"/>
  <c r="BF21" i="6" s="1"/>
  <c r="Z19" i="6"/>
  <c r="BL19" i="6" s="1"/>
  <c r="Y19" i="6"/>
  <c r="BK19" i="6" s="1"/>
  <c r="AA19" i="6"/>
  <c r="BM19" i="6" s="1"/>
  <c r="AA20" i="6"/>
  <c r="BM20" i="6" s="1"/>
  <c r="X20" i="6"/>
  <c r="BJ20" i="6" s="1"/>
  <c r="AV20" i="6" s="1"/>
  <c r="Z20" i="6"/>
  <c r="BL20" i="6" s="1"/>
  <c r="Y20" i="6"/>
  <c r="BK20" i="6" s="1"/>
  <c r="AA21" i="6"/>
  <c r="BM21" i="6" s="1"/>
  <c r="X21" i="6"/>
  <c r="BJ21" i="6" s="1"/>
  <c r="Z21" i="6"/>
  <c r="BL21" i="6" s="1"/>
  <c r="K22" i="6" a="1"/>
  <c r="K22" i="6" s="1"/>
  <c r="BH22" i="6" s="1"/>
  <c r="E72" i="6" a="1"/>
  <c r="E72" i="6" s="1"/>
  <c r="BE72" i="6" s="1"/>
  <c r="C22" i="6" a="1"/>
  <c r="C22" i="6" s="1"/>
  <c r="I84" i="6" a="1"/>
  <c r="I84" i="6" s="1"/>
  <c r="BG84" i="6" s="1"/>
  <c r="O23" i="6"/>
  <c r="Y21" i="6" l="1"/>
  <c r="BK21" i="6" s="1"/>
  <c r="AV21" i="6" s="1"/>
  <c r="AA22" i="6"/>
  <c r="BM22" i="6" s="1"/>
  <c r="C23" i="6" a="1"/>
  <c r="C23" i="6" s="1"/>
  <c r="K23" i="6" a="1"/>
  <c r="K23" i="6" s="1"/>
  <c r="BH23" i="6" s="1"/>
  <c r="I86" i="6" a="1"/>
  <c r="I86" i="6" s="1"/>
  <c r="BG86" i="6" s="1"/>
  <c r="E73" i="6" a="1"/>
  <c r="E73" i="6" s="1"/>
  <c r="BE73" i="6" s="1"/>
  <c r="O24" i="6"/>
  <c r="AA23" i="6" l="1"/>
  <c r="BM23" i="6" s="1"/>
  <c r="K24" i="6" a="1"/>
  <c r="K24" i="6" s="1"/>
  <c r="BH24" i="6" s="1"/>
  <c r="I91" i="6" a="1"/>
  <c r="I91" i="6" s="1"/>
  <c r="BG91" i="6" s="1"/>
  <c r="E68" i="6" a="1"/>
  <c r="E68" i="6" s="1"/>
  <c r="BE68" i="6" s="1"/>
  <c r="C24" i="6" a="1"/>
  <c r="C24" i="6" s="1"/>
  <c r="O25" i="6"/>
  <c r="AA24" i="6" l="1"/>
  <c r="BM24" i="6" s="1"/>
  <c r="C25" i="6" a="1"/>
  <c r="C25" i="6" s="1"/>
  <c r="E79" i="6" a="1"/>
  <c r="E79" i="6" s="1"/>
  <c r="BE79" i="6" s="1"/>
  <c r="I87" i="6" a="1"/>
  <c r="I87" i="6" s="1"/>
  <c r="BG87" i="6" s="1"/>
  <c r="K26" i="6" a="1"/>
  <c r="K26" i="6" s="1"/>
  <c r="BH26" i="6" s="1"/>
  <c r="O26" i="6"/>
  <c r="I75" i="6" l="1" a="1"/>
  <c r="I75" i="6" s="1"/>
  <c r="BG75" i="6" s="1"/>
  <c r="K25" i="6" a="1"/>
  <c r="K25" i="6" s="1"/>
  <c r="BH25" i="6" s="1"/>
  <c r="E76" i="6" a="1"/>
  <c r="E76" i="6" s="1"/>
  <c r="BE76" i="6" s="1"/>
  <c r="C26" i="6" a="1"/>
  <c r="C26" i="6" s="1"/>
  <c r="O27" i="6"/>
  <c r="AA25" i="6" l="1"/>
  <c r="BM25" i="6" s="1"/>
  <c r="AA26" i="6"/>
  <c r="BM26" i="6" s="1"/>
  <c r="X26" i="6"/>
  <c r="BJ26" i="6" s="1"/>
  <c r="I81" i="6" a="1"/>
  <c r="I81" i="6" s="1"/>
  <c r="BG81" i="6" s="1"/>
  <c r="K18" i="6" a="1"/>
  <c r="K18" i="6" s="1"/>
  <c r="E16" i="6" a="1"/>
  <c r="E16" i="6" s="1"/>
  <c r="C27" i="6" a="1"/>
  <c r="C27" i="6" s="1"/>
  <c r="O28" i="6"/>
  <c r="O29" i="6" s="1"/>
  <c r="BE16" i="6" l="1"/>
  <c r="X16" i="6"/>
  <c r="BJ16" i="6" s="1"/>
  <c r="BH18" i="6"/>
  <c r="AA18" i="6"/>
  <c r="BM18" i="6" s="1"/>
  <c r="AA27" i="6"/>
  <c r="BM27" i="6" s="1"/>
  <c r="G16" i="6" a="1"/>
  <c r="G16" i="6" s="1"/>
  <c r="G29" i="6" a="1"/>
  <c r="G29" i="6" s="1"/>
  <c r="BF29" i="6" s="1"/>
  <c r="K78" i="6" a="1"/>
  <c r="K78" i="6" s="1"/>
  <c r="BH78" i="6" s="1"/>
  <c r="C29" i="6" a="1"/>
  <c r="C29" i="6" s="1"/>
  <c r="I17" i="6" a="1"/>
  <c r="I17" i="6" s="1"/>
  <c r="E27" i="6" a="1"/>
  <c r="E27" i="6" s="1"/>
  <c r="BE27" i="6" s="1"/>
  <c r="E46" i="6" a="1"/>
  <c r="E46" i="6" s="1"/>
  <c r="BE46" i="6" s="1"/>
  <c r="C28" i="6" a="1"/>
  <c r="C28" i="6" s="1"/>
  <c r="K46" i="6" a="1"/>
  <c r="K46" i="6" s="1"/>
  <c r="BH46" i="6" s="1"/>
  <c r="I33" i="6" a="1"/>
  <c r="I33" i="6" s="1"/>
  <c r="BG33" i="6" s="1"/>
  <c r="O30" i="6"/>
  <c r="O31" i="6" s="1"/>
  <c r="X27" i="6" l="1"/>
  <c r="BJ27" i="6" s="1"/>
  <c r="BG17" i="6"/>
  <c r="Z17" i="6"/>
  <c r="BL17" i="6" s="1"/>
  <c r="BF16" i="6"/>
  <c r="Y16" i="6"/>
  <c r="BK16" i="6" s="1"/>
  <c r="Z29" i="6"/>
  <c r="BL29" i="6" s="1"/>
  <c r="Y29" i="6"/>
  <c r="BK29" i="6" s="1"/>
  <c r="O32" i="6"/>
  <c r="G28" i="6" s="1" a="1"/>
  <c r="G28" i="6" s="1"/>
  <c r="BF28" i="6" s="1"/>
  <c r="E12" i="6" a="1"/>
  <c r="E12" i="6" s="1"/>
  <c r="K47" i="6" a="1"/>
  <c r="K47" i="6" s="1"/>
  <c r="BH47" i="6" s="1"/>
  <c r="C30" i="6" a="1"/>
  <c r="C30" i="6" s="1"/>
  <c r="I45" i="6" a="1"/>
  <c r="I45" i="6" s="1"/>
  <c r="BG45" i="6" s="1"/>
  <c r="G15" i="6" a="1"/>
  <c r="G15" i="6" s="1"/>
  <c r="I15" i="6" a="1"/>
  <c r="I15" i="6" s="1"/>
  <c r="C31" i="6" a="1"/>
  <c r="C31" i="6" s="1"/>
  <c r="K31" i="6" a="1"/>
  <c r="K31" i="6" s="1"/>
  <c r="BH31" i="6" s="1"/>
  <c r="G31" i="6" a="1"/>
  <c r="G31" i="6" s="1"/>
  <c r="BF31" i="6" s="1"/>
  <c r="E63" i="6" a="1"/>
  <c r="E63" i="6" s="1"/>
  <c r="BE63" i="6" s="1"/>
  <c r="K33" i="6" a="1"/>
  <c r="K33" i="6" s="1"/>
  <c r="BH33" i="6" s="1"/>
  <c r="E33" i="6" a="1"/>
  <c r="E33" i="6" s="1"/>
  <c r="BE33" i="6" s="1"/>
  <c r="G32" i="6" a="1"/>
  <c r="G32" i="6" s="1"/>
  <c r="BF32" i="6" s="1"/>
  <c r="C32" i="6" a="1"/>
  <c r="C32" i="6" s="1"/>
  <c r="I46" i="6" a="1"/>
  <c r="I46" i="6" s="1"/>
  <c r="BG46" i="6" s="1"/>
  <c r="Y28" i="6" l="1"/>
  <c r="BK28" i="6" s="1"/>
  <c r="BG15" i="6"/>
  <c r="Z15" i="6"/>
  <c r="BL15" i="6" s="1"/>
  <c r="BF15" i="6"/>
  <c r="Y15" i="6"/>
  <c r="BK15" i="6" s="1"/>
  <c r="BE12" i="6"/>
  <c r="X12" i="6"/>
  <c r="BJ12" i="6" s="1"/>
  <c r="Y32" i="6"/>
  <c r="BK32" i="6" s="1"/>
  <c r="AA31" i="6"/>
  <c r="BM31" i="6" s="1"/>
  <c r="Z31" i="6"/>
  <c r="BL31" i="6" s="1"/>
  <c r="Y31" i="6"/>
  <c r="BK31" i="6" s="1"/>
  <c r="O33" i="6"/>
  <c r="O34" i="6" s="1"/>
  <c r="G34" i="6" l="1" a="1"/>
  <c r="G34" i="6" s="1"/>
  <c r="BF34" i="6" s="1"/>
  <c r="C34" i="6" a="1"/>
  <c r="C34" i="6" s="1"/>
  <c r="K34" i="6" a="1"/>
  <c r="K34" i="6" s="1"/>
  <c r="BH34" i="6" s="1"/>
  <c r="I34" i="6" a="1"/>
  <c r="I34" i="6" s="1"/>
  <c r="BG34" i="6" s="1"/>
  <c r="E5" i="6" a="1"/>
  <c r="E5" i="6" s="1"/>
  <c r="K32" i="6" a="1"/>
  <c r="K32" i="6" s="1"/>
  <c r="I28" i="6" a="1"/>
  <c r="I28" i="6" s="1"/>
  <c r="C33" i="6" a="1"/>
  <c r="C33" i="6" s="1"/>
  <c r="E28" i="6" a="1"/>
  <c r="E28" i="6" s="1"/>
  <c r="O35" i="6"/>
  <c r="BE28" i="6" l="1"/>
  <c r="X28" i="6"/>
  <c r="BJ28" i="6" s="1"/>
  <c r="BG28" i="6"/>
  <c r="Z28" i="6"/>
  <c r="BL28" i="6" s="1"/>
  <c r="BH32" i="6"/>
  <c r="AA32" i="6"/>
  <c r="BM32" i="6" s="1"/>
  <c r="AA33" i="6"/>
  <c r="BM33" i="6" s="1"/>
  <c r="X33" i="6"/>
  <c r="BJ33" i="6" s="1"/>
  <c r="Z33" i="6"/>
  <c r="BL33" i="6" s="1"/>
  <c r="BE5" i="6"/>
  <c r="AV5" i="6" s="1"/>
  <c r="X5" i="6"/>
  <c r="BJ5" i="6" s="1"/>
  <c r="AA34" i="6"/>
  <c r="BM34" i="6" s="1"/>
  <c r="Z34" i="6"/>
  <c r="BL34" i="6" s="1"/>
  <c r="X34" i="6"/>
  <c r="BJ34" i="6" s="1"/>
  <c r="Y34" i="6"/>
  <c r="BK34" i="6" s="1"/>
  <c r="I35" i="6" a="1"/>
  <c r="I35" i="6" s="1"/>
  <c r="BG35" i="6" s="1"/>
  <c r="E58" i="6" a="1"/>
  <c r="E58" i="6" s="1"/>
  <c r="BE58" i="6" s="1"/>
  <c r="K38" i="6" a="1"/>
  <c r="K38" i="6" s="1"/>
  <c r="BH38" i="6" s="1"/>
  <c r="C35" i="6" a="1"/>
  <c r="C35" i="6" s="1"/>
  <c r="O36" i="6"/>
  <c r="O37" i="6" s="1"/>
  <c r="AV34" i="6" l="1"/>
  <c r="Z35" i="6"/>
  <c r="BL35" i="6" s="1"/>
  <c r="K48" i="6" a="1"/>
  <c r="K48" i="6" s="1"/>
  <c r="BH48" i="6" s="1"/>
  <c r="I36" i="6" a="1"/>
  <c r="I36" i="6" s="1"/>
  <c r="BG36" i="6" s="1"/>
  <c r="E59" i="6" a="1"/>
  <c r="E59" i="6" s="1"/>
  <c r="BE59" i="6" s="1"/>
  <c r="C36" i="6" a="1"/>
  <c r="C36" i="6" s="1"/>
  <c r="O38" i="6"/>
  <c r="O39" i="6" s="1"/>
  <c r="E39" i="6" a="1"/>
  <c r="E39" i="6" s="1"/>
  <c r="BE39" i="6" s="1"/>
  <c r="I39" i="6" a="1"/>
  <c r="I39" i="6" s="1"/>
  <c r="BG39" i="6" s="1"/>
  <c r="K60" i="6" a="1"/>
  <c r="K60" i="6" s="1"/>
  <c r="BH60" i="6" s="1"/>
  <c r="C37" i="6" a="1"/>
  <c r="C37" i="6" s="1"/>
  <c r="Z36" i="6" l="1"/>
  <c r="BL36" i="6" s="1"/>
  <c r="I38" i="6" a="1"/>
  <c r="I38" i="6" s="1"/>
  <c r="BG38" i="6" s="1"/>
  <c r="C38" i="6" a="1"/>
  <c r="C38" i="6" s="1"/>
  <c r="K35" i="6" a="1"/>
  <c r="K35" i="6" s="1"/>
  <c r="E57" i="6" a="1"/>
  <c r="E57" i="6" s="1"/>
  <c r="BE57" i="6" s="1"/>
  <c r="G38" i="6" a="1"/>
  <c r="G38" i="6" s="1"/>
  <c r="BF38" i="6" s="1"/>
  <c r="G35" i="6" a="1"/>
  <c r="G35" i="6" s="1"/>
  <c r="O40" i="6"/>
  <c r="K51" i="6" a="1"/>
  <c r="K51" i="6" s="1"/>
  <c r="BH51" i="6" s="1"/>
  <c r="I37" i="6" a="1"/>
  <c r="I37" i="6" s="1"/>
  <c r="BG37" i="6" s="1"/>
  <c r="E51" i="6" a="1"/>
  <c r="E51" i="6" s="1"/>
  <c r="BE51" i="6" s="1"/>
  <c r="C39" i="6" a="1"/>
  <c r="C39" i="6" s="1"/>
  <c r="BH35" i="6" l="1"/>
  <c r="AA35" i="6"/>
  <c r="BM35" i="6" s="1"/>
  <c r="BF35" i="6"/>
  <c r="Y35" i="6"/>
  <c r="BK35" i="6" s="1"/>
  <c r="Z37" i="6"/>
  <c r="BL37" i="6" s="1"/>
  <c r="Z39" i="6"/>
  <c r="BL39" i="6" s="1"/>
  <c r="X39" i="6"/>
  <c r="BJ39" i="6" s="1"/>
  <c r="AA38" i="6"/>
  <c r="BM38" i="6" s="1"/>
  <c r="Y38" i="6"/>
  <c r="BK38" i="6" s="1"/>
  <c r="Z38" i="6"/>
  <c r="BL38" i="6" s="1"/>
  <c r="I40" i="6" a="1"/>
  <c r="I40" i="6" s="1"/>
  <c r="BG40" i="6" s="1"/>
  <c r="E52" i="6" a="1"/>
  <c r="E52" i="6" s="1"/>
  <c r="BE52" i="6" s="1"/>
  <c r="K56" i="6" a="1"/>
  <c r="K56" i="6" s="1"/>
  <c r="BH56" i="6" s="1"/>
  <c r="C40" i="6" a="1"/>
  <c r="C40" i="6" s="1"/>
  <c r="O41" i="6"/>
  <c r="Z40" i="6" l="1"/>
  <c r="BL40" i="6" s="1"/>
  <c r="X40" i="6"/>
  <c r="BJ40" i="6" s="1"/>
  <c r="I41" i="6" a="1"/>
  <c r="I41" i="6" s="1"/>
  <c r="BG41" i="6" s="1"/>
  <c r="E54" i="6" a="1"/>
  <c r="E54" i="6" s="1"/>
  <c r="BE54" i="6" s="1"/>
  <c r="G41" i="6" a="1"/>
  <c r="G41" i="6" s="1"/>
  <c r="BF41" i="6" s="1"/>
  <c r="K42" i="6" a="1"/>
  <c r="K42" i="6" s="1"/>
  <c r="BH42" i="6" s="1"/>
  <c r="C41" i="6" a="1"/>
  <c r="C41" i="6" s="1"/>
  <c r="O42" i="6"/>
  <c r="Z41" i="6" l="1"/>
  <c r="BL41" i="6" s="1"/>
  <c r="Y41" i="6"/>
  <c r="BK41" i="6" s="1"/>
  <c r="X41" i="6"/>
  <c r="BJ41" i="6" s="1"/>
  <c r="E7" i="6" a="1"/>
  <c r="E7" i="6" s="1"/>
  <c r="K41" i="6" a="1"/>
  <c r="K41" i="6" s="1"/>
  <c r="BH41" i="6" s="1"/>
  <c r="G42" i="6" a="1"/>
  <c r="G42" i="6" s="1"/>
  <c r="BF42" i="6" s="1"/>
  <c r="I42" i="6" a="1"/>
  <c r="I42" i="6" s="1"/>
  <c r="BG42" i="6" s="1"/>
  <c r="C42" i="6" a="1"/>
  <c r="C42" i="6" s="1"/>
  <c r="O43" i="6"/>
  <c r="AV41" i="6" l="1"/>
  <c r="AA41" i="6"/>
  <c r="BM41" i="6" s="1"/>
  <c r="Y42" i="6"/>
  <c r="BK42" i="6" s="1"/>
  <c r="Z42" i="6"/>
  <c r="BL42" i="6" s="1"/>
  <c r="AA42" i="6"/>
  <c r="BM42" i="6" s="1"/>
  <c r="BE7" i="6"/>
  <c r="X7" i="6"/>
  <c r="BJ7" i="6" s="1"/>
  <c r="K55" i="6" a="1"/>
  <c r="K55" i="6" s="1"/>
  <c r="BH55" i="6" s="1"/>
  <c r="E45" i="6" a="1"/>
  <c r="E45" i="6" s="1"/>
  <c r="BE45" i="6" s="1"/>
  <c r="C43" i="6" a="1"/>
  <c r="C43" i="6" s="1"/>
  <c r="G8" i="6" a="1"/>
  <c r="G8" i="6" s="1"/>
  <c r="G43" i="6" a="1"/>
  <c r="G43" i="6" s="1"/>
  <c r="BF43" i="6" s="1"/>
  <c r="I12" i="6" a="1"/>
  <c r="I12" i="6" s="1"/>
  <c r="O44" i="6"/>
  <c r="BG12" i="6" l="1"/>
  <c r="Z12" i="6"/>
  <c r="BL12" i="6" s="1"/>
  <c r="BF8" i="6"/>
  <c r="Y8" i="6"/>
  <c r="BK8" i="6" s="1"/>
  <c r="Y43" i="6"/>
  <c r="BK43" i="6" s="1"/>
  <c r="Z43" i="6"/>
  <c r="BL43" i="6" s="1"/>
  <c r="K45" i="6" a="1"/>
  <c r="K45" i="6" s="1"/>
  <c r="BH45" i="6" s="1"/>
  <c r="E55" i="6" a="1"/>
  <c r="E55" i="6" s="1"/>
  <c r="BE55" i="6" s="1"/>
  <c r="C44" i="6" a="1"/>
  <c r="C44" i="6" s="1"/>
  <c r="G30" i="6" a="1"/>
  <c r="G30" i="6" s="1"/>
  <c r="G44" i="6" a="1"/>
  <c r="G44" i="6" s="1"/>
  <c r="BF44" i="6" s="1"/>
  <c r="I47" i="6" a="1"/>
  <c r="I47" i="6" s="1"/>
  <c r="BG47" i="6" s="1"/>
  <c r="O45" i="6"/>
  <c r="BF30" i="6" l="1"/>
  <c r="Y30" i="6"/>
  <c r="BK30" i="6" s="1"/>
  <c r="Y44" i="6"/>
  <c r="BK44" i="6" s="1"/>
  <c r="X44" i="6"/>
  <c r="BJ44" i="6" s="1"/>
  <c r="K44" i="6" a="1"/>
  <c r="K44" i="6" s="1"/>
  <c r="BH44" i="6" s="1"/>
  <c r="I30" i="6" a="1"/>
  <c r="I30" i="6" s="1"/>
  <c r="E8" i="6" a="1"/>
  <c r="E8" i="6" s="1"/>
  <c r="C45" i="6" a="1"/>
  <c r="C45" i="6" s="1"/>
  <c r="O46" i="6"/>
  <c r="BG30" i="6" l="1"/>
  <c r="Z30" i="6"/>
  <c r="BL30" i="6" s="1"/>
  <c r="AA44" i="6"/>
  <c r="BM44" i="6" s="1"/>
  <c r="BE8" i="6"/>
  <c r="X8" i="6"/>
  <c r="BJ8" i="6" s="1"/>
  <c r="Z45" i="6"/>
  <c r="BL45" i="6" s="1"/>
  <c r="X45" i="6"/>
  <c r="BJ45" i="6" s="1"/>
  <c r="AA45" i="6"/>
  <c r="BM45" i="6" s="1"/>
  <c r="I32" i="6" a="1"/>
  <c r="I32" i="6" s="1"/>
  <c r="C46" i="6" a="1"/>
  <c r="C46" i="6" s="1"/>
  <c r="K28" i="6" a="1"/>
  <c r="K28" i="6" s="1"/>
  <c r="G46" i="6" a="1"/>
  <c r="G46" i="6" s="1"/>
  <c r="BF46" i="6" s="1"/>
  <c r="E32" i="6" a="1"/>
  <c r="E32" i="6" s="1"/>
  <c r="G33" i="6" a="1"/>
  <c r="G33" i="6" s="1"/>
  <c r="O47" i="6"/>
  <c r="BH28" i="6" l="1"/>
  <c r="AV28" i="6" s="1"/>
  <c r="AA28" i="6"/>
  <c r="BM28" i="6" s="1"/>
  <c r="BG32" i="6"/>
  <c r="Z32" i="6"/>
  <c r="BL32" i="6" s="1"/>
  <c r="BF33" i="6"/>
  <c r="Y33" i="6"/>
  <c r="BK33" i="6" s="1"/>
  <c r="BE32" i="6"/>
  <c r="X32" i="6"/>
  <c r="BJ32" i="6" s="1"/>
  <c r="Y46" i="6"/>
  <c r="BK46" i="6" s="1"/>
  <c r="X46" i="6"/>
  <c r="BJ46" i="6" s="1"/>
  <c r="AA46" i="6"/>
  <c r="BM46" i="6" s="1"/>
  <c r="Z46" i="6"/>
  <c r="BL46" i="6" s="1"/>
  <c r="E43" i="6" a="1"/>
  <c r="E43" i="6" s="1"/>
  <c r="K30" i="6" a="1"/>
  <c r="K30" i="6" s="1"/>
  <c r="G47" i="6" a="1"/>
  <c r="G47" i="6" s="1"/>
  <c r="BF47" i="6" s="1"/>
  <c r="I44" i="6" a="1"/>
  <c r="I44" i="6" s="1"/>
  <c r="C47" i="6" a="1"/>
  <c r="C47" i="6" s="1"/>
  <c r="O48" i="6"/>
  <c r="G45" i="6" a="1"/>
  <c r="G45" i="6" s="1"/>
  <c r="AV46" i="6" l="1"/>
  <c r="AV33" i="6"/>
  <c r="AV32" i="6"/>
  <c r="BG44" i="6"/>
  <c r="Z44" i="6"/>
  <c r="BL44" i="6" s="1"/>
  <c r="BF45" i="6"/>
  <c r="Y45" i="6"/>
  <c r="BK45" i="6" s="1"/>
  <c r="BH30" i="6"/>
  <c r="AA30" i="6"/>
  <c r="BM30" i="6" s="1"/>
  <c r="BE43" i="6"/>
  <c r="X43" i="6"/>
  <c r="BJ43" i="6" s="1"/>
  <c r="Z47" i="6"/>
  <c r="BL47" i="6" s="1"/>
  <c r="AA47" i="6"/>
  <c r="BM47" i="6" s="1"/>
  <c r="Y47" i="6"/>
  <c r="BK47" i="6" s="1"/>
  <c r="X47" i="6"/>
  <c r="BJ47" i="6" s="1"/>
  <c r="I48" i="6" a="1"/>
  <c r="I48" i="6" s="1"/>
  <c r="BG48" i="6" s="1"/>
  <c r="C48" i="6" a="1"/>
  <c r="C48" i="6" s="1"/>
  <c r="K36" i="6" a="1"/>
  <c r="K36" i="6" s="1"/>
  <c r="G48" i="6" a="1"/>
  <c r="G48" i="6" s="1"/>
  <c r="BF48" i="6" s="1"/>
  <c r="E64" i="6" a="1"/>
  <c r="E64" i="6" s="1"/>
  <c r="BE64" i="6" s="1"/>
  <c r="G36" i="6" a="1"/>
  <c r="G36" i="6" s="1"/>
  <c r="O49" i="6"/>
  <c r="AV45" i="6" l="1"/>
  <c r="AV44" i="6"/>
  <c r="AV47" i="6"/>
  <c r="BF36" i="6"/>
  <c r="Y36" i="6"/>
  <c r="BK36" i="6" s="1"/>
  <c r="BH36" i="6"/>
  <c r="AA36" i="6"/>
  <c r="BM36" i="6" s="1"/>
  <c r="Z48" i="6"/>
  <c r="BL48" i="6" s="1"/>
  <c r="AA48" i="6"/>
  <c r="BM48" i="6" s="1"/>
  <c r="Y48" i="6"/>
  <c r="BK48" i="6" s="1"/>
  <c r="G11" i="6" a="1"/>
  <c r="G11" i="6" s="1"/>
  <c r="E50" i="6" a="1"/>
  <c r="E50" i="6" s="1"/>
  <c r="BE50" i="6" s="1"/>
  <c r="I10" i="6" a="1"/>
  <c r="I10" i="6" s="1"/>
  <c r="C49" i="6" a="1"/>
  <c r="C49" i="6" s="1"/>
  <c r="K50" i="6" a="1"/>
  <c r="K50" i="6" s="1"/>
  <c r="BH50" i="6" s="1"/>
  <c r="G49" i="6" a="1"/>
  <c r="G49" i="6" s="1"/>
  <c r="BF49" i="6" s="1"/>
  <c r="O50" i="6"/>
  <c r="BG10" i="6" l="1"/>
  <c r="Z10" i="6"/>
  <c r="BL10" i="6" s="1"/>
  <c r="BF11" i="6"/>
  <c r="Y11" i="6"/>
  <c r="BK11" i="6" s="1"/>
  <c r="Z49" i="6"/>
  <c r="BL49" i="6" s="1"/>
  <c r="Y49" i="6"/>
  <c r="BK49" i="6" s="1"/>
  <c r="X49" i="6"/>
  <c r="BJ49" i="6" s="1"/>
  <c r="G10" i="6" a="1"/>
  <c r="G10" i="6" s="1"/>
  <c r="I11" i="6" a="1"/>
  <c r="I11" i="6" s="1"/>
  <c r="G50" i="6" a="1"/>
  <c r="G50" i="6" s="1"/>
  <c r="BF50" i="6" s="1"/>
  <c r="K49" i="6" a="1"/>
  <c r="K49" i="6" s="1"/>
  <c r="BH49" i="6" s="1"/>
  <c r="C50" i="6" a="1"/>
  <c r="C50" i="6" s="1"/>
  <c r="E11" i="6" a="1"/>
  <c r="E11" i="6" s="1"/>
  <c r="O51" i="6"/>
  <c r="AV49" i="6" l="1"/>
  <c r="AA49" i="6"/>
  <c r="BM49" i="6" s="1"/>
  <c r="BE11" i="6"/>
  <c r="X11" i="6"/>
  <c r="BJ11" i="6" s="1"/>
  <c r="BG11" i="6"/>
  <c r="Z11" i="6"/>
  <c r="BL11" i="6" s="1"/>
  <c r="BF10" i="6"/>
  <c r="Y10" i="6"/>
  <c r="BK10" i="6" s="1"/>
  <c r="AA50" i="6"/>
  <c r="BM50" i="6" s="1"/>
  <c r="Y50" i="6"/>
  <c r="BK50" i="6" s="1"/>
  <c r="Z50" i="6"/>
  <c r="BL50" i="6" s="1"/>
  <c r="X50" i="6"/>
  <c r="BJ50" i="6" s="1"/>
  <c r="AV50" i="6" s="1"/>
  <c r="G51" i="6" a="1"/>
  <c r="G51" i="6" s="1"/>
  <c r="BF51" i="6" s="1"/>
  <c r="K39" i="6" a="1"/>
  <c r="K39" i="6" s="1"/>
  <c r="C51" i="6" a="1"/>
  <c r="C51" i="6" s="1"/>
  <c r="E60" i="6" a="1"/>
  <c r="E60" i="6" s="1"/>
  <c r="BE60" i="6" s="1"/>
  <c r="I60" i="6" a="1"/>
  <c r="I60" i="6" s="1"/>
  <c r="BG60" i="6" s="1"/>
  <c r="G37" i="6" a="1"/>
  <c r="G37" i="6" s="1"/>
  <c r="O52" i="6"/>
  <c r="AV10" i="6" l="1"/>
  <c r="AV11" i="6"/>
  <c r="BF37" i="6"/>
  <c r="Y37" i="6"/>
  <c r="BK37" i="6" s="1"/>
  <c r="BH39" i="6"/>
  <c r="AA39" i="6"/>
  <c r="BM39" i="6" s="1"/>
  <c r="AA51" i="6"/>
  <c r="BM51" i="6" s="1"/>
  <c r="X51" i="6"/>
  <c r="BJ51" i="6" s="1"/>
  <c r="Y51" i="6"/>
  <c r="BK51" i="6" s="1"/>
  <c r="G52" i="6" a="1"/>
  <c r="G52" i="6" s="1"/>
  <c r="BF52" i="6" s="1"/>
  <c r="K52" i="6" a="1"/>
  <c r="K52" i="6" s="1"/>
  <c r="BH52" i="6" s="1"/>
  <c r="I6" i="6" a="1"/>
  <c r="I6" i="6" s="1"/>
  <c r="C52" i="6" a="1"/>
  <c r="C52" i="6" s="1"/>
  <c r="E56" i="6" a="1"/>
  <c r="E56" i="6" s="1"/>
  <c r="BE56" i="6" s="1"/>
  <c r="G6" i="6" a="1"/>
  <c r="G6" i="6" s="1"/>
  <c r="O53" i="6"/>
  <c r="BF6" i="6" l="1"/>
  <c r="Y6" i="6"/>
  <c r="BK6" i="6" s="1"/>
  <c r="Z52" i="6"/>
  <c r="BL52" i="6" s="1"/>
  <c r="X52" i="6"/>
  <c r="BJ52" i="6" s="1"/>
  <c r="AV52" i="6" s="1"/>
  <c r="Y52" i="6"/>
  <c r="BK52" i="6" s="1"/>
  <c r="AA52" i="6"/>
  <c r="BM52" i="6" s="1"/>
  <c r="BG6" i="6"/>
  <c r="Z6" i="6"/>
  <c r="BL6" i="6" s="1"/>
  <c r="E53" i="6" a="1"/>
  <c r="E53" i="6" s="1"/>
  <c r="BE53" i="6" s="1"/>
  <c r="C53" i="6" a="1"/>
  <c r="C53" i="6" s="1"/>
  <c r="G53" i="6" a="1"/>
  <c r="G53" i="6" s="1"/>
  <c r="BF53" i="6" s="1"/>
  <c r="I53" i="6" a="1"/>
  <c r="I53" i="6" s="1"/>
  <c r="BG53" i="6" s="1"/>
  <c r="K53" i="6" a="1"/>
  <c r="K53" i="6" s="1"/>
  <c r="BH53" i="6" s="1"/>
  <c r="O54" i="6"/>
  <c r="Z53" i="6" l="1"/>
  <c r="BL53" i="6" s="1"/>
  <c r="Y53" i="6"/>
  <c r="BK53" i="6" s="1"/>
  <c r="X53" i="6"/>
  <c r="BJ53" i="6" s="1"/>
  <c r="AV53" i="6" s="1"/>
  <c r="AA53" i="6"/>
  <c r="BM53" i="6" s="1"/>
  <c r="E42" i="6" a="1"/>
  <c r="E42" i="6" s="1"/>
  <c r="C54" i="6" a="1"/>
  <c r="C54" i="6" s="1"/>
  <c r="I7" i="6" a="1"/>
  <c r="I7" i="6" s="1"/>
  <c r="G54" i="6" a="1"/>
  <c r="G54" i="6" s="1"/>
  <c r="BF54" i="6" s="1"/>
  <c r="K54" i="6" a="1"/>
  <c r="K54" i="6" s="1"/>
  <c r="BH54" i="6" s="1"/>
  <c r="G7" i="6" a="1"/>
  <c r="G7" i="6" s="1"/>
  <c r="O55" i="6"/>
  <c r="BE42" i="6" l="1"/>
  <c r="AV42" i="6" s="1"/>
  <c r="X42" i="6"/>
  <c r="BJ42" i="6" s="1"/>
  <c r="BF7" i="6"/>
  <c r="Y7" i="6"/>
  <c r="BK7" i="6" s="1"/>
  <c r="BG7" i="6"/>
  <c r="Z7" i="6"/>
  <c r="BL7" i="6" s="1"/>
  <c r="Y54" i="6"/>
  <c r="BK54" i="6" s="1"/>
  <c r="AA54" i="6"/>
  <c r="BM54" i="6" s="1"/>
  <c r="Z54" i="6"/>
  <c r="BL54" i="6" s="1"/>
  <c r="X54" i="6"/>
  <c r="BJ54" i="6" s="1"/>
  <c r="AV54" i="6" s="1"/>
  <c r="G12" i="6" a="1"/>
  <c r="G12" i="6" s="1"/>
  <c r="G55" i="6" a="1"/>
  <c r="G55" i="6" s="1"/>
  <c r="BF55" i="6" s="1"/>
  <c r="C55" i="6" a="1"/>
  <c r="C55" i="6" s="1"/>
  <c r="E30" i="6" a="1"/>
  <c r="E30" i="6" s="1"/>
  <c r="K43" i="6" a="1"/>
  <c r="K43" i="6" s="1"/>
  <c r="I8" i="6" a="1"/>
  <c r="I8" i="6" s="1"/>
  <c r="O56" i="6"/>
  <c r="AV7" i="6" l="1"/>
  <c r="BH43" i="6"/>
  <c r="AV43" i="6" s="1"/>
  <c r="AA43" i="6"/>
  <c r="BM43" i="6" s="1"/>
  <c r="BE30" i="6"/>
  <c r="X30" i="6"/>
  <c r="BJ30" i="6" s="1"/>
  <c r="BG8" i="6"/>
  <c r="Z8" i="6"/>
  <c r="BL8" i="6" s="1"/>
  <c r="BF12" i="6"/>
  <c r="Y12" i="6"/>
  <c r="BK12" i="6" s="1"/>
  <c r="X55" i="6"/>
  <c r="BJ55" i="6" s="1"/>
  <c r="Z55" i="6"/>
  <c r="BL55" i="6" s="1"/>
  <c r="AA55" i="6"/>
  <c r="BM55" i="6" s="1"/>
  <c r="Y55" i="6"/>
  <c r="BK55" i="6" s="1"/>
  <c r="E6" i="6" a="1"/>
  <c r="E6" i="6" s="1"/>
  <c r="I56" i="6" a="1"/>
  <c r="I56" i="6" s="1"/>
  <c r="BG56" i="6" s="1"/>
  <c r="K40" i="6" a="1"/>
  <c r="K40" i="6" s="1"/>
  <c r="C56" i="6" a="1"/>
  <c r="C56" i="6" s="1"/>
  <c r="G40" i="6" a="1"/>
  <c r="G40" i="6" s="1"/>
  <c r="G56" i="6" a="1"/>
  <c r="G56" i="6" s="1"/>
  <c r="BF56" i="6" s="1"/>
  <c r="O57" i="6"/>
  <c r="AV55" i="6" l="1"/>
  <c r="AV8" i="6"/>
  <c r="AV30" i="6"/>
  <c r="AV12" i="6"/>
  <c r="BF40" i="6"/>
  <c r="Y40" i="6"/>
  <c r="BK40" i="6" s="1"/>
  <c r="BH40" i="6"/>
  <c r="AA40" i="6"/>
  <c r="BM40" i="6" s="1"/>
  <c r="Z56" i="6"/>
  <c r="BL56" i="6" s="1"/>
  <c r="X56" i="6"/>
  <c r="BJ56" i="6" s="1"/>
  <c r="Y56" i="6"/>
  <c r="BK56" i="6" s="1"/>
  <c r="AA56" i="6"/>
  <c r="BM56" i="6" s="1"/>
  <c r="BE6" i="6"/>
  <c r="X6" i="6"/>
  <c r="BJ6" i="6" s="1"/>
  <c r="I58" i="6" a="1"/>
  <c r="I58" i="6" s="1"/>
  <c r="BG58" i="6" s="1"/>
  <c r="G57" i="6" a="1"/>
  <c r="G57" i="6" s="1"/>
  <c r="BF57" i="6" s="1"/>
  <c r="K57" i="6" a="1"/>
  <c r="K57" i="6" s="1"/>
  <c r="BH57" i="6" s="1"/>
  <c r="C57" i="6" a="1"/>
  <c r="C57" i="6" s="1"/>
  <c r="E35" i="6" a="1"/>
  <c r="E35" i="6" s="1"/>
  <c r="O58" i="6"/>
  <c r="AV6" i="6" l="1"/>
  <c r="AV56" i="6"/>
  <c r="AV40" i="6"/>
  <c r="BE35" i="6"/>
  <c r="X35" i="6"/>
  <c r="BJ35" i="6" s="1"/>
  <c r="AA57" i="6"/>
  <c r="BM57" i="6" s="1"/>
  <c r="Y57" i="6"/>
  <c r="BK57" i="6" s="1"/>
  <c r="X57" i="6"/>
  <c r="BJ57" i="6" s="1"/>
  <c r="G58" i="6" a="1"/>
  <c r="G58" i="6" s="1"/>
  <c r="BF58" i="6" s="1"/>
  <c r="E38" i="6" a="1"/>
  <c r="E38" i="6" s="1"/>
  <c r="C58" i="6" a="1"/>
  <c r="C58" i="6" s="1"/>
  <c r="I57" i="6" a="1"/>
  <c r="I57" i="6" s="1"/>
  <c r="BG57" i="6" s="1"/>
  <c r="K58" i="6" a="1"/>
  <c r="K58" i="6" s="1"/>
  <c r="BH58" i="6" s="1"/>
  <c r="O59" i="6"/>
  <c r="AV35" i="6" l="1"/>
  <c r="Z57" i="6"/>
  <c r="BL57" i="6" s="1"/>
  <c r="AV57" i="6" s="1"/>
  <c r="BE38" i="6"/>
  <c r="AV38" i="6" s="1"/>
  <c r="X38" i="6"/>
  <c r="BJ38" i="6" s="1"/>
  <c r="AA58" i="6"/>
  <c r="BM58" i="6" s="1"/>
  <c r="Y58" i="6"/>
  <c r="BK58" i="6" s="1"/>
  <c r="X58" i="6"/>
  <c r="BJ58" i="6" s="1"/>
  <c r="Z58" i="6"/>
  <c r="BL58" i="6" s="1"/>
  <c r="AV58" i="6" s="1"/>
  <c r="C59" i="6" a="1"/>
  <c r="C59" i="6" s="1"/>
  <c r="I64" i="6" a="1"/>
  <c r="I64" i="6" s="1"/>
  <c r="BG64" i="6" s="1"/>
  <c r="K59" i="6" a="1"/>
  <c r="K59" i="6" s="1"/>
  <c r="BH59" i="6" s="1"/>
  <c r="E48" i="6" a="1"/>
  <c r="E48" i="6" s="1"/>
  <c r="O60" i="6"/>
  <c r="BE48" i="6" l="1"/>
  <c r="X48" i="6"/>
  <c r="BJ48" i="6" s="1"/>
  <c r="AA59" i="6"/>
  <c r="BM59" i="6" s="1"/>
  <c r="X59" i="6"/>
  <c r="BJ59" i="6" s="1"/>
  <c r="G39" i="6" a="1"/>
  <c r="G39" i="6" s="1"/>
  <c r="K37" i="6" a="1"/>
  <c r="K37" i="6" s="1"/>
  <c r="I51" i="6" a="1"/>
  <c r="I51" i="6" s="1"/>
  <c r="G60" i="6" a="1"/>
  <c r="G60" i="6" s="1"/>
  <c r="BF60" i="6" s="1"/>
  <c r="E37" i="6" a="1"/>
  <c r="E37" i="6" s="1"/>
  <c r="C60" i="6" a="1"/>
  <c r="C60" i="6" s="1"/>
  <c r="O61" i="6"/>
  <c r="AV48" i="6" l="1"/>
  <c r="BG51" i="6"/>
  <c r="AV51" i="6" s="1"/>
  <c r="Z51" i="6"/>
  <c r="BL51" i="6" s="1"/>
  <c r="BH37" i="6"/>
  <c r="AA37" i="6"/>
  <c r="BM37" i="6" s="1"/>
  <c r="BF39" i="6"/>
  <c r="Y39" i="6"/>
  <c r="BK39" i="6" s="1"/>
  <c r="BE37" i="6"/>
  <c r="X37" i="6"/>
  <c r="BJ37" i="6" s="1"/>
  <c r="AA60" i="6"/>
  <c r="BM60" i="6" s="1"/>
  <c r="Y60" i="6"/>
  <c r="BK60" i="6" s="1"/>
  <c r="X60" i="6"/>
  <c r="BJ60" i="6" s="1"/>
  <c r="AV60" i="6" s="1"/>
  <c r="Z60" i="6"/>
  <c r="BL60" i="6" s="1"/>
  <c r="I61" i="6" a="1"/>
  <c r="I61" i="6" s="1"/>
  <c r="BG61" i="6" s="1"/>
  <c r="C61" i="6" a="1"/>
  <c r="C61" i="6" s="1"/>
  <c r="K63" i="6" a="1"/>
  <c r="K63" i="6" s="1"/>
  <c r="BH63" i="6" s="1"/>
  <c r="E31" i="6" a="1"/>
  <c r="E31" i="6" s="1"/>
  <c r="O62" i="6"/>
  <c r="AV37" i="6" l="1"/>
  <c r="AV39" i="6"/>
  <c r="BE31" i="6"/>
  <c r="AV31" i="6" s="1"/>
  <c r="X31" i="6"/>
  <c r="BJ31" i="6" s="1"/>
  <c r="Z61" i="6"/>
  <c r="BL61" i="6" s="1"/>
  <c r="X61" i="6"/>
  <c r="BJ61" i="6" s="1"/>
  <c r="G62" i="6" a="1"/>
  <c r="G62" i="6" s="1"/>
  <c r="BF62" i="6" s="1"/>
  <c r="I62" i="6" a="1"/>
  <c r="I62" i="6" s="1"/>
  <c r="BG62" i="6" s="1"/>
  <c r="K62" i="6" a="1"/>
  <c r="K62" i="6" s="1"/>
  <c r="BH62" i="6" s="1"/>
  <c r="C62" i="6" a="1"/>
  <c r="C62" i="6" s="1"/>
  <c r="E94" i="6" a="1"/>
  <c r="E94" i="6" s="1"/>
  <c r="BE94" i="6" s="1"/>
  <c r="O63" i="6"/>
  <c r="Y62" i="6" l="1"/>
  <c r="BK62" i="6" s="1"/>
  <c r="AA62" i="6"/>
  <c r="BM62" i="6" s="1"/>
  <c r="Z62" i="6"/>
  <c r="BL62" i="6" s="1"/>
  <c r="G63" i="6" a="1"/>
  <c r="G63" i="6" s="1"/>
  <c r="BF63" i="6" s="1"/>
  <c r="K61" i="6" a="1"/>
  <c r="K61" i="6" s="1"/>
  <c r="I63" i="6" a="1"/>
  <c r="I63" i="6" s="1"/>
  <c r="BG63" i="6" s="1"/>
  <c r="C63" i="6" a="1"/>
  <c r="C63" i="6" s="1"/>
  <c r="E15" i="6" a="1"/>
  <c r="E15" i="6" s="1"/>
  <c r="O64" i="6"/>
  <c r="G61" i="6" a="1"/>
  <c r="G61" i="6" s="1"/>
  <c r="BF61" i="6" l="1"/>
  <c r="AV61" i="6" s="1"/>
  <c r="Y61" i="6"/>
  <c r="BK61" i="6" s="1"/>
  <c r="BH61" i="6"/>
  <c r="AA61" i="6"/>
  <c r="BM61" i="6" s="1"/>
  <c r="BE15" i="6"/>
  <c r="AV15" i="6" s="1"/>
  <c r="X15" i="6"/>
  <c r="BJ15" i="6" s="1"/>
  <c r="AA63" i="6"/>
  <c r="BM63" i="6" s="1"/>
  <c r="Y63" i="6"/>
  <c r="BK63" i="6" s="1"/>
  <c r="Z63" i="6"/>
  <c r="BL63" i="6" s="1"/>
  <c r="AV63" i="6" s="1"/>
  <c r="X63" i="6"/>
  <c r="BJ63" i="6" s="1"/>
  <c r="G64" i="6" a="1"/>
  <c r="G64" i="6" s="1"/>
  <c r="BF64" i="6" s="1"/>
  <c r="I59" i="6" a="1"/>
  <c r="I59" i="6" s="1"/>
  <c r="C64" i="6" a="1"/>
  <c r="C64" i="6" s="1"/>
  <c r="E36" i="6" a="1"/>
  <c r="E36" i="6" s="1"/>
  <c r="K64" i="6" a="1"/>
  <c r="K64" i="6" s="1"/>
  <c r="BH64" i="6" s="1"/>
  <c r="O65" i="6"/>
  <c r="G59" i="6" a="1"/>
  <c r="G59" i="6" s="1"/>
  <c r="BF59" i="6" l="1"/>
  <c r="Y59" i="6"/>
  <c r="BK59" i="6" s="1"/>
  <c r="BE36" i="6"/>
  <c r="X36" i="6"/>
  <c r="BJ36" i="6" s="1"/>
  <c r="BG59" i="6"/>
  <c r="Z59" i="6"/>
  <c r="BL59" i="6" s="1"/>
  <c r="Z64" i="6"/>
  <c r="BL64" i="6" s="1"/>
  <c r="Y64" i="6"/>
  <c r="BK64" i="6" s="1"/>
  <c r="X64" i="6"/>
  <c r="BJ64" i="6" s="1"/>
  <c r="AA64" i="6"/>
  <c r="BM64" i="6" s="1"/>
  <c r="K13" i="6" a="1"/>
  <c r="K13" i="6" s="1"/>
  <c r="E93" i="6" a="1"/>
  <c r="E93" i="6" s="1"/>
  <c r="BE93" i="6" s="1"/>
  <c r="I93" i="6" a="1"/>
  <c r="I93" i="6" s="1"/>
  <c r="BG93" i="6" s="1"/>
  <c r="C65" i="6" a="1"/>
  <c r="C65" i="6" s="1"/>
  <c r="O66" i="6"/>
  <c r="AV64" i="6" l="1"/>
  <c r="AV36" i="6"/>
  <c r="AV59" i="6"/>
  <c r="BH13" i="6"/>
  <c r="AA13" i="6"/>
  <c r="BM13" i="6" s="1"/>
  <c r="AA65" i="6"/>
  <c r="BM65" i="6" s="1"/>
  <c r="X65" i="6"/>
  <c r="BJ65" i="6" s="1"/>
  <c r="E19" i="6" a="1"/>
  <c r="E19" i="6" s="1"/>
  <c r="I66" i="6" a="1"/>
  <c r="I66" i="6" s="1"/>
  <c r="BG66" i="6" s="1"/>
  <c r="C66" i="6" a="1"/>
  <c r="C66" i="6" s="1"/>
  <c r="G66" i="6" a="1"/>
  <c r="G66" i="6" s="1"/>
  <c r="BF66" i="6" s="1"/>
  <c r="K66" i="6" a="1"/>
  <c r="K66" i="6" s="1"/>
  <c r="BH66" i="6" s="1"/>
  <c r="O67" i="6"/>
  <c r="AV66" i="6" l="1"/>
  <c r="BE19" i="6"/>
  <c r="AV19" i="6" s="1"/>
  <c r="X19" i="6"/>
  <c r="BJ19" i="6" s="1"/>
  <c r="Y66" i="6"/>
  <c r="BK66" i="6" s="1"/>
  <c r="AA66" i="6"/>
  <c r="BM66" i="6" s="1"/>
  <c r="X66" i="6"/>
  <c r="BJ66" i="6" s="1"/>
  <c r="Z66" i="6"/>
  <c r="BL66" i="6" s="1"/>
  <c r="C67" i="6" a="1"/>
  <c r="C67" i="6" s="1"/>
  <c r="E90" i="6" a="1"/>
  <c r="E90" i="6" s="1"/>
  <c r="BE90" i="6" s="1"/>
  <c r="K70" i="6" a="1"/>
  <c r="K70" i="6" s="1"/>
  <c r="BH70" i="6" s="1"/>
  <c r="I67" i="6" a="1"/>
  <c r="I67" i="6" s="1"/>
  <c r="BG67" i="6" s="1"/>
  <c r="O68" i="6"/>
  <c r="Z67" i="6" l="1"/>
  <c r="BL67" i="6" s="1"/>
  <c r="I68" i="6" a="1"/>
  <c r="I68" i="6" s="1"/>
  <c r="BG68" i="6" s="1"/>
  <c r="C68" i="6" a="1"/>
  <c r="C68" i="6" s="1"/>
  <c r="E91" i="6" a="1"/>
  <c r="E91" i="6" s="1"/>
  <c r="BE91" i="6" s="1"/>
  <c r="K80" i="6" a="1"/>
  <c r="K80" i="6" s="1"/>
  <c r="BH80" i="6" s="1"/>
  <c r="O69" i="6"/>
  <c r="Z68" i="6" l="1"/>
  <c r="BL68" i="6" s="1"/>
  <c r="X68" i="6"/>
  <c r="BJ68" i="6" s="1"/>
  <c r="E71" i="6" a="1"/>
  <c r="E71" i="6" s="1"/>
  <c r="BE71" i="6" s="1"/>
  <c r="I71" i="6" a="1"/>
  <c r="I71" i="6" s="1"/>
  <c r="BG71" i="6" s="1"/>
  <c r="C69" i="6" a="1"/>
  <c r="C69" i="6" s="1"/>
  <c r="K92" i="6" a="1"/>
  <c r="K92" i="6" s="1"/>
  <c r="BH92" i="6" s="1"/>
  <c r="O70" i="6"/>
  <c r="E89" i="6" l="1" a="1"/>
  <c r="E89" i="6" s="1"/>
  <c r="BE89" i="6" s="1"/>
  <c r="C70" i="6" a="1"/>
  <c r="C70" i="6" s="1"/>
  <c r="G70" i="6" a="1"/>
  <c r="G70" i="6" s="1"/>
  <c r="BF70" i="6" s="1"/>
  <c r="I70" i="6" a="1"/>
  <c r="I70" i="6" s="1"/>
  <c r="BG70" i="6" s="1"/>
  <c r="K67" i="6" a="1"/>
  <c r="K67" i="6" s="1"/>
  <c r="O71" i="6"/>
  <c r="G67" i="6" a="1"/>
  <c r="G67" i="6" s="1"/>
  <c r="BF67" i="6" l="1"/>
  <c r="Y67" i="6"/>
  <c r="BK67" i="6" s="1"/>
  <c r="BH67" i="6"/>
  <c r="AA67" i="6"/>
  <c r="BM67" i="6" s="1"/>
  <c r="AA70" i="6"/>
  <c r="BM70" i="6" s="1"/>
  <c r="Z70" i="6"/>
  <c r="BL70" i="6" s="1"/>
  <c r="Y70" i="6"/>
  <c r="BK70" i="6" s="1"/>
  <c r="K83" i="6" a="1"/>
  <c r="K83" i="6" s="1"/>
  <c r="BH83" i="6" s="1"/>
  <c r="C71" i="6" a="1"/>
  <c r="C71" i="6" s="1"/>
  <c r="E83" i="6" a="1"/>
  <c r="E83" i="6" s="1"/>
  <c r="BE83" i="6" s="1"/>
  <c r="I69" i="6" a="1"/>
  <c r="I69" i="6" s="1"/>
  <c r="O72" i="6"/>
  <c r="BG69" i="6" l="1"/>
  <c r="Z69" i="6"/>
  <c r="BL69" i="6" s="1"/>
  <c r="Z71" i="6"/>
  <c r="BL71" i="6" s="1"/>
  <c r="X71" i="6"/>
  <c r="BJ71" i="6" s="1"/>
  <c r="C72" i="6" a="1"/>
  <c r="C72" i="6" s="1"/>
  <c r="I72" i="6" a="1"/>
  <c r="I72" i="6" s="1"/>
  <c r="BG72" i="6" s="1"/>
  <c r="K88" i="6" a="1"/>
  <c r="K88" i="6" s="1"/>
  <c r="BH88" i="6" s="1"/>
  <c r="E84" i="6" a="1"/>
  <c r="E84" i="6" s="1"/>
  <c r="BE84" i="6" s="1"/>
  <c r="O73" i="6"/>
  <c r="Z72" i="6" l="1"/>
  <c r="BL72" i="6" s="1"/>
  <c r="X72" i="6"/>
  <c r="BJ72" i="6" s="1"/>
  <c r="I73" i="6" a="1"/>
  <c r="I73" i="6" s="1"/>
  <c r="BG73" i="6" s="1"/>
  <c r="C73" i="6" a="1"/>
  <c r="C73" i="6" s="1"/>
  <c r="G73" i="6" a="1"/>
  <c r="G73" i="6" s="1"/>
  <c r="BF73" i="6" s="1"/>
  <c r="E86" i="6" a="1"/>
  <c r="E86" i="6" s="1"/>
  <c r="BE86" i="6" s="1"/>
  <c r="K74" i="6" a="1"/>
  <c r="K74" i="6" s="1"/>
  <c r="BH74" i="6" s="1"/>
  <c r="O74" i="6"/>
  <c r="Y73" i="6" l="1"/>
  <c r="BK73" i="6" s="1"/>
  <c r="X73" i="6"/>
  <c r="BJ73" i="6" s="1"/>
  <c r="Z73" i="6"/>
  <c r="BL73" i="6" s="1"/>
  <c r="O75" i="6"/>
  <c r="G74" i="6" a="1"/>
  <c r="G74" i="6" s="1"/>
  <c r="BF74" i="6" s="1"/>
  <c r="K73" i="6" a="1"/>
  <c r="K73" i="6" s="1"/>
  <c r="BH73" i="6" s="1"/>
  <c r="E23" i="6" a="1"/>
  <c r="E23" i="6" s="1"/>
  <c r="C74" i="6" a="1"/>
  <c r="C74" i="6" s="1"/>
  <c r="I74" i="6" a="1"/>
  <c r="I74" i="6" s="1"/>
  <c r="BG74" i="6" s="1"/>
  <c r="AV73" i="6" l="1"/>
  <c r="AA73" i="6"/>
  <c r="BM73" i="6" s="1"/>
  <c r="BE23" i="6"/>
  <c r="X23" i="6"/>
  <c r="BJ23" i="6" s="1"/>
  <c r="Y74" i="6"/>
  <c r="BK74" i="6" s="1"/>
  <c r="AA74" i="6"/>
  <c r="BM74" i="6" s="1"/>
  <c r="Z74" i="6"/>
  <c r="BL74" i="6" s="1"/>
  <c r="G25" i="6" a="1"/>
  <c r="G25" i="6" s="1"/>
  <c r="E77" i="6" a="1"/>
  <c r="E77" i="6" s="1"/>
  <c r="BE77" i="6" s="1"/>
  <c r="I26" i="6" a="1"/>
  <c r="I26" i="6" s="1"/>
  <c r="K87" i="6" a="1"/>
  <c r="K87" i="6" s="1"/>
  <c r="BH87" i="6" s="1"/>
  <c r="G75" i="6" a="1"/>
  <c r="G75" i="6" s="1"/>
  <c r="BF75" i="6" s="1"/>
  <c r="C75" i="6" a="1"/>
  <c r="C75" i="6" s="1"/>
  <c r="O76" i="6"/>
  <c r="BG26" i="6" l="1"/>
  <c r="Z26" i="6"/>
  <c r="BL26" i="6" s="1"/>
  <c r="BF25" i="6"/>
  <c r="Y25" i="6"/>
  <c r="BK25" i="6" s="1"/>
  <c r="Z75" i="6"/>
  <c r="BL75" i="6" s="1"/>
  <c r="Y75" i="6"/>
  <c r="BK75" i="6" s="1"/>
  <c r="G14" i="6" a="1"/>
  <c r="G14" i="6" s="1"/>
  <c r="G76" i="6" a="1"/>
  <c r="G76" i="6" s="1"/>
  <c r="BF76" i="6" s="1"/>
  <c r="I79" i="6" a="1"/>
  <c r="I79" i="6" s="1"/>
  <c r="BG79" i="6" s="1"/>
  <c r="E87" i="6" a="1"/>
  <c r="E87" i="6" s="1"/>
  <c r="BE87" i="6" s="1"/>
  <c r="C76" i="6" a="1"/>
  <c r="C76" i="6" s="1"/>
  <c r="K77" i="6" a="1"/>
  <c r="K77" i="6" s="1"/>
  <c r="BH77" i="6" s="1"/>
  <c r="O77" i="6"/>
  <c r="BF14" i="6" l="1"/>
  <c r="Y14" i="6"/>
  <c r="BK14" i="6" s="1"/>
  <c r="X76" i="6"/>
  <c r="BJ76" i="6" s="1"/>
  <c r="Y76" i="6"/>
  <c r="BK76" i="6" s="1"/>
  <c r="I14" i="6" a="1"/>
  <c r="I14" i="6" s="1"/>
  <c r="E25" i="6" a="1"/>
  <c r="E25" i="6" s="1"/>
  <c r="K76" i="6" a="1"/>
  <c r="K76" i="6" s="1"/>
  <c r="BH76" i="6" s="1"/>
  <c r="C77" i="6" a="1"/>
  <c r="C77" i="6" s="1"/>
  <c r="O78" i="6"/>
  <c r="AA76" i="6" l="1"/>
  <c r="BM76" i="6" s="1"/>
  <c r="BE25" i="6"/>
  <c r="X25" i="6"/>
  <c r="BJ25" i="6" s="1"/>
  <c r="BG14" i="6"/>
  <c r="Z14" i="6"/>
  <c r="BL14" i="6" s="1"/>
  <c r="X77" i="6"/>
  <c r="BJ77" i="6" s="1"/>
  <c r="AA77" i="6"/>
  <c r="BM77" i="6" s="1"/>
  <c r="Z77" i="6"/>
  <c r="BL77" i="6" s="1"/>
  <c r="G17" i="6" a="1"/>
  <c r="G17" i="6" s="1"/>
  <c r="K29" i="6" a="1"/>
  <c r="K29" i="6" s="1"/>
  <c r="I16" i="6" a="1"/>
  <c r="I16" i="6" s="1"/>
  <c r="C78" i="6" a="1"/>
  <c r="C78" i="6" s="1"/>
  <c r="E81" i="6" a="1"/>
  <c r="E81" i="6" s="1"/>
  <c r="BE81" i="6" s="1"/>
  <c r="G78" i="6" a="1"/>
  <c r="G78" i="6" s="1"/>
  <c r="BF78" i="6" s="1"/>
  <c r="O79" i="6"/>
  <c r="BH29" i="6" l="1"/>
  <c r="AA29" i="6"/>
  <c r="BM29" i="6" s="1"/>
  <c r="BG16" i="6"/>
  <c r="AV16" i="6" s="1"/>
  <c r="Z16" i="6"/>
  <c r="BL16" i="6" s="1"/>
  <c r="BF17" i="6"/>
  <c r="Y17" i="6"/>
  <c r="BK17" i="6" s="1"/>
  <c r="X78" i="6"/>
  <c r="BJ78" i="6" s="1"/>
  <c r="Y78" i="6"/>
  <c r="BK78" i="6" s="1"/>
  <c r="AA78" i="6"/>
  <c r="BM78" i="6" s="1"/>
  <c r="Z78" i="6"/>
  <c r="BL78" i="6" s="1"/>
  <c r="G77" i="6" a="1"/>
  <c r="G77" i="6" s="1"/>
  <c r="I76" i="6" a="1"/>
  <c r="I76" i="6" s="1"/>
  <c r="G79" i="6" a="1"/>
  <c r="G79" i="6" s="1"/>
  <c r="BF79" i="6" s="1"/>
  <c r="E75" i="6" a="1"/>
  <c r="E75" i="6" s="1"/>
  <c r="C79" i="6" a="1"/>
  <c r="C79" i="6" s="1"/>
  <c r="K14" i="6" a="1"/>
  <c r="K14" i="6" s="1"/>
  <c r="O80" i="6"/>
  <c r="AV78" i="6" l="1"/>
  <c r="BG76" i="6"/>
  <c r="AV76" i="6" s="1"/>
  <c r="Z76" i="6"/>
  <c r="BL76" i="6" s="1"/>
  <c r="BF77" i="6"/>
  <c r="Y77" i="6"/>
  <c r="BK77" i="6" s="1"/>
  <c r="BE75" i="6"/>
  <c r="X75" i="6"/>
  <c r="BJ75" i="6" s="1"/>
  <c r="BH14" i="6"/>
  <c r="AA14" i="6"/>
  <c r="BM14" i="6" s="1"/>
  <c r="Y79" i="6"/>
  <c r="BK79" i="6" s="1"/>
  <c r="AA79" i="6"/>
  <c r="BM79" i="6" s="1"/>
  <c r="X79" i="6"/>
  <c r="BJ79" i="6" s="1"/>
  <c r="AV79" i="6" s="1"/>
  <c r="Z79" i="6"/>
  <c r="BL79" i="6" s="1"/>
  <c r="G80" i="6" a="1"/>
  <c r="G80" i="6" s="1"/>
  <c r="BF80" i="6" s="1"/>
  <c r="K68" i="6" a="1"/>
  <c r="K68" i="6" s="1"/>
  <c r="I80" i="6" a="1"/>
  <c r="I80" i="6" s="1"/>
  <c r="BG80" i="6" s="1"/>
  <c r="E24" i="6" a="1"/>
  <c r="E24" i="6" s="1"/>
  <c r="C80" i="6" a="1"/>
  <c r="C80" i="6" s="1"/>
  <c r="O81" i="6"/>
  <c r="G68" i="6" a="1"/>
  <c r="G68" i="6" s="1"/>
  <c r="AV77" i="6" l="1"/>
  <c r="BF68" i="6"/>
  <c r="Y68" i="6"/>
  <c r="BK68" i="6" s="1"/>
  <c r="BH68" i="6"/>
  <c r="AA68" i="6"/>
  <c r="BM68" i="6" s="1"/>
  <c r="BE24" i="6"/>
  <c r="X24" i="6"/>
  <c r="BJ24" i="6" s="1"/>
  <c r="AA80" i="6"/>
  <c r="BM80" i="6" s="1"/>
  <c r="Y80" i="6"/>
  <c r="BK80" i="6" s="1"/>
  <c r="Z80" i="6"/>
  <c r="BL80" i="6" s="1"/>
  <c r="G18" i="6" a="1"/>
  <c r="G18" i="6" s="1"/>
  <c r="E17" i="6" a="1"/>
  <c r="E17" i="6" s="1"/>
  <c r="I27" i="6" a="1"/>
  <c r="I27" i="6" s="1"/>
  <c r="C81" i="6" a="1"/>
  <c r="C81" i="6" s="1"/>
  <c r="G81" i="6" a="1"/>
  <c r="G81" i="6" s="1"/>
  <c r="BF81" i="6" s="1"/>
  <c r="K82" i="6" a="1"/>
  <c r="K82" i="6" s="1"/>
  <c r="BH82" i="6" s="1"/>
  <c r="O82" i="6"/>
  <c r="AV68" i="6" l="1"/>
  <c r="BG27" i="6"/>
  <c r="Z27" i="6"/>
  <c r="BL27" i="6" s="1"/>
  <c r="BE17" i="6"/>
  <c r="X17" i="6"/>
  <c r="BJ17" i="6" s="1"/>
  <c r="BF18" i="6"/>
  <c r="Y18" i="6"/>
  <c r="BK18" i="6" s="1"/>
  <c r="Z81" i="6"/>
  <c r="BL81" i="6" s="1"/>
  <c r="X81" i="6"/>
  <c r="BJ81" i="6" s="1"/>
  <c r="Y81" i="6"/>
  <c r="BK81" i="6" s="1"/>
  <c r="G27" i="6" a="1"/>
  <c r="G27" i="6" s="1"/>
  <c r="E29" i="6" a="1"/>
  <c r="E29" i="6" s="1"/>
  <c r="K81" i="6" a="1"/>
  <c r="K81" i="6" s="1"/>
  <c r="BH81" i="6" s="1"/>
  <c r="I18" i="6" a="1"/>
  <c r="I18" i="6" s="1"/>
  <c r="G82" i="6" a="1"/>
  <c r="G82" i="6" s="1"/>
  <c r="BF82" i="6" s="1"/>
  <c r="C82" i="6" a="1"/>
  <c r="C82" i="6" s="1"/>
  <c r="O83" i="6"/>
  <c r="AV81" i="6" l="1"/>
  <c r="AV17" i="6"/>
  <c r="AA81" i="6"/>
  <c r="BM81" i="6" s="1"/>
  <c r="BE29" i="6"/>
  <c r="X29" i="6"/>
  <c r="BJ29" i="6" s="1"/>
  <c r="BF27" i="6"/>
  <c r="Y27" i="6"/>
  <c r="BK27" i="6" s="1"/>
  <c r="BG18" i="6"/>
  <c r="Z18" i="6"/>
  <c r="BL18" i="6" s="1"/>
  <c r="Z82" i="6"/>
  <c r="BL82" i="6" s="1"/>
  <c r="AA82" i="6"/>
  <c r="BM82" i="6" s="1"/>
  <c r="Y82" i="6"/>
  <c r="BK82" i="6" s="1"/>
  <c r="X82" i="6"/>
  <c r="BJ82" i="6" s="1"/>
  <c r="G69" i="6" a="1"/>
  <c r="G69" i="6" s="1"/>
  <c r="K71" i="6" a="1"/>
  <c r="K71" i="6" s="1"/>
  <c r="I92" i="6" a="1"/>
  <c r="I92" i="6" s="1"/>
  <c r="BG92" i="6" s="1"/>
  <c r="G83" i="6" a="1"/>
  <c r="G83" i="6" s="1"/>
  <c r="BF83" i="6" s="1"/>
  <c r="E92" i="6" a="1"/>
  <c r="E92" i="6" s="1"/>
  <c r="BE92" i="6" s="1"/>
  <c r="C83" i="6" a="1"/>
  <c r="C83" i="6" s="1"/>
  <c r="O84" i="6"/>
  <c r="AV27" i="6" l="1"/>
  <c r="AV29" i="6"/>
  <c r="AV82" i="6"/>
  <c r="AV18" i="6"/>
  <c r="BH71" i="6"/>
  <c r="AA71" i="6"/>
  <c r="BM71" i="6" s="1"/>
  <c r="BF69" i="6"/>
  <c r="Y69" i="6"/>
  <c r="BK69" i="6" s="1"/>
  <c r="X83" i="6"/>
  <c r="BJ83" i="6" s="1"/>
  <c r="AA83" i="6"/>
  <c r="BM83" i="6" s="1"/>
  <c r="Y83" i="6"/>
  <c r="BK83" i="6" s="1"/>
  <c r="G22" i="6" a="1"/>
  <c r="G22" i="6" s="1"/>
  <c r="G84" i="6" a="1"/>
  <c r="G84" i="6" s="1"/>
  <c r="BF84" i="6" s="1"/>
  <c r="K84" i="6" a="1"/>
  <c r="K84" i="6" s="1"/>
  <c r="BH84" i="6" s="1"/>
  <c r="E88" i="6" a="1"/>
  <c r="E88" i="6" s="1"/>
  <c r="BE88" i="6" s="1"/>
  <c r="I22" i="6" a="1"/>
  <c r="I22" i="6" s="1"/>
  <c r="C84" i="6" a="1"/>
  <c r="C84" i="6" s="1"/>
  <c r="O85" i="6"/>
  <c r="BG22" i="6" l="1"/>
  <c r="Z22" i="6"/>
  <c r="BL22" i="6" s="1"/>
  <c r="BF22" i="6"/>
  <c r="Y22" i="6"/>
  <c r="BK22" i="6" s="1"/>
  <c r="AA84" i="6"/>
  <c r="BM84" i="6" s="1"/>
  <c r="Z84" i="6"/>
  <c r="BL84" i="6" s="1"/>
  <c r="X84" i="6"/>
  <c r="BJ84" i="6" s="1"/>
  <c r="AV84" i="6" s="1"/>
  <c r="Y84" i="6"/>
  <c r="BK84" i="6" s="1"/>
  <c r="C85" i="6" a="1"/>
  <c r="C85" i="6" s="1"/>
  <c r="K85" i="6" a="1"/>
  <c r="K85" i="6" s="1"/>
  <c r="BH85" i="6" s="1"/>
  <c r="G85" i="6" a="1"/>
  <c r="G85" i="6" s="1"/>
  <c r="BF85" i="6" s="1"/>
  <c r="E85" i="6" a="1"/>
  <c r="E85" i="6" s="1"/>
  <c r="BE85" i="6" s="1"/>
  <c r="I85" i="6" a="1"/>
  <c r="I85" i="6" s="1"/>
  <c r="BG85" i="6" s="1"/>
  <c r="O86" i="6"/>
  <c r="AV85" i="6" l="1"/>
  <c r="AA85" i="6"/>
  <c r="BM85" i="6" s="1"/>
  <c r="X85" i="6"/>
  <c r="BJ85" i="6" s="1"/>
  <c r="Y85" i="6"/>
  <c r="BK85" i="6" s="1"/>
  <c r="Z85" i="6"/>
  <c r="BL85" i="6" s="1"/>
  <c r="G23" i="6" a="1"/>
  <c r="G23" i="6" s="1"/>
  <c r="G86" i="6" a="1"/>
  <c r="G86" i="6" s="1"/>
  <c r="BF86" i="6" s="1"/>
  <c r="K86" i="6" a="1"/>
  <c r="K86" i="6" s="1"/>
  <c r="BH86" i="6" s="1"/>
  <c r="C86" i="6" a="1"/>
  <c r="C86" i="6" s="1"/>
  <c r="I23" i="6" a="1"/>
  <c r="I23" i="6" s="1"/>
  <c r="E74" i="6" a="1"/>
  <c r="E74" i="6" s="1"/>
  <c r="O87" i="6"/>
  <c r="BE74" i="6" l="1"/>
  <c r="AV74" i="6" s="1"/>
  <c r="X74" i="6"/>
  <c r="BJ74" i="6" s="1"/>
  <c r="BG23" i="6"/>
  <c r="Z23" i="6"/>
  <c r="BL23" i="6" s="1"/>
  <c r="BF23" i="6"/>
  <c r="Y23" i="6"/>
  <c r="BK23" i="6" s="1"/>
  <c r="Z86" i="6"/>
  <c r="BL86" i="6" s="1"/>
  <c r="Y86" i="6"/>
  <c r="BK86" i="6" s="1"/>
  <c r="X86" i="6"/>
  <c r="BJ86" i="6" s="1"/>
  <c r="AA86" i="6"/>
  <c r="BM86" i="6" s="1"/>
  <c r="G26" i="6" a="1"/>
  <c r="G26" i="6" s="1"/>
  <c r="I25" i="6" a="1"/>
  <c r="I25" i="6" s="1"/>
  <c r="K75" i="6" a="1"/>
  <c r="K75" i="6" s="1"/>
  <c r="G87" i="6" a="1"/>
  <c r="G87" i="6" s="1"/>
  <c r="BF87" i="6" s="1"/>
  <c r="E14" i="6" a="1"/>
  <c r="E14" i="6" s="1"/>
  <c r="C87" i="6" a="1"/>
  <c r="C87" i="6" s="1"/>
  <c r="O88" i="6"/>
  <c r="G72" i="6" s="1" a="1"/>
  <c r="G72" i="6" s="1"/>
  <c r="AV86" i="6" l="1"/>
  <c r="AV23" i="6"/>
  <c r="BH75" i="6"/>
  <c r="AV75" i="6" s="1"/>
  <c r="AA75" i="6"/>
  <c r="BM75" i="6" s="1"/>
  <c r="BF72" i="6"/>
  <c r="Y72" i="6"/>
  <c r="BK72" i="6" s="1"/>
  <c r="BG25" i="6"/>
  <c r="Z25" i="6"/>
  <c r="BL25" i="6" s="1"/>
  <c r="BF26" i="6"/>
  <c r="Y26" i="6"/>
  <c r="BK26" i="6" s="1"/>
  <c r="BE14" i="6"/>
  <c r="X14" i="6"/>
  <c r="BJ14" i="6" s="1"/>
  <c r="AA87" i="6"/>
  <c r="BM87" i="6" s="1"/>
  <c r="X87" i="6"/>
  <c r="BJ87" i="6" s="1"/>
  <c r="Z87" i="6"/>
  <c r="BL87" i="6" s="1"/>
  <c r="Y87" i="6"/>
  <c r="BK87" i="6" s="1"/>
  <c r="K72" i="6" a="1"/>
  <c r="K72" i="6" s="1"/>
  <c r="G88" i="6" a="1"/>
  <c r="G88" i="6" s="1"/>
  <c r="C88" i="6" a="1"/>
  <c r="C88" i="6" s="1"/>
  <c r="I88" i="6" a="1"/>
  <c r="I88" i="6" s="1"/>
  <c r="BG88" i="6" s="1"/>
  <c r="E22" i="6" a="1"/>
  <c r="E22" i="6" s="1"/>
  <c r="O89" i="6"/>
  <c r="AV87" i="6" l="1"/>
  <c r="AV25" i="6"/>
  <c r="AV26" i="6"/>
  <c r="AV14" i="6"/>
  <c r="BH72" i="6"/>
  <c r="AA72" i="6"/>
  <c r="BM72" i="6" s="1"/>
  <c r="BE22" i="6"/>
  <c r="X22" i="6"/>
  <c r="BJ22" i="6" s="1"/>
  <c r="AA88" i="6"/>
  <c r="BM88" i="6" s="1"/>
  <c r="Z88" i="6"/>
  <c r="BL88" i="6" s="1"/>
  <c r="Y88" i="6"/>
  <c r="BK88" i="6" s="1"/>
  <c r="X88" i="6"/>
  <c r="BJ88" i="6" s="1"/>
  <c r="BF88" i="6"/>
  <c r="K89" i="6" a="1"/>
  <c r="K89" i="6" s="1"/>
  <c r="BH89" i="6" s="1"/>
  <c r="I90" i="6" a="1"/>
  <c r="I90" i="6" s="1"/>
  <c r="BG90" i="6" s="1"/>
  <c r="E67" i="6" a="1"/>
  <c r="E67" i="6" s="1"/>
  <c r="G89" i="6" a="1"/>
  <c r="G89" i="6" s="1"/>
  <c r="C89" i="6" a="1"/>
  <c r="C89" i="6" s="1"/>
  <c r="O90" i="6"/>
  <c r="AV72" i="6" l="1"/>
  <c r="AV88" i="6"/>
  <c r="AV22" i="6"/>
  <c r="BE67" i="6"/>
  <c r="X67" i="6"/>
  <c r="BJ67" i="6" s="1"/>
  <c r="X89" i="6"/>
  <c r="BJ89" i="6" s="1"/>
  <c r="AA89" i="6"/>
  <c r="BM89" i="6" s="1"/>
  <c r="Y89" i="6"/>
  <c r="BK89" i="6" s="1"/>
  <c r="BF89" i="6"/>
  <c r="K90" i="6" a="1"/>
  <c r="K90" i="6" s="1"/>
  <c r="BH90" i="6" s="1"/>
  <c r="C90" i="6" a="1"/>
  <c r="C90" i="6" s="1"/>
  <c r="E70" i="6" a="1"/>
  <c r="E70" i="6" s="1"/>
  <c r="G90" i="6" a="1"/>
  <c r="G90" i="6" s="1"/>
  <c r="I89" i="6" a="1"/>
  <c r="I89" i="6" s="1"/>
  <c r="BG89" i="6" s="1"/>
  <c r="O91" i="6"/>
  <c r="AV89" i="6" l="1"/>
  <c r="AV67" i="6"/>
  <c r="Z89" i="6"/>
  <c r="BL89" i="6" s="1"/>
  <c r="BE70" i="6"/>
  <c r="AV70" i="6" s="1"/>
  <c r="X70" i="6"/>
  <c r="BJ70" i="6" s="1"/>
  <c r="Z90" i="6"/>
  <c r="BL90" i="6" s="1"/>
  <c r="AA90" i="6"/>
  <c r="BM90" i="6" s="1"/>
  <c r="Y90" i="6"/>
  <c r="BK90" i="6" s="1"/>
  <c r="X90" i="6"/>
  <c r="BJ90" i="6" s="1"/>
  <c r="BF90" i="6"/>
  <c r="G24" i="6" a="1"/>
  <c r="G24" i="6" s="1"/>
  <c r="E80" i="6" a="1"/>
  <c r="E80" i="6" s="1"/>
  <c r="G91" i="6" a="1"/>
  <c r="G91" i="6" s="1"/>
  <c r="I24" i="6" a="1"/>
  <c r="I24" i="6" s="1"/>
  <c r="K91" i="6" a="1"/>
  <c r="K91" i="6" s="1"/>
  <c r="BH91" i="6" s="1"/>
  <c r="C91" i="6" a="1"/>
  <c r="C91" i="6" s="1"/>
  <c r="O92" i="6"/>
  <c r="G71" i="6" s="1" a="1"/>
  <c r="G71" i="6" s="1"/>
  <c r="AV90" i="6" l="1"/>
  <c r="BE80" i="6"/>
  <c r="AV80" i="6" s="1"/>
  <c r="X80" i="6"/>
  <c r="BJ80" i="6" s="1"/>
  <c r="BF71" i="6"/>
  <c r="AV71" i="6" s="1"/>
  <c r="Y71" i="6"/>
  <c r="BK71" i="6" s="1"/>
  <c r="BG24" i="6"/>
  <c r="Z24" i="6"/>
  <c r="BL24" i="6" s="1"/>
  <c r="BF24" i="6"/>
  <c r="Y24" i="6"/>
  <c r="BK24" i="6" s="1"/>
  <c r="Z91" i="6"/>
  <c r="BL91" i="6" s="1"/>
  <c r="Y91" i="6"/>
  <c r="BK91" i="6" s="1"/>
  <c r="X91" i="6"/>
  <c r="BJ91" i="6" s="1"/>
  <c r="AA91" i="6"/>
  <c r="BM91" i="6" s="1"/>
  <c r="BF91" i="6"/>
  <c r="G92" i="6" a="1"/>
  <c r="G92" i="6" s="1"/>
  <c r="I83" i="6" a="1"/>
  <c r="I83" i="6" s="1"/>
  <c r="C92" i="6" a="1"/>
  <c r="C92" i="6" s="1"/>
  <c r="E69" i="6" a="1"/>
  <c r="E69" i="6" s="1"/>
  <c r="K69" i="6" a="1"/>
  <c r="K69" i="6" s="1"/>
  <c r="O93" i="6"/>
  <c r="AV24" i="6" l="1"/>
  <c r="AV91" i="6"/>
  <c r="BG83" i="6"/>
  <c r="AV83" i="6" s="1"/>
  <c r="Z83" i="6"/>
  <c r="BL83" i="6" s="1"/>
  <c r="BH69" i="6"/>
  <c r="AA69" i="6"/>
  <c r="BM69" i="6" s="1"/>
  <c r="BE69" i="6"/>
  <c r="X69" i="6"/>
  <c r="BJ69" i="6" s="1"/>
  <c r="X92" i="6"/>
  <c r="BJ92" i="6" s="1"/>
  <c r="Y92" i="6"/>
  <c r="BK92" i="6" s="1"/>
  <c r="Z92" i="6"/>
  <c r="BL92" i="6" s="1"/>
  <c r="AA92" i="6"/>
  <c r="BM92" i="6" s="1"/>
  <c r="BF92" i="6"/>
  <c r="G13" i="6" a="1"/>
  <c r="G13" i="6" s="1"/>
  <c r="I65" i="6" a="1"/>
  <c r="I65" i="6" s="1"/>
  <c r="K95" i="6" a="1"/>
  <c r="K95" i="6" s="1"/>
  <c r="BH95" i="6" s="1"/>
  <c r="E95" i="6" a="1"/>
  <c r="E95" i="6" s="1"/>
  <c r="BE95" i="6" s="1"/>
  <c r="G93" i="6" a="1"/>
  <c r="G93" i="6" s="1"/>
  <c r="C93" i="6" a="1"/>
  <c r="C93" i="6" s="1"/>
  <c r="O94" i="6"/>
  <c r="AV92" i="6" l="1"/>
  <c r="AV69" i="6"/>
  <c r="BG65" i="6"/>
  <c r="Z65" i="6"/>
  <c r="BL65" i="6" s="1"/>
  <c r="BF13" i="6"/>
  <c r="Y13" i="6"/>
  <c r="BK13" i="6" s="1"/>
  <c r="Y93" i="6"/>
  <c r="BK93" i="6" s="1"/>
  <c r="Z93" i="6"/>
  <c r="BL93" i="6" s="1"/>
  <c r="X93" i="6"/>
  <c r="BJ93" i="6" s="1"/>
  <c r="BF93" i="6"/>
  <c r="I94" i="6" a="1"/>
  <c r="I94" i="6" s="1"/>
  <c r="BG94" i="6" s="1"/>
  <c r="E62" i="6" a="1"/>
  <c r="E62" i="6" s="1"/>
  <c r="C94" i="6" a="1"/>
  <c r="C94" i="6" s="1"/>
  <c r="K94" i="6" a="1"/>
  <c r="K94" i="6" s="1"/>
  <c r="BH94" i="6" s="1"/>
  <c r="G94" i="6" a="1"/>
  <c r="G94" i="6" s="1"/>
  <c r="O95" i="6"/>
  <c r="BE62" i="6" l="1"/>
  <c r="AV62" i="6" s="1"/>
  <c r="X62" i="6"/>
  <c r="BJ62" i="6" s="1"/>
  <c r="AA94" i="6"/>
  <c r="BM94" i="6" s="1"/>
  <c r="Z94" i="6"/>
  <c r="BL94" i="6" s="1"/>
  <c r="Y94" i="6"/>
  <c r="BK94" i="6" s="1"/>
  <c r="X94" i="6"/>
  <c r="BJ94" i="6" s="1"/>
  <c r="BF94" i="6"/>
  <c r="AV94" i="6" s="1"/>
  <c r="E13" i="6" a="1"/>
  <c r="E13" i="6" s="1"/>
  <c r="C95" i="6" a="1"/>
  <c r="C95" i="6" s="1"/>
  <c r="K93" i="6" a="1"/>
  <c r="K93" i="6" s="1"/>
  <c r="AA93" i="6" s="1"/>
  <c r="BM93" i="6" s="1"/>
  <c r="G95" i="6" a="1"/>
  <c r="G95" i="6" s="1"/>
  <c r="I13" i="6" a="1"/>
  <c r="I13" i="6" s="1"/>
  <c r="G65" i="6" a="1"/>
  <c r="G65" i="6" s="1"/>
  <c r="O96" i="6"/>
  <c r="BF65" i="6" l="1"/>
  <c r="Y65" i="6"/>
  <c r="BK65" i="6" s="1"/>
  <c r="BG13" i="6"/>
  <c r="Z13" i="6"/>
  <c r="BL13" i="6" s="1"/>
  <c r="BE13" i="6"/>
  <c r="X13" i="6"/>
  <c r="BJ13" i="6" s="1"/>
  <c r="X95" i="6"/>
  <c r="BJ95" i="6" s="1"/>
  <c r="Z95" i="6"/>
  <c r="BL95" i="6" s="1"/>
  <c r="AA95" i="6"/>
  <c r="BM95" i="6" s="1"/>
  <c r="Y95" i="6"/>
  <c r="BK95" i="6" s="1"/>
  <c r="BH93" i="6"/>
  <c r="AV93" i="6" s="1"/>
  <c r="BF95" i="6"/>
  <c r="AV95" i="6" s="1"/>
  <c r="E3" i="6" a="1"/>
  <c r="E3" i="6" s="1"/>
  <c r="K96" i="6" a="1"/>
  <c r="K96" i="6" s="1"/>
  <c r="BH96" i="6" s="1"/>
  <c r="C96" i="6" a="1"/>
  <c r="C96" i="6" s="1"/>
  <c r="G96" i="6" a="1"/>
  <c r="G96" i="6" s="1"/>
  <c r="I96" i="6" a="1"/>
  <c r="I96" i="6" s="1"/>
  <c r="BG96" i="6" s="1"/>
  <c r="O97" i="6"/>
  <c r="AV13" i="6" l="1"/>
  <c r="AV65" i="6"/>
  <c r="Y96" i="6"/>
  <c r="BK96" i="6" s="1"/>
  <c r="X96" i="6"/>
  <c r="BJ96" i="6" s="1"/>
  <c r="Z96" i="6"/>
  <c r="BL96" i="6" s="1"/>
  <c r="AA96" i="6"/>
  <c r="BM96" i="6" s="1"/>
  <c r="BE3" i="6"/>
  <c r="X3" i="6"/>
  <c r="BJ3" i="6" s="1"/>
  <c r="O98" i="6"/>
  <c r="G98" i="6" s="1" a="1"/>
  <c r="G98" i="6" s="1"/>
  <c r="BF96" i="6"/>
  <c r="AV96" i="6" s="1"/>
  <c r="E100" i="6" a="1"/>
  <c r="E100" i="6" s="1"/>
  <c r="BE100" i="6" s="1"/>
  <c r="I98" i="6" a="1"/>
  <c r="I98" i="6" s="1"/>
  <c r="BG98" i="6" s="1"/>
  <c r="K97" i="6" a="1"/>
  <c r="K97" i="6" s="1"/>
  <c r="BH97" i="6" s="1"/>
  <c r="C98" i="6" a="1"/>
  <c r="C98" i="6" s="1"/>
  <c r="G97" i="6" a="1"/>
  <c r="G97" i="6" s="1"/>
  <c r="K98" i="6" a="1"/>
  <c r="K98" i="6" s="1"/>
  <c r="BH98" i="6" s="1"/>
  <c r="I97" i="6" a="1"/>
  <c r="I97" i="6" s="1"/>
  <c r="BG97" i="6" s="1"/>
  <c r="E99" i="6" a="1"/>
  <c r="E99" i="6" s="1"/>
  <c r="BE99" i="6" s="1"/>
  <c r="C97" i="6" a="1"/>
  <c r="C97" i="6" s="1"/>
  <c r="AV3" i="6" l="1"/>
  <c r="O99" i="6"/>
  <c r="O100" i="6" s="1"/>
  <c r="AA97" i="6"/>
  <c r="BM97" i="6" s="1"/>
  <c r="Y97" i="6"/>
  <c r="BK97" i="6" s="1"/>
  <c r="Z97" i="6"/>
  <c r="BL97" i="6" s="1"/>
  <c r="Z98" i="6"/>
  <c r="BL98" i="6" s="1"/>
  <c r="Y98" i="6"/>
  <c r="BK98" i="6" s="1"/>
  <c r="AA98" i="6"/>
  <c r="BM98" i="6" s="1"/>
  <c r="BF97" i="6"/>
  <c r="BF98" i="6"/>
  <c r="I100" i="6" a="1"/>
  <c r="I100" i="6" s="1"/>
  <c r="BG100" i="6" s="1"/>
  <c r="E98" i="6" a="1"/>
  <c r="E98" i="6" s="1"/>
  <c r="BE98" i="6" s="1"/>
  <c r="K99" i="6" a="1"/>
  <c r="K99" i="6" s="1"/>
  <c r="BH99" i="6" s="1"/>
  <c r="C99" i="6" a="1"/>
  <c r="C99" i="6" s="1"/>
  <c r="G99" i="6" l="1" a="1"/>
  <c r="G99" i="6" s="1"/>
  <c r="Y99" i="6" s="1"/>
  <c r="BK99" i="6" s="1"/>
  <c r="AV98" i="6"/>
  <c r="X98" i="6"/>
  <c r="BJ98" i="6" s="1"/>
  <c r="X99" i="6"/>
  <c r="BJ99" i="6" s="1"/>
  <c r="AA99" i="6"/>
  <c r="BM99" i="6" s="1"/>
  <c r="E97" i="6" a="1"/>
  <c r="E97" i="6" s="1"/>
  <c r="I99" i="6" a="1"/>
  <c r="I99" i="6" s="1"/>
  <c r="BG99" i="6" s="1"/>
  <c r="K100" i="6" a="1"/>
  <c r="K100" i="6" s="1"/>
  <c r="BH100" i="6" s="1"/>
  <c r="C100" i="6" a="1"/>
  <c r="C100" i="6" s="1"/>
  <c r="G100" i="6" a="1"/>
  <c r="G100" i="6" s="1"/>
  <c r="O101" i="6"/>
  <c r="BF99" i="6" l="1"/>
  <c r="BE97" i="6"/>
  <c r="X97" i="6"/>
  <c r="BJ97" i="6" s="1"/>
  <c r="Z99" i="6"/>
  <c r="BL99" i="6" s="1"/>
  <c r="AV99" i="6" s="1"/>
  <c r="AA100" i="6"/>
  <c r="BM100" i="6" s="1"/>
  <c r="Z100" i="6"/>
  <c r="BL100" i="6" s="1"/>
  <c r="Y100" i="6"/>
  <c r="BK100" i="6" s="1"/>
  <c r="X100" i="6"/>
  <c r="BJ100" i="6" s="1"/>
  <c r="BF100" i="6"/>
  <c r="AV100" i="6" s="1"/>
  <c r="I104" i="6" a="1"/>
  <c r="I104" i="6" s="1"/>
  <c r="BG104" i="6" s="1"/>
  <c r="K102" i="6" a="1"/>
  <c r="K102" i="6" s="1"/>
  <c r="BH102" i="6" s="1"/>
  <c r="C101" i="6" a="1"/>
  <c r="C101" i="6" s="1"/>
  <c r="E104" i="6" a="1"/>
  <c r="E104" i="6" s="1"/>
  <c r="BE104" i="6" s="1"/>
  <c r="O102" i="6"/>
  <c r="AV97" i="6" l="1"/>
  <c r="E101" i="6" a="1"/>
  <c r="E101" i="6" s="1"/>
  <c r="BE101" i="6" s="1"/>
  <c r="C102" i="6" a="1"/>
  <c r="C102" i="6" s="1"/>
  <c r="I103" i="6" a="1"/>
  <c r="I103" i="6" s="1"/>
  <c r="BG103" i="6" s="1"/>
  <c r="K101" i="6" a="1"/>
  <c r="K101" i="6" s="1"/>
  <c r="BH101" i="6" s="1"/>
  <c r="O103" i="6"/>
  <c r="X101" i="6" l="1"/>
  <c r="BJ101" i="6" s="1"/>
  <c r="AA101" i="6"/>
  <c r="BM101" i="6" s="1"/>
  <c r="AA102" i="6"/>
  <c r="BM102" i="6" s="1"/>
  <c r="G101" i="6" a="1"/>
  <c r="G101" i="6" s="1"/>
  <c r="Y101" i="6" s="1"/>
  <c r="BK101" i="6" s="1"/>
  <c r="I102" i="6" a="1"/>
  <c r="I102" i="6" s="1"/>
  <c r="BG102" i="6" s="1"/>
  <c r="K104" i="6" a="1"/>
  <c r="K104" i="6" s="1"/>
  <c r="BH104" i="6" s="1"/>
  <c r="G103" i="6" a="1"/>
  <c r="G103" i="6" s="1"/>
  <c r="E102" i="6" a="1"/>
  <c r="E102" i="6" s="1"/>
  <c r="BE102" i="6" s="1"/>
  <c r="C103" i="6" a="1"/>
  <c r="C103" i="6" s="1"/>
  <c r="O104" i="6"/>
  <c r="X102" i="6" l="1"/>
  <c r="BJ102" i="6" s="1"/>
  <c r="Z102" i="6"/>
  <c r="BL102" i="6" s="1"/>
  <c r="Z103" i="6"/>
  <c r="BL103" i="6" s="1"/>
  <c r="Y103" i="6"/>
  <c r="BK103" i="6" s="1"/>
  <c r="G102" i="6" a="1"/>
  <c r="G102" i="6" s="1"/>
  <c r="Y102" i="6" s="1"/>
  <c r="BK102" i="6" s="1"/>
  <c r="BF101" i="6"/>
  <c r="BF103" i="6"/>
  <c r="G104" i="6" a="1"/>
  <c r="G104" i="6" s="1"/>
  <c r="K103" i="6" a="1"/>
  <c r="K103" i="6" s="1"/>
  <c r="BH103" i="6" s="1"/>
  <c r="I101" i="6" a="1"/>
  <c r="I101" i="6" s="1"/>
  <c r="Z101" i="6" s="1"/>
  <c r="BL101" i="6" s="1"/>
  <c r="E103" i="6" a="1"/>
  <c r="E103" i="6" s="1"/>
  <c r="BE103" i="6" s="1"/>
  <c r="C104" i="6" a="1"/>
  <c r="C104" i="6" s="1"/>
  <c r="O105" i="6"/>
  <c r="AV103" i="6" l="1"/>
  <c r="X103" i="6"/>
  <c r="BJ103" i="6" s="1"/>
  <c r="AA103" i="6"/>
  <c r="BM103" i="6" s="1"/>
  <c r="Y104" i="6"/>
  <c r="BK104" i="6" s="1"/>
  <c r="AA104" i="6"/>
  <c r="BM104" i="6" s="1"/>
  <c r="Z104" i="6"/>
  <c r="BL104" i="6" s="1"/>
  <c r="X104" i="6"/>
  <c r="BJ104" i="6" s="1"/>
  <c r="BF102" i="6"/>
  <c r="AV102" i="6" s="1"/>
  <c r="BG101" i="6"/>
  <c r="AV101" i="6" s="1"/>
  <c r="BF104" i="6"/>
  <c r="AV104" i="6" s="1"/>
  <c r="K105" i="6" a="1"/>
  <c r="K105" i="6" s="1"/>
  <c r="BH105" i="6" s="1"/>
  <c r="C105" i="6" a="1"/>
  <c r="C105" i="6" s="1"/>
  <c r="E108" i="6" a="1"/>
  <c r="E108" i="6" s="1"/>
  <c r="BE108" i="6" s="1"/>
  <c r="I107" i="6" a="1"/>
  <c r="I107" i="6" s="1"/>
  <c r="BG107" i="6" s="1"/>
  <c r="O106" i="6"/>
  <c r="AA105" i="6" l="1"/>
  <c r="BM105" i="6" s="1"/>
  <c r="E105" i="6" a="1"/>
  <c r="E105" i="6" s="1"/>
  <c r="BE105" i="6" s="1"/>
  <c r="I106" i="6" a="1"/>
  <c r="I106" i="6" s="1"/>
  <c r="BG106" i="6" s="1"/>
  <c r="K108" i="6" a="1"/>
  <c r="K108" i="6" s="1"/>
  <c r="BH108" i="6" s="1"/>
  <c r="C106" i="6" a="1"/>
  <c r="C106" i="6" s="1"/>
  <c r="O107" i="6"/>
  <c r="X105" i="6" l="1"/>
  <c r="BJ105" i="6" s="1"/>
  <c r="Z106" i="6"/>
  <c r="BL106" i="6" s="1"/>
  <c r="G105" i="6" a="1"/>
  <c r="G105" i="6" s="1"/>
  <c r="Y105" i="6" s="1"/>
  <c r="BK105" i="6" s="1"/>
  <c r="K107" i="6" a="1"/>
  <c r="K107" i="6" s="1"/>
  <c r="BH107" i="6" s="1"/>
  <c r="G107" i="6" a="1"/>
  <c r="G107" i="6" s="1"/>
  <c r="I105" i="6" a="1"/>
  <c r="I105" i="6" s="1"/>
  <c r="Z105" i="6" s="1"/>
  <c r="BL105" i="6" s="1"/>
  <c r="C107" i="6" a="1"/>
  <c r="C107" i="6" s="1"/>
  <c r="E106" i="6" a="1"/>
  <c r="E106" i="6" s="1"/>
  <c r="BE106" i="6" s="1"/>
  <c r="O108" i="6"/>
  <c r="X106" i="6" l="1"/>
  <c r="BJ106" i="6" s="1"/>
  <c r="Z107" i="6"/>
  <c r="BL107" i="6" s="1"/>
  <c r="AA107" i="6"/>
  <c r="BM107" i="6" s="1"/>
  <c r="Y107" i="6"/>
  <c r="BK107" i="6" s="1"/>
  <c r="G106" i="6" a="1"/>
  <c r="G106" i="6" s="1"/>
  <c r="Y106" i="6" s="1"/>
  <c r="BK106" i="6" s="1"/>
  <c r="BF105" i="6"/>
  <c r="BG105" i="6"/>
  <c r="BF107" i="6"/>
  <c r="I108" i="6" a="1"/>
  <c r="I108" i="6" s="1"/>
  <c r="BG108" i="6" s="1"/>
  <c r="C108" i="6" a="1"/>
  <c r="C108" i="6" s="1"/>
  <c r="K106" i="6" a="1"/>
  <c r="K106" i="6" s="1"/>
  <c r="AA106" i="6" s="1"/>
  <c r="BM106" i="6" s="1"/>
  <c r="E107" i="6" a="1"/>
  <c r="E107" i="6" s="1"/>
  <c r="BE107" i="6" s="1"/>
  <c r="G108" i="6" a="1"/>
  <c r="G108" i="6" s="1"/>
  <c r="O109" i="6"/>
  <c r="AV105" i="6" l="1"/>
  <c r="AV107" i="6"/>
  <c r="X107" i="6"/>
  <c r="BJ107" i="6" s="1"/>
  <c r="Y108" i="6"/>
  <c r="BK108" i="6" s="1"/>
  <c r="X108" i="6"/>
  <c r="BJ108" i="6" s="1"/>
  <c r="AA108" i="6"/>
  <c r="BM108" i="6" s="1"/>
  <c r="Z108" i="6"/>
  <c r="BL108" i="6" s="1"/>
  <c r="BH106" i="6"/>
  <c r="BF106" i="6"/>
  <c r="AV106" i="6" s="1"/>
  <c r="BF108" i="6"/>
  <c r="AV108" i="6" s="1"/>
  <c r="E112" i="6" a="1"/>
  <c r="E112" i="6" s="1"/>
  <c r="BE112" i="6" s="1"/>
  <c r="K112" i="6" a="1"/>
  <c r="K112" i="6" s="1"/>
  <c r="BH112" i="6" s="1"/>
  <c r="C109" i="6" a="1"/>
  <c r="C109" i="6" s="1"/>
  <c r="I110" i="6" a="1"/>
  <c r="I110" i="6" s="1"/>
  <c r="BG110" i="6" s="1"/>
  <c r="O110" i="6"/>
  <c r="C110" i="6" l="1" a="1"/>
  <c r="C110" i="6" s="1"/>
  <c r="K111" i="6" a="1"/>
  <c r="K111" i="6" s="1"/>
  <c r="BH111" i="6" s="1"/>
  <c r="E109" i="6" a="1"/>
  <c r="E109" i="6" s="1"/>
  <c r="BE109" i="6" s="1"/>
  <c r="I109" i="6" a="1"/>
  <c r="I109" i="6" s="1"/>
  <c r="BG109" i="6" s="1"/>
  <c r="O111" i="6"/>
  <c r="X109" i="6" l="1"/>
  <c r="BJ109" i="6" s="1"/>
  <c r="Z109" i="6"/>
  <c r="BL109" i="6" s="1"/>
  <c r="Z110" i="6"/>
  <c r="BL110" i="6" s="1"/>
  <c r="G109" i="6" a="1"/>
  <c r="G109" i="6" s="1"/>
  <c r="Y109" i="6" s="1"/>
  <c r="BK109" i="6" s="1"/>
  <c r="C111" i="6" a="1"/>
  <c r="C111" i="6" s="1"/>
  <c r="I112" i="6" a="1"/>
  <c r="I112" i="6" s="1"/>
  <c r="BG112" i="6" s="1"/>
  <c r="K110" i="6" a="1"/>
  <c r="K110" i="6" s="1"/>
  <c r="BH110" i="6" s="1"/>
  <c r="E110" i="6" a="1"/>
  <c r="E110" i="6" s="1"/>
  <c r="BE110" i="6" s="1"/>
  <c r="G111" i="6" a="1"/>
  <c r="G111" i="6" s="1"/>
  <c r="O112" i="6"/>
  <c r="AA110" i="6" l="1"/>
  <c r="BM110" i="6" s="1"/>
  <c r="X110" i="6"/>
  <c r="BJ110" i="6" s="1"/>
  <c r="AA111" i="6"/>
  <c r="BM111" i="6" s="1"/>
  <c r="Y111" i="6"/>
  <c r="BK111" i="6" s="1"/>
  <c r="G110" i="6" a="1"/>
  <c r="G110" i="6" s="1"/>
  <c r="Y110" i="6" s="1"/>
  <c r="BK110" i="6" s="1"/>
  <c r="BF109" i="6"/>
  <c r="BF111" i="6"/>
  <c r="G112" i="6" a="1"/>
  <c r="G112" i="6" s="1"/>
  <c r="I111" i="6" a="1"/>
  <c r="I111" i="6" s="1"/>
  <c r="BG111" i="6" s="1"/>
  <c r="E111" i="6" a="1"/>
  <c r="E111" i="6" s="1"/>
  <c r="BE111" i="6" s="1"/>
  <c r="C112" i="6" a="1"/>
  <c r="C112" i="6" s="1"/>
  <c r="K109" i="6" a="1"/>
  <c r="K109" i="6" s="1"/>
  <c r="AA109" i="6" s="1"/>
  <c r="BM109" i="6" s="1"/>
  <c r="O113" i="6"/>
  <c r="X111" i="6" l="1"/>
  <c r="BJ111" i="6" s="1"/>
  <c r="Z111" i="6"/>
  <c r="BL111" i="6" s="1"/>
  <c r="AV111" i="6" s="1"/>
  <c r="AA112" i="6"/>
  <c r="BM112" i="6" s="1"/>
  <c r="Y112" i="6"/>
  <c r="BK112" i="6" s="1"/>
  <c r="Z112" i="6"/>
  <c r="BL112" i="6" s="1"/>
  <c r="X112" i="6"/>
  <c r="BJ112" i="6" s="1"/>
  <c r="BH109" i="6"/>
  <c r="AV109" i="6" s="1"/>
  <c r="BF110" i="6"/>
  <c r="AV110" i="6" s="1"/>
  <c r="BF112" i="6"/>
  <c r="AV112" i="6" s="1"/>
  <c r="K113" i="6" a="1"/>
  <c r="K113" i="6" s="1"/>
  <c r="BH113" i="6" s="1"/>
  <c r="I115" i="6" a="1"/>
  <c r="I115" i="6" s="1"/>
  <c r="BG115" i="6" s="1"/>
  <c r="E116" i="6" a="1"/>
  <c r="E116" i="6" s="1"/>
  <c r="BE116" i="6" s="1"/>
  <c r="C113" i="6" a="1"/>
  <c r="C113" i="6" s="1"/>
  <c r="O114" i="6"/>
  <c r="AA113" i="6" l="1"/>
  <c r="BM113" i="6" s="1"/>
  <c r="C114" i="6" a="1"/>
  <c r="C114" i="6" s="1"/>
  <c r="I114" i="6" a="1"/>
  <c r="I114" i="6" s="1"/>
  <c r="BG114" i="6" s="1"/>
  <c r="E113" i="6" a="1"/>
  <c r="E113" i="6" s="1"/>
  <c r="BE113" i="6" s="1"/>
  <c r="K116" i="6" a="1"/>
  <c r="K116" i="6" s="1"/>
  <c r="BH116" i="6" s="1"/>
  <c r="O115" i="6"/>
  <c r="X113" i="6" l="1"/>
  <c r="BJ113" i="6" s="1"/>
  <c r="Z114" i="6"/>
  <c r="BL114" i="6" s="1"/>
  <c r="G113" i="6" a="1"/>
  <c r="G113" i="6" s="1"/>
  <c r="Y113" i="6" s="1"/>
  <c r="BK113" i="6" s="1"/>
  <c r="G115" i="6" a="1"/>
  <c r="G115" i="6" s="1"/>
  <c r="E114" i="6" a="1"/>
  <c r="E114" i="6" s="1"/>
  <c r="BE114" i="6" s="1"/>
  <c r="K115" i="6" a="1"/>
  <c r="K115" i="6" s="1"/>
  <c r="BH115" i="6" s="1"/>
  <c r="C115" i="6" a="1"/>
  <c r="C115" i="6" s="1"/>
  <c r="I113" i="6" a="1"/>
  <c r="I113" i="6" s="1"/>
  <c r="Z113" i="6" s="1"/>
  <c r="BL113" i="6" s="1"/>
  <c r="O116" i="6"/>
  <c r="X114" i="6" l="1"/>
  <c r="BJ114" i="6" s="1"/>
  <c r="AA115" i="6"/>
  <c r="BM115" i="6" s="1"/>
  <c r="Y115" i="6"/>
  <c r="BK115" i="6" s="1"/>
  <c r="Z115" i="6"/>
  <c r="BL115" i="6" s="1"/>
  <c r="BG113" i="6"/>
  <c r="G114" i="6" a="1"/>
  <c r="G114" i="6" s="1"/>
  <c r="Y114" i="6" s="1"/>
  <c r="BK114" i="6" s="1"/>
  <c r="BF113" i="6"/>
  <c r="BF115" i="6"/>
  <c r="K114" i="6" a="1"/>
  <c r="K114" i="6" s="1"/>
  <c r="AA114" i="6" s="1"/>
  <c r="BM114" i="6" s="1"/>
  <c r="E115" i="6" a="1"/>
  <c r="E115" i="6" s="1"/>
  <c r="BE115" i="6" s="1"/>
  <c r="I116" i="6" a="1"/>
  <c r="I116" i="6" s="1"/>
  <c r="BG116" i="6" s="1"/>
  <c r="C116" i="6" a="1"/>
  <c r="C116" i="6" s="1"/>
  <c r="G116" i="6" a="1"/>
  <c r="G116" i="6" s="1"/>
  <c r="O117" i="6"/>
  <c r="AV115" i="6" l="1"/>
  <c r="AV113" i="6"/>
  <c r="X115" i="6"/>
  <c r="BJ115" i="6" s="1"/>
  <c r="X116" i="6"/>
  <c r="BJ116" i="6" s="1"/>
  <c r="AA116" i="6"/>
  <c r="BM116" i="6" s="1"/>
  <c r="Y116" i="6"/>
  <c r="BK116" i="6" s="1"/>
  <c r="Z116" i="6"/>
  <c r="BL116" i="6" s="1"/>
  <c r="BF114" i="6"/>
  <c r="AV114" i="6" s="1"/>
  <c r="BH114" i="6"/>
  <c r="BF116" i="6"/>
  <c r="AV116" i="6" s="1"/>
  <c r="E120" i="6" a="1"/>
  <c r="E120" i="6" s="1"/>
  <c r="BE120" i="6" s="1"/>
  <c r="K120" i="6" a="1"/>
  <c r="K120" i="6" s="1"/>
  <c r="BH120" i="6" s="1"/>
  <c r="I118" i="6" a="1"/>
  <c r="I118" i="6" s="1"/>
  <c r="BG118" i="6" s="1"/>
  <c r="C117" i="6" a="1"/>
  <c r="C117" i="6" s="1"/>
  <c r="O118" i="6"/>
  <c r="E117" i="6" l="1" a="1"/>
  <c r="E117" i="6" s="1"/>
  <c r="BE117" i="6" s="1"/>
  <c r="C118" i="6" a="1"/>
  <c r="C118" i="6" s="1"/>
  <c r="I117" i="6" a="1"/>
  <c r="I117" i="6" s="1"/>
  <c r="BG117" i="6" s="1"/>
  <c r="K119" i="6" a="1"/>
  <c r="K119" i="6" s="1"/>
  <c r="BH119" i="6" s="1"/>
  <c r="O119" i="6"/>
  <c r="G117" i="6" s="1" a="1"/>
  <c r="G117" i="6" s="1"/>
  <c r="Y117" i="6" s="1"/>
  <c r="BK117" i="6" s="1"/>
  <c r="Z117" i="6" l="1"/>
  <c r="BL117" i="6" s="1"/>
  <c r="X117" i="6"/>
  <c r="BJ117" i="6" s="1"/>
  <c r="Z118" i="6"/>
  <c r="BL118" i="6" s="1"/>
  <c r="BF117" i="6"/>
  <c r="G119" i="6" a="1"/>
  <c r="G119" i="6" s="1"/>
  <c r="I120" i="6" a="1"/>
  <c r="I120" i="6" s="1"/>
  <c r="BG120" i="6" s="1"/>
  <c r="K118" i="6" a="1"/>
  <c r="K118" i="6" s="1"/>
  <c r="BH118" i="6" s="1"/>
  <c r="C119" i="6" a="1"/>
  <c r="C119" i="6" s="1"/>
  <c r="E118" i="6" a="1"/>
  <c r="E118" i="6" s="1"/>
  <c r="BE118" i="6" s="1"/>
  <c r="O120" i="6"/>
  <c r="AA118" i="6" l="1"/>
  <c r="BM118" i="6" s="1"/>
  <c r="X118" i="6"/>
  <c r="BJ118" i="6" s="1"/>
  <c r="Y119" i="6"/>
  <c r="BK119" i="6" s="1"/>
  <c r="AA119" i="6"/>
  <c r="BM119" i="6" s="1"/>
  <c r="O121" i="6"/>
  <c r="G118" i="6" a="1"/>
  <c r="G118" i="6" s="1"/>
  <c r="Y118" i="6" s="1"/>
  <c r="BK118" i="6" s="1"/>
  <c r="BF119" i="6"/>
  <c r="K117" i="6" a="1"/>
  <c r="K117" i="6" s="1"/>
  <c r="AA117" i="6" s="1"/>
  <c r="BM117" i="6" s="1"/>
  <c r="G120" i="6" a="1"/>
  <c r="G120" i="6" s="1"/>
  <c r="I119" i="6" a="1"/>
  <c r="I119" i="6" s="1"/>
  <c r="BG119" i="6" s="1"/>
  <c r="C120" i="6" a="1"/>
  <c r="C120" i="6" s="1"/>
  <c r="E119" i="6" a="1"/>
  <c r="E119" i="6" s="1"/>
  <c r="BE119" i="6" s="1"/>
  <c r="AV119" i="6" l="1"/>
  <c r="X119" i="6"/>
  <c r="BJ119" i="6" s="1"/>
  <c r="Z119" i="6"/>
  <c r="BL119" i="6" s="1"/>
  <c r="Y120" i="6"/>
  <c r="BK120" i="6" s="1"/>
  <c r="X120" i="6"/>
  <c r="BJ120" i="6" s="1"/>
  <c r="AA120" i="6"/>
  <c r="BM120" i="6" s="1"/>
  <c r="Z120" i="6"/>
  <c r="BL120" i="6" s="1"/>
  <c r="BF118" i="6"/>
  <c r="AV118" i="6" s="1"/>
  <c r="K122" i="6" a="1"/>
  <c r="K122" i="6" s="1"/>
  <c r="BH122" i="6" s="1"/>
  <c r="G121" i="6" a="1"/>
  <c r="G121" i="6" s="1"/>
  <c r="BF121" i="6" s="1"/>
  <c r="I121" i="6" a="1"/>
  <c r="I121" i="6" s="1"/>
  <c r="BG121" i="6" s="1"/>
  <c r="E123" i="6" a="1"/>
  <c r="E123" i="6" s="1"/>
  <c r="BE123" i="6" s="1"/>
  <c r="C121" i="6" a="1"/>
  <c r="C121" i="6" s="1"/>
  <c r="O122" i="6"/>
  <c r="BH117" i="6"/>
  <c r="AV117" i="6" s="1"/>
  <c r="BF120" i="6"/>
  <c r="AV120" i="6" s="1"/>
  <c r="Y121" i="6" l="1"/>
  <c r="BK121" i="6" s="1"/>
  <c r="Z121" i="6"/>
  <c r="BL121" i="6" s="1"/>
  <c r="G122" i="6" a="1"/>
  <c r="G122" i="6" s="1"/>
  <c r="BF122" i="6" s="1"/>
  <c r="E124" i="6" a="1"/>
  <c r="E124" i="6" s="1"/>
  <c r="BE124" i="6" s="1"/>
  <c r="I122" i="6" a="1"/>
  <c r="I122" i="6" s="1"/>
  <c r="BG122" i="6" s="1"/>
  <c r="K121" i="6" a="1"/>
  <c r="K121" i="6" s="1"/>
  <c r="BH121" i="6" s="1"/>
  <c r="C122" i="6" a="1"/>
  <c r="C122" i="6" s="1"/>
  <c r="O123" i="6"/>
  <c r="AA121" i="6" l="1"/>
  <c r="BM121" i="6" s="1"/>
  <c r="Y122" i="6"/>
  <c r="BK122" i="6" s="1"/>
  <c r="AA122" i="6"/>
  <c r="BM122" i="6" s="1"/>
  <c r="Z122" i="6"/>
  <c r="BL122" i="6" s="1"/>
  <c r="I124" i="6" a="1"/>
  <c r="I124" i="6" s="1"/>
  <c r="BG124" i="6" s="1"/>
  <c r="E122" i="6" a="1"/>
  <c r="E122" i="6" s="1"/>
  <c r="BE122" i="6" s="1"/>
  <c r="G123" i="6" a="1"/>
  <c r="G123" i="6" s="1"/>
  <c r="BF123" i="6" s="1"/>
  <c r="K123" i="6" a="1"/>
  <c r="K123" i="6" s="1"/>
  <c r="BH123" i="6" s="1"/>
  <c r="C123" i="6" a="1"/>
  <c r="C123" i="6" s="1"/>
  <c r="O124" i="6"/>
  <c r="AV122" i="6" l="1"/>
  <c r="X122" i="6"/>
  <c r="BJ122" i="6" s="1"/>
  <c r="AA123" i="6"/>
  <c r="BM123" i="6" s="1"/>
  <c r="Y123" i="6"/>
  <c r="BK123" i="6" s="1"/>
  <c r="X123" i="6"/>
  <c r="BJ123" i="6" s="1"/>
  <c r="G124" i="6" a="1"/>
  <c r="G124" i="6" s="1"/>
  <c r="BF124" i="6" s="1"/>
  <c r="K124" i="6" a="1"/>
  <c r="K124" i="6" s="1"/>
  <c r="BH124" i="6" s="1"/>
  <c r="I123" i="6" a="1"/>
  <c r="I123" i="6" s="1"/>
  <c r="BG123" i="6" s="1"/>
  <c r="C124" i="6" a="1"/>
  <c r="C124" i="6" s="1"/>
  <c r="E121" i="6" a="1"/>
  <c r="E121" i="6" s="1"/>
  <c r="O125" i="6"/>
  <c r="BE121" i="6" l="1"/>
  <c r="AV121" i="6" s="1"/>
  <c r="X121" i="6"/>
  <c r="BJ121" i="6" s="1"/>
  <c r="Z123" i="6"/>
  <c r="BL123" i="6" s="1"/>
  <c r="AV123" i="6" s="1"/>
  <c r="Y124" i="6"/>
  <c r="BK124" i="6" s="1"/>
  <c r="X124" i="6"/>
  <c r="BJ124" i="6" s="1"/>
  <c r="AV124" i="6" s="1"/>
  <c r="Z124" i="6"/>
  <c r="BL124" i="6" s="1"/>
  <c r="AA124" i="6"/>
  <c r="BM124" i="6" s="1"/>
  <c r="K126" i="6" a="1"/>
  <c r="K126" i="6" s="1"/>
  <c r="BH126" i="6" s="1"/>
  <c r="G125" i="6" a="1"/>
  <c r="G125" i="6" s="1"/>
  <c r="BF125" i="6" s="1"/>
  <c r="I125" i="6" a="1"/>
  <c r="I125" i="6" s="1"/>
  <c r="BG125" i="6" s="1"/>
  <c r="E127" i="6" a="1"/>
  <c r="E127" i="6" s="1"/>
  <c r="BE127" i="6" s="1"/>
  <c r="C125" i="6" a="1"/>
  <c r="C125" i="6" s="1"/>
  <c r="O126" i="6"/>
  <c r="Z125" i="6" l="1"/>
  <c r="BL125" i="6" s="1"/>
  <c r="Y125" i="6"/>
  <c r="BK125" i="6" s="1"/>
  <c r="E128" i="6" a="1"/>
  <c r="E128" i="6" s="1"/>
  <c r="BE128" i="6" s="1"/>
  <c r="I126" i="6" a="1"/>
  <c r="I126" i="6" s="1"/>
  <c r="BG126" i="6" s="1"/>
  <c r="G126" i="6" a="1"/>
  <c r="G126" i="6" s="1"/>
  <c r="BF126" i="6" s="1"/>
  <c r="K125" i="6" a="1"/>
  <c r="K125" i="6" s="1"/>
  <c r="BH125" i="6" s="1"/>
  <c r="C126" i="6" a="1"/>
  <c r="C126" i="6" s="1"/>
  <c r="O127" i="6"/>
  <c r="AA125" i="6" l="1"/>
  <c r="BM125" i="6" s="1"/>
  <c r="Z126" i="6"/>
  <c r="BL126" i="6" s="1"/>
  <c r="AA126" i="6"/>
  <c r="BM126" i="6" s="1"/>
  <c r="Y126" i="6"/>
  <c r="BK126" i="6" s="1"/>
  <c r="I128" i="6" a="1"/>
  <c r="I128" i="6" s="1"/>
  <c r="BG128" i="6" s="1"/>
  <c r="G127" i="6" a="1"/>
  <c r="G127" i="6" s="1"/>
  <c r="BF127" i="6" s="1"/>
  <c r="C127" i="6" a="1"/>
  <c r="C127" i="6" s="1"/>
  <c r="E126" i="6" a="1"/>
  <c r="E126" i="6" s="1"/>
  <c r="BE126" i="6" s="1"/>
  <c r="K127" i="6" a="1"/>
  <c r="K127" i="6" s="1"/>
  <c r="BH127" i="6" s="1"/>
  <c r="O128" i="6"/>
  <c r="AV126" i="6" l="1"/>
  <c r="X126" i="6"/>
  <c r="BJ126" i="6" s="1"/>
  <c r="X127" i="6"/>
  <c r="BJ127" i="6" s="1"/>
  <c r="AA127" i="6"/>
  <c r="BM127" i="6" s="1"/>
  <c r="Y127" i="6"/>
  <c r="BK127" i="6" s="1"/>
  <c r="K128" i="6" a="1"/>
  <c r="K128" i="6" s="1"/>
  <c r="BH128" i="6" s="1"/>
  <c r="G128" i="6" a="1"/>
  <c r="G128" i="6" s="1"/>
  <c r="BF128" i="6" s="1"/>
  <c r="I127" i="6" a="1"/>
  <c r="I127" i="6" s="1"/>
  <c r="BG127" i="6" s="1"/>
  <c r="C128" i="6" a="1"/>
  <c r="C128" i="6" s="1"/>
  <c r="E125" i="6" a="1"/>
  <c r="E125" i="6" s="1"/>
  <c r="O129" i="6"/>
  <c r="BE125" i="6" l="1"/>
  <c r="AV125" i="6" s="1"/>
  <c r="X125" i="6"/>
  <c r="BJ125" i="6" s="1"/>
  <c r="Z127" i="6"/>
  <c r="BL127" i="6" s="1"/>
  <c r="AV127" i="6" s="1"/>
  <c r="Y128" i="6"/>
  <c r="BK128" i="6" s="1"/>
  <c r="AA128" i="6"/>
  <c r="BM128" i="6" s="1"/>
  <c r="X128" i="6"/>
  <c r="BJ128" i="6" s="1"/>
  <c r="AV128" i="6" s="1"/>
  <c r="Z128" i="6"/>
  <c r="BL128" i="6" s="1"/>
  <c r="E132" i="6" a="1"/>
  <c r="E132" i="6" s="1"/>
  <c r="BE132" i="6" s="1"/>
  <c r="C129" i="6" a="1"/>
  <c r="C129" i="6" s="1"/>
  <c r="I130" i="6" a="1"/>
  <c r="I130" i="6" s="1"/>
  <c r="BG130" i="6" s="1"/>
  <c r="K132" i="6" a="1"/>
  <c r="K132" i="6" s="1"/>
  <c r="BH132" i="6" s="1"/>
  <c r="O130" i="6"/>
  <c r="C130" i="6" l="1" a="1"/>
  <c r="C130" i="6" s="1"/>
  <c r="I129" i="6" a="1"/>
  <c r="I129" i="6" s="1"/>
  <c r="BG129" i="6" s="1"/>
  <c r="E129" i="6" a="1"/>
  <c r="E129" i="6" s="1"/>
  <c r="BE129" i="6" s="1"/>
  <c r="K131" i="6" a="1"/>
  <c r="K131" i="6" s="1"/>
  <c r="BH131" i="6" s="1"/>
  <c r="O131" i="6"/>
  <c r="Z129" i="6" l="1"/>
  <c r="BL129" i="6" s="1"/>
  <c r="X129" i="6"/>
  <c r="BJ129" i="6" s="1"/>
  <c r="Z130" i="6"/>
  <c r="BL130" i="6" s="1"/>
  <c r="K130" i="6" a="1"/>
  <c r="K130" i="6" s="1"/>
  <c r="BH130" i="6" s="1"/>
  <c r="E130" i="6" a="1"/>
  <c r="E130" i="6" s="1"/>
  <c r="BE130" i="6" s="1"/>
  <c r="G131" i="6" a="1"/>
  <c r="G131" i="6" s="1"/>
  <c r="BF131" i="6" s="1"/>
  <c r="I132" i="6" a="1"/>
  <c r="I132" i="6" s="1"/>
  <c r="BG132" i="6" s="1"/>
  <c r="C131" i="6" a="1"/>
  <c r="C131" i="6" s="1"/>
  <c r="O132" i="6"/>
  <c r="G129" i="6" a="1"/>
  <c r="G129" i="6" s="1"/>
  <c r="Y129" i="6" s="1"/>
  <c r="BK129" i="6" s="1"/>
  <c r="X130" i="6" l="1"/>
  <c r="BJ130" i="6" s="1"/>
  <c r="AA130" i="6"/>
  <c r="BM130" i="6" s="1"/>
  <c r="AA131" i="6"/>
  <c r="BM131" i="6" s="1"/>
  <c r="Y131" i="6"/>
  <c r="BK131" i="6" s="1"/>
  <c r="BF129" i="6"/>
  <c r="E131" i="6" a="1"/>
  <c r="E131" i="6" s="1"/>
  <c r="BE131" i="6" s="1"/>
  <c r="G132" i="6" a="1"/>
  <c r="G132" i="6" s="1"/>
  <c r="BF132" i="6" s="1"/>
  <c r="K129" i="6" a="1"/>
  <c r="K129" i="6" s="1"/>
  <c r="AA129" i="6" s="1"/>
  <c r="BM129" i="6" s="1"/>
  <c r="C132" i="6" a="1"/>
  <c r="C132" i="6" s="1"/>
  <c r="I131" i="6" a="1"/>
  <c r="I131" i="6" s="1"/>
  <c r="BG131" i="6" s="1"/>
  <c r="O133" i="6"/>
  <c r="G130" i="6" a="1"/>
  <c r="G130" i="6" s="1"/>
  <c r="Y130" i="6" s="1"/>
  <c r="BK130" i="6" s="1"/>
  <c r="Z131" i="6" l="1"/>
  <c r="BL131" i="6" s="1"/>
  <c r="X131" i="6"/>
  <c r="BJ131" i="6" s="1"/>
  <c r="AV131" i="6" s="1"/>
  <c r="Y132" i="6"/>
  <c r="BK132" i="6" s="1"/>
  <c r="AV132" i="6" s="1"/>
  <c r="X132" i="6"/>
  <c r="BJ132" i="6" s="1"/>
  <c r="AA132" i="6"/>
  <c r="BM132" i="6" s="1"/>
  <c r="Z132" i="6"/>
  <c r="BL132" i="6" s="1"/>
  <c r="BH129" i="6"/>
  <c r="AV129" i="6" s="1"/>
  <c r="BF130" i="6"/>
  <c r="AV130" i="6" s="1"/>
  <c r="C133" i="6" a="1"/>
  <c r="C133" i="6" s="1"/>
  <c r="G133" i="6" a="1"/>
  <c r="G133" i="6" s="1"/>
  <c r="BF133" i="6" s="1"/>
  <c r="K133" i="6" a="1"/>
  <c r="K133" i="6" s="1"/>
  <c r="BH133" i="6" s="1"/>
  <c r="E135" i="6" a="1"/>
  <c r="E135" i="6" s="1"/>
  <c r="BE135" i="6" s="1"/>
  <c r="I134" i="6" a="1"/>
  <c r="I134" i="6" s="1"/>
  <c r="BG134" i="6" s="1"/>
  <c r="O134" i="6"/>
  <c r="AA133" i="6" l="1"/>
  <c r="BM133" i="6" s="1"/>
  <c r="Y133" i="6"/>
  <c r="BK133" i="6" s="1"/>
  <c r="C134" i="6" a="1"/>
  <c r="C134" i="6" s="1"/>
  <c r="G134" i="6" a="1"/>
  <c r="G134" i="6" s="1"/>
  <c r="BF134" i="6" s="1"/>
  <c r="I133" i="6" a="1"/>
  <c r="I133" i="6" s="1"/>
  <c r="BG133" i="6" s="1"/>
  <c r="K134" i="6" a="1"/>
  <c r="K134" i="6" s="1"/>
  <c r="BH134" i="6" s="1"/>
  <c r="E136" i="6" a="1"/>
  <c r="E136" i="6" s="1"/>
  <c r="BE136" i="6" s="1"/>
  <c r="O135" i="6"/>
  <c r="Z133" i="6" l="1"/>
  <c r="BL133" i="6" s="1"/>
  <c r="Y134" i="6"/>
  <c r="BK134" i="6" s="1"/>
  <c r="Z134" i="6"/>
  <c r="BL134" i="6" s="1"/>
  <c r="AA134" i="6"/>
  <c r="BM134" i="6" s="1"/>
  <c r="I135" i="6" a="1"/>
  <c r="I135" i="6" s="1"/>
  <c r="BG135" i="6" s="1"/>
  <c r="G135" i="6" a="1"/>
  <c r="G135" i="6" s="1"/>
  <c r="BF135" i="6" s="1"/>
  <c r="C135" i="6" a="1"/>
  <c r="C135" i="6" s="1"/>
  <c r="E134" i="6" a="1"/>
  <c r="E134" i="6" s="1"/>
  <c r="BE134" i="6" s="1"/>
  <c r="K136" i="6" a="1"/>
  <c r="K136" i="6" s="1"/>
  <c r="BH136" i="6" s="1"/>
  <c r="O136" i="6"/>
  <c r="AV134" i="6" l="1"/>
  <c r="X134" i="6"/>
  <c r="BJ134" i="6" s="1"/>
  <c r="X135" i="6"/>
  <c r="BJ135" i="6" s="1"/>
  <c r="Y135" i="6"/>
  <c r="BK135" i="6" s="1"/>
  <c r="Z135" i="6"/>
  <c r="BL135" i="6" s="1"/>
  <c r="G136" i="6" a="1"/>
  <c r="G136" i="6" s="1"/>
  <c r="BF136" i="6" s="1"/>
  <c r="C136" i="6" a="1"/>
  <c r="C136" i="6" s="1"/>
  <c r="E133" i="6" a="1"/>
  <c r="E133" i="6" s="1"/>
  <c r="K135" i="6" a="1"/>
  <c r="K135" i="6" s="1"/>
  <c r="BH135" i="6" s="1"/>
  <c r="I136" i="6" a="1"/>
  <c r="I136" i="6" s="1"/>
  <c r="BG136" i="6" s="1"/>
  <c r="O137" i="6"/>
  <c r="BE133" i="6" l="1"/>
  <c r="AV133" i="6" s="1"/>
  <c r="X133" i="6"/>
  <c r="BJ133" i="6" s="1"/>
  <c r="AA135" i="6"/>
  <c r="BM135" i="6" s="1"/>
  <c r="AV135" i="6" s="1"/>
  <c r="Y136" i="6"/>
  <c r="BK136" i="6" s="1"/>
  <c r="X136" i="6"/>
  <c r="BJ136" i="6" s="1"/>
  <c r="AA136" i="6"/>
  <c r="BM136" i="6" s="1"/>
  <c r="Z136" i="6"/>
  <c r="BL136" i="6" s="1"/>
  <c r="E139" i="6" a="1"/>
  <c r="E139" i="6" s="1"/>
  <c r="BE139" i="6" s="1"/>
  <c r="K138" i="6" a="1"/>
  <c r="K138" i="6" s="1"/>
  <c r="BH138" i="6" s="1"/>
  <c r="I139" i="6" a="1"/>
  <c r="I139" i="6" s="1"/>
  <c r="BG139" i="6" s="1"/>
  <c r="C137" i="6" a="1"/>
  <c r="C137" i="6" s="1"/>
  <c r="O138" i="6"/>
  <c r="AV136" i="6" l="1"/>
  <c r="G138" i="6" a="1"/>
  <c r="G138" i="6" s="1"/>
  <c r="BF138" i="6" s="1"/>
  <c r="C138" i="6" a="1"/>
  <c r="C138" i="6" s="1"/>
  <c r="K137" i="6" a="1"/>
  <c r="K137" i="6" s="1"/>
  <c r="BH137" i="6" s="1"/>
  <c r="I140" i="6" a="1"/>
  <c r="I140" i="6" s="1"/>
  <c r="BG140" i="6" s="1"/>
  <c r="E137" i="6" a="1"/>
  <c r="E137" i="6" s="1"/>
  <c r="BE137" i="6" s="1"/>
  <c r="O139" i="6"/>
  <c r="AA137" i="6" l="1"/>
  <c r="BM137" i="6" s="1"/>
  <c r="X137" i="6"/>
  <c r="BJ137" i="6" s="1"/>
  <c r="AA138" i="6"/>
  <c r="BM138" i="6" s="1"/>
  <c r="Y138" i="6"/>
  <c r="BK138" i="6" s="1"/>
  <c r="G139" i="6" a="1"/>
  <c r="G139" i="6" s="1"/>
  <c r="BF139" i="6" s="1"/>
  <c r="C139" i="6" a="1"/>
  <c r="C139" i="6" s="1"/>
  <c r="I137" i="6" a="1"/>
  <c r="I137" i="6" s="1"/>
  <c r="Z137" i="6" s="1"/>
  <c r="BL137" i="6" s="1"/>
  <c r="E140" i="6" a="1"/>
  <c r="E140" i="6" s="1"/>
  <c r="BE140" i="6" s="1"/>
  <c r="K140" i="6" a="1"/>
  <c r="K140" i="6" s="1"/>
  <c r="BH140" i="6" s="1"/>
  <c r="O140" i="6"/>
  <c r="Z139" i="6" l="1"/>
  <c r="BL139" i="6" s="1"/>
  <c r="Y139" i="6"/>
  <c r="BK139" i="6" s="1"/>
  <c r="X139" i="6"/>
  <c r="BJ139" i="6" s="1"/>
  <c r="C140" i="6" a="1"/>
  <c r="C140" i="6" s="1"/>
  <c r="I138" i="6" a="1"/>
  <c r="I138" i="6" s="1"/>
  <c r="Z138" i="6" s="1"/>
  <c r="BL138" i="6" s="1"/>
  <c r="E138" i="6" a="1"/>
  <c r="E138" i="6" s="1"/>
  <c r="G140" i="6" a="1"/>
  <c r="G140" i="6" s="1"/>
  <c r="BF140" i="6" s="1"/>
  <c r="K139" i="6" a="1"/>
  <c r="K139" i="6" s="1"/>
  <c r="BH139" i="6" s="1"/>
  <c r="O141" i="6"/>
  <c r="G137" i="6" a="1"/>
  <c r="G137" i="6" s="1"/>
  <c r="Y137" i="6" s="1"/>
  <c r="BK137" i="6" s="1"/>
  <c r="BG137" i="6"/>
  <c r="BE138" i="6" l="1"/>
  <c r="X138" i="6"/>
  <c r="BJ138" i="6" s="1"/>
  <c r="AA139" i="6"/>
  <c r="BM139" i="6" s="1"/>
  <c r="AV139" i="6" s="1"/>
  <c r="Z140" i="6"/>
  <c r="BL140" i="6" s="1"/>
  <c r="AA140" i="6"/>
  <c r="BM140" i="6" s="1"/>
  <c r="Y140" i="6"/>
  <c r="BK140" i="6" s="1"/>
  <c r="X140" i="6"/>
  <c r="BJ140" i="6" s="1"/>
  <c r="AV140" i="6" s="1"/>
  <c r="BF137" i="6"/>
  <c r="AV137" i="6" s="1"/>
  <c r="I143" i="6" a="1"/>
  <c r="I143" i="6" s="1"/>
  <c r="BG143" i="6" s="1"/>
  <c r="E143" i="6" a="1"/>
  <c r="E143" i="6" s="1"/>
  <c r="BE143" i="6" s="1"/>
  <c r="C141" i="6" a="1"/>
  <c r="C141" i="6" s="1"/>
  <c r="K142" i="6" a="1"/>
  <c r="K142" i="6" s="1"/>
  <c r="BH142" i="6" s="1"/>
  <c r="O142" i="6"/>
  <c r="BG138" i="6"/>
  <c r="AV138" i="6" l="1"/>
  <c r="G142" i="6" a="1"/>
  <c r="G142" i="6" s="1"/>
  <c r="BF142" i="6" s="1"/>
  <c r="C142" i="6" a="1"/>
  <c r="C142" i="6" s="1"/>
  <c r="K141" i="6" a="1"/>
  <c r="K141" i="6" s="1"/>
  <c r="BH141" i="6" s="1"/>
  <c r="I144" i="6" a="1"/>
  <c r="I144" i="6" s="1"/>
  <c r="BG144" i="6" s="1"/>
  <c r="E141" i="6" a="1"/>
  <c r="E141" i="6" s="1"/>
  <c r="BE141" i="6" s="1"/>
  <c r="O143" i="6"/>
  <c r="AA141" i="6" l="1"/>
  <c r="BM141" i="6" s="1"/>
  <c r="X141" i="6"/>
  <c r="BJ141" i="6" s="1"/>
  <c r="AA142" i="6"/>
  <c r="BM142" i="6" s="1"/>
  <c r="Y142" i="6"/>
  <c r="BK142" i="6" s="1"/>
  <c r="G143" i="6" a="1"/>
  <c r="G143" i="6" s="1"/>
  <c r="BF143" i="6" s="1"/>
  <c r="I141" i="6" a="1"/>
  <c r="I141" i="6" s="1"/>
  <c r="Z141" i="6" s="1"/>
  <c r="BL141" i="6" s="1"/>
  <c r="K144" i="6" a="1"/>
  <c r="K144" i="6" s="1"/>
  <c r="BH144" i="6" s="1"/>
  <c r="C143" i="6" a="1"/>
  <c r="C143" i="6" s="1"/>
  <c r="E144" i="6" a="1"/>
  <c r="E144" i="6" s="1"/>
  <c r="BE144" i="6" s="1"/>
  <c r="O144" i="6"/>
  <c r="X143" i="6" l="1"/>
  <c r="BJ143" i="6" s="1"/>
  <c r="Z143" i="6"/>
  <c r="BL143" i="6" s="1"/>
  <c r="Y143" i="6"/>
  <c r="BK143" i="6" s="1"/>
  <c r="G144" i="6" a="1"/>
  <c r="G144" i="6" s="1"/>
  <c r="BF144" i="6" s="1"/>
  <c r="C144" i="6" a="1"/>
  <c r="C144" i="6" s="1"/>
  <c r="E142" i="6" a="1"/>
  <c r="E142" i="6" s="1"/>
  <c r="K143" i="6" a="1"/>
  <c r="K143" i="6" s="1"/>
  <c r="BH143" i="6" s="1"/>
  <c r="I142" i="6" a="1"/>
  <c r="I142" i="6" s="1"/>
  <c r="Z142" i="6" s="1"/>
  <c r="BL142" i="6" s="1"/>
  <c r="O145" i="6"/>
  <c r="G141" i="6" a="1"/>
  <c r="G141" i="6" s="1"/>
  <c r="Y141" i="6" s="1"/>
  <c r="BK141" i="6" s="1"/>
  <c r="BG141" i="6"/>
  <c r="AV144" i="6" l="1"/>
  <c r="BE142" i="6"/>
  <c r="X142" i="6"/>
  <c r="BJ142" i="6" s="1"/>
  <c r="AA143" i="6"/>
  <c r="BM143" i="6" s="1"/>
  <c r="AV143" i="6" s="1"/>
  <c r="Z144" i="6"/>
  <c r="BL144" i="6" s="1"/>
  <c r="AA144" i="6"/>
  <c r="BM144" i="6" s="1"/>
  <c r="Y144" i="6"/>
  <c r="BK144" i="6" s="1"/>
  <c r="X144" i="6"/>
  <c r="BJ144" i="6" s="1"/>
  <c r="BF141" i="6"/>
  <c r="AV141" i="6" s="1"/>
  <c r="K146" i="6" a="1"/>
  <c r="K146" i="6" s="1"/>
  <c r="BH146" i="6" s="1"/>
  <c r="C145" i="6" a="1"/>
  <c r="C145" i="6" s="1"/>
  <c r="G145" i="6" a="1"/>
  <c r="G145" i="6" s="1"/>
  <c r="BF145" i="6" s="1"/>
  <c r="I146" i="6" a="1"/>
  <c r="I146" i="6" s="1"/>
  <c r="BG146" i="6" s="1"/>
  <c r="E147" i="6" a="1"/>
  <c r="E147" i="6" s="1"/>
  <c r="BE147" i="6" s="1"/>
  <c r="O146" i="6"/>
  <c r="BG142" i="6"/>
  <c r="AV142" i="6" l="1"/>
  <c r="Y145" i="6"/>
  <c r="BK145" i="6" s="1"/>
  <c r="G146" i="6" a="1"/>
  <c r="G146" i="6" s="1"/>
  <c r="BF146" i="6" s="1"/>
  <c r="I145" i="6" a="1"/>
  <c r="I145" i="6" s="1"/>
  <c r="BG145" i="6" s="1"/>
  <c r="E148" i="6" a="1"/>
  <c r="E148" i="6" s="1"/>
  <c r="BE148" i="6" s="1"/>
  <c r="K145" i="6" a="1"/>
  <c r="K145" i="6" s="1"/>
  <c r="BH145" i="6" s="1"/>
  <c r="C146" i="6" a="1"/>
  <c r="C146" i="6" s="1"/>
  <c r="O147" i="6"/>
  <c r="AA145" i="6" l="1"/>
  <c r="BM145" i="6" s="1"/>
  <c r="Z145" i="6"/>
  <c r="BL145" i="6" s="1"/>
  <c r="AA146" i="6"/>
  <c r="BM146" i="6" s="1"/>
  <c r="Z146" i="6"/>
  <c r="BL146" i="6" s="1"/>
  <c r="Y146" i="6"/>
  <c r="BK146" i="6" s="1"/>
  <c r="G147" i="6" a="1"/>
  <c r="G147" i="6" s="1"/>
  <c r="BF147" i="6" s="1"/>
  <c r="E145" i="6" a="1"/>
  <c r="E145" i="6" s="1"/>
  <c r="I148" i="6" a="1"/>
  <c r="I148" i="6" s="1"/>
  <c r="BG148" i="6" s="1"/>
  <c r="C147" i="6" a="1"/>
  <c r="C147" i="6" s="1"/>
  <c r="K148" i="6" a="1"/>
  <c r="K148" i="6" s="1"/>
  <c r="BH148" i="6" s="1"/>
  <c r="O148" i="6"/>
  <c r="BE145" i="6" l="1"/>
  <c r="AV145" i="6" s="1"/>
  <c r="X145" i="6"/>
  <c r="BJ145" i="6" s="1"/>
  <c r="Y147" i="6"/>
  <c r="BK147" i="6" s="1"/>
  <c r="X147" i="6"/>
  <c r="BJ147" i="6" s="1"/>
  <c r="C148" i="6" a="1"/>
  <c r="C148" i="6" s="1"/>
  <c r="G148" i="6" a="1"/>
  <c r="G148" i="6" s="1"/>
  <c r="BF148" i="6" s="1"/>
  <c r="E146" i="6" a="1"/>
  <c r="E146" i="6" s="1"/>
  <c r="K147" i="6" a="1"/>
  <c r="K147" i="6" s="1"/>
  <c r="BH147" i="6" s="1"/>
  <c r="I147" i="6" a="1"/>
  <c r="I147" i="6" s="1"/>
  <c r="BG147" i="6" s="1"/>
  <c r="O149" i="6"/>
  <c r="BE146" i="6" l="1"/>
  <c r="X146" i="6"/>
  <c r="BJ146" i="6" s="1"/>
  <c r="Z147" i="6"/>
  <c r="BL147" i="6" s="1"/>
  <c r="AA147" i="6"/>
  <c r="BM147" i="6" s="1"/>
  <c r="AA148" i="6"/>
  <c r="BM148" i="6" s="1"/>
  <c r="Y148" i="6"/>
  <c r="BK148" i="6" s="1"/>
  <c r="X148" i="6"/>
  <c r="BJ148" i="6" s="1"/>
  <c r="AV148" i="6" s="1"/>
  <c r="Z148" i="6"/>
  <c r="BL148" i="6" s="1"/>
  <c r="K149" i="6" a="1"/>
  <c r="K149" i="6" s="1"/>
  <c r="BH149" i="6" s="1"/>
  <c r="C149" i="6" a="1"/>
  <c r="C149" i="6" s="1"/>
  <c r="E152" i="6" a="1"/>
  <c r="E152" i="6" s="1"/>
  <c r="BE152" i="6" s="1"/>
  <c r="I151" i="6" a="1"/>
  <c r="I151" i="6" s="1"/>
  <c r="BG151" i="6" s="1"/>
  <c r="O150" i="6"/>
  <c r="AV147" i="6" l="1"/>
  <c r="AV146" i="6"/>
  <c r="AA149" i="6"/>
  <c r="BM149" i="6" s="1"/>
  <c r="C150" i="6" a="1"/>
  <c r="C150" i="6" s="1"/>
  <c r="E149" i="6" a="1"/>
  <c r="E149" i="6" s="1"/>
  <c r="BE149" i="6" s="1"/>
  <c r="I150" i="6" a="1"/>
  <c r="I150" i="6" s="1"/>
  <c r="BG150" i="6" s="1"/>
  <c r="K152" i="6" a="1"/>
  <c r="K152" i="6" s="1"/>
  <c r="BH152" i="6" s="1"/>
  <c r="O151" i="6"/>
  <c r="X149" i="6" l="1"/>
  <c r="BJ149" i="6" s="1"/>
  <c r="Z150" i="6"/>
  <c r="BL150" i="6" s="1"/>
  <c r="G151" i="6" a="1"/>
  <c r="G151" i="6" s="1"/>
  <c r="BF151" i="6" s="1"/>
  <c r="C151" i="6" a="1"/>
  <c r="C151" i="6" s="1"/>
  <c r="E150" i="6" a="1"/>
  <c r="E150" i="6" s="1"/>
  <c r="BE150" i="6" s="1"/>
  <c r="K151" i="6" a="1"/>
  <c r="K151" i="6" s="1"/>
  <c r="BH151" i="6" s="1"/>
  <c r="I149" i="6" a="1"/>
  <c r="I149" i="6" s="1"/>
  <c r="Z149" i="6" s="1"/>
  <c r="BL149" i="6" s="1"/>
  <c r="O152" i="6"/>
  <c r="G149" i="6" a="1"/>
  <c r="G149" i="6" s="1"/>
  <c r="Y149" i="6" s="1"/>
  <c r="BK149" i="6" s="1"/>
  <c r="X150" i="6" l="1"/>
  <c r="BJ150" i="6" s="1"/>
  <c r="Z151" i="6"/>
  <c r="BL151" i="6" s="1"/>
  <c r="AA151" i="6"/>
  <c r="BM151" i="6" s="1"/>
  <c r="Y151" i="6"/>
  <c r="BK151" i="6" s="1"/>
  <c r="BF149" i="6"/>
  <c r="I152" i="6" a="1"/>
  <c r="I152" i="6" s="1"/>
  <c r="BG152" i="6" s="1"/>
  <c r="G152" i="6" a="1"/>
  <c r="G152" i="6" s="1"/>
  <c r="BF152" i="6" s="1"/>
  <c r="C152" i="6" a="1"/>
  <c r="C152" i="6" s="1"/>
  <c r="K150" i="6" a="1"/>
  <c r="K150" i="6" s="1"/>
  <c r="AA150" i="6" s="1"/>
  <c r="BM150" i="6" s="1"/>
  <c r="E151" i="6" a="1"/>
  <c r="E151" i="6" s="1"/>
  <c r="BE151" i="6" s="1"/>
  <c r="O153" i="6"/>
  <c r="G150" i="6" a="1"/>
  <c r="G150" i="6" s="1"/>
  <c r="Y150" i="6" s="1"/>
  <c r="BK150" i="6" s="1"/>
  <c r="BG149" i="6"/>
  <c r="AV149" i="6" l="1"/>
  <c r="AV152" i="6"/>
  <c r="X151" i="6"/>
  <c r="BJ151" i="6" s="1"/>
  <c r="AV151" i="6" s="1"/>
  <c r="Z152" i="6"/>
  <c r="BL152" i="6" s="1"/>
  <c r="Y152" i="6"/>
  <c r="BK152" i="6" s="1"/>
  <c r="X152" i="6"/>
  <c r="BJ152" i="6" s="1"/>
  <c r="AA152" i="6"/>
  <c r="BM152" i="6" s="1"/>
  <c r="BF150" i="6"/>
  <c r="K153" i="6" a="1"/>
  <c r="K153" i="6" s="1"/>
  <c r="BH153" i="6" s="1"/>
  <c r="E156" i="6" a="1"/>
  <c r="E156" i="6" s="1"/>
  <c r="BE156" i="6" s="1"/>
  <c r="I155" i="6" a="1"/>
  <c r="I155" i="6" s="1"/>
  <c r="BG155" i="6" s="1"/>
  <c r="C153" i="6" a="1"/>
  <c r="C153" i="6" s="1"/>
  <c r="O154" i="6"/>
  <c r="BH150" i="6"/>
  <c r="AV150" i="6" l="1"/>
  <c r="AA153" i="6"/>
  <c r="BM153" i="6" s="1"/>
  <c r="K156" i="6" a="1"/>
  <c r="K156" i="6" s="1"/>
  <c r="BH156" i="6" s="1"/>
  <c r="I154" i="6" a="1"/>
  <c r="I154" i="6" s="1"/>
  <c r="BG154" i="6" s="1"/>
  <c r="C154" i="6" a="1"/>
  <c r="C154" i="6" s="1"/>
  <c r="E153" i="6" a="1"/>
  <c r="E153" i="6" s="1"/>
  <c r="BE153" i="6" s="1"/>
  <c r="O155" i="6"/>
  <c r="X153" i="6" l="1"/>
  <c r="BJ153" i="6" s="1"/>
  <c r="Z154" i="6"/>
  <c r="BL154" i="6" s="1"/>
  <c r="G155" i="6" a="1"/>
  <c r="G155" i="6" s="1"/>
  <c r="BF155" i="6" s="1"/>
  <c r="C155" i="6" a="1"/>
  <c r="C155" i="6" s="1"/>
  <c r="I153" i="6" a="1"/>
  <c r="I153" i="6" s="1"/>
  <c r="Z153" i="6" s="1"/>
  <c r="BL153" i="6" s="1"/>
  <c r="E154" i="6" a="1"/>
  <c r="E154" i="6" s="1"/>
  <c r="BE154" i="6" s="1"/>
  <c r="K155" i="6" a="1"/>
  <c r="K155" i="6" s="1"/>
  <c r="BH155" i="6" s="1"/>
  <c r="O156" i="6"/>
  <c r="G153" i="6" a="1"/>
  <c r="G153" i="6" s="1"/>
  <c r="Y153" i="6" s="1"/>
  <c r="BK153" i="6" s="1"/>
  <c r="X154" i="6" l="1"/>
  <c r="BJ154" i="6" s="1"/>
  <c r="Z155" i="6"/>
  <c r="BL155" i="6" s="1"/>
  <c r="AA155" i="6"/>
  <c r="BM155" i="6" s="1"/>
  <c r="Y155" i="6"/>
  <c r="BK155" i="6" s="1"/>
  <c r="BF153" i="6"/>
  <c r="AV153" i="6" s="1"/>
  <c r="I156" i="6" a="1"/>
  <c r="I156" i="6" s="1"/>
  <c r="BG156" i="6" s="1"/>
  <c r="C156" i="6" a="1"/>
  <c r="C156" i="6" s="1"/>
  <c r="E155" i="6" a="1"/>
  <c r="E155" i="6" s="1"/>
  <c r="BE155" i="6" s="1"/>
  <c r="K154" i="6" a="1"/>
  <c r="K154" i="6" s="1"/>
  <c r="AA154" i="6" s="1"/>
  <c r="BM154" i="6" s="1"/>
  <c r="G156" i="6" a="1"/>
  <c r="G156" i="6" s="1"/>
  <c r="BF156" i="6" s="1"/>
  <c r="O157" i="6"/>
  <c r="G154" i="6" a="1"/>
  <c r="G154" i="6" s="1"/>
  <c r="Y154" i="6" s="1"/>
  <c r="BK154" i="6" s="1"/>
  <c r="BG153" i="6"/>
  <c r="AV155" i="6" l="1"/>
  <c r="X155" i="6"/>
  <c r="BJ155" i="6" s="1"/>
  <c r="Z156" i="6"/>
  <c r="BL156" i="6" s="1"/>
  <c r="Y156" i="6"/>
  <c r="BK156" i="6" s="1"/>
  <c r="AA156" i="6"/>
  <c r="BM156" i="6" s="1"/>
  <c r="AV156" i="6" s="1"/>
  <c r="X156" i="6"/>
  <c r="BJ156" i="6" s="1"/>
  <c r="G157" i="6" a="1"/>
  <c r="G157" i="6" s="1"/>
  <c r="BF157" i="6" s="1"/>
  <c r="I157" i="6" a="1"/>
  <c r="I157" i="6" s="1"/>
  <c r="BG157" i="6" s="1"/>
  <c r="E157" i="6" a="1"/>
  <c r="E157" i="6" s="1"/>
  <c r="BE157" i="6" s="1"/>
  <c r="K157" i="6" a="1"/>
  <c r="K157" i="6" s="1"/>
  <c r="BH157" i="6" s="1"/>
  <c r="C157" i="6" a="1"/>
  <c r="C157" i="6" s="1"/>
  <c r="O158" i="6"/>
  <c r="BH154" i="6"/>
  <c r="BF154" i="6"/>
  <c r="AV154" i="6" l="1"/>
  <c r="AA157" i="6"/>
  <c r="BM157" i="6" s="1"/>
  <c r="Z157" i="6"/>
  <c r="BL157" i="6" s="1"/>
  <c r="X157" i="6"/>
  <c r="BJ157" i="6" s="1"/>
  <c r="Y157" i="6"/>
  <c r="BK157" i="6" s="1"/>
  <c r="AV157" i="6" s="1"/>
  <c r="I161" i="6" a="1"/>
  <c r="I161" i="6" s="1"/>
  <c r="BG161" i="6" s="1"/>
  <c r="K159" i="6" a="1"/>
  <c r="K159" i="6" s="1"/>
  <c r="BH159" i="6" s="1"/>
  <c r="C158" i="6" a="1"/>
  <c r="C158" i="6" s="1"/>
  <c r="E161" i="6" a="1"/>
  <c r="E161" i="6" s="1"/>
  <c r="BE161" i="6" s="1"/>
  <c r="O159" i="6"/>
  <c r="K158" i="6" l="1" a="1"/>
  <c r="K158" i="6" s="1"/>
  <c r="BH158" i="6" s="1"/>
  <c r="I160" i="6" a="1"/>
  <c r="I160" i="6" s="1"/>
  <c r="BG160" i="6" s="1"/>
  <c r="C159" i="6" a="1"/>
  <c r="C159" i="6" s="1"/>
  <c r="E158" i="6" a="1"/>
  <c r="E158" i="6" s="1"/>
  <c r="BE158" i="6" s="1"/>
  <c r="O160" i="6"/>
  <c r="AA158" i="6" l="1"/>
  <c r="BM158" i="6" s="1"/>
  <c r="X158" i="6"/>
  <c r="BJ158" i="6" s="1"/>
  <c r="AA159" i="6"/>
  <c r="BM159" i="6" s="1"/>
  <c r="K161" i="6" a="1"/>
  <c r="K161" i="6" s="1"/>
  <c r="BH161" i="6" s="1"/>
  <c r="C160" i="6" a="1"/>
  <c r="C160" i="6" s="1"/>
  <c r="I159" i="6" a="1"/>
  <c r="I159" i="6" s="1"/>
  <c r="BG159" i="6" s="1"/>
  <c r="E159" i="6" a="1"/>
  <c r="E159" i="6" s="1"/>
  <c r="BE159" i="6" s="1"/>
  <c r="G160" i="6" a="1"/>
  <c r="G160" i="6" s="1"/>
  <c r="BF160" i="6" s="1"/>
  <c r="O161" i="6"/>
  <c r="G158" i="6" a="1"/>
  <c r="G158" i="6" s="1"/>
  <c r="Y158" i="6" s="1"/>
  <c r="BK158" i="6" s="1"/>
  <c r="X159" i="6" l="1"/>
  <c r="BJ159" i="6" s="1"/>
  <c r="Z159" i="6"/>
  <c r="BL159" i="6" s="1"/>
  <c r="Z160" i="6"/>
  <c r="BL160" i="6" s="1"/>
  <c r="Y160" i="6"/>
  <c r="BK160" i="6" s="1"/>
  <c r="BF158" i="6"/>
  <c r="K160" i="6" a="1"/>
  <c r="K160" i="6" s="1"/>
  <c r="BH160" i="6" s="1"/>
  <c r="G161" i="6" a="1"/>
  <c r="G161" i="6" s="1"/>
  <c r="BF161" i="6" s="1"/>
  <c r="E160" i="6" a="1"/>
  <c r="E160" i="6" s="1"/>
  <c r="BE160" i="6" s="1"/>
  <c r="C161" i="6" a="1"/>
  <c r="C161" i="6" s="1"/>
  <c r="I158" i="6" a="1"/>
  <c r="I158" i="6" s="1"/>
  <c r="Z158" i="6" s="1"/>
  <c r="BL158" i="6" s="1"/>
  <c r="O173" i="6"/>
  <c r="G159" i="6" a="1"/>
  <c r="G159" i="6" s="1"/>
  <c r="Y159" i="6" s="1"/>
  <c r="BK159" i="6" s="1"/>
  <c r="X160" i="6" l="1"/>
  <c r="BJ160" i="6" s="1"/>
  <c r="AA160" i="6"/>
  <c r="BM160" i="6" s="1"/>
  <c r="AV160" i="6" s="1"/>
  <c r="AA161" i="6"/>
  <c r="BM161" i="6" s="1"/>
  <c r="Y161" i="6"/>
  <c r="BK161" i="6" s="1"/>
  <c r="Z161" i="6"/>
  <c r="BL161" i="6" s="1"/>
  <c r="X161" i="6"/>
  <c r="BJ161" i="6" s="1"/>
  <c r="AV161" i="6" s="1"/>
  <c r="BF159" i="6"/>
  <c r="AV159" i="6" s="1"/>
  <c r="BG158" i="6"/>
  <c r="AV158" i="6" s="1"/>
  <c r="G173" i="6" a="1"/>
  <c r="G173" i="6" s="1"/>
  <c r="BF173" i="6" s="1"/>
  <c r="C173" i="6" a="1"/>
  <c r="C173" i="6" s="1"/>
  <c r="K173" i="6" a="1"/>
  <c r="K173" i="6" s="1"/>
  <c r="BH173" i="6" s="1"/>
  <c r="I174" i="6" a="1"/>
  <c r="I174" i="6" s="1"/>
  <c r="BG174" i="6" s="1"/>
  <c r="E175" i="6" a="1"/>
  <c r="E175" i="6" s="1"/>
  <c r="BE175" i="6" s="1"/>
  <c r="O174" i="6"/>
  <c r="AA173" i="6" l="1"/>
  <c r="BM173" i="6" s="1"/>
  <c r="Y173" i="6"/>
  <c r="BK173" i="6" s="1"/>
  <c r="K174" i="6" a="1"/>
  <c r="K174" i="6" s="1"/>
  <c r="BH174" i="6" s="1"/>
  <c r="C174" i="6" a="1"/>
  <c r="C174" i="6" s="1"/>
  <c r="I173" i="6" a="1"/>
  <c r="I173" i="6" s="1"/>
  <c r="BG173" i="6" s="1"/>
  <c r="E176" i="6" a="1"/>
  <c r="E176" i="6" s="1"/>
  <c r="BE176" i="6" s="1"/>
  <c r="G174" i="6" a="1"/>
  <c r="G174" i="6" s="1"/>
  <c r="BF174" i="6" s="1"/>
  <c r="O175" i="6"/>
  <c r="Z173" i="6" l="1"/>
  <c r="BL173" i="6" s="1"/>
  <c r="Z174" i="6"/>
  <c r="BL174" i="6" s="1"/>
  <c r="Y174" i="6"/>
  <c r="BK174" i="6" s="1"/>
  <c r="AA174" i="6"/>
  <c r="BM174" i="6" s="1"/>
  <c r="K176" i="6" a="1"/>
  <c r="K176" i="6" s="1"/>
  <c r="BH176" i="6" s="1"/>
  <c r="I175" i="6" a="1"/>
  <c r="I175" i="6" s="1"/>
  <c r="BG175" i="6" s="1"/>
  <c r="C175" i="6" a="1"/>
  <c r="C175" i="6" s="1"/>
  <c r="G175" i="6" a="1"/>
  <c r="G175" i="6" s="1"/>
  <c r="BF175" i="6" s="1"/>
  <c r="E174" i="6" a="1"/>
  <c r="E174" i="6" s="1"/>
  <c r="BE174" i="6" s="1"/>
  <c r="O176" i="6"/>
  <c r="AV174" i="6" l="1"/>
  <c r="X174" i="6"/>
  <c r="BJ174" i="6" s="1"/>
  <c r="Z175" i="6"/>
  <c r="BL175" i="6" s="1"/>
  <c r="Y175" i="6"/>
  <c r="BK175" i="6" s="1"/>
  <c r="X175" i="6"/>
  <c r="BJ175" i="6" s="1"/>
  <c r="I176" i="6" a="1"/>
  <c r="I176" i="6" s="1"/>
  <c r="BG176" i="6" s="1"/>
  <c r="K175" i="6" a="1"/>
  <c r="K175" i="6" s="1"/>
  <c r="BH175" i="6" s="1"/>
  <c r="E173" i="6" a="1"/>
  <c r="E173" i="6" s="1"/>
  <c r="G176" i="6" a="1"/>
  <c r="G176" i="6" s="1"/>
  <c r="BF176" i="6" s="1"/>
  <c r="C176" i="6" a="1"/>
  <c r="C176" i="6" s="1"/>
  <c r="O177" i="6"/>
  <c r="BE173" i="6" l="1"/>
  <c r="X173" i="6"/>
  <c r="BJ173" i="6" s="1"/>
  <c r="AA175" i="6"/>
  <c r="BM175" i="6" s="1"/>
  <c r="AV175" i="6" s="1"/>
  <c r="AA176" i="6"/>
  <c r="BM176" i="6" s="1"/>
  <c r="Z176" i="6"/>
  <c r="BL176" i="6" s="1"/>
  <c r="Y176" i="6"/>
  <c r="BK176" i="6" s="1"/>
  <c r="X176" i="6"/>
  <c r="BJ176" i="6" s="1"/>
  <c r="AV176" i="6" s="1"/>
  <c r="I179" i="6" a="1"/>
  <c r="I179" i="6" s="1"/>
  <c r="BG179" i="6" s="1"/>
  <c r="E183" i="6" a="1"/>
  <c r="E183" i="6" s="1"/>
  <c r="BE183" i="6" s="1"/>
  <c r="C177" i="6" a="1"/>
  <c r="C177" i="6" s="1"/>
  <c r="K178" i="6" a="1"/>
  <c r="K178" i="6" s="1"/>
  <c r="BH178" i="6" s="1"/>
  <c r="O178" i="6"/>
  <c r="AV173" i="6" l="1"/>
  <c r="C178" i="6" a="1"/>
  <c r="C178" i="6" s="1"/>
  <c r="K177" i="6" a="1"/>
  <c r="K177" i="6" s="1"/>
  <c r="BH177" i="6" s="1"/>
  <c r="E181" i="6" a="1"/>
  <c r="E181" i="6" s="1"/>
  <c r="BE181" i="6" s="1"/>
  <c r="G178" i="6" a="1"/>
  <c r="G178" i="6" s="1"/>
  <c r="BF178" i="6" s="1"/>
  <c r="I180" i="6" a="1"/>
  <c r="I180" i="6" s="1"/>
  <c r="BG180" i="6" s="1"/>
  <c r="O179" i="6"/>
  <c r="AA177" i="6" l="1"/>
  <c r="BM177" i="6" s="1"/>
  <c r="Y178" i="6"/>
  <c r="BK178" i="6" s="1"/>
  <c r="AA178" i="6"/>
  <c r="BM178" i="6" s="1"/>
  <c r="I177" i="6" a="1"/>
  <c r="I177" i="6" s="1"/>
  <c r="Z177" i="6" s="1"/>
  <c r="BL177" i="6" s="1"/>
  <c r="K180" i="6" a="1"/>
  <c r="K180" i="6" s="1"/>
  <c r="BH180" i="6" s="1"/>
  <c r="E184" i="6" a="1"/>
  <c r="E184" i="6" s="1"/>
  <c r="BE184" i="6" s="1"/>
  <c r="G179" i="6" a="1"/>
  <c r="G179" i="6" s="1"/>
  <c r="BF179" i="6" s="1"/>
  <c r="C179" i="6" a="1"/>
  <c r="C179" i="6" s="1"/>
  <c r="O180" i="6"/>
  <c r="Y179" i="6" l="1"/>
  <c r="BK179" i="6" s="1"/>
  <c r="Z179" i="6"/>
  <c r="BL179" i="6" s="1"/>
  <c r="I178" i="6" a="1"/>
  <c r="I178" i="6" s="1"/>
  <c r="Z178" i="6" s="1"/>
  <c r="BL178" i="6" s="1"/>
  <c r="G180" i="6" a="1"/>
  <c r="G180" i="6" s="1"/>
  <c r="BF180" i="6" s="1"/>
  <c r="K179" i="6" a="1"/>
  <c r="K179" i="6" s="1"/>
  <c r="BH179" i="6" s="1"/>
  <c r="E182" i="6" a="1"/>
  <c r="E182" i="6" s="1"/>
  <c r="BE182" i="6" s="1"/>
  <c r="C180" i="6" a="1"/>
  <c r="C180" i="6" s="1"/>
  <c r="O181" i="6"/>
  <c r="G177" i="6" a="1"/>
  <c r="G177" i="6" s="1"/>
  <c r="Y177" i="6" s="1"/>
  <c r="BK177" i="6" s="1"/>
  <c r="BG177" i="6"/>
  <c r="AA179" i="6" l="1"/>
  <c r="BM179" i="6" s="1"/>
  <c r="Y180" i="6"/>
  <c r="BK180" i="6" s="1"/>
  <c r="Z180" i="6"/>
  <c r="BL180" i="6" s="1"/>
  <c r="AA180" i="6"/>
  <c r="BM180" i="6" s="1"/>
  <c r="K182" i="6" a="1"/>
  <c r="K182" i="6" s="1"/>
  <c r="BH182" i="6" s="1"/>
  <c r="I183" i="6" a="1"/>
  <c r="I183" i="6" s="1"/>
  <c r="BG183" i="6" s="1"/>
  <c r="E179" i="6" a="1"/>
  <c r="E179" i="6" s="1"/>
  <c r="C181" i="6" a="1"/>
  <c r="C181" i="6" s="1"/>
  <c r="O182" i="6"/>
  <c r="BG178" i="6"/>
  <c r="BF177" i="6"/>
  <c r="BE179" i="6" l="1"/>
  <c r="AV179" i="6" s="1"/>
  <c r="X179" i="6"/>
  <c r="BJ179" i="6" s="1"/>
  <c r="X181" i="6"/>
  <c r="BJ181" i="6" s="1"/>
  <c r="G182" i="6" a="1"/>
  <c r="G182" i="6" s="1"/>
  <c r="BF182" i="6" s="1"/>
  <c r="E177" i="6" a="1"/>
  <c r="E177" i="6" s="1"/>
  <c r="K181" i="6" a="1"/>
  <c r="K181" i="6" s="1"/>
  <c r="BH181" i="6" s="1"/>
  <c r="C182" i="6" a="1"/>
  <c r="C182" i="6" s="1"/>
  <c r="I184" i="6" a="1"/>
  <c r="I184" i="6" s="1"/>
  <c r="BG184" i="6" s="1"/>
  <c r="O183" i="6"/>
  <c r="AA181" i="6" l="1"/>
  <c r="BM181" i="6" s="1"/>
  <c r="BE177" i="6"/>
  <c r="AV177" i="6" s="1"/>
  <c r="X177" i="6"/>
  <c r="BJ177" i="6" s="1"/>
  <c r="AA182" i="6"/>
  <c r="BM182" i="6" s="1"/>
  <c r="Y182" i="6"/>
  <c r="BK182" i="6" s="1"/>
  <c r="X182" i="6"/>
  <c r="BJ182" i="6" s="1"/>
  <c r="I181" i="6" a="1"/>
  <c r="I181" i="6" s="1"/>
  <c r="Z181" i="6" s="1"/>
  <c r="BL181" i="6" s="1"/>
  <c r="G183" i="6" a="1"/>
  <c r="G183" i="6" s="1"/>
  <c r="BF183" i="6" s="1"/>
  <c r="C183" i="6" a="1"/>
  <c r="C183" i="6" s="1"/>
  <c r="E180" i="6" a="1"/>
  <c r="E180" i="6" s="1"/>
  <c r="K184" i="6" a="1"/>
  <c r="K184" i="6" s="1"/>
  <c r="BH184" i="6" s="1"/>
  <c r="O184" i="6"/>
  <c r="BE180" i="6" l="1"/>
  <c r="AV180" i="6" s="1"/>
  <c r="X180" i="6"/>
  <c r="BJ180" i="6" s="1"/>
  <c r="Y183" i="6"/>
  <c r="BK183" i="6" s="1"/>
  <c r="X183" i="6"/>
  <c r="BJ183" i="6" s="1"/>
  <c r="Z183" i="6"/>
  <c r="BL183" i="6" s="1"/>
  <c r="I182" i="6" a="1"/>
  <c r="I182" i="6" s="1"/>
  <c r="Z182" i="6" s="1"/>
  <c r="BL182" i="6" s="1"/>
  <c r="G184" i="6" a="1"/>
  <c r="G184" i="6" s="1"/>
  <c r="BF184" i="6" s="1"/>
  <c r="C184" i="6" a="1"/>
  <c r="C184" i="6" s="1"/>
  <c r="K183" i="6" a="1"/>
  <c r="K183" i="6" s="1"/>
  <c r="BH183" i="6" s="1"/>
  <c r="E178" i="6" a="1"/>
  <c r="E178" i="6" s="1"/>
  <c r="O185" i="6"/>
  <c r="G181" i="6" a="1"/>
  <c r="G181" i="6" s="1"/>
  <c r="Y181" i="6" s="1"/>
  <c r="BK181" i="6" s="1"/>
  <c r="BG181" i="6"/>
  <c r="BE178" i="6" l="1"/>
  <c r="AV178" i="6" s="1"/>
  <c r="X178" i="6"/>
  <c r="BJ178" i="6" s="1"/>
  <c r="AA183" i="6"/>
  <c r="BM183" i="6" s="1"/>
  <c r="AV183" i="6" s="1"/>
  <c r="AA184" i="6"/>
  <c r="BM184" i="6" s="1"/>
  <c r="Z184" i="6"/>
  <c r="BL184" i="6" s="1"/>
  <c r="X184" i="6"/>
  <c r="BJ184" i="6" s="1"/>
  <c r="AV184" i="6" s="1"/>
  <c r="Y184" i="6"/>
  <c r="BK184" i="6" s="1"/>
  <c r="BF181" i="6"/>
  <c r="AV181" i="6" s="1"/>
  <c r="I191" i="6" a="1"/>
  <c r="I191" i="6" s="1"/>
  <c r="BG191" i="6" s="1"/>
  <c r="E188" i="6" a="1"/>
  <c r="E188" i="6" s="1"/>
  <c r="BE188" i="6" s="1"/>
  <c r="C185" i="6" a="1"/>
  <c r="C185" i="6" s="1"/>
  <c r="K189" i="6" a="1"/>
  <c r="K189" i="6" s="1"/>
  <c r="BH189" i="6" s="1"/>
  <c r="O186" i="6"/>
  <c r="BG182" i="6"/>
  <c r="AV182" i="6" s="1"/>
  <c r="K192" i="6" l="1" a="1"/>
  <c r="K192" i="6" s="1"/>
  <c r="BH192" i="6" s="1"/>
  <c r="C186" i="6" a="1"/>
  <c r="C186" i="6" s="1"/>
  <c r="I190" i="6" a="1"/>
  <c r="I190" i="6" s="1"/>
  <c r="BG190" i="6" s="1"/>
  <c r="E185" i="6" a="1"/>
  <c r="E185" i="6" s="1"/>
  <c r="BE185" i="6" s="1"/>
  <c r="O187" i="6"/>
  <c r="X185" i="6" l="1"/>
  <c r="BJ185" i="6" s="1"/>
  <c r="C187" i="6" a="1"/>
  <c r="C187" i="6" s="1"/>
  <c r="E186" i="6" a="1"/>
  <c r="E186" i="6" s="1"/>
  <c r="BE186" i="6" s="1"/>
  <c r="G187" i="6" a="1"/>
  <c r="G187" i="6" s="1"/>
  <c r="BF187" i="6" s="1"/>
  <c r="I189" i="6" a="1"/>
  <c r="I189" i="6" s="1"/>
  <c r="BG189" i="6" s="1"/>
  <c r="K191" i="6" a="1"/>
  <c r="K191" i="6" s="1"/>
  <c r="BH191" i="6" s="1"/>
  <c r="O188" i="6"/>
  <c r="G185" i="6" a="1"/>
  <c r="G185" i="6" s="1"/>
  <c r="Y185" i="6" s="1"/>
  <c r="BK185" i="6" s="1"/>
  <c r="X186" i="6" l="1"/>
  <c r="BJ186" i="6" s="1"/>
  <c r="Y187" i="6"/>
  <c r="BK187" i="6" s="1"/>
  <c r="BF185" i="6"/>
  <c r="G188" i="6" a="1"/>
  <c r="G188" i="6" s="1"/>
  <c r="BF188" i="6" s="1"/>
  <c r="I192" i="6" a="1"/>
  <c r="I192" i="6" s="1"/>
  <c r="BG192" i="6" s="1"/>
  <c r="K190" i="6" a="1"/>
  <c r="K190" i="6" s="1"/>
  <c r="BH190" i="6" s="1"/>
  <c r="E187" i="6" a="1"/>
  <c r="E187" i="6" s="1"/>
  <c r="BE187" i="6" s="1"/>
  <c r="C188" i="6" a="1"/>
  <c r="C188" i="6" s="1"/>
  <c r="O189" i="6"/>
  <c r="G186" i="6" a="1"/>
  <c r="G186" i="6" s="1"/>
  <c r="Y186" i="6" s="1"/>
  <c r="BK186" i="6" s="1"/>
  <c r="X187" i="6" l="1"/>
  <c r="BJ187" i="6" s="1"/>
  <c r="Y188" i="6"/>
  <c r="BK188" i="6" s="1"/>
  <c r="X188" i="6"/>
  <c r="BJ188" i="6" s="1"/>
  <c r="BF186" i="6"/>
  <c r="I187" i="6" a="1"/>
  <c r="I187" i="6" s="1"/>
  <c r="Z187" i="6" s="1"/>
  <c r="BL187" i="6" s="1"/>
  <c r="E192" i="6" a="1"/>
  <c r="E192" i="6" s="1"/>
  <c r="BE192" i="6" s="1"/>
  <c r="C189" i="6" a="1"/>
  <c r="C189" i="6" s="1"/>
  <c r="K185" i="6" a="1"/>
  <c r="K185" i="6" s="1"/>
  <c r="AA185" i="6" s="1"/>
  <c r="BM185" i="6" s="1"/>
  <c r="O190" i="6"/>
  <c r="Z189" i="6" l="1"/>
  <c r="BL189" i="6" s="1"/>
  <c r="AA189" i="6"/>
  <c r="BM189" i="6" s="1"/>
  <c r="I186" i="6" a="1"/>
  <c r="I186" i="6" s="1"/>
  <c r="Z186" i="6" s="1"/>
  <c r="BL186" i="6" s="1"/>
  <c r="E189" i="6" a="1"/>
  <c r="E189" i="6" s="1"/>
  <c r="BE189" i="6" s="1"/>
  <c r="C190" i="6" a="1"/>
  <c r="C190" i="6" s="1"/>
  <c r="K188" i="6" a="1"/>
  <c r="K188" i="6" s="1"/>
  <c r="AA188" i="6" s="1"/>
  <c r="BM188" i="6" s="1"/>
  <c r="O191" i="6"/>
  <c r="BH185" i="6"/>
  <c r="BG187" i="6"/>
  <c r="X189" i="6" l="1"/>
  <c r="BJ189" i="6" s="1"/>
  <c r="AA190" i="6"/>
  <c r="BM190" i="6" s="1"/>
  <c r="Z190" i="6"/>
  <c r="BL190" i="6" s="1"/>
  <c r="G191" i="6" a="1"/>
  <c r="G191" i="6" s="1"/>
  <c r="BF191" i="6" s="1"/>
  <c r="C191" i="6" a="1"/>
  <c r="C191" i="6" s="1"/>
  <c r="K187" i="6" a="1"/>
  <c r="K187" i="6" s="1"/>
  <c r="AA187" i="6" s="1"/>
  <c r="BM187" i="6" s="1"/>
  <c r="E190" i="6" a="1"/>
  <c r="E190" i="6" s="1"/>
  <c r="BE190" i="6" s="1"/>
  <c r="I185" i="6" a="1"/>
  <c r="I185" i="6" s="1"/>
  <c r="Z185" i="6" s="1"/>
  <c r="BL185" i="6" s="1"/>
  <c r="O192" i="6"/>
  <c r="G189" i="6" a="1"/>
  <c r="G189" i="6" s="1"/>
  <c r="Y189" i="6" s="1"/>
  <c r="BK189" i="6" s="1"/>
  <c r="BH188" i="6"/>
  <c r="BG186" i="6"/>
  <c r="X190" i="6" l="1"/>
  <c r="BJ190" i="6" s="1"/>
  <c r="AA191" i="6"/>
  <c r="BM191" i="6" s="1"/>
  <c r="Z191" i="6"/>
  <c r="BL191" i="6" s="1"/>
  <c r="Y191" i="6"/>
  <c r="BK191" i="6" s="1"/>
  <c r="BF189" i="6"/>
  <c r="AV189" i="6" s="1"/>
  <c r="E191" i="6" a="1"/>
  <c r="E191" i="6" s="1"/>
  <c r="BE191" i="6" s="1"/>
  <c r="G192" i="6" a="1"/>
  <c r="G192" i="6" s="1"/>
  <c r="BF192" i="6" s="1"/>
  <c r="K186" i="6" a="1"/>
  <c r="K186" i="6" s="1"/>
  <c r="AA186" i="6" s="1"/>
  <c r="BM186" i="6" s="1"/>
  <c r="I188" i="6" a="1"/>
  <c r="I188" i="6" s="1"/>
  <c r="Z188" i="6" s="1"/>
  <c r="BL188" i="6" s="1"/>
  <c r="C192" i="6" a="1"/>
  <c r="C192" i="6" s="1"/>
  <c r="O193" i="6"/>
  <c r="G190" i="6" a="1"/>
  <c r="G190" i="6" s="1"/>
  <c r="Y190" i="6" s="1"/>
  <c r="BK190" i="6" s="1"/>
  <c r="BG185" i="6"/>
  <c r="AV185" i="6" s="1"/>
  <c r="BH187" i="6"/>
  <c r="AV187" i="6" s="1"/>
  <c r="AV191" i="6" l="1"/>
  <c r="X191" i="6"/>
  <c r="BJ191" i="6" s="1"/>
  <c r="Z192" i="6"/>
  <c r="BL192" i="6" s="1"/>
  <c r="Y192" i="6"/>
  <c r="BK192" i="6" s="1"/>
  <c r="AA192" i="6"/>
  <c r="BM192" i="6" s="1"/>
  <c r="AV192" i="6" s="1"/>
  <c r="X192" i="6"/>
  <c r="BJ192" i="6" s="1"/>
  <c r="G193" i="6" a="1"/>
  <c r="G193" i="6" s="1"/>
  <c r="BF193" i="6" s="1"/>
  <c r="I193" i="6" a="1"/>
  <c r="I193" i="6" s="1"/>
  <c r="BG193" i="6" s="1"/>
  <c r="E196" i="6" a="1"/>
  <c r="E196" i="6" s="1"/>
  <c r="BE196" i="6" s="1"/>
  <c r="C193" i="6" a="1"/>
  <c r="C193" i="6" s="1"/>
  <c r="K193" i="6" a="1"/>
  <c r="K193" i="6" s="1"/>
  <c r="BH193" i="6" s="1"/>
  <c r="O194" i="6"/>
  <c r="BG188" i="6"/>
  <c r="AV188" i="6" s="1"/>
  <c r="BH186" i="6"/>
  <c r="AV186" i="6" s="1"/>
  <c r="BF190" i="6"/>
  <c r="AV190" i="6" s="1"/>
  <c r="Z193" i="6" l="1"/>
  <c r="BL193" i="6" s="1"/>
  <c r="AA193" i="6"/>
  <c r="BM193" i="6" s="1"/>
  <c r="Y193" i="6"/>
  <c r="BK193" i="6" s="1"/>
  <c r="C194" i="6" a="1"/>
  <c r="C194" i="6" s="1"/>
  <c r="E201" i="6" a="1"/>
  <c r="E201" i="6" s="1"/>
  <c r="BE201" i="6" s="1"/>
  <c r="I194" i="6" a="1"/>
  <c r="I194" i="6" s="1"/>
  <c r="BG194" i="6" s="1"/>
  <c r="K202" i="6" a="1"/>
  <c r="K202" i="6" s="1"/>
  <c r="BH202" i="6" s="1"/>
  <c r="O195" i="6"/>
  <c r="Z194" i="6" l="1"/>
  <c r="BL194" i="6" s="1"/>
  <c r="E194" i="6" a="1"/>
  <c r="E194" i="6" s="1"/>
  <c r="BE194" i="6" s="1"/>
  <c r="K195" i="6" a="1"/>
  <c r="K195" i="6" s="1"/>
  <c r="BH195" i="6" s="1"/>
  <c r="I201" i="6" a="1"/>
  <c r="I201" i="6" s="1"/>
  <c r="BG201" i="6" s="1"/>
  <c r="C195" i="6" a="1"/>
  <c r="C195" i="6" s="1"/>
  <c r="O196" i="6"/>
  <c r="X194" i="6" l="1"/>
  <c r="BJ194" i="6" s="1"/>
  <c r="AA195" i="6"/>
  <c r="BM195" i="6" s="1"/>
  <c r="I196" i="6" a="1"/>
  <c r="I196" i="6" s="1"/>
  <c r="BG196" i="6" s="1"/>
  <c r="G196" i="6" a="1"/>
  <c r="G196" i="6" s="1"/>
  <c r="BF196" i="6" s="1"/>
  <c r="K196" i="6" a="1"/>
  <c r="K196" i="6" s="1"/>
  <c r="BH196" i="6" s="1"/>
  <c r="E193" i="6" a="1"/>
  <c r="E193" i="6" s="1"/>
  <c r="C196" i="6" a="1"/>
  <c r="C196" i="6" s="1"/>
  <c r="O197" i="6"/>
  <c r="BE193" i="6" l="1"/>
  <c r="AV193" i="6" s="1"/>
  <c r="X193" i="6"/>
  <c r="BJ193" i="6" s="1"/>
  <c r="AA196" i="6"/>
  <c r="BM196" i="6" s="1"/>
  <c r="Z196" i="6"/>
  <c r="BL196" i="6" s="1"/>
  <c r="X196" i="6"/>
  <c r="BJ196" i="6" s="1"/>
  <c r="AV196" i="6" s="1"/>
  <c r="Y196" i="6"/>
  <c r="BK196" i="6" s="1"/>
  <c r="C197" i="6" a="1"/>
  <c r="C197" i="6" s="1"/>
  <c r="K200" i="6" a="1"/>
  <c r="K200" i="6" s="1"/>
  <c r="BH200" i="6" s="1"/>
  <c r="I198" i="6" a="1"/>
  <c r="I198" i="6" s="1"/>
  <c r="BG198" i="6" s="1"/>
  <c r="E198" i="6" a="1"/>
  <c r="E198" i="6" s="1"/>
  <c r="BE198" i="6" s="1"/>
  <c r="O198" i="6"/>
  <c r="O199" i="6" l="1"/>
  <c r="G197" i="6" s="1" a="1"/>
  <c r="G197" i="6" s="1"/>
  <c r="BF197" i="6" s="1"/>
  <c r="K199" i="6" a="1"/>
  <c r="K199" i="6" s="1"/>
  <c r="BH199" i="6" s="1"/>
  <c r="I197" i="6" a="1"/>
  <c r="I197" i="6" s="1"/>
  <c r="BG197" i="6" s="1"/>
  <c r="E199" i="6" a="1"/>
  <c r="E199" i="6" s="1"/>
  <c r="BE199" i="6" s="1"/>
  <c r="C198" i="6" a="1"/>
  <c r="C198" i="6" s="1"/>
  <c r="Z197" i="6" l="1"/>
  <c r="BL197" i="6" s="1"/>
  <c r="Y197" i="6"/>
  <c r="BK197" i="6" s="1"/>
  <c r="Z198" i="6"/>
  <c r="BL198" i="6" s="1"/>
  <c r="X198" i="6"/>
  <c r="BJ198" i="6" s="1"/>
  <c r="E200" i="6" a="1"/>
  <c r="E200" i="6" s="1"/>
  <c r="BE200" i="6" s="1"/>
  <c r="I200" i="6" a="1"/>
  <c r="I200" i="6" s="1"/>
  <c r="BG200" i="6" s="1"/>
  <c r="K198" i="6" a="1"/>
  <c r="K198" i="6" s="1"/>
  <c r="BH198" i="6" s="1"/>
  <c r="G199" i="6" a="1"/>
  <c r="G199" i="6" s="1"/>
  <c r="BF199" i="6" s="1"/>
  <c r="C199" i="6" a="1"/>
  <c r="C199" i="6" s="1"/>
  <c r="O200" i="6"/>
  <c r="G198" i="6" s="1" a="1"/>
  <c r="G198" i="6" s="1"/>
  <c r="BF198" i="6" s="1"/>
  <c r="AV198" i="6" l="1"/>
  <c r="Y198" i="6"/>
  <c r="BK198" i="6" s="1"/>
  <c r="AA198" i="6"/>
  <c r="BM198" i="6" s="1"/>
  <c r="X199" i="6"/>
  <c r="BJ199" i="6" s="1"/>
  <c r="AA199" i="6"/>
  <c r="BM199" i="6" s="1"/>
  <c r="Y199" i="6"/>
  <c r="BK199" i="6" s="1"/>
  <c r="C200" i="6" a="1"/>
  <c r="C200" i="6" s="1"/>
  <c r="E197" i="6" a="1"/>
  <c r="E197" i="6" s="1"/>
  <c r="G200" i="6" a="1"/>
  <c r="G200" i="6" s="1"/>
  <c r="BF200" i="6" s="1"/>
  <c r="I199" i="6" a="1"/>
  <c r="I199" i="6" s="1"/>
  <c r="BG199" i="6" s="1"/>
  <c r="K197" i="6" a="1"/>
  <c r="K197" i="6" s="1"/>
  <c r="AA197" i="6" s="1"/>
  <c r="BM197" i="6" s="1"/>
  <c r="O201" i="6"/>
  <c r="AV199" i="6" l="1"/>
  <c r="Z199" i="6"/>
  <c r="BL199" i="6" s="1"/>
  <c r="BE197" i="6"/>
  <c r="X197" i="6"/>
  <c r="BJ197" i="6" s="1"/>
  <c r="AA200" i="6"/>
  <c r="BM200" i="6" s="1"/>
  <c r="Y200" i="6"/>
  <c r="BK200" i="6" s="1"/>
  <c r="X200" i="6"/>
  <c r="BJ200" i="6" s="1"/>
  <c r="Z200" i="6"/>
  <c r="BL200" i="6" s="1"/>
  <c r="BH197" i="6"/>
  <c r="I195" i="6" a="1"/>
  <c r="I195" i="6" s="1"/>
  <c r="Z195" i="6" s="1"/>
  <c r="BL195" i="6" s="1"/>
  <c r="K201" i="6" a="1"/>
  <c r="K201" i="6" s="1"/>
  <c r="BH201" i="6" s="1"/>
  <c r="E202" i="6" a="1"/>
  <c r="E202" i="6" s="1"/>
  <c r="BE202" i="6" s="1"/>
  <c r="C201" i="6" a="1"/>
  <c r="C201" i="6" s="1"/>
  <c r="G201" i="6" a="1"/>
  <c r="G201" i="6" s="1"/>
  <c r="BF201" i="6" s="1"/>
  <c r="O202" i="6"/>
  <c r="AP1" i="6" s="1"/>
  <c r="G195" i="6" a="1"/>
  <c r="G195" i="6" s="1"/>
  <c r="Y195" i="6" s="1"/>
  <c r="BK195" i="6" s="1"/>
  <c r="AV200" i="6" l="1"/>
  <c r="AV197" i="6"/>
  <c r="Z201" i="6"/>
  <c r="BL201" i="6" s="1"/>
  <c r="X201" i="6"/>
  <c r="BJ201" i="6" s="1"/>
  <c r="AV201" i="6" s="1"/>
  <c r="AA201" i="6"/>
  <c r="BM201" i="6" s="1"/>
  <c r="Y201" i="6"/>
  <c r="BK201" i="6" s="1"/>
  <c r="BF195" i="6"/>
  <c r="BG195" i="6"/>
  <c r="G202" i="6" a="1"/>
  <c r="G202" i="6" s="1"/>
  <c r="BF202" i="6" s="1"/>
  <c r="K194" i="6" a="1"/>
  <c r="K194" i="6" s="1"/>
  <c r="AA194" i="6" s="1"/>
  <c r="BM194" i="6" s="1"/>
  <c r="I202" i="6" a="1"/>
  <c r="I202" i="6" s="1"/>
  <c r="BG202" i="6" s="1"/>
  <c r="E195" i="6" a="1"/>
  <c r="E195" i="6" s="1"/>
  <c r="C202" i="6" a="1"/>
  <c r="C202" i="6" s="1"/>
  <c r="G194" i="6" a="1"/>
  <c r="G194" i="6" s="1"/>
  <c r="Y194" i="6" s="1"/>
  <c r="BK194" i="6" s="1"/>
  <c r="BE195" i="6" l="1"/>
  <c r="AV195" i="6" s="1"/>
  <c r="X195" i="6"/>
  <c r="BJ195" i="6" s="1"/>
  <c r="AA202" i="6"/>
  <c r="BM202" i="6" s="1"/>
  <c r="Y202" i="6"/>
  <c r="BK202" i="6" s="1"/>
  <c r="X202" i="6"/>
  <c r="BJ202" i="6" s="1"/>
  <c r="AV202" i="6" s="1"/>
  <c r="Z202" i="6"/>
  <c r="BL202" i="6" s="1"/>
  <c r="BF194" i="6"/>
  <c r="BH194" i="6"/>
  <c r="AV194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<sst xmlns="http://schemas.openxmlformats.org/spreadsheetml/2006/main" count="1047" uniqueCount="253">
  <si>
    <t>q</t>
  </si>
  <si>
    <t>w</t>
  </si>
  <si>
    <t>e</t>
  </si>
  <si>
    <t>r</t>
  </si>
  <si>
    <t>t</t>
  </si>
  <si>
    <t>y</t>
  </si>
  <si>
    <t>u</t>
  </si>
  <si>
    <t>i</t>
  </si>
  <si>
    <t>o</t>
  </si>
  <si>
    <t>p</t>
  </si>
  <si>
    <t>a</t>
  </si>
  <si>
    <t>s</t>
  </si>
  <si>
    <t>d</t>
  </si>
  <si>
    <t>f</t>
  </si>
  <si>
    <t>g</t>
  </si>
  <si>
    <t>h</t>
  </si>
  <si>
    <t>j</t>
  </si>
  <si>
    <t>k</t>
  </si>
  <si>
    <t>l</t>
  </si>
  <si>
    <t>z</t>
  </si>
  <si>
    <t>x</t>
  </si>
  <si>
    <t>c</t>
  </si>
  <si>
    <t>v</t>
  </si>
  <si>
    <t>b</t>
  </si>
  <si>
    <t>n</t>
  </si>
  <si>
    <t>m</t>
  </si>
  <si>
    <t>Q</t>
  </si>
  <si>
    <t>W</t>
  </si>
  <si>
    <t>E</t>
  </si>
  <si>
    <t>R</t>
  </si>
  <si>
    <t>T</t>
  </si>
  <si>
    <t>Y</t>
  </si>
  <si>
    <t>U</t>
  </si>
  <si>
    <t>I</t>
  </si>
  <si>
    <t>O</t>
  </si>
  <si>
    <t>P</t>
  </si>
  <si>
    <t>A</t>
  </si>
  <si>
    <t>S</t>
  </si>
  <si>
    <t>D</t>
  </si>
  <si>
    <t>F</t>
  </si>
  <si>
    <t>G</t>
  </si>
  <si>
    <t>H</t>
  </si>
  <si>
    <t>J</t>
  </si>
  <si>
    <t>K</t>
  </si>
  <si>
    <t>L</t>
  </si>
  <si>
    <t>Z</t>
  </si>
  <si>
    <t>X</t>
  </si>
  <si>
    <t>C</t>
  </si>
  <si>
    <t>V</t>
  </si>
  <si>
    <t>B</t>
  </si>
  <si>
    <t>N</t>
  </si>
  <si>
    <t>M</t>
  </si>
  <si>
    <t>!</t>
  </si>
  <si>
    <t>@</t>
  </si>
  <si>
    <t>#</t>
  </si>
  <si>
    <t>$</t>
  </si>
  <si>
    <t>%</t>
  </si>
  <si>
    <t>^</t>
  </si>
  <si>
    <t>&amp;</t>
  </si>
  <si>
    <t>*</t>
  </si>
  <si>
    <t>(</t>
  </si>
  <si>
    <t>)</t>
  </si>
  <si>
    <t>~</t>
  </si>
  <si>
    <t>"</t>
  </si>
  <si>
    <t>,</t>
  </si>
  <si>
    <t>/</t>
  </si>
  <si>
    <t>;</t>
  </si>
  <si>
    <t>:</t>
  </si>
  <si>
    <t>\</t>
  </si>
  <si>
    <t>|</t>
  </si>
  <si>
    <t>+</t>
  </si>
  <si>
    <t>[</t>
  </si>
  <si>
    <t>]</t>
  </si>
  <si>
    <t>.</t>
  </si>
  <si>
    <t>-</t>
  </si>
  <si>
    <t>_</t>
  </si>
  <si>
    <t>{</t>
  </si>
  <si>
    <t>}</t>
  </si>
  <si>
    <t>'</t>
  </si>
  <si>
    <t>=</t>
  </si>
  <si>
    <t>¥</t>
  </si>
  <si>
    <t>¦</t>
  </si>
  <si>
    <t>§</t>
  </si>
  <si>
    <t>¨</t>
  </si>
  <si>
    <t>©</t>
  </si>
  <si>
    <t>ª</t>
  </si>
  <si>
    <t>«</t>
  </si>
  <si>
    <t>¬</t>
  </si>
  <si>
    <t>®</t>
  </si>
  <si>
    <t>¯</t>
  </si>
  <si>
    <t>°</t>
  </si>
  <si>
    <t>±</t>
  </si>
  <si>
    <t>²</t>
  </si>
  <si>
    <t>³</t>
  </si>
  <si>
    <t>´</t>
  </si>
  <si>
    <t>µ</t>
  </si>
  <si>
    <t>¶</t>
  </si>
  <si>
    <t>¸</t>
  </si>
  <si>
    <t>¹</t>
  </si>
  <si>
    <t>º</t>
  </si>
  <si>
    <t>»</t>
  </si>
  <si>
    <t>¼</t>
  </si>
  <si>
    <t>½</t>
  </si>
  <si>
    <t>¾</t>
  </si>
  <si>
    <t>¿</t>
  </si>
  <si>
    <t>À</t>
  </si>
  <si>
    <t>Á</t>
  </si>
  <si>
    <t>Â</t>
  </si>
  <si>
    <t>Ã</t>
  </si>
  <si>
    <t>Ä</t>
  </si>
  <si>
    <t>Å</t>
  </si>
  <si>
    <t>Æ</t>
  </si>
  <si>
    <t>Ç</t>
  </si>
  <si>
    <t>È</t>
  </si>
  <si>
    <t>É</t>
  </si>
  <si>
    <t>Ê</t>
  </si>
  <si>
    <t>Ë</t>
  </si>
  <si>
    <t>Ì</t>
  </si>
  <si>
    <t>Í</t>
  </si>
  <si>
    <t>Î</t>
  </si>
  <si>
    <t>Ï</t>
  </si>
  <si>
    <t>Ð</t>
  </si>
  <si>
    <t>Ñ</t>
  </si>
  <si>
    <t>Ò</t>
  </si>
  <si>
    <t>Ó</t>
  </si>
  <si>
    <t>Ô</t>
  </si>
  <si>
    <t>Õ</t>
  </si>
  <si>
    <t>Ö</t>
  </si>
  <si>
    <t>×</t>
  </si>
  <si>
    <t>Ø</t>
  </si>
  <si>
    <t>Ù</t>
  </si>
  <si>
    <t>Ú</t>
  </si>
  <si>
    <t>Û</t>
  </si>
  <si>
    <t>Ü</t>
  </si>
  <si>
    <t>Ý</t>
  </si>
  <si>
    <t>Þ</t>
  </si>
  <si>
    <t>ß</t>
  </si>
  <si>
    <t>à</t>
  </si>
  <si>
    <t>á</t>
  </si>
  <si>
    <t>â</t>
  </si>
  <si>
    <t>ã</t>
  </si>
  <si>
    <t>ä</t>
  </si>
  <si>
    <t>å</t>
  </si>
  <si>
    <t>ç</t>
  </si>
  <si>
    <t>è</t>
  </si>
  <si>
    <t>ì</t>
  </si>
  <si>
    <t>í</t>
  </si>
  <si>
    <t>î</t>
  </si>
  <si>
    <t>ï</t>
  </si>
  <si>
    <t>ð</t>
  </si>
  <si>
    <t>ñ</t>
  </si>
  <si>
    <t>ò</t>
  </si>
  <si>
    <t>ó</t>
  </si>
  <si>
    <t>ô</t>
  </si>
  <si>
    <t>õ</t>
  </si>
  <si>
    <t>ö</t>
  </si>
  <si>
    <t>÷</t>
  </si>
  <si>
    <t>ø</t>
  </si>
  <si>
    <t>û</t>
  </si>
  <si>
    <t>ü</t>
  </si>
  <si>
    <t>Glyph</t>
  </si>
  <si>
    <t>é</t>
  </si>
  <si>
    <t>ê</t>
  </si>
  <si>
    <t>ë</t>
  </si>
  <si>
    <t>ù</t>
  </si>
  <si>
    <t>&lt;</t>
  </si>
  <si>
    <t>&gt;</t>
  </si>
  <si>
    <t>?</t>
  </si>
  <si>
    <t>`</t>
  </si>
  <si>
    <t>¡</t>
  </si>
  <si>
    <t>¢</t>
  </si>
  <si>
    <t>£</t>
  </si>
  <si>
    <t>¤</t>
  </si>
  <si>
    <t>Nothing on this side</t>
  </si>
  <si>
    <t>Overlapping diagonal lines</t>
  </si>
  <si>
    <t>straight lines</t>
  </si>
  <si>
    <t>Only the top diagonal line</t>
  </si>
  <si>
    <t xml:space="preserve">Only the bottom diagonal line </t>
  </si>
  <si>
    <t>Rot 90 CW</t>
  </si>
  <si>
    <t>ģ</t>
  </si>
  <si>
    <t>Ĥ</t>
  </si>
  <si>
    <t>ĥ</t>
  </si>
  <si>
    <t>Ħ</t>
  </si>
  <si>
    <t>ħ</t>
  </si>
  <si>
    <t>Ĩ</t>
  </si>
  <si>
    <t>ĩ</t>
  </si>
  <si>
    <t>Ī</t>
  </si>
  <si>
    <t>Œ</t>
  </si>
  <si>
    <t>Š</t>
  </si>
  <si>
    <t>ˆ</t>
  </si>
  <si>
    <t>‚</t>
  </si>
  <si>
    <t>„</t>
  </si>
  <si>
    <t>†</t>
  </si>
  <si>
    <t>‡</t>
  </si>
  <si>
    <t>…</t>
  </si>
  <si>
    <t>‰</t>
  </si>
  <si>
    <t>‹</t>
  </si>
  <si>
    <t>UTF8</t>
  </si>
  <si>
    <t xml:space="preserve"> </t>
  </si>
  <si>
    <t>use?</t>
  </si>
  <si>
    <t>index</t>
  </si>
  <si>
    <t>Only the leftmost straight line</t>
  </si>
  <si>
    <t>Only the rightmost straight line</t>
  </si>
  <si>
    <t>Only the uppermost straight line</t>
  </si>
  <si>
    <t>Only the lowermost straight line</t>
  </si>
  <si>
    <t>DIAG_BOTH</t>
  </si>
  <si>
    <t>ORTHO_BOTH</t>
  </si>
  <si>
    <t>DIAG_FRONT</t>
  </si>
  <si>
    <t>DIAG_BACK</t>
  </si>
  <si>
    <t>ORTHO_LEFT</t>
  </si>
  <si>
    <t>ORTHO_RIGHT</t>
  </si>
  <si>
    <t>Plain</t>
  </si>
  <si>
    <t>ORTHO_UP</t>
  </si>
  <si>
    <t>ORTHO_DOWN</t>
  </si>
  <si>
    <t>Connect Up</t>
  </si>
  <si>
    <t>Connect Down</t>
  </si>
  <si>
    <t>Connect Left</t>
  </si>
  <si>
    <t>Connect Right</t>
  </si>
  <si>
    <t>Index</t>
  </si>
  <si>
    <t>EMPTY</t>
  </si>
  <si>
    <t>Mirror X</t>
  </si>
  <si>
    <t>Mirror Y</t>
  </si>
  <si>
    <t>Connection::</t>
  </si>
  <si>
    <t>SA_MIRX</t>
  </si>
  <si>
    <t>SA_MIRY</t>
  </si>
  <si>
    <t>const inline std::array&lt;Glyph, Glyph::TOTAL&gt; AllGlyphs{ {</t>
  </si>
  <si>
    <t>CT_MIRU</t>
  </si>
  <si>
    <t>CT_MIRD</t>
  </si>
  <si>
    <t>CT_MIRL</t>
  </si>
  <si>
    <t>CT_MIRR</t>
  </si>
  <si>
    <t>MIRROR X TYPES</t>
  </si>
  <si>
    <t>MIRROR Y TYPES</t>
  </si>
  <si>
    <t>Rot 180</t>
  </si>
  <si>
    <t>rotated2</t>
  </si>
  <si>
    <t>rotated4</t>
  </si>
  <si>
    <t>mirroredX</t>
  </si>
  <si>
    <t>mirroedY</t>
  </si>
  <si>
    <t>ROTATE 90 TYPES</t>
  </si>
  <si>
    <t>ROTATE 180 TYPES</t>
  </si>
  <si>
    <t>sameAfterRotate4</t>
  </si>
  <si>
    <t>sameAfterRotate2</t>
  </si>
  <si>
    <t>sameAfterMirrorX</t>
  </si>
  <si>
    <t>sameAfterMirrorY</t>
  </si>
  <si>
    <t>SA_ROT4</t>
  </si>
  <si>
    <t>SA_ROT2</t>
  </si>
  <si>
    <t>CT_ROT2R</t>
  </si>
  <si>
    <t>CT_ROT4U</t>
  </si>
  <si>
    <t>CT_ROT4D</t>
  </si>
  <si>
    <t>CT_ROT4L</t>
  </si>
  <si>
    <t>CT_ROT4R</t>
  </si>
  <si>
    <t>CT_ROT2U</t>
  </si>
  <si>
    <t>CT_ROT2D</t>
  </si>
  <si>
    <t>CT_ROT2L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</si>
</sst>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1"/>
      <name val="Celtic Knots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0"/>
      <name val="Consolas"/>
      <family val="3"/>
    </font>
    <font>
      <b/>
      <sz val="11"/>
      <color theme="1"/>
      <name val="Celtic Knots"/>
    </font>
    <font>
      <sz val="20"/>
      <color theme="1"/>
      <name val="Celtic Knots"/>
    </font>
    <font>
      <sz val="11"/>
      <color theme="1"/>
      <name val="Celtic Knots"/>
    </font>
    <font>
      <sz val="2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2" tint="-0.74999237037263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65">
    <xf numFmtId="0" fontId="0" fillId="0" borderId="0" xfId="0"/>
    <xf numFmtId="49" fontId="0" fillId="0" borderId="0" xfId="0" applyNumberFormat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4" fillId="0" borderId="5" xfId="0" applyNumberFormat="1" applyFont="1" applyBorder="1" applyAlignment="1">
      <alignment horizontal="center"/>
    </xf>
    <xf numFmtId="0" fontId="2" fillId="0" borderId="4" xfId="0" quotePrefix="1" applyFont="1" applyBorder="1" applyAlignment="1">
      <alignment horizontal="center"/>
    </xf>
    <xf numFmtId="49" fontId="0" fillId="0" borderId="0" xfId="0" applyNumberFormat="1" applyBorder="1"/>
    <xf numFmtId="49" fontId="0" fillId="0" borderId="4" xfId="0" applyNumberFormat="1" applyBorder="1"/>
    <xf numFmtId="49" fontId="1" fillId="0" borderId="1" xfId="0" applyNumberFormat="1" applyFont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0" fontId="0" fillId="0" borderId="0" xfId="0" applyFill="1"/>
    <xf numFmtId="0" fontId="0" fillId="0" borderId="0" xfId="0" applyAlignment="1">
      <alignment horizontal="center"/>
    </xf>
    <xf numFmtId="49" fontId="1" fillId="0" borderId="1" xfId="0" applyNumberFormat="1" applyFont="1" applyFill="1" applyBorder="1" applyAlignment="1">
      <alignment horizontal="center"/>
    </xf>
    <xf numFmtId="0" fontId="1" fillId="0" borderId="2" xfId="0" applyNumberFormat="1" applyFont="1" applyFill="1" applyBorder="1" applyAlignment="1">
      <alignment horizontal="center"/>
    </xf>
    <xf numFmtId="0" fontId="0" fillId="0" borderId="4" xfId="0" applyBorder="1"/>
    <xf numFmtId="0" fontId="3" fillId="2" borderId="0" xfId="0" applyNumberFormat="1" applyFont="1" applyFill="1" applyBorder="1" applyAlignment="1">
      <alignment horizontal="center"/>
    </xf>
    <xf numFmtId="0" fontId="0" fillId="0" borderId="0" xfId="0" applyNumberFormat="1" applyBorder="1"/>
    <xf numFmtId="0" fontId="0" fillId="0" borderId="5" xfId="0" applyBorder="1"/>
    <xf numFmtId="0" fontId="0" fillId="0" borderId="0" xfId="0" applyBorder="1" applyAlignment="1">
      <alignment horizontal="left"/>
    </xf>
    <xf numFmtId="0" fontId="2" fillId="0" borderId="0" xfId="0" applyFont="1" applyBorder="1" applyAlignment="1">
      <alignment horizontal="center"/>
    </xf>
    <xf numFmtId="0" fontId="0" fillId="0" borderId="0" xfId="0" applyBorder="1"/>
    <xf numFmtId="0" fontId="0" fillId="0" borderId="1" xfId="0" applyBorder="1"/>
    <xf numFmtId="0" fontId="0" fillId="0" borderId="3" xfId="0" applyBorder="1"/>
    <xf numFmtId="0" fontId="0" fillId="0" borderId="6" xfId="0" applyBorder="1"/>
    <xf numFmtId="0" fontId="0" fillId="0" borderId="7" xfId="0" applyBorder="1"/>
    <xf numFmtId="0" fontId="1" fillId="0" borderId="3" xfId="0" applyFont="1" applyBorder="1" applyAlignment="1">
      <alignment horizontal="center"/>
    </xf>
    <xf numFmtId="0" fontId="0" fillId="0" borderId="4" xfId="0" applyFill="1" applyBorder="1"/>
    <xf numFmtId="0" fontId="0" fillId="0" borderId="0" xfId="0" applyFill="1" applyBorder="1"/>
    <xf numFmtId="0" fontId="0" fillId="0" borderId="5" xfId="0" applyFill="1" applyBorder="1"/>
    <xf numFmtId="0" fontId="2" fillId="0" borderId="5" xfId="0" applyFont="1" applyBorder="1" applyAlignment="1">
      <alignment horizontal="center"/>
    </xf>
    <xf numFmtId="0" fontId="2" fillId="0" borderId="5" xfId="0" quotePrefix="1" applyFont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8" xfId="0" quotePrefix="1" applyFont="1" applyBorder="1" applyAlignment="1">
      <alignment horizontal="center"/>
    </xf>
    <xf numFmtId="0" fontId="2" fillId="0" borderId="8" xfId="0" applyFont="1" applyFill="1" applyBorder="1" applyAlignment="1">
      <alignment horizontal="center"/>
    </xf>
    <xf numFmtId="49" fontId="0" fillId="0" borderId="8" xfId="0" applyNumberFormat="1" applyBorder="1"/>
    <xf numFmtId="49" fontId="7" fillId="0" borderId="3" xfId="0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49" fontId="9" fillId="0" borderId="5" xfId="0" applyNumberFormat="1" applyFont="1" applyBorder="1"/>
    <xf numFmtId="49" fontId="1" fillId="0" borderId="9" xfId="0" applyNumberFormat="1" applyFont="1" applyBorder="1" applyAlignment="1">
      <alignment horizontal="center"/>
    </xf>
    <xf numFmtId="0" fontId="2" fillId="0" borderId="0" xfId="0" quotePrefix="1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0" borderId="10" xfId="0" applyNumberFormat="1" applyFont="1" applyFill="1" applyBorder="1" applyAlignment="1">
      <alignment horizontal="center"/>
    </xf>
    <xf numFmtId="0" fontId="0" fillId="0" borderId="10" xfId="0" applyNumberFormat="1" applyBorder="1"/>
    <xf numFmtId="0" fontId="1" fillId="0" borderId="11" xfId="0" applyNumberFormat="1" applyFont="1" applyFill="1" applyBorder="1" applyAlignment="1">
      <alignment horizontal="center"/>
    </xf>
    <xf numFmtId="0" fontId="1" fillId="0" borderId="3" xfId="0" applyNumberFormat="1" applyFont="1" applyFill="1" applyBorder="1" applyAlignment="1">
      <alignment horizontal="center"/>
    </xf>
    <xf numFmtId="0" fontId="3" fillId="0" borderId="5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6" fillId="3" borderId="0" xfId="0" quotePrefix="1" applyFont="1" applyFill="1" applyBorder="1" applyAlignment="1">
      <alignment vertical="center"/>
    </xf>
    <xf numFmtId="0" fontId="1" fillId="0" borderId="0" xfId="0" applyFont="1" applyAlignment="1">
      <alignment horizontal="center"/>
    </xf>
    <xf numFmtId="0" fontId="0" fillId="0" borderId="0" xfId="0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6" fillId="3" borderId="0" xfId="0" quotePrefix="1" applyFont="1" applyFill="1" applyBorder="1" applyAlignment="1">
      <alignment horizontal="center" vertical="center"/>
    </xf>
    <xf numFmtId="0" fontId="6" fillId="3" borderId="4" xfId="0" quotePrefix="1" applyFont="1" applyFill="1" applyBorder="1" applyAlignment="1">
      <alignment horizontal="left" vertical="center"/>
    </xf>
    <xf numFmtId="0" fontId="6" fillId="3" borderId="0" xfId="0" quotePrefix="1" applyFont="1" applyFill="1" applyBorder="1" applyAlignment="1">
      <alignment horizontal="left" vertical="center"/>
    </xf>
    <xf numFmtId="0" fontId="6" fillId="3" borderId="5" xfId="0" quotePrefix="1" applyFont="1" applyFill="1" applyBorder="1" applyAlignment="1">
      <alignment horizontal="left" vertic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</cellXfs>
  <cellStyles count="1">
    <cellStyle name="Normal" xfId="0" builtinId="0"/>
  </cellStyles>
  <dxfs count="1"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54D71-E22F-4AF9-BEF7-6EC4667A8674}">
  <sheetPr codeName="Sheet3"/>
  <dimension ref="A1:BM206"/>
  <sheetViews>
    <sheetView tabSelected="1" zoomScaleNormal="100" workbookViewId="0">
      <pane ySplit="1" topLeftCell="A53" activePane="bottomLeft" state="frozen"/>
      <selection pane="bottomLeft" activeCell="AE35" sqref="AE35"/>
    </sheetView>
  </sheetViews>
  <sheetFormatPr defaultRowHeight="31.5" x14ac:dyDescent="0.4"/>
  <cols>
    <col min="1" max="1" width="7.5703125" style="23" bestFit="1" customWidth="1"/>
    <col min="2" max="2" width="10" style="11" customWidth="1"/>
    <col min="3" max="3" width="9" style="49" customWidth="1"/>
    <col min="4" max="4" width="10" style="41" customWidth="1"/>
    <col min="5" max="5" width="10" style="48" customWidth="1"/>
    <col min="6" max="6" width="10" style="41" customWidth="1"/>
    <col min="7" max="7" width="10" style="48" customWidth="1"/>
    <col min="8" max="8" width="10" style="41" customWidth="1"/>
    <col min="9" max="9" width="10" style="48" customWidth="1"/>
    <col min="10" max="10" width="10" style="41" customWidth="1"/>
    <col min="11" max="11" width="10" style="52" customWidth="1"/>
    <col min="12" max="12" width="10" style="10" customWidth="1"/>
    <col min="13" max="13" width="13.85546875" style="44" customWidth="1"/>
    <col min="14" max="14" width="11.85546875" style="18" customWidth="1"/>
    <col min="15" max="15" width="11.85546875" style="20" customWidth="1"/>
    <col min="16" max="16" width="10" style="10" customWidth="1"/>
    <col min="17" max="17" width="16.42578125" style="21" bestFit="1" customWidth="1"/>
    <col min="18" max="18" width="9.140625" style="22" customWidth="1"/>
    <col min="19" max="19" width="13.7109375" style="18" bestFit="1" customWidth="1"/>
    <col min="20" max="20" width="14" style="24" bestFit="1" customWidth="1"/>
    <col min="21" max="21" width="14.42578125" style="24" bestFit="1" customWidth="1"/>
    <col min="22" max="22" width="14.42578125" style="21" bestFit="1" customWidth="1"/>
    <col min="24" max="25" width="13.42578125" bestFit="1" customWidth="1"/>
    <col min="26" max="27" width="13.5703125" bestFit="1" customWidth="1"/>
    <col min="28" max="28" width="14.7109375" bestFit="1" customWidth="1"/>
    <col min="29" max="29" width="14.5703125" bestFit="1" customWidth="1"/>
    <col min="30" max="30" width="14.140625" bestFit="1" customWidth="1"/>
    <col min="31" max="31" width="14.42578125" bestFit="1" customWidth="1"/>
    <col min="32" max="32" width="14.7109375" bestFit="1" customWidth="1"/>
    <col min="33" max="33" width="14.5703125" bestFit="1" customWidth="1"/>
    <col min="34" max="34" width="14.140625" bestFit="1" customWidth="1"/>
    <col min="35" max="35" width="14.42578125" bestFit="1" customWidth="1"/>
    <col min="36" max="36" width="13.7109375" bestFit="1" customWidth="1"/>
    <col min="37" max="37" width="13.5703125" bestFit="1" customWidth="1"/>
    <col min="38" max="38" width="13.140625" bestFit="1" customWidth="1"/>
    <col min="39" max="39" width="13.42578125" bestFit="1" customWidth="1"/>
    <col min="41" max="41" width="16.140625" customWidth="1"/>
    <col min="42" max="42" width="30.42578125" bestFit="1" customWidth="1"/>
    <col min="43" max="46" width="23.140625" customWidth="1"/>
    <col min="48" max="48" width="27.5703125" style="18" customWidth="1"/>
    <col min="49" max="54" width="27.5703125" style="24" customWidth="1"/>
    <col min="55" max="55" width="27.5703125" style="21" customWidth="1"/>
    <col min="57" max="60" width="16.140625" bestFit="1" customWidth="1"/>
    <col min="61" max="61" width="3" customWidth="1"/>
    <col min="62" max="63" width="17.42578125" bestFit="1" customWidth="1"/>
    <col min="64" max="64" width="17.28515625" bestFit="1" customWidth="1"/>
    <col min="65" max="65" width="17" bestFit="1" customWidth="1"/>
  </cols>
  <sheetData>
    <row r="1" spans="1:65" ht="17.25" thickBot="1" x14ac:dyDescent="0.3">
      <c r="A1" s="36" t="s">
        <v>211</v>
      </c>
      <c r="B1" s="12" t="s">
        <v>160</v>
      </c>
      <c r="C1" s="50" t="s">
        <v>218</v>
      </c>
      <c r="D1" s="45" t="s">
        <v>178</v>
      </c>
      <c r="E1" s="50" t="s">
        <v>218</v>
      </c>
      <c r="F1" s="45" t="s">
        <v>232</v>
      </c>
      <c r="G1" s="50" t="s">
        <v>218</v>
      </c>
      <c r="H1" s="45" t="s">
        <v>220</v>
      </c>
      <c r="I1" s="50" t="s">
        <v>218</v>
      </c>
      <c r="J1" s="45" t="s">
        <v>221</v>
      </c>
      <c r="K1" s="51" t="s">
        <v>218</v>
      </c>
      <c r="L1" s="4"/>
      <c r="M1" s="42"/>
      <c r="N1" s="16" t="s">
        <v>199</v>
      </c>
      <c r="O1" s="17" t="s">
        <v>200</v>
      </c>
      <c r="P1" s="4" t="s">
        <v>160</v>
      </c>
      <c r="Q1" s="5" t="s">
        <v>197</v>
      </c>
      <c r="S1" s="2" t="s">
        <v>214</v>
      </c>
      <c r="T1" s="3" t="s">
        <v>215</v>
      </c>
      <c r="U1" s="3" t="s">
        <v>216</v>
      </c>
      <c r="V1" s="29" t="s">
        <v>217</v>
      </c>
      <c r="X1" s="53" t="s">
        <v>243</v>
      </c>
      <c r="Y1" s="53" t="s">
        <v>244</v>
      </c>
      <c r="Z1" s="53" t="s">
        <v>223</v>
      </c>
      <c r="AA1" s="53" t="s">
        <v>224</v>
      </c>
      <c r="AB1" s="53" t="s">
        <v>246</v>
      </c>
      <c r="AC1" s="53" t="s">
        <v>247</v>
      </c>
      <c r="AD1" s="53" t="s">
        <v>248</v>
      </c>
      <c r="AE1" s="53" t="s">
        <v>249</v>
      </c>
      <c r="AF1" s="53" t="s">
        <v>250</v>
      </c>
      <c r="AG1" s="53" t="s">
        <v>251</v>
      </c>
      <c r="AH1" s="53" t="s">
        <v>252</v>
      </c>
      <c r="AI1" s="53" t="s">
        <v>245</v>
      </c>
      <c r="AJ1" s="53" t="s">
        <v>226</v>
      </c>
      <c r="AK1" s="53" t="s">
        <v>227</v>
      </c>
      <c r="AL1" s="53" t="s">
        <v>228</v>
      </c>
      <c r="AM1" s="53" t="s">
        <v>229</v>
      </c>
      <c r="AO1" s="53" t="s">
        <v>222</v>
      </c>
      <c r="AP1" t="str">
        <f>"Glyph::Total = " &amp; (MAX(O:O) + 1)</f>
        <v>Glyph::Total = 190</v>
      </c>
      <c r="AQ1" s="55" t="s">
        <v>237</v>
      </c>
      <c r="AR1" s="55" t="s">
        <v>238</v>
      </c>
      <c r="AS1" s="55" t="s">
        <v>230</v>
      </c>
      <c r="AT1" s="55" t="s">
        <v>231</v>
      </c>
      <c r="AV1" s="62" t="s">
        <v>225</v>
      </c>
      <c r="AW1" s="63"/>
      <c r="AX1" s="63"/>
      <c r="AY1" s="63"/>
      <c r="AZ1" s="63"/>
      <c r="BA1" s="63"/>
      <c r="BB1" s="63"/>
      <c r="BC1" s="64"/>
      <c r="BE1" s="15" t="s">
        <v>234</v>
      </c>
      <c r="BF1" s="15" t="s">
        <v>233</v>
      </c>
      <c r="BG1" s="15" t="s">
        <v>235</v>
      </c>
      <c r="BH1" s="15" t="s">
        <v>236</v>
      </c>
      <c r="BI1" s="15"/>
      <c r="BJ1" s="15" t="s">
        <v>239</v>
      </c>
      <c r="BK1" s="15" t="s">
        <v>240</v>
      </c>
      <c r="BL1" s="15" t="s">
        <v>241</v>
      </c>
      <c r="BM1" s="15" t="s">
        <v>242</v>
      </c>
    </row>
    <row r="2" spans="1:65" x14ac:dyDescent="0.4">
      <c r="A2" s="7" t="s">
        <v>198</v>
      </c>
      <c r="B2" s="6" t="str">
        <f t="shared" ref="B2:B65" si="0">A2</f>
        <v xml:space="preserve"> </v>
      </c>
      <c r="C2" s="48" cm="1">
        <f t="array" ref="C2">IF($N2,INDEX($O:$O,MATCH(TRUE,EXACT(B2,$A:$A),0)),"")</f>
        <v>0</v>
      </c>
      <c r="D2" s="37" t="s">
        <v>198</v>
      </c>
      <c r="E2" s="48" cm="1">
        <f t="array" ref="E2">IF($N2,INDEX($O:$O,MATCH(TRUE,EXACT(D2,$A:$A),0)),"")</f>
        <v>0</v>
      </c>
      <c r="F2" s="37" t="s">
        <v>198</v>
      </c>
      <c r="G2" s="48" cm="1">
        <f t="array" ref="G2">IF($N2,INDEX($O:$O,MATCH(TRUE,EXACT(F2,$A:$A),0)),"")</f>
        <v>0</v>
      </c>
      <c r="H2" s="37" t="s">
        <v>198</v>
      </c>
      <c r="I2" s="48" cm="1">
        <f t="array" ref="I2">IF($N2,INDEX($O:$O,MATCH(TRUE,EXACT(H2,$A:$A),0)),"")</f>
        <v>0</v>
      </c>
      <c r="J2" s="37" t="s">
        <v>198</v>
      </c>
      <c r="K2" s="52" cm="1">
        <f t="array" ref="K2">IF($N2,INDEX($O:$O,MATCH(TRUE,EXACT(J2,$A:$A),0)),"")</f>
        <v>0</v>
      </c>
      <c r="L2" s="7"/>
      <c r="M2" s="43"/>
      <c r="N2" s="18" t="b">
        <f>AND(B2&lt;&gt;"", D2&lt;&gt;"", F2&lt;&gt;"", J2&lt;&gt;"", H2&lt;&gt;"")</f>
        <v>1</v>
      </c>
      <c r="O2" s="19">
        <v>0</v>
      </c>
      <c r="P2" s="23" t="str">
        <f t="shared" ref="P2:P65" si="1">A2</f>
        <v xml:space="preserve"> </v>
      </c>
      <c r="Q2" s="8" t="str" cm="1">
        <f t="array" ref="Q2">CharToUTF8(A2)</f>
        <v>\x20</v>
      </c>
      <c r="S2" s="18" t="str">
        <f>$AO$2</f>
        <v>EMPTY</v>
      </c>
      <c r="T2" s="24" t="str">
        <f>$AO$2</f>
        <v>EMPTY</v>
      </c>
      <c r="U2" s="24" t="str">
        <f>$AO$2</f>
        <v>EMPTY</v>
      </c>
      <c r="V2" s="21" t="str">
        <f>$AO$2</f>
        <v>EMPTY</v>
      </c>
      <c r="X2" s="31" t="b">
        <f>IF($N2,C2=E2,"")</f>
        <v>1</v>
      </c>
      <c r="Y2" s="31" t="b">
        <f>IF($N2,C2=G2,"")</f>
        <v>1</v>
      </c>
      <c r="Z2" t="b">
        <f>IF($N2,C2=I2,"")</f>
        <v>1</v>
      </c>
      <c r="AA2" t="b">
        <f>IF($N2,C2=K2,"")</f>
        <v>1</v>
      </c>
      <c r="AB2" t="b">
        <f>IF($N2,S2=VLOOKUP(V2,$AO$2:$AT$10,3,FALSE),"")</f>
        <v>1</v>
      </c>
      <c r="AC2" t="b">
        <f>IF($N2,T2=VLOOKUP(U2,$AO$2:$AT$10,3,FALSE),"")</f>
        <v>1</v>
      </c>
      <c r="AD2" t="b">
        <f>IF($N2,U2=VLOOKUP(S2,$AO$2:$AT$10,3,FALSE),"")</f>
        <v>1</v>
      </c>
      <c r="AE2" t="b">
        <f>IF($N2,V2=VLOOKUP(T2,$AO$2:$AT$10,3,FALSE),"")</f>
        <v>1</v>
      </c>
      <c r="AF2" t="b">
        <f>IF($N2,S2=VLOOKUP(S2,$AO$2:$AT$10,4,FALSE),"")</f>
        <v>1</v>
      </c>
      <c r="AG2" t="b">
        <f t="shared" ref="AG2:AI2" si="2">IF($N2,T2=VLOOKUP(T2,$AO$2:$AT$10,4,FALSE),"")</f>
        <v>1</v>
      </c>
      <c r="AH2" t="b">
        <f t="shared" si="2"/>
        <v>1</v>
      </c>
      <c r="AI2" t="b">
        <f t="shared" si="2"/>
        <v>1</v>
      </c>
      <c r="AJ2" t="b">
        <f>IF($N2,S2=VLOOKUP(S2,$AO$2:$AT$10,5,FALSE),"")</f>
        <v>1</v>
      </c>
      <c r="AK2" t="b">
        <f>IF($N2,T2=VLOOKUP(T2,$AO$2:$AT$10,5,FALSE),"")</f>
        <v>1</v>
      </c>
      <c r="AL2" t="b">
        <f>IF($N2,U2=VLOOKUP(U2,$AO$2:$AT$10,6,FALSE),"")</f>
        <v>1</v>
      </c>
      <c r="AM2" t="b">
        <f>IF($N2,V2=VLOOKUP(V2,$AO$2:$AT$10,6,FALSE),"")</f>
        <v>1</v>
      </c>
      <c r="AO2" s="25" t="s">
        <v>219</v>
      </c>
      <c r="AP2" s="26" t="s">
        <v>173</v>
      </c>
      <c r="AQ2" s="56" t="s">
        <v>219</v>
      </c>
      <c r="AR2" s="56" t="s">
        <v>219</v>
      </c>
      <c r="AS2" s="56" t="s">
        <v>219</v>
      </c>
      <c r="AT2" s="56" t="s">
        <v>219</v>
      </c>
      <c r="AV2" s="59" t="str">
        <f>IF($N2,"    { wxString::FromUTF8(""" &amp; $Q2 &amp; """), " &amp; _xlfn.TEXTJOIN(", ", TRUE, BE2:BH2) &amp; ", " &amp; $AO$1 &amp; _xlfn.TEXTJOIN(", " &amp; $AO$1, TRUE, $S2:$V2) &amp; ", " &amp; _xlfn.TEXTJOIN(", ", TRUE, BJ2:BM2) &amp; " },","")</f>
        <v xml:space="preserve">    { wxString::FromUTF8("\x20"), &amp;AllGlyphs[0], &amp;AllGlyphs[0], &amp;AllGlyphs[0], &amp;AllGlyphs[0], Connection::EMPTY, Connection::EMPTY, Connection::EMPTY, Connection::EMPTY, 1, 1, 1, 1 },</v>
      </c>
      <c r="AW2" s="60"/>
      <c r="AX2" s="60"/>
      <c r="AY2" s="60"/>
      <c r="AZ2" s="60"/>
      <c r="BA2" s="60"/>
      <c r="BB2" s="60"/>
      <c r="BC2" s="61"/>
      <c r="BE2" s="54" t="str">
        <f>IF($N2,"&amp;AllGlyphs[" &amp; E2 &amp; "]","")</f>
        <v>&amp;AllGlyphs[0]</v>
      </c>
      <c r="BF2" s="54" t="str">
        <f>IF($N2,"&amp;AllGlyphs[" &amp; G2 &amp; "]","")</f>
        <v>&amp;AllGlyphs[0]</v>
      </c>
      <c r="BG2" s="54" t="str">
        <f>IF($N2,"&amp;AllGlyphs[" &amp; I2 &amp; "]","")</f>
        <v>&amp;AllGlyphs[0]</v>
      </c>
      <c r="BH2" s="54" t="str">
        <f>IF($N2,"&amp;AllGlyphs[" &amp; K2 &amp; "]","")</f>
        <v>&amp;AllGlyphs[0]</v>
      </c>
      <c r="BJ2" s="58">
        <f>IF($N2,IF(X2,1,0),"")</f>
        <v>1</v>
      </c>
      <c r="BK2" s="58">
        <f>IF($N2,IF(Y2,1,0),"")</f>
        <v>1</v>
      </c>
      <c r="BL2" s="58">
        <f>IF($N2,IF(Z2,1,0),"")</f>
        <v>1</v>
      </c>
      <c r="BM2" s="58">
        <f>IF($N2,IF(AA2,1,0),"")</f>
        <v>1</v>
      </c>
    </row>
    <row r="3" spans="1:65" ht="33" x14ac:dyDescent="0.5">
      <c r="A3" s="7" t="s">
        <v>52</v>
      </c>
      <c r="B3" s="6" t="str">
        <f t="shared" si="0"/>
        <v>!</v>
      </c>
      <c r="C3" s="48" cm="1">
        <f t="array" ref="C3">IF($N3,INDEX($O:$O,MATCH(TRUE,EXACT(B3,$A:$A),0)),"")</f>
        <v>1</v>
      </c>
      <c r="D3" s="38" t="s">
        <v>62</v>
      </c>
      <c r="E3" s="48" cm="1">
        <f t="array" ref="E3">IF($N3,INDEX($O:$O,MATCH(TRUE,EXACT(D3,$A:$A),0)),"")</f>
        <v>94</v>
      </c>
      <c r="F3" s="38" t="s">
        <v>52</v>
      </c>
      <c r="G3" s="48" cm="1">
        <f t="array" ref="G3">IF($O3&lt;&gt;"",INDEX($O:$O,MATCH(TRUE,EXACT(F3,$A:$A),0)),"")</f>
        <v>1</v>
      </c>
      <c r="H3" s="38" t="s">
        <v>52</v>
      </c>
      <c r="I3" s="48" cm="1">
        <f t="array" ref="I3">IF($N3,INDEX($O:$O,MATCH(TRUE,EXACT(H3,$A:$A),0)),"")</f>
        <v>1</v>
      </c>
      <c r="J3" s="38" t="s">
        <v>52</v>
      </c>
      <c r="K3" s="52" cm="1">
        <f t="array" ref="K3">IF($N3,INDEX($O:$O,MATCH(TRUE,EXACT(J3,$A:$A),0)),"")</f>
        <v>1</v>
      </c>
      <c r="L3" s="23"/>
      <c r="M3" s="57"/>
      <c r="N3" s="18" t="b">
        <f t="shared" ref="N3:N66" si="3">AND(B3&lt;&gt;"", D3&lt;&gt;"", F3&lt;&gt;"", J3&lt;&gt;"", H3&lt;&gt;"")</f>
        <v>1</v>
      </c>
      <c r="O3" s="19">
        <f>IF(N3, MAX(O$2:O2)+1,"")</f>
        <v>1</v>
      </c>
      <c r="P3" s="23" t="str">
        <f t="shared" si="1"/>
        <v>!</v>
      </c>
      <c r="Q3" s="8" t="str" cm="1">
        <f t="array" ref="Q3">CharToUTF8(A3)</f>
        <v>\x21</v>
      </c>
      <c r="S3" s="18" t="str">
        <f>$AO$2</f>
        <v>EMPTY</v>
      </c>
      <c r="T3" s="24" t="str">
        <f>$AO$2</f>
        <v>EMPTY</v>
      </c>
      <c r="U3" s="24" t="str">
        <f t="shared" ref="U3:V5" si="4">$AO$4</f>
        <v>ORTHO_BOTH</v>
      </c>
      <c r="V3" s="21" t="str">
        <f t="shared" si="4"/>
        <v>ORTHO_BOTH</v>
      </c>
      <c r="X3" s="31" t="b">
        <f t="shared" ref="X3:X66" si="5">IF($N3,C3=E3,"")</f>
        <v>0</v>
      </c>
      <c r="Y3" s="31" t="b">
        <f t="shared" ref="Y3:Y66" si="6">IF($N3,C3=G3,"")</f>
        <v>1</v>
      </c>
      <c r="Z3" t="b">
        <f t="shared" ref="Z3:Z66" si="7">IF($N3,C3=I3,"")</f>
        <v>1</v>
      </c>
      <c r="AA3" t="b">
        <f t="shared" ref="AA3:AA66" si="8">IF($N3,C3=K3,"")</f>
        <v>1</v>
      </c>
      <c r="AB3" t="b">
        <f t="shared" ref="AB3:AB66" si="9">IF($N3,S3=VLOOKUP(V3,$AO$2:$AT$10,3,FALSE),"")</f>
        <v>0</v>
      </c>
      <c r="AC3" t="b">
        <f t="shared" ref="AC3:AC66" si="10">IF($N3,T3=VLOOKUP(U3,$AO$2:$AT$10,3,FALSE),"")</f>
        <v>0</v>
      </c>
      <c r="AD3" t="b">
        <f t="shared" ref="AD3:AD66" si="11">IF($N3,U3=VLOOKUP(S3,$AO$2:$AT$10,3,FALSE),"")</f>
        <v>0</v>
      </c>
      <c r="AE3" t="b">
        <f t="shared" ref="AE3:AE66" si="12">IF($N3,V3=VLOOKUP(T3,$AO$2:$AT$10,3,FALSE),"")</f>
        <v>0</v>
      </c>
      <c r="AF3" t="b">
        <f t="shared" ref="AF3:AF66" si="13">IF($N3,S3=VLOOKUP(S3,$AO$2:$AT$10,4,FALSE),"")</f>
        <v>1</v>
      </c>
      <c r="AG3" t="b">
        <f t="shared" ref="AG3:AG66" si="14">IF($N3,T3=VLOOKUP(T3,$AO$2:$AT$10,4,FALSE),"")</f>
        <v>1</v>
      </c>
      <c r="AH3" t="b">
        <f t="shared" ref="AH3:AH66" si="15">IF($N3,U3=VLOOKUP(U3,$AO$2:$AT$10,4,FALSE),"")</f>
        <v>1</v>
      </c>
      <c r="AI3" t="b">
        <f t="shared" ref="AI3:AI66" si="16">IF($N3,V3=VLOOKUP(V3,$AO$2:$AT$10,4,FALSE),"")</f>
        <v>1</v>
      </c>
      <c r="AJ3" t="b">
        <f t="shared" ref="AJ3:AJ66" si="17">IF($N3,S3=VLOOKUP(S3,$AO$2:$AT$10,5,FALSE),"")</f>
        <v>1</v>
      </c>
      <c r="AK3" t="b">
        <f t="shared" ref="AK3:AK66" si="18">IF($N3,T3=VLOOKUP(T3,$AO$2:$AT$10,5,FALSE),"")</f>
        <v>1</v>
      </c>
      <c r="AL3" t="b">
        <f t="shared" ref="AL3:AL66" si="19">IF($N3,U3=VLOOKUP(U3,$AO$2:$AT$10,6,FALSE),"")</f>
        <v>1</v>
      </c>
      <c r="AM3" t="b">
        <f t="shared" ref="AM3:AM66" si="20">IF($N3,V3=VLOOKUP(V3,$AO$2:$AT$10,6,FALSE),"")</f>
        <v>1</v>
      </c>
      <c r="AO3" s="18" t="s">
        <v>205</v>
      </c>
      <c r="AP3" s="21" t="s">
        <v>174</v>
      </c>
      <c r="AQ3" s="56" t="s">
        <v>205</v>
      </c>
      <c r="AR3" s="56" t="s">
        <v>205</v>
      </c>
      <c r="AS3" s="56" t="s">
        <v>205</v>
      </c>
      <c r="AT3" s="56" t="s">
        <v>205</v>
      </c>
      <c r="AV3" s="59" t="str">
        <f t="shared" ref="AV3:AV17" si="21">IF($N3,"    { wxString::FromUTF8(""" &amp; $Q3 &amp; """), " &amp; _xlfn.TEXTJOIN(", ", TRUE, BE3:BH3) &amp; ", " &amp; $AO$1 &amp; _xlfn.TEXTJOIN(", " &amp; $AO$1, TRUE, $S3:$V3) &amp; ", " &amp; _xlfn.TEXTJOIN(", ", TRUE, BJ3:BM3) &amp; " },","")</f>
        <v xml:space="preserve">    { wxString::FromUTF8("\x21"), &amp;AllGlyphs[94], &amp;AllGlyphs[1], &amp;AllGlyphs[1], &amp;AllGlyphs[1], Connection::EMPTY, Connection::EMPTY, Connection::ORTHO_BOTH, Connection::ORTHO_BOTH, 0, 1, 1, 1 },</v>
      </c>
      <c r="AW3" s="60"/>
      <c r="AX3" s="60"/>
      <c r="AY3" s="60"/>
      <c r="AZ3" s="60"/>
      <c r="BA3" s="60"/>
      <c r="BB3" s="60"/>
      <c r="BC3" s="61"/>
      <c r="BE3" s="54" t="str">
        <f t="shared" ref="BE3:BE66" si="22">IF($N3,"&amp;AllGlyphs[" &amp; E3 &amp; "]","")</f>
        <v>&amp;AllGlyphs[94]</v>
      </c>
      <c r="BF3" s="54" t="str">
        <f t="shared" ref="BF3:BF66" si="23">IF($N3,"&amp;AllGlyphs[" &amp; G3 &amp; "]","")</f>
        <v>&amp;AllGlyphs[1]</v>
      </c>
      <c r="BG3" s="54" t="str">
        <f t="shared" ref="BG3:BG66" si="24">IF($N3,"&amp;AllGlyphs[" &amp; I3 &amp; "]","")</f>
        <v>&amp;AllGlyphs[1]</v>
      </c>
      <c r="BH3" s="54" t="str">
        <f t="shared" ref="BH3:BH66" si="25">IF($N3,"&amp;AllGlyphs[" &amp; K3 &amp; "]","")</f>
        <v>&amp;AllGlyphs[1]</v>
      </c>
      <c r="BJ3" s="58">
        <f t="shared" ref="BJ3:BJ66" si="26">IF($N3,IF(X3,1,0),"")</f>
        <v>0</v>
      </c>
      <c r="BK3" s="58">
        <f t="shared" ref="BK3:BK66" si="27">IF($N3,IF(Y3,1,0),"")</f>
        <v>1</v>
      </c>
      <c r="BL3" s="58">
        <f t="shared" ref="BL3:BL66" si="28">IF($N3,IF(Z3,1,0),"")</f>
        <v>1</v>
      </c>
      <c r="BM3" s="58">
        <f t="shared" ref="BM3:BM66" si="29">IF($N3,IF(AA3,1,0),"")</f>
        <v>1</v>
      </c>
    </row>
    <row r="4" spans="1:65" x14ac:dyDescent="0.4">
      <c r="A4" s="7" t="s">
        <v>63</v>
      </c>
      <c r="B4" s="6" t="str">
        <f t="shared" si="0"/>
        <v>"</v>
      </c>
      <c r="C4" s="48" cm="1">
        <f t="array" ref="C4">IF($N4,INDEX($O:$O,MATCH(TRUE,EXACT(B4,$A:$A),0)),"")</f>
        <v>2</v>
      </c>
      <c r="D4" s="38" t="s">
        <v>63</v>
      </c>
      <c r="E4" s="48" cm="1">
        <f t="array" ref="E4">IF($N4,INDEX($O:$O,MATCH(TRUE,EXACT(D4,$A:$A),0)),"")</f>
        <v>2</v>
      </c>
      <c r="F4" s="38" t="s">
        <v>63</v>
      </c>
      <c r="G4" s="48" cm="1">
        <f t="array" ref="G4">IF($O4&lt;&gt;"",INDEX($O:$O,MATCH(TRUE,EXACT(F4,$A:$A),0)),"")</f>
        <v>2</v>
      </c>
      <c r="H4" s="38" t="s">
        <v>63</v>
      </c>
      <c r="I4" s="48" cm="1">
        <f t="array" ref="I4">IF($N4,INDEX($O:$O,MATCH(TRUE,EXACT(H4,$A:$A),0)),"")</f>
        <v>2</v>
      </c>
      <c r="J4" s="38" t="s">
        <v>63</v>
      </c>
      <c r="K4" s="52" cm="1">
        <f t="array" ref="K4">IF($N4,INDEX($O:$O,MATCH(TRUE,EXACT(J4,$A:$A),0)),"")</f>
        <v>2</v>
      </c>
      <c r="L4" s="23"/>
      <c r="M4" s="33"/>
      <c r="N4" s="18" t="b">
        <f t="shared" si="3"/>
        <v>1</v>
      </c>
      <c r="O4" s="19">
        <f>IF(N4, MAX(O$2:O3)+1,"")</f>
        <v>2</v>
      </c>
      <c r="P4" s="23" t="str">
        <f t="shared" si="1"/>
        <v>"</v>
      </c>
      <c r="Q4" s="8" t="str" cm="1">
        <f t="array" ref="Q4">CharToUTF8(A4)</f>
        <v>\x22</v>
      </c>
      <c r="S4" s="18" t="str">
        <f>$AO$4</f>
        <v>ORTHO_BOTH</v>
      </c>
      <c r="T4" s="24" t="str">
        <f>$AO$4</f>
        <v>ORTHO_BOTH</v>
      </c>
      <c r="U4" s="24" t="str">
        <f t="shared" si="4"/>
        <v>ORTHO_BOTH</v>
      </c>
      <c r="V4" s="21" t="str">
        <f t="shared" si="4"/>
        <v>ORTHO_BOTH</v>
      </c>
      <c r="X4" s="31" t="b">
        <f t="shared" si="5"/>
        <v>1</v>
      </c>
      <c r="Y4" s="31" t="b">
        <f t="shared" si="6"/>
        <v>1</v>
      </c>
      <c r="Z4" t="b">
        <f t="shared" si="7"/>
        <v>1</v>
      </c>
      <c r="AA4" t="b">
        <f t="shared" si="8"/>
        <v>1</v>
      </c>
      <c r="AB4" t="b">
        <f t="shared" si="9"/>
        <v>1</v>
      </c>
      <c r="AC4" t="b">
        <f t="shared" si="10"/>
        <v>1</v>
      </c>
      <c r="AD4" t="b">
        <f t="shared" si="11"/>
        <v>1</v>
      </c>
      <c r="AE4" t="b">
        <f t="shared" si="12"/>
        <v>1</v>
      </c>
      <c r="AF4" t="b">
        <f t="shared" si="13"/>
        <v>1</v>
      </c>
      <c r="AG4" t="b">
        <f t="shared" si="14"/>
        <v>1</v>
      </c>
      <c r="AH4" t="b">
        <f t="shared" si="15"/>
        <v>1</v>
      </c>
      <c r="AI4" t="b">
        <f t="shared" si="16"/>
        <v>1</v>
      </c>
      <c r="AJ4" t="b">
        <f t="shared" si="17"/>
        <v>1</v>
      </c>
      <c r="AK4" t="b">
        <f t="shared" si="18"/>
        <v>1</v>
      </c>
      <c r="AL4" t="b">
        <f t="shared" si="19"/>
        <v>1</v>
      </c>
      <c r="AM4" t="b">
        <f t="shared" si="20"/>
        <v>1</v>
      </c>
      <c r="AO4" s="18" t="s">
        <v>206</v>
      </c>
      <c r="AP4" s="21" t="s">
        <v>175</v>
      </c>
      <c r="AQ4" s="56" t="s">
        <v>206</v>
      </c>
      <c r="AR4" s="56" t="s">
        <v>206</v>
      </c>
      <c r="AS4" s="56" t="s">
        <v>206</v>
      </c>
      <c r="AT4" s="56" t="s">
        <v>206</v>
      </c>
      <c r="AV4" s="59" t="str">
        <f t="shared" si="21"/>
        <v xml:space="preserve">    { wxString::FromUTF8("\x22"), &amp;AllGlyphs[2], &amp;AllGlyphs[2], &amp;AllGlyphs[2], &amp;AllGlyphs[2], Connection::ORTHO_BOTH, Connection::ORTHO_BOTH, Connection::ORTHO_BOTH, Connection::ORTHO_BOTH, 1, 1, 1, 1 },</v>
      </c>
      <c r="AW4" s="60"/>
      <c r="AX4" s="60"/>
      <c r="AY4" s="60"/>
      <c r="AZ4" s="60"/>
      <c r="BA4" s="60"/>
      <c r="BB4" s="60"/>
      <c r="BC4" s="61"/>
      <c r="BE4" s="54" t="str">
        <f t="shared" si="22"/>
        <v>&amp;AllGlyphs[2]</v>
      </c>
      <c r="BF4" s="54" t="str">
        <f t="shared" si="23"/>
        <v>&amp;AllGlyphs[2]</v>
      </c>
      <c r="BG4" s="54" t="str">
        <f t="shared" si="24"/>
        <v>&amp;AllGlyphs[2]</v>
      </c>
      <c r="BH4" s="54" t="str">
        <f t="shared" si="25"/>
        <v>&amp;AllGlyphs[2]</v>
      </c>
      <c r="BJ4" s="58">
        <f t="shared" si="26"/>
        <v>1</v>
      </c>
      <c r="BK4" s="58">
        <f t="shared" si="27"/>
        <v>1</v>
      </c>
      <c r="BL4" s="58">
        <f t="shared" si="28"/>
        <v>1</v>
      </c>
      <c r="BM4" s="58">
        <f t="shared" si="29"/>
        <v>1</v>
      </c>
    </row>
    <row r="5" spans="1:65" ht="33" customHeight="1" x14ac:dyDescent="0.4">
      <c r="A5" s="7" t="s">
        <v>54</v>
      </c>
      <c r="B5" s="6" t="str">
        <f t="shared" si="0"/>
        <v>#</v>
      </c>
      <c r="C5" s="48" cm="1">
        <f t="array" ref="C5">IF($N5,INDEX($O:$O,MATCH(TRUE,EXACT(B5,$A:$A),0)),"")</f>
        <v>3</v>
      </c>
      <c r="D5" s="38" t="s">
        <v>53</v>
      </c>
      <c r="E5" s="48" cm="1">
        <f t="array" ref="E5">IF($N5,INDEX($O:$O,MATCH(TRUE,EXACT(D5,$A:$A),0)),"")</f>
        <v>32</v>
      </c>
      <c r="F5" s="38" t="s">
        <v>54</v>
      </c>
      <c r="G5" s="48" cm="1">
        <f t="array" ref="G5">IF($O5&lt;&gt;"",INDEX($O:$O,MATCH(TRUE,EXACT(F5,$A:$A),0)),"")</f>
        <v>3</v>
      </c>
      <c r="H5" s="38" t="s">
        <v>54</v>
      </c>
      <c r="I5" s="48" cm="1">
        <f t="array" ref="I5">IF($N5,INDEX($O:$O,MATCH(TRUE,EXACT(H5,$A:$A),0)),"")</f>
        <v>3</v>
      </c>
      <c r="J5" s="38" t="s">
        <v>54</v>
      </c>
      <c r="K5" s="52" cm="1">
        <f t="array" ref="K5">IF($N5,INDEX($O:$O,MATCH(TRUE,EXACT(J5,$A:$A),0)),"")</f>
        <v>3</v>
      </c>
      <c r="L5" s="23"/>
      <c r="M5" s="33"/>
      <c r="N5" s="18" t="b">
        <f t="shared" si="3"/>
        <v>1</v>
      </c>
      <c r="O5" s="19">
        <f>IF(N5, MAX(O$2:O4)+1,"")</f>
        <v>3</v>
      </c>
      <c r="P5" s="23" t="str">
        <f t="shared" si="1"/>
        <v>#</v>
      </c>
      <c r="Q5" s="8" t="str" cm="1">
        <f t="array" ref="Q5">CharToUTF8(A5)</f>
        <v>\x23</v>
      </c>
      <c r="S5" s="18" t="str">
        <f>$AO$2</f>
        <v>EMPTY</v>
      </c>
      <c r="T5" s="24" t="str">
        <f>$AO$2</f>
        <v>EMPTY</v>
      </c>
      <c r="U5" s="24" t="str">
        <f t="shared" si="4"/>
        <v>ORTHO_BOTH</v>
      </c>
      <c r="V5" s="21" t="str">
        <f t="shared" si="4"/>
        <v>ORTHO_BOTH</v>
      </c>
      <c r="X5" s="31" t="b">
        <f t="shared" si="5"/>
        <v>0</v>
      </c>
      <c r="Y5" s="31" t="b">
        <f t="shared" si="6"/>
        <v>1</v>
      </c>
      <c r="Z5" t="b">
        <f t="shared" si="7"/>
        <v>1</v>
      </c>
      <c r="AA5" t="b">
        <f t="shared" si="8"/>
        <v>1</v>
      </c>
      <c r="AB5" t="b">
        <f t="shared" si="9"/>
        <v>0</v>
      </c>
      <c r="AC5" t="b">
        <f t="shared" si="10"/>
        <v>0</v>
      </c>
      <c r="AD5" t="b">
        <f t="shared" si="11"/>
        <v>0</v>
      </c>
      <c r="AE5" t="b">
        <f t="shared" si="12"/>
        <v>0</v>
      </c>
      <c r="AF5" t="b">
        <f t="shared" si="13"/>
        <v>1</v>
      </c>
      <c r="AG5" t="b">
        <f t="shared" si="14"/>
        <v>1</v>
      </c>
      <c r="AH5" t="b">
        <f t="shared" si="15"/>
        <v>1</v>
      </c>
      <c r="AI5" t="b">
        <f t="shared" si="16"/>
        <v>1</v>
      </c>
      <c r="AJ5" t="b">
        <f t="shared" si="17"/>
        <v>1</v>
      </c>
      <c r="AK5" t="b">
        <f t="shared" si="18"/>
        <v>1</v>
      </c>
      <c r="AL5" t="b">
        <f t="shared" si="19"/>
        <v>1</v>
      </c>
      <c r="AM5" t="b">
        <f t="shared" si="20"/>
        <v>1</v>
      </c>
      <c r="AO5" s="18" t="s">
        <v>207</v>
      </c>
      <c r="AP5" s="21" t="s">
        <v>176</v>
      </c>
      <c r="AQ5" s="56" t="s">
        <v>207</v>
      </c>
      <c r="AR5" s="56" t="s">
        <v>207</v>
      </c>
      <c r="AS5" s="56" t="s">
        <v>208</v>
      </c>
      <c r="AT5" s="56" t="s">
        <v>208</v>
      </c>
      <c r="AV5" s="59" t="str">
        <f t="shared" si="21"/>
        <v xml:space="preserve">    { wxString::FromUTF8("\x23"), &amp;AllGlyphs[32], &amp;AllGlyphs[3], &amp;AllGlyphs[3], &amp;AllGlyphs[3], Connection::EMPTY, Connection::EMPTY, Connection::ORTHO_BOTH, Connection::ORTHO_BOTH, 0, 1, 1, 1 },</v>
      </c>
      <c r="AW5" s="60"/>
      <c r="AX5" s="60"/>
      <c r="AY5" s="60"/>
      <c r="AZ5" s="60"/>
      <c r="BA5" s="60"/>
      <c r="BB5" s="60"/>
      <c r="BC5" s="61"/>
      <c r="BE5" s="54" t="str">
        <f t="shared" si="22"/>
        <v>&amp;AllGlyphs[32]</v>
      </c>
      <c r="BF5" s="54" t="str">
        <f t="shared" si="23"/>
        <v>&amp;AllGlyphs[3]</v>
      </c>
      <c r="BG5" s="54" t="str">
        <f t="shared" si="24"/>
        <v>&amp;AllGlyphs[3]</v>
      </c>
      <c r="BH5" s="54" t="str">
        <f t="shared" si="25"/>
        <v>&amp;AllGlyphs[3]</v>
      </c>
      <c r="BJ5" s="58">
        <f t="shared" si="26"/>
        <v>0</v>
      </c>
      <c r="BK5" s="58">
        <f t="shared" si="27"/>
        <v>1</v>
      </c>
      <c r="BL5" s="58">
        <f t="shared" si="28"/>
        <v>1</v>
      </c>
      <c r="BM5" s="58">
        <f t="shared" si="29"/>
        <v>1</v>
      </c>
    </row>
    <row r="6" spans="1:65" x14ac:dyDescent="0.4">
      <c r="A6" s="7" t="s">
        <v>55</v>
      </c>
      <c r="B6" s="6" t="str">
        <f t="shared" si="0"/>
        <v>$</v>
      </c>
      <c r="C6" s="48" cm="1">
        <f t="array" ref="C6">IF($N6,INDEX($O:$O,MATCH(TRUE,EXACT(B6,$A:$A),0)),"")</f>
        <v>4</v>
      </c>
      <c r="D6" s="38" t="s">
        <v>48</v>
      </c>
      <c r="E6" s="48" cm="1">
        <f t="array" ref="E6">IF($N6,INDEX($O:$O,MATCH(TRUE,EXACT(D6,$A:$A),0)),"")</f>
        <v>54</v>
      </c>
      <c r="F6" s="38" t="s">
        <v>29</v>
      </c>
      <c r="G6" s="48" cm="1">
        <f t="array" ref="G6">IF($O6&lt;&gt;"",INDEX($O:$O,MATCH(TRUE,EXACT(F6,$A:$A),0)),"")</f>
        <v>50</v>
      </c>
      <c r="H6" s="38" t="s">
        <v>29</v>
      </c>
      <c r="I6" s="48" cm="1">
        <f t="array" ref="I6">IF($N6,INDEX($O:$O,MATCH(TRUE,EXACT(H6,$A:$A),0)),"")</f>
        <v>50</v>
      </c>
      <c r="J6" s="38" t="s">
        <v>55</v>
      </c>
      <c r="K6" s="52" cm="1">
        <f t="array" ref="K6">IF($N6,INDEX($O:$O,MATCH(TRUE,EXACT(J6,$A:$A),0)),"")</f>
        <v>4</v>
      </c>
      <c r="L6" s="23"/>
      <c r="M6" s="33"/>
      <c r="N6" s="18" t="b">
        <f t="shared" si="3"/>
        <v>1</v>
      </c>
      <c r="O6" s="19">
        <f>IF(N6, MAX(O$2:O5)+1,"")</f>
        <v>4</v>
      </c>
      <c r="P6" s="23" t="str">
        <f t="shared" si="1"/>
        <v>$</v>
      </c>
      <c r="Q6" s="8" t="str" cm="1">
        <f t="array" ref="Q6">CharToUTF8(A6)</f>
        <v>\x24</v>
      </c>
      <c r="S6" s="18" t="str">
        <f>$AO$2</f>
        <v>EMPTY</v>
      </c>
      <c r="T6" s="24" t="str">
        <f>$AO$4</f>
        <v>ORTHO_BOTH</v>
      </c>
      <c r="U6" s="24" t="str">
        <f>$AO$2</f>
        <v>EMPTY</v>
      </c>
      <c r="V6" s="21" t="str">
        <f>$AO$2</f>
        <v>EMPTY</v>
      </c>
      <c r="X6" s="31" t="b">
        <f t="shared" si="5"/>
        <v>0</v>
      </c>
      <c r="Y6" s="31" t="b">
        <f t="shared" si="6"/>
        <v>0</v>
      </c>
      <c r="Z6" t="b">
        <f t="shared" si="7"/>
        <v>0</v>
      </c>
      <c r="AA6" t="b">
        <f t="shared" si="8"/>
        <v>1</v>
      </c>
      <c r="AB6" t="b">
        <f t="shared" si="9"/>
        <v>1</v>
      </c>
      <c r="AC6" t="b">
        <f t="shared" si="10"/>
        <v>0</v>
      </c>
      <c r="AD6" t="b">
        <f t="shared" si="11"/>
        <v>1</v>
      </c>
      <c r="AE6" t="b">
        <f t="shared" si="12"/>
        <v>0</v>
      </c>
      <c r="AF6" t="b">
        <f t="shared" si="13"/>
        <v>1</v>
      </c>
      <c r="AG6" t="b">
        <f t="shared" si="14"/>
        <v>1</v>
      </c>
      <c r="AH6" t="b">
        <f t="shared" si="15"/>
        <v>1</v>
      </c>
      <c r="AI6" t="b">
        <f t="shared" si="16"/>
        <v>1</v>
      </c>
      <c r="AJ6" t="b">
        <f t="shared" si="17"/>
        <v>1</v>
      </c>
      <c r="AK6" t="b">
        <f t="shared" si="18"/>
        <v>1</v>
      </c>
      <c r="AL6" t="b">
        <f t="shared" si="19"/>
        <v>1</v>
      </c>
      <c r="AM6" t="b">
        <f t="shared" si="20"/>
        <v>1</v>
      </c>
      <c r="AO6" s="18" t="s">
        <v>208</v>
      </c>
      <c r="AP6" s="21" t="s">
        <v>177</v>
      </c>
      <c r="AQ6" s="56" t="s">
        <v>208</v>
      </c>
      <c r="AR6" s="56" t="s">
        <v>208</v>
      </c>
      <c r="AS6" s="56" t="s">
        <v>207</v>
      </c>
      <c r="AT6" s="56" t="s">
        <v>207</v>
      </c>
      <c r="AV6" s="59" t="str">
        <f t="shared" si="21"/>
        <v xml:space="preserve">    { wxString::FromUTF8("\x24"), &amp;AllGlyphs[54], &amp;AllGlyphs[50], &amp;AllGlyphs[50], &amp;AllGlyphs[4], Connection::EMPTY, Connection::ORTHO_BOTH, Connection::EMPTY, Connection::EMPTY, 0, 0, 0, 1 },</v>
      </c>
      <c r="AW6" s="60"/>
      <c r="AX6" s="60"/>
      <c r="AY6" s="60"/>
      <c r="AZ6" s="60"/>
      <c r="BA6" s="60"/>
      <c r="BB6" s="60"/>
      <c r="BC6" s="61"/>
      <c r="BE6" s="54" t="str">
        <f t="shared" si="22"/>
        <v>&amp;AllGlyphs[54]</v>
      </c>
      <c r="BF6" s="54" t="str">
        <f t="shared" si="23"/>
        <v>&amp;AllGlyphs[50]</v>
      </c>
      <c r="BG6" s="54" t="str">
        <f t="shared" si="24"/>
        <v>&amp;AllGlyphs[50]</v>
      </c>
      <c r="BH6" s="54" t="str">
        <f t="shared" si="25"/>
        <v>&amp;AllGlyphs[4]</v>
      </c>
      <c r="BJ6" s="58">
        <f t="shared" si="26"/>
        <v>0</v>
      </c>
      <c r="BK6" s="58">
        <f t="shared" si="27"/>
        <v>0</v>
      </c>
      <c r="BL6" s="58">
        <f t="shared" si="28"/>
        <v>0</v>
      </c>
      <c r="BM6" s="58">
        <f t="shared" si="29"/>
        <v>1</v>
      </c>
    </row>
    <row r="7" spans="1:65" x14ac:dyDescent="0.4">
      <c r="A7" s="7" t="s">
        <v>56</v>
      </c>
      <c r="B7" s="6" t="str">
        <f t="shared" si="0"/>
        <v>%</v>
      </c>
      <c r="C7" s="48" cm="1">
        <f t="array" ref="C7">IF($N7,INDEX($O:$O,MATCH(TRUE,EXACT(B7,$A:$A),0)),"")</f>
        <v>5</v>
      </c>
      <c r="D7" s="38" t="s">
        <v>41</v>
      </c>
      <c r="E7" s="48" cm="1">
        <f t="array" ref="E7">IF($N7,INDEX($O:$O,MATCH(TRUE,EXACT(D7,$A:$A),0)),"")</f>
        <v>40</v>
      </c>
      <c r="F7" s="38" t="s">
        <v>30</v>
      </c>
      <c r="G7" s="48" cm="1">
        <f t="array" ref="G7">IF($O7&lt;&gt;"",INDEX($O:$O,MATCH(TRUE,EXACT(F7,$A:$A),0)),"")</f>
        <v>52</v>
      </c>
      <c r="H7" s="38" t="s">
        <v>30</v>
      </c>
      <c r="I7" s="48" cm="1">
        <f t="array" ref="I7">IF($N7,INDEX($O:$O,MATCH(TRUE,EXACT(H7,$A:$A),0)),"")</f>
        <v>52</v>
      </c>
      <c r="J7" s="38" t="s">
        <v>56</v>
      </c>
      <c r="K7" s="52" cm="1">
        <f t="array" ref="K7">IF($N7,INDEX($O:$O,MATCH(TRUE,EXACT(J7,$A:$A),0)),"")</f>
        <v>5</v>
      </c>
      <c r="L7" s="23"/>
      <c r="M7" s="33"/>
      <c r="N7" s="18" t="b">
        <f t="shared" si="3"/>
        <v>1</v>
      </c>
      <c r="O7" s="19">
        <f>IF(N7, MAX(O$2:O6)+1,"")</f>
        <v>5</v>
      </c>
      <c r="P7" s="23" t="str">
        <f t="shared" si="1"/>
        <v>%</v>
      </c>
      <c r="Q7" s="8" t="str" cm="1">
        <f t="array" ref="Q7">CharToUTF8(A7)</f>
        <v>\x25</v>
      </c>
      <c r="S7" s="18" t="str">
        <f>$AO$2</f>
        <v>EMPTY</v>
      </c>
      <c r="T7" s="24" t="str">
        <f>$AO$3</f>
        <v>DIAG_BOTH</v>
      </c>
      <c r="U7" s="24" t="str">
        <f>$AO$4</f>
        <v>ORTHO_BOTH</v>
      </c>
      <c r="V7" s="21" t="str">
        <f>$AO$4</f>
        <v>ORTHO_BOTH</v>
      </c>
      <c r="X7" s="31" t="b">
        <f t="shared" si="5"/>
        <v>0</v>
      </c>
      <c r="Y7" s="31" t="b">
        <f t="shared" si="6"/>
        <v>0</v>
      </c>
      <c r="Z7" t="b">
        <f t="shared" si="7"/>
        <v>0</v>
      </c>
      <c r="AA7" t="b">
        <f t="shared" si="8"/>
        <v>1</v>
      </c>
      <c r="AB7" t="b">
        <f t="shared" si="9"/>
        <v>0</v>
      </c>
      <c r="AC7" t="b">
        <f t="shared" si="10"/>
        <v>0</v>
      </c>
      <c r="AD7" t="b">
        <f t="shared" si="11"/>
        <v>0</v>
      </c>
      <c r="AE7" t="b">
        <f t="shared" si="12"/>
        <v>0</v>
      </c>
      <c r="AF7" t="b">
        <f t="shared" si="13"/>
        <v>1</v>
      </c>
      <c r="AG7" t="b">
        <f t="shared" si="14"/>
        <v>1</v>
      </c>
      <c r="AH7" t="b">
        <f t="shared" si="15"/>
        <v>1</v>
      </c>
      <c r="AI7" t="b">
        <f t="shared" si="16"/>
        <v>1</v>
      </c>
      <c r="AJ7" t="b">
        <f t="shared" si="17"/>
        <v>1</v>
      </c>
      <c r="AK7" t="b">
        <f t="shared" si="18"/>
        <v>1</v>
      </c>
      <c r="AL7" t="b">
        <f t="shared" si="19"/>
        <v>1</v>
      </c>
      <c r="AM7" t="b">
        <f t="shared" si="20"/>
        <v>1</v>
      </c>
      <c r="AO7" s="18" t="s">
        <v>212</v>
      </c>
      <c r="AP7" s="21" t="s">
        <v>203</v>
      </c>
      <c r="AQ7" s="56" t="s">
        <v>210</v>
      </c>
      <c r="AR7" s="56" t="s">
        <v>213</v>
      </c>
      <c r="AS7" s="56" t="s">
        <v>213</v>
      </c>
      <c r="AT7" s="56" t="s">
        <v>212</v>
      </c>
      <c r="AV7" s="59" t="str">
        <f t="shared" si="21"/>
        <v xml:space="preserve">    { wxString::FromUTF8("\x25"), &amp;AllGlyphs[40], &amp;AllGlyphs[52], &amp;AllGlyphs[52], &amp;AllGlyphs[5], Connection::EMPTY, Connection::DIAG_BOTH, Connection::ORTHO_BOTH, Connection::ORTHO_BOTH, 0, 0, 0, 1 },</v>
      </c>
      <c r="AW7" s="60"/>
      <c r="AX7" s="60"/>
      <c r="AY7" s="60"/>
      <c r="AZ7" s="60"/>
      <c r="BA7" s="60"/>
      <c r="BB7" s="60"/>
      <c r="BC7" s="61"/>
      <c r="BE7" s="54" t="str">
        <f t="shared" si="22"/>
        <v>&amp;AllGlyphs[40]</v>
      </c>
      <c r="BF7" s="54" t="str">
        <f t="shared" si="23"/>
        <v>&amp;AllGlyphs[52]</v>
      </c>
      <c r="BG7" s="54" t="str">
        <f t="shared" si="24"/>
        <v>&amp;AllGlyphs[52]</v>
      </c>
      <c r="BH7" s="54" t="str">
        <f t="shared" si="25"/>
        <v>&amp;AllGlyphs[5]</v>
      </c>
      <c r="BJ7" s="58">
        <f t="shared" si="26"/>
        <v>0</v>
      </c>
      <c r="BK7" s="58">
        <f t="shared" si="27"/>
        <v>0</v>
      </c>
      <c r="BL7" s="58">
        <f t="shared" si="28"/>
        <v>0</v>
      </c>
      <c r="BM7" s="58">
        <f t="shared" si="29"/>
        <v>1</v>
      </c>
    </row>
    <row r="8" spans="1:65" x14ac:dyDescent="0.4">
      <c r="A8" s="7" t="s">
        <v>58</v>
      </c>
      <c r="B8" s="6" t="str">
        <f t="shared" si="0"/>
        <v>&amp;</v>
      </c>
      <c r="C8" s="48" cm="1">
        <f t="array" ref="C8">IF($N8,INDEX($O:$O,MATCH(TRUE,EXACT(B8,$A:$A),0)),"")</f>
        <v>6</v>
      </c>
      <c r="D8" s="38" t="s">
        <v>43</v>
      </c>
      <c r="E8" s="48" cm="1">
        <f t="array" ref="E8">IF($N8,INDEX($O:$O,MATCH(TRUE,EXACT(D8,$A:$A),0)),"")</f>
        <v>43</v>
      </c>
      <c r="F8" s="38" t="s">
        <v>33</v>
      </c>
      <c r="G8" s="48" cm="1">
        <f t="array" ref="G8">IF($O8&lt;&gt;"",INDEX($O:$O,MATCH(TRUE,EXACT(F8,$A:$A),0)),"")</f>
        <v>41</v>
      </c>
      <c r="H8" s="38" t="s">
        <v>32</v>
      </c>
      <c r="I8" s="48" cm="1">
        <f t="array" ref="I8">IF($N8,INDEX($O:$O,MATCH(TRUE,EXACT(H8,$A:$A),0)),"")</f>
        <v>53</v>
      </c>
      <c r="J8" s="38" t="s">
        <v>59</v>
      </c>
      <c r="K8" s="52" cm="1">
        <f t="array" ref="K8">IF($N8,INDEX($O:$O,MATCH(TRUE,EXACT(J8,$A:$A),0)),"")</f>
        <v>10</v>
      </c>
      <c r="L8" s="23"/>
      <c r="M8" s="33"/>
      <c r="N8" s="18" t="b">
        <f t="shared" si="3"/>
        <v>1</v>
      </c>
      <c r="O8" s="19">
        <f>IF(N8, MAX(O$2:O7)+1,"")</f>
        <v>6</v>
      </c>
      <c r="P8" s="23" t="str">
        <f t="shared" si="1"/>
        <v>&amp;</v>
      </c>
      <c r="Q8" s="8" t="str" cm="1">
        <f t="array" ref="Q8">CharToUTF8(A8)</f>
        <v>\x26</v>
      </c>
      <c r="S8" s="18" t="str">
        <f>$AO$3</f>
        <v>DIAG_BOTH</v>
      </c>
      <c r="T8" s="24" t="str">
        <f>$AO$4</f>
        <v>ORTHO_BOTH</v>
      </c>
      <c r="U8" s="24" t="str">
        <f>$AO$2</f>
        <v>EMPTY</v>
      </c>
      <c r="V8" s="21" t="str">
        <f>$AO$4</f>
        <v>ORTHO_BOTH</v>
      </c>
      <c r="X8" s="31" t="b">
        <f t="shared" si="5"/>
        <v>0</v>
      </c>
      <c r="Y8" s="31" t="b">
        <f t="shared" si="6"/>
        <v>0</v>
      </c>
      <c r="Z8" t="b">
        <f t="shared" si="7"/>
        <v>0</v>
      </c>
      <c r="AA8" t="b">
        <f t="shared" si="8"/>
        <v>0</v>
      </c>
      <c r="AB8" t="b">
        <f t="shared" si="9"/>
        <v>0</v>
      </c>
      <c r="AC8" t="b">
        <f t="shared" si="10"/>
        <v>0</v>
      </c>
      <c r="AD8" t="b">
        <f t="shared" si="11"/>
        <v>0</v>
      </c>
      <c r="AE8" t="b">
        <f t="shared" si="12"/>
        <v>1</v>
      </c>
      <c r="AF8" t="b">
        <f t="shared" si="13"/>
        <v>1</v>
      </c>
      <c r="AG8" t="b">
        <f t="shared" si="14"/>
        <v>1</v>
      </c>
      <c r="AH8" t="b">
        <f t="shared" si="15"/>
        <v>1</v>
      </c>
      <c r="AI8" t="b">
        <f t="shared" si="16"/>
        <v>1</v>
      </c>
      <c r="AJ8" t="b">
        <f t="shared" si="17"/>
        <v>1</v>
      </c>
      <c r="AK8" t="b">
        <f t="shared" si="18"/>
        <v>1</v>
      </c>
      <c r="AL8" t="b">
        <f t="shared" si="19"/>
        <v>1</v>
      </c>
      <c r="AM8" t="b">
        <f t="shared" si="20"/>
        <v>1</v>
      </c>
      <c r="AO8" s="18" t="s">
        <v>213</v>
      </c>
      <c r="AP8" s="21" t="s">
        <v>204</v>
      </c>
      <c r="AQ8" s="56" t="s">
        <v>209</v>
      </c>
      <c r="AR8" s="56" t="s">
        <v>212</v>
      </c>
      <c r="AS8" s="56" t="s">
        <v>212</v>
      </c>
      <c r="AT8" s="56" t="s">
        <v>213</v>
      </c>
      <c r="AV8" s="59" t="str">
        <f t="shared" si="21"/>
        <v xml:space="preserve">    { wxString::FromUTF8("\x26"), &amp;AllGlyphs[43], &amp;AllGlyphs[41], &amp;AllGlyphs[53], &amp;AllGlyphs[10], Connection::DIAG_BOTH, Connection::ORTHO_BOTH, Connection::EMPTY, Connection::ORTHO_BOTH, 0, 0, 0, 0 },</v>
      </c>
      <c r="AW8" s="60"/>
      <c r="AX8" s="60"/>
      <c r="AY8" s="60"/>
      <c r="AZ8" s="60"/>
      <c r="BA8" s="60"/>
      <c r="BB8" s="60"/>
      <c r="BC8" s="61"/>
      <c r="BE8" s="54" t="str">
        <f t="shared" si="22"/>
        <v>&amp;AllGlyphs[43]</v>
      </c>
      <c r="BF8" s="54" t="str">
        <f t="shared" si="23"/>
        <v>&amp;AllGlyphs[41]</v>
      </c>
      <c r="BG8" s="54" t="str">
        <f t="shared" si="24"/>
        <v>&amp;AllGlyphs[53]</v>
      </c>
      <c r="BH8" s="54" t="str">
        <f t="shared" si="25"/>
        <v>&amp;AllGlyphs[10]</v>
      </c>
      <c r="BJ8" s="58">
        <f t="shared" si="26"/>
        <v>0</v>
      </c>
      <c r="BK8" s="58">
        <f t="shared" si="27"/>
        <v>0</v>
      </c>
      <c r="BL8" s="58">
        <f t="shared" si="28"/>
        <v>0</v>
      </c>
      <c r="BM8" s="58">
        <f t="shared" si="29"/>
        <v>0</v>
      </c>
    </row>
    <row r="9" spans="1:65" x14ac:dyDescent="0.4">
      <c r="A9" s="7" t="s">
        <v>78</v>
      </c>
      <c r="B9" s="9" t="str">
        <f t="shared" si="0"/>
        <v>'</v>
      </c>
      <c r="C9" s="48" cm="1">
        <f t="array" ref="C9">IF($N9,INDEX($O:$O,MATCH(TRUE,EXACT(B9,$A:$A),0)),"")</f>
        <v>7</v>
      </c>
      <c r="D9" s="39" t="s">
        <v>78</v>
      </c>
      <c r="E9" s="48" cm="1">
        <f t="array" ref="E9">IF($N9,INDEX($O:$O,MATCH(TRUE,EXACT(D9,$A:$A),0)),"")</f>
        <v>7</v>
      </c>
      <c r="F9" s="39" t="s">
        <v>78</v>
      </c>
      <c r="G9" s="48" cm="1">
        <f t="array" ref="G9">IF($O9&lt;&gt;"",INDEX($O:$O,MATCH(TRUE,EXACT(F9,$A:$A),0)),"")</f>
        <v>7</v>
      </c>
      <c r="H9" s="39" t="s">
        <v>78</v>
      </c>
      <c r="I9" s="48" cm="1">
        <f t="array" ref="I9">IF($N9,INDEX($O:$O,MATCH(TRUE,EXACT(H9,$A:$A),0)),"")</f>
        <v>7</v>
      </c>
      <c r="J9" s="39" t="s">
        <v>78</v>
      </c>
      <c r="K9" s="52" cm="1">
        <f t="array" ref="K9">IF($N9,INDEX($O:$O,MATCH(TRUE,EXACT(J9,$A:$A),0)),"")</f>
        <v>7</v>
      </c>
      <c r="L9" s="23"/>
      <c r="M9" s="33"/>
      <c r="N9" s="18" t="b">
        <f t="shared" si="3"/>
        <v>1</v>
      </c>
      <c r="O9" s="19">
        <f>IF(N9, MAX(O$2:O8)+1,"")</f>
        <v>7</v>
      </c>
      <c r="P9" s="23" t="str">
        <f t="shared" si="1"/>
        <v>'</v>
      </c>
      <c r="Q9" s="8" t="str" cm="1">
        <f t="array" ref="Q9">CharToUTF8(A9)</f>
        <v>\x27</v>
      </c>
      <c r="S9" s="18" t="str">
        <f>$AO$3</f>
        <v>DIAG_BOTH</v>
      </c>
      <c r="T9" s="24" t="str">
        <f>$AO$3</f>
        <v>DIAG_BOTH</v>
      </c>
      <c r="U9" s="24" t="str">
        <f>$AO$3</f>
        <v>DIAG_BOTH</v>
      </c>
      <c r="V9" s="21" t="str">
        <f>$AO$3</f>
        <v>DIAG_BOTH</v>
      </c>
      <c r="X9" s="31" t="b">
        <f t="shared" si="5"/>
        <v>1</v>
      </c>
      <c r="Y9" s="31" t="b">
        <f t="shared" si="6"/>
        <v>1</v>
      </c>
      <c r="Z9" t="b">
        <f t="shared" si="7"/>
        <v>1</v>
      </c>
      <c r="AA9" t="b">
        <f t="shared" si="8"/>
        <v>1</v>
      </c>
      <c r="AB9" t="b">
        <f t="shared" si="9"/>
        <v>1</v>
      </c>
      <c r="AC9" t="b">
        <f t="shared" si="10"/>
        <v>1</v>
      </c>
      <c r="AD9" t="b">
        <f t="shared" si="11"/>
        <v>1</v>
      </c>
      <c r="AE9" t="b">
        <f t="shared" si="12"/>
        <v>1</v>
      </c>
      <c r="AF9" t="b">
        <f t="shared" si="13"/>
        <v>1</v>
      </c>
      <c r="AG9" t="b">
        <f t="shared" si="14"/>
        <v>1</v>
      </c>
      <c r="AH9" t="b">
        <f t="shared" si="15"/>
        <v>1</v>
      </c>
      <c r="AI9" t="b">
        <f t="shared" si="16"/>
        <v>1</v>
      </c>
      <c r="AJ9" t="b">
        <f t="shared" si="17"/>
        <v>1</v>
      </c>
      <c r="AK9" t="b">
        <f t="shared" si="18"/>
        <v>1</v>
      </c>
      <c r="AL9" t="b">
        <f t="shared" si="19"/>
        <v>1</v>
      </c>
      <c r="AM9" t="b">
        <f t="shared" si="20"/>
        <v>1</v>
      </c>
      <c r="AO9" s="18" t="s">
        <v>209</v>
      </c>
      <c r="AP9" s="21" t="s">
        <v>201</v>
      </c>
      <c r="AQ9" s="56" t="s">
        <v>212</v>
      </c>
      <c r="AR9" s="56" t="s">
        <v>210</v>
      </c>
      <c r="AS9" s="56" t="s">
        <v>209</v>
      </c>
      <c r="AT9" s="56" t="s">
        <v>210</v>
      </c>
      <c r="AV9" s="59" t="str">
        <f t="shared" si="21"/>
        <v xml:space="preserve">    { wxString::FromUTF8("\x27"), &amp;AllGlyphs[7], &amp;AllGlyphs[7], &amp;AllGlyphs[7], &amp;AllGlyphs[7], Connection::DIAG_BOTH, Connection::DIAG_BOTH, Connection::DIAG_BOTH, Connection::DIAG_BOTH, 1, 1, 1, 1 },</v>
      </c>
      <c r="AW9" s="60"/>
      <c r="AX9" s="60"/>
      <c r="AY9" s="60"/>
      <c r="AZ9" s="60"/>
      <c r="BA9" s="60"/>
      <c r="BB9" s="60"/>
      <c r="BC9" s="61"/>
      <c r="BE9" s="54" t="str">
        <f t="shared" si="22"/>
        <v>&amp;AllGlyphs[7]</v>
      </c>
      <c r="BF9" s="54" t="str">
        <f t="shared" si="23"/>
        <v>&amp;AllGlyphs[7]</v>
      </c>
      <c r="BG9" s="54" t="str">
        <f t="shared" si="24"/>
        <v>&amp;AllGlyphs[7]</v>
      </c>
      <c r="BH9" s="54" t="str">
        <f t="shared" si="25"/>
        <v>&amp;AllGlyphs[7]</v>
      </c>
      <c r="BJ9" s="58">
        <f t="shared" si="26"/>
        <v>1</v>
      </c>
      <c r="BK9" s="58">
        <f t="shared" si="27"/>
        <v>1</v>
      </c>
      <c r="BL9" s="58">
        <f t="shared" si="28"/>
        <v>1</v>
      </c>
      <c r="BM9" s="58">
        <f t="shared" si="29"/>
        <v>1</v>
      </c>
    </row>
    <row r="10" spans="1:65" ht="32.25" thickBot="1" x14ac:dyDescent="0.45">
      <c r="A10" s="7" t="s">
        <v>60</v>
      </c>
      <c r="B10" s="6" t="str">
        <f t="shared" si="0"/>
        <v>(</v>
      </c>
      <c r="C10" s="48" cm="1">
        <f t="array" ref="C10">IF($N10,INDEX($O:$O,MATCH(TRUE,EXACT(B10,$A:$A),0)),"")</f>
        <v>8</v>
      </c>
      <c r="D10" s="38" t="s">
        <v>61</v>
      </c>
      <c r="E10" s="48" cm="1">
        <f t="array" ref="E10">IF($N10,INDEX($O:$O,MATCH(TRUE,EXACT(D10,$A:$A),0)),"")</f>
        <v>9</v>
      </c>
      <c r="F10" s="38" t="s">
        <v>35</v>
      </c>
      <c r="G10" s="48" cm="1">
        <f t="array" ref="G10">IF($O10&lt;&gt;"",INDEX($O:$O,MATCH(TRUE,EXACT(F10,$A:$A),0)),"")</f>
        <v>48</v>
      </c>
      <c r="H10" s="38" t="s">
        <v>34</v>
      </c>
      <c r="I10" s="48" cm="1">
        <f t="array" ref="I10">IF($N10,INDEX($O:$O,MATCH(TRUE,EXACT(H10,$A:$A),0)),"")</f>
        <v>47</v>
      </c>
      <c r="J10" s="38" t="s">
        <v>61</v>
      </c>
      <c r="K10" s="52" cm="1">
        <f t="array" ref="K10">IF($N10,INDEX($O:$O,MATCH(TRUE,EXACT(J10,$A:$A),0)),"")</f>
        <v>9</v>
      </c>
      <c r="L10" s="23"/>
      <c r="M10" s="33"/>
      <c r="N10" s="18" t="b">
        <f t="shared" si="3"/>
        <v>1</v>
      </c>
      <c r="O10" s="19">
        <f>IF(N10, MAX(O$2:O9)+1,"")</f>
        <v>8</v>
      </c>
      <c r="P10" s="23" t="str">
        <f t="shared" si="1"/>
        <v>(</v>
      </c>
      <c r="Q10" s="8" t="str" cm="1">
        <f t="array" ref="Q10">CharToUTF8(A10)</f>
        <v>\x28</v>
      </c>
      <c r="S10" s="18" t="str">
        <f>$AO$2</f>
        <v>EMPTY</v>
      </c>
      <c r="T10" s="24" t="str">
        <f>$AO$4</f>
        <v>ORTHO_BOTH</v>
      </c>
      <c r="U10" s="24" t="str">
        <f>$AO$2</f>
        <v>EMPTY</v>
      </c>
      <c r="V10" s="21" t="str">
        <f>$AO$4</f>
        <v>ORTHO_BOTH</v>
      </c>
      <c r="X10" s="31" t="b">
        <f t="shared" si="5"/>
        <v>0</v>
      </c>
      <c r="Y10" s="31" t="b">
        <f t="shared" si="6"/>
        <v>0</v>
      </c>
      <c r="Z10" t="b">
        <f t="shared" si="7"/>
        <v>0</v>
      </c>
      <c r="AA10" t="b">
        <f t="shared" si="8"/>
        <v>0</v>
      </c>
      <c r="AB10" t="b">
        <f t="shared" si="9"/>
        <v>0</v>
      </c>
      <c r="AC10" t="b">
        <f t="shared" si="10"/>
        <v>0</v>
      </c>
      <c r="AD10" t="b">
        <f t="shared" si="11"/>
        <v>1</v>
      </c>
      <c r="AE10" t="b">
        <f t="shared" si="12"/>
        <v>1</v>
      </c>
      <c r="AF10" t="b">
        <f t="shared" si="13"/>
        <v>1</v>
      </c>
      <c r="AG10" t="b">
        <f t="shared" si="14"/>
        <v>1</v>
      </c>
      <c r="AH10" t="b">
        <f t="shared" si="15"/>
        <v>1</v>
      </c>
      <c r="AI10" t="b">
        <f t="shared" si="16"/>
        <v>1</v>
      </c>
      <c r="AJ10" t="b">
        <f t="shared" si="17"/>
        <v>1</v>
      </c>
      <c r="AK10" t="b">
        <f t="shared" si="18"/>
        <v>1</v>
      </c>
      <c r="AL10" t="b">
        <f t="shared" si="19"/>
        <v>1</v>
      </c>
      <c r="AM10" t="b">
        <f t="shared" si="20"/>
        <v>1</v>
      </c>
      <c r="AO10" s="27" t="s">
        <v>210</v>
      </c>
      <c r="AP10" s="28" t="s">
        <v>202</v>
      </c>
      <c r="AQ10" s="56" t="s">
        <v>213</v>
      </c>
      <c r="AR10" s="56" t="s">
        <v>209</v>
      </c>
      <c r="AS10" s="56" t="s">
        <v>210</v>
      </c>
      <c r="AT10" s="56" t="s">
        <v>209</v>
      </c>
      <c r="AV10" s="59" t="str">
        <f t="shared" si="21"/>
        <v xml:space="preserve">    { wxString::FromUTF8("\x28"), &amp;AllGlyphs[9], &amp;AllGlyphs[48], &amp;AllGlyphs[47], &amp;AllGlyphs[9], Connection::EMPTY, Connection::ORTHO_BOTH, Connection::EMPTY, Connection::ORTHO_BOTH, 0, 0, 0, 0 },</v>
      </c>
      <c r="AW10" s="60"/>
      <c r="AX10" s="60"/>
      <c r="AY10" s="60"/>
      <c r="AZ10" s="60"/>
      <c r="BA10" s="60"/>
      <c r="BB10" s="60"/>
      <c r="BC10" s="61"/>
      <c r="BE10" s="54" t="str">
        <f t="shared" si="22"/>
        <v>&amp;AllGlyphs[9]</v>
      </c>
      <c r="BF10" s="54" t="str">
        <f t="shared" si="23"/>
        <v>&amp;AllGlyphs[48]</v>
      </c>
      <c r="BG10" s="54" t="str">
        <f t="shared" si="24"/>
        <v>&amp;AllGlyphs[47]</v>
      </c>
      <c r="BH10" s="54" t="str">
        <f t="shared" si="25"/>
        <v>&amp;AllGlyphs[9]</v>
      </c>
      <c r="BJ10" s="58">
        <f t="shared" si="26"/>
        <v>0</v>
      </c>
      <c r="BK10" s="58">
        <f t="shared" si="27"/>
        <v>0</v>
      </c>
      <c r="BL10" s="58">
        <f t="shared" si="28"/>
        <v>0</v>
      </c>
      <c r="BM10" s="58">
        <f t="shared" si="29"/>
        <v>0</v>
      </c>
    </row>
    <row r="11" spans="1:65" x14ac:dyDescent="0.4">
      <c r="A11" s="7" t="s">
        <v>61</v>
      </c>
      <c r="B11" s="6" t="str">
        <f t="shared" si="0"/>
        <v>)</v>
      </c>
      <c r="C11" s="48" cm="1">
        <f t="array" ref="C11">IF($N11,INDEX($O:$O,MATCH(TRUE,EXACT(B11,$A:$A),0)),"")</f>
        <v>9</v>
      </c>
      <c r="D11" s="38" t="s">
        <v>35</v>
      </c>
      <c r="E11" s="48" cm="1">
        <f t="array" ref="E11">IF($N11,INDEX($O:$O,MATCH(TRUE,EXACT(D11,$A:$A),0)),"")</f>
        <v>48</v>
      </c>
      <c r="F11" s="38" t="s">
        <v>34</v>
      </c>
      <c r="G11" s="48" cm="1">
        <f t="array" ref="G11">IF($O11&lt;&gt;"",INDEX($O:$O,MATCH(TRUE,EXACT(F11,$A:$A),0)),"")</f>
        <v>47</v>
      </c>
      <c r="H11" s="38" t="s">
        <v>35</v>
      </c>
      <c r="I11" s="48" cm="1">
        <f t="array" ref="I11">IF($N11,INDEX($O:$O,MATCH(TRUE,EXACT(H11,$A:$A),0)),"")</f>
        <v>48</v>
      </c>
      <c r="J11" s="38" t="s">
        <v>60</v>
      </c>
      <c r="K11" s="52" cm="1">
        <f t="array" ref="K11">IF($N11,INDEX($O:$O,MATCH(TRUE,EXACT(J11,$A:$A),0)),"")</f>
        <v>8</v>
      </c>
      <c r="L11" s="23"/>
      <c r="M11" s="33"/>
      <c r="N11" s="18" t="b">
        <f t="shared" si="3"/>
        <v>1</v>
      </c>
      <c r="O11" s="19">
        <f>IF(N11, MAX(O$2:O10)+1,"")</f>
        <v>9</v>
      </c>
      <c r="P11" s="23" t="str">
        <f t="shared" si="1"/>
        <v>)</v>
      </c>
      <c r="Q11" s="8" t="str" cm="1">
        <f t="array" ref="Q11">CharToUTF8(A11)</f>
        <v>\x29</v>
      </c>
      <c r="S11" s="18" t="str">
        <f>$AO$2</f>
        <v>EMPTY</v>
      </c>
      <c r="T11" s="24" t="str">
        <f>$AO$4</f>
        <v>ORTHO_BOTH</v>
      </c>
      <c r="U11" s="24" t="str">
        <f>$AO$4</f>
        <v>ORTHO_BOTH</v>
      </c>
      <c r="V11" s="21" t="str">
        <f>$AO$2</f>
        <v>EMPTY</v>
      </c>
      <c r="X11" s="31" t="b">
        <f t="shared" si="5"/>
        <v>0</v>
      </c>
      <c r="Y11" s="31" t="b">
        <f t="shared" si="6"/>
        <v>0</v>
      </c>
      <c r="Z11" t="b">
        <f t="shared" si="7"/>
        <v>0</v>
      </c>
      <c r="AA11" t="b">
        <f t="shared" si="8"/>
        <v>0</v>
      </c>
      <c r="AB11" t="b">
        <f t="shared" si="9"/>
        <v>1</v>
      </c>
      <c r="AC11" t="b">
        <f t="shared" si="10"/>
        <v>1</v>
      </c>
      <c r="AD11" t="b">
        <f t="shared" si="11"/>
        <v>0</v>
      </c>
      <c r="AE11" t="b">
        <f t="shared" si="12"/>
        <v>0</v>
      </c>
      <c r="AF11" t="b">
        <f t="shared" si="13"/>
        <v>1</v>
      </c>
      <c r="AG11" t="b">
        <f t="shared" si="14"/>
        <v>1</v>
      </c>
      <c r="AH11" t="b">
        <f t="shared" si="15"/>
        <v>1</v>
      </c>
      <c r="AI11" t="b">
        <f t="shared" si="16"/>
        <v>1</v>
      </c>
      <c r="AJ11" t="b">
        <f t="shared" si="17"/>
        <v>1</v>
      </c>
      <c r="AK11" t="b">
        <f t="shared" si="18"/>
        <v>1</v>
      </c>
      <c r="AL11" t="b">
        <f t="shared" si="19"/>
        <v>1</v>
      </c>
      <c r="AM11" t="b">
        <f t="shared" si="20"/>
        <v>1</v>
      </c>
      <c r="AV11" s="59" t="str">
        <f t="shared" si="21"/>
        <v xml:space="preserve">    { wxString::FromUTF8("\x29"), &amp;AllGlyphs[48], &amp;AllGlyphs[47], &amp;AllGlyphs[48], &amp;AllGlyphs[8], Connection::EMPTY, Connection::ORTHO_BOTH, Connection::ORTHO_BOTH, Connection::EMPTY, 0, 0, 0, 0 },</v>
      </c>
      <c r="AW11" s="60"/>
      <c r="AX11" s="60"/>
      <c r="AY11" s="60"/>
      <c r="AZ11" s="60"/>
      <c r="BA11" s="60"/>
      <c r="BB11" s="60"/>
      <c r="BC11" s="61"/>
      <c r="BE11" s="54" t="str">
        <f t="shared" si="22"/>
        <v>&amp;AllGlyphs[48]</v>
      </c>
      <c r="BF11" s="54" t="str">
        <f t="shared" si="23"/>
        <v>&amp;AllGlyphs[47]</v>
      </c>
      <c r="BG11" s="54" t="str">
        <f t="shared" si="24"/>
        <v>&amp;AllGlyphs[48]</v>
      </c>
      <c r="BH11" s="54" t="str">
        <f t="shared" si="25"/>
        <v>&amp;AllGlyphs[8]</v>
      </c>
      <c r="BJ11" s="58">
        <f t="shared" si="26"/>
        <v>0</v>
      </c>
      <c r="BK11" s="58">
        <f t="shared" si="27"/>
        <v>0</v>
      </c>
      <c r="BL11" s="58">
        <f t="shared" si="28"/>
        <v>0</v>
      </c>
      <c r="BM11" s="58">
        <f t="shared" si="29"/>
        <v>0</v>
      </c>
    </row>
    <row r="12" spans="1:65" ht="31.5" customHeight="1" x14ac:dyDescent="0.4">
      <c r="A12" s="7" t="s">
        <v>59</v>
      </c>
      <c r="B12" s="6" t="str">
        <f t="shared" si="0"/>
        <v>*</v>
      </c>
      <c r="C12" s="48" cm="1">
        <f t="array" ref="C12">IF($N12,INDEX($O:$O,MATCH(TRUE,EXACT(B12,$A:$A),0)),"")</f>
        <v>10</v>
      </c>
      <c r="D12" s="38" t="s">
        <v>165</v>
      </c>
      <c r="E12" s="48" cm="1">
        <f t="array" ref="E12">IF($N12,INDEX($O:$O,MATCH(TRUE,EXACT(D12,$A:$A),0)),"")</f>
        <v>28</v>
      </c>
      <c r="F12" s="38" t="s">
        <v>32</v>
      </c>
      <c r="G12" s="48" cm="1">
        <f t="array" ref="G12">IF($O12&lt;&gt;"",INDEX($O:$O,MATCH(TRUE,EXACT(F12,$A:$A),0)),"")</f>
        <v>53</v>
      </c>
      <c r="H12" s="38" t="s">
        <v>33</v>
      </c>
      <c r="I12" s="48" cm="1">
        <f t="array" ref="I12">IF($N12,INDEX($O:$O,MATCH(TRUE,EXACT(H12,$A:$A),0)),"")</f>
        <v>41</v>
      </c>
      <c r="J12" s="38" t="s">
        <v>58</v>
      </c>
      <c r="K12" s="52" cm="1">
        <f t="array" ref="K12">IF($N12,INDEX($O:$O,MATCH(TRUE,EXACT(J12,$A:$A),0)),"")</f>
        <v>6</v>
      </c>
      <c r="L12" s="23"/>
      <c r="M12" s="33"/>
      <c r="N12" s="18" t="b">
        <f t="shared" si="3"/>
        <v>1</v>
      </c>
      <c r="O12" s="19">
        <f>IF(N12, MAX(O$2:O11)+1,"")</f>
        <v>10</v>
      </c>
      <c r="P12" s="23" t="str">
        <f t="shared" si="1"/>
        <v>*</v>
      </c>
      <c r="Q12" s="8" t="str" cm="1">
        <f t="array" ref="Q12">CharToUTF8(A12)</f>
        <v>\x2A</v>
      </c>
      <c r="S12" s="18" t="str">
        <f t="shared" ref="S12:S17" si="30">$AO$3</f>
        <v>DIAG_BOTH</v>
      </c>
      <c r="T12" s="24" t="str">
        <f>$AO$4</f>
        <v>ORTHO_BOTH</v>
      </c>
      <c r="U12" s="24" t="str">
        <f>$AO$4</f>
        <v>ORTHO_BOTH</v>
      </c>
      <c r="V12" s="21" t="str">
        <f>$AO$2</f>
        <v>EMPTY</v>
      </c>
      <c r="X12" s="31" t="b">
        <f t="shared" si="5"/>
        <v>0</v>
      </c>
      <c r="Y12" s="31" t="b">
        <f t="shared" si="6"/>
        <v>0</v>
      </c>
      <c r="Z12" t="b">
        <f t="shared" si="7"/>
        <v>0</v>
      </c>
      <c r="AA12" t="b">
        <f t="shared" si="8"/>
        <v>0</v>
      </c>
      <c r="AB12" t="b">
        <f t="shared" si="9"/>
        <v>0</v>
      </c>
      <c r="AC12" t="b">
        <f t="shared" si="10"/>
        <v>1</v>
      </c>
      <c r="AD12" t="b">
        <f t="shared" si="11"/>
        <v>0</v>
      </c>
      <c r="AE12" t="b">
        <f t="shared" si="12"/>
        <v>0</v>
      </c>
      <c r="AF12" t="b">
        <f t="shared" si="13"/>
        <v>1</v>
      </c>
      <c r="AG12" t="b">
        <f t="shared" si="14"/>
        <v>1</v>
      </c>
      <c r="AH12" t="b">
        <f t="shared" si="15"/>
        <v>1</v>
      </c>
      <c r="AI12" t="b">
        <f t="shared" si="16"/>
        <v>1</v>
      </c>
      <c r="AJ12" t="b">
        <f t="shared" si="17"/>
        <v>1</v>
      </c>
      <c r="AK12" t="b">
        <f t="shared" si="18"/>
        <v>1</v>
      </c>
      <c r="AL12" t="b">
        <f t="shared" si="19"/>
        <v>1</v>
      </c>
      <c r="AM12" t="b">
        <f t="shared" si="20"/>
        <v>1</v>
      </c>
      <c r="AV12" s="59" t="str">
        <f t="shared" si="21"/>
        <v xml:space="preserve">    { wxString::FromUTF8("\x2A"), &amp;AllGlyphs[28], &amp;AllGlyphs[53], &amp;AllGlyphs[41], &amp;AllGlyphs[6], Connection::DIAG_BOTH, Connection::ORTHO_BOTH, Connection::ORTHO_BOTH, Connection::EMPTY, 0, 0, 0, 0 },</v>
      </c>
      <c r="AW12" s="60"/>
      <c r="AX12" s="60"/>
      <c r="AY12" s="60"/>
      <c r="AZ12" s="60"/>
      <c r="BA12" s="60"/>
      <c r="BB12" s="60"/>
      <c r="BC12" s="61"/>
      <c r="BE12" s="54" t="str">
        <f t="shared" si="22"/>
        <v>&amp;AllGlyphs[28]</v>
      </c>
      <c r="BF12" s="54" t="str">
        <f t="shared" si="23"/>
        <v>&amp;AllGlyphs[53]</v>
      </c>
      <c r="BG12" s="54" t="str">
        <f t="shared" si="24"/>
        <v>&amp;AllGlyphs[41]</v>
      </c>
      <c r="BH12" s="54" t="str">
        <f t="shared" si="25"/>
        <v>&amp;AllGlyphs[6]</v>
      </c>
      <c r="BJ12" s="58">
        <f t="shared" si="26"/>
        <v>0</v>
      </c>
      <c r="BK12" s="58">
        <f t="shared" si="27"/>
        <v>0</v>
      </c>
      <c r="BL12" s="58">
        <f t="shared" si="28"/>
        <v>0</v>
      </c>
      <c r="BM12" s="58">
        <f t="shared" si="29"/>
        <v>0</v>
      </c>
    </row>
    <row r="13" spans="1:65" x14ac:dyDescent="0.4">
      <c r="A13" s="7" t="s">
        <v>70</v>
      </c>
      <c r="B13" s="6" t="str">
        <f t="shared" si="0"/>
        <v>+</v>
      </c>
      <c r="C13" s="48" cm="1">
        <f t="array" ref="C13">IF($N13,INDEX($O:$O,MATCH(TRUE,EXACT(B13,$A:$A),0)),"")</f>
        <v>11</v>
      </c>
      <c r="D13" s="38" t="s">
        <v>77</v>
      </c>
      <c r="E13" s="48" cm="1">
        <f t="array" ref="E13">IF($N13,INDEX($O:$O,MATCH(TRUE,EXACT(D13,$A:$A),0)),"")</f>
        <v>93</v>
      </c>
      <c r="F13" s="38" t="s">
        <v>76</v>
      </c>
      <c r="G13" s="48" cm="1">
        <f t="array" ref="G13">IF($O13&lt;&gt;"",INDEX($O:$O,MATCH(TRUE,EXACT(F13,$A:$A),0)),"")</f>
        <v>91</v>
      </c>
      <c r="H13" s="38" t="s">
        <v>77</v>
      </c>
      <c r="I13" s="48" cm="1">
        <f t="array" ref="I13">IF($N13,INDEX($O:$O,MATCH(TRUE,EXACT(H13,$A:$A),0)),"")</f>
        <v>93</v>
      </c>
      <c r="J13" s="38" t="s">
        <v>75</v>
      </c>
      <c r="K13" s="52" cm="1">
        <f t="array" ref="K13">IF($N13,INDEX($O:$O,MATCH(TRUE,EXACT(J13,$A:$A),0)),"")</f>
        <v>63</v>
      </c>
      <c r="L13" s="23"/>
      <c r="M13" s="33"/>
      <c r="N13" s="18" t="b">
        <f t="shared" si="3"/>
        <v>1</v>
      </c>
      <c r="O13" s="19">
        <f>IF(N13, MAX(O$2:O12)+1,"")</f>
        <v>11</v>
      </c>
      <c r="P13" s="23" t="str">
        <f t="shared" si="1"/>
        <v>+</v>
      </c>
      <c r="Q13" s="8" t="str" cm="1">
        <f t="array" ref="Q13">CharToUTF8(A13)</f>
        <v>\x2B</v>
      </c>
      <c r="S13" s="18" t="str">
        <f t="shared" si="30"/>
        <v>DIAG_BOTH</v>
      </c>
      <c r="T13" s="24" t="str">
        <f>$AO$4</f>
        <v>ORTHO_BOTH</v>
      </c>
      <c r="U13" s="24" t="str">
        <f>$AO$4</f>
        <v>ORTHO_BOTH</v>
      </c>
      <c r="V13" s="21" t="str">
        <f>$AO$3</f>
        <v>DIAG_BOTH</v>
      </c>
      <c r="X13" s="31" t="b">
        <f t="shared" si="5"/>
        <v>0</v>
      </c>
      <c r="Y13" s="31" t="b">
        <f t="shared" si="6"/>
        <v>0</v>
      </c>
      <c r="Z13" t="b">
        <f t="shared" si="7"/>
        <v>0</v>
      </c>
      <c r="AA13" t="b">
        <f t="shared" si="8"/>
        <v>0</v>
      </c>
      <c r="AB13" t="b">
        <f t="shared" si="9"/>
        <v>1</v>
      </c>
      <c r="AC13" t="b">
        <f t="shared" si="10"/>
        <v>1</v>
      </c>
      <c r="AD13" t="b">
        <f t="shared" si="11"/>
        <v>0</v>
      </c>
      <c r="AE13" t="b">
        <f t="shared" si="12"/>
        <v>0</v>
      </c>
      <c r="AF13" t="b">
        <f t="shared" si="13"/>
        <v>1</v>
      </c>
      <c r="AG13" t="b">
        <f t="shared" si="14"/>
        <v>1</v>
      </c>
      <c r="AH13" t="b">
        <f t="shared" si="15"/>
        <v>1</v>
      </c>
      <c r="AI13" t="b">
        <f t="shared" si="16"/>
        <v>1</v>
      </c>
      <c r="AJ13" t="b">
        <f t="shared" si="17"/>
        <v>1</v>
      </c>
      <c r="AK13" t="b">
        <f t="shared" si="18"/>
        <v>1</v>
      </c>
      <c r="AL13" t="b">
        <f t="shared" si="19"/>
        <v>1</v>
      </c>
      <c r="AM13" t="b">
        <f t="shared" si="20"/>
        <v>1</v>
      </c>
      <c r="AV13" s="59" t="str">
        <f t="shared" si="21"/>
        <v xml:space="preserve">    { wxString::FromUTF8("\x2B"), &amp;AllGlyphs[93], &amp;AllGlyphs[91], &amp;AllGlyphs[93], &amp;AllGlyphs[63], Connection::DIAG_BOTH, Connection::ORTHO_BOTH, Connection::ORTHO_BOTH, Connection::DIAG_BOTH, 0, 0, 0, 0 },</v>
      </c>
      <c r="AW13" s="60"/>
      <c r="AX13" s="60"/>
      <c r="AY13" s="60"/>
      <c r="AZ13" s="60"/>
      <c r="BA13" s="60"/>
      <c r="BB13" s="60"/>
      <c r="BC13" s="61"/>
      <c r="BE13" s="54" t="str">
        <f t="shared" si="22"/>
        <v>&amp;AllGlyphs[93]</v>
      </c>
      <c r="BF13" s="54" t="str">
        <f t="shared" si="23"/>
        <v>&amp;AllGlyphs[91]</v>
      </c>
      <c r="BG13" s="54" t="str">
        <f t="shared" si="24"/>
        <v>&amp;AllGlyphs[93]</v>
      </c>
      <c r="BH13" s="54" t="str">
        <f t="shared" si="25"/>
        <v>&amp;AllGlyphs[63]</v>
      </c>
      <c r="BJ13" s="58">
        <f t="shared" si="26"/>
        <v>0</v>
      </c>
      <c r="BK13" s="58">
        <f t="shared" si="27"/>
        <v>0</v>
      </c>
      <c r="BL13" s="58">
        <f t="shared" si="28"/>
        <v>0</v>
      </c>
      <c r="BM13" s="58">
        <f t="shared" si="29"/>
        <v>0</v>
      </c>
    </row>
    <row r="14" spans="1:65" x14ac:dyDescent="0.4">
      <c r="A14" s="7" t="s">
        <v>64</v>
      </c>
      <c r="B14" s="6" t="str">
        <f t="shared" si="0"/>
        <v>,</v>
      </c>
      <c r="C14" s="48" cm="1">
        <f t="array" ref="C14">IF($N14,INDEX($O:$O,MATCH(TRUE,EXACT(B14,$A:$A),0)),"")</f>
        <v>12</v>
      </c>
      <c r="D14" s="38" t="s">
        <v>6</v>
      </c>
      <c r="E14" s="48" cm="1">
        <f t="array" ref="E14">IF($N14,INDEX($O:$O,MATCH(TRUE,EXACT(D14,$A:$A),0)),"")</f>
        <v>85</v>
      </c>
      <c r="F14" s="38" t="s">
        <v>16</v>
      </c>
      <c r="G14" s="48" cm="1">
        <f t="array" ref="G14">IF($O14&lt;&gt;"",INDEX($O:$O,MATCH(TRUE,EXACT(F14,$A:$A),0)),"")</f>
        <v>74</v>
      </c>
      <c r="H14" s="38" t="s">
        <v>17</v>
      </c>
      <c r="I14" s="48" cm="1">
        <f t="array" ref="I14">IF($N14,INDEX($O:$O,MATCH(TRUE,EXACT(H14,$A:$A),0)),"")</f>
        <v>75</v>
      </c>
      <c r="J14" s="38" t="s">
        <v>25</v>
      </c>
      <c r="K14" s="52" cm="1">
        <f t="array" ref="K14">IF($N14,INDEX($O:$O,MATCH(TRUE,EXACT(J14,$A:$A),0)),"")</f>
        <v>77</v>
      </c>
      <c r="L14" s="23"/>
      <c r="M14" s="33"/>
      <c r="N14" s="18" t="b">
        <f t="shared" si="3"/>
        <v>1</v>
      </c>
      <c r="O14" s="19">
        <f>IF(N14, MAX(O$2:O13)+1,"")</f>
        <v>12</v>
      </c>
      <c r="P14" s="23" t="str">
        <f t="shared" si="1"/>
        <v>,</v>
      </c>
      <c r="Q14" s="8" t="str" cm="1">
        <f t="array" ref="Q14">CharToUTF8(A14)</f>
        <v>\x2C</v>
      </c>
      <c r="S14" s="18" t="str">
        <f t="shared" si="30"/>
        <v>DIAG_BOTH</v>
      </c>
      <c r="T14" s="24" t="str">
        <f>$AO$2</f>
        <v>EMPTY</v>
      </c>
      <c r="U14" s="24" t="str">
        <f>$AO$4</f>
        <v>ORTHO_BOTH</v>
      </c>
      <c r="V14" s="21" t="str">
        <f>$AO$3</f>
        <v>DIAG_BOTH</v>
      </c>
      <c r="X14" s="31" t="b">
        <f t="shared" si="5"/>
        <v>0</v>
      </c>
      <c r="Y14" s="31" t="b">
        <f t="shared" si="6"/>
        <v>0</v>
      </c>
      <c r="Z14" t="b">
        <f t="shared" si="7"/>
        <v>0</v>
      </c>
      <c r="AA14" t="b">
        <f t="shared" si="8"/>
        <v>0</v>
      </c>
      <c r="AB14" t="b">
        <f t="shared" si="9"/>
        <v>1</v>
      </c>
      <c r="AC14" t="b">
        <f t="shared" si="10"/>
        <v>0</v>
      </c>
      <c r="AD14" t="b">
        <f t="shared" si="11"/>
        <v>0</v>
      </c>
      <c r="AE14" t="b">
        <f t="shared" si="12"/>
        <v>0</v>
      </c>
      <c r="AF14" t="b">
        <f t="shared" si="13"/>
        <v>1</v>
      </c>
      <c r="AG14" t="b">
        <f t="shared" si="14"/>
        <v>1</v>
      </c>
      <c r="AH14" t="b">
        <f t="shared" si="15"/>
        <v>1</v>
      </c>
      <c r="AI14" t="b">
        <f t="shared" si="16"/>
        <v>1</v>
      </c>
      <c r="AJ14" t="b">
        <f t="shared" si="17"/>
        <v>1</v>
      </c>
      <c r="AK14" t="b">
        <f t="shared" si="18"/>
        <v>1</v>
      </c>
      <c r="AL14" t="b">
        <f t="shared" si="19"/>
        <v>1</v>
      </c>
      <c r="AM14" t="b">
        <f t="shared" si="20"/>
        <v>1</v>
      </c>
      <c r="AV14" s="59" t="str">
        <f t="shared" si="21"/>
        <v xml:space="preserve">    { wxString::FromUTF8("\x2C"), &amp;AllGlyphs[85], &amp;AllGlyphs[74], &amp;AllGlyphs[75], &amp;AllGlyphs[77], Connection::DIAG_BOTH, Connection::EMPTY, Connection::ORTHO_BOTH, Connection::DIAG_BOTH, 0, 0, 0, 0 },</v>
      </c>
      <c r="AW14" s="60"/>
      <c r="AX14" s="60"/>
      <c r="AY14" s="60"/>
      <c r="AZ14" s="60"/>
      <c r="BA14" s="60"/>
      <c r="BB14" s="60"/>
      <c r="BC14" s="61"/>
      <c r="BE14" s="54" t="str">
        <f t="shared" si="22"/>
        <v>&amp;AllGlyphs[85]</v>
      </c>
      <c r="BF14" s="54" t="str">
        <f t="shared" si="23"/>
        <v>&amp;AllGlyphs[74]</v>
      </c>
      <c r="BG14" s="54" t="str">
        <f t="shared" si="24"/>
        <v>&amp;AllGlyphs[75]</v>
      </c>
      <c r="BH14" s="54" t="str">
        <f t="shared" si="25"/>
        <v>&amp;AllGlyphs[77]</v>
      </c>
      <c r="BJ14" s="58">
        <f t="shared" si="26"/>
        <v>0</v>
      </c>
      <c r="BK14" s="58">
        <f t="shared" si="27"/>
        <v>0</v>
      </c>
      <c r="BL14" s="58">
        <f t="shared" si="28"/>
        <v>0</v>
      </c>
      <c r="BM14" s="58">
        <f t="shared" si="29"/>
        <v>0</v>
      </c>
    </row>
    <row r="15" spans="1:65" ht="31.5" customHeight="1" x14ac:dyDescent="0.4">
      <c r="A15" s="7" t="s">
        <v>74</v>
      </c>
      <c r="B15" s="6" t="str">
        <f t="shared" si="0"/>
        <v>-</v>
      </c>
      <c r="C15" s="48" cm="1">
        <f t="array" ref="C15">IF($N15,INDEX($O:$O,MATCH(TRUE,EXACT(B15,$A:$A),0)),"")</f>
        <v>13</v>
      </c>
      <c r="D15" s="38" t="s">
        <v>72</v>
      </c>
      <c r="E15" s="48" cm="1">
        <f t="array" ref="E15">IF($N15,INDEX($O:$O,MATCH(TRUE,EXACT(D15,$A:$A),0)),"")</f>
        <v>61</v>
      </c>
      <c r="F15" s="38" t="s">
        <v>79</v>
      </c>
      <c r="G15" s="48" cm="1">
        <f t="array" ref="G15">IF($O15&lt;&gt;"",INDEX($O:$O,MATCH(TRUE,EXACT(F15,$A:$A),0)),"")</f>
        <v>29</v>
      </c>
      <c r="H15" s="38" t="s">
        <v>79</v>
      </c>
      <c r="I15" s="48" cm="1">
        <f t="array" ref="I15">IF($N15,INDEX($O:$O,MATCH(TRUE,EXACT(H15,$A:$A),0)),"")</f>
        <v>29</v>
      </c>
      <c r="J15" s="38" t="s">
        <v>74</v>
      </c>
      <c r="K15" s="52" cm="1">
        <f t="array" ref="K15">IF($N15,INDEX($O:$O,MATCH(TRUE,EXACT(J15,$A:$A),0)),"")</f>
        <v>13</v>
      </c>
      <c r="L15" s="23"/>
      <c r="M15" s="33"/>
      <c r="N15" s="18" t="b">
        <f t="shared" si="3"/>
        <v>1</v>
      </c>
      <c r="O15" s="19">
        <f>IF(N15, MAX(O$2:O14)+1,"")</f>
        <v>13</v>
      </c>
      <c r="P15" s="23" t="str">
        <f t="shared" si="1"/>
        <v>-</v>
      </c>
      <c r="Q15" s="8" t="str" cm="1">
        <f t="array" ref="Q15">CharToUTF8(A15)</f>
        <v>\x2D</v>
      </c>
      <c r="S15" s="18" t="str">
        <f t="shared" si="30"/>
        <v>DIAG_BOTH</v>
      </c>
      <c r="T15" s="24" t="str">
        <f>$AO$4</f>
        <v>ORTHO_BOTH</v>
      </c>
      <c r="U15" s="24" t="str">
        <f>$AO$2</f>
        <v>EMPTY</v>
      </c>
      <c r="V15" s="21" t="str">
        <f>$AO$2</f>
        <v>EMPTY</v>
      </c>
      <c r="X15" s="31" t="b">
        <f t="shared" si="5"/>
        <v>0</v>
      </c>
      <c r="Y15" s="31" t="b">
        <f t="shared" si="6"/>
        <v>0</v>
      </c>
      <c r="Z15" t="b">
        <f t="shared" si="7"/>
        <v>0</v>
      </c>
      <c r="AA15" t="b">
        <f t="shared" si="8"/>
        <v>1</v>
      </c>
      <c r="AB15" t="b">
        <f t="shared" si="9"/>
        <v>0</v>
      </c>
      <c r="AC15" t="b">
        <f t="shared" si="10"/>
        <v>0</v>
      </c>
      <c r="AD15" t="b">
        <f t="shared" si="11"/>
        <v>0</v>
      </c>
      <c r="AE15" t="b">
        <f t="shared" si="12"/>
        <v>0</v>
      </c>
      <c r="AF15" t="b">
        <f t="shared" si="13"/>
        <v>1</v>
      </c>
      <c r="AG15" t="b">
        <f t="shared" si="14"/>
        <v>1</v>
      </c>
      <c r="AH15" t="b">
        <f t="shared" si="15"/>
        <v>1</v>
      </c>
      <c r="AI15" t="b">
        <f t="shared" si="16"/>
        <v>1</v>
      </c>
      <c r="AJ15" t="b">
        <f t="shared" si="17"/>
        <v>1</v>
      </c>
      <c r="AK15" t="b">
        <f t="shared" si="18"/>
        <v>1</v>
      </c>
      <c r="AL15" t="b">
        <f t="shared" si="19"/>
        <v>1</v>
      </c>
      <c r="AM15" t="b">
        <f t="shared" si="20"/>
        <v>1</v>
      </c>
      <c r="AV15" s="59" t="str">
        <f t="shared" si="21"/>
        <v xml:space="preserve">    { wxString::FromUTF8("\x2D"), &amp;AllGlyphs[61], &amp;AllGlyphs[29], &amp;AllGlyphs[29], &amp;AllGlyphs[13], Connection::DIAG_BOTH, Connection::ORTHO_BOTH, Connection::EMPTY, Connection::EMPTY, 0, 0, 0, 1 },</v>
      </c>
      <c r="AW15" s="60"/>
      <c r="AX15" s="60"/>
      <c r="AY15" s="60"/>
      <c r="AZ15" s="60"/>
      <c r="BA15" s="60"/>
      <c r="BB15" s="60"/>
      <c r="BC15" s="61"/>
      <c r="BE15" s="54" t="str">
        <f t="shared" si="22"/>
        <v>&amp;AllGlyphs[61]</v>
      </c>
      <c r="BF15" s="54" t="str">
        <f t="shared" si="23"/>
        <v>&amp;AllGlyphs[29]</v>
      </c>
      <c r="BG15" s="54" t="str">
        <f t="shared" si="24"/>
        <v>&amp;AllGlyphs[29]</v>
      </c>
      <c r="BH15" s="54" t="str">
        <f t="shared" si="25"/>
        <v>&amp;AllGlyphs[13]</v>
      </c>
      <c r="BJ15" s="58">
        <f t="shared" si="26"/>
        <v>0</v>
      </c>
      <c r="BK15" s="58">
        <f t="shared" si="27"/>
        <v>0</v>
      </c>
      <c r="BL15" s="58">
        <f t="shared" si="28"/>
        <v>0</v>
      </c>
      <c r="BM15" s="58">
        <f t="shared" si="29"/>
        <v>1</v>
      </c>
    </row>
    <row r="16" spans="1:65" x14ac:dyDescent="0.4">
      <c r="A16" s="7" t="s">
        <v>73</v>
      </c>
      <c r="B16" s="6" t="str">
        <f t="shared" si="0"/>
        <v>.</v>
      </c>
      <c r="C16" s="48" cm="1">
        <f t="array" ref="C16">IF($N16,INDEX($O:$O,MATCH(TRUE,EXACT(B16,$A:$A),0)),"")</f>
        <v>14</v>
      </c>
      <c r="D16" s="38">
        <v>9</v>
      </c>
      <c r="E16" s="48" cm="1">
        <f t="array" ref="E16">IF($N16,INDEX($O:$O,MATCH(TRUE,EXACT(D16,$A:$A),0)),"")</f>
        <v>25</v>
      </c>
      <c r="F16" s="38" t="s">
        <v>66</v>
      </c>
      <c r="G16" s="48" cm="1">
        <f t="array" ref="G16">IF($O16&lt;&gt;"",INDEX($O:$O,MATCH(TRUE,EXACT(F16,$A:$A),0)),"")</f>
        <v>27</v>
      </c>
      <c r="H16" s="38" t="s">
        <v>18</v>
      </c>
      <c r="I16" s="48" cm="1">
        <f t="array" ref="I16">IF($N16,INDEX($O:$O,MATCH(TRUE,EXACT(H16,$A:$A),0)),"")</f>
        <v>76</v>
      </c>
      <c r="J16" s="38" t="s">
        <v>65</v>
      </c>
      <c r="K16" s="52" cm="1">
        <f t="array" ref="K16">IF($N16,INDEX($O:$O,MATCH(TRUE,EXACT(J16,$A:$A),0)),"")</f>
        <v>15</v>
      </c>
      <c r="L16" s="23"/>
      <c r="M16" s="33"/>
      <c r="N16" s="18" t="b">
        <f t="shared" si="3"/>
        <v>1</v>
      </c>
      <c r="O16" s="19">
        <f>IF(N16, MAX(O$2:O15)+1,"")</f>
        <v>14</v>
      </c>
      <c r="P16" s="23" t="str">
        <f t="shared" si="1"/>
        <v>.</v>
      </c>
      <c r="Q16" s="8" t="str" cm="1">
        <f t="array" ref="Q16">CharToUTF8(A16)</f>
        <v>\x2E</v>
      </c>
      <c r="S16" s="18" t="str">
        <f t="shared" si="30"/>
        <v>DIAG_BOTH</v>
      </c>
      <c r="T16" s="24" t="str">
        <f>$AO$2</f>
        <v>EMPTY</v>
      </c>
      <c r="U16" s="24" t="str">
        <f>$AO$2</f>
        <v>EMPTY</v>
      </c>
      <c r="V16" s="21" t="str">
        <f>$AO$4</f>
        <v>ORTHO_BOTH</v>
      </c>
      <c r="X16" s="31" t="b">
        <f t="shared" si="5"/>
        <v>0</v>
      </c>
      <c r="Y16" s="31" t="b">
        <f t="shared" si="6"/>
        <v>0</v>
      </c>
      <c r="Z16" t="b">
        <f t="shared" si="7"/>
        <v>0</v>
      </c>
      <c r="AA16" t="b">
        <f t="shared" si="8"/>
        <v>0</v>
      </c>
      <c r="AB16" t="b">
        <f t="shared" si="9"/>
        <v>0</v>
      </c>
      <c r="AC16" t="b">
        <f t="shared" si="10"/>
        <v>1</v>
      </c>
      <c r="AD16" t="b">
        <f t="shared" si="11"/>
        <v>0</v>
      </c>
      <c r="AE16" t="b">
        <f t="shared" si="12"/>
        <v>0</v>
      </c>
      <c r="AF16" t="b">
        <f t="shared" si="13"/>
        <v>1</v>
      </c>
      <c r="AG16" t="b">
        <f t="shared" si="14"/>
        <v>1</v>
      </c>
      <c r="AH16" t="b">
        <f t="shared" si="15"/>
        <v>1</v>
      </c>
      <c r="AI16" t="b">
        <f t="shared" si="16"/>
        <v>1</v>
      </c>
      <c r="AJ16" t="b">
        <f t="shared" si="17"/>
        <v>1</v>
      </c>
      <c r="AK16" t="b">
        <f t="shared" si="18"/>
        <v>1</v>
      </c>
      <c r="AL16" t="b">
        <f t="shared" si="19"/>
        <v>1</v>
      </c>
      <c r="AM16" t="b">
        <f t="shared" si="20"/>
        <v>1</v>
      </c>
      <c r="AV16" s="59" t="str">
        <f t="shared" si="21"/>
        <v xml:space="preserve">    { wxString::FromUTF8("\x2E"), &amp;AllGlyphs[25], &amp;AllGlyphs[27], &amp;AllGlyphs[76], &amp;AllGlyphs[15], Connection::DIAG_BOTH, Connection::EMPTY, Connection::EMPTY, Connection::ORTHO_BOTH, 0, 0, 0, 0 },</v>
      </c>
      <c r="AW16" s="60"/>
      <c r="AX16" s="60"/>
      <c r="AY16" s="60"/>
      <c r="AZ16" s="60"/>
      <c r="BA16" s="60"/>
      <c r="BB16" s="60"/>
      <c r="BC16" s="61"/>
      <c r="BE16" s="54" t="str">
        <f t="shared" si="22"/>
        <v>&amp;AllGlyphs[25]</v>
      </c>
      <c r="BF16" s="54" t="str">
        <f t="shared" si="23"/>
        <v>&amp;AllGlyphs[27]</v>
      </c>
      <c r="BG16" s="54" t="str">
        <f t="shared" si="24"/>
        <v>&amp;AllGlyphs[76]</v>
      </c>
      <c r="BH16" s="54" t="str">
        <f t="shared" si="25"/>
        <v>&amp;AllGlyphs[15]</v>
      </c>
      <c r="BJ16" s="58">
        <f t="shared" si="26"/>
        <v>0</v>
      </c>
      <c r="BK16" s="58">
        <f t="shared" si="27"/>
        <v>0</v>
      </c>
      <c r="BL16" s="58">
        <f t="shared" si="28"/>
        <v>0</v>
      </c>
      <c r="BM16" s="58">
        <f t="shared" si="29"/>
        <v>0</v>
      </c>
    </row>
    <row r="17" spans="1:65" x14ac:dyDescent="0.4">
      <c r="A17" s="7" t="s">
        <v>65</v>
      </c>
      <c r="B17" s="6" t="str">
        <f t="shared" si="0"/>
        <v>/</v>
      </c>
      <c r="C17" s="48" cm="1">
        <f t="array" ref="C17">IF($N17,INDEX($O:$O,MATCH(TRUE,EXACT(B17,$A:$A),0)),"")</f>
        <v>15</v>
      </c>
      <c r="D17" s="38" t="s">
        <v>8</v>
      </c>
      <c r="E17" s="48" cm="1">
        <f t="array" ref="E17">IF($N17,INDEX($O:$O,MATCH(TRUE,EXACT(D17,$A:$A),0)),"")</f>
        <v>79</v>
      </c>
      <c r="F17" s="38" t="s">
        <v>18</v>
      </c>
      <c r="G17" s="48" cm="1">
        <f t="array" ref="G17">IF($O17&lt;&gt;"",INDEX($O:$O,MATCH(TRUE,EXACT(F17,$A:$A),0)),"")</f>
        <v>76</v>
      </c>
      <c r="H17" s="38" t="s">
        <v>66</v>
      </c>
      <c r="I17" s="48" cm="1">
        <f t="array" ref="I17">IF($N17,INDEX($O:$O,MATCH(TRUE,EXACT(H17,$A:$A),0)),"")</f>
        <v>27</v>
      </c>
      <c r="J17" s="38" t="s">
        <v>73</v>
      </c>
      <c r="K17" s="52" cm="1">
        <f t="array" ref="K17">IF($N17,INDEX($O:$O,MATCH(TRUE,EXACT(J17,$A:$A),0)),"")</f>
        <v>14</v>
      </c>
      <c r="L17" s="23"/>
      <c r="M17" s="33"/>
      <c r="N17" s="18" t="b">
        <f t="shared" si="3"/>
        <v>1</v>
      </c>
      <c r="O17" s="19">
        <f>IF(N17, MAX(O$2:O16)+1,"")</f>
        <v>15</v>
      </c>
      <c r="P17" s="23" t="str">
        <f t="shared" si="1"/>
        <v>/</v>
      </c>
      <c r="Q17" s="8" t="str" cm="1">
        <f t="array" ref="Q17">CharToUTF8(A17)</f>
        <v>\x2F</v>
      </c>
      <c r="S17" s="18" t="str">
        <f t="shared" si="30"/>
        <v>DIAG_BOTH</v>
      </c>
      <c r="T17" s="24" t="str">
        <f>$AO$2</f>
        <v>EMPTY</v>
      </c>
      <c r="U17" s="24" t="str">
        <f>$AO$4</f>
        <v>ORTHO_BOTH</v>
      </c>
      <c r="V17" s="21" t="str">
        <f>$AO$2</f>
        <v>EMPTY</v>
      </c>
      <c r="X17" s="31" t="b">
        <f t="shared" si="5"/>
        <v>0</v>
      </c>
      <c r="Y17" s="31" t="b">
        <f t="shared" si="6"/>
        <v>0</v>
      </c>
      <c r="Z17" t="b">
        <f t="shared" si="7"/>
        <v>0</v>
      </c>
      <c r="AA17" t="b">
        <f t="shared" si="8"/>
        <v>0</v>
      </c>
      <c r="AB17" t="b">
        <f t="shared" si="9"/>
        <v>0</v>
      </c>
      <c r="AC17" t="b">
        <f t="shared" si="10"/>
        <v>0</v>
      </c>
      <c r="AD17" t="b">
        <f t="shared" si="11"/>
        <v>0</v>
      </c>
      <c r="AE17" t="b">
        <f t="shared" si="12"/>
        <v>1</v>
      </c>
      <c r="AF17" t="b">
        <f t="shared" si="13"/>
        <v>1</v>
      </c>
      <c r="AG17" t="b">
        <f t="shared" si="14"/>
        <v>1</v>
      </c>
      <c r="AH17" t="b">
        <f t="shared" si="15"/>
        <v>1</v>
      </c>
      <c r="AI17" t="b">
        <f t="shared" si="16"/>
        <v>1</v>
      </c>
      <c r="AJ17" t="b">
        <f t="shared" si="17"/>
        <v>1</v>
      </c>
      <c r="AK17" t="b">
        <f t="shared" si="18"/>
        <v>1</v>
      </c>
      <c r="AL17" t="b">
        <f t="shared" si="19"/>
        <v>1</v>
      </c>
      <c r="AM17" t="b">
        <f t="shared" si="20"/>
        <v>1</v>
      </c>
      <c r="AV17" s="59" t="str">
        <f t="shared" si="21"/>
        <v xml:space="preserve">    { wxString::FromUTF8("\x2F"), &amp;AllGlyphs[79], &amp;AllGlyphs[76], &amp;AllGlyphs[27], &amp;AllGlyphs[14], Connection::DIAG_BOTH, Connection::EMPTY, Connection::ORTHO_BOTH, Connection::EMPTY, 0, 0, 0, 0 },</v>
      </c>
      <c r="AW17" s="60"/>
      <c r="AX17" s="60"/>
      <c r="AY17" s="60"/>
      <c r="AZ17" s="60"/>
      <c r="BA17" s="60"/>
      <c r="BB17" s="60"/>
      <c r="BC17" s="61"/>
      <c r="BE17" s="54" t="str">
        <f t="shared" si="22"/>
        <v>&amp;AllGlyphs[79]</v>
      </c>
      <c r="BF17" s="54" t="str">
        <f t="shared" si="23"/>
        <v>&amp;AllGlyphs[76]</v>
      </c>
      <c r="BG17" s="54" t="str">
        <f t="shared" si="24"/>
        <v>&amp;AllGlyphs[27]</v>
      </c>
      <c r="BH17" s="54" t="str">
        <f t="shared" si="25"/>
        <v>&amp;AllGlyphs[14]</v>
      </c>
      <c r="BJ17" s="58">
        <f t="shared" si="26"/>
        <v>0</v>
      </c>
      <c r="BK17" s="58">
        <f t="shared" si="27"/>
        <v>0</v>
      </c>
      <c r="BL17" s="58">
        <f t="shared" si="28"/>
        <v>0</v>
      </c>
      <c r="BM17" s="58">
        <f t="shared" si="29"/>
        <v>0</v>
      </c>
    </row>
    <row r="18" spans="1:65" x14ac:dyDescent="0.4">
      <c r="A18" s="7">
        <v>0</v>
      </c>
      <c r="B18" s="6">
        <f t="shared" si="0"/>
        <v>0</v>
      </c>
      <c r="C18" s="48" cm="1">
        <f t="array" ref="C18">IF($N18,INDEX($O:$O,MATCH(TRUE,EXACT(B18,$A:$A),0)),"")</f>
        <v>16</v>
      </c>
      <c r="D18" s="38" t="s">
        <v>65</v>
      </c>
      <c r="E18" s="48" cm="1">
        <f t="array" ref="E18">IF($N18,INDEX($O:$O,MATCH(TRUE,EXACT(D18,$A:$A),0)),"")</f>
        <v>15</v>
      </c>
      <c r="F18" s="38" t="s">
        <v>8</v>
      </c>
      <c r="G18" s="48" cm="1">
        <f t="array" ref="G18">IF($O18&lt;&gt;"",INDEX($O:$O,MATCH(TRUE,EXACT(F18,$A:$A),0)),"")</f>
        <v>79</v>
      </c>
      <c r="H18" s="38" t="s">
        <v>9</v>
      </c>
      <c r="I18" s="48" cm="1">
        <f t="array" ref="I18">IF($N18,INDEX($O:$O,MATCH(TRUE,EXACT(H18,$A:$A),0)),"")</f>
        <v>80</v>
      </c>
      <c r="J18" s="38">
        <v>9</v>
      </c>
      <c r="K18" s="52" cm="1">
        <f t="array" ref="K18">IF($N18,INDEX($O:$O,MATCH(TRUE,EXACT(J18,$A:$A),0)),"")</f>
        <v>25</v>
      </c>
      <c r="L18" s="23"/>
      <c r="M18" s="33"/>
      <c r="N18" s="18" t="b">
        <f t="shared" si="3"/>
        <v>1</v>
      </c>
      <c r="O18" s="19">
        <f>IF(N18, MAX(O$2:O17)+1,"")</f>
        <v>16</v>
      </c>
      <c r="P18" s="23">
        <f t="shared" si="1"/>
        <v>0</v>
      </c>
      <c r="Q18" s="8" t="str" cm="1">
        <f t="array" ref="Q18">CharToUTF8(A18)</f>
        <v>\x30</v>
      </c>
      <c r="S18" s="18" t="str">
        <f>$AO$2</f>
        <v>EMPTY</v>
      </c>
      <c r="T18" s="24" t="str">
        <f>$AO$4</f>
        <v>ORTHO_BOTH</v>
      </c>
      <c r="U18" s="24" t="str">
        <f>$AO$3</f>
        <v>DIAG_BOTH</v>
      </c>
      <c r="V18" s="21" t="str">
        <f>$AO$2</f>
        <v>EMPTY</v>
      </c>
      <c r="X18" s="31" t="b">
        <f t="shared" si="5"/>
        <v>0</v>
      </c>
      <c r="Y18" s="31" t="b">
        <f t="shared" si="6"/>
        <v>0</v>
      </c>
      <c r="Z18" t="b">
        <f t="shared" si="7"/>
        <v>0</v>
      </c>
      <c r="AA18" t="b">
        <f t="shared" si="8"/>
        <v>0</v>
      </c>
      <c r="AB18" t="b">
        <f t="shared" si="9"/>
        <v>1</v>
      </c>
      <c r="AC18" t="b">
        <f t="shared" si="10"/>
        <v>0</v>
      </c>
      <c r="AD18" t="b">
        <f t="shared" si="11"/>
        <v>0</v>
      </c>
      <c r="AE18" t="b">
        <f t="shared" si="12"/>
        <v>0</v>
      </c>
      <c r="AF18" t="b">
        <f t="shared" si="13"/>
        <v>1</v>
      </c>
      <c r="AG18" t="b">
        <f t="shared" si="14"/>
        <v>1</v>
      </c>
      <c r="AH18" t="b">
        <f t="shared" si="15"/>
        <v>1</v>
      </c>
      <c r="AI18" t="b">
        <f t="shared" si="16"/>
        <v>1</v>
      </c>
      <c r="AJ18" t="b">
        <f t="shared" si="17"/>
        <v>1</v>
      </c>
      <c r="AK18" t="b">
        <f t="shared" si="18"/>
        <v>1</v>
      </c>
      <c r="AL18" t="b">
        <f t="shared" si="19"/>
        <v>1</v>
      </c>
      <c r="AM18" t="b">
        <f t="shared" si="20"/>
        <v>1</v>
      </c>
      <c r="AV18" s="59" t="str">
        <f t="shared" ref="AV18:AV81" si="31">IF($N18,"    { wxString::FromUTF8(""" &amp; $Q18 &amp; """), " &amp; _xlfn.TEXTJOIN(", ", TRUE, BE18:BH18) &amp; ", " &amp; $AO$1 &amp; _xlfn.TEXTJOIN(", " &amp; $AO$1, TRUE, $S18:$V18) &amp; ", " &amp; _xlfn.TEXTJOIN(", ", TRUE, BJ18:BM18) &amp; " },","")</f>
        <v xml:space="preserve">    { wxString::FromUTF8("\x30"), &amp;AllGlyphs[15], &amp;AllGlyphs[79], &amp;AllGlyphs[80], &amp;AllGlyphs[25], Connection::EMPTY, Connection::ORTHO_BOTH, Connection::DIAG_BOTH, Connection::EMPTY, 0, 0, 0, 0 },</v>
      </c>
      <c r="AW18" s="60"/>
      <c r="AX18" s="60"/>
      <c r="AY18" s="60"/>
      <c r="AZ18" s="60"/>
      <c r="BA18" s="60"/>
      <c r="BB18" s="60"/>
      <c r="BC18" s="61"/>
      <c r="BE18" s="54" t="str">
        <f t="shared" si="22"/>
        <v>&amp;AllGlyphs[15]</v>
      </c>
      <c r="BF18" s="54" t="str">
        <f t="shared" si="23"/>
        <v>&amp;AllGlyphs[79]</v>
      </c>
      <c r="BG18" s="54" t="str">
        <f t="shared" si="24"/>
        <v>&amp;AllGlyphs[80]</v>
      </c>
      <c r="BH18" s="54" t="str">
        <f t="shared" si="25"/>
        <v>&amp;AllGlyphs[25]</v>
      </c>
      <c r="BJ18" s="58">
        <f t="shared" si="26"/>
        <v>0</v>
      </c>
      <c r="BK18" s="58">
        <f t="shared" si="27"/>
        <v>0</v>
      </c>
      <c r="BL18" s="58">
        <f t="shared" si="28"/>
        <v>0</v>
      </c>
      <c r="BM18" s="58">
        <f t="shared" si="29"/>
        <v>0</v>
      </c>
    </row>
    <row r="19" spans="1:65" ht="31.5" customHeight="1" x14ac:dyDescent="0.4">
      <c r="A19" s="7">
        <v>1</v>
      </c>
      <c r="B19" s="6">
        <f t="shared" si="0"/>
        <v>1</v>
      </c>
      <c r="C19" s="48" cm="1">
        <f t="array" ref="C19">IF($N19,INDEX($O:$O,MATCH(TRUE,EXACT(B19,$A:$A),0)),"")</f>
        <v>17</v>
      </c>
      <c r="D19" s="38" t="s">
        <v>168</v>
      </c>
      <c r="E19" s="48" cm="1">
        <f t="array" ref="E19">IF($N19,INDEX($O:$O,MATCH(TRUE,EXACT(D19,$A:$A),0)),"")</f>
        <v>64</v>
      </c>
      <c r="F19" s="38">
        <v>1</v>
      </c>
      <c r="G19" s="48" cm="1">
        <f t="array" ref="G19">IF($O19&lt;&gt;"",INDEX($O:$O,MATCH(TRUE,EXACT(F19,$A:$A),0)),"")</f>
        <v>17</v>
      </c>
      <c r="H19" s="38">
        <v>1</v>
      </c>
      <c r="I19" s="48" cm="1">
        <f t="array" ref="I19">IF($N19,INDEX($O:$O,MATCH(TRUE,EXACT(H19,$A:$A),0)),"")</f>
        <v>17</v>
      </c>
      <c r="J19" s="38">
        <v>1</v>
      </c>
      <c r="K19" s="52" cm="1">
        <f t="array" ref="K19">IF($N19,INDEX($O:$O,MATCH(TRUE,EXACT(J19,$A:$A),0)),"")</f>
        <v>17</v>
      </c>
      <c r="L19" s="23"/>
      <c r="M19" s="33"/>
      <c r="N19" s="18" t="b">
        <f t="shared" si="3"/>
        <v>1</v>
      </c>
      <c r="O19" s="19">
        <f>IF(N19, MAX(O$2:O18)+1,"")</f>
        <v>17</v>
      </c>
      <c r="P19" s="23">
        <f t="shared" si="1"/>
        <v>1</v>
      </c>
      <c r="Q19" s="8" t="str" cm="1">
        <f t="array" ref="Q19">CharToUTF8(A19)</f>
        <v>\x31</v>
      </c>
      <c r="S19" s="18" t="str">
        <f>$AO$2</f>
        <v>EMPTY</v>
      </c>
      <c r="T19" s="24" t="str">
        <f>$AO$2</f>
        <v>EMPTY</v>
      </c>
      <c r="U19" s="24" t="str">
        <f>$AO$3</f>
        <v>DIAG_BOTH</v>
      </c>
      <c r="V19" s="21" t="str">
        <f>$AO$3</f>
        <v>DIAG_BOTH</v>
      </c>
      <c r="X19" s="31" t="b">
        <f t="shared" si="5"/>
        <v>0</v>
      </c>
      <c r="Y19" s="31" t="b">
        <f t="shared" si="6"/>
        <v>1</v>
      </c>
      <c r="Z19" t="b">
        <f t="shared" si="7"/>
        <v>1</v>
      </c>
      <c r="AA19" t="b">
        <f t="shared" si="8"/>
        <v>1</v>
      </c>
      <c r="AB19" t="b">
        <f t="shared" si="9"/>
        <v>0</v>
      </c>
      <c r="AC19" t="b">
        <f t="shared" si="10"/>
        <v>0</v>
      </c>
      <c r="AD19" t="b">
        <f t="shared" si="11"/>
        <v>0</v>
      </c>
      <c r="AE19" t="b">
        <f t="shared" si="12"/>
        <v>0</v>
      </c>
      <c r="AF19" t="b">
        <f t="shared" si="13"/>
        <v>1</v>
      </c>
      <c r="AG19" t="b">
        <f t="shared" si="14"/>
        <v>1</v>
      </c>
      <c r="AH19" t="b">
        <f t="shared" si="15"/>
        <v>1</v>
      </c>
      <c r="AI19" t="b">
        <f t="shared" si="16"/>
        <v>1</v>
      </c>
      <c r="AJ19" t="b">
        <f t="shared" si="17"/>
        <v>1</v>
      </c>
      <c r="AK19" t="b">
        <f t="shared" si="18"/>
        <v>1</v>
      </c>
      <c r="AL19" t="b">
        <f t="shared" si="19"/>
        <v>1</v>
      </c>
      <c r="AM19" t="b">
        <f t="shared" si="20"/>
        <v>1</v>
      </c>
      <c r="AV19" s="59" t="str">
        <f t="shared" si="31"/>
        <v xml:space="preserve">    { wxString::FromUTF8("\x31"), &amp;AllGlyphs[64], &amp;AllGlyphs[17], &amp;AllGlyphs[17], &amp;AllGlyphs[17], Connection::EMPTY, Connection::EMPTY, Connection::DIAG_BOTH, Connection::DIAG_BOTH, 0, 1, 1, 1 },</v>
      </c>
      <c r="AW19" s="60"/>
      <c r="AX19" s="60"/>
      <c r="AY19" s="60"/>
      <c r="AZ19" s="60"/>
      <c r="BA19" s="60"/>
      <c r="BB19" s="60"/>
      <c r="BC19" s="61"/>
      <c r="BE19" s="54" t="str">
        <f t="shared" si="22"/>
        <v>&amp;AllGlyphs[64]</v>
      </c>
      <c r="BF19" s="54" t="str">
        <f t="shared" si="23"/>
        <v>&amp;AllGlyphs[17]</v>
      </c>
      <c r="BG19" s="54" t="str">
        <f t="shared" si="24"/>
        <v>&amp;AllGlyphs[17]</v>
      </c>
      <c r="BH19" s="54" t="str">
        <f t="shared" si="25"/>
        <v>&amp;AllGlyphs[17]</v>
      </c>
      <c r="BJ19" s="58">
        <f t="shared" si="26"/>
        <v>0</v>
      </c>
      <c r="BK19" s="58">
        <f t="shared" si="27"/>
        <v>1</v>
      </c>
      <c r="BL19" s="58">
        <f t="shared" si="28"/>
        <v>1</v>
      </c>
      <c r="BM19" s="58">
        <f t="shared" si="29"/>
        <v>1</v>
      </c>
    </row>
    <row r="20" spans="1:65" x14ac:dyDescent="0.4">
      <c r="A20" s="7">
        <v>2</v>
      </c>
      <c r="B20" s="6">
        <f t="shared" si="0"/>
        <v>2</v>
      </c>
      <c r="C20" s="48" cm="1">
        <f t="array" ref="C20">IF($N20,INDEX($O:$O,MATCH(TRUE,EXACT(B20,$A:$A),0)),"")</f>
        <v>18</v>
      </c>
      <c r="D20" s="38">
        <v>3</v>
      </c>
      <c r="E20" s="48" cm="1">
        <f t="array" ref="E20">IF($N20,INDEX($O:$O,MATCH(TRUE,EXACT(D20,$A:$A),0)),"")</f>
        <v>19</v>
      </c>
      <c r="F20" s="38">
        <v>2</v>
      </c>
      <c r="G20" s="48" cm="1">
        <f t="array" ref="G20">IF($O20&lt;&gt;"",INDEX($O:$O,MATCH(TRUE,EXACT(F20,$A:$A),0)),"")</f>
        <v>18</v>
      </c>
      <c r="H20" s="38">
        <v>2</v>
      </c>
      <c r="I20" s="48" cm="1">
        <f t="array" ref="I20">IF($N20,INDEX($O:$O,MATCH(TRUE,EXACT(H20,$A:$A),0)),"")</f>
        <v>18</v>
      </c>
      <c r="J20" s="38">
        <v>2</v>
      </c>
      <c r="K20" s="52" cm="1">
        <f t="array" ref="K20">IF($N20,INDEX($O:$O,MATCH(TRUE,EXACT(J20,$A:$A),0)),"")</f>
        <v>18</v>
      </c>
      <c r="L20" s="23"/>
      <c r="M20" s="33"/>
      <c r="N20" s="18" t="b">
        <f t="shared" si="3"/>
        <v>1</v>
      </c>
      <c r="O20" s="19">
        <f>IF(N20, MAX(O$2:O19)+1,"")</f>
        <v>18</v>
      </c>
      <c r="P20" s="23">
        <f t="shared" si="1"/>
        <v>2</v>
      </c>
      <c r="Q20" s="8" t="str" cm="1">
        <f t="array" ref="Q20">CharToUTF8(A20)</f>
        <v>\x32</v>
      </c>
      <c r="S20" s="18" t="str">
        <f>$AO$4</f>
        <v>ORTHO_BOTH</v>
      </c>
      <c r="T20" s="24" t="str">
        <f>$AO$4</f>
        <v>ORTHO_BOTH</v>
      </c>
      <c r="U20" s="24" t="str">
        <f>$AO$3</f>
        <v>DIAG_BOTH</v>
      </c>
      <c r="V20" s="21" t="str">
        <f>$AO$3</f>
        <v>DIAG_BOTH</v>
      </c>
      <c r="X20" s="31" t="b">
        <f t="shared" si="5"/>
        <v>0</v>
      </c>
      <c r="Y20" s="31" t="b">
        <f t="shared" si="6"/>
        <v>1</v>
      </c>
      <c r="Z20" t="b">
        <f t="shared" si="7"/>
        <v>1</v>
      </c>
      <c r="AA20" t="b">
        <f t="shared" si="8"/>
        <v>1</v>
      </c>
      <c r="AB20" t="b">
        <f t="shared" si="9"/>
        <v>0</v>
      </c>
      <c r="AC20" t="b">
        <f t="shared" si="10"/>
        <v>0</v>
      </c>
      <c r="AD20" t="b">
        <f t="shared" si="11"/>
        <v>0</v>
      </c>
      <c r="AE20" t="b">
        <f t="shared" si="12"/>
        <v>0</v>
      </c>
      <c r="AF20" t="b">
        <f t="shared" si="13"/>
        <v>1</v>
      </c>
      <c r="AG20" t="b">
        <f t="shared" si="14"/>
        <v>1</v>
      </c>
      <c r="AH20" t="b">
        <f t="shared" si="15"/>
        <v>1</v>
      </c>
      <c r="AI20" t="b">
        <f t="shared" si="16"/>
        <v>1</v>
      </c>
      <c r="AJ20" t="b">
        <f t="shared" si="17"/>
        <v>1</v>
      </c>
      <c r="AK20" t="b">
        <f t="shared" si="18"/>
        <v>1</v>
      </c>
      <c r="AL20" t="b">
        <f t="shared" si="19"/>
        <v>1</v>
      </c>
      <c r="AM20" t="b">
        <f t="shared" si="20"/>
        <v>1</v>
      </c>
      <c r="AV20" s="59" t="str">
        <f t="shared" si="31"/>
        <v xml:space="preserve">    { wxString::FromUTF8("\x32"), &amp;AllGlyphs[19], &amp;AllGlyphs[18], &amp;AllGlyphs[18], &amp;AllGlyphs[18], Connection::ORTHO_BOTH, Connection::ORTHO_BOTH, Connection::DIAG_BOTH, Connection::DIAG_BOTH, 0, 1, 1, 1 },</v>
      </c>
      <c r="AW20" s="60"/>
      <c r="AX20" s="60"/>
      <c r="AY20" s="60"/>
      <c r="AZ20" s="60"/>
      <c r="BA20" s="60"/>
      <c r="BB20" s="60"/>
      <c r="BC20" s="61"/>
      <c r="BE20" s="54" t="str">
        <f t="shared" si="22"/>
        <v>&amp;AllGlyphs[19]</v>
      </c>
      <c r="BF20" s="54" t="str">
        <f t="shared" si="23"/>
        <v>&amp;AllGlyphs[18]</v>
      </c>
      <c r="BG20" s="54" t="str">
        <f t="shared" si="24"/>
        <v>&amp;AllGlyphs[18]</v>
      </c>
      <c r="BH20" s="54" t="str">
        <f t="shared" si="25"/>
        <v>&amp;AllGlyphs[18]</v>
      </c>
      <c r="BJ20" s="58">
        <f t="shared" si="26"/>
        <v>0</v>
      </c>
      <c r="BK20" s="58">
        <f t="shared" si="27"/>
        <v>1</v>
      </c>
      <c r="BL20" s="58">
        <f t="shared" si="28"/>
        <v>1</v>
      </c>
      <c r="BM20" s="58">
        <f t="shared" si="29"/>
        <v>1</v>
      </c>
    </row>
    <row r="21" spans="1:65" x14ac:dyDescent="0.4">
      <c r="A21" s="7">
        <v>3</v>
      </c>
      <c r="B21" s="6">
        <f t="shared" si="0"/>
        <v>3</v>
      </c>
      <c r="C21" s="48" cm="1">
        <f t="array" ref="C21">IF($N21,INDEX($O:$O,MATCH(TRUE,EXACT(B21,$A:$A),0)),"")</f>
        <v>19</v>
      </c>
      <c r="D21" s="38">
        <v>2</v>
      </c>
      <c r="E21" s="48" cm="1">
        <f t="array" ref="E21">IF($N21,INDEX($O:$O,MATCH(TRUE,EXACT(D21,$A:$A),0)),"")</f>
        <v>18</v>
      </c>
      <c r="F21" s="38">
        <v>3</v>
      </c>
      <c r="G21" s="48" cm="1">
        <f t="array" ref="G21">IF($O21&lt;&gt;"",INDEX($O:$O,MATCH(TRUE,EXACT(F21,$A:$A),0)),"")</f>
        <v>19</v>
      </c>
      <c r="H21" s="38">
        <v>3</v>
      </c>
      <c r="I21" s="48" cm="1">
        <f t="array" ref="I21">IF($N21,INDEX($O:$O,MATCH(TRUE,EXACT(H21,$A:$A),0)),"")</f>
        <v>19</v>
      </c>
      <c r="J21" s="38">
        <v>3</v>
      </c>
      <c r="K21" s="52" cm="1">
        <f t="array" ref="K21">IF($N21,INDEX($O:$O,MATCH(TRUE,EXACT(J21,$A:$A),0)),"")</f>
        <v>19</v>
      </c>
      <c r="L21" s="23"/>
      <c r="M21" s="33"/>
      <c r="N21" s="18" t="b">
        <f t="shared" si="3"/>
        <v>1</v>
      </c>
      <c r="O21" s="19">
        <f>IF(N21, MAX(O$2:O20)+1,"")</f>
        <v>19</v>
      </c>
      <c r="P21" s="23">
        <f t="shared" si="1"/>
        <v>3</v>
      </c>
      <c r="Q21" s="8" t="str" cm="1">
        <f t="array" ref="Q21">CharToUTF8(A21)</f>
        <v>\x33</v>
      </c>
      <c r="S21" s="18" t="str">
        <f>$AO$3</f>
        <v>DIAG_BOTH</v>
      </c>
      <c r="T21" s="24" t="str">
        <f>$AO$3</f>
        <v>DIAG_BOTH</v>
      </c>
      <c r="U21" s="24" t="str">
        <f>$AO$4</f>
        <v>ORTHO_BOTH</v>
      </c>
      <c r="V21" s="21" t="str">
        <f>$AO$4</f>
        <v>ORTHO_BOTH</v>
      </c>
      <c r="X21" s="31" t="b">
        <f t="shared" si="5"/>
        <v>0</v>
      </c>
      <c r="Y21" s="31" t="b">
        <f t="shared" si="6"/>
        <v>1</v>
      </c>
      <c r="Z21" t="b">
        <f t="shared" si="7"/>
        <v>1</v>
      </c>
      <c r="AA21" t="b">
        <f t="shared" si="8"/>
        <v>1</v>
      </c>
      <c r="AB21" t="b">
        <f t="shared" si="9"/>
        <v>0</v>
      </c>
      <c r="AC21" t="b">
        <f t="shared" si="10"/>
        <v>0</v>
      </c>
      <c r="AD21" t="b">
        <f t="shared" si="11"/>
        <v>0</v>
      </c>
      <c r="AE21" t="b">
        <f t="shared" si="12"/>
        <v>0</v>
      </c>
      <c r="AF21" t="b">
        <f t="shared" si="13"/>
        <v>1</v>
      </c>
      <c r="AG21" t="b">
        <f t="shared" si="14"/>
        <v>1</v>
      </c>
      <c r="AH21" t="b">
        <f t="shared" si="15"/>
        <v>1</v>
      </c>
      <c r="AI21" t="b">
        <f t="shared" si="16"/>
        <v>1</v>
      </c>
      <c r="AJ21" t="b">
        <f t="shared" si="17"/>
        <v>1</v>
      </c>
      <c r="AK21" t="b">
        <f t="shared" si="18"/>
        <v>1</v>
      </c>
      <c r="AL21" t="b">
        <f t="shared" si="19"/>
        <v>1</v>
      </c>
      <c r="AM21" t="b">
        <f t="shared" si="20"/>
        <v>1</v>
      </c>
      <c r="AV21" s="59" t="str">
        <f t="shared" si="31"/>
        <v xml:space="preserve">    { wxString::FromUTF8("\x33"), &amp;AllGlyphs[18], &amp;AllGlyphs[19], &amp;AllGlyphs[19], &amp;AllGlyphs[19], Connection::DIAG_BOTH, Connection::DIAG_BOTH, Connection::ORTHO_BOTH, Connection::ORTHO_BOTH, 0, 1, 1, 1 },</v>
      </c>
      <c r="AW21" s="60"/>
      <c r="AX21" s="60"/>
      <c r="AY21" s="60"/>
      <c r="AZ21" s="60"/>
      <c r="BA21" s="60"/>
      <c r="BB21" s="60"/>
      <c r="BC21" s="61"/>
      <c r="BE21" s="54" t="str">
        <f t="shared" si="22"/>
        <v>&amp;AllGlyphs[18]</v>
      </c>
      <c r="BF21" s="54" t="str">
        <f t="shared" si="23"/>
        <v>&amp;AllGlyphs[19]</v>
      </c>
      <c r="BG21" s="54" t="str">
        <f t="shared" si="24"/>
        <v>&amp;AllGlyphs[19]</v>
      </c>
      <c r="BH21" s="54" t="str">
        <f t="shared" si="25"/>
        <v>&amp;AllGlyphs[19]</v>
      </c>
      <c r="BJ21" s="58">
        <f t="shared" si="26"/>
        <v>0</v>
      </c>
      <c r="BK21" s="58">
        <f t="shared" si="27"/>
        <v>1</v>
      </c>
      <c r="BL21" s="58">
        <f t="shared" si="28"/>
        <v>1</v>
      </c>
      <c r="BM21" s="58">
        <f t="shared" si="29"/>
        <v>1</v>
      </c>
    </row>
    <row r="22" spans="1:65" ht="31.5" customHeight="1" x14ac:dyDescent="0.4">
      <c r="A22" s="7">
        <v>4</v>
      </c>
      <c r="B22" s="6">
        <f t="shared" si="0"/>
        <v>4</v>
      </c>
      <c r="C22" s="48" cm="1">
        <f t="array" ref="C22">IF($N22,INDEX($O:$O,MATCH(TRUE,EXACT(B22,$A:$A),0)),"")</f>
        <v>20</v>
      </c>
      <c r="D22" s="38" t="s">
        <v>22</v>
      </c>
      <c r="E22" s="48" cm="1">
        <f t="array" ref="E22">IF($N22,INDEX($O:$O,MATCH(TRUE,EXACT(D22,$A:$A),0)),"")</f>
        <v>86</v>
      </c>
      <c r="F22" s="38" t="s">
        <v>3</v>
      </c>
      <c r="G22" s="48" cm="1">
        <f t="array" ref="G22">IF($O22&lt;&gt;"",INDEX($O:$O,MATCH(TRUE,EXACT(F22,$A:$A),0)),"")</f>
        <v>82</v>
      </c>
      <c r="H22" s="38" t="s">
        <v>3</v>
      </c>
      <c r="I22" s="48" cm="1">
        <f t="array" ref="I22">IF($N22,INDEX($O:$O,MATCH(TRUE,EXACT(H22,$A:$A),0)),"")</f>
        <v>82</v>
      </c>
      <c r="J22" s="38">
        <v>4</v>
      </c>
      <c r="K22" s="52" cm="1">
        <f t="array" ref="K22">IF($N22,INDEX($O:$O,MATCH(TRUE,EXACT(J22,$A:$A),0)),"")</f>
        <v>20</v>
      </c>
      <c r="L22" s="23"/>
      <c r="M22" s="33"/>
      <c r="N22" s="18" t="b">
        <f t="shared" si="3"/>
        <v>1</v>
      </c>
      <c r="O22" s="19">
        <f>IF(N22, MAX(O$2:O21)+1,"")</f>
        <v>20</v>
      </c>
      <c r="P22" s="23">
        <f t="shared" si="1"/>
        <v>4</v>
      </c>
      <c r="Q22" s="8" t="str" cm="1">
        <f t="array" ref="Q22">CharToUTF8(A22)</f>
        <v>\x34</v>
      </c>
      <c r="S22" s="18" t="str">
        <f>$AO$2</f>
        <v>EMPTY</v>
      </c>
      <c r="T22" s="24" t="str">
        <f>$AO$3</f>
        <v>DIAG_BOTH</v>
      </c>
      <c r="U22" s="24" t="str">
        <f>$AO$2</f>
        <v>EMPTY</v>
      </c>
      <c r="V22" s="21" t="str">
        <f>$AO$2</f>
        <v>EMPTY</v>
      </c>
      <c r="X22" s="31" t="b">
        <f t="shared" si="5"/>
        <v>0</v>
      </c>
      <c r="Y22" s="31" t="b">
        <f t="shared" si="6"/>
        <v>0</v>
      </c>
      <c r="Z22" t="b">
        <f t="shared" si="7"/>
        <v>0</v>
      </c>
      <c r="AA22" t="b">
        <f t="shared" si="8"/>
        <v>1</v>
      </c>
      <c r="AB22" t="b">
        <f t="shared" si="9"/>
        <v>1</v>
      </c>
      <c r="AC22" t="b">
        <f t="shared" si="10"/>
        <v>0</v>
      </c>
      <c r="AD22" t="b">
        <f t="shared" si="11"/>
        <v>1</v>
      </c>
      <c r="AE22" t="b">
        <f t="shared" si="12"/>
        <v>0</v>
      </c>
      <c r="AF22" t="b">
        <f t="shared" si="13"/>
        <v>1</v>
      </c>
      <c r="AG22" t="b">
        <f t="shared" si="14"/>
        <v>1</v>
      </c>
      <c r="AH22" t="b">
        <f t="shared" si="15"/>
        <v>1</v>
      </c>
      <c r="AI22" t="b">
        <f t="shared" si="16"/>
        <v>1</v>
      </c>
      <c r="AJ22" t="b">
        <f t="shared" si="17"/>
        <v>1</v>
      </c>
      <c r="AK22" t="b">
        <f t="shared" si="18"/>
        <v>1</v>
      </c>
      <c r="AL22" t="b">
        <f t="shared" si="19"/>
        <v>1</v>
      </c>
      <c r="AM22" t="b">
        <f t="shared" si="20"/>
        <v>1</v>
      </c>
      <c r="AV22" s="59" t="str">
        <f t="shared" si="31"/>
        <v xml:space="preserve">    { wxString::FromUTF8("\x34"), &amp;AllGlyphs[86], &amp;AllGlyphs[82], &amp;AllGlyphs[82], &amp;AllGlyphs[20], Connection::EMPTY, Connection::DIAG_BOTH, Connection::EMPTY, Connection::EMPTY, 0, 0, 0, 1 },</v>
      </c>
      <c r="AW22" s="60"/>
      <c r="AX22" s="60"/>
      <c r="AY22" s="60"/>
      <c r="AZ22" s="60"/>
      <c r="BA22" s="60"/>
      <c r="BB22" s="60"/>
      <c r="BC22" s="61"/>
      <c r="BE22" s="54" t="str">
        <f t="shared" si="22"/>
        <v>&amp;AllGlyphs[86]</v>
      </c>
      <c r="BF22" s="54" t="str">
        <f t="shared" si="23"/>
        <v>&amp;AllGlyphs[82]</v>
      </c>
      <c r="BG22" s="54" t="str">
        <f t="shared" si="24"/>
        <v>&amp;AllGlyphs[82]</v>
      </c>
      <c r="BH22" s="54" t="str">
        <f t="shared" si="25"/>
        <v>&amp;AllGlyphs[20]</v>
      </c>
      <c r="BJ22" s="58">
        <f t="shared" si="26"/>
        <v>0</v>
      </c>
      <c r="BK22" s="58">
        <f t="shared" si="27"/>
        <v>0</v>
      </c>
      <c r="BL22" s="58">
        <f t="shared" si="28"/>
        <v>0</v>
      </c>
      <c r="BM22" s="58">
        <f t="shared" si="29"/>
        <v>1</v>
      </c>
    </row>
    <row r="23" spans="1:65" x14ac:dyDescent="0.4">
      <c r="A23" s="7">
        <v>5</v>
      </c>
      <c r="B23" s="6">
        <f t="shared" si="0"/>
        <v>5</v>
      </c>
      <c r="C23" s="48" cm="1">
        <f t="array" ref="C23">IF($N23,INDEX($O:$O,MATCH(TRUE,EXACT(B23,$A:$A),0)),"")</f>
        <v>21</v>
      </c>
      <c r="D23" s="38" t="s">
        <v>15</v>
      </c>
      <c r="E23" s="48" cm="1">
        <f t="array" ref="E23">IF($N23,INDEX($O:$O,MATCH(TRUE,EXACT(D23,$A:$A),0)),"")</f>
        <v>72</v>
      </c>
      <c r="F23" s="38" t="s">
        <v>4</v>
      </c>
      <c r="G23" s="48" cm="1">
        <f t="array" ref="G23">IF($O23&lt;&gt;"",INDEX($O:$O,MATCH(TRUE,EXACT(F23,$A:$A),0)),"")</f>
        <v>84</v>
      </c>
      <c r="H23" s="38" t="s">
        <v>4</v>
      </c>
      <c r="I23" s="48" cm="1">
        <f t="array" ref="I23">IF($N23,INDEX($O:$O,MATCH(TRUE,EXACT(H23,$A:$A),0)),"")</f>
        <v>84</v>
      </c>
      <c r="J23" s="38">
        <v>5</v>
      </c>
      <c r="K23" s="52" cm="1">
        <f t="array" ref="K23">IF($N23,INDEX($O:$O,MATCH(TRUE,EXACT(J23,$A:$A),0)),"")</f>
        <v>21</v>
      </c>
      <c r="L23" s="23"/>
      <c r="M23" s="33"/>
      <c r="N23" s="18" t="b">
        <f t="shared" si="3"/>
        <v>1</v>
      </c>
      <c r="O23" s="19">
        <f>IF(N23, MAX(O$2:O22)+1,"")</f>
        <v>21</v>
      </c>
      <c r="P23" s="23">
        <f t="shared" si="1"/>
        <v>5</v>
      </c>
      <c r="Q23" s="8" t="str" cm="1">
        <f t="array" ref="Q23">CharToUTF8(A23)</f>
        <v>\x35</v>
      </c>
      <c r="S23" s="18" t="str">
        <f>$AO$3</f>
        <v>DIAG_BOTH</v>
      </c>
      <c r="T23" s="24" t="str">
        <f t="shared" ref="T23:T28" si="32">$AO$4</f>
        <v>ORTHO_BOTH</v>
      </c>
      <c r="U23" s="24" t="str">
        <f>$AO$3</f>
        <v>DIAG_BOTH</v>
      </c>
      <c r="V23" s="21" t="str">
        <f>$AO$3</f>
        <v>DIAG_BOTH</v>
      </c>
      <c r="X23" s="31" t="b">
        <f t="shared" si="5"/>
        <v>0</v>
      </c>
      <c r="Y23" s="31" t="b">
        <f t="shared" si="6"/>
        <v>0</v>
      </c>
      <c r="Z23" t="b">
        <f t="shared" si="7"/>
        <v>0</v>
      </c>
      <c r="AA23" t="b">
        <f t="shared" si="8"/>
        <v>1</v>
      </c>
      <c r="AB23" t="b">
        <f t="shared" si="9"/>
        <v>1</v>
      </c>
      <c r="AC23" t="b">
        <f t="shared" si="10"/>
        <v>0</v>
      </c>
      <c r="AD23" t="b">
        <f t="shared" si="11"/>
        <v>1</v>
      </c>
      <c r="AE23" t="b">
        <f t="shared" si="12"/>
        <v>0</v>
      </c>
      <c r="AF23" t="b">
        <f t="shared" si="13"/>
        <v>1</v>
      </c>
      <c r="AG23" t="b">
        <f t="shared" si="14"/>
        <v>1</v>
      </c>
      <c r="AH23" t="b">
        <f t="shared" si="15"/>
        <v>1</v>
      </c>
      <c r="AI23" t="b">
        <f t="shared" si="16"/>
        <v>1</v>
      </c>
      <c r="AJ23" t="b">
        <f t="shared" si="17"/>
        <v>1</v>
      </c>
      <c r="AK23" t="b">
        <f t="shared" si="18"/>
        <v>1</v>
      </c>
      <c r="AL23" t="b">
        <f t="shared" si="19"/>
        <v>1</v>
      </c>
      <c r="AM23" t="b">
        <f t="shared" si="20"/>
        <v>1</v>
      </c>
      <c r="AV23" s="59" t="str">
        <f t="shared" si="31"/>
        <v xml:space="preserve">    { wxString::FromUTF8("\x35"), &amp;AllGlyphs[72], &amp;AllGlyphs[84], &amp;AllGlyphs[84], &amp;AllGlyphs[21], Connection::DIAG_BOTH, Connection::ORTHO_BOTH, Connection::DIAG_BOTH, Connection::DIAG_BOTH, 0, 0, 0, 1 },</v>
      </c>
      <c r="AW23" s="60"/>
      <c r="AX23" s="60"/>
      <c r="AY23" s="60"/>
      <c r="AZ23" s="60"/>
      <c r="BA23" s="60"/>
      <c r="BB23" s="60"/>
      <c r="BC23" s="61"/>
      <c r="BE23" s="54" t="str">
        <f t="shared" si="22"/>
        <v>&amp;AllGlyphs[72]</v>
      </c>
      <c r="BF23" s="54" t="str">
        <f t="shared" si="23"/>
        <v>&amp;AllGlyphs[84]</v>
      </c>
      <c r="BG23" s="54" t="str">
        <f t="shared" si="24"/>
        <v>&amp;AllGlyphs[84]</v>
      </c>
      <c r="BH23" s="54" t="str">
        <f t="shared" si="25"/>
        <v>&amp;AllGlyphs[21]</v>
      </c>
      <c r="BJ23" s="58">
        <f t="shared" si="26"/>
        <v>0</v>
      </c>
      <c r="BK23" s="58">
        <f t="shared" si="27"/>
        <v>0</v>
      </c>
      <c r="BL23" s="58">
        <f t="shared" si="28"/>
        <v>0</v>
      </c>
      <c r="BM23" s="58">
        <f t="shared" si="29"/>
        <v>1</v>
      </c>
    </row>
    <row r="24" spans="1:65" x14ac:dyDescent="0.4">
      <c r="A24" s="7">
        <v>6</v>
      </c>
      <c r="B24" s="6">
        <f t="shared" si="0"/>
        <v>6</v>
      </c>
      <c r="C24" s="48" cm="1">
        <f t="array" ref="C24">IF($N24,INDEX($O:$O,MATCH(TRUE,EXACT(B24,$A:$A),0)),"")</f>
        <v>22</v>
      </c>
      <c r="D24" s="38" t="s">
        <v>24</v>
      </c>
      <c r="E24" s="48" cm="1">
        <f t="array" ref="E24">IF($N24,INDEX($O:$O,MATCH(TRUE,EXACT(D24,$A:$A),0)),"")</f>
        <v>78</v>
      </c>
      <c r="F24" s="38" t="s">
        <v>5</v>
      </c>
      <c r="G24" s="48" cm="1">
        <f t="array" ref="G24">IF($O24&lt;&gt;"",INDEX($O:$O,MATCH(TRUE,EXACT(F24,$A:$A),0)),"")</f>
        <v>89</v>
      </c>
      <c r="H24" s="38" t="s">
        <v>5</v>
      </c>
      <c r="I24" s="48" cm="1">
        <f t="array" ref="I24">IF($N24,INDEX($O:$O,MATCH(TRUE,EXACT(H24,$A:$A),0)),"")</f>
        <v>89</v>
      </c>
      <c r="J24" s="38">
        <v>6</v>
      </c>
      <c r="K24" s="52" cm="1">
        <f t="array" ref="K24">IF($N24,INDEX($O:$O,MATCH(TRUE,EXACT(J24,$A:$A),0)),"")</f>
        <v>22</v>
      </c>
      <c r="L24" s="23"/>
      <c r="M24" s="33"/>
      <c r="N24" s="18" t="b">
        <f t="shared" si="3"/>
        <v>1</v>
      </c>
      <c r="O24" s="19">
        <f>IF(N24, MAX(O$2:O23)+1,"")</f>
        <v>22</v>
      </c>
      <c r="P24" s="23">
        <f t="shared" si="1"/>
        <v>6</v>
      </c>
      <c r="Q24" s="8" t="str" cm="1">
        <f t="array" ref="Q24">CharToUTF8(A24)</f>
        <v>\x36</v>
      </c>
      <c r="S24" s="18" t="str">
        <f>$AO$2</f>
        <v>EMPTY</v>
      </c>
      <c r="T24" s="24" t="str">
        <f t="shared" si="32"/>
        <v>ORTHO_BOTH</v>
      </c>
      <c r="U24" s="24" t="str">
        <f>$AO$3</f>
        <v>DIAG_BOTH</v>
      </c>
      <c r="V24" s="21" t="str">
        <f>$AO$3</f>
        <v>DIAG_BOTH</v>
      </c>
      <c r="X24" s="31" t="b">
        <f t="shared" si="5"/>
        <v>0</v>
      </c>
      <c r="Y24" s="31" t="b">
        <f t="shared" si="6"/>
        <v>0</v>
      </c>
      <c r="Z24" t="b">
        <f t="shared" si="7"/>
        <v>0</v>
      </c>
      <c r="AA24" t="b">
        <f t="shared" si="8"/>
        <v>1</v>
      </c>
      <c r="AB24" t="b">
        <f t="shared" si="9"/>
        <v>0</v>
      </c>
      <c r="AC24" t="b">
        <f t="shared" si="10"/>
        <v>0</v>
      </c>
      <c r="AD24" t="b">
        <f t="shared" si="11"/>
        <v>0</v>
      </c>
      <c r="AE24" t="b">
        <f t="shared" si="12"/>
        <v>0</v>
      </c>
      <c r="AF24" t="b">
        <f t="shared" si="13"/>
        <v>1</v>
      </c>
      <c r="AG24" t="b">
        <f t="shared" si="14"/>
        <v>1</v>
      </c>
      <c r="AH24" t="b">
        <f t="shared" si="15"/>
        <v>1</v>
      </c>
      <c r="AI24" t="b">
        <f t="shared" si="16"/>
        <v>1</v>
      </c>
      <c r="AJ24" t="b">
        <f t="shared" si="17"/>
        <v>1</v>
      </c>
      <c r="AK24" t="b">
        <f t="shared" si="18"/>
        <v>1</v>
      </c>
      <c r="AL24" t="b">
        <f t="shared" si="19"/>
        <v>1</v>
      </c>
      <c r="AM24" t="b">
        <f t="shared" si="20"/>
        <v>1</v>
      </c>
      <c r="AV24" s="59" t="str">
        <f t="shared" si="31"/>
        <v xml:space="preserve">    { wxString::FromUTF8("\x36"), &amp;AllGlyphs[78], &amp;AllGlyphs[89], &amp;AllGlyphs[89], &amp;AllGlyphs[22], Connection::EMPTY, Connection::ORTHO_BOTH, Connection::DIAG_BOTH, Connection::DIAG_BOTH, 0, 0, 0, 1 },</v>
      </c>
      <c r="AW24" s="60"/>
      <c r="AX24" s="60"/>
      <c r="AY24" s="60"/>
      <c r="AZ24" s="60"/>
      <c r="BA24" s="60"/>
      <c r="BB24" s="60"/>
      <c r="BC24" s="61"/>
      <c r="BE24" s="54" t="str">
        <f t="shared" si="22"/>
        <v>&amp;AllGlyphs[78]</v>
      </c>
      <c r="BF24" s="54" t="str">
        <f t="shared" si="23"/>
        <v>&amp;AllGlyphs[89]</v>
      </c>
      <c r="BG24" s="54" t="str">
        <f t="shared" si="24"/>
        <v>&amp;AllGlyphs[89]</v>
      </c>
      <c r="BH24" s="54" t="str">
        <f t="shared" si="25"/>
        <v>&amp;AllGlyphs[22]</v>
      </c>
      <c r="BJ24" s="58">
        <f t="shared" si="26"/>
        <v>0</v>
      </c>
      <c r="BK24" s="58">
        <f t="shared" si="27"/>
        <v>0</v>
      </c>
      <c r="BL24" s="58">
        <f t="shared" si="28"/>
        <v>0</v>
      </c>
      <c r="BM24" s="58">
        <f t="shared" si="29"/>
        <v>1</v>
      </c>
    </row>
    <row r="25" spans="1:65" x14ac:dyDescent="0.4">
      <c r="A25" s="7">
        <v>7</v>
      </c>
      <c r="B25" s="6">
        <f t="shared" si="0"/>
        <v>7</v>
      </c>
      <c r="C25" s="48" cm="1">
        <f t="array" ref="C25">IF($N25,INDEX($O:$O,MATCH(TRUE,EXACT(B25,$A:$A),0)),"")</f>
        <v>23</v>
      </c>
      <c r="D25" s="38" t="s">
        <v>17</v>
      </c>
      <c r="E25" s="48" cm="1">
        <f t="array" ref="E25">IF($N25,INDEX($O:$O,MATCH(TRUE,EXACT(D25,$A:$A),0)),"")</f>
        <v>75</v>
      </c>
      <c r="F25" s="38" t="s">
        <v>7</v>
      </c>
      <c r="G25" s="48" cm="1">
        <f t="array" ref="G25">IF($O25&lt;&gt;"",INDEX($O:$O,MATCH(TRUE,EXACT(F25,$A:$A),0)),"")</f>
        <v>73</v>
      </c>
      <c r="H25" s="38" t="s">
        <v>6</v>
      </c>
      <c r="I25" s="48" cm="1">
        <f t="array" ref="I25">IF($N25,INDEX($O:$O,MATCH(TRUE,EXACT(H25,$A:$A),0)),"")</f>
        <v>85</v>
      </c>
      <c r="J25" s="38">
        <v>8</v>
      </c>
      <c r="K25" s="52" cm="1">
        <f t="array" ref="K25">IF($N25,INDEX($O:$O,MATCH(TRUE,EXACT(J25,$A:$A),0)),"")</f>
        <v>24</v>
      </c>
      <c r="L25" s="23"/>
      <c r="M25" s="33"/>
      <c r="N25" s="18" t="b">
        <f t="shared" si="3"/>
        <v>1</v>
      </c>
      <c r="O25" s="19">
        <f>IF(N25, MAX(O$2:O24)+1,"")</f>
        <v>23</v>
      </c>
      <c r="P25" s="23">
        <f t="shared" si="1"/>
        <v>7</v>
      </c>
      <c r="Q25" s="8" t="str" cm="1">
        <f t="array" ref="Q25">CharToUTF8(A25)</f>
        <v>\x37</v>
      </c>
      <c r="S25" s="18" t="str">
        <f>$AO$3</f>
        <v>DIAG_BOTH</v>
      </c>
      <c r="T25" s="24" t="str">
        <f t="shared" si="32"/>
        <v>ORTHO_BOTH</v>
      </c>
      <c r="U25" s="24" t="str">
        <f>$AO$2</f>
        <v>EMPTY</v>
      </c>
      <c r="V25" s="21" t="str">
        <f>$AO$3</f>
        <v>DIAG_BOTH</v>
      </c>
      <c r="X25" s="31" t="b">
        <f t="shared" si="5"/>
        <v>0</v>
      </c>
      <c r="Y25" s="31" t="b">
        <f t="shared" si="6"/>
        <v>0</v>
      </c>
      <c r="Z25" t="b">
        <f t="shared" si="7"/>
        <v>0</v>
      </c>
      <c r="AA25" t="b">
        <f t="shared" si="8"/>
        <v>0</v>
      </c>
      <c r="AB25" t="b">
        <f t="shared" si="9"/>
        <v>1</v>
      </c>
      <c r="AC25" t="b">
        <f t="shared" si="10"/>
        <v>0</v>
      </c>
      <c r="AD25" t="b">
        <f t="shared" si="11"/>
        <v>0</v>
      </c>
      <c r="AE25" t="b">
        <f t="shared" si="12"/>
        <v>0</v>
      </c>
      <c r="AF25" t="b">
        <f t="shared" si="13"/>
        <v>1</v>
      </c>
      <c r="AG25" t="b">
        <f t="shared" si="14"/>
        <v>1</v>
      </c>
      <c r="AH25" t="b">
        <f t="shared" si="15"/>
        <v>1</v>
      </c>
      <c r="AI25" t="b">
        <f t="shared" si="16"/>
        <v>1</v>
      </c>
      <c r="AJ25" t="b">
        <f t="shared" si="17"/>
        <v>1</v>
      </c>
      <c r="AK25" t="b">
        <f t="shared" si="18"/>
        <v>1</v>
      </c>
      <c r="AL25" t="b">
        <f t="shared" si="19"/>
        <v>1</v>
      </c>
      <c r="AM25" t="b">
        <f t="shared" si="20"/>
        <v>1</v>
      </c>
      <c r="AV25" s="59" t="str">
        <f t="shared" si="31"/>
        <v xml:space="preserve">    { wxString::FromUTF8("\x37"), &amp;AllGlyphs[75], &amp;AllGlyphs[73], &amp;AllGlyphs[85], &amp;AllGlyphs[24], Connection::DIAG_BOTH, Connection::ORTHO_BOTH, Connection::EMPTY, Connection::DIAG_BOTH, 0, 0, 0, 0 },</v>
      </c>
      <c r="AW25" s="60"/>
      <c r="AX25" s="60"/>
      <c r="AY25" s="60"/>
      <c r="AZ25" s="60"/>
      <c r="BA25" s="60"/>
      <c r="BB25" s="60"/>
      <c r="BC25" s="61"/>
      <c r="BE25" s="54" t="str">
        <f t="shared" si="22"/>
        <v>&amp;AllGlyphs[75]</v>
      </c>
      <c r="BF25" s="54" t="str">
        <f t="shared" si="23"/>
        <v>&amp;AllGlyphs[73]</v>
      </c>
      <c r="BG25" s="54" t="str">
        <f t="shared" si="24"/>
        <v>&amp;AllGlyphs[85]</v>
      </c>
      <c r="BH25" s="54" t="str">
        <f t="shared" si="25"/>
        <v>&amp;AllGlyphs[24]</v>
      </c>
      <c r="BJ25" s="58">
        <f t="shared" si="26"/>
        <v>0</v>
      </c>
      <c r="BK25" s="58">
        <f t="shared" si="27"/>
        <v>0</v>
      </c>
      <c r="BL25" s="58">
        <f t="shared" si="28"/>
        <v>0</v>
      </c>
      <c r="BM25" s="58">
        <f t="shared" si="29"/>
        <v>0</v>
      </c>
    </row>
    <row r="26" spans="1:65" ht="31.5" customHeight="1" x14ac:dyDescent="0.4">
      <c r="A26" s="7">
        <v>8</v>
      </c>
      <c r="B26" s="6">
        <f t="shared" si="0"/>
        <v>8</v>
      </c>
      <c r="C26" s="48" cm="1">
        <f t="array" ref="C26">IF($N26,INDEX($O:$O,MATCH(TRUE,EXACT(B26,$A:$A),0)),"")</f>
        <v>24</v>
      </c>
      <c r="D26" s="38" t="s">
        <v>64</v>
      </c>
      <c r="E26" s="48" cm="1">
        <f t="array" ref="E26">IF($N26,INDEX($O:$O,MATCH(TRUE,EXACT(D26,$A:$A),0)),"")</f>
        <v>12</v>
      </c>
      <c r="F26" s="38" t="s">
        <v>6</v>
      </c>
      <c r="G26" s="48" cm="1">
        <f t="array" ref="G26">IF($O26&lt;&gt;"",INDEX($O:$O,MATCH(TRUE,EXACT(F26,$A:$A),0)),"")</f>
        <v>85</v>
      </c>
      <c r="H26" s="38" t="s">
        <v>7</v>
      </c>
      <c r="I26" s="48" cm="1">
        <f t="array" ref="I26">IF($N26,INDEX($O:$O,MATCH(TRUE,EXACT(H26,$A:$A),0)),"")</f>
        <v>73</v>
      </c>
      <c r="J26" s="38">
        <v>7</v>
      </c>
      <c r="K26" s="52" cm="1">
        <f t="array" ref="K26">IF($N26,INDEX($O:$O,MATCH(TRUE,EXACT(J26,$A:$A),0)),"")</f>
        <v>23</v>
      </c>
      <c r="L26" s="23"/>
      <c r="M26" s="33"/>
      <c r="N26" s="18" t="b">
        <f t="shared" si="3"/>
        <v>1</v>
      </c>
      <c r="O26" s="19">
        <f>IF(N26, MAX(O$2:O25)+1,"")</f>
        <v>24</v>
      </c>
      <c r="P26" s="23">
        <f t="shared" si="1"/>
        <v>8</v>
      </c>
      <c r="Q26" s="8" t="str" cm="1">
        <f t="array" ref="Q26">CharToUTF8(A26)</f>
        <v>\x38</v>
      </c>
      <c r="S26" s="18" t="str">
        <f>$AO$3</f>
        <v>DIAG_BOTH</v>
      </c>
      <c r="T26" s="24" t="str">
        <f t="shared" si="32"/>
        <v>ORTHO_BOTH</v>
      </c>
      <c r="U26" s="24" t="str">
        <f>$AO$3</f>
        <v>DIAG_BOTH</v>
      </c>
      <c r="V26" s="21" t="str">
        <f>$AO$2</f>
        <v>EMPTY</v>
      </c>
      <c r="X26" s="31" t="b">
        <f t="shared" si="5"/>
        <v>0</v>
      </c>
      <c r="Y26" s="31" t="b">
        <f t="shared" si="6"/>
        <v>0</v>
      </c>
      <c r="Z26" t="b">
        <f t="shared" si="7"/>
        <v>0</v>
      </c>
      <c r="AA26" t="b">
        <f t="shared" si="8"/>
        <v>0</v>
      </c>
      <c r="AB26" t="b">
        <f t="shared" si="9"/>
        <v>0</v>
      </c>
      <c r="AC26" t="b">
        <f t="shared" si="10"/>
        <v>0</v>
      </c>
      <c r="AD26" t="b">
        <f t="shared" si="11"/>
        <v>1</v>
      </c>
      <c r="AE26" t="b">
        <f t="shared" si="12"/>
        <v>0</v>
      </c>
      <c r="AF26" t="b">
        <f t="shared" si="13"/>
        <v>1</v>
      </c>
      <c r="AG26" t="b">
        <f t="shared" si="14"/>
        <v>1</v>
      </c>
      <c r="AH26" t="b">
        <f t="shared" si="15"/>
        <v>1</v>
      </c>
      <c r="AI26" t="b">
        <f t="shared" si="16"/>
        <v>1</v>
      </c>
      <c r="AJ26" t="b">
        <f t="shared" si="17"/>
        <v>1</v>
      </c>
      <c r="AK26" t="b">
        <f t="shared" si="18"/>
        <v>1</v>
      </c>
      <c r="AL26" t="b">
        <f t="shared" si="19"/>
        <v>1</v>
      </c>
      <c r="AM26" t="b">
        <f t="shared" si="20"/>
        <v>1</v>
      </c>
      <c r="AV26" s="59" t="str">
        <f t="shared" si="31"/>
        <v xml:space="preserve">    { wxString::FromUTF8("\x38"), &amp;AllGlyphs[12], &amp;AllGlyphs[85], &amp;AllGlyphs[73], &amp;AllGlyphs[23], Connection::DIAG_BOTH, Connection::ORTHO_BOTH, Connection::DIAG_BOTH, Connection::EMPTY, 0, 0, 0, 0 },</v>
      </c>
      <c r="AW26" s="60"/>
      <c r="AX26" s="60"/>
      <c r="AY26" s="60"/>
      <c r="AZ26" s="60"/>
      <c r="BA26" s="60"/>
      <c r="BB26" s="60"/>
      <c r="BC26" s="61"/>
      <c r="BE26" s="54" t="str">
        <f t="shared" si="22"/>
        <v>&amp;AllGlyphs[12]</v>
      </c>
      <c r="BF26" s="54" t="str">
        <f t="shared" si="23"/>
        <v>&amp;AllGlyphs[85]</v>
      </c>
      <c r="BG26" s="54" t="str">
        <f t="shared" si="24"/>
        <v>&amp;AllGlyphs[73]</v>
      </c>
      <c r="BH26" s="54" t="str">
        <f t="shared" si="25"/>
        <v>&amp;AllGlyphs[23]</v>
      </c>
      <c r="BJ26" s="58">
        <f t="shared" si="26"/>
        <v>0</v>
      </c>
      <c r="BK26" s="58">
        <f t="shared" si="27"/>
        <v>0</v>
      </c>
      <c r="BL26" s="58">
        <f t="shared" si="28"/>
        <v>0</v>
      </c>
      <c r="BM26" s="58">
        <f t="shared" si="29"/>
        <v>0</v>
      </c>
    </row>
    <row r="27" spans="1:65" x14ac:dyDescent="0.4">
      <c r="A27" s="7">
        <v>9</v>
      </c>
      <c r="B27" s="6">
        <f t="shared" si="0"/>
        <v>9</v>
      </c>
      <c r="C27" s="48" cm="1">
        <f t="array" ref="C27">IF($N27,INDEX($O:$O,MATCH(TRUE,EXACT(B27,$A:$A),0)),"")</f>
        <v>25</v>
      </c>
      <c r="D27" s="38" t="s">
        <v>66</v>
      </c>
      <c r="E27" s="48" cm="1">
        <f t="array" ref="E27">IF($N27,INDEX($O:$O,MATCH(TRUE,EXACT(D27,$A:$A),0)),"")</f>
        <v>27</v>
      </c>
      <c r="F27" s="38" t="s">
        <v>9</v>
      </c>
      <c r="G27" s="48" cm="1">
        <f t="array" ref="G27">IF($O27&lt;&gt;"",INDEX($O:$O,MATCH(TRUE,EXACT(F27,$A:$A),0)),"")</f>
        <v>80</v>
      </c>
      <c r="H27" s="38" t="s">
        <v>8</v>
      </c>
      <c r="I27" s="48" cm="1">
        <f t="array" ref="I27">IF($N27,INDEX($O:$O,MATCH(TRUE,EXACT(H27,$A:$A),0)),"")</f>
        <v>79</v>
      </c>
      <c r="J27" s="38">
        <v>0</v>
      </c>
      <c r="K27" s="52" cm="1">
        <f t="array" ref="K27">IF($N27,INDEX($O:$O,MATCH(TRUE,EXACT(J27,$A:$A),0)),"")</f>
        <v>16</v>
      </c>
      <c r="L27" s="23"/>
      <c r="M27" s="33"/>
      <c r="N27" s="18" t="b">
        <f t="shared" si="3"/>
        <v>1</v>
      </c>
      <c r="O27" s="19">
        <f>IF(N27, MAX(O$2:O26)+1,"")</f>
        <v>25</v>
      </c>
      <c r="P27" s="23">
        <f t="shared" si="1"/>
        <v>9</v>
      </c>
      <c r="Q27" s="8" t="str" cm="1">
        <f t="array" ref="Q27">CharToUTF8(A27)</f>
        <v>\x39</v>
      </c>
      <c r="S27" s="18" t="str">
        <f>$AO$2</f>
        <v>EMPTY</v>
      </c>
      <c r="T27" s="24" t="str">
        <f t="shared" si="32"/>
        <v>ORTHO_BOTH</v>
      </c>
      <c r="U27" s="24" t="str">
        <f>$AO$2</f>
        <v>EMPTY</v>
      </c>
      <c r="V27" s="21" t="str">
        <f>$AO$3</f>
        <v>DIAG_BOTH</v>
      </c>
      <c r="X27" s="31" t="b">
        <f t="shared" si="5"/>
        <v>0</v>
      </c>
      <c r="Y27" s="31" t="b">
        <f t="shared" si="6"/>
        <v>0</v>
      </c>
      <c r="Z27" t="b">
        <f t="shared" si="7"/>
        <v>0</v>
      </c>
      <c r="AA27" t="b">
        <f t="shared" si="8"/>
        <v>0</v>
      </c>
      <c r="AB27" t="b">
        <f t="shared" si="9"/>
        <v>0</v>
      </c>
      <c r="AC27" t="b">
        <f t="shared" si="10"/>
        <v>0</v>
      </c>
      <c r="AD27" t="b">
        <f t="shared" si="11"/>
        <v>1</v>
      </c>
      <c r="AE27" t="b">
        <f t="shared" si="12"/>
        <v>0</v>
      </c>
      <c r="AF27" t="b">
        <f t="shared" si="13"/>
        <v>1</v>
      </c>
      <c r="AG27" t="b">
        <f t="shared" si="14"/>
        <v>1</v>
      </c>
      <c r="AH27" t="b">
        <f t="shared" si="15"/>
        <v>1</v>
      </c>
      <c r="AI27" t="b">
        <f t="shared" si="16"/>
        <v>1</v>
      </c>
      <c r="AJ27" t="b">
        <f t="shared" si="17"/>
        <v>1</v>
      </c>
      <c r="AK27" t="b">
        <f t="shared" si="18"/>
        <v>1</v>
      </c>
      <c r="AL27" t="b">
        <f t="shared" si="19"/>
        <v>1</v>
      </c>
      <c r="AM27" t="b">
        <f t="shared" si="20"/>
        <v>1</v>
      </c>
      <c r="AV27" s="59" t="str">
        <f t="shared" si="31"/>
        <v xml:space="preserve">    { wxString::FromUTF8("\x39"), &amp;AllGlyphs[27], &amp;AllGlyphs[80], &amp;AllGlyphs[79], &amp;AllGlyphs[16], Connection::EMPTY, Connection::ORTHO_BOTH, Connection::EMPTY, Connection::DIAG_BOTH, 0, 0, 0, 0 },</v>
      </c>
      <c r="AW27" s="60"/>
      <c r="AX27" s="60"/>
      <c r="AY27" s="60"/>
      <c r="AZ27" s="60"/>
      <c r="BA27" s="60"/>
      <c r="BB27" s="60"/>
      <c r="BC27" s="61"/>
      <c r="BE27" s="54" t="str">
        <f t="shared" si="22"/>
        <v>&amp;AllGlyphs[27]</v>
      </c>
      <c r="BF27" s="54" t="str">
        <f t="shared" si="23"/>
        <v>&amp;AllGlyphs[80]</v>
      </c>
      <c r="BG27" s="54" t="str">
        <f t="shared" si="24"/>
        <v>&amp;AllGlyphs[79]</v>
      </c>
      <c r="BH27" s="54" t="str">
        <f t="shared" si="25"/>
        <v>&amp;AllGlyphs[16]</v>
      </c>
      <c r="BJ27" s="58">
        <f t="shared" si="26"/>
        <v>0</v>
      </c>
      <c r="BK27" s="58">
        <f t="shared" si="27"/>
        <v>0</v>
      </c>
      <c r="BL27" s="58">
        <f t="shared" si="28"/>
        <v>0</v>
      </c>
      <c r="BM27" s="58">
        <f t="shared" si="29"/>
        <v>0</v>
      </c>
    </row>
    <row r="28" spans="1:65" x14ac:dyDescent="0.4">
      <c r="A28" s="7" t="s">
        <v>67</v>
      </c>
      <c r="B28" s="9" t="str">
        <f t="shared" si="0"/>
        <v>:</v>
      </c>
      <c r="C28" s="48" cm="1">
        <f t="array" ref="C28">IF($N28,INDEX($O:$O,MATCH(TRUE,EXACT(B28,$A:$A),0)),"")</f>
        <v>26</v>
      </c>
      <c r="D28" s="39" t="s">
        <v>167</v>
      </c>
      <c r="E28" s="48" cm="1">
        <f t="array" ref="E28">IF($N28,INDEX($O:$O,MATCH(TRUE,EXACT(D28,$A:$A),0)),"")</f>
        <v>31</v>
      </c>
      <c r="F28" s="39" t="s">
        <v>166</v>
      </c>
      <c r="G28" s="48" cm="1">
        <f t="array" ref="G28">IF($O28&lt;&gt;"",INDEX($O:$O,MATCH(TRUE,EXACT(F28,$A:$A),0)),"")</f>
        <v>30</v>
      </c>
      <c r="H28" s="39" t="s">
        <v>167</v>
      </c>
      <c r="I28" s="48" cm="1">
        <f t="array" ref="I28">IF($N28,INDEX($O:$O,MATCH(TRUE,EXACT(H28,$A:$A),0)),"")</f>
        <v>31</v>
      </c>
      <c r="J28" s="39" t="s">
        <v>44</v>
      </c>
      <c r="K28" s="52" cm="1">
        <f t="array" ref="K28">IF($N28,INDEX($O:$O,MATCH(TRUE,EXACT(J28,$A:$A),0)),"")</f>
        <v>44</v>
      </c>
      <c r="L28" s="46"/>
      <c r="M28" s="34"/>
      <c r="N28" s="18" t="b">
        <f t="shared" si="3"/>
        <v>1</v>
      </c>
      <c r="O28" s="19">
        <f>IF(N28, MAX(O$2:O27)+1,"")</f>
        <v>26</v>
      </c>
      <c r="P28" s="23" t="str">
        <f t="shared" si="1"/>
        <v>:</v>
      </c>
      <c r="Q28" s="8" t="str" cm="1">
        <f t="array" ref="Q28">CharToUTF8(A28)</f>
        <v>\x3A</v>
      </c>
      <c r="S28" s="18" t="str">
        <f>$AO$2</f>
        <v>EMPTY</v>
      </c>
      <c r="T28" s="24" t="str">
        <f t="shared" si="32"/>
        <v>ORTHO_BOTH</v>
      </c>
      <c r="U28" s="24" t="str">
        <f>$AO$4</f>
        <v>ORTHO_BOTH</v>
      </c>
      <c r="V28" s="21" t="str">
        <f>$AO$2</f>
        <v>EMPTY</v>
      </c>
      <c r="X28" s="31" t="b">
        <f t="shared" si="5"/>
        <v>0</v>
      </c>
      <c r="Y28" s="31" t="b">
        <f t="shared" si="6"/>
        <v>0</v>
      </c>
      <c r="Z28" t="b">
        <f t="shared" si="7"/>
        <v>0</v>
      </c>
      <c r="AA28" t="b">
        <f t="shared" si="8"/>
        <v>0</v>
      </c>
      <c r="AB28" t="b">
        <f t="shared" si="9"/>
        <v>1</v>
      </c>
      <c r="AC28" t="b">
        <f t="shared" si="10"/>
        <v>1</v>
      </c>
      <c r="AD28" t="b">
        <f t="shared" si="11"/>
        <v>0</v>
      </c>
      <c r="AE28" t="b">
        <f t="shared" si="12"/>
        <v>0</v>
      </c>
      <c r="AF28" t="b">
        <f t="shared" si="13"/>
        <v>1</v>
      </c>
      <c r="AG28" t="b">
        <f t="shared" si="14"/>
        <v>1</v>
      </c>
      <c r="AH28" t="b">
        <f t="shared" si="15"/>
        <v>1</v>
      </c>
      <c r="AI28" t="b">
        <f t="shared" si="16"/>
        <v>1</v>
      </c>
      <c r="AJ28" t="b">
        <f t="shared" si="17"/>
        <v>1</v>
      </c>
      <c r="AK28" t="b">
        <f t="shared" si="18"/>
        <v>1</v>
      </c>
      <c r="AL28" t="b">
        <f t="shared" si="19"/>
        <v>1</v>
      </c>
      <c r="AM28" t="b">
        <f t="shared" si="20"/>
        <v>1</v>
      </c>
      <c r="AV28" s="59" t="str">
        <f t="shared" si="31"/>
        <v xml:space="preserve">    { wxString::FromUTF8("\x3A"), &amp;AllGlyphs[31], &amp;AllGlyphs[30], &amp;AllGlyphs[31], &amp;AllGlyphs[44], Connection::EMPTY, Connection::ORTHO_BOTH, Connection::ORTHO_BOTH, Connection::EMPTY, 0, 0, 0, 0 },</v>
      </c>
      <c r="AW28" s="60"/>
      <c r="AX28" s="60"/>
      <c r="AY28" s="60"/>
      <c r="AZ28" s="60"/>
      <c r="BA28" s="60"/>
      <c r="BB28" s="60"/>
      <c r="BC28" s="61"/>
      <c r="BE28" s="54" t="str">
        <f t="shared" si="22"/>
        <v>&amp;AllGlyphs[31]</v>
      </c>
      <c r="BF28" s="54" t="str">
        <f t="shared" si="23"/>
        <v>&amp;AllGlyphs[30]</v>
      </c>
      <c r="BG28" s="54" t="str">
        <f t="shared" si="24"/>
        <v>&amp;AllGlyphs[31]</v>
      </c>
      <c r="BH28" s="54" t="str">
        <f t="shared" si="25"/>
        <v>&amp;AllGlyphs[44]</v>
      </c>
      <c r="BJ28" s="58">
        <f t="shared" si="26"/>
        <v>0</v>
      </c>
      <c r="BK28" s="58">
        <f t="shared" si="27"/>
        <v>0</v>
      </c>
      <c r="BL28" s="58">
        <f t="shared" si="28"/>
        <v>0</v>
      </c>
      <c r="BM28" s="58">
        <f t="shared" si="29"/>
        <v>0</v>
      </c>
    </row>
    <row r="29" spans="1:65" x14ac:dyDescent="0.4">
      <c r="A29" s="7" t="s">
        <v>66</v>
      </c>
      <c r="B29" s="6" t="str">
        <f t="shared" si="0"/>
        <v>;</v>
      </c>
      <c r="C29" s="48" cm="1">
        <f t="array" ref="C29">IF($N29,INDEX($O:$O,MATCH(TRUE,EXACT(B29,$A:$A),0)),"")</f>
        <v>27</v>
      </c>
      <c r="D29" s="38" t="s">
        <v>9</v>
      </c>
      <c r="E29" s="48" cm="1">
        <f t="array" ref="E29">IF($N29,INDEX($O:$O,MATCH(TRUE,EXACT(D29,$A:$A),0)),"")</f>
        <v>80</v>
      </c>
      <c r="F29" s="38" t="s">
        <v>73</v>
      </c>
      <c r="G29" s="48" cm="1">
        <f t="array" ref="G29">IF($O29&lt;&gt;"",INDEX($O:$O,MATCH(TRUE,EXACT(F29,$A:$A),0)),"")</f>
        <v>14</v>
      </c>
      <c r="H29" s="38" t="s">
        <v>65</v>
      </c>
      <c r="I29" s="48" cm="1">
        <f t="array" ref="I29">IF($N29,INDEX($O:$O,MATCH(TRUE,EXACT(H29,$A:$A),0)),"")</f>
        <v>15</v>
      </c>
      <c r="J29" s="38" t="s">
        <v>18</v>
      </c>
      <c r="K29" s="52" cm="1">
        <f t="array" ref="K29">IF($N29,INDEX($O:$O,MATCH(TRUE,EXACT(J29,$A:$A),0)),"")</f>
        <v>76</v>
      </c>
      <c r="L29" s="23"/>
      <c r="M29" s="33"/>
      <c r="N29" s="18" t="b">
        <f t="shared" si="3"/>
        <v>1</v>
      </c>
      <c r="O29" s="19">
        <f>IF(N29, MAX(O$2:O28)+1,"")</f>
        <v>27</v>
      </c>
      <c r="P29" s="23" t="str">
        <f t="shared" si="1"/>
        <v>;</v>
      </c>
      <c r="Q29" s="8" t="str" cm="1">
        <f t="array" ref="Q29">CharToUTF8(A29)</f>
        <v>\x3B</v>
      </c>
      <c r="S29" s="18" t="str">
        <f>$AO$2</f>
        <v>EMPTY</v>
      </c>
      <c r="T29" s="24" t="str">
        <f>$AO$3</f>
        <v>DIAG_BOTH</v>
      </c>
      <c r="U29" s="24" t="str">
        <f>$AO$4</f>
        <v>ORTHO_BOTH</v>
      </c>
      <c r="V29" s="21" t="str">
        <f>$AO$2</f>
        <v>EMPTY</v>
      </c>
      <c r="X29" s="31" t="b">
        <f t="shared" si="5"/>
        <v>0</v>
      </c>
      <c r="Y29" s="31" t="b">
        <f t="shared" si="6"/>
        <v>0</v>
      </c>
      <c r="Z29" t="b">
        <f t="shared" si="7"/>
        <v>0</v>
      </c>
      <c r="AA29" t="b">
        <f t="shared" si="8"/>
        <v>0</v>
      </c>
      <c r="AB29" t="b">
        <f t="shared" si="9"/>
        <v>1</v>
      </c>
      <c r="AC29" t="b">
        <f t="shared" si="10"/>
        <v>0</v>
      </c>
      <c r="AD29" t="b">
        <f t="shared" si="11"/>
        <v>0</v>
      </c>
      <c r="AE29" t="b">
        <f t="shared" si="12"/>
        <v>0</v>
      </c>
      <c r="AF29" t="b">
        <f t="shared" si="13"/>
        <v>1</v>
      </c>
      <c r="AG29" t="b">
        <f t="shared" si="14"/>
        <v>1</v>
      </c>
      <c r="AH29" t="b">
        <f t="shared" si="15"/>
        <v>1</v>
      </c>
      <c r="AI29" t="b">
        <f t="shared" si="16"/>
        <v>1</v>
      </c>
      <c r="AJ29" t="b">
        <f t="shared" si="17"/>
        <v>1</v>
      </c>
      <c r="AK29" t="b">
        <f t="shared" si="18"/>
        <v>1</v>
      </c>
      <c r="AL29" t="b">
        <f t="shared" si="19"/>
        <v>1</v>
      </c>
      <c r="AM29" t="b">
        <f t="shared" si="20"/>
        <v>1</v>
      </c>
      <c r="AV29" s="59" t="str">
        <f t="shared" si="31"/>
        <v xml:space="preserve">    { wxString::FromUTF8("\x3B"), &amp;AllGlyphs[80], &amp;AllGlyphs[14], &amp;AllGlyphs[15], &amp;AllGlyphs[76], Connection::EMPTY, Connection::DIAG_BOTH, Connection::ORTHO_BOTH, Connection::EMPTY, 0, 0, 0, 0 },</v>
      </c>
      <c r="AW29" s="60"/>
      <c r="AX29" s="60"/>
      <c r="AY29" s="60"/>
      <c r="AZ29" s="60"/>
      <c r="BA29" s="60"/>
      <c r="BB29" s="60"/>
      <c r="BC29" s="61"/>
      <c r="BE29" s="54" t="str">
        <f t="shared" si="22"/>
        <v>&amp;AllGlyphs[80]</v>
      </c>
      <c r="BF29" s="54" t="str">
        <f t="shared" si="23"/>
        <v>&amp;AllGlyphs[14]</v>
      </c>
      <c r="BG29" s="54" t="str">
        <f t="shared" si="24"/>
        <v>&amp;AllGlyphs[15]</v>
      </c>
      <c r="BH29" s="54" t="str">
        <f t="shared" si="25"/>
        <v>&amp;AllGlyphs[76]</v>
      </c>
      <c r="BJ29" s="58">
        <f t="shared" si="26"/>
        <v>0</v>
      </c>
      <c r="BK29" s="58">
        <f t="shared" si="27"/>
        <v>0</v>
      </c>
      <c r="BL29" s="58">
        <f t="shared" si="28"/>
        <v>0</v>
      </c>
      <c r="BM29" s="58">
        <f t="shared" si="29"/>
        <v>0</v>
      </c>
    </row>
    <row r="30" spans="1:65" x14ac:dyDescent="0.4">
      <c r="A30" s="7" t="s">
        <v>165</v>
      </c>
      <c r="B30" s="6" t="str">
        <f t="shared" si="0"/>
        <v>&lt;</v>
      </c>
      <c r="C30" s="48" cm="1">
        <f t="array" ref="C30">IF($N30,INDEX($O:$O,MATCH(TRUE,EXACT(B30,$A:$A),0)),"")</f>
        <v>28</v>
      </c>
      <c r="D30" s="38" t="s">
        <v>32</v>
      </c>
      <c r="E30" s="48" cm="1">
        <f t="array" ref="E30">IF($N30,INDEX($O:$O,MATCH(TRUE,EXACT(D30,$A:$A),0)),"")</f>
        <v>53</v>
      </c>
      <c r="F30" s="38" t="s">
        <v>42</v>
      </c>
      <c r="G30" s="48" cm="1">
        <f t="array" ref="G30">IF($O30&lt;&gt;"",INDEX($O:$O,MATCH(TRUE,EXACT(F30,$A:$A),0)),"")</f>
        <v>42</v>
      </c>
      <c r="H30" s="38" t="s">
        <v>43</v>
      </c>
      <c r="I30" s="48" cm="1">
        <f t="array" ref="I30">IF($N30,INDEX($O:$O,MATCH(TRUE,EXACT(H30,$A:$A),0)),"")</f>
        <v>43</v>
      </c>
      <c r="J30" s="38" t="s">
        <v>51</v>
      </c>
      <c r="K30" s="52" cm="1">
        <f t="array" ref="K30">IF($N30,INDEX($O:$O,MATCH(TRUE,EXACT(J30,$A:$A),0)),"")</f>
        <v>45</v>
      </c>
      <c r="L30" s="23"/>
      <c r="M30" s="33"/>
      <c r="N30" s="18" t="b">
        <f t="shared" si="3"/>
        <v>1</v>
      </c>
      <c r="O30" s="19">
        <f>IF(N30, MAX(O$2:O29)+1,"")</f>
        <v>28</v>
      </c>
      <c r="P30" s="23" t="str">
        <f t="shared" si="1"/>
        <v>&lt;</v>
      </c>
      <c r="Q30" s="8" t="str" cm="1">
        <f t="array" ref="Q30">CharToUTF8(A30)</f>
        <v>\x3C</v>
      </c>
      <c r="S30" s="18" t="str">
        <f t="shared" ref="S30:S38" si="33">$AO$4</f>
        <v>ORTHO_BOTH</v>
      </c>
      <c r="T30" s="24" t="str">
        <f>$AO$2</f>
        <v>EMPTY</v>
      </c>
      <c r="U30" s="24" t="str">
        <f>$AO$4</f>
        <v>ORTHO_BOTH</v>
      </c>
      <c r="V30" s="21" t="str">
        <f>$AO$3</f>
        <v>DIAG_BOTH</v>
      </c>
      <c r="X30" s="31" t="b">
        <f t="shared" si="5"/>
        <v>0</v>
      </c>
      <c r="Y30" s="31" t="b">
        <f t="shared" si="6"/>
        <v>0</v>
      </c>
      <c r="Z30" t="b">
        <f t="shared" si="7"/>
        <v>0</v>
      </c>
      <c r="AA30" t="b">
        <f t="shared" si="8"/>
        <v>0</v>
      </c>
      <c r="AB30" t="b">
        <f t="shared" si="9"/>
        <v>0</v>
      </c>
      <c r="AC30" t="b">
        <f t="shared" si="10"/>
        <v>0</v>
      </c>
      <c r="AD30" t="b">
        <f t="shared" si="11"/>
        <v>1</v>
      </c>
      <c r="AE30" t="b">
        <f t="shared" si="12"/>
        <v>0</v>
      </c>
      <c r="AF30" t="b">
        <f t="shared" si="13"/>
        <v>1</v>
      </c>
      <c r="AG30" t="b">
        <f t="shared" si="14"/>
        <v>1</v>
      </c>
      <c r="AH30" t="b">
        <f t="shared" si="15"/>
        <v>1</v>
      </c>
      <c r="AI30" t="b">
        <f t="shared" si="16"/>
        <v>1</v>
      </c>
      <c r="AJ30" t="b">
        <f t="shared" si="17"/>
        <v>1</v>
      </c>
      <c r="AK30" t="b">
        <f t="shared" si="18"/>
        <v>1</v>
      </c>
      <c r="AL30" t="b">
        <f t="shared" si="19"/>
        <v>1</v>
      </c>
      <c r="AM30" t="b">
        <f t="shared" si="20"/>
        <v>1</v>
      </c>
      <c r="AV30" s="59" t="str">
        <f t="shared" si="31"/>
        <v xml:space="preserve">    { wxString::FromUTF8("\x3C"), &amp;AllGlyphs[53], &amp;AllGlyphs[42], &amp;AllGlyphs[43], &amp;AllGlyphs[45], Connection::ORTHO_BOTH, Connection::EMPTY, Connection::ORTHO_BOTH, Connection::DIAG_BOTH, 0, 0, 0, 0 },</v>
      </c>
      <c r="AW30" s="60"/>
      <c r="AX30" s="60"/>
      <c r="AY30" s="60"/>
      <c r="AZ30" s="60"/>
      <c r="BA30" s="60"/>
      <c r="BB30" s="60"/>
      <c r="BC30" s="61"/>
      <c r="BE30" s="54" t="str">
        <f t="shared" si="22"/>
        <v>&amp;AllGlyphs[53]</v>
      </c>
      <c r="BF30" s="54" t="str">
        <f t="shared" si="23"/>
        <v>&amp;AllGlyphs[42]</v>
      </c>
      <c r="BG30" s="54" t="str">
        <f t="shared" si="24"/>
        <v>&amp;AllGlyphs[43]</v>
      </c>
      <c r="BH30" s="54" t="str">
        <f t="shared" si="25"/>
        <v>&amp;AllGlyphs[45]</v>
      </c>
      <c r="BJ30" s="58">
        <f t="shared" si="26"/>
        <v>0</v>
      </c>
      <c r="BK30" s="58">
        <f t="shared" si="27"/>
        <v>0</v>
      </c>
      <c r="BL30" s="58">
        <f t="shared" si="28"/>
        <v>0</v>
      </c>
      <c r="BM30" s="58">
        <f t="shared" si="29"/>
        <v>0</v>
      </c>
    </row>
    <row r="31" spans="1:65" ht="31.5" customHeight="1" x14ac:dyDescent="0.4">
      <c r="A31" s="7" t="s">
        <v>79</v>
      </c>
      <c r="B31" s="6" t="str">
        <f t="shared" si="0"/>
        <v>=</v>
      </c>
      <c r="C31" s="48" cm="1">
        <f t="array" ref="C31">IF($N31,INDEX($O:$O,MATCH(TRUE,EXACT(B31,$A:$A),0)),"")</f>
        <v>29</v>
      </c>
      <c r="D31" s="38" t="s">
        <v>71</v>
      </c>
      <c r="E31" s="48" cm="1">
        <f t="array" ref="E31">IF($N31,INDEX($O:$O,MATCH(TRUE,EXACT(D31,$A:$A),0)),"")</f>
        <v>59</v>
      </c>
      <c r="F31" s="38" t="s">
        <v>74</v>
      </c>
      <c r="G31" s="48" cm="1">
        <f t="array" ref="G31">IF($O31&lt;&gt;"",INDEX($O:$O,MATCH(TRUE,EXACT(F31,$A:$A),0)),"")</f>
        <v>13</v>
      </c>
      <c r="H31" s="38" t="s">
        <v>74</v>
      </c>
      <c r="I31" s="48" cm="1">
        <f t="array" ref="I31">IF($N31,INDEX($O:$O,MATCH(TRUE,EXACT(H31,$A:$A),0)),"")</f>
        <v>13</v>
      </c>
      <c r="J31" s="38" t="s">
        <v>79</v>
      </c>
      <c r="K31" s="52" cm="1">
        <f t="array" ref="K31">IF($N31,INDEX($O:$O,MATCH(TRUE,EXACT(J31,$A:$A),0)),"")</f>
        <v>29</v>
      </c>
      <c r="L31" s="23"/>
      <c r="M31" s="33"/>
      <c r="N31" s="18" t="b">
        <f t="shared" si="3"/>
        <v>1</v>
      </c>
      <c r="O31" s="19">
        <f>IF(N31, MAX(O$2:O30)+1,"")</f>
        <v>29</v>
      </c>
      <c r="P31" s="23" t="str">
        <f t="shared" si="1"/>
        <v>=</v>
      </c>
      <c r="Q31" s="8" t="str" cm="1">
        <f t="array" ref="Q31">CharToUTF8(A31)</f>
        <v>\x3D</v>
      </c>
      <c r="S31" s="18" t="str">
        <f t="shared" si="33"/>
        <v>ORTHO_BOTH</v>
      </c>
      <c r="T31" s="24" t="str">
        <f>$AO$3</f>
        <v>DIAG_BOTH</v>
      </c>
      <c r="U31" s="24" t="str">
        <f>$AO$2</f>
        <v>EMPTY</v>
      </c>
      <c r="V31" s="21" t="str">
        <f>$AO$2</f>
        <v>EMPTY</v>
      </c>
      <c r="X31" s="31" t="b">
        <f t="shared" si="5"/>
        <v>0</v>
      </c>
      <c r="Y31" s="31" t="b">
        <f t="shared" si="6"/>
        <v>0</v>
      </c>
      <c r="Z31" t="b">
        <f t="shared" si="7"/>
        <v>0</v>
      </c>
      <c r="AA31" t="b">
        <f t="shared" si="8"/>
        <v>1</v>
      </c>
      <c r="AB31" t="b">
        <f t="shared" si="9"/>
        <v>0</v>
      </c>
      <c r="AC31" t="b">
        <f t="shared" si="10"/>
        <v>0</v>
      </c>
      <c r="AD31" t="b">
        <f t="shared" si="11"/>
        <v>0</v>
      </c>
      <c r="AE31" t="b">
        <f t="shared" si="12"/>
        <v>0</v>
      </c>
      <c r="AF31" t="b">
        <f t="shared" si="13"/>
        <v>1</v>
      </c>
      <c r="AG31" t="b">
        <f t="shared" si="14"/>
        <v>1</v>
      </c>
      <c r="AH31" t="b">
        <f t="shared" si="15"/>
        <v>1</v>
      </c>
      <c r="AI31" t="b">
        <f t="shared" si="16"/>
        <v>1</v>
      </c>
      <c r="AJ31" t="b">
        <f t="shared" si="17"/>
        <v>1</v>
      </c>
      <c r="AK31" t="b">
        <f t="shared" si="18"/>
        <v>1</v>
      </c>
      <c r="AL31" t="b">
        <f t="shared" si="19"/>
        <v>1</v>
      </c>
      <c r="AM31" t="b">
        <f t="shared" si="20"/>
        <v>1</v>
      </c>
      <c r="AV31" s="59" t="str">
        <f t="shared" si="31"/>
        <v xml:space="preserve">    { wxString::FromUTF8("\x3D"), &amp;AllGlyphs[59], &amp;AllGlyphs[13], &amp;AllGlyphs[13], &amp;AllGlyphs[29], Connection::ORTHO_BOTH, Connection::DIAG_BOTH, Connection::EMPTY, Connection::EMPTY, 0, 0, 0, 1 },</v>
      </c>
      <c r="AW31" s="60"/>
      <c r="AX31" s="60"/>
      <c r="AY31" s="60"/>
      <c r="AZ31" s="60"/>
      <c r="BA31" s="60"/>
      <c r="BB31" s="60"/>
      <c r="BC31" s="61"/>
      <c r="BE31" s="54" t="str">
        <f t="shared" si="22"/>
        <v>&amp;AllGlyphs[59]</v>
      </c>
      <c r="BF31" s="54" t="str">
        <f t="shared" si="23"/>
        <v>&amp;AllGlyphs[13]</v>
      </c>
      <c r="BG31" s="54" t="str">
        <f t="shared" si="24"/>
        <v>&amp;AllGlyphs[13]</v>
      </c>
      <c r="BH31" s="54" t="str">
        <f t="shared" si="25"/>
        <v>&amp;AllGlyphs[29]</v>
      </c>
      <c r="BJ31" s="58">
        <f t="shared" si="26"/>
        <v>0</v>
      </c>
      <c r="BK31" s="58">
        <f t="shared" si="27"/>
        <v>0</v>
      </c>
      <c r="BL31" s="58">
        <f t="shared" si="28"/>
        <v>0</v>
      </c>
      <c r="BM31" s="58">
        <f t="shared" si="29"/>
        <v>1</v>
      </c>
    </row>
    <row r="32" spans="1:65" x14ac:dyDescent="0.4">
      <c r="A32" s="7" t="s">
        <v>166</v>
      </c>
      <c r="B32" s="6" t="str">
        <f t="shared" si="0"/>
        <v>&gt;</v>
      </c>
      <c r="C32" s="48" cm="1">
        <f t="array" ref="C32">IF($N32,INDEX($O:$O,MATCH(TRUE,EXACT(B32,$A:$A),0)),"")</f>
        <v>30</v>
      </c>
      <c r="D32" s="38" t="s">
        <v>44</v>
      </c>
      <c r="E32" s="48" cm="1">
        <f t="array" ref="E32">IF($N32,INDEX($O:$O,MATCH(TRUE,EXACT(D32,$A:$A),0)),"")</f>
        <v>44</v>
      </c>
      <c r="F32" s="39" t="s">
        <v>67</v>
      </c>
      <c r="G32" s="48" cm="1">
        <f t="array" ref="G32">IF($O32&lt;&gt;"",INDEX($O:$O,MATCH(TRUE,EXACT(F32,$A:$A),0)),"")</f>
        <v>26</v>
      </c>
      <c r="H32" s="38" t="s">
        <v>44</v>
      </c>
      <c r="I32" s="48" cm="1">
        <f t="array" ref="I32">IF($N32,INDEX($O:$O,MATCH(TRUE,EXACT(H32,$A:$A),0)),"")</f>
        <v>44</v>
      </c>
      <c r="J32" s="38" t="s">
        <v>167</v>
      </c>
      <c r="K32" s="52" cm="1">
        <f t="array" ref="K32">IF($N32,INDEX($O:$O,MATCH(TRUE,EXACT(J32,$A:$A),0)),"")</f>
        <v>31</v>
      </c>
      <c r="L32" s="23"/>
      <c r="M32" s="33"/>
      <c r="N32" s="18" t="b">
        <f t="shared" si="3"/>
        <v>1</v>
      </c>
      <c r="O32" s="19">
        <f>IF(N32, MAX(O$2:O31)+1,"")</f>
        <v>30</v>
      </c>
      <c r="P32" s="23" t="str">
        <f t="shared" si="1"/>
        <v>&gt;</v>
      </c>
      <c r="Q32" s="8" t="str" cm="1">
        <f t="array" ref="Q32">CharToUTF8(A32)</f>
        <v>\x3E</v>
      </c>
      <c r="S32" s="18" t="str">
        <f t="shared" si="33"/>
        <v>ORTHO_BOTH</v>
      </c>
      <c r="T32" s="24" t="str">
        <f>$AO$2</f>
        <v>EMPTY</v>
      </c>
      <c r="U32" s="24" t="str">
        <f>$AO$2</f>
        <v>EMPTY</v>
      </c>
      <c r="V32" s="21" t="str">
        <f>$AO$4</f>
        <v>ORTHO_BOTH</v>
      </c>
      <c r="X32" s="31" t="b">
        <f t="shared" si="5"/>
        <v>0</v>
      </c>
      <c r="Y32" s="31" t="b">
        <f t="shared" si="6"/>
        <v>0</v>
      </c>
      <c r="Z32" t="b">
        <f t="shared" si="7"/>
        <v>0</v>
      </c>
      <c r="AA32" t="b">
        <f t="shared" si="8"/>
        <v>0</v>
      </c>
      <c r="AB32" t="b">
        <f t="shared" si="9"/>
        <v>1</v>
      </c>
      <c r="AC32" t="b">
        <f t="shared" si="10"/>
        <v>1</v>
      </c>
      <c r="AD32" t="b">
        <f t="shared" si="11"/>
        <v>0</v>
      </c>
      <c r="AE32" t="b">
        <f t="shared" si="12"/>
        <v>0</v>
      </c>
      <c r="AF32" t="b">
        <f t="shared" si="13"/>
        <v>1</v>
      </c>
      <c r="AG32" t="b">
        <f t="shared" si="14"/>
        <v>1</v>
      </c>
      <c r="AH32" t="b">
        <f t="shared" si="15"/>
        <v>1</v>
      </c>
      <c r="AI32" t="b">
        <f t="shared" si="16"/>
        <v>1</v>
      </c>
      <c r="AJ32" t="b">
        <f t="shared" si="17"/>
        <v>1</v>
      </c>
      <c r="AK32" t="b">
        <f t="shared" si="18"/>
        <v>1</v>
      </c>
      <c r="AL32" t="b">
        <f t="shared" si="19"/>
        <v>1</v>
      </c>
      <c r="AM32" t="b">
        <f t="shared" si="20"/>
        <v>1</v>
      </c>
      <c r="AV32" s="59" t="str">
        <f t="shared" si="31"/>
        <v xml:space="preserve">    { wxString::FromUTF8("\x3E"), &amp;AllGlyphs[44], &amp;AllGlyphs[26], &amp;AllGlyphs[44], &amp;AllGlyphs[31], Connection::ORTHO_BOTH, Connection::EMPTY, Connection::EMPTY, Connection::ORTHO_BOTH, 0, 0, 0, 0 },</v>
      </c>
      <c r="AW32" s="60"/>
      <c r="AX32" s="60"/>
      <c r="AY32" s="60"/>
      <c r="AZ32" s="60"/>
      <c r="BA32" s="60"/>
      <c r="BB32" s="60"/>
      <c r="BC32" s="61"/>
      <c r="BE32" s="54" t="str">
        <f t="shared" si="22"/>
        <v>&amp;AllGlyphs[44]</v>
      </c>
      <c r="BF32" s="54" t="str">
        <f t="shared" si="23"/>
        <v>&amp;AllGlyphs[26]</v>
      </c>
      <c r="BG32" s="54" t="str">
        <f t="shared" si="24"/>
        <v>&amp;AllGlyphs[44]</v>
      </c>
      <c r="BH32" s="54" t="str">
        <f t="shared" si="25"/>
        <v>&amp;AllGlyphs[31]</v>
      </c>
      <c r="BJ32" s="58">
        <f t="shared" si="26"/>
        <v>0</v>
      </c>
      <c r="BK32" s="58">
        <f t="shared" si="27"/>
        <v>0</v>
      </c>
      <c r="BL32" s="58">
        <f t="shared" si="28"/>
        <v>0</v>
      </c>
      <c r="BM32" s="58">
        <f t="shared" si="29"/>
        <v>0</v>
      </c>
    </row>
    <row r="33" spans="1:65" x14ac:dyDescent="0.4">
      <c r="A33" s="7" t="s">
        <v>167</v>
      </c>
      <c r="B33" s="9" t="str">
        <f t="shared" si="0"/>
        <v>?</v>
      </c>
      <c r="C33" s="48" cm="1">
        <f t="array" ref="C33">IF($N33,INDEX($O:$O,MATCH(TRUE,EXACT(B33,$A:$A),0)),"")</f>
        <v>31</v>
      </c>
      <c r="D33" s="39" t="s">
        <v>166</v>
      </c>
      <c r="E33" s="48" cm="1">
        <f t="array" ref="E33">IF($N33,INDEX($O:$O,MATCH(TRUE,EXACT(D33,$A:$A),0)),"")</f>
        <v>30</v>
      </c>
      <c r="F33" s="38" t="s">
        <v>44</v>
      </c>
      <c r="G33" s="48" cm="1">
        <f t="array" ref="G33">IF($O33&lt;&gt;"",INDEX($O:$O,MATCH(TRUE,EXACT(F33,$A:$A),0)),"")</f>
        <v>44</v>
      </c>
      <c r="H33" s="39" t="s">
        <v>67</v>
      </c>
      <c r="I33" s="48" cm="1">
        <f t="array" ref="I33">IF($N33,INDEX($O:$O,MATCH(TRUE,EXACT(H33,$A:$A),0)),"")</f>
        <v>26</v>
      </c>
      <c r="J33" s="39" t="s">
        <v>166</v>
      </c>
      <c r="K33" s="52" cm="1">
        <f t="array" ref="K33">IF($N33,INDEX($O:$O,MATCH(TRUE,EXACT(J33,$A:$A),0)),"")</f>
        <v>30</v>
      </c>
      <c r="L33" s="46"/>
      <c r="M33" s="34"/>
      <c r="N33" s="18" t="b">
        <f t="shared" si="3"/>
        <v>1</v>
      </c>
      <c r="O33" s="19">
        <f>IF(N33, MAX(O$2:O32)+1,"")</f>
        <v>31</v>
      </c>
      <c r="P33" s="23" t="str">
        <f t="shared" si="1"/>
        <v>?</v>
      </c>
      <c r="Q33" s="8" t="str" cm="1">
        <f t="array" ref="Q33">CharToUTF8(A33)</f>
        <v>\x3F</v>
      </c>
      <c r="S33" s="18" t="str">
        <f t="shared" si="33"/>
        <v>ORTHO_BOTH</v>
      </c>
      <c r="T33" s="24" t="str">
        <f>$AO$2</f>
        <v>EMPTY</v>
      </c>
      <c r="U33" s="24" t="str">
        <f>$AO$4</f>
        <v>ORTHO_BOTH</v>
      </c>
      <c r="V33" s="21" t="str">
        <f>$AO$2</f>
        <v>EMPTY</v>
      </c>
      <c r="X33" s="31" t="b">
        <f t="shared" si="5"/>
        <v>0</v>
      </c>
      <c r="Y33" s="31" t="b">
        <f t="shared" si="6"/>
        <v>0</v>
      </c>
      <c r="Z33" t="b">
        <f t="shared" si="7"/>
        <v>0</v>
      </c>
      <c r="AA33" t="b">
        <f t="shared" si="8"/>
        <v>0</v>
      </c>
      <c r="AB33" t="b">
        <f t="shared" si="9"/>
        <v>0</v>
      </c>
      <c r="AC33" t="b">
        <f t="shared" si="10"/>
        <v>0</v>
      </c>
      <c r="AD33" t="b">
        <f t="shared" si="11"/>
        <v>1</v>
      </c>
      <c r="AE33" t="b">
        <f t="shared" si="12"/>
        <v>1</v>
      </c>
      <c r="AF33" t="b">
        <f t="shared" si="13"/>
        <v>1</v>
      </c>
      <c r="AG33" t="b">
        <f t="shared" si="14"/>
        <v>1</v>
      </c>
      <c r="AH33" t="b">
        <f t="shared" si="15"/>
        <v>1</v>
      </c>
      <c r="AI33" t="b">
        <f t="shared" si="16"/>
        <v>1</v>
      </c>
      <c r="AJ33" t="b">
        <f t="shared" si="17"/>
        <v>1</v>
      </c>
      <c r="AK33" t="b">
        <f t="shared" si="18"/>
        <v>1</v>
      </c>
      <c r="AL33" t="b">
        <f t="shared" si="19"/>
        <v>1</v>
      </c>
      <c r="AM33" t="b">
        <f t="shared" si="20"/>
        <v>1</v>
      </c>
      <c r="AV33" s="59" t="str">
        <f t="shared" si="31"/>
        <v xml:space="preserve">    { wxString::FromUTF8("\x3F"), &amp;AllGlyphs[30], &amp;AllGlyphs[44], &amp;AllGlyphs[26], &amp;AllGlyphs[30], Connection::ORTHO_BOTH, Connection::EMPTY, Connection::ORTHO_BOTH, Connection::EMPTY, 0, 0, 0, 0 },</v>
      </c>
      <c r="AW33" s="60"/>
      <c r="AX33" s="60"/>
      <c r="AY33" s="60"/>
      <c r="AZ33" s="60"/>
      <c r="BA33" s="60"/>
      <c r="BB33" s="60"/>
      <c r="BC33" s="61"/>
      <c r="BE33" s="54" t="str">
        <f t="shared" si="22"/>
        <v>&amp;AllGlyphs[30]</v>
      </c>
      <c r="BF33" s="54" t="str">
        <f t="shared" si="23"/>
        <v>&amp;AllGlyphs[44]</v>
      </c>
      <c r="BG33" s="54" t="str">
        <f t="shared" si="24"/>
        <v>&amp;AllGlyphs[26]</v>
      </c>
      <c r="BH33" s="54" t="str">
        <f t="shared" si="25"/>
        <v>&amp;AllGlyphs[30]</v>
      </c>
      <c r="BJ33" s="58">
        <f t="shared" si="26"/>
        <v>0</v>
      </c>
      <c r="BK33" s="58">
        <f t="shared" si="27"/>
        <v>0</v>
      </c>
      <c r="BL33" s="58">
        <f t="shared" si="28"/>
        <v>0</v>
      </c>
      <c r="BM33" s="58">
        <f t="shared" si="29"/>
        <v>0</v>
      </c>
    </row>
    <row r="34" spans="1:65" x14ac:dyDescent="0.4">
      <c r="A34" s="7" t="s">
        <v>53</v>
      </c>
      <c r="B34" s="6" t="str">
        <f t="shared" si="0"/>
        <v>@</v>
      </c>
      <c r="C34" s="48" cm="1">
        <f t="array" ref="C34">IF($N34,INDEX($O:$O,MATCH(TRUE,EXACT(B34,$A:$A),0)),"")</f>
        <v>32</v>
      </c>
      <c r="D34" s="38" t="s">
        <v>54</v>
      </c>
      <c r="E34" s="48" cm="1">
        <f t="array" ref="E34">IF($N34,INDEX($O:$O,MATCH(TRUE,EXACT(D34,$A:$A),0)),"")</f>
        <v>3</v>
      </c>
      <c r="F34" s="38" t="s">
        <v>53</v>
      </c>
      <c r="G34" s="48" cm="1">
        <f t="array" ref="G34">IF($O34&lt;&gt;"",INDEX($O:$O,MATCH(TRUE,EXACT(F34,$A:$A),0)),"")</f>
        <v>32</v>
      </c>
      <c r="H34" s="38" t="s">
        <v>53</v>
      </c>
      <c r="I34" s="48" cm="1">
        <f t="array" ref="I34">IF($N34,INDEX($O:$O,MATCH(TRUE,EXACT(H34,$A:$A),0)),"")</f>
        <v>32</v>
      </c>
      <c r="J34" s="38" t="s">
        <v>53</v>
      </c>
      <c r="K34" s="52" cm="1">
        <f t="array" ref="K34">IF($N34,INDEX($O:$O,MATCH(TRUE,EXACT(J34,$A:$A),0)),"")</f>
        <v>32</v>
      </c>
      <c r="L34" s="23"/>
      <c r="M34" s="33"/>
      <c r="N34" s="18" t="b">
        <f t="shared" si="3"/>
        <v>1</v>
      </c>
      <c r="O34" s="19">
        <f>IF(N34, MAX(O$2:O33)+1,"")</f>
        <v>32</v>
      </c>
      <c r="P34" s="23" t="str">
        <f t="shared" si="1"/>
        <v>@</v>
      </c>
      <c r="Q34" s="8" t="str" cm="1">
        <f t="array" ref="Q34">CharToUTF8(A34)</f>
        <v>\x40</v>
      </c>
      <c r="S34" s="18" t="str">
        <f t="shared" si="33"/>
        <v>ORTHO_BOTH</v>
      </c>
      <c r="T34" s="24" t="str">
        <f>$AO$4</f>
        <v>ORTHO_BOTH</v>
      </c>
      <c r="U34" s="24" t="str">
        <f>$AO$2</f>
        <v>EMPTY</v>
      </c>
      <c r="V34" s="21" t="str">
        <f>$AO$2</f>
        <v>EMPTY</v>
      </c>
      <c r="X34" s="31" t="b">
        <f t="shared" si="5"/>
        <v>0</v>
      </c>
      <c r="Y34" s="31" t="b">
        <f t="shared" si="6"/>
        <v>1</v>
      </c>
      <c r="Z34" t="b">
        <f t="shared" si="7"/>
        <v>1</v>
      </c>
      <c r="AA34" t="b">
        <f t="shared" si="8"/>
        <v>1</v>
      </c>
      <c r="AB34" t="b">
        <f t="shared" si="9"/>
        <v>0</v>
      </c>
      <c r="AC34" t="b">
        <f t="shared" si="10"/>
        <v>0</v>
      </c>
      <c r="AD34" t="b">
        <f t="shared" si="11"/>
        <v>0</v>
      </c>
      <c r="AE34" t="b">
        <f t="shared" si="12"/>
        <v>0</v>
      </c>
      <c r="AF34" t="b">
        <f t="shared" si="13"/>
        <v>1</v>
      </c>
      <c r="AG34" t="b">
        <f t="shared" si="14"/>
        <v>1</v>
      </c>
      <c r="AH34" t="b">
        <f t="shared" si="15"/>
        <v>1</v>
      </c>
      <c r="AI34" t="b">
        <f t="shared" si="16"/>
        <v>1</v>
      </c>
      <c r="AJ34" t="b">
        <f t="shared" si="17"/>
        <v>1</v>
      </c>
      <c r="AK34" t="b">
        <f t="shared" si="18"/>
        <v>1</v>
      </c>
      <c r="AL34" t="b">
        <f t="shared" si="19"/>
        <v>1</v>
      </c>
      <c r="AM34" t="b">
        <f t="shared" si="20"/>
        <v>1</v>
      </c>
      <c r="AV34" s="59" t="str">
        <f t="shared" si="31"/>
        <v xml:space="preserve">    { wxString::FromUTF8("\x40"), &amp;AllGlyphs[3], &amp;AllGlyphs[32], &amp;AllGlyphs[32], &amp;AllGlyphs[32], Connection::ORTHO_BOTH, Connection::ORTHO_BOTH, Connection::EMPTY, Connection::EMPTY, 0, 1, 1, 1 },</v>
      </c>
      <c r="AW34" s="60"/>
      <c r="AX34" s="60"/>
      <c r="AY34" s="60"/>
      <c r="AZ34" s="60"/>
      <c r="BA34" s="60"/>
      <c r="BB34" s="60"/>
      <c r="BC34" s="61"/>
      <c r="BE34" s="54" t="str">
        <f t="shared" si="22"/>
        <v>&amp;AllGlyphs[3]</v>
      </c>
      <c r="BF34" s="54" t="str">
        <f t="shared" si="23"/>
        <v>&amp;AllGlyphs[32]</v>
      </c>
      <c r="BG34" s="54" t="str">
        <f t="shared" si="24"/>
        <v>&amp;AllGlyphs[32]</v>
      </c>
      <c r="BH34" s="54" t="str">
        <f t="shared" si="25"/>
        <v>&amp;AllGlyphs[32]</v>
      </c>
      <c r="BJ34" s="58">
        <f t="shared" si="26"/>
        <v>0</v>
      </c>
      <c r="BK34" s="58">
        <f t="shared" si="27"/>
        <v>1</v>
      </c>
      <c r="BL34" s="58">
        <f t="shared" si="28"/>
        <v>1</v>
      </c>
      <c r="BM34" s="58">
        <f t="shared" si="29"/>
        <v>1</v>
      </c>
    </row>
    <row r="35" spans="1:65" x14ac:dyDescent="0.4">
      <c r="A35" s="7" t="s">
        <v>36</v>
      </c>
      <c r="B35" s="6" t="str">
        <f t="shared" si="0"/>
        <v>A</v>
      </c>
      <c r="C35" s="48" cm="1">
        <f t="array" ref="C35">IF($N35,INDEX($O:$O,MATCH(TRUE,EXACT(B35,$A:$A),0)),"")</f>
        <v>33</v>
      </c>
      <c r="D35" s="38" t="s">
        <v>27</v>
      </c>
      <c r="E35" s="48" cm="1">
        <f t="array" ref="E35">IF($N35,INDEX($O:$O,MATCH(TRUE,EXACT(D35,$A:$A),0)),"")</f>
        <v>55</v>
      </c>
      <c r="F35" s="38" t="s">
        <v>38</v>
      </c>
      <c r="G35" s="48" cm="1">
        <f t="array" ref="G35">IF($O35&lt;&gt;"",INDEX($O:$O,MATCH(TRUE,EXACT(F35,$A:$A),0)),"")</f>
        <v>36</v>
      </c>
      <c r="H35" s="38" t="s">
        <v>36</v>
      </c>
      <c r="I35" s="48" cm="1">
        <f t="array" ref="I35">IF($N35,INDEX($O:$O,MATCH(TRUE,EXACT(H35,$A:$A),0)),"")</f>
        <v>33</v>
      </c>
      <c r="J35" s="38" t="s">
        <v>38</v>
      </c>
      <c r="K35" s="52" cm="1">
        <f t="array" ref="K35">IF($N35,INDEX($O:$O,MATCH(TRUE,EXACT(J35,$A:$A),0)),"")</f>
        <v>36</v>
      </c>
      <c r="L35" s="23"/>
      <c r="M35" s="33"/>
      <c r="N35" s="18" t="b">
        <f t="shared" si="3"/>
        <v>1</v>
      </c>
      <c r="O35" s="19">
        <f>IF(N35, MAX(O$2:O34)+1,"")</f>
        <v>33</v>
      </c>
      <c r="P35" s="23" t="str">
        <f t="shared" si="1"/>
        <v>A</v>
      </c>
      <c r="Q35" s="8" t="str" cm="1">
        <f t="array" ref="Q35">CharToUTF8(A35)</f>
        <v>\x41</v>
      </c>
      <c r="S35" s="18" t="str">
        <f t="shared" si="33"/>
        <v>ORTHO_BOTH</v>
      </c>
      <c r="T35" s="24" t="str">
        <f>$AO$4</f>
        <v>ORTHO_BOTH</v>
      </c>
      <c r="U35" s="24" t="str">
        <f>$AO$2</f>
        <v>EMPTY</v>
      </c>
      <c r="V35" s="21" t="str">
        <f>$AO$4</f>
        <v>ORTHO_BOTH</v>
      </c>
      <c r="X35" s="31" t="b">
        <f t="shared" si="5"/>
        <v>0</v>
      </c>
      <c r="Y35" s="31" t="b">
        <f t="shared" si="6"/>
        <v>0</v>
      </c>
      <c r="Z35" t="b">
        <f t="shared" si="7"/>
        <v>1</v>
      </c>
      <c r="AA35" t="b">
        <f t="shared" si="8"/>
        <v>0</v>
      </c>
      <c r="AB35" t="b">
        <f t="shared" si="9"/>
        <v>1</v>
      </c>
      <c r="AC35" t="b">
        <f t="shared" si="10"/>
        <v>0</v>
      </c>
      <c r="AD35" t="b">
        <f t="shared" si="11"/>
        <v>0</v>
      </c>
      <c r="AE35" t="b">
        <f t="shared" si="12"/>
        <v>1</v>
      </c>
      <c r="AF35" t="b">
        <f t="shared" si="13"/>
        <v>1</v>
      </c>
      <c r="AG35" t="b">
        <f t="shared" si="14"/>
        <v>1</v>
      </c>
      <c r="AH35" t="b">
        <f t="shared" si="15"/>
        <v>1</v>
      </c>
      <c r="AI35" t="b">
        <f t="shared" si="16"/>
        <v>1</v>
      </c>
      <c r="AJ35" t="b">
        <f t="shared" si="17"/>
        <v>1</v>
      </c>
      <c r="AK35" t="b">
        <f t="shared" si="18"/>
        <v>1</v>
      </c>
      <c r="AL35" t="b">
        <f t="shared" si="19"/>
        <v>1</v>
      </c>
      <c r="AM35" t="b">
        <f t="shared" si="20"/>
        <v>1</v>
      </c>
      <c r="AV35" s="59" t="str">
        <f t="shared" si="31"/>
        <v xml:space="preserve">    { wxString::FromUTF8("\x41"), &amp;AllGlyphs[55], &amp;AllGlyphs[36], &amp;AllGlyphs[33], &amp;AllGlyphs[36], Connection::ORTHO_BOTH, Connection::ORTHO_BOTH, Connection::EMPTY, Connection::ORTHO_BOTH, 0, 0, 1, 0 },</v>
      </c>
      <c r="AW35" s="60"/>
      <c r="AX35" s="60"/>
      <c r="AY35" s="60"/>
      <c r="AZ35" s="60"/>
      <c r="BA35" s="60"/>
      <c r="BB35" s="60"/>
      <c r="BC35" s="61"/>
      <c r="BE35" s="54" t="str">
        <f t="shared" si="22"/>
        <v>&amp;AllGlyphs[55]</v>
      </c>
      <c r="BF35" s="54" t="str">
        <f t="shared" si="23"/>
        <v>&amp;AllGlyphs[36]</v>
      </c>
      <c r="BG35" s="54" t="str">
        <f t="shared" si="24"/>
        <v>&amp;AllGlyphs[33]</v>
      </c>
      <c r="BH35" s="54" t="str">
        <f t="shared" si="25"/>
        <v>&amp;AllGlyphs[36]</v>
      </c>
      <c r="BJ35" s="58">
        <f t="shared" si="26"/>
        <v>0</v>
      </c>
      <c r="BK35" s="58">
        <f t="shared" si="27"/>
        <v>0</v>
      </c>
      <c r="BL35" s="58">
        <f t="shared" si="28"/>
        <v>1</v>
      </c>
      <c r="BM35" s="58">
        <f t="shared" si="29"/>
        <v>0</v>
      </c>
    </row>
    <row r="36" spans="1:65" x14ac:dyDescent="0.4">
      <c r="A36" s="7" t="s">
        <v>49</v>
      </c>
      <c r="B36" s="6" t="str">
        <f t="shared" si="0"/>
        <v>B</v>
      </c>
      <c r="C36" s="48" cm="1">
        <f t="array" ref="C36">IF($N36,INDEX($O:$O,MATCH(TRUE,EXACT(B36,$A:$A),0)),"")</f>
        <v>34</v>
      </c>
      <c r="D36" s="38" t="s">
        <v>57</v>
      </c>
      <c r="E36" s="48" cm="1">
        <f t="array" ref="E36">IF($N36,INDEX($O:$O,MATCH(TRUE,EXACT(D36,$A:$A),0)),"")</f>
        <v>62</v>
      </c>
      <c r="F36" s="38" t="s">
        <v>50</v>
      </c>
      <c r="G36" s="48" cm="1">
        <f t="array" ref="G36">IF($O36&lt;&gt;"",INDEX($O:$O,MATCH(TRUE,EXACT(F36,$A:$A),0)),"")</f>
        <v>46</v>
      </c>
      <c r="H36" s="38" t="s">
        <v>49</v>
      </c>
      <c r="I36" s="48" cm="1">
        <f t="array" ref="I36">IF($N36,INDEX($O:$O,MATCH(TRUE,EXACT(H36,$A:$A),0)),"")</f>
        <v>34</v>
      </c>
      <c r="J36" s="38" t="s">
        <v>50</v>
      </c>
      <c r="K36" s="52" cm="1">
        <f t="array" ref="K36">IF($N36,INDEX($O:$O,MATCH(TRUE,EXACT(J36,$A:$A),0)),"")</f>
        <v>46</v>
      </c>
      <c r="L36" s="23"/>
      <c r="M36" s="33"/>
      <c r="N36" s="18" t="b">
        <f t="shared" si="3"/>
        <v>1</v>
      </c>
      <c r="O36" s="19">
        <f>IF(N36, MAX(O$2:O35)+1,"")</f>
        <v>34</v>
      </c>
      <c r="P36" s="23" t="str">
        <f t="shared" si="1"/>
        <v>B</v>
      </c>
      <c r="Q36" s="8" t="str" cm="1">
        <f t="array" ref="Q36">CharToUTF8(A36)</f>
        <v>\x42</v>
      </c>
      <c r="S36" s="18" t="str">
        <f t="shared" si="33"/>
        <v>ORTHO_BOTH</v>
      </c>
      <c r="T36" s="24" t="str">
        <f>$AO$4</f>
        <v>ORTHO_BOTH</v>
      </c>
      <c r="U36" s="24" t="str">
        <f>$AO$4</f>
        <v>ORTHO_BOTH</v>
      </c>
      <c r="V36" s="21" t="str">
        <f>$AO$3</f>
        <v>DIAG_BOTH</v>
      </c>
      <c r="X36" s="31" t="b">
        <f t="shared" si="5"/>
        <v>0</v>
      </c>
      <c r="Y36" s="31" t="b">
        <f t="shared" si="6"/>
        <v>0</v>
      </c>
      <c r="Z36" t="b">
        <f t="shared" si="7"/>
        <v>1</v>
      </c>
      <c r="AA36" t="b">
        <f t="shared" si="8"/>
        <v>0</v>
      </c>
      <c r="AB36" t="b">
        <f t="shared" si="9"/>
        <v>0</v>
      </c>
      <c r="AC36" t="b">
        <f t="shared" si="10"/>
        <v>1</v>
      </c>
      <c r="AD36" t="b">
        <f t="shared" si="11"/>
        <v>1</v>
      </c>
      <c r="AE36" t="b">
        <f t="shared" si="12"/>
        <v>0</v>
      </c>
      <c r="AF36" t="b">
        <f t="shared" si="13"/>
        <v>1</v>
      </c>
      <c r="AG36" t="b">
        <f t="shared" si="14"/>
        <v>1</v>
      </c>
      <c r="AH36" t="b">
        <f t="shared" si="15"/>
        <v>1</v>
      </c>
      <c r="AI36" t="b">
        <f t="shared" si="16"/>
        <v>1</v>
      </c>
      <c r="AJ36" t="b">
        <f t="shared" si="17"/>
        <v>1</v>
      </c>
      <c r="AK36" t="b">
        <f t="shared" si="18"/>
        <v>1</v>
      </c>
      <c r="AL36" t="b">
        <f t="shared" si="19"/>
        <v>1</v>
      </c>
      <c r="AM36" t="b">
        <f t="shared" si="20"/>
        <v>1</v>
      </c>
      <c r="AV36" s="59" t="str">
        <f t="shared" si="31"/>
        <v xml:space="preserve">    { wxString::FromUTF8("\x42"), &amp;AllGlyphs[62], &amp;AllGlyphs[46], &amp;AllGlyphs[34], &amp;AllGlyphs[46], Connection::ORTHO_BOTH, Connection::ORTHO_BOTH, Connection::ORTHO_BOTH, Connection::DIAG_BOTH, 0, 0, 1, 0 },</v>
      </c>
      <c r="AW36" s="60"/>
      <c r="AX36" s="60"/>
      <c r="AY36" s="60"/>
      <c r="AZ36" s="60"/>
      <c r="BA36" s="60"/>
      <c r="BB36" s="60"/>
      <c r="BC36" s="61"/>
      <c r="BE36" s="54" t="str">
        <f t="shared" si="22"/>
        <v>&amp;AllGlyphs[62]</v>
      </c>
      <c r="BF36" s="54" t="str">
        <f t="shared" si="23"/>
        <v>&amp;AllGlyphs[46]</v>
      </c>
      <c r="BG36" s="54" t="str">
        <f t="shared" si="24"/>
        <v>&amp;AllGlyphs[34]</v>
      </c>
      <c r="BH36" s="54" t="str">
        <f t="shared" si="25"/>
        <v>&amp;AllGlyphs[46]</v>
      </c>
      <c r="BJ36" s="58">
        <f t="shared" si="26"/>
        <v>0</v>
      </c>
      <c r="BK36" s="58">
        <f t="shared" si="27"/>
        <v>0</v>
      </c>
      <c r="BL36" s="58">
        <f t="shared" si="28"/>
        <v>1</v>
      </c>
      <c r="BM36" s="58">
        <f t="shared" si="29"/>
        <v>0</v>
      </c>
    </row>
    <row r="37" spans="1:65" x14ac:dyDescent="0.4">
      <c r="A37" s="7" t="s">
        <v>47</v>
      </c>
      <c r="B37" s="6" t="str">
        <f t="shared" si="0"/>
        <v>C</v>
      </c>
      <c r="C37" s="48" cm="1">
        <f t="array" ref="C37">IF($N37,INDEX($O:$O,MATCH(TRUE,EXACT(B37,$A:$A),0)),"")</f>
        <v>35</v>
      </c>
      <c r="D37" s="38" t="s">
        <v>45</v>
      </c>
      <c r="E37" s="48" cm="1">
        <f t="array" ref="E37">IF($N37,INDEX($O:$O,MATCH(TRUE,EXACT(D37,$A:$A),0)),"")</f>
        <v>58</v>
      </c>
      <c r="F37" s="38" t="s">
        <v>26</v>
      </c>
      <c r="G37" s="48" cm="1">
        <f t="array" ref="G37">IF($O37&lt;&gt;"",INDEX($O:$O,MATCH(TRUE,EXACT(F37,$A:$A),0)),"")</f>
        <v>49</v>
      </c>
      <c r="H37" s="38" t="s">
        <v>28</v>
      </c>
      <c r="I37" s="48" cm="1">
        <f t="array" ref="I37">IF($N37,INDEX($O:$O,MATCH(TRUE,EXACT(H37,$A:$A),0)),"")</f>
        <v>37</v>
      </c>
      <c r="J37" s="38" t="s">
        <v>45</v>
      </c>
      <c r="K37" s="52" cm="1">
        <f t="array" ref="K37">IF($N37,INDEX($O:$O,MATCH(TRUE,EXACT(J37,$A:$A),0)),"")</f>
        <v>58</v>
      </c>
      <c r="L37" s="23"/>
      <c r="M37" s="33"/>
      <c r="N37" s="18" t="b">
        <f t="shared" si="3"/>
        <v>1</v>
      </c>
      <c r="O37" s="19">
        <f>IF(N37, MAX(O$2:O36)+1,"")</f>
        <v>35</v>
      </c>
      <c r="P37" s="23" t="str">
        <f t="shared" si="1"/>
        <v>C</v>
      </c>
      <c r="Q37" s="8" t="str" cm="1">
        <f t="array" ref="Q37">CharToUTF8(A37)</f>
        <v>\x43</v>
      </c>
      <c r="S37" s="18" t="str">
        <f t="shared" si="33"/>
        <v>ORTHO_BOTH</v>
      </c>
      <c r="T37" s="24" t="str">
        <f>$AO$2</f>
        <v>EMPTY</v>
      </c>
      <c r="U37" s="24" t="str">
        <f>$AO$4</f>
        <v>ORTHO_BOTH</v>
      </c>
      <c r="V37" s="21" t="str">
        <f>$AO$2</f>
        <v>EMPTY</v>
      </c>
      <c r="X37" s="31" t="b">
        <f t="shared" si="5"/>
        <v>0</v>
      </c>
      <c r="Y37" s="31" t="b">
        <f t="shared" si="6"/>
        <v>0</v>
      </c>
      <c r="Z37" t="b">
        <f t="shared" si="7"/>
        <v>0</v>
      </c>
      <c r="AA37" t="b">
        <f t="shared" si="8"/>
        <v>0</v>
      </c>
      <c r="AB37" t="b">
        <f t="shared" si="9"/>
        <v>0</v>
      </c>
      <c r="AC37" t="b">
        <f t="shared" si="10"/>
        <v>0</v>
      </c>
      <c r="AD37" t="b">
        <f t="shared" si="11"/>
        <v>1</v>
      </c>
      <c r="AE37" t="b">
        <f t="shared" si="12"/>
        <v>1</v>
      </c>
      <c r="AF37" t="b">
        <f t="shared" si="13"/>
        <v>1</v>
      </c>
      <c r="AG37" t="b">
        <f t="shared" si="14"/>
        <v>1</v>
      </c>
      <c r="AH37" t="b">
        <f t="shared" si="15"/>
        <v>1</v>
      </c>
      <c r="AI37" t="b">
        <f t="shared" si="16"/>
        <v>1</v>
      </c>
      <c r="AJ37" t="b">
        <f t="shared" si="17"/>
        <v>1</v>
      </c>
      <c r="AK37" t="b">
        <f t="shared" si="18"/>
        <v>1</v>
      </c>
      <c r="AL37" t="b">
        <f t="shared" si="19"/>
        <v>1</v>
      </c>
      <c r="AM37" t="b">
        <f t="shared" si="20"/>
        <v>1</v>
      </c>
      <c r="AV37" s="59" t="str">
        <f t="shared" si="31"/>
        <v xml:space="preserve">    { wxString::FromUTF8("\x43"), &amp;AllGlyphs[58], &amp;AllGlyphs[49], &amp;AllGlyphs[37], &amp;AllGlyphs[58], Connection::ORTHO_BOTH, Connection::EMPTY, Connection::ORTHO_BOTH, Connection::EMPTY, 0, 0, 0, 0 },</v>
      </c>
      <c r="AW37" s="60"/>
      <c r="AX37" s="60"/>
      <c r="AY37" s="60"/>
      <c r="AZ37" s="60"/>
      <c r="BA37" s="60"/>
      <c r="BB37" s="60"/>
      <c r="BC37" s="61"/>
      <c r="BE37" s="54" t="str">
        <f t="shared" si="22"/>
        <v>&amp;AllGlyphs[58]</v>
      </c>
      <c r="BF37" s="54" t="str">
        <f t="shared" si="23"/>
        <v>&amp;AllGlyphs[49]</v>
      </c>
      <c r="BG37" s="54" t="str">
        <f t="shared" si="24"/>
        <v>&amp;AllGlyphs[37]</v>
      </c>
      <c r="BH37" s="54" t="str">
        <f t="shared" si="25"/>
        <v>&amp;AllGlyphs[58]</v>
      </c>
      <c r="BJ37" s="58">
        <f t="shared" si="26"/>
        <v>0</v>
      </c>
      <c r="BK37" s="58">
        <f t="shared" si="27"/>
        <v>0</v>
      </c>
      <c r="BL37" s="58">
        <f t="shared" si="28"/>
        <v>0</v>
      </c>
      <c r="BM37" s="58">
        <f t="shared" si="29"/>
        <v>0</v>
      </c>
    </row>
    <row r="38" spans="1:65" x14ac:dyDescent="0.4">
      <c r="A38" s="7" t="s">
        <v>38</v>
      </c>
      <c r="B38" s="6" t="str">
        <f t="shared" si="0"/>
        <v>D</v>
      </c>
      <c r="C38" s="48" cm="1">
        <f t="array" ref="C38">IF($N38,INDEX($O:$O,MATCH(TRUE,EXACT(B38,$A:$A),0)),"")</f>
        <v>36</v>
      </c>
      <c r="D38" s="38" t="s">
        <v>46</v>
      </c>
      <c r="E38" s="48" cm="1">
        <f t="array" ref="E38">IF($N38,INDEX($O:$O,MATCH(TRUE,EXACT(D38,$A:$A),0)),"")</f>
        <v>56</v>
      </c>
      <c r="F38" s="38" t="s">
        <v>36</v>
      </c>
      <c r="G38" s="48" cm="1">
        <f t="array" ref="G38">IF($O38&lt;&gt;"",INDEX($O:$O,MATCH(TRUE,EXACT(F38,$A:$A),0)),"")</f>
        <v>33</v>
      </c>
      <c r="H38" s="38" t="s">
        <v>38</v>
      </c>
      <c r="I38" s="48" cm="1">
        <f t="array" ref="I38">IF($N38,INDEX($O:$O,MATCH(TRUE,EXACT(H38,$A:$A),0)),"")</f>
        <v>36</v>
      </c>
      <c r="J38" s="38" t="s">
        <v>36</v>
      </c>
      <c r="K38" s="52" cm="1">
        <f t="array" ref="K38">IF($N38,INDEX($O:$O,MATCH(TRUE,EXACT(J38,$A:$A),0)),"")</f>
        <v>33</v>
      </c>
      <c r="L38" s="23"/>
      <c r="M38" s="33"/>
      <c r="N38" s="18" t="b">
        <f t="shared" si="3"/>
        <v>1</v>
      </c>
      <c r="O38" s="19">
        <f>IF(N38, MAX(O$2:O37)+1,"")</f>
        <v>36</v>
      </c>
      <c r="P38" s="23" t="str">
        <f t="shared" si="1"/>
        <v>D</v>
      </c>
      <c r="Q38" s="8" t="str" cm="1">
        <f t="array" ref="Q38">CharToUTF8(A38)</f>
        <v>\x44</v>
      </c>
      <c r="S38" s="18" t="str">
        <f t="shared" si="33"/>
        <v>ORTHO_BOTH</v>
      </c>
      <c r="T38" s="24" t="str">
        <f>$AO$4</f>
        <v>ORTHO_BOTH</v>
      </c>
      <c r="U38" s="24" t="str">
        <f>$AO$4</f>
        <v>ORTHO_BOTH</v>
      </c>
      <c r="V38" s="21" t="str">
        <f>$AO$2</f>
        <v>EMPTY</v>
      </c>
      <c r="X38" s="31" t="b">
        <f t="shared" si="5"/>
        <v>0</v>
      </c>
      <c r="Y38" s="31" t="b">
        <f t="shared" si="6"/>
        <v>0</v>
      </c>
      <c r="Z38" t="b">
        <f t="shared" si="7"/>
        <v>1</v>
      </c>
      <c r="AA38" t="b">
        <f t="shared" si="8"/>
        <v>0</v>
      </c>
      <c r="AB38" t="b">
        <f t="shared" si="9"/>
        <v>0</v>
      </c>
      <c r="AC38" t="b">
        <f t="shared" si="10"/>
        <v>1</v>
      </c>
      <c r="AD38" t="b">
        <f t="shared" si="11"/>
        <v>1</v>
      </c>
      <c r="AE38" t="b">
        <f t="shared" si="12"/>
        <v>0</v>
      </c>
      <c r="AF38" t="b">
        <f t="shared" si="13"/>
        <v>1</v>
      </c>
      <c r="AG38" t="b">
        <f t="shared" si="14"/>
        <v>1</v>
      </c>
      <c r="AH38" t="b">
        <f t="shared" si="15"/>
        <v>1</v>
      </c>
      <c r="AI38" t="b">
        <f t="shared" si="16"/>
        <v>1</v>
      </c>
      <c r="AJ38" t="b">
        <f t="shared" si="17"/>
        <v>1</v>
      </c>
      <c r="AK38" t="b">
        <f t="shared" si="18"/>
        <v>1</v>
      </c>
      <c r="AL38" t="b">
        <f t="shared" si="19"/>
        <v>1</v>
      </c>
      <c r="AM38" t="b">
        <f t="shared" si="20"/>
        <v>1</v>
      </c>
      <c r="AV38" s="59" t="str">
        <f t="shared" si="31"/>
        <v xml:space="preserve">    { wxString::FromUTF8("\x44"), &amp;AllGlyphs[56], &amp;AllGlyphs[33], &amp;AllGlyphs[36], &amp;AllGlyphs[33], Connection::ORTHO_BOTH, Connection::ORTHO_BOTH, Connection::ORTHO_BOTH, Connection::EMPTY, 0, 0, 1, 0 },</v>
      </c>
      <c r="AW38" s="60"/>
      <c r="AX38" s="60"/>
      <c r="AY38" s="60"/>
      <c r="AZ38" s="60"/>
      <c r="BA38" s="60"/>
      <c r="BB38" s="60"/>
      <c r="BC38" s="61"/>
      <c r="BE38" s="54" t="str">
        <f t="shared" si="22"/>
        <v>&amp;AllGlyphs[56]</v>
      </c>
      <c r="BF38" s="54" t="str">
        <f t="shared" si="23"/>
        <v>&amp;AllGlyphs[33]</v>
      </c>
      <c r="BG38" s="54" t="str">
        <f t="shared" si="24"/>
        <v>&amp;AllGlyphs[36]</v>
      </c>
      <c r="BH38" s="54" t="str">
        <f t="shared" si="25"/>
        <v>&amp;AllGlyphs[33]</v>
      </c>
      <c r="BJ38" s="58">
        <f t="shared" si="26"/>
        <v>0</v>
      </c>
      <c r="BK38" s="58">
        <f t="shared" si="27"/>
        <v>0</v>
      </c>
      <c r="BL38" s="58">
        <f t="shared" si="28"/>
        <v>1</v>
      </c>
      <c r="BM38" s="58">
        <f t="shared" si="29"/>
        <v>0</v>
      </c>
    </row>
    <row r="39" spans="1:65" x14ac:dyDescent="0.4">
      <c r="A39" s="7" t="s">
        <v>28</v>
      </c>
      <c r="B39" s="6" t="str">
        <f t="shared" si="0"/>
        <v>E</v>
      </c>
      <c r="C39" s="48" cm="1">
        <f t="array" ref="C39">IF($N39,INDEX($O:$O,MATCH(TRUE,EXACT(B39,$A:$A),0)),"")</f>
        <v>37</v>
      </c>
      <c r="D39" s="38" t="s">
        <v>47</v>
      </c>
      <c r="E39" s="48" cm="1">
        <f t="array" ref="E39">IF($N39,INDEX($O:$O,MATCH(TRUE,EXACT(D39,$A:$A),0)),"")</f>
        <v>35</v>
      </c>
      <c r="F39" s="38" t="s">
        <v>45</v>
      </c>
      <c r="G39" s="48" cm="1">
        <f t="array" ref="G39">IF($O39&lt;&gt;"",INDEX($O:$O,MATCH(TRUE,EXACT(F39,$A:$A),0)),"")</f>
        <v>58</v>
      </c>
      <c r="H39" s="38" t="s">
        <v>47</v>
      </c>
      <c r="I39" s="48" cm="1">
        <f t="array" ref="I39">IF($N39,INDEX($O:$O,MATCH(TRUE,EXACT(H39,$A:$A),0)),"")</f>
        <v>35</v>
      </c>
      <c r="J39" s="38" t="s">
        <v>26</v>
      </c>
      <c r="K39" s="52" cm="1">
        <f t="array" ref="K39">IF($N39,INDEX($O:$O,MATCH(TRUE,EXACT(J39,$A:$A),0)),"")</f>
        <v>49</v>
      </c>
      <c r="L39" s="23"/>
      <c r="M39" s="33"/>
      <c r="N39" s="18" t="b">
        <f t="shared" si="3"/>
        <v>1</v>
      </c>
      <c r="O39" s="19">
        <f>IF(N39, MAX(O$2:O38)+1,"")</f>
        <v>37</v>
      </c>
      <c r="P39" s="23" t="str">
        <f t="shared" si="1"/>
        <v>E</v>
      </c>
      <c r="Q39" s="8" t="str" cm="1">
        <f t="array" ref="Q39">CharToUTF8(A39)</f>
        <v>\x45</v>
      </c>
      <c r="S39" s="18" t="str">
        <f>$AO$2</f>
        <v>EMPTY</v>
      </c>
      <c r="T39" s="24" t="str">
        <f>$AO$4</f>
        <v>ORTHO_BOTH</v>
      </c>
      <c r="U39" s="24" t="str">
        <f>$AO$4</f>
        <v>ORTHO_BOTH</v>
      </c>
      <c r="V39" s="21" t="str">
        <f>$AO$2</f>
        <v>EMPTY</v>
      </c>
      <c r="X39" s="31" t="b">
        <f t="shared" si="5"/>
        <v>0</v>
      </c>
      <c r="Y39" s="31" t="b">
        <f t="shared" si="6"/>
        <v>0</v>
      </c>
      <c r="Z39" t="b">
        <f t="shared" si="7"/>
        <v>0</v>
      </c>
      <c r="AA39" t="b">
        <f t="shared" si="8"/>
        <v>0</v>
      </c>
      <c r="AB39" t="b">
        <f t="shared" si="9"/>
        <v>1</v>
      </c>
      <c r="AC39" t="b">
        <f t="shared" si="10"/>
        <v>1</v>
      </c>
      <c r="AD39" t="b">
        <f t="shared" si="11"/>
        <v>0</v>
      </c>
      <c r="AE39" t="b">
        <f t="shared" si="12"/>
        <v>0</v>
      </c>
      <c r="AF39" t="b">
        <f t="shared" si="13"/>
        <v>1</v>
      </c>
      <c r="AG39" t="b">
        <f t="shared" si="14"/>
        <v>1</v>
      </c>
      <c r="AH39" t="b">
        <f t="shared" si="15"/>
        <v>1</v>
      </c>
      <c r="AI39" t="b">
        <f t="shared" si="16"/>
        <v>1</v>
      </c>
      <c r="AJ39" t="b">
        <f t="shared" si="17"/>
        <v>1</v>
      </c>
      <c r="AK39" t="b">
        <f t="shared" si="18"/>
        <v>1</v>
      </c>
      <c r="AL39" t="b">
        <f t="shared" si="19"/>
        <v>1</v>
      </c>
      <c r="AM39" t="b">
        <f t="shared" si="20"/>
        <v>1</v>
      </c>
      <c r="AV39" s="59" t="str">
        <f t="shared" si="31"/>
        <v xml:space="preserve">    { wxString::FromUTF8("\x45"), &amp;AllGlyphs[35], &amp;AllGlyphs[58], &amp;AllGlyphs[35], &amp;AllGlyphs[49], Connection::EMPTY, Connection::ORTHO_BOTH, Connection::ORTHO_BOTH, Connection::EMPTY, 0, 0, 0, 0 },</v>
      </c>
      <c r="AW39" s="60"/>
      <c r="AX39" s="60"/>
      <c r="AY39" s="60"/>
      <c r="AZ39" s="60"/>
      <c r="BA39" s="60"/>
      <c r="BB39" s="60"/>
      <c r="BC39" s="61"/>
      <c r="BE39" s="54" t="str">
        <f t="shared" si="22"/>
        <v>&amp;AllGlyphs[35]</v>
      </c>
      <c r="BF39" s="54" t="str">
        <f t="shared" si="23"/>
        <v>&amp;AllGlyphs[58]</v>
      </c>
      <c r="BG39" s="54" t="str">
        <f t="shared" si="24"/>
        <v>&amp;AllGlyphs[35]</v>
      </c>
      <c r="BH39" s="54" t="str">
        <f t="shared" si="25"/>
        <v>&amp;AllGlyphs[49]</v>
      </c>
      <c r="BJ39" s="58">
        <f t="shared" si="26"/>
        <v>0</v>
      </c>
      <c r="BK39" s="58">
        <f t="shared" si="27"/>
        <v>0</v>
      </c>
      <c r="BL39" s="58">
        <f t="shared" si="28"/>
        <v>0</v>
      </c>
      <c r="BM39" s="58">
        <f t="shared" si="29"/>
        <v>0</v>
      </c>
    </row>
    <row r="40" spans="1:65" x14ac:dyDescent="0.4">
      <c r="A40" s="7" t="s">
        <v>39</v>
      </c>
      <c r="B40" s="6" t="str">
        <f t="shared" si="0"/>
        <v>F</v>
      </c>
      <c r="C40" s="48" cm="1">
        <f t="array" ref="C40">IF($N40,INDEX($O:$O,MATCH(TRUE,EXACT(B40,$A:$A),0)),"")</f>
        <v>38</v>
      </c>
      <c r="D40" s="38" t="s">
        <v>55</v>
      </c>
      <c r="E40" s="48" cm="1">
        <f t="array" ref="E40">IF($N40,INDEX($O:$O,MATCH(TRUE,EXACT(D40,$A:$A),0)),"")</f>
        <v>4</v>
      </c>
      <c r="F40" s="38" t="s">
        <v>48</v>
      </c>
      <c r="G40" s="48" cm="1">
        <f t="array" ref="G40">IF($O40&lt;&gt;"",INDEX($O:$O,MATCH(TRUE,EXACT(F40,$A:$A),0)),"")</f>
        <v>54</v>
      </c>
      <c r="H40" s="38" t="s">
        <v>39</v>
      </c>
      <c r="I40" s="48" cm="1">
        <f t="array" ref="I40">IF($N40,INDEX($O:$O,MATCH(TRUE,EXACT(H40,$A:$A),0)),"")</f>
        <v>38</v>
      </c>
      <c r="J40" s="38" t="s">
        <v>48</v>
      </c>
      <c r="K40" s="52" cm="1">
        <f t="array" ref="K40">IF($N40,INDEX($O:$O,MATCH(TRUE,EXACT(J40,$A:$A),0)),"")</f>
        <v>54</v>
      </c>
      <c r="L40" s="23"/>
      <c r="M40" s="33"/>
      <c r="N40" s="18" t="b">
        <f t="shared" si="3"/>
        <v>1</v>
      </c>
      <c r="O40" s="19">
        <f>IF(N40, MAX(O$2:O39)+1,"")</f>
        <v>38</v>
      </c>
      <c r="P40" s="23" t="str">
        <f t="shared" si="1"/>
        <v>F</v>
      </c>
      <c r="Q40" s="8" t="str" cm="1">
        <f t="array" ref="Q40">CharToUTF8(A40)</f>
        <v>\x46</v>
      </c>
      <c r="S40" s="18" t="str">
        <f>$AO$2</f>
        <v>EMPTY</v>
      </c>
      <c r="T40" s="24" t="str">
        <f>$AO$2</f>
        <v>EMPTY</v>
      </c>
      <c r="U40" s="24" t="str">
        <f>$AO$2</f>
        <v>EMPTY</v>
      </c>
      <c r="V40" s="21" t="str">
        <f>$AO$4</f>
        <v>ORTHO_BOTH</v>
      </c>
      <c r="X40" s="31" t="b">
        <f t="shared" si="5"/>
        <v>0</v>
      </c>
      <c r="Y40" s="31" t="b">
        <f t="shared" si="6"/>
        <v>0</v>
      </c>
      <c r="Z40" t="b">
        <f t="shared" si="7"/>
        <v>1</v>
      </c>
      <c r="AA40" t="b">
        <f t="shared" si="8"/>
        <v>0</v>
      </c>
      <c r="AB40" t="b">
        <f t="shared" si="9"/>
        <v>0</v>
      </c>
      <c r="AC40" t="b">
        <f t="shared" si="10"/>
        <v>1</v>
      </c>
      <c r="AD40" t="b">
        <f t="shared" si="11"/>
        <v>1</v>
      </c>
      <c r="AE40" t="b">
        <f t="shared" si="12"/>
        <v>0</v>
      </c>
      <c r="AF40" t="b">
        <f t="shared" si="13"/>
        <v>1</v>
      </c>
      <c r="AG40" t="b">
        <f t="shared" si="14"/>
        <v>1</v>
      </c>
      <c r="AH40" t="b">
        <f t="shared" si="15"/>
        <v>1</v>
      </c>
      <c r="AI40" t="b">
        <f t="shared" si="16"/>
        <v>1</v>
      </c>
      <c r="AJ40" t="b">
        <f t="shared" si="17"/>
        <v>1</v>
      </c>
      <c r="AK40" t="b">
        <f t="shared" si="18"/>
        <v>1</v>
      </c>
      <c r="AL40" t="b">
        <f t="shared" si="19"/>
        <v>1</v>
      </c>
      <c r="AM40" t="b">
        <f t="shared" si="20"/>
        <v>1</v>
      </c>
      <c r="AV40" s="59" t="str">
        <f t="shared" si="31"/>
        <v xml:space="preserve">    { wxString::FromUTF8("\x46"), &amp;AllGlyphs[4], &amp;AllGlyphs[54], &amp;AllGlyphs[38], &amp;AllGlyphs[54], Connection::EMPTY, Connection::EMPTY, Connection::EMPTY, Connection::ORTHO_BOTH, 0, 0, 1, 0 },</v>
      </c>
      <c r="AW40" s="60"/>
      <c r="AX40" s="60"/>
      <c r="AY40" s="60"/>
      <c r="AZ40" s="60"/>
      <c r="BA40" s="60"/>
      <c r="BB40" s="60"/>
      <c r="BC40" s="61"/>
      <c r="BE40" s="54" t="str">
        <f t="shared" si="22"/>
        <v>&amp;AllGlyphs[4]</v>
      </c>
      <c r="BF40" s="54" t="str">
        <f t="shared" si="23"/>
        <v>&amp;AllGlyphs[54]</v>
      </c>
      <c r="BG40" s="54" t="str">
        <f t="shared" si="24"/>
        <v>&amp;AllGlyphs[38]</v>
      </c>
      <c r="BH40" s="54" t="str">
        <f t="shared" si="25"/>
        <v>&amp;AllGlyphs[54]</v>
      </c>
      <c r="BJ40" s="58">
        <f t="shared" si="26"/>
        <v>0</v>
      </c>
      <c r="BK40" s="58">
        <f t="shared" si="27"/>
        <v>0</v>
      </c>
      <c r="BL40" s="58">
        <f t="shared" si="28"/>
        <v>1</v>
      </c>
      <c r="BM40" s="58">
        <f t="shared" si="29"/>
        <v>0</v>
      </c>
    </row>
    <row r="41" spans="1:65" x14ac:dyDescent="0.4">
      <c r="A41" s="7" t="s">
        <v>40</v>
      </c>
      <c r="B41" s="6" t="str">
        <f t="shared" si="0"/>
        <v>G</v>
      </c>
      <c r="C41" s="48" cm="1">
        <f t="array" ref="C41">IF($N41,INDEX($O:$O,MATCH(TRUE,EXACT(B41,$A:$A),0)),"")</f>
        <v>39</v>
      </c>
      <c r="D41" s="38" t="s">
        <v>56</v>
      </c>
      <c r="E41" s="48" cm="1">
        <f t="array" ref="E41">IF($N41,INDEX($O:$O,MATCH(TRUE,EXACT(D41,$A:$A),0)),"")</f>
        <v>5</v>
      </c>
      <c r="F41" s="38" t="s">
        <v>41</v>
      </c>
      <c r="G41" s="48" cm="1">
        <f t="array" ref="G41">IF($O41&lt;&gt;"",INDEX($O:$O,MATCH(TRUE,EXACT(F41,$A:$A),0)),"")</f>
        <v>40</v>
      </c>
      <c r="H41" s="38" t="s">
        <v>40</v>
      </c>
      <c r="I41" s="48" cm="1">
        <f t="array" ref="I41">IF($N41,INDEX($O:$O,MATCH(TRUE,EXACT(H41,$A:$A),0)),"")</f>
        <v>39</v>
      </c>
      <c r="J41" s="38" t="s">
        <v>41</v>
      </c>
      <c r="K41" s="52" cm="1">
        <f t="array" ref="K41">IF($N41,INDEX($O:$O,MATCH(TRUE,EXACT(J41,$A:$A),0)),"")</f>
        <v>40</v>
      </c>
      <c r="L41" s="23"/>
      <c r="M41" s="33"/>
      <c r="N41" s="18" t="b">
        <f t="shared" si="3"/>
        <v>1</v>
      </c>
      <c r="O41" s="19">
        <f>IF(N41, MAX(O$2:O40)+1,"")</f>
        <v>39</v>
      </c>
      <c r="P41" s="23" t="str">
        <f t="shared" si="1"/>
        <v>G</v>
      </c>
      <c r="Q41" s="8" t="str" cm="1">
        <f t="array" ref="Q41">CharToUTF8(A41)</f>
        <v>\x47</v>
      </c>
      <c r="S41" s="18" t="str">
        <f>$AO$4</f>
        <v>ORTHO_BOTH</v>
      </c>
      <c r="T41" s="24" t="str">
        <f>$AO$4</f>
        <v>ORTHO_BOTH</v>
      </c>
      <c r="U41" s="24" t="str">
        <f>$AO$2</f>
        <v>EMPTY</v>
      </c>
      <c r="V41" s="21" t="str">
        <f>$AO$3</f>
        <v>DIAG_BOTH</v>
      </c>
      <c r="X41" s="31" t="b">
        <f t="shared" si="5"/>
        <v>0</v>
      </c>
      <c r="Y41" s="31" t="b">
        <f t="shared" si="6"/>
        <v>0</v>
      </c>
      <c r="Z41" t="b">
        <f t="shared" si="7"/>
        <v>1</v>
      </c>
      <c r="AA41" t="b">
        <f t="shared" si="8"/>
        <v>0</v>
      </c>
      <c r="AB41" t="b">
        <f t="shared" si="9"/>
        <v>0</v>
      </c>
      <c r="AC41" t="b">
        <f t="shared" si="10"/>
        <v>0</v>
      </c>
      <c r="AD41" t="b">
        <f t="shared" si="11"/>
        <v>0</v>
      </c>
      <c r="AE41" t="b">
        <f t="shared" si="12"/>
        <v>0</v>
      </c>
      <c r="AF41" t="b">
        <f t="shared" si="13"/>
        <v>1</v>
      </c>
      <c r="AG41" t="b">
        <f t="shared" si="14"/>
        <v>1</v>
      </c>
      <c r="AH41" t="b">
        <f t="shared" si="15"/>
        <v>1</v>
      </c>
      <c r="AI41" t="b">
        <f t="shared" si="16"/>
        <v>1</v>
      </c>
      <c r="AJ41" t="b">
        <f t="shared" si="17"/>
        <v>1</v>
      </c>
      <c r="AK41" t="b">
        <f t="shared" si="18"/>
        <v>1</v>
      </c>
      <c r="AL41" t="b">
        <f t="shared" si="19"/>
        <v>1</v>
      </c>
      <c r="AM41" t="b">
        <f t="shared" si="20"/>
        <v>1</v>
      </c>
      <c r="AV41" s="59" t="str">
        <f t="shared" si="31"/>
        <v xml:space="preserve">    { wxString::FromUTF8("\x47"), &amp;AllGlyphs[5], &amp;AllGlyphs[40], &amp;AllGlyphs[39], &amp;AllGlyphs[40], Connection::ORTHO_BOTH, Connection::ORTHO_BOTH, Connection::EMPTY, Connection::DIAG_BOTH, 0, 0, 1, 0 },</v>
      </c>
      <c r="AW41" s="60"/>
      <c r="AX41" s="60"/>
      <c r="AY41" s="60"/>
      <c r="AZ41" s="60"/>
      <c r="BA41" s="60"/>
      <c r="BB41" s="60"/>
      <c r="BC41" s="61"/>
      <c r="BE41" s="54" t="str">
        <f t="shared" si="22"/>
        <v>&amp;AllGlyphs[5]</v>
      </c>
      <c r="BF41" s="54" t="str">
        <f t="shared" si="23"/>
        <v>&amp;AllGlyphs[40]</v>
      </c>
      <c r="BG41" s="54" t="str">
        <f t="shared" si="24"/>
        <v>&amp;AllGlyphs[39]</v>
      </c>
      <c r="BH41" s="54" t="str">
        <f t="shared" si="25"/>
        <v>&amp;AllGlyphs[40]</v>
      </c>
      <c r="BJ41" s="58">
        <f t="shared" si="26"/>
        <v>0</v>
      </c>
      <c r="BK41" s="58">
        <f t="shared" si="27"/>
        <v>0</v>
      </c>
      <c r="BL41" s="58">
        <f t="shared" si="28"/>
        <v>1</v>
      </c>
      <c r="BM41" s="58">
        <f t="shared" si="29"/>
        <v>0</v>
      </c>
    </row>
    <row r="42" spans="1:65" x14ac:dyDescent="0.4">
      <c r="A42" s="7" t="s">
        <v>41</v>
      </c>
      <c r="B42" s="6" t="str">
        <f t="shared" si="0"/>
        <v>H</v>
      </c>
      <c r="C42" s="48" cm="1">
        <f t="array" ref="C42">IF($N42,INDEX($O:$O,MATCH(TRUE,EXACT(B42,$A:$A),0)),"")</f>
        <v>40</v>
      </c>
      <c r="D42" s="38" t="s">
        <v>30</v>
      </c>
      <c r="E42" s="48" cm="1">
        <f t="array" ref="E42">IF($N42,INDEX($O:$O,MATCH(TRUE,EXACT(D42,$A:$A),0)),"")</f>
        <v>52</v>
      </c>
      <c r="F42" s="38" t="s">
        <v>40</v>
      </c>
      <c r="G42" s="48" cm="1">
        <f t="array" ref="G42">IF($O42&lt;&gt;"",INDEX($O:$O,MATCH(TRUE,EXACT(F42,$A:$A),0)),"")</f>
        <v>39</v>
      </c>
      <c r="H42" s="38" t="s">
        <v>41</v>
      </c>
      <c r="I42" s="48" cm="1">
        <f t="array" ref="I42">IF($N42,INDEX($O:$O,MATCH(TRUE,EXACT(H42,$A:$A),0)),"")</f>
        <v>40</v>
      </c>
      <c r="J42" s="38" t="s">
        <v>40</v>
      </c>
      <c r="K42" s="52" cm="1">
        <f t="array" ref="K42">IF($N42,INDEX($O:$O,MATCH(TRUE,EXACT(J42,$A:$A),0)),"")</f>
        <v>39</v>
      </c>
      <c r="L42" s="23"/>
      <c r="M42" s="33"/>
      <c r="N42" s="18" t="b">
        <f t="shared" si="3"/>
        <v>1</v>
      </c>
      <c r="O42" s="19">
        <f>IF(N42, MAX(O$2:O41)+1,"")</f>
        <v>40</v>
      </c>
      <c r="P42" s="23" t="str">
        <f t="shared" si="1"/>
        <v>H</v>
      </c>
      <c r="Q42" s="8" t="str" cm="1">
        <f t="array" ref="Q42">CharToUTF8(A42)</f>
        <v>\x48</v>
      </c>
      <c r="S42" s="18" t="str">
        <f>$AO$4</f>
        <v>ORTHO_BOTH</v>
      </c>
      <c r="T42" s="24" t="str">
        <f>$AO$4</f>
        <v>ORTHO_BOTH</v>
      </c>
      <c r="U42" s="24" t="str">
        <f>$AO$3</f>
        <v>DIAG_BOTH</v>
      </c>
      <c r="V42" s="21" t="str">
        <f>$AO$2</f>
        <v>EMPTY</v>
      </c>
      <c r="X42" s="31" t="b">
        <f t="shared" si="5"/>
        <v>0</v>
      </c>
      <c r="Y42" s="31" t="b">
        <f t="shared" si="6"/>
        <v>0</v>
      </c>
      <c r="Z42" t="b">
        <f t="shared" si="7"/>
        <v>1</v>
      </c>
      <c r="AA42" t="b">
        <f t="shared" si="8"/>
        <v>0</v>
      </c>
      <c r="AB42" t="b">
        <f t="shared" si="9"/>
        <v>0</v>
      </c>
      <c r="AC42" t="b">
        <f t="shared" si="10"/>
        <v>0</v>
      </c>
      <c r="AD42" t="b">
        <f t="shared" si="11"/>
        <v>0</v>
      </c>
      <c r="AE42" t="b">
        <f t="shared" si="12"/>
        <v>0</v>
      </c>
      <c r="AF42" t="b">
        <f t="shared" si="13"/>
        <v>1</v>
      </c>
      <c r="AG42" t="b">
        <f t="shared" si="14"/>
        <v>1</v>
      </c>
      <c r="AH42" t="b">
        <f t="shared" si="15"/>
        <v>1</v>
      </c>
      <c r="AI42" t="b">
        <f t="shared" si="16"/>
        <v>1</v>
      </c>
      <c r="AJ42" t="b">
        <f t="shared" si="17"/>
        <v>1</v>
      </c>
      <c r="AK42" t="b">
        <f t="shared" si="18"/>
        <v>1</v>
      </c>
      <c r="AL42" t="b">
        <f t="shared" si="19"/>
        <v>1</v>
      </c>
      <c r="AM42" t="b">
        <f t="shared" si="20"/>
        <v>1</v>
      </c>
      <c r="AV42" s="59" t="str">
        <f t="shared" si="31"/>
        <v xml:space="preserve">    { wxString::FromUTF8("\x48"), &amp;AllGlyphs[52], &amp;AllGlyphs[39], &amp;AllGlyphs[40], &amp;AllGlyphs[39], Connection::ORTHO_BOTH, Connection::ORTHO_BOTH, Connection::DIAG_BOTH, Connection::EMPTY, 0, 0, 1, 0 },</v>
      </c>
      <c r="AW42" s="60"/>
      <c r="AX42" s="60"/>
      <c r="AY42" s="60"/>
      <c r="AZ42" s="60"/>
      <c r="BA42" s="60"/>
      <c r="BB42" s="60"/>
      <c r="BC42" s="61"/>
      <c r="BE42" s="54" t="str">
        <f t="shared" si="22"/>
        <v>&amp;AllGlyphs[52]</v>
      </c>
      <c r="BF42" s="54" t="str">
        <f t="shared" si="23"/>
        <v>&amp;AllGlyphs[39]</v>
      </c>
      <c r="BG42" s="54" t="str">
        <f t="shared" si="24"/>
        <v>&amp;AllGlyphs[40]</v>
      </c>
      <c r="BH42" s="54" t="str">
        <f t="shared" si="25"/>
        <v>&amp;AllGlyphs[39]</v>
      </c>
      <c r="BJ42" s="58">
        <f t="shared" si="26"/>
        <v>0</v>
      </c>
      <c r="BK42" s="58">
        <f t="shared" si="27"/>
        <v>0</v>
      </c>
      <c r="BL42" s="58">
        <f t="shared" si="28"/>
        <v>1</v>
      </c>
      <c r="BM42" s="58">
        <f t="shared" si="29"/>
        <v>0</v>
      </c>
    </row>
    <row r="43" spans="1:65" x14ac:dyDescent="0.4">
      <c r="A43" s="7" t="s">
        <v>33</v>
      </c>
      <c r="B43" s="6" t="str">
        <f t="shared" si="0"/>
        <v>I</v>
      </c>
      <c r="C43" s="48" cm="1">
        <f t="array" ref="C43">IF($N43,INDEX($O:$O,MATCH(TRUE,EXACT(B43,$A:$A),0)),"")</f>
        <v>41</v>
      </c>
      <c r="D43" s="38" t="s">
        <v>51</v>
      </c>
      <c r="E43" s="48" cm="1">
        <f t="array" ref="E43">IF($N43,INDEX($O:$O,MATCH(TRUE,EXACT(D43,$A:$A),0)),"")</f>
        <v>45</v>
      </c>
      <c r="F43" s="38" t="s">
        <v>58</v>
      </c>
      <c r="G43" s="48" cm="1">
        <f t="array" ref="G43">IF($O43&lt;&gt;"",INDEX($O:$O,MATCH(TRUE,EXACT(F43,$A:$A),0)),"")</f>
        <v>6</v>
      </c>
      <c r="H43" s="38" t="s">
        <v>59</v>
      </c>
      <c r="I43" s="48" cm="1">
        <f t="array" ref="I43">IF($N43,INDEX($O:$O,MATCH(TRUE,EXACT(H43,$A:$A),0)),"")</f>
        <v>10</v>
      </c>
      <c r="J43" s="38" t="s">
        <v>32</v>
      </c>
      <c r="K43" s="52" cm="1">
        <f t="array" ref="K43">IF($N43,INDEX($O:$O,MATCH(TRUE,EXACT(J43,$A:$A),0)),"")</f>
        <v>53</v>
      </c>
      <c r="L43" s="23"/>
      <c r="M43" s="33"/>
      <c r="N43" s="18" t="b">
        <f t="shared" si="3"/>
        <v>1</v>
      </c>
      <c r="O43" s="19">
        <f>IF(N43, MAX(O$2:O42)+1,"")</f>
        <v>41</v>
      </c>
      <c r="P43" s="23" t="str">
        <f t="shared" si="1"/>
        <v>I</v>
      </c>
      <c r="Q43" s="8" t="str" cm="1">
        <f t="array" ref="Q43">CharToUTF8(A43)</f>
        <v>\x49</v>
      </c>
      <c r="S43" s="18" t="str">
        <f>$AO$4</f>
        <v>ORTHO_BOTH</v>
      </c>
      <c r="T43" s="24" t="str">
        <f>$AO$3</f>
        <v>DIAG_BOTH</v>
      </c>
      <c r="U43" s="24" t="str">
        <f>$AO$4</f>
        <v>ORTHO_BOTH</v>
      </c>
      <c r="V43" s="21" t="str">
        <f>$AO$2</f>
        <v>EMPTY</v>
      </c>
      <c r="X43" s="31" t="b">
        <f t="shared" si="5"/>
        <v>0</v>
      </c>
      <c r="Y43" s="31" t="b">
        <f t="shared" si="6"/>
        <v>0</v>
      </c>
      <c r="Z43" t="b">
        <f t="shared" si="7"/>
        <v>0</v>
      </c>
      <c r="AA43" t="b">
        <f t="shared" si="8"/>
        <v>0</v>
      </c>
      <c r="AB43" t="b">
        <f t="shared" si="9"/>
        <v>0</v>
      </c>
      <c r="AC43" t="b">
        <f t="shared" si="10"/>
        <v>0</v>
      </c>
      <c r="AD43" t="b">
        <f t="shared" si="11"/>
        <v>1</v>
      </c>
      <c r="AE43" t="b">
        <f t="shared" si="12"/>
        <v>0</v>
      </c>
      <c r="AF43" t="b">
        <f t="shared" si="13"/>
        <v>1</v>
      </c>
      <c r="AG43" t="b">
        <f t="shared" si="14"/>
        <v>1</v>
      </c>
      <c r="AH43" t="b">
        <f t="shared" si="15"/>
        <v>1</v>
      </c>
      <c r="AI43" t="b">
        <f t="shared" si="16"/>
        <v>1</v>
      </c>
      <c r="AJ43" t="b">
        <f t="shared" si="17"/>
        <v>1</v>
      </c>
      <c r="AK43" t="b">
        <f t="shared" si="18"/>
        <v>1</v>
      </c>
      <c r="AL43" t="b">
        <f t="shared" si="19"/>
        <v>1</v>
      </c>
      <c r="AM43" t="b">
        <f t="shared" si="20"/>
        <v>1</v>
      </c>
      <c r="AV43" s="59" t="str">
        <f t="shared" si="31"/>
        <v xml:space="preserve">    { wxString::FromUTF8("\x49"), &amp;AllGlyphs[45], &amp;AllGlyphs[6], &amp;AllGlyphs[10], &amp;AllGlyphs[53], Connection::ORTHO_BOTH, Connection::DIAG_BOTH, Connection::ORTHO_BOTH, Connection::EMPTY, 0, 0, 0, 0 },</v>
      </c>
      <c r="AW43" s="60"/>
      <c r="AX43" s="60"/>
      <c r="AY43" s="60"/>
      <c r="AZ43" s="60"/>
      <c r="BA43" s="60"/>
      <c r="BB43" s="60"/>
      <c r="BC43" s="61"/>
      <c r="BE43" s="54" t="str">
        <f t="shared" si="22"/>
        <v>&amp;AllGlyphs[45]</v>
      </c>
      <c r="BF43" s="54" t="str">
        <f t="shared" si="23"/>
        <v>&amp;AllGlyphs[6]</v>
      </c>
      <c r="BG43" s="54" t="str">
        <f t="shared" si="24"/>
        <v>&amp;AllGlyphs[10]</v>
      </c>
      <c r="BH43" s="54" t="str">
        <f t="shared" si="25"/>
        <v>&amp;AllGlyphs[53]</v>
      </c>
      <c r="BJ43" s="58">
        <f t="shared" si="26"/>
        <v>0</v>
      </c>
      <c r="BK43" s="58">
        <f t="shared" si="27"/>
        <v>0</v>
      </c>
      <c r="BL43" s="58">
        <f t="shared" si="28"/>
        <v>0</v>
      </c>
      <c r="BM43" s="58">
        <f t="shared" si="29"/>
        <v>0</v>
      </c>
    </row>
    <row r="44" spans="1:65" x14ac:dyDescent="0.4">
      <c r="A44" s="7" t="s">
        <v>42</v>
      </c>
      <c r="B44" s="6" t="str">
        <f t="shared" si="0"/>
        <v>J</v>
      </c>
      <c r="C44" s="48" cm="1">
        <f t="array" ref="C44">IF($N44,INDEX($O:$O,MATCH(TRUE,EXACT(B44,$A:$A),0)),"")</f>
        <v>42</v>
      </c>
      <c r="D44" s="38" t="s">
        <v>59</v>
      </c>
      <c r="E44" s="48" cm="1">
        <f t="array" ref="E44">IF($N44,INDEX($O:$O,MATCH(TRUE,EXACT(D44,$A:$A),0)),"")</f>
        <v>10</v>
      </c>
      <c r="F44" s="38" t="s">
        <v>165</v>
      </c>
      <c r="G44" s="48" cm="1">
        <f t="array" ref="G44">IF($O44&lt;&gt;"",INDEX($O:$O,MATCH(TRUE,EXACT(F44,$A:$A),0)),"")</f>
        <v>28</v>
      </c>
      <c r="H44" s="38" t="s">
        <v>51</v>
      </c>
      <c r="I44" s="48" cm="1">
        <f t="array" ref="I44">IF($N44,INDEX($O:$O,MATCH(TRUE,EXACT(H44,$A:$A),0)),"")</f>
        <v>45</v>
      </c>
      <c r="J44" s="38" t="s">
        <v>43</v>
      </c>
      <c r="K44" s="52" cm="1">
        <f t="array" ref="K44">IF($N44,INDEX($O:$O,MATCH(TRUE,EXACT(J44,$A:$A),0)),"")</f>
        <v>43</v>
      </c>
      <c r="L44" s="23"/>
      <c r="M44" s="33"/>
      <c r="N44" s="18" t="b">
        <f t="shared" si="3"/>
        <v>1</v>
      </c>
      <c r="O44" s="19">
        <f>IF(N44, MAX(O$2:O43)+1,"")</f>
        <v>42</v>
      </c>
      <c r="P44" s="23" t="str">
        <f t="shared" si="1"/>
        <v>J</v>
      </c>
      <c r="Q44" s="8" t="str" cm="1">
        <f t="array" ref="Q44">CharToUTF8(A44)</f>
        <v>\x4A</v>
      </c>
      <c r="S44" s="18" t="str">
        <f>$AO$2</f>
        <v>EMPTY</v>
      </c>
      <c r="T44" s="24" t="str">
        <f>$AO$4</f>
        <v>ORTHO_BOTH</v>
      </c>
      <c r="U44" s="24" t="str">
        <f>$AO$3</f>
        <v>DIAG_BOTH</v>
      </c>
      <c r="V44" s="21" t="str">
        <f>$AO$4</f>
        <v>ORTHO_BOTH</v>
      </c>
      <c r="X44" s="31" t="b">
        <f t="shared" si="5"/>
        <v>0</v>
      </c>
      <c r="Y44" s="31" t="b">
        <f t="shared" si="6"/>
        <v>0</v>
      </c>
      <c r="Z44" t="b">
        <f t="shared" si="7"/>
        <v>0</v>
      </c>
      <c r="AA44" t="b">
        <f t="shared" si="8"/>
        <v>0</v>
      </c>
      <c r="AB44" t="b">
        <f t="shared" si="9"/>
        <v>0</v>
      </c>
      <c r="AC44" t="b">
        <f t="shared" si="10"/>
        <v>0</v>
      </c>
      <c r="AD44" t="b">
        <f t="shared" si="11"/>
        <v>0</v>
      </c>
      <c r="AE44" t="b">
        <f t="shared" si="12"/>
        <v>1</v>
      </c>
      <c r="AF44" t="b">
        <f t="shared" si="13"/>
        <v>1</v>
      </c>
      <c r="AG44" t="b">
        <f t="shared" si="14"/>
        <v>1</v>
      </c>
      <c r="AH44" t="b">
        <f t="shared" si="15"/>
        <v>1</v>
      </c>
      <c r="AI44" t="b">
        <f t="shared" si="16"/>
        <v>1</v>
      </c>
      <c r="AJ44" t="b">
        <f t="shared" si="17"/>
        <v>1</v>
      </c>
      <c r="AK44" t="b">
        <f t="shared" si="18"/>
        <v>1</v>
      </c>
      <c r="AL44" t="b">
        <f t="shared" si="19"/>
        <v>1</v>
      </c>
      <c r="AM44" t="b">
        <f t="shared" si="20"/>
        <v>1</v>
      </c>
      <c r="AV44" s="59" t="str">
        <f t="shared" si="31"/>
        <v xml:space="preserve">    { wxString::FromUTF8("\x4A"), &amp;AllGlyphs[10], &amp;AllGlyphs[28], &amp;AllGlyphs[45], &amp;AllGlyphs[43], Connection::EMPTY, Connection::ORTHO_BOTH, Connection::DIAG_BOTH, Connection::ORTHO_BOTH, 0, 0, 0, 0 },</v>
      </c>
      <c r="AW44" s="60"/>
      <c r="AX44" s="60"/>
      <c r="AY44" s="60"/>
      <c r="AZ44" s="60"/>
      <c r="BA44" s="60"/>
      <c r="BB44" s="60"/>
      <c r="BC44" s="61"/>
      <c r="BE44" s="54" t="str">
        <f t="shared" si="22"/>
        <v>&amp;AllGlyphs[10]</v>
      </c>
      <c r="BF44" s="54" t="str">
        <f t="shared" si="23"/>
        <v>&amp;AllGlyphs[28]</v>
      </c>
      <c r="BG44" s="54" t="str">
        <f t="shared" si="24"/>
        <v>&amp;AllGlyphs[45]</v>
      </c>
      <c r="BH44" s="54" t="str">
        <f t="shared" si="25"/>
        <v>&amp;AllGlyphs[43]</v>
      </c>
      <c r="BJ44" s="58">
        <f t="shared" si="26"/>
        <v>0</v>
      </c>
      <c r="BK44" s="58">
        <f t="shared" si="27"/>
        <v>0</v>
      </c>
      <c r="BL44" s="58">
        <f t="shared" si="28"/>
        <v>0</v>
      </c>
      <c r="BM44" s="58">
        <f t="shared" si="29"/>
        <v>0</v>
      </c>
    </row>
    <row r="45" spans="1:65" x14ac:dyDescent="0.4">
      <c r="A45" s="7" t="s">
        <v>43</v>
      </c>
      <c r="B45" s="6" t="str">
        <f t="shared" si="0"/>
        <v>K</v>
      </c>
      <c r="C45" s="48" cm="1">
        <f t="array" ref="C45">IF($N45,INDEX($O:$O,MATCH(TRUE,EXACT(B45,$A:$A),0)),"")</f>
        <v>43</v>
      </c>
      <c r="D45" s="38" t="s">
        <v>33</v>
      </c>
      <c r="E45" s="48" cm="1">
        <f t="array" ref="E45">IF($N45,INDEX($O:$O,MATCH(TRUE,EXACT(D45,$A:$A),0)),"")</f>
        <v>41</v>
      </c>
      <c r="F45" s="38" t="s">
        <v>51</v>
      </c>
      <c r="G45" s="48" cm="1">
        <f t="array" ref="G45">IF($O45&lt;&gt;"",INDEX($O:$O,MATCH(TRUE,EXACT(F45,$A:$A),0)),"")</f>
        <v>45</v>
      </c>
      <c r="H45" s="38" t="s">
        <v>165</v>
      </c>
      <c r="I45" s="48" cm="1">
        <f t="array" ref="I45">IF($N45,INDEX($O:$O,MATCH(TRUE,EXACT(H45,$A:$A),0)),"")</f>
        <v>28</v>
      </c>
      <c r="J45" s="38" t="s">
        <v>42</v>
      </c>
      <c r="K45" s="52" cm="1">
        <f t="array" ref="K45">IF($N45,INDEX($O:$O,MATCH(TRUE,EXACT(J45,$A:$A),0)),"")</f>
        <v>42</v>
      </c>
      <c r="L45" s="23"/>
      <c r="M45" s="33"/>
      <c r="N45" s="18" t="b">
        <f t="shared" si="3"/>
        <v>1</v>
      </c>
      <c r="O45" s="19">
        <f>IF(N45, MAX(O$2:O44)+1,"")</f>
        <v>43</v>
      </c>
      <c r="P45" s="23" t="str">
        <f t="shared" si="1"/>
        <v>K</v>
      </c>
      <c r="Q45" s="8" t="str" cm="1">
        <f t="array" ref="Q45">CharToUTF8(A45)</f>
        <v>\x4B</v>
      </c>
      <c r="S45" s="18" t="str">
        <f>$AO$2</f>
        <v>EMPTY</v>
      </c>
      <c r="T45" s="24" t="str">
        <f>$AO$4</f>
        <v>ORTHO_BOTH</v>
      </c>
      <c r="U45" s="24" t="str">
        <f>$AO$4</f>
        <v>ORTHO_BOTH</v>
      </c>
      <c r="V45" s="21" t="str">
        <f>$AO$3</f>
        <v>DIAG_BOTH</v>
      </c>
      <c r="X45" s="31" t="b">
        <f t="shared" si="5"/>
        <v>0</v>
      </c>
      <c r="Y45" s="31" t="b">
        <f t="shared" si="6"/>
        <v>0</v>
      </c>
      <c r="Z45" t="b">
        <f t="shared" si="7"/>
        <v>0</v>
      </c>
      <c r="AA45" t="b">
        <f t="shared" si="8"/>
        <v>0</v>
      </c>
      <c r="AB45" t="b">
        <f t="shared" si="9"/>
        <v>0</v>
      </c>
      <c r="AC45" t="b">
        <f t="shared" si="10"/>
        <v>1</v>
      </c>
      <c r="AD45" t="b">
        <f t="shared" si="11"/>
        <v>0</v>
      </c>
      <c r="AE45" t="b">
        <f t="shared" si="12"/>
        <v>0</v>
      </c>
      <c r="AF45" t="b">
        <f t="shared" si="13"/>
        <v>1</v>
      </c>
      <c r="AG45" t="b">
        <f t="shared" si="14"/>
        <v>1</v>
      </c>
      <c r="AH45" t="b">
        <f t="shared" si="15"/>
        <v>1</v>
      </c>
      <c r="AI45" t="b">
        <f t="shared" si="16"/>
        <v>1</v>
      </c>
      <c r="AJ45" t="b">
        <f t="shared" si="17"/>
        <v>1</v>
      </c>
      <c r="AK45" t="b">
        <f t="shared" si="18"/>
        <v>1</v>
      </c>
      <c r="AL45" t="b">
        <f t="shared" si="19"/>
        <v>1</v>
      </c>
      <c r="AM45" t="b">
        <f t="shared" si="20"/>
        <v>1</v>
      </c>
      <c r="AV45" s="59" t="str">
        <f t="shared" si="31"/>
        <v xml:space="preserve">    { wxString::FromUTF8("\x4B"), &amp;AllGlyphs[41], &amp;AllGlyphs[45], &amp;AllGlyphs[28], &amp;AllGlyphs[42], Connection::EMPTY, Connection::ORTHO_BOTH, Connection::ORTHO_BOTH, Connection::DIAG_BOTH, 0, 0, 0, 0 },</v>
      </c>
      <c r="AW45" s="60"/>
      <c r="AX45" s="60"/>
      <c r="AY45" s="60"/>
      <c r="AZ45" s="60"/>
      <c r="BA45" s="60"/>
      <c r="BB45" s="60"/>
      <c r="BC45" s="61"/>
      <c r="BE45" s="54" t="str">
        <f t="shared" si="22"/>
        <v>&amp;AllGlyphs[41]</v>
      </c>
      <c r="BF45" s="54" t="str">
        <f t="shared" si="23"/>
        <v>&amp;AllGlyphs[45]</v>
      </c>
      <c r="BG45" s="54" t="str">
        <f t="shared" si="24"/>
        <v>&amp;AllGlyphs[28]</v>
      </c>
      <c r="BH45" s="54" t="str">
        <f t="shared" si="25"/>
        <v>&amp;AllGlyphs[42]</v>
      </c>
      <c r="BJ45" s="58">
        <f t="shared" si="26"/>
        <v>0</v>
      </c>
      <c r="BK45" s="58">
        <f t="shared" si="27"/>
        <v>0</v>
      </c>
      <c r="BL45" s="58">
        <f t="shared" si="28"/>
        <v>0</v>
      </c>
      <c r="BM45" s="58">
        <f t="shared" si="29"/>
        <v>0</v>
      </c>
    </row>
    <row r="46" spans="1:65" x14ac:dyDescent="0.4">
      <c r="A46" s="7" t="s">
        <v>44</v>
      </c>
      <c r="B46" s="6" t="str">
        <f t="shared" si="0"/>
        <v>L</v>
      </c>
      <c r="C46" s="48" cm="1">
        <f t="array" ref="C46">IF($N46,INDEX($O:$O,MATCH(TRUE,EXACT(B46,$A:$A),0)),"")</f>
        <v>44</v>
      </c>
      <c r="D46" s="38" t="s">
        <v>67</v>
      </c>
      <c r="E46" s="48" cm="1">
        <f t="array" ref="E46">IF($N46,INDEX($O:$O,MATCH(TRUE,EXACT(D46,$A:$A),0)),"")</f>
        <v>26</v>
      </c>
      <c r="F46" s="39" t="s">
        <v>167</v>
      </c>
      <c r="G46" s="48" cm="1">
        <f t="array" ref="G46">IF($O46&lt;&gt;"",INDEX($O:$O,MATCH(TRUE,EXACT(F46,$A:$A),0)),"")</f>
        <v>31</v>
      </c>
      <c r="H46" s="38" t="s">
        <v>166</v>
      </c>
      <c r="I46" s="48" cm="1">
        <f t="array" ref="I46">IF($N46,INDEX($O:$O,MATCH(TRUE,EXACT(H46,$A:$A),0)),"")</f>
        <v>30</v>
      </c>
      <c r="J46" s="38" t="s">
        <v>67</v>
      </c>
      <c r="K46" s="52" cm="1">
        <f t="array" ref="K46">IF($N46,INDEX($O:$O,MATCH(TRUE,EXACT(J46,$A:$A),0)),"")</f>
        <v>26</v>
      </c>
      <c r="L46" s="23"/>
      <c r="M46" s="33"/>
      <c r="N46" s="18" t="b">
        <f t="shared" si="3"/>
        <v>1</v>
      </c>
      <c r="O46" s="19">
        <f>IF(N46, MAX(O$2:O45)+1,"")</f>
        <v>44</v>
      </c>
      <c r="P46" s="23" t="str">
        <f t="shared" si="1"/>
        <v>L</v>
      </c>
      <c r="Q46" s="8" t="str" cm="1">
        <f t="array" ref="Q46">CharToUTF8(A46)</f>
        <v>\x4C</v>
      </c>
      <c r="S46" s="18" t="str">
        <f>$AO$2</f>
        <v>EMPTY</v>
      </c>
      <c r="T46" s="24" t="str">
        <f>$AO$4</f>
        <v>ORTHO_BOTH</v>
      </c>
      <c r="U46" s="24" t="str">
        <f>$AO$2</f>
        <v>EMPTY</v>
      </c>
      <c r="V46" s="21" t="str">
        <f>$AO$4</f>
        <v>ORTHO_BOTH</v>
      </c>
      <c r="X46" s="31" t="b">
        <f t="shared" si="5"/>
        <v>0</v>
      </c>
      <c r="Y46" s="31" t="b">
        <f t="shared" si="6"/>
        <v>0</v>
      </c>
      <c r="Z46" t="b">
        <f t="shared" si="7"/>
        <v>0</v>
      </c>
      <c r="AA46" t="b">
        <f t="shared" si="8"/>
        <v>0</v>
      </c>
      <c r="AB46" t="b">
        <f t="shared" si="9"/>
        <v>0</v>
      </c>
      <c r="AC46" t="b">
        <f t="shared" si="10"/>
        <v>0</v>
      </c>
      <c r="AD46" t="b">
        <f t="shared" si="11"/>
        <v>1</v>
      </c>
      <c r="AE46" t="b">
        <f t="shared" si="12"/>
        <v>1</v>
      </c>
      <c r="AF46" t="b">
        <f t="shared" si="13"/>
        <v>1</v>
      </c>
      <c r="AG46" t="b">
        <f t="shared" si="14"/>
        <v>1</v>
      </c>
      <c r="AH46" t="b">
        <f t="shared" si="15"/>
        <v>1</v>
      </c>
      <c r="AI46" t="b">
        <f t="shared" si="16"/>
        <v>1</v>
      </c>
      <c r="AJ46" t="b">
        <f t="shared" si="17"/>
        <v>1</v>
      </c>
      <c r="AK46" t="b">
        <f t="shared" si="18"/>
        <v>1</v>
      </c>
      <c r="AL46" t="b">
        <f t="shared" si="19"/>
        <v>1</v>
      </c>
      <c r="AM46" t="b">
        <f t="shared" si="20"/>
        <v>1</v>
      </c>
      <c r="AV46" s="59" t="str">
        <f t="shared" si="31"/>
        <v xml:space="preserve">    { wxString::FromUTF8("\x4C"), &amp;AllGlyphs[26], &amp;AllGlyphs[31], &amp;AllGlyphs[30], &amp;AllGlyphs[26], Connection::EMPTY, Connection::ORTHO_BOTH, Connection::EMPTY, Connection::ORTHO_BOTH, 0, 0, 0, 0 },</v>
      </c>
      <c r="AW46" s="60"/>
      <c r="AX46" s="60"/>
      <c r="AY46" s="60"/>
      <c r="AZ46" s="60"/>
      <c r="BA46" s="60"/>
      <c r="BB46" s="60"/>
      <c r="BC46" s="61"/>
      <c r="BE46" s="54" t="str">
        <f t="shared" si="22"/>
        <v>&amp;AllGlyphs[26]</v>
      </c>
      <c r="BF46" s="54" t="str">
        <f t="shared" si="23"/>
        <v>&amp;AllGlyphs[31]</v>
      </c>
      <c r="BG46" s="54" t="str">
        <f t="shared" si="24"/>
        <v>&amp;AllGlyphs[30]</v>
      </c>
      <c r="BH46" s="54" t="str">
        <f t="shared" si="25"/>
        <v>&amp;AllGlyphs[26]</v>
      </c>
      <c r="BJ46" s="58">
        <f t="shared" si="26"/>
        <v>0</v>
      </c>
      <c r="BK46" s="58">
        <f t="shared" si="27"/>
        <v>0</v>
      </c>
      <c r="BL46" s="58">
        <f t="shared" si="28"/>
        <v>0</v>
      </c>
      <c r="BM46" s="58">
        <f t="shared" si="29"/>
        <v>0</v>
      </c>
    </row>
    <row r="47" spans="1:65" x14ac:dyDescent="0.4">
      <c r="A47" s="7" t="s">
        <v>51</v>
      </c>
      <c r="B47" s="6" t="str">
        <f t="shared" si="0"/>
        <v>M</v>
      </c>
      <c r="C47" s="48" cm="1">
        <f t="array" ref="C47">IF($N47,INDEX($O:$O,MATCH(TRUE,EXACT(B47,$A:$A),0)),"")</f>
        <v>45</v>
      </c>
      <c r="D47" s="38" t="s">
        <v>58</v>
      </c>
      <c r="E47" s="48" cm="1">
        <f t="array" ref="E47">IF($N47,INDEX($O:$O,MATCH(TRUE,EXACT(D47,$A:$A),0)),"")</f>
        <v>6</v>
      </c>
      <c r="F47" s="38" t="s">
        <v>43</v>
      </c>
      <c r="G47" s="48" cm="1">
        <f t="array" ref="G47">IF($O47&lt;&gt;"",INDEX($O:$O,MATCH(TRUE,EXACT(F47,$A:$A),0)),"")</f>
        <v>43</v>
      </c>
      <c r="H47" s="38" t="s">
        <v>42</v>
      </c>
      <c r="I47" s="48" cm="1">
        <f t="array" ref="I47">IF($N47,INDEX($O:$O,MATCH(TRUE,EXACT(H47,$A:$A),0)),"")</f>
        <v>42</v>
      </c>
      <c r="J47" s="38" t="s">
        <v>165</v>
      </c>
      <c r="K47" s="52" cm="1">
        <f t="array" ref="K47">IF($N47,INDEX($O:$O,MATCH(TRUE,EXACT(J47,$A:$A),0)),"")</f>
        <v>28</v>
      </c>
      <c r="L47" s="23"/>
      <c r="M47" s="33"/>
      <c r="N47" s="18" t="b">
        <f t="shared" si="3"/>
        <v>1</v>
      </c>
      <c r="O47" s="19">
        <f>IF(N47, MAX(O$2:O46)+1,"")</f>
        <v>45</v>
      </c>
      <c r="P47" s="23" t="str">
        <f t="shared" si="1"/>
        <v>M</v>
      </c>
      <c r="Q47" s="8" t="str" cm="1">
        <f t="array" ref="Q47">CharToUTF8(A47)</f>
        <v>\x4D</v>
      </c>
      <c r="S47" s="18" t="str">
        <f>$AO$4</f>
        <v>ORTHO_BOTH</v>
      </c>
      <c r="T47" s="24" t="str">
        <f>$AO$2</f>
        <v>EMPTY</v>
      </c>
      <c r="U47" s="24" t="str">
        <f>$AO$3</f>
        <v>DIAG_BOTH</v>
      </c>
      <c r="V47" s="21" t="str">
        <f>$AO$4</f>
        <v>ORTHO_BOTH</v>
      </c>
      <c r="X47" s="31" t="b">
        <f t="shared" si="5"/>
        <v>0</v>
      </c>
      <c r="Y47" s="31" t="b">
        <f t="shared" si="6"/>
        <v>0</v>
      </c>
      <c r="Z47" t="b">
        <f t="shared" si="7"/>
        <v>0</v>
      </c>
      <c r="AA47" t="b">
        <f t="shared" si="8"/>
        <v>0</v>
      </c>
      <c r="AB47" t="b">
        <f t="shared" si="9"/>
        <v>1</v>
      </c>
      <c r="AC47" t="b">
        <f t="shared" si="10"/>
        <v>0</v>
      </c>
      <c r="AD47" t="b">
        <f t="shared" si="11"/>
        <v>0</v>
      </c>
      <c r="AE47" t="b">
        <f t="shared" si="12"/>
        <v>0</v>
      </c>
      <c r="AF47" t="b">
        <f t="shared" si="13"/>
        <v>1</v>
      </c>
      <c r="AG47" t="b">
        <f t="shared" si="14"/>
        <v>1</v>
      </c>
      <c r="AH47" t="b">
        <f t="shared" si="15"/>
        <v>1</v>
      </c>
      <c r="AI47" t="b">
        <f t="shared" si="16"/>
        <v>1</v>
      </c>
      <c r="AJ47" t="b">
        <f t="shared" si="17"/>
        <v>1</v>
      </c>
      <c r="AK47" t="b">
        <f t="shared" si="18"/>
        <v>1</v>
      </c>
      <c r="AL47" t="b">
        <f t="shared" si="19"/>
        <v>1</v>
      </c>
      <c r="AM47" t="b">
        <f t="shared" si="20"/>
        <v>1</v>
      </c>
      <c r="AV47" s="59" t="str">
        <f t="shared" si="31"/>
        <v xml:space="preserve">    { wxString::FromUTF8("\x4D"), &amp;AllGlyphs[6], &amp;AllGlyphs[43], &amp;AllGlyphs[42], &amp;AllGlyphs[28], Connection::ORTHO_BOTH, Connection::EMPTY, Connection::DIAG_BOTH, Connection::ORTHO_BOTH, 0, 0, 0, 0 },</v>
      </c>
      <c r="AW47" s="60"/>
      <c r="AX47" s="60"/>
      <c r="AY47" s="60"/>
      <c r="AZ47" s="60"/>
      <c r="BA47" s="60"/>
      <c r="BB47" s="60"/>
      <c r="BC47" s="61"/>
      <c r="BE47" s="54" t="str">
        <f t="shared" si="22"/>
        <v>&amp;AllGlyphs[6]</v>
      </c>
      <c r="BF47" s="54" t="str">
        <f t="shared" si="23"/>
        <v>&amp;AllGlyphs[43]</v>
      </c>
      <c r="BG47" s="54" t="str">
        <f t="shared" si="24"/>
        <v>&amp;AllGlyphs[42]</v>
      </c>
      <c r="BH47" s="54" t="str">
        <f t="shared" si="25"/>
        <v>&amp;AllGlyphs[28]</v>
      </c>
      <c r="BJ47" s="58">
        <f t="shared" si="26"/>
        <v>0</v>
      </c>
      <c r="BK47" s="58">
        <f t="shared" si="27"/>
        <v>0</v>
      </c>
      <c r="BL47" s="58">
        <f t="shared" si="28"/>
        <v>0</v>
      </c>
      <c r="BM47" s="58">
        <f t="shared" si="29"/>
        <v>0</v>
      </c>
    </row>
    <row r="48" spans="1:65" x14ac:dyDescent="0.4">
      <c r="A48" s="7" t="s">
        <v>50</v>
      </c>
      <c r="B48" s="6" t="str">
        <f t="shared" si="0"/>
        <v>N</v>
      </c>
      <c r="C48" s="48" cm="1">
        <f t="array" ref="C48">IF($N48,INDEX($O:$O,MATCH(TRUE,EXACT(B48,$A:$A),0)),"")</f>
        <v>46</v>
      </c>
      <c r="D48" s="38" t="s">
        <v>31</v>
      </c>
      <c r="E48" s="48" cm="1">
        <f t="array" ref="E48">IF($N48,INDEX($O:$O,MATCH(TRUE,EXACT(D48,$A:$A),0)),"")</f>
        <v>57</v>
      </c>
      <c r="F48" s="38" t="s">
        <v>49</v>
      </c>
      <c r="G48" s="48" cm="1">
        <f t="array" ref="G48">IF($O48&lt;&gt;"",INDEX($O:$O,MATCH(TRUE,EXACT(F48,$A:$A),0)),"")</f>
        <v>34</v>
      </c>
      <c r="H48" s="38" t="s">
        <v>50</v>
      </c>
      <c r="I48" s="48" cm="1">
        <f t="array" ref="I48">IF($N48,INDEX($O:$O,MATCH(TRUE,EXACT(H48,$A:$A),0)),"")</f>
        <v>46</v>
      </c>
      <c r="J48" s="38" t="s">
        <v>49</v>
      </c>
      <c r="K48" s="52" cm="1">
        <f t="array" ref="K48">IF($N48,INDEX($O:$O,MATCH(TRUE,EXACT(J48,$A:$A),0)),"")</f>
        <v>34</v>
      </c>
      <c r="L48" s="23"/>
      <c r="M48" s="33"/>
      <c r="N48" s="18" t="b">
        <f t="shared" si="3"/>
        <v>1</v>
      </c>
      <c r="O48" s="19">
        <f>IF(N48, MAX(O$2:O47)+1,"")</f>
        <v>46</v>
      </c>
      <c r="P48" s="23" t="str">
        <f t="shared" si="1"/>
        <v>N</v>
      </c>
      <c r="Q48" s="8" t="str" cm="1">
        <f t="array" ref="Q48">CharToUTF8(A48)</f>
        <v>\x4E</v>
      </c>
      <c r="S48" s="18" t="str">
        <f>$AO$4</f>
        <v>ORTHO_BOTH</v>
      </c>
      <c r="T48" s="24" t="str">
        <f>$AO$4</f>
        <v>ORTHO_BOTH</v>
      </c>
      <c r="U48" s="24" t="str">
        <f>$AO$3</f>
        <v>DIAG_BOTH</v>
      </c>
      <c r="V48" s="21" t="str">
        <f>$AO$4</f>
        <v>ORTHO_BOTH</v>
      </c>
      <c r="X48" s="31" t="b">
        <f t="shared" si="5"/>
        <v>0</v>
      </c>
      <c r="Y48" s="31" t="b">
        <f t="shared" si="6"/>
        <v>0</v>
      </c>
      <c r="Z48" t="b">
        <f t="shared" si="7"/>
        <v>1</v>
      </c>
      <c r="AA48" t="b">
        <f t="shared" si="8"/>
        <v>0</v>
      </c>
      <c r="AB48" t="b">
        <f t="shared" si="9"/>
        <v>1</v>
      </c>
      <c r="AC48" t="b">
        <f t="shared" si="10"/>
        <v>0</v>
      </c>
      <c r="AD48" t="b">
        <f t="shared" si="11"/>
        <v>0</v>
      </c>
      <c r="AE48" t="b">
        <f t="shared" si="12"/>
        <v>1</v>
      </c>
      <c r="AF48" t="b">
        <f t="shared" si="13"/>
        <v>1</v>
      </c>
      <c r="AG48" t="b">
        <f t="shared" si="14"/>
        <v>1</v>
      </c>
      <c r="AH48" t="b">
        <f t="shared" si="15"/>
        <v>1</v>
      </c>
      <c r="AI48" t="b">
        <f t="shared" si="16"/>
        <v>1</v>
      </c>
      <c r="AJ48" t="b">
        <f t="shared" si="17"/>
        <v>1</v>
      </c>
      <c r="AK48" t="b">
        <f t="shared" si="18"/>
        <v>1</v>
      </c>
      <c r="AL48" t="b">
        <f t="shared" si="19"/>
        <v>1</v>
      </c>
      <c r="AM48" t="b">
        <f t="shared" si="20"/>
        <v>1</v>
      </c>
      <c r="AV48" s="59" t="str">
        <f t="shared" si="31"/>
        <v xml:space="preserve">    { wxString::FromUTF8("\x4E"), &amp;AllGlyphs[57], &amp;AllGlyphs[34], &amp;AllGlyphs[46], &amp;AllGlyphs[34], Connection::ORTHO_BOTH, Connection::ORTHO_BOTH, Connection::DIAG_BOTH, Connection::ORTHO_BOTH, 0, 0, 1, 0 },</v>
      </c>
      <c r="AW48" s="60"/>
      <c r="AX48" s="60"/>
      <c r="AY48" s="60"/>
      <c r="AZ48" s="60"/>
      <c r="BA48" s="60"/>
      <c r="BB48" s="60"/>
      <c r="BC48" s="61"/>
      <c r="BE48" s="54" t="str">
        <f t="shared" si="22"/>
        <v>&amp;AllGlyphs[57]</v>
      </c>
      <c r="BF48" s="54" t="str">
        <f t="shared" si="23"/>
        <v>&amp;AllGlyphs[34]</v>
      </c>
      <c r="BG48" s="54" t="str">
        <f t="shared" si="24"/>
        <v>&amp;AllGlyphs[46]</v>
      </c>
      <c r="BH48" s="54" t="str">
        <f t="shared" si="25"/>
        <v>&amp;AllGlyphs[34]</v>
      </c>
      <c r="BJ48" s="58">
        <f t="shared" si="26"/>
        <v>0</v>
      </c>
      <c r="BK48" s="58">
        <f t="shared" si="27"/>
        <v>0</v>
      </c>
      <c r="BL48" s="58">
        <f t="shared" si="28"/>
        <v>1</v>
      </c>
      <c r="BM48" s="58">
        <f t="shared" si="29"/>
        <v>0</v>
      </c>
    </row>
    <row r="49" spans="1:65" x14ac:dyDescent="0.4">
      <c r="A49" s="7" t="s">
        <v>34</v>
      </c>
      <c r="B49" s="6" t="str">
        <f t="shared" si="0"/>
        <v>O</v>
      </c>
      <c r="C49" s="48" cm="1">
        <f t="array" ref="C49">IF($N49,INDEX($O:$O,MATCH(TRUE,EXACT(B49,$A:$A),0)),"")</f>
        <v>47</v>
      </c>
      <c r="D49" s="38" t="s">
        <v>60</v>
      </c>
      <c r="E49" s="48" cm="1">
        <f t="array" ref="E49">IF($N49,INDEX($O:$O,MATCH(TRUE,EXACT(D49,$A:$A),0)),"")</f>
        <v>8</v>
      </c>
      <c r="F49" s="38" t="s">
        <v>61</v>
      </c>
      <c r="G49" s="48" cm="1">
        <f t="array" ref="G49">IF($O49&lt;&gt;"",INDEX($O:$O,MATCH(TRUE,EXACT(F49,$A:$A),0)),"")</f>
        <v>9</v>
      </c>
      <c r="H49" s="38" t="s">
        <v>60</v>
      </c>
      <c r="I49" s="48" cm="1">
        <f t="array" ref="I49">IF($N49,INDEX($O:$O,MATCH(TRUE,EXACT(H49,$A:$A),0)),"")</f>
        <v>8</v>
      </c>
      <c r="J49" s="38" t="s">
        <v>35</v>
      </c>
      <c r="K49" s="52" cm="1">
        <f t="array" ref="K49">IF($N49,INDEX($O:$O,MATCH(TRUE,EXACT(J49,$A:$A),0)),"")</f>
        <v>48</v>
      </c>
      <c r="L49" s="23"/>
      <c r="M49" s="33"/>
      <c r="N49" s="18" t="b">
        <f t="shared" si="3"/>
        <v>1</v>
      </c>
      <c r="O49" s="19">
        <f>IF(N49, MAX(O$2:O48)+1,"")</f>
        <v>47</v>
      </c>
      <c r="P49" s="23" t="str">
        <f t="shared" si="1"/>
        <v>O</v>
      </c>
      <c r="Q49" s="8" t="str" cm="1">
        <f t="array" ref="Q49">CharToUTF8(A49)</f>
        <v>\x4F</v>
      </c>
      <c r="S49" s="18" t="str">
        <f>$AO$4</f>
        <v>ORTHO_BOTH</v>
      </c>
      <c r="T49" s="24" t="str">
        <f>$AO$2</f>
        <v>EMPTY</v>
      </c>
      <c r="U49" s="24" t="str">
        <f>$AO$2</f>
        <v>EMPTY</v>
      </c>
      <c r="V49" s="21" t="str">
        <f>$AO$4</f>
        <v>ORTHO_BOTH</v>
      </c>
      <c r="X49" s="31" t="b">
        <f t="shared" si="5"/>
        <v>0</v>
      </c>
      <c r="Y49" s="31" t="b">
        <f t="shared" si="6"/>
        <v>0</v>
      </c>
      <c r="Z49" t="b">
        <f t="shared" si="7"/>
        <v>0</v>
      </c>
      <c r="AA49" t="b">
        <f t="shared" si="8"/>
        <v>0</v>
      </c>
      <c r="AB49" t="b">
        <f t="shared" si="9"/>
        <v>1</v>
      </c>
      <c r="AC49" t="b">
        <f t="shared" si="10"/>
        <v>1</v>
      </c>
      <c r="AD49" t="b">
        <f t="shared" si="11"/>
        <v>0</v>
      </c>
      <c r="AE49" t="b">
        <f t="shared" si="12"/>
        <v>0</v>
      </c>
      <c r="AF49" t="b">
        <f t="shared" si="13"/>
        <v>1</v>
      </c>
      <c r="AG49" t="b">
        <f t="shared" si="14"/>
        <v>1</v>
      </c>
      <c r="AH49" t="b">
        <f t="shared" si="15"/>
        <v>1</v>
      </c>
      <c r="AI49" t="b">
        <f t="shared" si="16"/>
        <v>1</v>
      </c>
      <c r="AJ49" t="b">
        <f t="shared" si="17"/>
        <v>1</v>
      </c>
      <c r="AK49" t="b">
        <f t="shared" si="18"/>
        <v>1</v>
      </c>
      <c r="AL49" t="b">
        <f t="shared" si="19"/>
        <v>1</v>
      </c>
      <c r="AM49" t="b">
        <f t="shared" si="20"/>
        <v>1</v>
      </c>
      <c r="AV49" s="59" t="str">
        <f t="shared" si="31"/>
        <v xml:space="preserve">    { wxString::FromUTF8("\x4F"), &amp;AllGlyphs[8], &amp;AllGlyphs[9], &amp;AllGlyphs[8], &amp;AllGlyphs[48], Connection::ORTHO_BOTH, Connection::EMPTY, Connection::EMPTY, Connection::ORTHO_BOTH, 0, 0, 0, 0 },</v>
      </c>
      <c r="AW49" s="60"/>
      <c r="AX49" s="60"/>
      <c r="AY49" s="60"/>
      <c r="AZ49" s="60"/>
      <c r="BA49" s="60"/>
      <c r="BB49" s="60"/>
      <c r="BC49" s="61"/>
      <c r="BE49" s="54" t="str">
        <f t="shared" si="22"/>
        <v>&amp;AllGlyphs[8]</v>
      </c>
      <c r="BF49" s="54" t="str">
        <f t="shared" si="23"/>
        <v>&amp;AllGlyphs[9]</v>
      </c>
      <c r="BG49" s="54" t="str">
        <f t="shared" si="24"/>
        <v>&amp;AllGlyphs[8]</v>
      </c>
      <c r="BH49" s="54" t="str">
        <f t="shared" si="25"/>
        <v>&amp;AllGlyphs[48]</v>
      </c>
      <c r="BJ49" s="58">
        <f t="shared" si="26"/>
        <v>0</v>
      </c>
      <c r="BK49" s="58">
        <f t="shared" si="27"/>
        <v>0</v>
      </c>
      <c r="BL49" s="58">
        <f t="shared" si="28"/>
        <v>0</v>
      </c>
      <c r="BM49" s="58">
        <f t="shared" si="29"/>
        <v>0</v>
      </c>
    </row>
    <row r="50" spans="1:65" x14ac:dyDescent="0.4">
      <c r="A50" s="7" t="s">
        <v>35</v>
      </c>
      <c r="B50" s="6" t="str">
        <f t="shared" si="0"/>
        <v>P</v>
      </c>
      <c r="C50" s="48" cm="1">
        <f t="array" ref="C50">IF($N50,INDEX($O:$O,MATCH(TRUE,EXACT(B50,$A:$A),0)),"")</f>
        <v>48</v>
      </c>
      <c r="D50" s="38" t="s">
        <v>34</v>
      </c>
      <c r="E50" s="48" cm="1">
        <f t="array" ref="E50">IF($N50,INDEX($O:$O,MATCH(TRUE,EXACT(D50,$A:$A),0)),"")</f>
        <v>47</v>
      </c>
      <c r="F50" s="38" t="s">
        <v>60</v>
      </c>
      <c r="G50" s="48" cm="1">
        <f t="array" ref="G50">IF($O50&lt;&gt;"",INDEX($O:$O,MATCH(TRUE,EXACT(F50,$A:$A),0)),"")</f>
        <v>8</v>
      </c>
      <c r="H50" s="38" t="s">
        <v>61</v>
      </c>
      <c r="I50" s="48" cm="1">
        <f t="array" ref="I50">IF($N50,INDEX($O:$O,MATCH(TRUE,EXACT(H50,$A:$A),0)),"")</f>
        <v>9</v>
      </c>
      <c r="J50" s="38" t="s">
        <v>34</v>
      </c>
      <c r="K50" s="52" cm="1">
        <f t="array" ref="K50">IF($N50,INDEX($O:$O,MATCH(TRUE,EXACT(J50,$A:$A),0)),"")</f>
        <v>47</v>
      </c>
      <c r="L50" s="23"/>
      <c r="M50" s="33"/>
      <c r="N50" s="18" t="b">
        <f t="shared" si="3"/>
        <v>1</v>
      </c>
      <c r="O50" s="19">
        <f>IF(N50, MAX(O$2:O49)+1,"")</f>
        <v>48</v>
      </c>
      <c r="P50" s="23" t="str">
        <f t="shared" si="1"/>
        <v>P</v>
      </c>
      <c r="Q50" s="8" t="str" cm="1">
        <f t="array" ref="Q50">CharToUTF8(A50)</f>
        <v>\x50</v>
      </c>
      <c r="S50" s="18" t="str">
        <f>$AO$4</f>
        <v>ORTHO_BOTH</v>
      </c>
      <c r="T50" s="24" t="str">
        <f>$AO$2</f>
        <v>EMPTY</v>
      </c>
      <c r="U50" s="24" t="str">
        <f>$AO$4</f>
        <v>ORTHO_BOTH</v>
      </c>
      <c r="V50" s="21" t="str">
        <f>$AO$2</f>
        <v>EMPTY</v>
      </c>
      <c r="X50" s="31" t="b">
        <f t="shared" si="5"/>
        <v>0</v>
      </c>
      <c r="Y50" s="31" t="b">
        <f t="shared" si="6"/>
        <v>0</v>
      </c>
      <c r="Z50" t="b">
        <f t="shared" si="7"/>
        <v>0</v>
      </c>
      <c r="AA50" t="b">
        <f t="shared" si="8"/>
        <v>0</v>
      </c>
      <c r="AB50" t="b">
        <f t="shared" si="9"/>
        <v>0</v>
      </c>
      <c r="AC50" t="b">
        <f t="shared" si="10"/>
        <v>0</v>
      </c>
      <c r="AD50" t="b">
        <f t="shared" si="11"/>
        <v>1</v>
      </c>
      <c r="AE50" t="b">
        <f t="shared" si="12"/>
        <v>1</v>
      </c>
      <c r="AF50" t="b">
        <f t="shared" si="13"/>
        <v>1</v>
      </c>
      <c r="AG50" t="b">
        <f t="shared" si="14"/>
        <v>1</v>
      </c>
      <c r="AH50" t="b">
        <f t="shared" si="15"/>
        <v>1</v>
      </c>
      <c r="AI50" t="b">
        <f t="shared" si="16"/>
        <v>1</v>
      </c>
      <c r="AJ50" t="b">
        <f t="shared" si="17"/>
        <v>1</v>
      </c>
      <c r="AK50" t="b">
        <f t="shared" si="18"/>
        <v>1</v>
      </c>
      <c r="AL50" t="b">
        <f t="shared" si="19"/>
        <v>1</v>
      </c>
      <c r="AM50" t="b">
        <f t="shared" si="20"/>
        <v>1</v>
      </c>
      <c r="AV50" s="59" t="str">
        <f t="shared" si="31"/>
        <v xml:space="preserve">    { wxString::FromUTF8("\x50"), &amp;AllGlyphs[47], &amp;AllGlyphs[8], &amp;AllGlyphs[9], &amp;AllGlyphs[47], Connection::ORTHO_BOTH, Connection::EMPTY, Connection::ORTHO_BOTH, Connection::EMPTY, 0, 0, 0, 0 },</v>
      </c>
      <c r="AW50" s="60"/>
      <c r="AX50" s="60"/>
      <c r="AY50" s="60"/>
      <c r="AZ50" s="60"/>
      <c r="BA50" s="60"/>
      <c r="BB50" s="60"/>
      <c r="BC50" s="61"/>
      <c r="BE50" s="54" t="str">
        <f t="shared" si="22"/>
        <v>&amp;AllGlyphs[47]</v>
      </c>
      <c r="BF50" s="54" t="str">
        <f t="shared" si="23"/>
        <v>&amp;AllGlyphs[8]</v>
      </c>
      <c r="BG50" s="54" t="str">
        <f t="shared" si="24"/>
        <v>&amp;AllGlyphs[9]</v>
      </c>
      <c r="BH50" s="54" t="str">
        <f t="shared" si="25"/>
        <v>&amp;AllGlyphs[47]</v>
      </c>
      <c r="BJ50" s="58">
        <f t="shared" si="26"/>
        <v>0</v>
      </c>
      <c r="BK50" s="58">
        <f t="shared" si="27"/>
        <v>0</v>
      </c>
      <c r="BL50" s="58">
        <f t="shared" si="28"/>
        <v>0</v>
      </c>
      <c r="BM50" s="58">
        <f t="shared" si="29"/>
        <v>0</v>
      </c>
    </row>
    <row r="51" spans="1:65" x14ac:dyDescent="0.4">
      <c r="A51" s="7" t="s">
        <v>26</v>
      </c>
      <c r="B51" s="6" t="str">
        <f t="shared" si="0"/>
        <v>Q</v>
      </c>
      <c r="C51" s="48" cm="1">
        <f t="array" ref="C51">IF($N51,INDEX($O:$O,MATCH(TRUE,EXACT(B51,$A:$A),0)),"")</f>
        <v>49</v>
      </c>
      <c r="D51" s="38" t="s">
        <v>28</v>
      </c>
      <c r="E51" s="48" cm="1">
        <f t="array" ref="E51">IF($N51,INDEX($O:$O,MATCH(TRUE,EXACT(D51,$A:$A),0)),"")</f>
        <v>37</v>
      </c>
      <c r="F51" s="38" t="s">
        <v>47</v>
      </c>
      <c r="G51" s="48" cm="1">
        <f t="array" ref="G51">IF($O51&lt;&gt;"",INDEX($O:$O,MATCH(TRUE,EXACT(F51,$A:$A),0)),"")</f>
        <v>35</v>
      </c>
      <c r="H51" s="38" t="s">
        <v>45</v>
      </c>
      <c r="I51" s="48" cm="1">
        <f t="array" ref="I51">IF($N51,INDEX($O:$O,MATCH(TRUE,EXACT(H51,$A:$A),0)),"")</f>
        <v>58</v>
      </c>
      <c r="J51" s="38" t="s">
        <v>28</v>
      </c>
      <c r="K51" s="52" cm="1">
        <f t="array" ref="K51">IF($N51,INDEX($O:$O,MATCH(TRUE,EXACT(J51,$A:$A),0)),"")</f>
        <v>37</v>
      </c>
      <c r="L51" s="23"/>
      <c r="M51" s="33"/>
      <c r="N51" s="18" t="b">
        <f t="shared" si="3"/>
        <v>1</v>
      </c>
      <c r="O51" s="19">
        <f>IF(N51, MAX(O$2:O50)+1,"")</f>
        <v>49</v>
      </c>
      <c r="P51" s="23" t="str">
        <f t="shared" si="1"/>
        <v>Q</v>
      </c>
      <c r="Q51" s="8" t="str" cm="1">
        <f t="array" ref="Q51">CharToUTF8(A51)</f>
        <v>\x51</v>
      </c>
      <c r="S51" s="18" t="str">
        <f>$AO$2</f>
        <v>EMPTY</v>
      </c>
      <c r="T51" s="24" t="str">
        <f>$AO$4</f>
        <v>ORTHO_BOTH</v>
      </c>
      <c r="U51" s="24" t="str">
        <f>$AO$2</f>
        <v>EMPTY</v>
      </c>
      <c r="V51" s="21" t="str">
        <f>$AO$4</f>
        <v>ORTHO_BOTH</v>
      </c>
      <c r="X51" s="31" t="b">
        <f t="shared" si="5"/>
        <v>0</v>
      </c>
      <c r="Y51" s="31" t="b">
        <f t="shared" si="6"/>
        <v>0</v>
      </c>
      <c r="Z51" t="b">
        <f t="shared" si="7"/>
        <v>0</v>
      </c>
      <c r="AA51" t="b">
        <f t="shared" si="8"/>
        <v>0</v>
      </c>
      <c r="AB51" t="b">
        <f t="shared" si="9"/>
        <v>0</v>
      </c>
      <c r="AC51" t="b">
        <f t="shared" si="10"/>
        <v>0</v>
      </c>
      <c r="AD51" t="b">
        <f t="shared" si="11"/>
        <v>1</v>
      </c>
      <c r="AE51" t="b">
        <f t="shared" si="12"/>
        <v>1</v>
      </c>
      <c r="AF51" t="b">
        <f t="shared" si="13"/>
        <v>1</v>
      </c>
      <c r="AG51" t="b">
        <f t="shared" si="14"/>
        <v>1</v>
      </c>
      <c r="AH51" t="b">
        <f t="shared" si="15"/>
        <v>1</v>
      </c>
      <c r="AI51" t="b">
        <f t="shared" si="16"/>
        <v>1</v>
      </c>
      <c r="AJ51" t="b">
        <f t="shared" si="17"/>
        <v>1</v>
      </c>
      <c r="AK51" t="b">
        <f t="shared" si="18"/>
        <v>1</v>
      </c>
      <c r="AL51" t="b">
        <f t="shared" si="19"/>
        <v>1</v>
      </c>
      <c r="AM51" t="b">
        <f t="shared" si="20"/>
        <v>1</v>
      </c>
      <c r="AV51" s="59" t="str">
        <f t="shared" si="31"/>
        <v xml:space="preserve">    { wxString::FromUTF8("\x51"), &amp;AllGlyphs[37], &amp;AllGlyphs[35], &amp;AllGlyphs[58], &amp;AllGlyphs[37], Connection::EMPTY, Connection::ORTHO_BOTH, Connection::EMPTY, Connection::ORTHO_BOTH, 0, 0, 0, 0 },</v>
      </c>
      <c r="AW51" s="60"/>
      <c r="AX51" s="60"/>
      <c r="AY51" s="60"/>
      <c r="AZ51" s="60"/>
      <c r="BA51" s="60"/>
      <c r="BB51" s="60"/>
      <c r="BC51" s="61"/>
      <c r="BE51" s="54" t="str">
        <f t="shared" si="22"/>
        <v>&amp;AllGlyphs[37]</v>
      </c>
      <c r="BF51" s="54" t="str">
        <f t="shared" si="23"/>
        <v>&amp;AllGlyphs[35]</v>
      </c>
      <c r="BG51" s="54" t="str">
        <f t="shared" si="24"/>
        <v>&amp;AllGlyphs[58]</v>
      </c>
      <c r="BH51" s="54" t="str">
        <f t="shared" si="25"/>
        <v>&amp;AllGlyphs[37]</v>
      </c>
      <c r="BJ51" s="58">
        <f t="shared" si="26"/>
        <v>0</v>
      </c>
      <c r="BK51" s="58">
        <f t="shared" si="27"/>
        <v>0</v>
      </c>
      <c r="BL51" s="58">
        <f t="shared" si="28"/>
        <v>0</v>
      </c>
      <c r="BM51" s="58">
        <f t="shared" si="29"/>
        <v>0</v>
      </c>
    </row>
    <row r="52" spans="1:65" x14ac:dyDescent="0.4">
      <c r="A52" s="7" t="s">
        <v>29</v>
      </c>
      <c r="B52" s="6" t="str">
        <f t="shared" si="0"/>
        <v>R</v>
      </c>
      <c r="C52" s="48" cm="1">
        <f t="array" ref="C52">IF($N52,INDEX($O:$O,MATCH(TRUE,EXACT(B52,$A:$A),0)),"")</f>
        <v>50</v>
      </c>
      <c r="D52" s="38" t="s">
        <v>39</v>
      </c>
      <c r="E52" s="48" cm="1">
        <f t="array" ref="E52">IF($N52,INDEX($O:$O,MATCH(TRUE,EXACT(D52,$A:$A),0)),"")</f>
        <v>38</v>
      </c>
      <c r="F52" s="38" t="s">
        <v>55</v>
      </c>
      <c r="G52" s="48" cm="1">
        <f t="array" ref="G52">IF($O52&lt;&gt;"",INDEX($O:$O,MATCH(TRUE,EXACT(F52,$A:$A),0)),"")</f>
        <v>4</v>
      </c>
      <c r="H52" s="38" t="s">
        <v>55</v>
      </c>
      <c r="I52" s="48" cm="1">
        <f t="array" ref="I52">IF($N52,INDEX($O:$O,MATCH(TRUE,EXACT(H52,$A:$A),0)),"")</f>
        <v>4</v>
      </c>
      <c r="J52" s="38" t="s">
        <v>29</v>
      </c>
      <c r="K52" s="52" cm="1">
        <f t="array" ref="K52">IF($N52,INDEX($O:$O,MATCH(TRUE,EXACT(J52,$A:$A),0)),"")</f>
        <v>50</v>
      </c>
      <c r="L52" s="23"/>
      <c r="M52" s="33"/>
      <c r="N52" s="18" t="b">
        <f t="shared" si="3"/>
        <v>1</v>
      </c>
      <c r="O52" s="19">
        <f>IF(N52, MAX(O$2:O51)+1,"")</f>
        <v>50</v>
      </c>
      <c r="P52" s="23" t="str">
        <f t="shared" si="1"/>
        <v>R</v>
      </c>
      <c r="Q52" s="8" t="str" cm="1">
        <f t="array" ref="Q52">CharToUTF8(A52)</f>
        <v>\x52</v>
      </c>
      <c r="S52" s="18" t="str">
        <f>$AO$4</f>
        <v>ORTHO_BOTH</v>
      </c>
      <c r="T52" s="24" t="str">
        <f>$AO$2</f>
        <v>EMPTY</v>
      </c>
      <c r="U52" s="24" t="str">
        <f>$AO$2</f>
        <v>EMPTY</v>
      </c>
      <c r="V52" s="21" t="str">
        <f>$AO$2</f>
        <v>EMPTY</v>
      </c>
      <c r="X52" s="31" t="b">
        <f t="shared" si="5"/>
        <v>0</v>
      </c>
      <c r="Y52" s="31" t="b">
        <f t="shared" si="6"/>
        <v>0</v>
      </c>
      <c r="Z52" t="b">
        <f t="shared" si="7"/>
        <v>0</v>
      </c>
      <c r="AA52" t="b">
        <f t="shared" si="8"/>
        <v>1</v>
      </c>
      <c r="AB52" t="b">
        <f t="shared" si="9"/>
        <v>0</v>
      </c>
      <c r="AC52" t="b">
        <f t="shared" si="10"/>
        <v>1</v>
      </c>
      <c r="AD52" t="b">
        <f t="shared" si="11"/>
        <v>0</v>
      </c>
      <c r="AE52" t="b">
        <f t="shared" si="12"/>
        <v>1</v>
      </c>
      <c r="AF52" t="b">
        <f t="shared" si="13"/>
        <v>1</v>
      </c>
      <c r="AG52" t="b">
        <f t="shared" si="14"/>
        <v>1</v>
      </c>
      <c r="AH52" t="b">
        <f t="shared" si="15"/>
        <v>1</v>
      </c>
      <c r="AI52" t="b">
        <f t="shared" si="16"/>
        <v>1</v>
      </c>
      <c r="AJ52" t="b">
        <f t="shared" si="17"/>
        <v>1</v>
      </c>
      <c r="AK52" t="b">
        <f t="shared" si="18"/>
        <v>1</v>
      </c>
      <c r="AL52" t="b">
        <f t="shared" si="19"/>
        <v>1</v>
      </c>
      <c r="AM52" t="b">
        <f t="shared" si="20"/>
        <v>1</v>
      </c>
      <c r="AV52" s="59" t="str">
        <f t="shared" si="31"/>
        <v xml:space="preserve">    { wxString::FromUTF8("\x52"), &amp;AllGlyphs[38], &amp;AllGlyphs[4], &amp;AllGlyphs[4], &amp;AllGlyphs[50], Connection::ORTHO_BOTH, Connection::EMPTY, Connection::EMPTY, Connection::EMPTY, 0, 0, 0, 1 },</v>
      </c>
      <c r="AW52" s="60"/>
      <c r="AX52" s="60"/>
      <c r="AY52" s="60"/>
      <c r="AZ52" s="60"/>
      <c r="BA52" s="60"/>
      <c r="BB52" s="60"/>
      <c r="BC52" s="61"/>
      <c r="BE52" s="54" t="str">
        <f t="shared" si="22"/>
        <v>&amp;AllGlyphs[38]</v>
      </c>
      <c r="BF52" s="54" t="str">
        <f t="shared" si="23"/>
        <v>&amp;AllGlyphs[4]</v>
      </c>
      <c r="BG52" s="54" t="str">
        <f t="shared" si="24"/>
        <v>&amp;AllGlyphs[4]</v>
      </c>
      <c r="BH52" s="54" t="str">
        <f t="shared" si="25"/>
        <v>&amp;AllGlyphs[50]</v>
      </c>
      <c r="BJ52" s="58">
        <f t="shared" si="26"/>
        <v>0</v>
      </c>
      <c r="BK52" s="58">
        <f t="shared" si="27"/>
        <v>0</v>
      </c>
      <c r="BL52" s="58">
        <f t="shared" si="28"/>
        <v>0</v>
      </c>
      <c r="BM52" s="58">
        <f t="shared" si="29"/>
        <v>1</v>
      </c>
    </row>
    <row r="53" spans="1:65" x14ac:dyDescent="0.4">
      <c r="A53" s="7" t="s">
        <v>37</v>
      </c>
      <c r="B53" s="6" t="str">
        <f t="shared" si="0"/>
        <v>S</v>
      </c>
      <c r="C53" s="48" cm="1">
        <f t="array" ref="C53">IF($N53,INDEX($O:$O,MATCH(TRUE,EXACT(B53,$A:$A),0)),"")</f>
        <v>51</v>
      </c>
      <c r="D53" s="38" t="s">
        <v>37</v>
      </c>
      <c r="E53" s="48" cm="1">
        <f t="array" ref="E53">IF($N53,INDEX($O:$O,MATCH(TRUE,EXACT(D53,$A:$A),0)),"")</f>
        <v>51</v>
      </c>
      <c r="F53" s="38" t="s">
        <v>37</v>
      </c>
      <c r="G53" s="48" cm="1">
        <f t="array" ref="G53">IF($O53&lt;&gt;"",INDEX($O:$O,MATCH(TRUE,EXACT(F53,$A:$A),0)),"")</f>
        <v>51</v>
      </c>
      <c r="H53" s="38" t="s">
        <v>37</v>
      </c>
      <c r="I53" s="48" cm="1">
        <f t="array" ref="I53">IF($N53,INDEX($O:$O,MATCH(TRUE,EXACT(H53,$A:$A),0)),"")</f>
        <v>51</v>
      </c>
      <c r="J53" s="38" t="s">
        <v>37</v>
      </c>
      <c r="K53" s="52" cm="1">
        <f t="array" ref="K53">IF($N53,INDEX($O:$O,MATCH(TRUE,EXACT(J53,$A:$A),0)),"")</f>
        <v>51</v>
      </c>
      <c r="L53" s="23"/>
      <c r="M53" s="33"/>
      <c r="N53" s="18" t="b">
        <f t="shared" si="3"/>
        <v>1</v>
      </c>
      <c r="O53" s="19">
        <f>IF(N53, MAX(O$2:O52)+1,"")</f>
        <v>51</v>
      </c>
      <c r="P53" s="23" t="str">
        <f t="shared" si="1"/>
        <v>S</v>
      </c>
      <c r="Q53" s="8" t="str" cm="1">
        <f t="array" ref="Q53">CharToUTF8(A53)</f>
        <v>\x53</v>
      </c>
      <c r="S53" s="18" t="str">
        <f>$AO$4</f>
        <v>ORTHO_BOTH</v>
      </c>
      <c r="T53" s="24" t="str">
        <f>$AO$4</f>
        <v>ORTHO_BOTH</v>
      </c>
      <c r="U53" s="24" t="str">
        <f>$AO$4</f>
        <v>ORTHO_BOTH</v>
      </c>
      <c r="V53" s="21" t="str">
        <f>$AO$4</f>
        <v>ORTHO_BOTH</v>
      </c>
      <c r="X53" s="31" t="b">
        <f t="shared" si="5"/>
        <v>1</v>
      </c>
      <c r="Y53" s="31" t="b">
        <f t="shared" si="6"/>
        <v>1</v>
      </c>
      <c r="Z53" t="b">
        <f t="shared" si="7"/>
        <v>1</v>
      </c>
      <c r="AA53" t="b">
        <f t="shared" si="8"/>
        <v>1</v>
      </c>
      <c r="AB53" t="b">
        <f t="shared" si="9"/>
        <v>1</v>
      </c>
      <c r="AC53" t="b">
        <f t="shared" si="10"/>
        <v>1</v>
      </c>
      <c r="AD53" t="b">
        <f t="shared" si="11"/>
        <v>1</v>
      </c>
      <c r="AE53" t="b">
        <f t="shared" si="12"/>
        <v>1</v>
      </c>
      <c r="AF53" t="b">
        <f t="shared" si="13"/>
        <v>1</v>
      </c>
      <c r="AG53" t="b">
        <f t="shared" si="14"/>
        <v>1</v>
      </c>
      <c r="AH53" t="b">
        <f t="shared" si="15"/>
        <v>1</v>
      </c>
      <c r="AI53" t="b">
        <f t="shared" si="16"/>
        <v>1</v>
      </c>
      <c r="AJ53" t="b">
        <f t="shared" si="17"/>
        <v>1</v>
      </c>
      <c r="AK53" t="b">
        <f t="shared" si="18"/>
        <v>1</v>
      </c>
      <c r="AL53" t="b">
        <f t="shared" si="19"/>
        <v>1</v>
      </c>
      <c r="AM53" t="b">
        <f t="shared" si="20"/>
        <v>1</v>
      </c>
      <c r="AV53" s="59" t="str">
        <f t="shared" si="31"/>
        <v xml:space="preserve">    { wxString::FromUTF8("\x53"), &amp;AllGlyphs[51], &amp;AllGlyphs[51], &amp;AllGlyphs[51], &amp;AllGlyphs[51], Connection::ORTHO_BOTH, Connection::ORTHO_BOTH, Connection::ORTHO_BOTH, Connection::ORTHO_BOTH, 1, 1, 1, 1 },</v>
      </c>
      <c r="AW53" s="60"/>
      <c r="AX53" s="60"/>
      <c r="AY53" s="60"/>
      <c r="AZ53" s="60"/>
      <c r="BA53" s="60"/>
      <c r="BB53" s="60"/>
      <c r="BC53" s="61"/>
      <c r="BE53" s="54" t="str">
        <f t="shared" si="22"/>
        <v>&amp;AllGlyphs[51]</v>
      </c>
      <c r="BF53" s="54" t="str">
        <f t="shared" si="23"/>
        <v>&amp;AllGlyphs[51]</v>
      </c>
      <c r="BG53" s="54" t="str">
        <f t="shared" si="24"/>
        <v>&amp;AllGlyphs[51]</v>
      </c>
      <c r="BH53" s="54" t="str">
        <f t="shared" si="25"/>
        <v>&amp;AllGlyphs[51]</v>
      </c>
      <c r="BJ53" s="58">
        <f t="shared" si="26"/>
        <v>1</v>
      </c>
      <c r="BK53" s="58">
        <f t="shared" si="27"/>
        <v>1</v>
      </c>
      <c r="BL53" s="58">
        <f t="shared" si="28"/>
        <v>1</v>
      </c>
      <c r="BM53" s="58">
        <f t="shared" si="29"/>
        <v>1</v>
      </c>
    </row>
    <row r="54" spans="1:65" x14ac:dyDescent="0.4">
      <c r="A54" s="7" t="s">
        <v>30</v>
      </c>
      <c r="B54" s="6" t="str">
        <f t="shared" si="0"/>
        <v>T</v>
      </c>
      <c r="C54" s="48" cm="1">
        <f t="array" ref="C54">IF($N54,INDEX($O:$O,MATCH(TRUE,EXACT(B54,$A:$A),0)),"")</f>
        <v>52</v>
      </c>
      <c r="D54" s="38" t="s">
        <v>40</v>
      </c>
      <c r="E54" s="48" cm="1">
        <f t="array" ref="E54">IF($N54,INDEX($O:$O,MATCH(TRUE,EXACT(D54,$A:$A),0)),"")</f>
        <v>39</v>
      </c>
      <c r="F54" s="38" t="s">
        <v>56</v>
      </c>
      <c r="G54" s="48" cm="1">
        <f t="array" ref="G54">IF($O54&lt;&gt;"",INDEX($O:$O,MATCH(TRUE,EXACT(F54,$A:$A),0)),"")</f>
        <v>5</v>
      </c>
      <c r="H54" s="38" t="s">
        <v>56</v>
      </c>
      <c r="I54" s="48" cm="1">
        <f t="array" ref="I54">IF($N54,INDEX($O:$O,MATCH(TRUE,EXACT(H54,$A:$A),0)),"")</f>
        <v>5</v>
      </c>
      <c r="J54" s="38" t="s">
        <v>30</v>
      </c>
      <c r="K54" s="52" cm="1">
        <f t="array" ref="K54">IF($N54,INDEX($O:$O,MATCH(TRUE,EXACT(J54,$A:$A),0)),"")</f>
        <v>52</v>
      </c>
      <c r="L54" s="23"/>
      <c r="M54" s="33"/>
      <c r="N54" s="18" t="b">
        <f t="shared" si="3"/>
        <v>1</v>
      </c>
      <c r="O54" s="19">
        <f>IF(N54, MAX(O$2:O53)+1,"")</f>
        <v>52</v>
      </c>
      <c r="P54" s="23" t="str">
        <f t="shared" si="1"/>
        <v>T</v>
      </c>
      <c r="Q54" s="8" t="str" cm="1">
        <f t="array" ref="Q54">CharToUTF8(A54)</f>
        <v>\x54</v>
      </c>
      <c r="S54" s="18" t="str">
        <f>$AO$3</f>
        <v>DIAG_BOTH</v>
      </c>
      <c r="T54" s="24" t="str">
        <f>$AO$2</f>
        <v>EMPTY</v>
      </c>
      <c r="U54" s="24" t="str">
        <f>$AO$4</f>
        <v>ORTHO_BOTH</v>
      </c>
      <c r="V54" s="21" t="str">
        <f>$AO$4</f>
        <v>ORTHO_BOTH</v>
      </c>
      <c r="X54" s="31" t="b">
        <f t="shared" si="5"/>
        <v>0</v>
      </c>
      <c r="Y54" s="31" t="b">
        <f t="shared" si="6"/>
        <v>0</v>
      </c>
      <c r="Z54" t="b">
        <f t="shared" si="7"/>
        <v>0</v>
      </c>
      <c r="AA54" t="b">
        <f t="shared" si="8"/>
        <v>1</v>
      </c>
      <c r="AB54" t="b">
        <f t="shared" si="9"/>
        <v>0</v>
      </c>
      <c r="AC54" t="b">
        <f t="shared" si="10"/>
        <v>0</v>
      </c>
      <c r="AD54" t="b">
        <f t="shared" si="11"/>
        <v>0</v>
      </c>
      <c r="AE54" t="b">
        <f t="shared" si="12"/>
        <v>0</v>
      </c>
      <c r="AF54" t="b">
        <f t="shared" si="13"/>
        <v>1</v>
      </c>
      <c r="AG54" t="b">
        <f t="shared" si="14"/>
        <v>1</v>
      </c>
      <c r="AH54" t="b">
        <f t="shared" si="15"/>
        <v>1</v>
      </c>
      <c r="AI54" t="b">
        <f t="shared" si="16"/>
        <v>1</v>
      </c>
      <c r="AJ54" t="b">
        <f t="shared" si="17"/>
        <v>1</v>
      </c>
      <c r="AK54" t="b">
        <f t="shared" si="18"/>
        <v>1</v>
      </c>
      <c r="AL54" t="b">
        <f t="shared" si="19"/>
        <v>1</v>
      </c>
      <c r="AM54" t="b">
        <f t="shared" si="20"/>
        <v>1</v>
      </c>
      <c r="AV54" s="59" t="str">
        <f t="shared" si="31"/>
        <v xml:space="preserve">    { wxString::FromUTF8("\x54"), &amp;AllGlyphs[39], &amp;AllGlyphs[5], &amp;AllGlyphs[5], &amp;AllGlyphs[52], Connection::DIAG_BOTH, Connection::EMPTY, Connection::ORTHO_BOTH, Connection::ORTHO_BOTH, 0, 0, 0, 1 },</v>
      </c>
      <c r="AW54" s="60"/>
      <c r="AX54" s="60"/>
      <c r="AY54" s="60"/>
      <c r="AZ54" s="60"/>
      <c r="BA54" s="60"/>
      <c r="BB54" s="60"/>
      <c r="BC54" s="61"/>
      <c r="BE54" s="54" t="str">
        <f t="shared" si="22"/>
        <v>&amp;AllGlyphs[39]</v>
      </c>
      <c r="BF54" s="54" t="str">
        <f t="shared" si="23"/>
        <v>&amp;AllGlyphs[5]</v>
      </c>
      <c r="BG54" s="54" t="str">
        <f t="shared" si="24"/>
        <v>&amp;AllGlyphs[5]</v>
      </c>
      <c r="BH54" s="54" t="str">
        <f t="shared" si="25"/>
        <v>&amp;AllGlyphs[52]</v>
      </c>
      <c r="BJ54" s="58">
        <f t="shared" si="26"/>
        <v>0</v>
      </c>
      <c r="BK54" s="58">
        <f t="shared" si="27"/>
        <v>0</v>
      </c>
      <c r="BL54" s="58">
        <f t="shared" si="28"/>
        <v>0</v>
      </c>
      <c r="BM54" s="58">
        <f t="shared" si="29"/>
        <v>1</v>
      </c>
    </row>
    <row r="55" spans="1:65" x14ac:dyDescent="0.4">
      <c r="A55" s="7" t="s">
        <v>32</v>
      </c>
      <c r="B55" s="6" t="str">
        <f t="shared" si="0"/>
        <v>U</v>
      </c>
      <c r="C55" s="48" cm="1">
        <f t="array" ref="C55">IF($N55,INDEX($O:$O,MATCH(TRUE,EXACT(B55,$A:$A),0)),"")</f>
        <v>53</v>
      </c>
      <c r="D55" s="38" t="s">
        <v>42</v>
      </c>
      <c r="E55" s="48" cm="1">
        <f t="array" ref="E55">IF($N55,INDEX($O:$O,MATCH(TRUE,EXACT(D55,$A:$A),0)),"")</f>
        <v>42</v>
      </c>
      <c r="F55" s="38" t="s">
        <v>59</v>
      </c>
      <c r="G55" s="48" cm="1">
        <f t="array" ref="G55">IF($O55&lt;&gt;"",INDEX($O:$O,MATCH(TRUE,EXACT(F55,$A:$A),0)),"")</f>
        <v>10</v>
      </c>
      <c r="H55" s="38" t="s">
        <v>58</v>
      </c>
      <c r="I55" s="48" cm="1">
        <f t="array" ref="I55">IF($N55,INDEX($O:$O,MATCH(TRUE,EXACT(H55,$A:$A),0)),"")</f>
        <v>6</v>
      </c>
      <c r="J55" s="38" t="s">
        <v>33</v>
      </c>
      <c r="K55" s="52" cm="1">
        <f t="array" ref="K55">IF($N55,INDEX($O:$O,MATCH(TRUE,EXACT(J55,$A:$A),0)),"")</f>
        <v>41</v>
      </c>
      <c r="L55" s="23"/>
      <c r="M55" s="33"/>
      <c r="N55" s="18" t="b">
        <f t="shared" si="3"/>
        <v>1</v>
      </c>
      <c r="O55" s="19">
        <f>IF(N55, MAX(O$2:O54)+1,"")</f>
        <v>53</v>
      </c>
      <c r="P55" s="23" t="str">
        <f t="shared" si="1"/>
        <v>U</v>
      </c>
      <c r="Q55" s="8" t="str" cm="1">
        <f t="array" ref="Q55">CharToUTF8(A55)</f>
        <v>\x55</v>
      </c>
      <c r="S55" s="18" t="str">
        <f>$AO$4</f>
        <v>ORTHO_BOTH</v>
      </c>
      <c r="T55" s="24" t="str">
        <f>$AO$3</f>
        <v>DIAG_BOTH</v>
      </c>
      <c r="U55" s="24" t="str">
        <f>$AO$2</f>
        <v>EMPTY</v>
      </c>
      <c r="V55" s="21" t="str">
        <f>$AO$4</f>
        <v>ORTHO_BOTH</v>
      </c>
      <c r="X55" s="31" t="b">
        <f t="shared" si="5"/>
        <v>0</v>
      </c>
      <c r="Y55" s="31" t="b">
        <f t="shared" si="6"/>
        <v>0</v>
      </c>
      <c r="Z55" t="b">
        <f t="shared" si="7"/>
        <v>0</v>
      </c>
      <c r="AA55" t="b">
        <f t="shared" si="8"/>
        <v>0</v>
      </c>
      <c r="AB55" t="b">
        <f t="shared" si="9"/>
        <v>1</v>
      </c>
      <c r="AC55" t="b">
        <f t="shared" si="10"/>
        <v>0</v>
      </c>
      <c r="AD55" t="b">
        <f t="shared" si="11"/>
        <v>0</v>
      </c>
      <c r="AE55" t="b">
        <f t="shared" si="12"/>
        <v>0</v>
      </c>
      <c r="AF55" t="b">
        <f t="shared" si="13"/>
        <v>1</v>
      </c>
      <c r="AG55" t="b">
        <f t="shared" si="14"/>
        <v>1</v>
      </c>
      <c r="AH55" t="b">
        <f t="shared" si="15"/>
        <v>1</v>
      </c>
      <c r="AI55" t="b">
        <f t="shared" si="16"/>
        <v>1</v>
      </c>
      <c r="AJ55" t="b">
        <f t="shared" si="17"/>
        <v>1</v>
      </c>
      <c r="AK55" t="b">
        <f t="shared" si="18"/>
        <v>1</v>
      </c>
      <c r="AL55" t="b">
        <f t="shared" si="19"/>
        <v>1</v>
      </c>
      <c r="AM55" t="b">
        <f t="shared" si="20"/>
        <v>1</v>
      </c>
      <c r="AV55" s="59" t="str">
        <f t="shared" si="31"/>
        <v xml:space="preserve">    { wxString::FromUTF8("\x55"), &amp;AllGlyphs[42], &amp;AllGlyphs[10], &amp;AllGlyphs[6], &amp;AllGlyphs[41], Connection::ORTHO_BOTH, Connection::DIAG_BOTH, Connection::EMPTY, Connection::ORTHO_BOTH, 0, 0, 0, 0 },</v>
      </c>
      <c r="AW55" s="60"/>
      <c r="AX55" s="60"/>
      <c r="AY55" s="60"/>
      <c r="AZ55" s="60"/>
      <c r="BA55" s="60"/>
      <c r="BB55" s="60"/>
      <c r="BC55" s="61"/>
      <c r="BE55" s="54" t="str">
        <f t="shared" si="22"/>
        <v>&amp;AllGlyphs[42]</v>
      </c>
      <c r="BF55" s="54" t="str">
        <f t="shared" si="23"/>
        <v>&amp;AllGlyphs[10]</v>
      </c>
      <c r="BG55" s="54" t="str">
        <f t="shared" si="24"/>
        <v>&amp;AllGlyphs[6]</v>
      </c>
      <c r="BH55" s="54" t="str">
        <f t="shared" si="25"/>
        <v>&amp;AllGlyphs[41]</v>
      </c>
      <c r="BJ55" s="58">
        <f t="shared" si="26"/>
        <v>0</v>
      </c>
      <c r="BK55" s="58">
        <f t="shared" si="27"/>
        <v>0</v>
      </c>
      <c r="BL55" s="58">
        <f t="shared" si="28"/>
        <v>0</v>
      </c>
      <c r="BM55" s="58">
        <f t="shared" si="29"/>
        <v>0</v>
      </c>
    </row>
    <row r="56" spans="1:65" x14ac:dyDescent="0.4">
      <c r="A56" s="7" t="s">
        <v>48</v>
      </c>
      <c r="B56" s="6" t="str">
        <f t="shared" si="0"/>
        <v>V</v>
      </c>
      <c r="C56" s="48" cm="1">
        <f t="array" ref="C56">IF($N56,INDEX($O:$O,MATCH(TRUE,EXACT(B56,$A:$A),0)),"")</f>
        <v>54</v>
      </c>
      <c r="D56" s="38" t="s">
        <v>29</v>
      </c>
      <c r="E56" s="48" cm="1">
        <f t="array" ref="E56">IF($N56,INDEX($O:$O,MATCH(TRUE,EXACT(D56,$A:$A),0)),"")</f>
        <v>50</v>
      </c>
      <c r="F56" s="38" t="s">
        <v>39</v>
      </c>
      <c r="G56" s="48" cm="1">
        <f t="array" ref="G56">IF($O56&lt;&gt;"",INDEX($O:$O,MATCH(TRUE,EXACT(F56,$A:$A),0)),"")</f>
        <v>38</v>
      </c>
      <c r="H56" s="38" t="s">
        <v>48</v>
      </c>
      <c r="I56" s="48" cm="1">
        <f t="array" ref="I56">IF($N56,INDEX($O:$O,MATCH(TRUE,EXACT(H56,$A:$A),0)),"")</f>
        <v>54</v>
      </c>
      <c r="J56" s="38" t="s">
        <v>39</v>
      </c>
      <c r="K56" s="52" cm="1">
        <f t="array" ref="K56">IF($N56,INDEX($O:$O,MATCH(TRUE,EXACT(J56,$A:$A),0)),"")</f>
        <v>38</v>
      </c>
      <c r="L56" s="23"/>
      <c r="M56" s="33"/>
      <c r="N56" s="18" t="b">
        <f t="shared" si="3"/>
        <v>1</v>
      </c>
      <c r="O56" s="19">
        <f>IF(N56, MAX(O$2:O55)+1,"")</f>
        <v>54</v>
      </c>
      <c r="P56" s="23" t="str">
        <f t="shared" si="1"/>
        <v>V</v>
      </c>
      <c r="Q56" s="8" t="str" cm="1">
        <f t="array" ref="Q56">CharToUTF8(A56)</f>
        <v>\x56</v>
      </c>
      <c r="S56" s="18" t="str">
        <f>$AO$2</f>
        <v>EMPTY</v>
      </c>
      <c r="T56" s="24" t="str">
        <f>$AO$2</f>
        <v>EMPTY</v>
      </c>
      <c r="U56" s="24" t="str">
        <f>$AO$4</f>
        <v>ORTHO_BOTH</v>
      </c>
      <c r="V56" s="21" t="str">
        <f>$AO$2</f>
        <v>EMPTY</v>
      </c>
      <c r="X56" s="31" t="b">
        <f t="shared" si="5"/>
        <v>0</v>
      </c>
      <c r="Y56" s="31" t="b">
        <f t="shared" si="6"/>
        <v>0</v>
      </c>
      <c r="Z56" t="b">
        <f t="shared" si="7"/>
        <v>1</v>
      </c>
      <c r="AA56" t="b">
        <f t="shared" si="8"/>
        <v>0</v>
      </c>
      <c r="AB56" t="b">
        <f t="shared" si="9"/>
        <v>1</v>
      </c>
      <c r="AC56" t="b">
        <f t="shared" si="10"/>
        <v>0</v>
      </c>
      <c r="AD56" t="b">
        <f t="shared" si="11"/>
        <v>0</v>
      </c>
      <c r="AE56" t="b">
        <f t="shared" si="12"/>
        <v>1</v>
      </c>
      <c r="AF56" t="b">
        <f t="shared" si="13"/>
        <v>1</v>
      </c>
      <c r="AG56" t="b">
        <f t="shared" si="14"/>
        <v>1</v>
      </c>
      <c r="AH56" t="b">
        <f t="shared" si="15"/>
        <v>1</v>
      </c>
      <c r="AI56" t="b">
        <f t="shared" si="16"/>
        <v>1</v>
      </c>
      <c r="AJ56" t="b">
        <f t="shared" si="17"/>
        <v>1</v>
      </c>
      <c r="AK56" t="b">
        <f t="shared" si="18"/>
        <v>1</v>
      </c>
      <c r="AL56" t="b">
        <f t="shared" si="19"/>
        <v>1</v>
      </c>
      <c r="AM56" t="b">
        <f t="shared" si="20"/>
        <v>1</v>
      </c>
      <c r="AV56" s="59" t="str">
        <f t="shared" si="31"/>
        <v xml:space="preserve">    { wxString::FromUTF8("\x56"), &amp;AllGlyphs[50], &amp;AllGlyphs[38], &amp;AllGlyphs[54], &amp;AllGlyphs[38], Connection::EMPTY, Connection::EMPTY, Connection::ORTHO_BOTH, Connection::EMPTY, 0, 0, 1, 0 },</v>
      </c>
      <c r="AW56" s="60"/>
      <c r="AX56" s="60"/>
      <c r="AY56" s="60"/>
      <c r="AZ56" s="60"/>
      <c r="BA56" s="60"/>
      <c r="BB56" s="60"/>
      <c r="BC56" s="61"/>
      <c r="BE56" s="54" t="str">
        <f t="shared" si="22"/>
        <v>&amp;AllGlyphs[50]</v>
      </c>
      <c r="BF56" s="54" t="str">
        <f t="shared" si="23"/>
        <v>&amp;AllGlyphs[38]</v>
      </c>
      <c r="BG56" s="54" t="str">
        <f t="shared" si="24"/>
        <v>&amp;AllGlyphs[54]</v>
      </c>
      <c r="BH56" s="54" t="str">
        <f t="shared" si="25"/>
        <v>&amp;AllGlyphs[38]</v>
      </c>
      <c r="BJ56" s="58">
        <f t="shared" si="26"/>
        <v>0</v>
      </c>
      <c r="BK56" s="58">
        <f t="shared" si="27"/>
        <v>0</v>
      </c>
      <c r="BL56" s="58">
        <f t="shared" si="28"/>
        <v>1</v>
      </c>
      <c r="BM56" s="58">
        <f t="shared" si="29"/>
        <v>0</v>
      </c>
    </row>
    <row r="57" spans="1:65" x14ac:dyDescent="0.4">
      <c r="A57" s="7" t="s">
        <v>27</v>
      </c>
      <c r="B57" s="6" t="str">
        <f t="shared" si="0"/>
        <v>W</v>
      </c>
      <c r="C57" s="48" cm="1">
        <f t="array" ref="C57">IF($N57,INDEX($O:$O,MATCH(TRUE,EXACT(B57,$A:$A),0)),"")</f>
        <v>55</v>
      </c>
      <c r="D57" s="38" t="s">
        <v>38</v>
      </c>
      <c r="E57" s="48" cm="1">
        <f t="array" ref="E57">IF($N57,INDEX($O:$O,MATCH(TRUE,EXACT(D57,$A:$A),0)),"")</f>
        <v>36</v>
      </c>
      <c r="F57" s="38" t="s">
        <v>46</v>
      </c>
      <c r="G57" s="48" cm="1">
        <f t="array" ref="G57">IF($O57&lt;&gt;"",INDEX($O:$O,MATCH(TRUE,EXACT(F57,$A:$A),0)),"")</f>
        <v>56</v>
      </c>
      <c r="H57" s="38" t="s">
        <v>46</v>
      </c>
      <c r="I57" s="48" cm="1">
        <f t="array" ref="I57">IF($N57,INDEX($O:$O,MATCH(TRUE,EXACT(H57,$A:$A),0)),"")</f>
        <v>56</v>
      </c>
      <c r="J57" s="38" t="s">
        <v>27</v>
      </c>
      <c r="K57" s="52" cm="1">
        <f t="array" ref="K57">IF($N57,INDEX($O:$O,MATCH(TRUE,EXACT(J57,$A:$A),0)),"")</f>
        <v>55</v>
      </c>
      <c r="L57" s="23"/>
      <c r="M57" s="33"/>
      <c r="N57" s="18" t="b">
        <f t="shared" si="3"/>
        <v>1</v>
      </c>
      <c r="O57" s="19">
        <f>IF(N57, MAX(O$2:O56)+1,"")</f>
        <v>55</v>
      </c>
      <c r="P57" s="23" t="str">
        <f t="shared" si="1"/>
        <v>W</v>
      </c>
      <c r="Q57" s="8" t="str" cm="1">
        <f t="array" ref="Q57">CharToUTF8(A57)</f>
        <v>\x57</v>
      </c>
      <c r="S57" s="18" t="str">
        <f>$AO$2</f>
        <v>EMPTY</v>
      </c>
      <c r="T57" s="24" t="str">
        <f>$AO$4</f>
        <v>ORTHO_BOTH</v>
      </c>
      <c r="U57" s="24" t="str">
        <f>$AO$4</f>
        <v>ORTHO_BOTH</v>
      </c>
      <c r="V57" s="21" t="str">
        <f>$AO$4</f>
        <v>ORTHO_BOTH</v>
      </c>
      <c r="X57" s="31" t="b">
        <f t="shared" si="5"/>
        <v>0</v>
      </c>
      <c r="Y57" s="31" t="b">
        <f t="shared" si="6"/>
        <v>0</v>
      </c>
      <c r="Z57" t="b">
        <f t="shared" si="7"/>
        <v>0</v>
      </c>
      <c r="AA57" t="b">
        <f t="shared" si="8"/>
        <v>1</v>
      </c>
      <c r="AB57" t="b">
        <f t="shared" si="9"/>
        <v>0</v>
      </c>
      <c r="AC57" t="b">
        <f t="shared" si="10"/>
        <v>1</v>
      </c>
      <c r="AD57" t="b">
        <f t="shared" si="11"/>
        <v>0</v>
      </c>
      <c r="AE57" t="b">
        <f t="shared" si="12"/>
        <v>1</v>
      </c>
      <c r="AF57" t="b">
        <f t="shared" si="13"/>
        <v>1</v>
      </c>
      <c r="AG57" t="b">
        <f t="shared" si="14"/>
        <v>1</v>
      </c>
      <c r="AH57" t="b">
        <f t="shared" si="15"/>
        <v>1</v>
      </c>
      <c r="AI57" t="b">
        <f t="shared" si="16"/>
        <v>1</v>
      </c>
      <c r="AJ57" t="b">
        <f t="shared" si="17"/>
        <v>1</v>
      </c>
      <c r="AK57" t="b">
        <f t="shared" si="18"/>
        <v>1</v>
      </c>
      <c r="AL57" t="b">
        <f t="shared" si="19"/>
        <v>1</v>
      </c>
      <c r="AM57" t="b">
        <f t="shared" si="20"/>
        <v>1</v>
      </c>
      <c r="AV57" s="59" t="str">
        <f t="shared" si="31"/>
        <v xml:space="preserve">    { wxString::FromUTF8("\x57"), &amp;AllGlyphs[36], &amp;AllGlyphs[56], &amp;AllGlyphs[56], &amp;AllGlyphs[55], Connection::EMPTY, Connection::ORTHO_BOTH, Connection::ORTHO_BOTH, Connection::ORTHO_BOTH, 0, 0, 0, 1 },</v>
      </c>
      <c r="AW57" s="60"/>
      <c r="AX57" s="60"/>
      <c r="AY57" s="60"/>
      <c r="AZ57" s="60"/>
      <c r="BA57" s="60"/>
      <c r="BB57" s="60"/>
      <c r="BC57" s="61"/>
      <c r="BE57" s="54" t="str">
        <f t="shared" si="22"/>
        <v>&amp;AllGlyphs[36]</v>
      </c>
      <c r="BF57" s="54" t="str">
        <f t="shared" si="23"/>
        <v>&amp;AllGlyphs[56]</v>
      </c>
      <c r="BG57" s="54" t="str">
        <f t="shared" si="24"/>
        <v>&amp;AllGlyphs[56]</v>
      </c>
      <c r="BH57" s="54" t="str">
        <f t="shared" si="25"/>
        <v>&amp;AllGlyphs[55]</v>
      </c>
      <c r="BJ57" s="58">
        <f t="shared" si="26"/>
        <v>0</v>
      </c>
      <c r="BK57" s="58">
        <f t="shared" si="27"/>
        <v>0</v>
      </c>
      <c r="BL57" s="58">
        <f t="shared" si="28"/>
        <v>0</v>
      </c>
      <c r="BM57" s="58">
        <f t="shared" si="29"/>
        <v>1</v>
      </c>
    </row>
    <row r="58" spans="1:65" x14ac:dyDescent="0.4">
      <c r="A58" s="7" t="s">
        <v>46</v>
      </c>
      <c r="B58" s="6" t="str">
        <f t="shared" si="0"/>
        <v>X</v>
      </c>
      <c r="C58" s="48" cm="1">
        <f t="array" ref="C58">IF($N58,INDEX($O:$O,MATCH(TRUE,EXACT(B58,$A:$A),0)),"")</f>
        <v>56</v>
      </c>
      <c r="D58" s="38" t="s">
        <v>36</v>
      </c>
      <c r="E58" s="48" cm="1">
        <f t="array" ref="E58">IF($N58,INDEX($O:$O,MATCH(TRUE,EXACT(D58,$A:$A),0)),"")</f>
        <v>33</v>
      </c>
      <c r="F58" s="38" t="s">
        <v>27</v>
      </c>
      <c r="G58" s="48" cm="1">
        <f t="array" ref="G58">IF($O58&lt;&gt;"",INDEX($O:$O,MATCH(TRUE,EXACT(F58,$A:$A),0)),"")</f>
        <v>55</v>
      </c>
      <c r="H58" s="38" t="s">
        <v>27</v>
      </c>
      <c r="I58" s="48" cm="1">
        <f t="array" ref="I58">IF($N58,INDEX($O:$O,MATCH(TRUE,EXACT(H58,$A:$A),0)),"")</f>
        <v>55</v>
      </c>
      <c r="J58" s="38" t="s">
        <v>46</v>
      </c>
      <c r="K58" s="52" cm="1">
        <f t="array" ref="K58">IF($N58,INDEX($O:$O,MATCH(TRUE,EXACT(J58,$A:$A),0)),"")</f>
        <v>56</v>
      </c>
      <c r="L58" s="23"/>
      <c r="M58" s="33"/>
      <c r="N58" s="18" t="b">
        <f t="shared" si="3"/>
        <v>1</v>
      </c>
      <c r="O58" s="19">
        <f>IF(N58, MAX(O$2:O57)+1,"")</f>
        <v>56</v>
      </c>
      <c r="P58" s="23" t="str">
        <f t="shared" si="1"/>
        <v>X</v>
      </c>
      <c r="Q58" s="8" t="str" cm="1">
        <f t="array" ref="Q58">CharToUTF8(A58)</f>
        <v>\x58</v>
      </c>
      <c r="S58" s="18" t="str">
        <f>$AO$4</f>
        <v>ORTHO_BOTH</v>
      </c>
      <c r="T58" s="24" t="str">
        <f>$AO$2</f>
        <v>EMPTY</v>
      </c>
      <c r="U58" s="24" t="str">
        <f>$AO$4</f>
        <v>ORTHO_BOTH</v>
      </c>
      <c r="V58" s="21" t="str">
        <f>$AO$4</f>
        <v>ORTHO_BOTH</v>
      </c>
      <c r="X58" s="31" t="b">
        <f t="shared" si="5"/>
        <v>0</v>
      </c>
      <c r="Y58" s="31" t="b">
        <f t="shared" si="6"/>
        <v>0</v>
      </c>
      <c r="Z58" t="b">
        <f t="shared" si="7"/>
        <v>0</v>
      </c>
      <c r="AA58" t="b">
        <f t="shared" si="8"/>
        <v>1</v>
      </c>
      <c r="AB58" t="b">
        <f t="shared" si="9"/>
        <v>1</v>
      </c>
      <c r="AC58" t="b">
        <f t="shared" si="10"/>
        <v>0</v>
      </c>
      <c r="AD58" t="b">
        <f t="shared" si="11"/>
        <v>1</v>
      </c>
      <c r="AE58" t="b">
        <f t="shared" si="12"/>
        <v>0</v>
      </c>
      <c r="AF58" t="b">
        <f t="shared" si="13"/>
        <v>1</v>
      </c>
      <c r="AG58" t="b">
        <f t="shared" si="14"/>
        <v>1</v>
      </c>
      <c r="AH58" t="b">
        <f t="shared" si="15"/>
        <v>1</v>
      </c>
      <c r="AI58" t="b">
        <f t="shared" si="16"/>
        <v>1</v>
      </c>
      <c r="AJ58" t="b">
        <f t="shared" si="17"/>
        <v>1</v>
      </c>
      <c r="AK58" t="b">
        <f t="shared" si="18"/>
        <v>1</v>
      </c>
      <c r="AL58" t="b">
        <f t="shared" si="19"/>
        <v>1</v>
      </c>
      <c r="AM58" t="b">
        <f t="shared" si="20"/>
        <v>1</v>
      </c>
      <c r="AV58" s="59" t="str">
        <f t="shared" si="31"/>
        <v xml:space="preserve">    { wxString::FromUTF8("\x58"), &amp;AllGlyphs[33], &amp;AllGlyphs[55], &amp;AllGlyphs[55], &amp;AllGlyphs[56], Connection::ORTHO_BOTH, Connection::EMPTY, Connection::ORTHO_BOTH, Connection::ORTHO_BOTH, 0, 0, 0, 1 },</v>
      </c>
      <c r="AW58" s="60"/>
      <c r="AX58" s="60"/>
      <c r="AY58" s="60"/>
      <c r="AZ58" s="60"/>
      <c r="BA58" s="60"/>
      <c r="BB58" s="60"/>
      <c r="BC58" s="61"/>
      <c r="BE58" s="54" t="str">
        <f t="shared" si="22"/>
        <v>&amp;AllGlyphs[33]</v>
      </c>
      <c r="BF58" s="54" t="str">
        <f t="shared" si="23"/>
        <v>&amp;AllGlyphs[55]</v>
      </c>
      <c r="BG58" s="54" t="str">
        <f t="shared" si="24"/>
        <v>&amp;AllGlyphs[55]</v>
      </c>
      <c r="BH58" s="54" t="str">
        <f t="shared" si="25"/>
        <v>&amp;AllGlyphs[56]</v>
      </c>
      <c r="BJ58" s="58">
        <f t="shared" si="26"/>
        <v>0</v>
      </c>
      <c r="BK58" s="58">
        <f t="shared" si="27"/>
        <v>0</v>
      </c>
      <c r="BL58" s="58">
        <f t="shared" si="28"/>
        <v>0</v>
      </c>
      <c r="BM58" s="58">
        <f t="shared" si="29"/>
        <v>1</v>
      </c>
    </row>
    <row r="59" spans="1:65" x14ac:dyDescent="0.4">
      <c r="A59" s="7" t="s">
        <v>31</v>
      </c>
      <c r="B59" s="6" t="str">
        <f t="shared" si="0"/>
        <v>Y</v>
      </c>
      <c r="C59" s="48" cm="1">
        <f t="array" ref="C59">IF($N59,INDEX($O:$O,MATCH(TRUE,EXACT(B59,$A:$A),0)),"")</f>
        <v>57</v>
      </c>
      <c r="D59" s="38" t="s">
        <v>49</v>
      </c>
      <c r="E59" s="48" cm="1">
        <f t="array" ref="E59">IF($N59,INDEX($O:$O,MATCH(TRUE,EXACT(D59,$A:$A),0)),"")</f>
        <v>34</v>
      </c>
      <c r="F59" s="38" t="s">
        <v>57</v>
      </c>
      <c r="G59" s="48" cm="1">
        <f t="array" ref="G59">IF($O59&lt;&gt;"",INDEX($O:$O,MATCH(TRUE,EXACT(F59,$A:$A),0)),"")</f>
        <v>62</v>
      </c>
      <c r="H59" s="38" t="s">
        <v>57</v>
      </c>
      <c r="I59" s="48" cm="1">
        <f t="array" ref="I59">IF($N59,INDEX($O:$O,MATCH(TRUE,EXACT(H59,$A:$A),0)),"")</f>
        <v>62</v>
      </c>
      <c r="J59" s="38" t="s">
        <v>31</v>
      </c>
      <c r="K59" s="52" cm="1">
        <f t="array" ref="K59">IF($N59,INDEX($O:$O,MATCH(TRUE,EXACT(J59,$A:$A),0)),"")</f>
        <v>57</v>
      </c>
      <c r="L59" s="23"/>
      <c r="M59" s="33"/>
      <c r="N59" s="18" t="b">
        <f t="shared" si="3"/>
        <v>1</v>
      </c>
      <c r="O59" s="19">
        <f>IF(N59, MAX(O$2:O58)+1,"")</f>
        <v>57</v>
      </c>
      <c r="P59" s="23" t="str">
        <f t="shared" si="1"/>
        <v>Y</v>
      </c>
      <c r="Q59" s="8" t="str" cm="1">
        <f t="array" ref="Q59">CharToUTF8(A59)</f>
        <v>\x59</v>
      </c>
      <c r="S59" s="18" t="str">
        <f>$AO$3</f>
        <v>DIAG_BOTH</v>
      </c>
      <c r="T59" s="24" t="str">
        <f>$AO$4</f>
        <v>ORTHO_BOTH</v>
      </c>
      <c r="U59" s="24" t="str">
        <f>$AO$4</f>
        <v>ORTHO_BOTH</v>
      </c>
      <c r="V59" s="21" t="str">
        <f>$AO$4</f>
        <v>ORTHO_BOTH</v>
      </c>
      <c r="X59" s="31" t="b">
        <f t="shared" si="5"/>
        <v>0</v>
      </c>
      <c r="Y59" s="31" t="b">
        <f t="shared" si="6"/>
        <v>0</v>
      </c>
      <c r="Z59" t="b">
        <f t="shared" si="7"/>
        <v>0</v>
      </c>
      <c r="AA59" t="b">
        <f t="shared" si="8"/>
        <v>1</v>
      </c>
      <c r="AB59" t="b">
        <f t="shared" si="9"/>
        <v>0</v>
      </c>
      <c r="AC59" t="b">
        <f t="shared" si="10"/>
        <v>1</v>
      </c>
      <c r="AD59" t="b">
        <f t="shared" si="11"/>
        <v>0</v>
      </c>
      <c r="AE59" t="b">
        <f t="shared" si="12"/>
        <v>1</v>
      </c>
      <c r="AF59" t="b">
        <f t="shared" si="13"/>
        <v>1</v>
      </c>
      <c r="AG59" t="b">
        <f t="shared" si="14"/>
        <v>1</v>
      </c>
      <c r="AH59" t="b">
        <f t="shared" si="15"/>
        <v>1</v>
      </c>
      <c r="AI59" t="b">
        <f t="shared" si="16"/>
        <v>1</v>
      </c>
      <c r="AJ59" t="b">
        <f t="shared" si="17"/>
        <v>1</v>
      </c>
      <c r="AK59" t="b">
        <f t="shared" si="18"/>
        <v>1</v>
      </c>
      <c r="AL59" t="b">
        <f t="shared" si="19"/>
        <v>1</v>
      </c>
      <c r="AM59" t="b">
        <f t="shared" si="20"/>
        <v>1</v>
      </c>
      <c r="AV59" s="59" t="str">
        <f t="shared" si="31"/>
        <v xml:space="preserve">    { wxString::FromUTF8("\x59"), &amp;AllGlyphs[34], &amp;AllGlyphs[62], &amp;AllGlyphs[62], &amp;AllGlyphs[57], Connection::DIAG_BOTH, Connection::ORTHO_BOTH, Connection::ORTHO_BOTH, Connection::ORTHO_BOTH, 0, 0, 0, 1 },</v>
      </c>
      <c r="AW59" s="60"/>
      <c r="AX59" s="60"/>
      <c r="AY59" s="60"/>
      <c r="AZ59" s="60"/>
      <c r="BA59" s="60"/>
      <c r="BB59" s="60"/>
      <c r="BC59" s="61"/>
      <c r="BE59" s="54" t="str">
        <f t="shared" si="22"/>
        <v>&amp;AllGlyphs[34]</v>
      </c>
      <c r="BF59" s="54" t="str">
        <f t="shared" si="23"/>
        <v>&amp;AllGlyphs[62]</v>
      </c>
      <c r="BG59" s="54" t="str">
        <f t="shared" si="24"/>
        <v>&amp;AllGlyphs[62]</v>
      </c>
      <c r="BH59" s="54" t="str">
        <f t="shared" si="25"/>
        <v>&amp;AllGlyphs[57]</v>
      </c>
      <c r="BJ59" s="58">
        <f t="shared" si="26"/>
        <v>0</v>
      </c>
      <c r="BK59" s="58">
        <f t="shared" si="27"/>
        <v>0</v>
      </c>
      <c r="BL59" s="58">
        <f t="shared" si="28"/>
        <v>0</v>
      </c>
      <c r="BM59" s="58">
        <f t="shared" si="29"/>
        <v>1</v>
      </c>
    </row>
    <row r="60" spans="1:65" x14ac:dyDescent="0.4">
      <c r="A60" s="7" t="s">
        <v>45</v>
      </c>
      <c r="B60" s="6" t="str">
        <f t="shared" si="0"/>
        <v>Z</v>
      </c>
      <c r="C60" s="48" cm="1">
        <f t="array" ref="C60">IF($N60,INDEX($O:$O,MATCH(TRUE,EXACT(B60,$A:$A),0)),"")</f>
        <v>58</v>
      </c>
      <c r="D60" s="38" t="s">
        <v>26</v>
      </c>
      <c r="E60" s="48" cm="1">
        <f t="array" ref="E60">IF($N60,INDEX($O:$O,MATCH(TRUE,EXACT(D60,$A:$A),0)),"")</f>
        <v>49</v>
      </c>
      <c r="F60" s="38" t="s">
        <v>28</v>
      </c>
      <c r="G60" s="48" cm="1">
        <f t="array" ref="G60">IF($O60&lt;&gt;"",INDEX($O:$O,MATCH(TRUE,EXACT(F60,$A:$A),0)),"")</f>
        <v>37</v>
      </c>
      <c r="H60" s="38" t="s">
        <v>26</v>
      </c>
      <c r="I60" s="48" cm="1">
        <f t="array" ref="I60">IF($N60,INDEX($O:$O,MATCH(TRUE,EXACT(H60,$A:$A),0)),"")</f>
        <v>49</v>
      </c>
      <c r="J60" s="38" t="s">
        <v>47</v>
      </c>
      <c r="K60" s="52" cm="1">
        <f t="array" ref="K60">IF($N60,INDEX($O:$O,MATCH(TRUE,EXACT(J60,$A:$A),0)),"")</f>
        <v>35</v>
      </c>
      <c r="L60" s="23"/>
      <c r="M60" s="33"/>
      <c r="N60" s="18" t="b">
        <f t="shared" si="3"/>
        <v>1</v>
      </c>
      <c r="O60" s="19">
        <f>IF(N60, MAX(O$2:O59)+1,"")</f>
        <v>58</v>
      </c>
      <c r="P60" s="23" t="str">
        <f t="shared" si="1"/>
        <v>Z</v>
      </c>
      <c r="Q60" s="8" t="str" cm="1">
        <f t="array" ref="Q60">CharToUTF8(A60)</f>
        <v>\x5A</v>
      </c>
      <c r="S60" s="18" t="str">
        <f>$AO$4</f>
        <v>ORTHO_BOTH</v>
      </c>
      <c r="T60" s="24" t="str">
        <f>$AO$2</f>
        <v>EMPTY</v>
      </c>
      <c r="U60" s="24" t="str">
        <f>$AO$2</f>
        <v>EMPTY</v>
      </c>
      <c r="V60" s="21" t="str">
        <f>$AO$4</f>
        <v>ORTHO_BOTH</v>
      </c>
      <c r="X60" s="31" t="b">
        <f t="shared" si="5"/>
        <v>0</v>
      </c>
      <c r="Y60" s="31" t="b">
        <f t="shared" si="6"/>
        <v>0</v>
      </c>
      <c r="Z60" t="b">
        <f t="shared" si="7"/>
        <v>0</v>
      </c>
      <c r="AA60" t="b">
        <f t="shared" si="8"/>
        <v>0</v>
      </c>
      <c r="AB60" t="b">
        <f t="shared" si="9"/>
        <v>1</v>
      </c>
      <c r="AC60" t="b">
        <f t="shared" si="10"/>
        <v>1</v>
      </c>
      <c r="AD60" t="b">
        <f t="shared" si="11"/>
        <v>0</v>
      </c>
      <c r="AE60" t="b">
        <f t="shared" si="12"/>
        <v>0</v>
      </c>
      <c r="AF60" t="b">
        <f t="shared" si="13"/>
        <v>1</v>
      </c>
      <c r="AG60" t="b">
        <f t="shared" si="14"/>
        <v>1</v>
      </c>
      <c r="AH60" t="b">
        <f t="shared" si="15"/>
        <v>1</v>
      </c>
      <c r="AI60" t="b">
        <f t="shared" si="16"/>
        <v>1</v>
      </c>
      <c r="AJ60" t="b">
        <f t="shared" si="17"/>
        <v>1</v>
      </c>
      <c r="AK60" t="b">
        <f t="shared" si="18"/>
        <v>1</v>
      </c>
      <c r="AL60" t="b">
        <f t="shared" si="19"/>
        <v>1</v>
      </c>
      <c r="AM60" t="b">
        <f t="shared" si="20"/>
        <v>1</v>
      </c>
      <c r="AV60" s="59" t="str">
        <f t="shared" si="31"/>
        <v xml:space="preserve">    { wxString::FromUTF8("\x5A"), &amp;AllGlyphs[49], &amp;AllGlyphs[37], &amp;AllGlyphs[49], &amp;AllGlyphs[35], Connection::ORTHO_BOTH, Connection::EMPTY, Connection::EMPTY, Connection::ORTHO_BOTH, 0, 0, 0, 0 },</v>
      </c>
      <c r="AW60" s="60"/>
      <c r="AX60" s="60"/>
      <c r="AY60" s="60"/>
      <c r="AZ60" s="60"/>
      <c r="BA60" s="60"/>
      <c r="BB60" s="60"/>
      <c r="BC60" s="61"/>
      <c r="BE60" s="54" t="str">
        <f t="shared" si="22"/>
        <v>&amp;AllGlyphs[49]</v>
      </c>
      <c r="BF60" s="54" t="str">
        <f t="shared" si="23"/>
        <v>&amp;AllGlyphs[37]</v>
      </c>
      <c r="BG60" s="54" t="str">
        <f t="shared" si="24"/>
        <v>&amp;AllGlyphs[49]</v>
      </c>
      <c r="BH60" s="54" t="str">
        <f t="shared" si="25"/>
        <v>&amp;AllGlyphs[35]</v>
      </c>
      <c r="BJ60" s="58">
        <f t="shared" si="26"/>
        <v>0</v>
      </c>
      <c r="BK60" s="58">
        <f t="shared" si="27"/>
        <v>0</v>
      </c>
      <c r="BL60" s="58">
        <f t="shared" si="28"/>
        <v>0</v>
      </c>
      <c r="BM60" s="58">
        <f t="shared" si="29"/>
        <v>0</v>
      </c>
    </row>
    <row r="61" spans="1:65" x14ac:dyDescent="0.4">
      <c r="A61" s="7" t="s">
        <v>71</v>
      </c>
      <c r="B61" s="6" t="str">
        <f t="shared" si="0"/>
        <v>[</v>
      </c>
      <c r="C61" s="48" cm="1">
        <f t="array" ref="C61">IF($N61,INDEX($O:$O,MATCH(TRUE,EXACT(B61,$A:$A),0)),"")</f>
        <v>59</v>
      </c>
      <c r="D61" s="38" t="s">
        <v>74</v>
      </c>
      <c r="E61" s="48" cm="1">
        <f t="array" ref="E61">IF($N61,INDEX($O:$O,MATCH(TRUE,EXACT(D61,$A:$A),0)),"")</f>
        <v>13</v>
      </c>
      <c r="F61" s="38" t="s">
        <v>72</v>
      </c>
      <c r="G61" s="48" cm="1">
        <f t="array" ref="G61">IF($O61&lt;&gt;"",INDEX($O:$O,MATCH(TRUE,EXACT(F61,$A:$A),0)),"")</f>
        <v>61</v>
      </c>
      <c r="H61" s="38" t="s">
        <v>71</v>
      </c>
      <c r="I61" s="48" cm="1">
        <f t="array" ref="I61">IF($N61,INDEX($O:$O,MATCH(TRUE,EXACT(H61,$A:$A),0)),"")</f>
        <v>59</v>
      </c>
      <c r="J61" s="38" t="s">
        <v>72</v>
      </c>
      <c r="K61" s="52" cm="1">
        <f t="array" ref="K61">IF($N61,INDEX($O:$O,MATCH(TRUE,EXACT(J61,$A:$A),0)),"")</f>
        <v>61</v>
      </c>
      <c r="L61" s="23"/>
      <c r="M61" s="33"/>
      <c r="N61" s="18" t="b">
        <f t="shared" si="3"/>
        <v>1</v>
      </c>
      <c r="O61" s="19">
        <f>IF(N61, MAX(O$2:O60)+1,"")</f>
        <v>59</v>
      </c>
      <c r="P61" s="23" t="str">
        <f t="shared" si="1"/>
        <v>[</v>
      </c>
      <c r="Q61" s="8" t="str" cm="1">
        <f t="array" ref="Q61">CharToUTF8(A61)</f>
        <v>\x5B</v>
      </c>
      <c r="S61" s="18" t="str">
        <f>$AO$2</f>
        <v>EMPTY</v>
      </c>
      <c r="T61" s="24" t="str">
        <f>$AO$2</f>
        <v>EMPTY</v>
      </c>
      <c r="U61" s="24" t="str">
        <f>$AO$3</f>
        <v>DIAG_BOTH</v>
      </c>
      <c r="V61" s="21" t="str">
        <f>$AO$4</f>
        <v>ORTHO_BOTH</v>
      </c>
      <c r="X61" s="31" t="b">
        <f t="shared" si="5"/>
        <v>0</v>
      </c>
      <c r="Y61" s="31" t="b">
        <f t="shared" si="6"/>
        <v>0</v>
      </c>
      <c r="Z61" t="b">
        <f t="shared" si="7"/>
        <v>1</v>
      </c>
      <c r="AA61" t="b">
        <f t="shared" si="8"/>
        <v>0</v>
      </c>
      <c r="AB61" t="b">
        <f t="shared" si="9"/>
        <v>0</v>
      </c>
      <c r="AC61" t="b">
        <f t="shared" si="10"/>
        <v>0</v>
      </c>
      <c r="AD61" t="b">
        <f t="shared" si="11"/>
        <v>0</v>
      </c>
      <c r="AE61" t="b">
        <f t="shared" si="12"/>
        <v>0</v>
      </c>
      <c r="AF61" t="b">
        <f t="shared" si="13"/>
        <v>1</v>
      </c>
      <c r="AG61" t="b">
        <f t="shared" si="14"/>
        <v>1</v>
      </c>
      <c r="AH61" t="b">
        <f t="shared" si="15"/>
        <v>1</v>
      </c>
      <c r="AI61" t="b">
        <f t="shared" si="16"/>
        <v>1</v>
      </c>
      <c r="AJ61" t="b">
        <f t="shared" si="17"/>
        <v>1</v>
      </c>
      <c r="AK61" t="b">
        <f t="shared" si="18"/>
        <v>1</v>
      </c>
      <c r="AL61" t="b">
        <f t="shared" si="19"/>
        <v>1</v>
      </c>
      <c r="AM61" t="b">
        <f t="shared" si="20"/>
        <v>1</v>
      </c>
      <c r="AV61" s="59" t="str">
        <f t="shared" si="31"/>
        <v xml:space="preserve">    { wxString::FromUTF8("\x5B"), &amp;AllGlyphs[13], &amp;AllGlyphs[61], &amp;AllGlyphs[59], &amp;AllGlyphs[61], Connection::EMPTY, Connection::EMPTY, Connection::DIAG_BOTH, Connection::ORTHO_BOTH, 0, 0, 1, 0 },</v>
      </c>
      <c r="AW61" s="60"/>
      <c r="AX61" s="60"/>
      <c r="AY61" s="60"/>
      <c r="AZ61" s="60"/>
      <c r="BA61" s="60"/>
      <c r="BB61" s="60"/>
      <c r="BC61" s="61"/>
      <c r="BE61" s="54" t="str">
        <f t="shared" si="22"/>
        <v>&amp;AllGlyphs[13]</v>
      </c>
      <c r="BF61" s="54" t="str">
        <f t="shared" si="23"/>
        <v>&amp;AllGlyphs[61]</v>
      </c>
      <c r="BG61" s="54" t="str">
        <f t="shared" si="24"/>
        <v>&amp;AllGlyphs[59]</v>
      </c>
      <c r="BH61" s="54" t="str">
        <f t="shared" si="25"/>
        <v>&amp;AllGlyphs[61]</v>
      </c>
      <c r="BJ61" s="58">
        <f t="shared" si="26"/>
        <v>0</v>
      </c>
      <c r="BK61" s="58">
        <f t="shared" si="27"/>
        <v>0</v>
      </c>
      <c r="BL61" s="58">
        <f t="shared" si="28"/>
        <v>1</v>
      </c>
      <c r="BM61" s="58">
        <f t="shared" si="29"/>
        <v>0</v>
      </c>
    </row>
    <row r="62" spans="1:65" x14ac:dyDescent="0.4">
      <c r="A62" s="7" t="s">
        <v>68</v>
      </c>
      <c r="B62" s="6" t="str">
        <f t="shared" si="0"/>
        <v>\</v>
      </c>
      <c r="C62" s="48" cm="1">
        <f t="array" ref="C62">IF($N62,INDEX($O:$O,MATCH(TRUE,EXACT(B62,$A:$A),0)),"")</f>
        <v>60</v>
      </c>
      <c r="D62" s="38" t="s">
        <v>69</v>
      </c>
      <c r="E62" s="48" cm="1">
        <f t="array" ref="E62">IF($N62,INDEX($O:$O,MATCH(TRUE,EXACT(D62,$A:$A),0)),"")</f>
        <v>92</v>
      </c>
      <c r="F62" s="38" t="s">
        <v>68</v>
      </c>
      <c r="G62" s="48" cm="1">
        <f t="array" ref="G62">IF($O62&lt;&gt;"",INDEX($O:$O,MATCH(TRUE,EXACT(F62,$A:$A),0)),"")</f>
        <v>60</v>
      </c>
      <c r="H62" s="38" t="s">
        <v>68</v>
      </c>
      <c r="I62" s="48" cm="1">
        <f t="array" ref="I62">IF($N62,INDEX($O:$O,MATCH(TRUE,EXACT(H62,$A:$A),0)),"")</f>
        <v>60</v>
      </c>
      <c r="J62" s="38" t="s">
        <v>68</v>
      </c>
      <c r="K62" s="52" cm="1">
        <f t="array" ref="K62">IF($N62,INDEX($O:$O,MATCH(TRUE,EXACT(J62,$A:$A),0)),"")</f>
        <v>60</v>
      </c>
      <c r="L62" s="23"/>
      <c r="M62" s="33"/>
      <c r="N62" s="18" t="b">
        <f t="shared" si="3"/>
        <v>1</v>
      </c>
      <c r="O62" s="19">
        <f>IF(N62, MAX(O$2:O61)+1,"")</f>
        <v>60</v>
      </c>
      <c r="P62" s="23" t="str">
        <f t="shared" si="1"/>
        <v>\</v>
      </c>
      <c r="Q62" s="8" t="str" cm="1">
        <f t="array" ref="Q62">CharToUTF8(A62)</f>
        <v>\x5C</v>
      </c>
      <c r="S62" s="18" t="str">
        <f>$AO$4</f>
        <v>ORTHO_BOTH</v>
      </c>
      <c r="T62" s="24" t="str">
        <f>$AO$4</f>
        <v>ORTHO_BOTH</v>
      </c>
      <c r="U62" s="24" t="str">
        <f>$AO$2</f>
        <v>EMPTY</v>
      </c>
      <c r="V62" s="21" t="str">
        <f>$AO$2</f>
        <v>EMPTY</v>
      </c>
      <c r="X62" s="31" t="b">
        <f t="shared" si="5"/>
        <v>0</v>
      </c>
      <c r="Y62" s="31" t="b">
        <f t="shared" si="6"/>
        <v>1</v>
      </c>
      <c r="Z62" t="b">
        <f t="shared" si="7"/>
        <v>1</v>
      </c>
      <c r="AA62" t="b">
        <f t="shared" si="8"/>
        <v>1</v>
      </c>
      <c r="AB62" t="b">
        <f t="shared" si="9"/>
        <v>0</v>
      </c>
      <c r="AC62" t="b">
        <f t="shared" si="10"/>
        <v>0</v>
      </c>
      <c r="AD62" t="b">
        <f t="shared" si="11"/>
        <v>0</v>
      </c>
      <c r="AE62" t="b">
        <f t="shared" si="12"/>
        <v>0</v>
      </c>
      <c r="AF62" t="b">
        <f t="shared" si="13"/>
        <v>1</v>
      </c>
      <c r="AG62" t="b">
        <f t="shared" si="14"/>
        <v>1</v>
      </c>
      <c r="AH62" t="b">
        <f t="shared" si="15"/>
        <v>1</v>
      </c>
      <c r="AI62" t="b">
        <f t="shared" si="16"/>
        <v>1</v>
      </c>
      <c r="AJ62" t="b">
        <f t="shared" si="17"/>
        <v>1</v>
      </c>
      <c r="AK62" t="b">
        <f t="shared" si="18"/>
        <v>1</v>
      </c>
      <c r="AL62" t="b">
        <f t="shared" si="19"/>
        <v>1</v>
      </c>
      <c r="AM62" t="b">
        <f t="shared" si="20"/>
        <v>1</v>
      </c>
      <c r="AV62" s="59" t="str">
        <f t="shared" si="31"/>
        <v xml:space="preserve">    { wxString::FromUTF8("\x5C"), &amp;AllGlyphs[92], &amp;AllGlyphs[60], &amp;AllGlyphs[60], &amp;AllGlyphs[60], Connection::ORTHO_BOTH, Connection::ORTHO_BOTH, Connection::EMPTY, Connection::EMPTY, 0, 1, 1, 1 },</v>
      </c>
      <c r="AW62" s="60"/>
      <c r="AX62" s="60"/>
      <c r="AY62" s="60"/>
      <c r="AZ62" s="60"/>
      <c r="BA62" s="60"/>
      <c r="BB62" s="60"/>
      <c r="BC62" s="61"/>
      <c r="BE62" s="54" t="str">
        <f t="shared" si="22"/>
        <v>&amp;AllGlyphs[92]</v>
      </c>
      <c r="BF62" s="54" t="str">
        <f t="shared" si="23"/>
        <v>&amp;AllGlyphs[60]</v>
      </c>
      <c r="BG62" s="54" t="str">
        <f t="shared" si="24"/>
        <v>&amp;AllGlyphs[60]</v>
      </c>
      <c r="BH62" s="54" t="str">
        <f t="shared" si="25"/>
        <v>&amp;AllGlyphs[60]</v>
      </c>
      <c r="BJ62" s="58">
        <f t="shared" si="26"/>
        <v>0</v>
      </c>
      <c r="BK62" s="58">
        <f t="shared" si="27"/>
        <v>1</v>
      </c>
      <c r="BL62" s="58">
        <f t="shared" si="28"/>
        <v>1</v>
      </c>
      <c r="BM62" s="58">
        <f t="shared" si="29"/>
        <v>1</v>
      </c>
    </row>
    <row r="63" spans="1:65" x14ac:dyDescent="0.4">
      <c r="A63" s="7" t="s">
        <v>72</v>
      </c>
      <c r="B63" s="9" t="str">
        <f t="shared" si="0"/>
        <v>]</v>
      </c>
      <c r="C63" s="48" cm="1">
        <f t="array" ref="C63">IF($N63,INDEX($O:$O,MATCH(TRUE,EXACT(B63,$A:$A),0)),"")</f>
        <v>61</v>
      </c>
      <c r="D63" s="39" t="s">
        <v>79</v>
      </c>
      <c r="E63" s="48" cm="1">
        <f t="array" ref="E63">IF($N63,INDEX($O:$O,MATCH(TRUE,EXACT(D63,$A:$A),0)),"")</f>
        <v>29</v>
      </c>
      <c r="F63" s="39" t="s">
        <v>71</v>
      </c>
      <c r="G63" s="48" cm="1">
        <f t="array" ref="G63">IF($O63&lt;&gt;"",INDEX($O:$O,MATCH(TRUE,EXACT(F63,$A:$A),0)),"")</f>
        <v>59</v>
      </c>
      <c r="H63" s="39" t="s">
        <v>72</v>
      </c>
      <c r="I63" s="48" cm="1">
        <f t="array" ref="I63">IF($N63,INDEX($O:$O,MATCH(TRUE,EXACT(H63,$A:$A),0)),"")</f>
        <v>61</v>
      </c>
      <c r="J63" s="39" t="s">
        <v>71</v>
      </c>
      <c r="K63" s="52" cm="1">
        <f t="array" ref="K63">IF($N63,INDEX($O:$O,MATCH(TRUE,EXACT(J63,$A:$A),0)),"")</f>
        <v>59</v>
      </c>
      <c r="L63" s="46"/>
      <c r="M63" s="34"/>
      <c r="N63" s="18" t="b">
        <f t="shared" si="3"/>
        <v>1</v>
      </c>
      <c r="O63" s="19">
        <f>IF(N63, MAX(O$2:O62)+1,"")</f>
        <v>61</v>
      </c>
      <c r="P63" s="23" t="str">
        <f t="shared" si="1"/>
        <v>]</v>
      </c>
      <c r="Q63" s="8" t="str" cm="1">
        <f t="array" ref="Q63">CharToUTF8(A63)</f>
        <v>\x5D</v>
      </c>
      <c r="S63" s="18" t="str">
        <f>$AO$2</f>
        <v>EMPTY</v>
      </c>
      <c r="T63" s="24" t="str">
        <f>$AO$2</f>
        <v>EMPTY</v>
      </c>
      <c r="U63" s="24" t="str">
        <f>$AO$4</f>
        <v>ORTHO_BOTH</v>
      </c>
      <c r="V63" s="21" t="str">
        <f>$AO$3</f>
        <v>DIAG_BOTH</v>
      </c>
      <c r="X63" s="31" t="b">
        <f t="shared" si="5"/>
        <v>0</v>
      </c>
      <c r="Y63" s="31" t="b">
        <f t="shared" si="6"/>
        <v>0</v>
      </c>
      <c r="Z63" t="b">
        <f t="shared" si="7"/>
        <v>1</v>
      </c>
      <c r="AA63" t="b">
        <f t="shared" si="8"/>
        <v>0</v>
      </c>
      <c r="AB63" t="b">
        <f t="shared" si="9"/>
        <v>0</v>
      </c>
      <c r="AC63" t="b">
        <f t="shared" si="10"/>
        <v>0</v>
      </c>
      <c r="AD63" t="b">
        <f t="shared" si="11"/>
        <v>0</v>
      </c>
      <c r="AE63" t="b">
        <f t="shared" si="12"/>
        <v>0</v>
      </c>
      <c r="AF63" t="b">
        <f t="shared" si="13"/>
        <v>1</v>
      </c>
      <c r="AG63" t="b">
        <f t="shared" si="14"/>
        <v>1</v>
      </c>
      <c r="AH63" t="b">
        <f t="shared" si="15"/>
        <v>1</v>
      </c>
      <c r="AI63" t="b">
        <f t="shared" si="16"/>
        <v>1</v>
      </c>
      <c r="AJ63" t="b">
        <f t="shared" si="17"/>
        <v>1</v>
      </c>
      <c r="AK63" t="b">
        <f t="shared" si="18"/>
        <v>1</v>
      </c>
      <c r="AL63" t="b">
        <f t="shared" si="19"/>
        <v>1</v>
      </c>
      <c r="AM63" t="b">
        <f t="shared" si="20"/>
        <v>1</v>
      </c>
      <c r="AV63" s="59" t="str">
        <f t="shared" si="31"/>
        <v xml:space="preserve">    { wxString::FromUTF8("\x5D"), &amp;AllGlyphs[29], &amp;AllGlyphs[59], &amp;AllGlyphs[61], &amp;AllGlyphs[59], Connection::EMPTY, Connection::EMPTY, Connection::ORTHO_BOTH, Connection::DIAG_BOTH, 0, 0, 1, 0 },</v>
      </c>
      <c r="AW63" s="60"/>
      <c r="AX63" s="60"/>
      <c r="AY63" s="60"/>
      <c r="AZ63" s="60"/>
      <c r="BA63" s="60"/>
      <c r="BB63" s="60"/>
      <c r="BC63" s="61"/>
      <c r="BE63" s="54" t="str">
        <f t="shared" si="22"/>
        <v>&amp;AllGlyphs[29]</v>
      </c>
      <c r="BF63" s="54" t="str">
        <f t="shared" si="23"/>
        <v>&amp;AllGlyphs[59]</v>
      </c>
      <c r="BG63" s="54" t="str">
        <f t="shared" si="24"/>
        <v>&amp;AllGlyphs[61]</v>
      </c>
      <c r="BH63" s="54" t="str">
        <f t="shared" si="25"/>
        <v>&amp;AllGlyphs[59]</v>
      </c>
      <c r="BJ63" s="58">
        <f t="shared" si="26"/>
        <v>0</v>
      </c>
      <c r="BK63" s="58">
        <f t="shared" si="27"/>
        <v>0</v>
      </c>
      <c r="BL63" s="58">
        <f t="shared" si="28"/>
        <v>1</v>
      </c>
      <c r="BM63" s="58">
        <f t="shared" si="29"/>
        <v>0</v>
      </c>
    </row>
    <row r="64" spans="1:65" x14ac:dyDescent="0.4">
      <c r="A64" s="7" t="s">
        <v>57</v>
      </c>
      <c r="B64" s="6" t="str">
        <f t="shared" si="0"/>
        <v>^</v>
      </c>
      <c r="C64" s="48" cm="1">
        <f t="array" ref="C64">IF($N64,INDEX($O:$O,MATCH(TRUE,EXACT(B64,$A:$A),0)),"")</f>
        <v>62</v>
      </c>
      <c r="D64" s="38" t="s">
        <v>50</v>
      </c>
      <c r="E64" s="48" cm="1">
        <f t="array" ref="E64">IF($N64,INDEX($O:$O,MATCH(TRUE,EXACT(D64,$A:$A),0)),"")</f>
        <v>46</v>
      </c>
      <c r="F64" s="38" t="s">
        <v>31</v>
      </c>
      <c r="G64" s="48" cm="1">
        <f t="array" ref="G64">IF($O64&lt;&gt;"",INDEX($O:$O,MATCH(TRUE,EXACT(F64,$A:$A),0)),"")</f>
        <v>57</v>
      </c>
      <c r="H64" s="38" t="s">
        <v>31</v>
      </c>
      <c r="I64" s="48" cm="1">
        <f t="array" ref="I64">IF($N64,INDEX($O:$O,MATCH(TRUE,EXACT(H64,$A:$A),0)),"")</f>
        <v>57</v>
      </c>
      <c r="J64" s="38" t="s">
        <v>57</v>
      </c>
      <c r="K64" s="52" cm="1">
        <f t="array" ref="K64">IF($N64,INDEX($O:$O,MATCH(TRUE,EXACT(J64,$A:$A),0)),"")</f>
        <v>62</v>
      </c>
      <c r="L64" s="23"/>
      <c r="M64" s="33"/>
      <c r="N64" s="18" t="b">
        <f t="shared" si="3"/>
        <v>1</v>
      </c>
      <c r="O64" s="19">
        <f>IF(N64, MAX(O$2:O63)+1,"")</f>
        <v>62</v>
      </c>
      <c r="P64" s="23" t="str">
        <f t="shared" si="1"/>
        <v>^</v>
      </c>
      <c r="Q64" s="8" t="str" cm="1">
        <f t="array" ref="Q64">CharToUTF8(A64)</f>
        <v>\x5E</v>
      </c>
      <c r="S64" s="18" t="str">
        <f>$AO$4</f>
        <v>ORTHO_BOTH</v>
      </c>
      <c r="T64" s="24" t="str">
        <f>$AO$3</f>
        <v>DIAG_BOTH</v>
      </c>
      <c r="U64" s="24" t="str">
        <f>$AO$4</f>
        <v>ORTHO_BOTH</v>
      </c>
      <c r="V64" s="21" t="str">
        <f>$AO$4</f>
        <v>ORTHO_BOTH</v>
      </c>
      <c r="X64" s="31" t="b">
        <f t="shared" si="5"/>
        <v>0</v>
      </c>
      <c r="Y64" s="31" t="b">
        <f t="shared" si="6"/>
        <v>0</v>
      </c>
      <c r="Z64" t="b">
        <f t="shared" si="7"/>
        <v>0</v>
      </c>
      <c r="AA64" t="b">
        <f t="shared" si="8"/>
        <v>1</v>
      </c>
      <c r="AB64" t="b">
        <f t="shared" si="9"/>
        <v>1</v>
      </c>
      <c r="AC64" t="b">
        <f t="shared" si="10"/>
        <v>0</v>
      </c>
      <c r="AD64" t="b">
        <f t="shared" si="11"/>
        <v>1</v>
      </c>
      <c r="AE64" t="b">
        <f t="shared" si="12"/>
        <v>0</v>
      </c>
      <c r="AF64" t="b">
        <f t="shared" si="13"/>
        <v>1</v>
      </c>
      <c r="AG64" t="b">
        <f t="shared" si="14"/>
        <v>1</v>
      </c>
      <c r="AH64" t="b">
        <f t="shared" si="15"/>
        <v>1</v>
      </c>
      <c r="AI64" t="b">
        <f t="shared" si="16"/>
        <v>1</v>
      </c>
      <c r="AJ64" t="b">
        <f t="shared" si="17"/>
        <v>1</v>
      </c>
      <c r="AK64" t="b">
        <f t="shared" si="18"/>
        <v>1</v>
      </c>
      <c r="AL64" t="b">
        <f t="shared" si="19"/>
        <v>1</v>
      </c>
      <c r="AM64" t="b">
        <f t="shared" si="20"/>
        <v>1</v>
      </c>
      <c r="AV64" s="59" t="str">
        <f t="shared" si="31"/>
        <v xml:space="preserve">    { wxString::FromUTF8("\x5E"), &amp;AllGlyphs[46], &amp;AllGlyphs[57], &amp;AllGlyphs[57], &amp;AllGlyphs[62], Connection::ORTHO_BOTH, Connection::DIAG_BOTH, Connection::ORTHO_BOTH, Connection::ORTHO_BOTH, 0, 0, 0, 1 },</v>
      </c>
      <c r="AW64" s="60"/>
      <c r="AX64" s="60"/>
      <c r="AY64" s="60"/>
      <c r="AZ64" s="60"/>
      <c r="BA64" s="60"/>
      <c r="BB64" s="60"/>
      <c r="BC64" s="61"/>
      <c r="BE64" s="54" t="str">
        <f t="shared" si="22"/>
        <v>&amp;AllGlyphs[46]</v>
      </c>
      <c r="BF64" s="54" t="str">
        <f t="shared" si="23"/>
        <v>&amp;AllGlyphs[57]</v>
      </c>
      <c r="BG64" s="54" t="str">
        <f t="shared" si="24"/>
        <v>&amp;AllGlyphs[57]</v>
      </c>
      <c r="BH64" s="54" t="str">
        <f t="shared" si="25"/>
        <v>&amp;AllGlyphs[62]</v>
      </c>
      <c r="BJ64" s="58">
        <f t="shared" si="26"/>
        <v>0</v>
      </c>
      <c r="BK64" s="58">
        <f t="shared" si="27"/>
        <v>0</v>
      </c>
      <c r="BL64" s="58">
        <f t="shared" si="28"/>
        <v>0</v>
      </c>
      <c r="BM64" s="58">
        <f t="shared" si="29"/>
        <v>1</v>
      </c>
    </row>
    <row r="65" spans="1:65" x14ac:dyDescent="0.4">
      <c r="A65" s="7" t="s">
        <v>75</v>
      </c>
      <c r="B65" s="6" t="str">
        <f t="shared" si="0"/>
        <v>_</v>
      </c>
      <c r="C65" s="48" cm="1">
        <f t="array" ref="C65">IF($N65,INDEX($O:$O,MATCH(TRUE,EXACT(B65,$A:$A),0)),"")</f>
        <v>63</v>
      </c>
      <c r="D65" s="38" t="s">
        <v>70</v>
      </c>
      <c r="E65" s="48" cm="1">
        <f t="array" ref="E65">IF($N65,INDEX($O:$O,MATCH(TRUE,EXACT(D65,$A:$A),0)),"")</f>
        <v>11</v>
      </c>
      <c r="F65" s="38" t="s">
        <v>77</v>
      </c>
      <c r="G65" s="48" cm="1">
        <f t="array" ref="G65">IF($O65&lt;&gt;"",INDEX($O:$O,MATCH(TRUE,EXACT(F65,$A:$A),0)),"")</f>
        <v>93</v>
      </c>
      <c r="H65" s="38" t="s">
        <v>76</v>
      </c>
      <c r="I65" s="48" cm="1">
        <f t="array" ref="I65">IF($N65,INDEX($O:$O,MATCH(TRUE,EXACT(H65,$A:$A),0)),"")</f>
        <v>91</v>
      </c>
      <c r="J65" s="38" t="s">
        <v>70</v>
      </c>
      <c r="K65" s="52" cm="1">
        <f t="array" ref="K65">IF($N65,INDEX($O:$O,MATCH(TRUE,EXACT(J65,$A:$A),0)),"")</f>
        <v>11</v>
      </c>
      <c r="L65" s="23"/>
      <c r="M65" s="33"/>
      <c r="N65" s="18" t="b">
        <f t="shared" si="3"/>
        <v>1</v>
      </c>
      <c r="O65" s="19">
        <f>IF(N65, MAX(O$2:O64)+1,"")</f>
        <v>63</v>
      </c>
      <c r="P65" s="23" t="str">
        <f t="shared" si="1"/>
        <v>_</v>
      </c>
      <c r="Q65" s="8" t="str" cm="1">
        <f t="array" ref="Q65">CharToUTF8(A65)</f>
        <v>\x5F</v>
      </c>
      <c r="S65" s="18" t="str">
        <f t="shared" ref="S65:S70" si="34">$AO$3</f>
        <v>DIAG_BOTH</v>
      </c>
      <c r="T65" s="24" t="str">
        <f>$AO$4</f>
        <v>ORTHO_BOTH</v>
      </c>
      <c r="U65" s="24" t="str">
        <f>$AO$3</f>
        <v>DIAG_BOTH</v>
      </c>
      <c r="V65" s="21" t="str">
        <f>$AO$4</f>
        <v>ORTHO_BOTH</v>
      </c>
      <c r="X65" s="31" t="b">
        <f t="shared" si="5"/>
        <v>0</v>
      </c>
      <c r="Y65" s="31" t="b">
        <f t="shared" si="6"/>
        <v>0</v>
      </c>
      <c r="Z65" t="b">
        <f t="shared" si="7"/>
        <v>0</v>
      </c>
      <c r="AA65" t="b">
        <f t="shared" si="8"/>
        <v>0</v>
      </c>
      <c r="AB65" t="b">
        <f t="shared" si="9"/>
        <v>0</v>
      </c>
      <c r="AC65" t="b">
        <f t="shared" si="10"/>
        <v>0</v>
      </c>
      <c r="AD65" t="b">
        <f t="shared" si="11"/>
        <v>1</v>
      </c>
      <c r="AE65" t="b">
        <f t="shared" si="12"/>
        <v>1</v>
      </c>
      <c r="AF65" t="b">
        <f t="shared" si="13"/>
        <v>1</v>
      </c>
      <c r="AG65" t="b">
        <f t="shared" si="14"/>
        <v>1</v>
      </c>
      <c r="AH65" t="b">
        <f t="shared" si="15"/>
        <v>1</v>
      </c>
      <c r="AI65" t="b">
        <f t="shared" si="16"/>
        <v>1</v>
      </c>
      <c r="AJ65" t="b">
        <f t="shared" si="17"/>
        <v>1</v>
      </c>
      <c r="AK65" t="b">
        <f t="shared" si="18"/>
        <v>1</v>
      </c>
      <c r="AL65" t="b">
        <f t="shared" si="19"/>
        <v>1</v>
      </c>
      <c r="AM65" t="b">
        <f t="shared" si="20"/>
        <v>1</v>
      </c>
      <c r="AV65" s="59" t="str">
        <f t="shared" si="31"/>
        <v xml:space="preserve">    { wxString::FromUTF8("\x5F"), &amp;AllGlyphs[11], &amp;AllGlyphs[93], &amp;AllGlyphs[91], &amp;AllGlyphs[11], Connection::DIAG_BOTH, Connection::ORTHO_BOTH, Connection::DIAG_BOTH, Connection::ORTHO_BOTH, 0, 0, 0, 0 },</v>
      </c>
      <c r="AW65" s="60"/>
      <c r="AX65" s="60"/>
      <c r="AY65" s="60"/>
      <c r="AZ65" s="60"/>
      <c r="BA65" s="60"/>
      <c r="BB65" s="60"/>
      <c r="BC65" s="61"/>
      <c r="BE65" s="54" t="str">
        <f t="shared" si="22"/>
        <v>&amp;AllGlyphs[11]</v>
      </c>
      <c r="BF65" s="54" t="str">
        <f t="shared" si="23"/>
        <v>&amp;AllGlyphs[93]</v>
      </c>
      <c r="BG65" s="54" t="str">
        <f t="shared" si="24"/>
        <v>&amp;AllGlyphs[91]</v>
      </c>
      <c r="BH65" s="54" t="str">
        <f t="shared" si="25"/>
        <v>&amp;AllGlyphs[11]</v>
      </c>
      <c r="BJ65" s="58">
        <f t="shared" si="26"/>
        <v>0</v>
      </c>
      <c r="BK65" s="58">
        <f t="shared" si="27"/>
        <v>0</v>
      </c>
      <c r="BL65" s="58">
        <f t="shared" si="28"/>
        <v>0</v>
      </c>
      <c r="BM65" s="58">
        <f t="shared" si="29"/>
        <v>0</v>
      </c>
    </row>
    <row r="66" spans="1:65" x14ac:dyDescent="0.4">
      <c r="A66" s="7" t="s">
        <v>168</v>
      </c>
      <c r="B66" s="6" t="str">
        <f t="shared" ref="B66:B129" si="35">A66</f>
        <v>`</v>
      </c>
      <c r="C66" s="48" cm="1">
        <f t="array" ref="C66">IF($N66,INDEX($O:$O,MATCH(TRUE,EXACT(B66,$A:$A),0)),"")</f>
        <v>64</v>
      </c>
      <c r="D66" s="38">
        <v>1</v>
      </c>
      <c r="E66" s="48" cm="1">
        <f t="array" ref="E66">IF($N66,INDEX($O:$O,MATCH(TRUE,EXACT(D66,$A:$A),0)),"")</f>
        <v>17</v>
      </c>
      <c r="F66" s="38" t="s">
        <v>168</v>
      </c>
      <c r="G66" s="48" cm="1">
        <f t="array" ref="G66">IF($O66&lt;&gt;"",INDEX($O:$O,MATCH(TRUE,EXACT(F66,$A:$A),0)),"")</f>
        <v>64</v>
      </c>
      <c r="H66" s="38" t="s">
        <v>168</v>
      </c>
      <c r="I66" s="48" cm="1">
        <f t="array" ref="I66">IF($N66,INDEX($O:$O,MATCH(TRUE,EXACT(H66,$A:$A),0)),"")</f>
        <v>64</v>
      </c>
      <c r="J66" s="38" t="s">
        <v>168</v>
      </c>
      <c r="K66" s="52" cm="1">
        <f t="array" ref="K66">IF($N66,INDEX($O:$O,MATCH(TRUE,EXACT(J66,$A:$A),0)),"")</f>
        <v>64</v>
      </c>
      <c r="L66" s="23"/>
      <c r="M66" s="33"/>
      <c r="N66" s="18" t="b">
        <f t="shared" si="3"/>
        <v>1</v>
      </c>
      <c r="O66" s="19">
        <f>IF(N66, MAX(O$2:O65)+1,"")</f>
        <v>64</v>
      </c>
      <c r="P66" s="23" t="str">
        <f t="shared" ref="P66:P129" si="36">A66</f>
        <v>`</v>
      </c>
      <c r="Q66" s="8" t="str" cm="1">
        <f t="array" ref="Q66">CharToUTF8(A66)</f>
        <v>\x60</v>
      </c>
      <c r="S66" s="18" t="str">
        <f t="shared" si="34"/>
        <v>DIAG_BOTH</v>
      </c>
      <c r="T66" s="24" t="str">
        <f>$AO$3</f>
        <v>DIAG_BOTH</v>
      </c>
      <c r="U66" s="24" t="str">
        <f>$AO$2</f>
        <v>EMPTY</v>
      </c>
      <c r="V66" s="21" t="str">
        <f>$AO$2</f>
        <v>EMPTY</v>
      </c>
      <c r="X66" s="31" t="b">
        <f t="shared" si="5"/>
        <v>0</v>
      </c>
      <c r="Y66" s="31" t="b">
        <f t="shared" si="6"/>
        <v>1</v>
      </c>
      <c r="Z66" t="b">
        <f t="shared" si="7"/>
        <v>1</v>
      </c>
      <c r="AA66" t="b">
        <f t="shared" si="8"/>
        <v>1</v>
      </c>
      <c r="AB66" t="b">
        <f t="shared" si="9"/>
        <v>0</v>
      </c>
      <c r="AC66" t="b">
        <f t="shared" si="10"/>
        <v>0</v>
      </c>
      <c r="AD66" t="b">
        <f t="shared" si="11"/>
        <v>0</v>
      </c>
      <c r="AE66" t="b">
        <f t="shared" si="12"/>
        <v>0</v>
      </c>
      <c r="AF66" t="b">
        <f t="shared" si="13"/>
        <v>1</v>
      </c>
      <c r="AG66" t="b">
        <f t="shared" si="14"/>
        <v>1</v>
      </c>
      <c r="AH66" t="b">
        <f t="shared" si="15"/>
        <v>1</v>
      </c>
      <c r="AI66" t="b">
        <f t="shared" si="16"/>
        <v>1</v>
      </c>
      <c r="AJ66" t="b">
        <f t="shared" si="17"/>
        <v>1</v>
      </c>
      <c r="AK66" t="b">
        <f t="shared" si="18"/>
        <v>1</v>
      </c>
      <c r="AL66" t="b">
        <f t="shared" si="19"/>
        <v>1</v>
      </c>
      <c r="AM66" t="b">
        <f t="shared" si="20"/>
        <v>1</v>
      </c>
      <c r="AV66" s="59" t="str">
        <f t="shared" si="31"/>
        <v xml:space="preserve">    { wxString::FromUTF8("\x60"), &amp;AllGlyphs[17], &amp;AllGlyphs[64], &amp;AllGlyphs[64], &amp;AllGlyphs[64], Connection::DIAG_BOTH, Connection::DIAG_BOTH, Connection::EMPTY, Connection::EMPTY, 0, 1, 1, 1 },</v>
      </c>
      <c r="AW66" s="60"/>
      <c r="AX66" s="60"/>
      <c r="AY66" s="60"/>
      <c r="AZ66" s="60"/>
      <c r="BA66" s="60"/>
      <c r="BB66" s="60"/>
      <c r="BC66" s="61"/>
      <c r="BE66" s="54" t="str">
        <f t="shared" si="22"/>
        <v>&amp;AllGlyphs[17]</v>
      </c>
      <c r="BF66" s="54" t="str">
        <f t="shared" si="23"/>
        <v>&amp;AllGlyphs[64]</v>
      </c>
      <c r="BG66" s="54" t="str">
        <f t="shared" si="24"/>
        <v>&amp;AllGlyphs[64]</v>
      </c>
      <c r="BH66" s="54" t="str">
        <f t="shared" si="25"/>
        <v>&amp;AllGlyphs[64]</v>
      </c>
      <c r="BJ66" s="58">
        <f t="shared" si="26"/>
        <v>0</v>
      </c>
      <c r="BK66" s="58">
        <f t="shared" si="27"/>
        <v>1</v>
      </c>
      <c r="BL66" s="58">
        <f t="shared" si="28"/>
        <v>1</v>
      </c>
      <c r="BM66" s="58">
        <f t="shared" si="29"/>
        <v>1</v>
      </c>
    </row>
    <row r="67" spans="1:65" x14ac:dyDescent="0.4">
      <c r="A67" s="7" t="s">
        <v>10</v>
      </c>
      <c r="B67" s="6" t="str">
        <f t="shared" si="35"/>
        <v>a</v>
      </c>
      <c r="C67" s="48" cm="1">
        <f t="array" ref="C67">IF($N67,INDEX($O:$O,MATCH(TRUE,EXACT(B67,$A:$A),0)),"")</f>
        <v>65</v>
      </c>
      <c r="D67" s="38" t="s">
        <v>1</v>
      </c>
      <c r="E67" s="48" cm="1">
        <f t="array" ref="E67">IF($N67,INDEX($O:$O,MATCH(TRUE,EXACT(D67,$A:$A),0)),"")</f>
        <v>87</v>
      </c>
      <c r="F67" s="38" t="s">
        <v>12</v>
      </c>
      <c r="G67" s="48" cm="1">
        <f t="array" ref="G67">IF($O67&lt;&gt;"",INDEX($O:$O,MATCH(TRUE,EXACT(F67,$A:$A),0)),"")</f>
        <v>68</v>
      </c>
      <c r="H67" s="38" t="s">
        <v>10</v>
      </c>
      <c r="I67" s="48" cm="1">
        <f t="array" ref="I67">IF($N67,INDEX($O:$O,MATCH(TRUE,EXACT(H67,$A:$A),0)),"")</f>
        <v>65</v>
      </c>
      <c r="J67" s="38" t="s">
        <v>12</v>
      </c>
      <c r="K67" s="52" cm="1">
        <f t="array" ref="K67">IF($N67,INDEX($O:$O,MATCH(TRUE,EXACT(J67,$A:$A),0)),"")</f>
        <v>68</v>
      </c>
      <c r="L67" s="23"/>
      <c r="M67" s="33"/>
      <c r="N67" s="18" t="b">
        <f t="shared" ref="N67:N130" si="37">AND(B67&lt;&gt;"", D67&lt;&gt;"", F67&lt;&gt;"", J67&lt;&gt;"", H67&lt;&gt;"")</f>
        <v>1</v>
      </c>
      <c r="O67" s="19">
        <f>IF(N67, MAX(O$2:O66)+1,"")</f>
        <v>65</v>
      </c>
      <c r="P67" s="23" t="str">
        <f t="shared" si="36"/>
        <v>a</v>
      </c>
      <c r="Q67" s="8" t="str" cm="1">
        <f t="array" ref="Q67">CharToUTF8(A67)</f>
        <v>\x61</v>
      </c>
      <c r="S67" s="18" t="str">
        <f t="shared" si="34"/>
        <v>DIAG_BOTH</v>
      </c>
      <c r="T67" s="24" t="str">
        <f>$AO$3</f>
        <v>DIAG_BOTH</v>
      </c>
      <c r="U67" s="24" t="str">
        <f>$AO$2</f>
        <v>EMPTY</v>
      </c>
      <c r="V67" s="21" t="str">
        <f>$AO$3</f>
        <v>DIAG_BOTH</v>
      </c>
      <c r="X67" s="31" t="b">
        <f t="shared" ref="X67:X130" si="38">IF($N67,C67=E67,"")</f>
        <v>0</v>
      </c>
      <c r="Y67" s="31" t="b">
        <f t="shared" ref="Y67:Y130" si="39">IF($N67,C67=G67,"")</f>
        <v>0</v>
      </c>
      <c r="Z67" t="b">
        <f t="shared" ref="Z67:Z130" si="40">IF($N67,C67=I67,"")</f>
        <v>1</v>
      </c>
      <c r="AA67" t="b">
        <f t="shared" ref="AA67:AA130" si="41">IF($N67,C67=K67,"")</f>
        <v>0</v>
      </c>
      <c r="AB67" t="b">
        <f t="shared" ref="AB67:AB130" si="42">IF($N67,S67=VLOOKUP(V67,$AO$2:$AT$10,3,FALSE),"")</f>
        <v>1</v>
      </c>
      <c r="AC67" t="b">
        <f t="shared" ref="AC67:AC130" si="43">IF($N67,T67=VLOOKUP(U67,$AO$2:$AT$10,3,FALSE),"")</f>
        <v>0</v>
      </c>
      <c r="AD67" t="b">
        <f t="shared" ref="AD67:AD130" si="44">IF($N67,U67=VLOOKUP(S67,$AO$2:$AT$10,3,FALSE),"")</f>
        <v>0</v>
      </c>
      <c r="AE67" t="b">
        <f t="shared" ref="AE67:AE130" si="45">IF($N67,V67=VLOOKUP(T67,$AO$2:$AT$10,3,FALSE),"")</f>
        <v>1</v>
      </c>
      <c r="AF67" t="b">
        <f t="shared" ref="AF67:AF130" si="46">IF($N67,S67=VLOOKUP(S67,$AO$2:$AT$10,4,FALSE),"")</f>
        <v>1</v>
      </c>
      <c r="AG67" t="b">
        <f t="shared" ref="AG67:AG130" si="47">IF($N67,T67=VLOOKUP(T67,$AO$2:$AT$10,4,FALSE),"")</f>
        <v>1</v>
      </c>
      <c r="AH67" t="b">
        <f t="shared" ref="AH67:AH130" si="48">IF($N67,U67=VLOOKUP(U67,$AO$2:$AT$10,4,FALSE),"")</f>
        <v>1</v>
      </c>
      <c r="AI67" t="b">
        <f t="shared" ref="AI67:AI130" si="49">IF($N67,V67=VLOOKUP(V67,$AO$2:$AT$10,4,FALSE),"")</f>
        <v>1</v>
      </c>
      <c r="AJ67" t="b">
        <f t="shared" ref="AJ67:AJ130" si="50">IF($N67,S67=VLOOKUP(S67,$AO$2:$AT$10,5,FALSE),"")</f>
        <v>1</v>
      </c>
      <c r="AK67" t="b">
        <f t="shared" ref="AK67:AK130" si="51">IF($N67,T67=VLOOKUP(T67,$AO$2:$AT$10,5,FALSE),"")</f>
        <v>1</v>
      </c>
      <c r="AL67" t="b">
        <f t="shared" ref="AL67:AL130" si="52">IF($N67,U67=VLOOKUP(U67,$AO$2:$AT$10,6,FALSE),"")</f>
        <v>1</v>
      </c>
      <c r="AM67" t="b">
        <f t="shared" ref="AM67:AM130" si="53">IF($N67,V67=VLOOKUP(V67,$AO$2:$AT$10,6,FALSE),"")</f>
        <v>1</v>
      </c>
      <c r="AV67" s="59" t="str">
        <f t="shared" si="31"/>
        <v xml:space="preserve">    { wxString::FromUTF8("\x61"), &amp;AllGlyphs[87], &amp;AllGlyphs[68], &amp;AllGlyphs[65], &amp;AllGlyphs[68], Connection::DIAG_BOTH, Connection::DIAG_BOTH, Connection::EMPTY, Connection::DIAG_BOTH, 0, 0, 1, 0 },</v>
      </c>
      <c r="AW67" s="60"/>
      <c r="AX67" s="60"/>
      <c r="AY67" s="60"/>
      <c r="AZ67" s="60"/>
      <c r="BA67" s="60"/>
      <c r="BB67" s="60"/>
      <c r="BC67" s="61"/>
      <c r="BE67" s="54" t="str">
        <f t="shared" ref="BE67:BE130" si="54">IF($N67,"&amp;AllGlyphs[" &amp; E67 &amp; "]","")</f>
        <v>&amp;AllGlyphs[87]</v>
      </c>
      <c r="BF67" s="54" t="str">
        <f t="shared" ref="BF67:BF130" si="55">IF($N67,"&amp;AllGlyphs[" &amp; G67 &amp; "]","")</f>
        <v>&amp;AllGlyphs[68]</v>
      </c>
      <c r="BG67" s="54" t="str">
        <f t="shared" ref="BG67:BG130" si="56">IF($N67,"&amp;AllGlyphs[" &amp; I67 &amp; "]","")</f>
        <v>&amp;AllGlyphs[65]</v>
      </c>
      <c r="BH67" s="54" t="str">
        <f t="shared" ref="BH67:BH130" si="57">IF($N67,"&amp;AllGlyphs[" &amp; K67 &amp; "]","")</f>
        <v>&amp;AllGlyphs[68]</v>
      </c>
      <c r="BJ67" s="58">
        <f t="shared" ref="BJ67:BJ130" si="58">IF($N67,IF(X67,1,0),"")</f>
        <v>0</v>
      </c>
      <c r="BK67" s="58">
        <f t="shared" ref="BK67:BK130" si="59">IF($N67,IF(Y67,1,0),"")</f>
        <v>0</v>
      </c>
      <c r="BL67" s="58">
        <f t="shared" ref="BL67:BL130" si="60">IF($N67,IF(Z67,1,0),"")</f>
        <v>1</v>
      </c>
      <c r="BM67" s="58">
        <f t="shared" ref="BM67:BM130" si="61">IF($N67,IF(AA67,1,0),"")</f>
        <v>0</v>
      </c>
    </row>
    <row r="68" spans="1:65" x14ac:dyDescent="0.4">
      <c r="A68" s="7" t="s">
        <v>23</v>
      </c>
      <c r="B68" s="6" t="str">
        <f t="shared" si="35"/>
        <v>b</v>
      </c>
      <c r="C68" s="48" cm="1">
        <f t="array" ref="C68">IF($N68,INDEX($O:$O,MATCH(TRUE,EXACT(B68,$A:$A),0)),"")</f>
        <v>66</v>
      </c>
      <c r="D68" s="38">
        <v>6</v>
      </c>
      <c r="E68" s="48" cm="1">
        <f t="array" ref="E68">IF($N68,INDEX($O:$O,MATCH(TRUE,EXACT(D68,$A:$A),0)),"")</f>
        <v>22</v>
      </c>
      <c r="F68" s="38" t="s">
        <v>24</v>
      </c>
      <c r="G68" s="48" cm="1">
        <f t="array" ref="G68">IF($O68&lt;&gt;"",INDEX($O:$O,MATCH(TRUE,EXACT(F68,$A:$A),0)),"")</f>
        <v>78</v>
      </c>
      <c r="H68" s="38" t="s">
        <v>23</v>
      </c>
      <c r="I68" s="48" cm="1">
        <f t="array" ref="I68">IF($N68,INDEX($O:$O,MATCH(TRUE,EXACT(H68,$A:$A),0)),"")</f>
        <v>66</v>
      </c>
      <c r="J68" s="38" t="s">
        <v>24</v>
      </c>
      <c r="K68" s="52" cm="1">
        <f t="array" ref="K68">IF($N68,INDEX($O:$O,MATCH(TRUE,EXACT(J68,$A:$A),0)),"")</f>
        <v>78</v>
      </c>
      <c r="L68" s="23"/>
      <c r="M68" s="33"/>
      <c r="N68" s="18" t="b">
        <f t="shared" si="37"/>
        <v>1</v>
      </c>
      <c r="O68" s="19">
        <f>IF(N68, MAX(O$2:O67)+1,"")</f>
        <v>66</v>
      </c>
      <c r="P68" s="23" t="str">
        <f t="shared" si="36"/>
        <v>b</v>
      </c>
      <c r="Q68" s="8" t="str" cm="1">
        <f t="array" ref="Q68">CharToUTF8(A68)</f>
        <v>\x62</v>
      </c>
      <c r="S68" s="18" t="str">
        <f t="shared" si="34"/>
        <v>DIAG_BOTH</v>
      </c>
      <c r="T68" s="24" t="str">
        <f>$AO$3</f>
        <v>DIAG_BOTH</v>
      </c>
      <c r="U68" s="24" t="str">
        <f>$AO$2</f>
        <v>EMPTY</v>
      </c>
      <c r="V68" s="21" t="str">
        <f>$AO$4</f>
        <v>ORTHO_BOTH</v>
      </c>
      <c r="X68" s="31" t="b">
        <f t="shared" si="38"/>
        <v>0</v>
      </c>
      <c r="Y68" s="31" t="b">
        <f t="shared" si="39"/>
        <v>0</v>
      </c>
      <c r="Z68" t="b">
        <f t="shared" si="40"/>
        <v>1</v>
      </c>
      <c r="AA68" t="b">
        <f t="shared" si="41"/>
        <v>0</v>
      </c>
      <c r="AB68" t="b">
        <f t="shared" si="42"/>
        <v>0</v>
      </c>
      <c r="AC68" t="b">
        <f t="shared" si="43"/>
        <v>0</v>
      </c>
      <c r="AD68" t="b">
        <f t="shared" si="44"/>
        <v>0</v>
      </c>
      <c r="AE68" t="b">
        <f t="shared" si="45"/>
        <v>0</v>
      </c>
      <c r="AF68" t="b">
        <f t="shared" si="46"/>
        <v>1</v>
      </c>
      <c r="AG68" t="b">
        <f t="shared" si="47"/>
        <v>1</v>
      </c>
      <c r="AH68" t="b">
        <f t="shared" si="48"/>
        <v>1</v>
      </c>
      <c r="AI68" t="b">
        <f t="shared" si="49"/>
        <v>1</v>
      </c>
      <c r="AJ68" t="b">
        <f t="shared" si="50"/>
        <v>1</v>
      </c>
      <c r="AK68" t="b">
        <f t="shared" si="51"/>
        <v>1</v>
      </c>
      <c r="AL68" t="b">
        <f t="shared" si="52"/>
        <v>1</v>
      </c>
      <c r="AM68" t="b">
        <f t="shared" si="53"/>
        <v>1</v>
      </c>
      <c r="AV68" s="59" t="str">
        <f t="shared" si="31"/>
        <v xml:space="preserve">    { wxString::FromUTF8("\x62"), &amp;AllGlyphs[22], &amp;AllGlyphs[78], &amp;AllGlyphs[66], &amp;AllGlyphs[78], Connection::DIAG_BOTH, Connection::DIAG_BOTH, Connection::EMPTY, Connection::ORTHO_BOTH, 0, 0, 1, 0 },</v>
      </c>
      <c r="AW68" s="60"/>
      <c r="AX68" s="60"/>
      <c r="AY68" s="60"/>
      <c r="AZ68" s="60"/>
      <c r="BA68" s="60"/>
      <c r="BB68" s="60"/>
      <c r="BC68" s="61"/>
      <c r="BE68" s="54" t="str">
        <f t="shared" si="54"/>
        <v>&amp;AllGlyphs[22]</v>
      </c>
      <c r="BF68" s="54" t="str">
        <f t="shared" si="55"/>
        <v>&amp;AllGlyphs[78]</v>
      </c>
      <c r="BG68" s="54" t="str">
        <f t="shared" si="56"/>
        <v>&amp;AllGlyphs[66]</v>
      </c>
      <c r="BH68" s="54" t="str">
        <f t="shared" si="57"/>
        <v>&amp;AllGlyphs[78]</v>
      </c>
      <c r="BJ68" s="58">
        <f t="shared" si="58"/>
        <v>0</v>
      </c>
      <c r="BK68" s="58">
        <f t="shared" si="59"/>
        <v>0</v>
      </c>
      <c r="BL68" s="58">
        <f t="shared" si="60"/>
        <v>1</v>
      </c>
      <c r="BM68" s="58">
        <f t="shared" si="61"/>
        <v>0</v>
      </c>
    </row>
    <row r="69" spans="1:65" x14ac:dyDescent="0.4">
      <c r="A69" s="7" t="s">
        <v>21</v>
      </c>
      <c r="B69" s="6" t="str">
        <f t="shared" si="35"/>
        <v>c</v>
      </c>
      <c r="C69" s="48" cm="1">
        <f t="array" ref="C69">IF($N69,INDEX($O:$O,MATCH(TRUE,EXACT(B69,$A:$A),0)),"")</f>
        <v>67</v>
      </c>
      <c r="D69" s="38" t="s">
        <v>19</v>
      </c>
      <c r="E69" s="48" cm="1">
        <f t="array" ref="E69">IF($N69,INDEX($O:$O,MATCH(TRUE,EXACT(D69,$A:$A),0)),"")</f>
        <v>90</v>
      </c>
      <c r="F69" s="38" t="s">
        <v>0</v>
      </c>
      <c r="G69" s="48" cm="1">
        <f t="array" ref="G69">IF($O69&lt;&gt;"",INDEX($O:$O,MATCH(TRUE,EXACT(F69,$A:$A),0)),"")</f>
        <v>81</v>
      </c>
      <c r="H69" s="38" t="s">
        <v>2</v>
      </c>
      <c r="I69" s="48" cm="1">
        <f t="array" ref="I69">IF($N69,INDEX($O:$O,MATCH(TRUE,EXACT(H69,$A:$A),0)),"")</f>
        <v>69</v>
      </c>
      <c r="J69" s="38" t="s">
        <v>19</v>
      </c>
      <c r="K69" s="52" cm="1">
        <f t="array" ref="K69">IF($N69,INDEX($O:$O,MATCH(TRUE,EXACT(J69,$A:$A),0)),"")</f>
        <v>90</v>
      </c>
      <c r="L69" s="23"/>
      <c r="M69" s="33"/>
      <c r="N69" s="18" t="b">
        <f t="shared" si="37"/>
        <v>1</v>
      </c>
      <c r="O69" s="19">
        <f>IF(N69, MAX(O$2:O68)+1,"")</f>
        <v>67</v>
      </c>
      <c r="P69" s="23" t="str">
        <f t="shared" si="36"/>
        <v>c</v>
      </c>
      <c r="Q69" s="8" t="str" cm="1">
        <f t="array" ref="Q69">CharToUTF8(A69)</f>
        <v>\x63</v>
      </c>
      <c r="S69" s="18" t="str">
        <f t="shared" si="34"/>
        <v>DIAG_BOTH</v>
      </c>
      <c r="T69" s="24" t="str">
        <f>$AO$2</f>
        <v>EMPTY</v>
      </c>
      <c r="U69" s="24" t="str">
        <f>$AO$3</f>
        <v>DIAG_BOTH</v>
      </c>
      <c r="V69" s="21" t="str">
        <f>$AO$2</f>
        <v>EMPTY</v>
      </c>
      <c r="X69" s="31" t="b">
        <f t="shared" si="38"/>
        <v>0</v>
      </c>
      <c r="Y69" s="31" t="b">
        <f t="shared" si="39"/>
        <v>0</v>
      </c>
      <c r="Z69" t="b">
        <f t="shared" si="40"/>
        <v>0</v>
      </c>
      <c r="AA69" t="b">
        <f t="shared" si="41"/>
        <v>0</v>
      </c>
      <c r="AB69" t="b">
        <f t="shared" si="42"/>
        <v>0</v>
      </c>
      <c r="AC69" t="b">
        <f t="shared" si="43"/>
        <v>0</v>
      </c>
      <c r="AD69" t="b">
        <f t="shared" si="44"/>
        <v>1</v>
      </c>
      <c r="AE69" t="b">
        <f t="shared" si="45"/>
        <v>1</v>
      </c>
      <c r="AF69" t="b">
        <f t="shared" si="46"/>
        <v>1</v>
      </c>
      <c r="AG69" t="b">
        <f t="shared" si="47"/>
        <v>1</v>
      </c>
      <c r="AH69" t="b">
        <f t="shared" si="48"/>
        <v>1</v>
      </c>
      <c r="AI69" t="b">
        <f t="shared" si="49"/>
        <v>1</v>
      </c>
      <c r="AJ69" t="b">
        <f t="shared" si="50"/>
        <v>1</v>
      </c>
      <c r="AK69" t="b">
        <f t="shared" si="51"/>
        <v>1</v>
      </c>
      <c r="AL69" t="b">
        <f t="shared" si="52"/>
        <v>1</v>
      </c>
      <c r="AM69" t="b">
        <f t="shared" si="53"/>
        <v>1</v>
      </c>
      <c r="AV69" s="59" t="str">
        <f t="shared" si="31"/>
        <v xml:space="preserve">    { wxString::FromUTF8("\x63"), &amp;AllGlyphs[90], &amp;AllGlyphs[81], &amp;AllGlyphs[69], &amp;AllGlyphs[90], Connection::DIAG_BOTH, Connection::EMPTY, Connection::DIAG_BOTH, Connection::EMPTY, 0, 0, 0, 0 },</v>
      </c>
      <c r="AW69" s="60"/>
      <c r="AX69" s="60"/>
      <c r="AY69" s="60"/>
      <c r="AZ69" s="60"/>
      <c r="BA69" s="60"/>
      <c r="BB69" s="60"/>
      <c r="BC69" s="61"/>
      <c r="BE69" s="54" t="str">
        <f t="shared" si="54"/>
        <v>&amp;AllGlyphs[90]</v>
      </c>
      <c r="BF69" s="54" t="str">
        <f t="shared" si="55"/>
        <v>&amp;AllGlyphs[81]</v>
      </c>
      <c r="BG69" s="54" t="str">
        <f t="shared" si="56"/>
        <v>&amp;AllGlyphs[69]</v>
      </c>
      <c r="BH69" s="54" t="str">
        <f t="shared" si="57"/>
        <v>&amp;AllGlyphs[90]</v>
      </c>
      <c r="BJ69" s="58">
        <f t="shared" si="58"/>
        <v>0</v>
      </c>
      <c r="BK69" s="58">
        <f t="shared" si="59"/>
        <v>0</v>
      </c>
      <c r="BL69" s="58">
        <f t="shared" si="60"/>
        <v>0</v>
      </c>
      <c r="BM69" s="58">
        <f t="shared" si="61"/>
        <v>0</v>
      </c>
    </row>
    <row r="70" spans="1:65" x14ac:dyDescent="0.4">
      <c r="A70" s="7" t="s">
        <v>12</v>
      </c>
      <c r="B70" s="6" t="str">
        <f t="shared" si="35"/>
        <v>d</v>
      </c>
      <c r="C70" s="48" cm="1">
        <f t="array" ref="C70">IF($N70,INDEX($O:$O,MATCH(TRUE,EXACT(B70,$A:$A),0)),"")</f>
        <v>68</v>
      </c>
      <c r="D70" s="38" t="s">
        <v>20</v>
      </c>
      <c r="E70" s="48" cm="1">
        <f t="array" ref="E70">IF($N70,INDEX($O:$O,MATCH(TRUE,EXACT(D70,$A:$A),0)),"")</f>
        <v>88</v>
      </c>
      <c r="F70" s="38" t="s">
        <v>10</v>
      </c>
      <c r="G70" s="48" cm="1">
        <f t="array" ref="G70">IF($O70&lt;&gt;"",INDEX($O:$O,MATCH(TRUE,EXACT(F70,$A:$A),0)),"")</f>
        <v>65</v>
      </c>
      <c r="H70" s="38" t="s">
        <v>12</v>
      </c>
      <c r="I70" s="48" cm="1">
        <f t="array" ref="I70">IF($N70,INDEX($O:$O,MATCH(TRUE,EXACT(H70,$A:$A),0)),"")</f>
        <v>68</v>
      </c>
      <c r="J70" s="38" t="s">
        <v>10</v>
      </c>
      <c r="K70" s="52" cm="1">
        <f t="array" ref="K70">IF($N70,INDEX($O:$O,MATCH(TRUE,EXACT(J70,$A:$A),0)),"")</f>
        <v>65</v>
      </c>
      <c r="L70" s="23"/>
      <c r="M70" s="33"/>
      <c r="N70" s="18" t="b">
        <f t="shared" si="37"/>
        <v>1</v>
      </c>
      <c r="O70" s="19">
        <f>IF(N70, MAX(O$2:O69)+1,"")</f>
        <v>68</v>
      </c>
      <c r="P70" s="23" t="str">
        <f t="shared" si="36"/>
        <v>d</v>
      </c>
      <c r="Q70" s="8" t="str" cm="1">
        <f t="array" ref="Q70">CharToUTF8(A70)</f>
        <v>\x64</v>
      </c>
      <c r="S70" s="18" t="str">
        <f t="shared" si="34"/>
        <v>DIAG_BOTH</v>
      </c>
      <c r="T70" s="24" t="str">
        <f>$AO$3</f>
        <v>DIAG_BOTH</v>
      </c>
      <c r="U70" s="24" t="str">
        <f>$AO$3</f>
        <v>DIAG_BOTH</v>
      </c>
      <c r="V70" s="21" t="str">
        <f>$AO$2</f>
        <v>EMPTY</v>
      </c>
      <c r="X70" s="31" t="b">
        <f t="shared" si="38"/>
        <v>0</v>
      </c>
      <c r="Y70" s="31" t="b">
        <f t="shared" si="39"/>
        <v>0</v>
      </c>
      <c r="Z70" t="b">
        <f t="shared" si="40"/>
        <v>1</v>
      </c>
      <c r="AA70" t="b">
        <f t="shared" si="41"/>
        <v>0</v>
      </c>
      <c r="AB70" t="b">
        <f t="shared" si="42"/>
        <v>0</v>
      </c>
      <c r="AC70" t="b">
        <f t="shared" si="43"/>
        <v>1</v>
      </c>
      <c r="AD70" t="b">
        <f t="shared" si="44"/>
        <v>1</v>
      </c>
      <c r="AE70" t="b">
        <f t="shared" si="45"/>
        <v>0</v>
      </c>
      <c r="AF70" t="b">
        <f t="shared" si="46"/>
        <v>1</v>
      </c>
      <c r="AG70" t="b">
        <f t="shared" si="47"/>
        <v>1</v>
      </c>
      <c r="AH70" t="b">
        <f t="shared" si="48"/>
        <v>1</v>
      </c>
      <c r="AI70" t="b">
        <f t="shared" si="49"/>
        <v>1</v>
      </c>
      <c r="AJ70" t="b">
        <f t="shared" si="50"/>
        <v>1</v>
      </c>
      <c r="AK70" t="b">
        <f t="shared" si="51"/>
        <v>1</v>
      </c>
      <c r="AL70" t="b">
        <f t="shared" si="52"/>
        <v>1</v>
      </c>
      <c r="AM70" t="b">
        <f t="shared" si="53"/>
        <v>1</v>
      </c>
      <c r="AV70" s="59" t="str">
        <f t="shared" si="31"/>
        <v xml:space="preserve">    { wxString::FromUTF8("\x64"), &amp;AllGlyphs[88], &amp;AllGlyphs[65], &amp;AllGlyphs[68], &amp;AllGlyphs[65], Connection::DIAG_BOTH, Connection::DIAG_BOTH, Connection::DIAG_BOTH, Connection::EMPTY, 0, 0, 1, 0 },</v>
      </c>
      <c r="AW70" s="60"/>
      <c r="AX70" s="60"/>
      <c r="AY70" s="60"/>
      <c r="AZ70" s="60"/>
      <c r="BA70" s="60"/>
      <c r="BB70" s="60"/>
      <c r="BC70" s="61"/>
      <c r="BE70" s="54" t="str">
        <f t="shared" si="54"/>
        <v>&amp;AllGlyphs[88]</v>
      </c>
      <c r="BF70" s="54" t="str">
        <f t="shared" si="55"/>
        <v>&amp;AllGlyphs[65]</v>
      </c>
      <c r="BG70" s="54" t="str">
        <f t="shared" si="56"/>
        <v>&amp;AllGlyphs[68]</v>
      </c>
      <c r="BH70" s="54" t="str">
        <f t="shared" si="57"/>
        <v>&amp;AllGlyphs[65]</v>
      </c>
      <c r="BJ70" s="58">
        <f t="shared" si="58"/>
        <v>0</v>
      </c>
      <c r="BK70" s="58">
        <f t="shared" si="59"/>
        <v>0</v>
      </c>
      <c r="BL70" s="58">
        <f t="shared" si="60"/>
        <v>1</v>
      </c>
      <c r="BM70" s="58">
        <f t="shared" si="61"/>
        <v>0</v>
      </c>
    </row>
    <row r="71" spans="1:65" x14ac:dyDescent="0.4">
      <c r="A71" s="7" t="s">
        <v>2</v>
      </c>
      <c r="B71" s="6" t="str">
        <f t="shared" si="35"/>
        <v>e</v>
      </c>
      <c r="C71" s="48" cm="1">
        <f t="array" ref="C71">IF($N71,INDEX($O:$O,MATCH(TRUE,EXACT(B71,$A:$A),0)),"")</f>
        <v>69</v>
      </c>
      <c r="D71" s="38" t="s">
        <v>21</v>
      </c>
      <c r="E71" s="48" cm="1">
        <f t="array" ref="E71">IF($N71,INDEX($O:$O,MATCH(TRUE,EXACT(D71,$A:$A),0)),"")</f>
        <v>67</v>
      </c>
      <c r="F71" s="38" t="s">
        <v>19</v>
      </c>
      <c r="G71" s="48" cm="1">
        <f t="array" ref="G71">IF($O71&lt;&gt;"",INDEX($O:$O,MATCH(TRUE,EXACT(F71,$A:$A),0)),"")</f>
        <v>90</v>
      </c>
      <c r="H71" s="38" t="s">
        <v>21</v>
      </c>
      <c r="I71" s="48" cm="1">
        <f t="array" ref="I71">IF($N71,INDEX($O:$O,MATCH(TRUE,EXACT(H71,$A:$A),0)),"")</f>
        <v>67</v>
      </c>
      <c r="J71" s="38" t="s">
        <v>0</v>
      </c>
      <c r="K71" s="52" cm="1">
        <f t="array" ref="K71">IF($N71,INDEX($O:$O,MATCH(TRUE,EXACT(J71,$A:$A),0)),"")</f>
        <v>81</v>
      </c>
      <c r="L71" s="23"/>
      <c r="M71" s="33"/>
      <c r="N71" s="18" t="b">
        <f t="shared" si="37"/>
        <v>1</v>
      </c>
      <c r="O71" s="19">
        <f>IF(N71, MAX(O$2:O70)+1,"")</f>
        <v>69</v>
      </c>
      <c r="P71" s="23" t="str">
        <f t="shared" si="36"/>
        <v>e</v>
      </c>
      <c r="Q71" s="8" t="str" cm="1">
        <f t="array" ref="Q71">CharToUTF8(A71)</f>
        <v>\x65</v>
      </c>
      <c r="S71" s="18" t="str">
        <f>$AO$2</f>
        <v>EMPTY</v>
      </c>
      <c r="T71" s="24" t="str">
        <f>$AO$3</f>
        <v>DIAG_BOTH</v>
      </c>
      <c r="U71" s="24" t="str">
        <f>$AO$3</f>
        <v>DIAG_BOTH</v>
      </c>
      <c r="V71" s="21" t="str">
        <f>$AO$2</f>
        <v>EMPTY</v>
      </c>
      <c r="X71" s="31" t="b">
        <f t="shared" si="38"/>
        <v>0</v>
      </c>
      <c r="Y71" s="31" t="b">
        <f t="shared" si="39"/>
        <v>0</v>
      </c>
      <c r="Z71" t="b">
        <f t="shared" si="40"/>
        <v>0</v>
      </c>
      <c r="AA71" t="b">
        <f t="shared" si="41"/>
        <v>0</v>
      </c>
      <c r="AB71" t="b">
        <f t="shared" si="42"/>
        <v>1</v>
      </c>
      <c r="AC71" t="b">
        <f t="shared" si="43"/>
        <v>1</v>
      </c>
      <c r="AD71" t="b">
        <f t="shared" si="44"/>
        <v>0</v>
      </c>
      <c r="AE71" t="b">
        <f t="shared" si="45"/>
        <v>0</v>
      </c>
      <c r="AF71" t="b">
        <f t="shared" si="46"/>
        <v>1</v>
      </c>
      <c r="AG71" t="b">
        <f t="shared" si="47"/>
        <v>1</v>
      </c>
      <c r="AH71" t="b">
        <f t="shared" si="48"/>
        <v>1</v>
      </c>
      <c r="AI71" t="b">
        <f t="shared" si="49"/>
        <v>1</v>
      </c>
      <c r="AJ71" t="b">
        <f t="shared" si="50"/>
        <v>1</v>
      </c>
      <c r="AK71" t="b">
        <f t="shared" si="51"/>
        <v>1</v>
      </c>
      <c r="AL71" t="b">
        <f t="shared" si="52"/>
        <v>1</v>
      </c>
      <c r="AM71" t="b">
        <f t="shared" si="53"/>
        <v>1</v>
      </c>
      <c r="AV71" s="59" t="str">
        <f t="shared" si="31"/>
        <v xml:space="preserve">    { wxString::FromUTF8("\x65"), &amp;AllGlyphs[67], &amp;AllGlyphs[90], &amp;AllGlyphs[67], &amp;AllGlyphs[81], Connection::EMPTY, Connection::DIAG_BOTH, Connection::DIAG_BOTH, Connection::EMPTY, 0, 0, 0, 0 },</v>
      </c>
      <c r="AW71" s="60"/>
      <c r="AX71" s="60"/>
      <c r="AY71" s="60"/>
      <c r="AZ71" s="60"/>
      <c r="BA71" s="60"/>
      <c r="BB71" s="60"/>
      <c r="BC71" s="61"/>
      <c r="BE71" s="54" t="str">
        <f t="shared" si="54"/>
        <v>&amp;AllGlyphs[67]</v>
      </c>
      <c r="BF71" s="54" t="str">
        <f t="shared" si="55"/>
        <v>&amp;AllGlyphs[90]</v>
      </c>
      <c r="BG71" s="54" t="str">
        <f t="shared" si="56"/>
        <v>&amp;AllGlyphs[67]</v>
      </c>
      <c r="BH71" s="54" t="str">
        <f t="shared" si="57"/>
        <v>&amp;AllGlyphs[81]</v>
      </c>
      <c r="BJ71" s="58">
        <f t="shared" si="58"/>
        <v>0</v>
      </c>
      <c r="BK71" s="58">
        <f t="shared" si="59"/>
        <v>0</v>
      </c>
      <c r="BL71" s="58">
        <f t="shared" si="60"/>
        <v>0</v>
      </c>
      <c r="BM71" s="58">
        <f t="shared" si="61"/>
        <v>0</v>
      </c>
    </row>
    <row r="72" spans="1:65" x14ac:dyDescent="0.4">
      <c r="A72" s="7" t="s">
        <v>13</v>
      </c>
      <c r="B72" s="6" t="str">
        <f t="shared" si="35"/>
        <v>f</v>
      </c>
      <c r="C72" s="48" cm="1">
        <f t="array" ref="C72">IF($N72,INDEX($O:$O,MATCH(TRUE,EXACT(B72,$A:$A),0)),"")</f>
        <v>70</v>
      </c>
      <c r="D72" s="38">
        <v>4</v>
      </c>
      <c r="E72" s="48" cm="1">
        <f t="array" ref="E72">IF($N72,INDEX($O:$O,MATCH(TRUE,EXACT(D72,$A:$A),0)),"")</f>
        <v>20</v>
      </c>
      <c r="F72" s="38" t="s">
        <v>22</v>
      </c>
      <c r="G72" s="48" cm="1">
        <f t="array" ref="G72">IF($O72&lt;&gt;"",INDEX($O:$O,MATCH(TRUE,EXACT(F72,$A:$A),0)),"")</f>
        <v>86</v>
      </c>
      <c r="H72" s="38" t="s">
        <v>13</v>
      </c>
      <c r="I72" s="48" cm="1">
        <f t="array" ref="I72">IF($N72,INDEX($O:$O,MATCH(TRUE,EXACT(H72,$A:$A),0)),"")</f>
        <v>70</v>
      </c>
      <c r="J72" s="38" t="s">
        <v>22</v>
      </c>
      <c r="K72" s="52" cm="1">
        <f t="array" ref="K72">IF($N72,INDEX($O:$O,MATCH(TRUE,EXACT(J72,$A:$A),0)),"")</f>
        <v>86</v>
      </c>
      <c r="L72" s="23"/>
      <c r="M72" s="33"/>
      <c r="N72" s="18" t="b">
        <f t="shared" si="37"/>
        <v>1</v>
      </c>
      <c r="O72" s="19">
        <f>IF(N72, MAX(O$2:O71)+1,"")</f>
        <v>70</v>
      </c>
      <c r="P72" s="23" t="str">
        <f t="shared" si="36"/>
        <v>f</v>
      </c>
      <c r="Q72" s="8" t="str" cm="1">
        <f t="array" ref="Q72">CharToUTF8(A72)</f>
        <v>\x66</v>
      </c>
      <c r="S72" s="18" t="str">
        <f>$AO$2</f>
        <v>EMPTY</v>
      </c>
      <c r="T72" s="24" t="str">
        <f>$AO$2</f>
        <v>EMPTY</v>
      </c>
      <c r="U72" s="24" t="str">
        <f>$AO$2</f>
        <v>EMPTY</v>
      </c>
      <c r="V72" s="21" t="str">
        <f>$AO$3</f>
        <v>DIAG_BOTH</v>
      </c>
      <c r="X72" s="31" t="b">
        <f t="shared" si="38"/>
        <v>0</v>
      </c>
      <c r="Y72" s="31" t="b">
        <f t="shared" si="39"/>
        <v>0</v>
      </c>
      <c r="Z72" t="b">
        <f t="shared" si="40"/>
        <v>1</v>
      </c>
      <c r="AA72" t="b">
        <f t="shared" si="41"/>
        <v>0</v>
      </c>
      <c r="AB72" t="b">
        <f t="shared" si="42"/>
        <v>0</v>
      </c>
      <c r="AC72" t="b">
        <f t="shared" si="43"/>
        <v>1</v>
      </c>
      <c r="AD72" t="b">
        <f t="shared" si="44"/>
        <v>1</v>
      </c>
      <c r="AE72" t="b">
        <f t="shared" si="45"/>
        <v>0</v>
      </c>
      <c r="AF72" t="b">
        <f t="shared" si="46"/>
        <v>1</v>
      </c>
      <c r="AG72" t="b">
        <f t="shared" si="47"/>
        <v>1</v>
      </c>
      <c r="AH72" t="b">
        <f t="shared" si="48"/>
        <v>1</v>
      </c>
      <c r="AI72" t="b">
        <f t="shared" si="49"/>
        <v>1</v>
      </c>
      <c r="AJ72" t="b">
        <f t="shared" si="50"/>
        <v>1</v>
      </c>
      <c r="AK72" t="b">
        <f t="shared" si="51"/>
        <v>1</v>
      </c>
      <c r="AL72" t="b">
        <f t="shared" si="52"/>
        <v>1</v>
      </c>
      <c r="AM72" t="b">
        <f t="shared" si="53"/>
        <v>1</v>
      </c>
      <c r="AV72" s="59" t="str">
        <f t="shared" si="31"/>
        <v xml:space="preserve">    { wxString::FromUTF8("\x66"), &amp;AllGlyphs[20], &amp;AllGlyphs[86], &amp;AllGlyphs[70], &amp;AllGlyphs[86], Connection::EMPTY, Connection::EMPTY, Connection::EMPTY, Connection::DIAG_BOTH, 0, 0, 1, 0 },</v>
      </c>
      <c r="AW72" s="60"/>
      <c r="AX72" s="60"/>
      <c r="AY72" s="60"/>
      <c r="AZ72" s="60"/>
      <c r="BA72" s="60"/>
      <c r="BB72" s="60"/>
      <c r="BC72" s="61"/>
      <c r="BE72" s="54" t="str">
        <f t="shared" si="54"/>
        <v>&amp;AllGlyphs[20]</v>
      </c>
      <c r="BF72" s="54" t="str">
        <f t="shared" si="55"/>
        <v>&amp;AllGlyphs[86]</v>
      </c>
      <c r="BG72" s="54" t="str">
        <f t="shared" si="56"/>
        <v>&amp;AllGlyphs[70]</v>
      </c>
      <c r="BH72" s="54" t="str">
        <f t="shared" si="57"/>
        <v>&amp;AllGlyphs[86]</v>
      </c>
      <c r="BJ72" s="58">
        <f t="shared" si="58"/>
        <v>0</v>
      </c>
      <c r="BK72" s="58">
        <f t="shared" si="59"/>
        <v>0</v>
      </c>
      <c r="BL72" s="58">
        <f t="shared" si="60"/>
        <v>1</v>
      </c>
      <c r="BM72" s="58">
        <f t="shared" si="61"/>
        <v>0</v>
      </c>
    </row>
    <row r="73" spans="1:65" x14ac:dyDescent="0.4">
      <c r="A73" s="7" t="s">
        <v>14</v>
      </c>
      <c r="B73" s="6" t="str">
        <f t="shared" si="35"/>
        <v>g</v>
      </c>
      <c r="C73" s="48" cm="1">
        <f t="array" ref="C73">IF($N73,INDEX($O:$O,MATCH(TRUE,EXACT(B73,$A:$A),0)),"")</f>
        <v>71</v>
      </c>
      <c r="D73" s="38">
        <v>5</v>
      </c>
      <c r="E73" s="48" cm="1">
        <f t="array" ref="E73">IF($N73,INDEX($O:$O,MATCH(TRUE,EXACT(D73,$A:$A),0)),"")</f>
        <v>21</v>
      </c>
      <c r="F73" s="38" t="s">
        <v>15</v>
      </c>
      <c r="G73" s="48" cm="1">
        <f t="array" ref="G73">IF($O73&lt;&gt;"",INDEX($O:$O,MATCH(TRUE,EXACT(F73,$A:$A),0)),"")</f>
        <v>72</v>
      </c>
      <c r="H73" s="38" t="s">
        <v>14</v>
      </c>
      <c r="I73" s="48" cm="1">
        <f t="array" ref="I73">IF($N73,INDEX($O:$O,MATCH(TRUE,EXACT(H73,$A:$A),0)),"")</f>
        <v>71</v>
      </c>
      <c r="J73" s="38" t="s">
        <v>15</v>
      </c>
      <c r="K73" s="52" cm="1">
        <f t="array" ref="K73">IF($N73,INDEX($O:$O,MATCH(TRUE,EXACT(J73,$A:$A),0)),"")</f>
        <v>72</v>
      </c>
      <c r="L73" s="23"/>
      <c r="M73" s="33"/>
      <c r="N73" s="18" t="b">
        <f t="shared" si="37"/>
        <v>1</v>
      </c>
      <c r="O73" s="19">
        <f>IF(N73, MAX(O$2:O72)+1,"")</f>
        <v>71</v>
      </c>
      <c r="P73" s="23" t="str">
        <f t="shared" si="36"/>
        <v>g</v>
      </c>
      <c r="Q73" s="8" t="str" cm="1">
        <f t="array" ref="Q73">CharToUTF8(A73)</f>
        <v>\x67</v>
      </c>
      <c r="S73" s="18" t="str">
        <f>$AO$3</f>
        <v>DIAG_BOTH</v>
      </c>
      <c r="T73" s="24" t="str">
        <f>$AO$3</f>
        <v>DIAG_BOTH</v>
      </c>
      <c r="U73" s="24" t="str">
        <f>$AO$3</f>
        <v>DIAG_BOTH</v>
      </c>
      <c r="V73" s="21" t="str">
        <f>$AO$4</f>
        <v>ORTHO_BOTH</v>
      </c>
      <c r="X73" s="31" t="b">
        <f t="shared" si="38"/>
        <v>0</v>
      </c>
      <c r="Y73" s="31" t="b">
        <f t="shared" si="39"/>
        <v>0</v>
      </c>
      <c r="Z73" t="b">
        <f t="shared" si="40"/>
        <v>1</v>
      </c>
      <c r="AA73" t="b">
        <f t="shared" si="41"/>
        <v>0</v>
      </c>
      <c r="AB73" t="b">
        <f t="shared" si="42"/>
        <v>0</v>
      </c>
      <c r="AC73" t="b">
        <f t="shared" si="43"/>
        <v>1</v>
      </c>
      <c r="AD73" t="b">
        <f t="shared" si="44"/>
        <v>1</v>
      </c>
      <c r="AE73" t="b">
        <f t="shared" si="45"/>
        <v>0</v>
      </c>
      <c r="AF73" t="b">
        <f t="shared" si="46"/>
        <v>1</v>
      </c>
      <c r="AG73" t="b">
        <f t="shared" si="47"/>
        <v>1</v>
      </c>
      <c r="AH73" t="b">
        <f t="shared" si="48"/>
        <v>1</v>
      </c>
      <c r="AI73" t="b">
        <f t="shared" si="49"/>
        <v>1</v>
      </c>
      <c r="AJ73" t="b">
        <f t="shared" si="50"/>
        <v>1</v>
      </c>
      <c r="AK73" t="b">
        <f t="shared" si="51"/>
        <v>1</v>
      </c>
      <c r="AL73" t="b">
        <f t="shared" si="52"/>
        <v>1</v>
      </c>
      <c r="AM73" t="b">
        <f t="shared" si="53"/>
        <v>1</v>
      </c>
      <c r="AV73" s="59" t="str">
        <f t="shared" si="31"/>
        <v xml:space="preserve">    { wxString::FromUTF8("\x67"), &amp;AllGlyphs[21], &amp;AllGlyphs[72], &amp;AllGlyphs[71], &amp;AllGlyphs[72], Connection::DIAG_BOTH, Connection::DIAG_BOTH, Connection::DIAG_BOTH, Connection::ORTHO_BOTH, 0, 0, 1, 0 },</v>
      </c>
      <c r="AW73" s="60"/>
      <c r="AX73" s="60"/>
      <c r="AY73" s="60"/>
      <c r="AZ73" s="60"/>
      <c r="BA73" s="60"/>
      <c r="BB73" s="60"/>
      <c r="BC73" s="61"/>
      <c r="BE73" s="54" t="str">
        <f t="shared" si="54"/>
        <v>&amp;AllGlyphs[21]</v>
      </c>
      <c r="BF73" s="54" t="str">
        <f t="shared" si="55"/>
        <v>&amp;AllGlyphs[72]</v>
      </c>
      <c r="BG73" s="54" t="str">
        <f t="shared" si="56"/>
        <v>&amp;AllGlyphs[71]</v>
      </c>
      <c r="BH73" s="54" t="str">
        <f t="shared" si="57"/>
        <v>&amp;AllGlyphs[72]</v>
      </c>
      <c r="BJ73" s="58">
        <f t="shared" si="58"/>
        <v>0</v>
      </c>
      <c r="BK73" s="58">
        <f t="shared" si="59"/>
        <v>0</v>
      </c>
      <c r="BL73" s="58">
        <f t="shared" si="60"/>
        <v>1</v>
      </c>
      <c r="BM73" s="58">
        <f t="shared" si="61"/>
        <v>0</v>
      </c>
    </row>
    <row r="74" spans="1:65" x14ac:dyDescent="0.4">
      <c r="A74" s="7" t="s">
        <v>15</v>
      </c>
      <c r="B74" s="6" t="str">
        <f t="shared" si="35"/>
        <v>h</v>
      </c>
      <c r="C74" s="48" cm="1">
        <f t="array" ref="C74">IF($N74,INDEX($O:$O,MATCH(TRUE,EXACT(B74,$A:$A),0)),"")</f>
        <v>72</v>
      </c>
      <c r="D74" s="38" t="s">
        <v>4</v>
      </c>
      <c r="E74" s="48" cm="1">
        <f t="array" ref="E74">IF($N74,INDEX($O:$O,MATCH(TRUE,EXACT(D74,$A:$A),0)),"")</f>
        <v>84</v>
      </c>
      <c r="F74" s="38" t="s">
        <v>14</v>
      </c>
      <c r="G74" s="48" cm="1">
        <f t="array" ref="G74">IF($O74&lt;&gt;"",INDEX($O:$O,MATCH(TRUE,EXACT(F74,$A:$A),0)),"")</f>
        <v>71</v>
      </c>
      <c r="H74" s="38" t="s">
        <v>15</v>
      </c>
      <c r="I74" s="48" cm="1">
        <f t="array" ref="I74">IF($N74,INDEX($O:$O,MATCH(TRUE,EXACT(H74,$A:$A),0)),"")</f>
        <v>72</v>
      </c>
      <c r="J74" s="38" t="s">
        <v>14</v>
      </c>
      <c r="K74" s="52" cm="1">
        <f t="array" ref="K74">IF($N74,INDEX($O:$O,MATCH(TRUE,EXACT(J74,$A:$A),0)),"")</f>
        <v>71</v>
      </c>
      <c r="L74" s="23"/>
      <c r="M74" s="33"/>
      <c r="N74" s="18" t="b">
        <f t="shared" si="37"/>
        <v>1</v>
      </c>
      <c r="O74" s="19">
        <f>IF(N74, MAX(O$2:O73)+1,"")</f>
        <v>72</v>
      </c>
      <c r="P74" s="23" t="str">
        <f t="shared" si="36"/>
        <v>h</v>
      </c>
      <c r="Q74" s="8" t="str" cm="1">
        <f t="array" ref="Q74">CharToUTF8(A74)</f>
        <v>\x68</v>
      </c>
      <c r="S74" s="18" t="str">
        <f>$AO$3</f>
        <v>DIAG_BOTH</v>
      </c>
      <c r="T74" s="24" t="str">
        <f>$AO$3</f>
        <v>DIAG_BOTH</v>
      </c>
      <c r="U74" s="24" t="str">
        <f>$AO$4</f>
        <v>ORTHO_BOTH</v>
      </c>
      <c r="V74" s="21" t="str">
        <f>$AO$3</f>
        <v>DIAG_BOTH</v>
      </c>
      <c r="X74" s="31" t="b">
        <f t="shared" si="38"/>
        <v>0</v>
      </c>
      <c r="Y74" s="31" t="b">
        <f t="shared" si="39"/>
        <v>0</v>
      </c>
      <c r="Z74" t="b">
        <f t="shared" si="40"/>
        <v>1</v>
      </c>
      <c r="AA74" t="b">
        <f t="shared" si="41"/>
        <v>0</v>
      </c>
      <c r="AB74" t="b">
        <f t="shared" si="42"/>
        <v>1</v>
      </c>
      <c r="AC74" t="b">
        <f t="shared" si="43"/>
        <v>0</v>
      </c>
      <c r="AD74" t="b">
        <f t="shared" si="44"/>
        <v>0</v>
      </c>
      <c r="AE74" t="b">
        <f t="shared" si="45"/>
        <v>1</v>
      </c>
      <c r="AF74" t="b">
        <f t="shared" si="46"/>
        <v>1</v>
      </c>
      <c r="AG74" t="b">
        <f t="shared" si="47"/>
        <v>1</v>
      </c>
      <c r="AH74" t="b">
        <f t="shared" si="48"/>
        <v>1</v>
      </c>
      <c r="AI74" t="b">
        <f t="shared" si="49"/>
        <v>1</v>
      </c>
      <c r="AJ74" t="b">
        <f t="shared" si="50"/>
        <v>1</v>
      </c>
      <c r="AK74" t="b">
        <f t="shared" si="51"/>
        <v>1</v>
      </c>
      <c r="AL74" t="b">
        <f t="shared" si="52"/>
        <v>1</v>
      </c>
      <c r="AM74" t="b">
        <f t="shared" si="53"/>
        <v>1</v>
      </c>
      <c r="AV74" s="59" t="str">
        <f t="shared" si="31"/>
        <v xml:space="preserve">    { wxString::FromUTF8("\x68"), &amp;AllGlyphs[84], &amp;AllGlyphs[71], &amp;AllGlyphs[72], &amp;AllGlyphs[71], Connection::DIAG_BOTH, Connection::DIAG_BOTH, Connection::ORTHO_BOTH, Connection::DIAG_BOTH, 0, 0, 1, 0 },</v>
      </c>
      <c r="AW74" s="60"/>
      <c r="AX74" s="60"/>
      <c r="AY74" s="60"/>
      <c r="AZ74" s="60"/>
      <c r="BA74" s="60"/>
      <c r="BB74" s="60"/>
      <c r="BC74" s="61"/>
      <c r="BE74" s="54" t="str">
        <f t="shared" si="54"/>
        <v>&amp;AllGlyphs[84]</v>
      </c>
      <c r="BF74" s="54" t="str">
        <f t="shared" si="55"/>
        <v>&amp;AllGlyphs[71]</v>
      </c>
      <c r="BG74" s="54" t="str">
        <f t="shared" si="56"/>
        <v>&amp;AllGlyphs[72]</v>
      </c>
      <c r="BH74" s="54" t="str">
        <f t="shared" si="57"/>
        <v>&amp;AllGlyphs[71]</v>
      </c>
      <c r="BJ74" s="58">
        <f t="shared" si="58"/>
        <v>0</v>
      </c>
      <c r="BK74" s="58">
        <f t="shared" si="59"/>
        <v>0</v>
      </c>
      <c r="BL74" s="58">
        <f t="shared" si="60"/>
        <v>1</v>
      </c>
      <c r="BM74" s="58">
        <f t="shared" si="61"/>
        <v>0</v>
      </c>
    </row>
    <row r="75" spans="1:65" x14ac:dyDescent="0.4">
      <c r="A75" s="7" t="s">
        <v>7</v>
      </c>
      <c r="B75" s="6" t="str">
        <f t="shared" si="35"/>
        <v>i</v>
      </c>
      <c r="C75" s="48" cm="1">
        <f t="array" ref="C75">IF($N75,INDEX($O:$O,MATCH(TRUE,EXACT(B75,$A:$A),0)),"")</f>
        <v>73</v>
      </c>
      <c r="D75" s="38" t="s">
        <v>25</v>
      </c>
      <c r="E75" s="48" cm="1">
        <f t="array" ref="E75">IF($N75,INDEX($O:$O,MATCH(TRUE,EXACT(D75,$A:$A),0)),"")</f>
        <v>77</v>
      </c>
      <c r="F75" s="38">
        <v>7</v>
      </c>
      <c r="G75" s="48" cm="1">
        <f t="array" ref="G75">IF($O75&lt;&gt;"",INDEX($O:$O,MATCH(TRUE,EXACT(F75,$A:$A),0)),"")</f>
        <v>23</v>
      </c>
      <c r="H75" s="38">
        <v>8</v>
      </c>
      <c r="I75" s="48" cm="1">
        <f t="array" ref="I75">IF($N75,INDEX($O:$O,MATCH(TRUE,EXACT(H75,$A:$A),0)),"")</f>
        <v>24</v>
      </c>
      <c r="J75" s="38" t="s">
        <v>6</v>
      </c>
      <c r="K75" s="52" cm="1">
        <f t="array" ref="K75">IF($N75,INDEX($O:$O,MATCH(TRUE,EXACT(J75,$A:$A),0)),"")</f>
        <v>85</v>
      </c>
      <c r="L75" s="23"/>
      <c r="M75" s="33"/>
      <c r="N75" s="18" t="b">
        <f t="shared" si="37"/>
        <v>1</v>
      </c>
      <c r="O75" s="19">
        <f>IF(N75, MAX(O$2:O74)+1,"")</f>
        <v>73</v>
      </c>
      <c r="P75" s="23" t="str">
        <f t="shared" si="36"/>
        <v>i</v>
      </c>
      <c r="Q75" s="8" t="str" cm="1">
        <f t="array" ref="Q75">CharToUTF8(A75)</f>
        <v>\x69</v>
      </c>
      <c r="S75" s="18" t="str">
        <f>$AO$4</f>
        <v>ORTHO_BOTH</v>
      </c>
      <c r="T75" s="24" t="str">
        <f>$AO$3</f>
        <v>DIAG_BOTH</v>
      </c>
      <c r="U75" s="24" t="str">
        <f>$AO$3</f>
        <v>DIAG_BOTH</v>
      </c>
      <c r="V75" s="21" t="str">
        <f>$AO$2</f>
        <v>EMPTY</v>
      </c>
      <c r="X75" s="31" t="b">
        <f t="shared" si="38"/>
        <v>0</v>
      </c>
      <c r="Y75" s="31" t="b">
        <f t="shared" si="39"/>
        <v>0</v>
      </c>
      <c r="Z75" t="b">
        <f t="shared" si="40"/>
        <v>0</v>
      </c>
      <c r="AA75" t="b">
        <f t="shared" si="41"/>
        <v>0</v>
      </c>
      <c r="AB75" t="b">
        <f t="shared" si="42"/>
        <v>0</v>
      </c>
      <c r="AC75" t="b">
        <f t="shared" si="43"/>
        <v>1</v>
      </c>
      <c r="AD75" t="b">
        <f t="shared" si="44"/>
        <v>0</v>
      </c>
      <c r="AE75" t="b">
        <f t="shared" si="45"/>
        <v>0</v>
      </c>
      <c r="AF75" t="b">
        <f t="shared" si="46"/>
        <v>1</v>
      </c>
      <c r="AG75" t="b">
        <f t="shared" si="47"/>
        <v>1</v>
      </c>
      <c r="AH75" t="b">
        <f t="shared" si="48"/>
        <v>1</v>
      </c>
      <c r="AI75" t="b">
        <f t="shared" si="49"/>
        <v>1</v>
      </c>
      <c r="AJ75" t="b">
        <f t="shared" si="50"/>
        <v>1</v>
      </c>
      <c r="AK75" t="b">
        <f t="shared" si="51"/>
        <v>1</v>
      </c>
      <c r="AL75" t="b">
        <f t="shared" si="52"/>
        <v>1</v>
      </c>
      <c r="AM75" t="b">
        <f t="shared" si="53"/>
        <v>1</v>
      </c>
      <c r="AV75" s="59" t="str">
        <f t="shared" si="31"/>
        <v xml:space="preserve">    { wxString::FromUTF8("\x69"), &amp;AllGlyphs[77], &amp;AllGlyphs[23], &amp;AllGlyphs[24], &amp;AllGlyphs[85], Connection::ORTHO_BOTH, Connection::DIAG_BOTH, Connection::DIAG_BOTH, Connection::EMPTY, 0, 0, 0, 0 },</v>
      </c>
      <c r="AW75" s="60"/>
      <c r="AX75" s="60"/>
      <c r="AY75" s="60"/>
      <c r="AZ75" s="60"/>
      <c r="BA75" s="60"/>
      <c r="BB75" s="60"/>
      <c r="BC75" s="61"/>
      <c r="BE75" s="54" t="str">
        <f t="shared" si="54"/>
        <v>&amp;AllGlyphs[77]</v>
      </c>
      <c r="BF75" s="54" t="str">
        <f t="shared" si="55"/>
        <v>&amp;AllGlyphs[23]</v>
      </c>
      <c r="BG75" s="54" t="str">
        <f t="shared" si="56"/>
        <v>&amp;AllGlyphs[24]</v>
      </c>
      <c r="BH75" s="54" t="str">
        <f t="shared" si="57"/>
        <v>&amp;AllGlyphs[85]</v>
      </c>
      <c r="BJ75" s="58">
        <f t="shared" si="58"/>
        <v>0</v>
      </c>
      <c r="BK75" s="58">
        <f t="shared" si="59"/>
        <v>0</v>
      </c>
      <c r="BL75" s="58">
        <f t="shared" si="60"/>
        <v>0</v>
      </c>
      <c r="BM75" s="58">
        <f t="shared" si="61"/>
        <v>0</v>
      </c>
    </row>
    <row r="76" spans="1:65" x14ac:dyDescent="0.4">
      <c r="A76" s="7" t="s">
        <v>16</v>
      </c>
      <c r="B76" s="6" t="str">
        <f t="shared" si="35"/>
        <v>j</v>
      </c>
      <c r="C76" s="48" cm="1">
        <f t="array" ref="C76">IF($N76,INDEX($O:$O,MATCH(TRUE,EXACT(B76,$A:$A),0)),"")</f>
        <v>74</v>
      </c>
      <c r="D76" s="38">
        <v>8</v>
      </c>
      <c r="E76" s="48" cm="1">
        <f t="array" ref="E76">IF($N76,INDEX($O:$O,MATCH(TRUE,EXACT(D76,$A:$A),0)),"")</f>
        <v>24</v>
      </c>
      <c r="F76" s="38" t="s">
        <v>64</v>
      </c>
      <c r="G76" s="48" cm="1">
        <f t="array" ref="G76">IF($O76&lt;&gt;"",INDEX($O:$O,MATCH(TRUE,EXACT(F76,$A:$A),0)),"")</f>
        <v>12</v>
      </c>
      <c r="H76" s="38" t="s">
        <v>25</v>
      </c>
      <c r="I76" s="48" cm="1">
        <f t="array" ref="I76">IF($N76,INDEX($O:$O,MATCH(TRUE,EXACT(H76,$A:$A),0)),"")</f>
        <v>77</v>
      </c>
      <c r="J76" s="38" t="s">
        <v>17</v>
      </c>
      <c r="K76" s="52" cm="1">
        <f t="array" ref="K76">IF($N76,INDEX($O:$O,MATCH(TRUE,EXACT(J76,$A:$A),0)),"")</f>
        <v>75</v>
      </c>
      <c r="L76" s="23"/>
      <c r="M76" s="33"/>
      <c r="N76" s="18" t="b">
        <f t="shared" si="37"/>
        <v>1</v>
      </c>
      <c r="O76" s="19">
        <f>IF(N76, MAX(O$2:O75)+1,"")</f>
        <v>74</v>
      </c>
      <c r="P76" s="23" t="str">
        <f t="shared" si="36"/>
        <v>j</v>
      </c>
      <c r="Q76" s="8" t="str" cm="1">
        <f t="array" ref="Q76">CharToUTF8(A76)</f>
        <v>\x6A</v>
      </c>
      <c r="S76" s="18" t="str">
        <f>$AO$2</f>
        <v>EMPTY</v>
      </c>
      <c r="T76" s="24" t="str">
        <f>$AO$3</f>
        <v>DIAG_BOTH</v>
      </c>
      <c r="U76" s="24" t="str">
        <f>$AO$3</f>
        <v>DIAG_BOTH</v>
      </c>
      <c r="V76" s="21" t="str">
        <f>$AO$4</f>
        <v>ORTHO_BOTH</v>
      </c>
      <c r="X76" s="31" t="b">
        <f t="shared" si="38"/>
        <v>0</v>
      </c>
      <c r="Y76" s="31" t="b">
        <f t="shared" si="39"/>
        <v>0</v>
      </c>
      <c r="Z76" t="b">
        <f t="shared" si="40"/>
        <v>0</v>
      </c>
      <c r="AA76" t="b">
        <f t="shared" si="41"/>
        <v>0</v>
      </c>
      <c r="AB76" t="b">
        <f t="shared" si="42"/>
        <v>0</v>
      </c>
      <c r="AC76" t="b">
        <f t="shared" si="43"/>
        <v>1</v>
      </c>
      <c r="AD76" t="b">
        <f t="shared" si="44"/>
        <v>0</v>
      </c>
      <c r="AE76" t="b">
        <f t="shared" si="45"/>
        <v>0</v>
      </c>
      <c r="AF76" t="b">
        <f t="shared" si="46"/>
        <v>1</v>
      </c>
      <c r="AG76" t="b">
        <f t="shared" si="47"/>
        <v>1</v>
      </c>
      <c r="AH76" t="b">
        <f t="shared" si="48"/>
        <v>1</v>
      </c>
      <c r="AI76" t="b">
        <f t="shared" si="49"/>
        <v>1</v>
      </c>
      <c r="AJ76" t="b">
        <f t="shared" si="50"/>
        <v>1</v>
      </c>
      <c r="AK76" t="b">
        <f t="shared" si="51"/>
        <v>1</v>
      </c>
      <c r="AL76" t="b">
        <f t="shared" si="52"/>
        <v>1</v>
      </c>
      <c r="AM76" t="b">
        <f t="shared" si="53"/>
        <v>1</v>
      </c>
      <c r="AV76" s="59" t="str">
        <f t="shared" si="31"/>
        <v xml:space="preserve">    { wxString::FromUTF8("\x6A"), &amp;AllGlyphs[24], &amp;AllGlyphs[12], &amp;AllGlyphs[77], &amp;AllGlyphs[75], Connection::EMPTY, Connection::DIAG_BOTH, Connection::DIAG_BOTH, Connection::ORTHO_BOTH, 0, 0, 0, 0 },</v>
      </c>
      <c r="AW76" s="60"/>
      <c r="AX76" s="60"/>
      <c r="AY76" s="60"/>
      <c r="AZ76" s="60"/>
      <c r="BA76" s="60"/>
      <c r="BB76" s="60"/>
      <c r="BC76" s="61"/>
      <c r="BE76" s="54" t="str">
        <f t="shared" si="54"/>
        <v>&amp;AllGlyphs[24]</v>
      </c>
      <c r="BF76" s="54" t="str">
        <f t="shared" si="55"/>
        <v>&amp;AllGlyphs[12]</v>
      </c>
      <c r="BG76" s="54" t="str">
        <f t="shared" si="56"/>
        <v>&amp;AllGlyphs[77]</v>
      </c>
      <c r="BH76" s="54" t="str">
        <f t="shared" si="57"/>
        <v>&amp;AllGlyphs[75]</v>
      </c>
      <c r="BJ76" s="58">
        <f t="shared" si="58"/>
        <v>0</v>
      </c>
      <c r="BK76" s="58">
        <f t="shared" si="59"/>
        <v>0</v>
      </c>
      <c r="BL76" s="58">
        <f t="shared" si="60"/>
        <v>0</v>
      </c>
      <c r="BM76" s="58">
        <f t="shared" si="61"/>
        <v>0</v>
      </c>
    </row>
    <row r="77" spans="1:65" x14ac:dyDescent="0.4">
      <c r="A77" s="7" t="s">
        <v>17</v>
      </c>
      <c r="B77" s="6" t="str">
        <f t="shared" si="35"/>
        <v>k</v>
      </c>
      <c r="C77" s="48" cm="1">
        <f t="array" ref="C77">IF($N77,INDEX($O:$O,MATCH(TRUE,EXACT(B77,$A:$A),0)),"")</f>
        <v>75</v>
      </c>
      <c r="D77" s="38" t="s">
        <v>7</v>
      </c>
      <c r="E77" s="48" cm="1">
        <f t="array" ref="E77">IF($N77,INDEX($O:$O,MATCH(TRUE,EXACT(D77,$A:$A),0)),"")</f>
        <v>73</v>
      </c>
      <c r="F77" s="38" t="s">
        <v>25</v>
      </c>
      <c r="G77" s="48" cm="1">
        <f t="array" ref="G77">IF($O77&lt;&gt;"",INDEX($O:$O,MATCH(TRUE,EXACT(F77,$A:$A),0)),"")</f>
        <v>77</v>
      </c>
      <c r="H77" s="38" t="s">
        <v>64</v>
      </c>
      <c r="I77" s="48" cm="1">
        <f t="array" ref="I77">IF($N77,INDEX($O:$O,MATCH(TRUE,EXACT(H77,$A:$A),0)),"")</f>
        <v>12</v>
      </c>
      <c r="J77" s="38" t="s">
        <v>16</v>
      </c>
      <c r="K77" s="52" cm="1">
        <f t="array" ref="K77">IF($N77,INDEX($O:$O,MATCH(TRUE,EXACT(J77,$A:$A),0)),"")</f>
        <v>74</v>
      </c>
      <c r="L77" s="23"/>
      <c r="M77" s="33"/>
      <c r="N77" s="18" t="b">
        <f t="shared" si="37"/>
        <v>1</v>
      </c>
      <c r="O77" s="19">
        <f>IF(N77, MAX(O$2:O76)+1,"")</f>
        <v>75</v>
      </c>
      <c r="P77" s="23" t="str">
        <f t="shared" si="36"/>
        <v>k</v>
      </c>
      <c r="Q77" s="8" t="str" cm="1">
        <f t="array" ref="Q77">CharToUTF8(A77)</f>
        <v>\x6B</v>
      </c>
      <c r="S77" s="18" t="str">
        <f>$AO$2</f>
        <v>EMPTY</v>
      </c>
      <c r="T77" s="24" t="str">
        <f>$AO$3</f>
        <v>DIAG_BOTH</v>
      </c>
      <c r="U77" s="24" t="str">
        <f>$AO$4</f>
        <v>ORTHO_BOTH</v>
      </c>
      <c r="V77" s="21" t="str">
        <f>$AO$3</f>
        <v>DIAG_BOTH</v>
      </c>
      <c r="X77" s="31" t="b">
        <f t="shared" si="38"/>
        <v>0</v>
      </c>
      <c r="Y77" s="31" t="b">
        <f t="shared" si="39"/>
        <v>0</v>
      </c>
      <c r="Z77" t="b">
        <f t="shared" si="40"/>
        <v>0</v>
      </c>
      <c r="AA77" t="b">
        <f t="shared" si="41"/>
        <v>0</v>
      </c>
      <c r="AB77" t="b">
        <f t="shared" si="42"/>
        <v>0</v>
      </c>
      <c r="AC77" t="b">
        <f t="shared" si="43"/>
        <v>0</v>
      </c>
      <c r="AD77" t="b">
        <f t="shared" si="44"/>
        <v>0</v>
      </c>
      <c r="AE77" t="b">
        <f t="shared" si="45"/>
        <v>1</v>
      </c>
      <c r="AF77" t="b">
        <f t="shared" si="46"/>
        <v>1</v>
      </c>
      <c r="AG77" t="b">
        <f t="shared" si="47"/>
        <v>1</v>
      </c>
      <c r="AH77" t="b">
        <f t="shared" si="48"/>
        <v>1</v>
      </c>
      <c r="AI77" t="b">
        <f t="shared" si="49"/>
        <v>1</v>
      </c>
      <c r="AJ77" t="b">
        <f t="shared" si="50"/>
        <v>1</v>
      </c>
      <c r="AK77" t="b">
        <f t="shared" si="51"/>
        <v>1</v>
      </c>
      <c r="AL77" t="b">
        <f t="shared" si="52"/>
        <v>1</v>
      </c>
      <c r="AM77" t="b">
        <f t="shared" si="53"/>
        <v>1</v>
      </c>
      <c r="AV77" s="59" t="str">
        <f t="shared" si="31"/>
        <v xml:space="preserve">    { wxString::FromUTF8("\x6B"), &amp;AllGlyphs[73], &amp;AllGlyphs[77], &amp;AllGlyphs[12], &amp;AllGlyphs[74], Connection::EMPTY, Connection::DIAG_BOTH, Connection::ORTHO_BOTH, Connection::DIAG_BOTH, 0, 0, 0, 0 },</v>
      </c>
      <c r="AW77" s="60"/>
      <c r="AX77" s="60"/>
      <c r="AY77" s="60"/>
      <c r="AZ77" s="60"/>
      <c r="BA77" s="60"/>
      <c r="BB77" s="60"/>
      <c r="BC77" s="61"/>
      <c r="BE77" s="54" t="str">
        <f t="shared" si="54"/>
        <v>&amp;AllGlyphs[73]</v>
      </c>
      <c r="BF77" s="54" t="str">
        <f t="shared" si="55"/>
        <v>&amp;AllGlyphs[77]</v>
      </c>
      <c r="BG77" s="54" t="str">
        <f t="shared" si="56"/>
        <v>&amp;AllGlyphs[12]</v>
      </c>
      <c r="BH77" s="54" t="str">
        <f t="shared" si="57"/>
        <v>&amp;AllGlyphs[74]</v>
      </c>
      <c r="BJ77" s="58">
        <f t="shared" si="58"/>
        <v>0</v>
      </c>
      <c r="BK77" s="58">
        <f t="shared" si="59"/>
        <v>0</v>
      </c>
      <c r="BL77" s="58">
        <f t="shared" si="60"/>
        <v>0</v>
      </c>
      <c r="BM77" s="58">
        <f t="shared" si="61"/>
        <v>0</v>
      </c>
    </row>
    <row r="78" spans="1:65" x14ac:dyDescent="0.4">
      <c r="A78" s="7" t="s">
        <v>18</v>
      </c>
      <c r="B78" s="6" t="str">
        <f t="shared" si="35"/>
        <v>l</v>
      </c>
      <c r="C78" s="48" cm="1">
        <f t="array" ref="C78">IF($N78,INDEX($O:$O,MATCH(TRUE,EXACT(B78,$A:$A),0)),"")</f>
        <v>76</v>
      </c>
      <c r="D78" s="38">
        <v>0</v>
      </c>
      <c r="E78" s="48" cm="1">
        <f t="array" ref="E78">IF($N78,INDEX($O:$O,MATCH(TRUE,EXACT(D78,$A:$A),0)),"")</f>
        <v>16</v>
      </c>
      <c r="F78" s="38" t="s">
        <v>65</v>
      </c>
      <c r="G78" s="48" cm="1">
        <f t="array" ref="G78">IF($O78&lt;&gt;"",INDEX($O:$O,MATCH(TRUE,EXACT(F78,$A:$A),0)),"")</f>
        <v>15</v>
      </c>
      <c r="H78" s="38" t="s">
        <v>73</v>
      </c>
      <c r="I78" s="48" cm="1">
        <f t="array" ref="I78">IF($N78,INDEX($O:$O,MATCH(TRUE,EXACT(H78,$A:$A),0)),"")</f>
        <v>14</v>
      </c>
      <c r="J78" s="38" t="s">
        <v>66</v>
      </c>
      <c r="K78" s="52" cm="1">
        <f t="array" ref="K78">IF($N78,INDEX($O:$O,MATCH(TRUE,EXACT(J78,$A:$A),0)),"")</f>
        <v>27</v>
      </c>
      <c r="L78" s="23"/>
      <c r="M78" s="33"/>
      <c r="N78" s="18" t="b">
        <f t="shared" si="37"/>
        <v>1</v>
      </c>
      <c r="O78" s="19">
        <f>IF(N78, MAX(O$2:O77)+1,"")</f>
        <v>76</v>
      </c>
      <c r="P78" s="23" t="str">
        <f t="shared" si="36"/>
        <v>l</v>
      </c>
      <c r="Q78" s="8" t="str" cm="1">
        <f t="array" ref="Q78">CharToUTF8(A78)</f>
        <v>\x6C</v>
      </c>
      <c r="S78" s="18" t="str">
        <f>$AO$2</f>
        <v>EMPTY</v>
      </c>
      <c r="T78" s="24" t="str">
        <f>$AO$3</f>
        <v>DIAG_BOTH</v>
      </c>
      <c r="U78" s="24" t="str">
        <f>$AO$2</f>
        <v>EMPTY</v>
      </c>
      <c r="V78" s="21" t="str">
        <f>$AO$4</f>
        <v>ORTHO_BOTH</v>
      </c>
      <c r="X78" s="31" t="b">
        <f t="shared" si="38"/>
        <v>0</v>
      </c>
      <c r="Y78" s="31" t="b">
        <f t="shared" si="39"/>
        <v>0</v>
      </c>
      <c r="Z78" t="b">
        <f t="shared" si="40"/>
        <v>0</v>
      </c>
      <c r="AA78" t="b">
        <f t="shared" si="41"/>
        <v>0</v>
      </c>
      <c r="AB78" t="b">
        <f t="shared" si="42"/>
        <v>0</v>
      </c>
      <c r="AC78" t="b">
        <f t="shared" si="43"/>
        <v>0</v>
      </c>
      <c r="AD78" t="b">
        <f t="shared" si="44"/>
        <v>1</v>
      </c>
      <c r="AE78" t="b">
        <f t="shared" si="45"/>
        <v>0</v>
      </c>
      <c r="AF78" t="b">
        <f t="shared" si="46"/>
        <v>1</v>
      </c>
      <c r="AG78" t="b">
        <f t="shared" si="47"/>
        <v>1</v>
      </c>
      <c r="AH78" t="b">
        <f t="shared" si="48"/>
        <v>1</v>
      </c>
      <c r="AI78" t="b">
        <f t="shared" si="49"/>
        <v>1</v>
      </c>
      <c r="AJ78" t="b">
        <f t="shared" si="50"/>
        <v>1</v>
      </c>
      <c r="AK78" t="b">
        <f t="shared" si="51"/>
        <v>1</v>
      </c>
      <c r="AL78" t="b">
        <f t="shared" si="52"/>
        <v>1</v>
      </c>
      <c r="AM78" t="b">
        <f t="shared" si="53"/>
        <v>1</v>
      </c>
      <c r="AV78" s="59" t="str">
        <f t="shared" si="31"/>
        <v xml:space="preserve">    { wxString::FromUTF8("\x6C"), &amp;AllGlyphs[16], &amp;AllGlyphs[15], &amp;AllGlyphs[14], &amp;AllGlyphs[27], Connection::EMPTY, Connection::DIAG_BOTH, Connection::EMPTY, Connection::ORTHO_BOTH, 0, 0, 0, 0 },</v>
      </c>
      <c r="AW78" s="60"/>
      <c r="AX78" s="60"/>
      <c r="AY78" s="60"/>
      <c r="AZ78" s="60"/>
      <c r="BA78" s="60"/>
      <c r="BB78" s="60"/>
      <c r="BC78" s="61"/>
      <c r="BE78" s="54" t="str">
        <f t="shared" si="54"/>
        <v>&amp;AllGlyphs[16]</v>
      </c>
      <c r="BF78" s="54" t="str">
        <f t="shared" si="55"/>
        <v>&amp;AllGlyphs[15]</v>
      </c>
      <c r="BG78" s="54" t="str">
        <f t="shared" si="56"/>
        <v>&amp;AllGlyphs[14]</v>
      </c>
      <c r="BH78" s="54" t="str">
        <f t="shared" si="57"/>
        <v>&amp;AllGlyphs[27]</v>
      </c>
      <c r="BJ78" s="58">
        <f t="shared" si="58"/>
        <v>0</v>
      </c>
      <c r="BK78" s="58">
        <f t="shared" si="59"/>
        <v>0</v>
      </c>
      <c r="BL78" s="58">
        <f t="shared" si="60"/>
        <v>0</v>
      </c>
      <c r="BM78" s="58">
        <f t="shared" si="61"/>
        <v>0</v>
      </c>
    </row>
    <row r="79" spans="1:65" x14ac:dyDescent="0.4">
      <c r="A79" s="7" t="s">
        <v>25</v>
      </c>
      <c r="B79" s="6" t="str">
        <f t="shared" si="35"/>
        <v>m</v>
      </c>
      <c r="C79" s="48" cm="1">
        <f t="array" ref="C79">IF($N79,INDEX($O:$O,MATCH(TRUE,EXACT(B79,$A:$A),0)),"")</f>
        <v>77</v>
      </c>
      <c r="D79" s="38">
        <v>7</v>
      </c>
      <c r="E79" s="48" cm="1">
        <f t="array" ref="E79">IF($N79,INDEX($O:$O,MATCH(TRUE,EXACT(D79,$A:$A),0)),"")</f>
        <v>23</v>
      </c>
      <c r="F79" s="38" t="s">
        <v>17</v>
      </c>
      <c r="G79" s="48" cm="1">
        <f t="array" ref="G79">IF($O79&lt;&gt;"",INDEX($O:$O,MATCH(TRUE,EXACT(F79,$A:$A),0)),"")</f>
        <v>75</v>
      </c>
      <c r="H79" s="38" t="s">
        <v>16</v>
      </c>
      <c r="I79" s="48" cm="1">
        <f t="array" ref="I79">IF($N79,INDEX($O:$O,MATCH(TRUE,EXACT(H79,$A:$A),0)),"")</f>
        <v>74</v>
      </c>
      <c r="J79" s="38" t="s">
        <v>64</v>
      </c>
      <c r="K79" s="52" cm="1">
        <f t="array" ref="K79">IF($N79,INDEX($O:$O,MATCH(TRUE,EXACT(J79,$A:$A),0)),"")</f>
        <v>12</v>
      </c>
      <c r="L79" s="23"/>
      <c r="M79" s="33"/>
      <c r="N79" s="18" t="b">
        <f t="shared" si="37"/>
        <v>1</v>
      </c>
      <c r="O79" s="19">
        <f>IF(N79, MAX(O$2:O78)+1,"")</f>
        <v>77</v>
      </c>
      <c r="P79" s="23" t="str">
        <f t="shared" si="36"/>
        <v>m</v>
      </c>
      <c r="Q79" s="8" t="str" cm="1">
        <f t="array" ref="Q79">CharToUTF8(A79)</f>
        <v>\x6D</v>
      </c>
      <c r="S79" s="18" t="str">
        <f>$AO$3</f>
        <v>DIAG_BOTH</v>
      </c>
      <c r="T79" s="24" t="str">
        <f>$AO$2</f>
        <v>EMPTY</v>
      </c>
      <c r="U79" s="24" t="str">
        <f>$AO$3</f>
        <v>DIAG_BOTH</v>
      </c>
      <c r="V79" s="21" t="str">
        <f>$AO$4</f>
        <v>ORTHO_BOTH</v>
      </c>
      <c r="X79" s="31" t="b">
        <f t="shared" si="38"/>
        <v>0</v>
      </c>
      <c r="Y79" s="31" t="b">
        <f t="shared" si="39"/>
        <v>0</v>
      </c>
      <c r="Z79" t="b">
        <f t="shared" si="40"/>
        <v>0</v>
      </c>
      <c r="AA79" t="b">
        <f t="shared" si="41"/>
        <v>0</v>
      </c>
      <c r="AB79" t="b">
        <f t="shared" si="42"/>
        <v>0</v>
      </c>
      <c r="AC79" t="b">
        <f t="shared" si="43"/>
        <v>0</v>
      </c>
      <c r="AD79" t="b">
        <f t="shared" si="44"/>
        <v>1</v>
      </c>
      <c r="AE79" t="b">
        <f t="shared" si="45"/>
        <v>0</v>
      </c>
      <c r="AF79" t="b">
        <f t="shared" si="46"/>
        <v>1</v>
      </c>
      <c r="AG79" t="b">
        <f t="shared" si="47"/>
        <v>1</v>
      </c>
      <c r="AH79" t="b">
        <f t="shared" si="48"/>
        <v>1</v>
      </c>
      <c r="AI79" t="b">
        <f t="shared" si="49"/>
        <v>1</v>
      </c>
      <c r="AJ79" t="b">
        <f t="shared" si="50"/>
        <v>1</v>
      </c>
      <c r="AK79" t="b">
        <f t="shared" si="51"/>
        <v>1</v>
      </c>
      <c r="AL79" t="b">
        <f t="shared" si="52"/>
        <v>1</v>
      </c>
      <c r="AM79" t="b">
        <f t="shared" si="53"/>
        <v>1</v>
      </c>
      <c r="AV79" s="59" t="str">
        <f t="shared" si="31"/>
        <v xml:space="preserve">    { wxString::FromUTF8("\x6D"), &amp;AllGlyphs[23], &amp;AllGlyphs[75], &amp;AllGlyphs[74], &amp;AllGlyphs[12], Connection::DIAG_BOTH, Connection::EMPTY, Connection::DIAG_BOTH, Connection::ORTHO_BOTH, 0, 0, 0, 0 },</v>
      </c>
      <c r="AW79" s="60"/>
      <c r="AX79" s="60"/>
      <c r="AY79" s="60"/>
      <c r="AZ79" s="60"/>
      <c r="BA79" s="60"/>
      <c r="BB79" s="60"/>
      <c r="BC79" s="61"/>
      <c r="BE79" s="54" t="str">
        <f t="shared" si="54"/>
        <v>&amp;AllGlyphs[23]</v>
      </c>
      <c r="BF79" s="54" t="str">
        <f t="shared" si="55"/>
        <v>&amp;AllGlyphs[75]</v>
      </c>
      <c r="BG79" s="54" t="str">
        <f t="shared" si="56"/>
        <v>&amp;AllGlyphs[74]</v>
      </c>
      <c r="BH79" s="54" t="str">
        <f t="shared" si="57"/>
        <v>&amp;AllGlyphs[12]</v>
      </c>
      <c r="BJ79" s="58">
        <f t="shared" si="58"/>
        <v>0</v>
      </c>
      <c r="BK79" s="58">
        <f t="shared" si="59"/>
        <v>0</v>
      </c>
      <c r="BL79" s="58">
        <f t="shared" si="60"/>
        <v>0</v>
      </c>
      <c r="BM79" s="58">
        <f t="shared" si="61"/>
        <v>0</v>
      </c>
    </row>
    <row r="80" spans="1:65" x14ac:dyDescent="0.4">
      <c r="A80" s="7" t="s">
        <v>24</v>
      </c>
      <c r="B80" s="6" t="str">
        <f t="shared" si="35"/>
        <v>n</v>
      </c>
      <c r="C80" s="48" cm="1">
        <f t="array" ref="C80">IF($N80,INDEX($O:$O,MATCH(TRUE,EXACT(B80,$A:$A),0)),"")</f>
        <v>78</v>
      </c>
      <c r="D80" s="38" t="s">
        <v>5</v>
      </c>
      <c r="E80" s="48" cm="1">
        <f t="array" ref="E80">IF($N80,INDEX($O:$O,MATCH(TRUE,EXACT(D80,$A:$A),0)),"")</f>
        <v>89</v>
      </c>
      <c r="F80" s="38" t="s">
        <v>23</v>
      </c>
      <c r="G80" s="48" cm="1">
        <f t="array" ref="G80">IF($O80&lt;&gt;"",INDEX($O:$O,MATCH(TRUE,EXACT(F80,$A:$A),0)),"")</f>
        <v>66</v>
      </c>
      <c r="H80" s="38" t="s">
        <v>24</v>
      </c>
      <c r="I80" s="48" cm="1">
        <f t="array" ref="I80">IF($N80,INDEX($O:$O,MATCH(TRUE,EXACT(H80,$A:$A),0)),"")</f>
        <v>78</v>
      </c>
      <c r="J80" s="38" t="s">
        <v>23</v>
      </c>
      <c r="K80" s="52" cm="1">
        <f t="array" ref="K80">IF($N80,INDEX($O:$O,MATCH(TRUE,EXACT(J80,$A:$A),0)),"")</f>
        <v>66</v>
      </c>
      <c r="L80" s="23"/>
      <c r="M80" s="33"/>
      <c r="N80" s="18" t="b">
        <f t="shared" si="37"/>
        <v>1</v>
      </c>
      <c r="O80" s="19">
        <f>IF(N80, MAX(O$2:O79)+1,"")</f>
        <v>78</v>
      </c>
      <c r="P80" s="23" t="str">
        <f t="shared" si="36"/>
        <v>n</v>
      </c>
      <c r="Q80" s="8" t="str" cm="1">
        <f t="array" ref="Q80">CharToUTF8(A80)</f>
        <v>\x6E</v>
      </c>
      <c r="S80" s="18" t="str">
        <f>$AO$3</f>
        <v>DIAG_BOTH</v>
      </c>
      <c r="T80" s="24" t="str">
        <f>$AO$3</f>
        <v>DIAG_BOTH</v>
      </c>
      <c r="U80" s="24" t="str">
        <f>$AO$4</f>
        <v>ORTHO_BOTH</v>
      </c>
      <c r="V80" s="21" t="str">
        <f>$AO$2</f>
        <v>EMPTY</v>
      </c>
      <c r="X80" s="31" t="b">
        <f t="shared" si="38"/>
        <v>0</v>
      </c>
      <c r="Y80" s="31" t="b">
        <f t="shared" si="39"/>
        <v>0</v>
      </c>
      <c r="Z80" t="b">
        <f t="shared" si="40"/>
        <v>1</v>
      </c>
      <c r="AA80" t="b">
        <f t="shared" si="41"/>
        <v>0</v>
      </c>
      <c r="AB80" t="b">
        <f t="shared" si="42"/>
        <v>0</v>
      </c>
      <c r="AC80" t="b">
        <f t="shared" si="43"/>
        <v>0</v>
      </c>
      <c r="AD80" t="b">
        <f t="shared" si="44"/>
        <v>0</v>
      </c>
      <c r="AE80" t="b">
        <f t="shared" si="45"/>
        <v>0</v>
      </c>
      <c r="AF80" t="b">
        <f t="shared" si="46"/>
        <v>1</v>
      </c>
      <c r="AG80" t="b">
        <f t="shared" si="47"/>
        <v>1</v>
      </c>
      <c r="AH80" t="b">
        <f t="shared" si="48"/>
        <v>1</v>
      </c>
      <c r="AI80" t="b">
        <f t="shared" si="49"/>
        <v>1</v>
      </c>
      <c r="AJ80" t="b">
        <f t="shared" si="50"/>
        <v>1</v>
      </c>
      <c r="AK80" t="b">
        <f t="shared" si="51"/>
        <v>1</v>
      </c>
      <c r="AL80" t="b">
        <f t="shared" si="52"/>
        <v>1</v>
      </c>
      <c r="AM80" t="b">
        <f t="shared" si="53"/>
        <v>1</v>
      </c>
      <c r="AV80" s="59" t="str">
        <f t="shared" si="31"/>
        <v xml:space="preserve">    { wxString::FromUTF8("\x6E"), &amp;AllGlyphs[89], &amp;AllGlyphs[66], &amp;AllGlyphs[78], &amp;AllGlyphs[66], Connection::DIAG_BOTH, Connection::DIAG_BOTH, Connection::ORTHO_BOTH, Connection::EMPTY, 0, 0, 1, 0 },</v>
      </c>
      <c r="AW80" s="60"/>
      <c r="AX80" s="60"/>
      <c r="AY80" s="60"/>
      <c r="AZ80" s="60"/>
      <c r="BA80" s="60"/>
      <c r="BB80" s="60"/>
      <c r="BC80" s="61"/>
      <c r="BE80" s="54" t="str">
        <f t="shared" si="54"/>
        <v>&amp;AllGlyphs[89]</v>
      </c>
      <c r="BF80" s="54" t="str">
        <f t="shared" si="55"/>
        <v>&amp;AllGlyphs[66]</v>
      </c>
      <c r="BG80" s="54" t="str">
        <f t="shared" si="56"/>
        <v>&amp;AllGlyphs[78]</v>
      </c>
      <c r="BH80" s="54" t="str">
        <f t="shared" si="57"/>
        <v>&amp;AllGlyphs[66]</v>
      </c>
      <c r="BJ80" s="58">
        <f t="shared" si="58"/>
        <v>0</v>
      </c>
      <c r="BK80" s="58">
        <f t="shared" si="59"/>
        <v>0</v>
      </c>
      <c r="BL80" s="58">
        <f t="shared" si="60"/>
        <v>1</v>
      </c>
      <c r="BM80" s="58">
        <f t="shared" si="61"/>
        <v>0</v>
      </c>
    </row>
    <row r="81" spans="1:65" x14ac:dyDescent="0.4">
      <c r="A81" s="7" t="s">
        <v>8</v>
      </c>
      <c r="B81" s="6" t="str">
        <f t="shared" si="35"/>
        <v>o</v>
      </c>
      <c r="C81" s="48" cm="1">
        <f t="array" ref="C81">IF($N81,INDEX($O:$O,MATCH(TRUE,EXACT(B81,$A:$A),0)),"")</f>
        <v>79</v>
      </c>
      <c r="D81" s="38" t="s">
        <v>18</v>
      </c>
      <c r="E81" s="48" cm="1">
        <f t="array" ref="E81">IF($N81,INDEX($O:$O,MATCH(TRUE,EXACT(D81,$A:$A),0)),"")</f>
        <v>76</v>
      </c>
      <c r="F81" s="38">
        <v>0</v>
      </c>
      <c r="G81" s="48" cm="1">
        <f t="array" ref="G81">IF($O81&lt;&gt;"",INDEX($O:$O,MATCH(TRUE,EXACT(F81,$A:$A),0)),"")</f>
        <v>16</v>
      </c>
      <c r="H81" s="38">
        <v>9</v>
      </c>
      <c r="I81" s="48" cm="1">
        <f t="array" ref="I81">IF($N81,INDEX($O:$O,MATCH(TRUE,EXACT(H81,$A:$A),0)),"")</f>
        <v>25</v>
      </c>
      <c r="J81" s="38" t="s">
        <v>9</v>
      </c>
      <c r="K81" s="52" cm="1">
        <f t="array" ref="K81">IF($N81,INDEX($O:$O,MATCH(TRUE,EXACT(J81,$A:$A),0)),"")</f>
        <v>80</v>
      </c>
      <c r="L81" s="23"/>
      <c r="M81" s="33"/>
      <c r="N81" s="18" t="b">
        <f t="shared" si="37"/>
        <v>1</v>
      </c>
      <c r="O81" s="19">
        <f>IF(N81, MAX(O$2:O80)+1,"")</f>
        <v>79</v>
      </c>
      <c r="P81" s="23" t="str">
        <f t="shared" si="36"/>
        <v>o</v>
      </c>
      <c r="Q81" s="8" t="str" cm="1">
        <f t="array" ref="Q81">CharToUTF8(A81)</f>
        <v>\x6F</v>
      </c>
      <c r="S81" s="18" t="str">
        <f>$AO$4</f>
        <v>ORTHO_BOTH</v>
      </c>
      <c r="T81" s="24" t="str">
        <f>$AO$2</f>
        <v>EMPTY</v>
      </c>
      <c r="U81" s="24" t="str">
        <f>$AO$2</f>
        <v>EMPTY</v>
      </c>
      <c r="V81" s="21" t="str">
        <f>$AO$3</f>
        <v>DIAG_BOTH</v>
      </c>
      <c r="X81" s="31" t="b">
        <f t="shared" si="38"/>
        <v>0</v>
      </c>
      <c r="Y81" s="31" t="b">
        <f t="shared" si="39"/>
        <v>0</v>
      </c>
      <c r="Z81" t="b">
        <f t="shared" si="40"/>
        <v>0</v>
      </c>
      <c r="AA81" t="b">
        <f t="shared" si="41"/>
        <v>0</v>
      </c>
      <c r="AB81" t="b">
        <f t="shared" si="42"/>
        <v>0</v>
      </c>
      <c r="AC81" t="b">
        <f t="shared" si="43"/>
        <v>1</v>
      </c>
      <c r="AD81" t="b">
        <f t="shared" si="44"/>
        <v>0</v>
      </c>
      <c r="AE81" t="b">
        <f t="shared" si="45"/>
        <v>0</v>
      </c>
      <c r="AF81" t="b">
        <f t="shared" si="46"/>
        <v>1</v>
      </c>
      <c r="AG81" t="b">
        <f t="shared" si="47"/>
        <v>1</v>
      </c>
      <c r="AH81" t="b">
        <f t="shared" si="48"/>
        <v>1</v>
      </c>
      <c r="AI81" t="b">
        <f t="shared" si="49"/>
        <v>1</v>
      </c>
      <c r="AJ81" t="b">
        <f t="shared" si="50"/>
        <v>1</v>
      </c>
      <c r="AK81" t="b">
        <f t="shared" si="51"/>
        <v>1</v>
      </c>
      <c r="AL81" t="b">
        <f t="shared" si="52"/>
        <v>1</v>
      </c>
      <c r="AM81" t="b">
        <f t="shared" si="53"/>
        <v>1</v>
      </c>
      <c r="AV81" s="59" t="str">
        <f t="shared" si="31"/>
        <v xml:space="preserve">    { wxString::FromUTF8("\x6F"), &amp;AllGlyphs[76], &amp;AllGlyphs[16], &amp;AllGlyphs[25], &amp;AllGlyphs[80], Connection::ORTHO_BOTH, Connection::EMPTY, Connection::EMPTY, Connection::DIAG_BOTH, 0, 0, 0, 0 },</v>
      </c>
      <c r="AW81" s="60"/>
      <c r="AX81" s="60"/>
      <c r="AY81" s="60"/>
      <c r="AZ81" s="60"/>
      <c r="BA81" s="60"/>
      <c r="BB81" s="60"/>
      <c r="BC81" s="61"/>
      <c r="BE81" s="54" t="str">
        <f t="shared" si="54"/>
        <v>&amp;AllGlyphs[76]</v>
      </c>
      <c r="BF81" s="54" t="str">
        <f t="shared" si="55"/>
        <v>&amp;AllGlyphs[16]</v>
      </c>
      <c r="BG81" s="54" t="str">
        <f t="shared" si="56"/>
        <v>&amp;AllGlyphs[25]</v>
      </c>
      <c r="BH81" s="54" t="str">
        <f t="shared" si="57"/>
        <v>&amp;AllGlyphs[80]</v>
      </c>
      <c r="BJ81" s="58">
        <f t="shared" si="58"/>
        <v>0</v>
      </c>
      <c r="BK81" s="58">
        <f t="shared" si="59"/>
        <v>0</v>
      </c>
      <c r="BL81" s="58">
        <f t="shared" si="60"/>
        <v>0</v>
      </c>
      <c r="BM81" s="58">
        <f t="shared" si="61"/>
        <v>0</v>
      </c>
    </row>
    <row r="82" spans="1:65" x14ac:dyDescent="0.4">
      <c r="A82" s="7" t="s">
        <v>9</v>
      </c>
      <c r="B82" s="6" t="str">
        <f t="shared" si="35"/>
        <v>p</v>
      </c>
      <c r="C82" s="48" cm="1">
        <f t="array" ref="C82">IF($N82,INDEX($O:$O,MATCH(TRUE,EXACT(B82,$A:$A),0)),"")</f>
        <v>80</v>
      </c>
      <c r="D82" s="38" t="s">
        <v>73</v>
      </c>
      <c r="E82" s="48" cm="1">
        <f t="array" ref="E82">IF($N82,INDEX($O:$O,MATCH(TRUE,EXACT(D82,$A:$A),0)),"")</f>
        <v>14</v>
      </c>
      <c r="F82" s="38">
        <v>9</v>
      </c>
      <c r="G82" s="48" cm="1">
        <f t="array" ref="G82">IF($O82&lt;&gt;"",INDEX($O:$O,MATCH(TRUE,EXACT(F82,$A:$A),0)),"")</f>
        <v>25</v>
      </c>
      <c r="H82" s="38">
        <v>0</v>
      </c>
      <c r="I82" s="48" cm="1">
        <f t="array" ref="I82">IF($N82,INDEX($O:$O,MATCH(TRUE,EXACT(H82,$A:$A),0)),"")</f>
        <v>16</v>
      </c>
      <c r="J82" s="38" t="s">
        <v>8</v>
      </c>
      <c r="K82" s="52" cm="1">
        <f t="array" ref="K82">IF($N82,INDEX($O:$O,MATCH(TRUE,EXACT(J82,$A:$A),0)),"")</f>
        <v>79</v>
      </c>
      <c r="L82" s="23"/>
      <c r="M82" s="33"/>
      <c r="N82" s="18" t="b">
        <f t="shared" si="37"/>
        <v>1</v>
      </c>
      <c r="O82" s="19">
        <f>IF(N82, MAX(O$2:O81)+1,"")</f>
        <v>80</v>
      </c>
      <c r="P82" s="23" t="str">
        <f t="shared" si="36"/>
        <v>p</v>
      </c>
      <c r="Q82" s="8" t="str" cm="1">
        <f t="array" ref="Q82">CharToUTF8(A82)</f>
        <v>\x70</v>
      </c>
      <c r="S82" s="18" t="str">
        <f>$AO$4</f>
        <v>ORTHO_BOTH</v>
      </c>
      <c r="T82" s="24" t="str">
        <f>$AO$2</f>
        <v>EMPTY</v>
      </c>
      <c r="U82" s="24" t="str">
        <f>$AO$3</f>
        <v>DIAG_BOTH</v>
      </c>
      <c r="V82" s="21" t="str">
        <f>$AO$2</f>
        <v>EMPTY</v>
      </c>
      <c r="X82" s="31" t="b">
        <f t="shared" si="38"/>
        <v>0</v>
      </c>
      <c r="Y82" s="31" t="b">
        <f t="shared" si="39"/>
        <v>0</v>
      </c>
      <c r="Z82" t="b">
        <f t="shared" si="40"/>
        <v>0</v>
      </c>
      <c r="AA82" t="b">
        <f t="shared" si="41"/>
        <v>0</v>
      </c>
      <c r="AB82" t="b">
        <f t="shared" si="42"/>
        <v>0</v>
      </c>
      <c r="AC82" t="b">
        <f t="shared" si="43"/>
        <v>0</v>
      </c>
      <c r="AD82" t="b">
        <f t="shared" si="44"/>
        <v>0</v>
      </c>
      <c r="AE82" t="b">
        <f t="shared" si="45"/>
        <v>1</v>
      </c>
      <c r="AF82" t="b">
        <f t="shared" si="46"/>
        <v>1</v>
      </c>
      <c r="AG82" t="b">
        <f t="shared" si="47"/>
        <v>1</v>
      </c>
      <c r="AH82" t="b">
        <f t="shared" si="48"/>
        <v>1</v>
      </c>
      <c r="AI82" t="b">
        <f t="shared" si="49"/>
        <v>1</v>
      </c>
      <c r="AJ82" t="b">
        <f t="shared" si="50"/>
        <v>1</v>
      </c>
      <c r="AK82" t="b">
        <f t="shared" si="51"/>
        <v>1</v>
      </c>
      <c r="AL82" t="b">
        <f t="shared" si="52"/>
        <v>1</v>
      </c>
      <c r="AM82" t="b">
        <f t="shared" si="53"/>
        <v>1</v>
      </c>
      <c r="AV82" s="59" t="str">
        <f t="shared" ref="AV82:AV145" si="62">IF($N82,"    { wxString::FromUTF8(""" &amp; $Q82 &amp; """), " &amp; _xlfn.TEXTJOIN(", ", TRUE, BE82:BH82) &amp; ", " &amp; $AO$1 &amp; _xlfn.TEXTJOIN(", " &amp; $AO$1, TRUE, $S82:$V82) &amp; ", " &amp; _xlfn.TEXTJOIN(", ", TRUE, BJ82:BM82) &amp; " },","")</f>
        <v xml:space="preserve">    { wxString::FromUTF8("\x70"), &amp;AllGlyphs[14], &amp;AllGlyphs[25], &amp;AllGlyphs[16], &amp;AllGlyphs[79], Connection::ORTHO_BOTH, Connection::EMPTY, Connection::DIAG_BOTH, Connection::EMPTY, 0, 0, 0, 0 },</v>
      </c>
      <c r="AW82" s="60"/>
      <c r="AX82" s="60"/>
      <c r="AY82" s="60"/>
      <c r="AZ82" s="60"/>
      <c r="BA82" s="60"/>
      <c r="BB82" s="60"/>
      <c r="BC82" s="61"/>
      <c r="BE82" s="54" t="str">
        <f t="shared" si="54"/>
        <v>&amp;AllGlyphs[14]</v>
      </c>
      <c r="BF82" s="54" t="str">
        <f t="shared" si="55"/>
        <v>&amp;AllGlyphs[25]</v>
      </c>
      <c r="BG82" s="54" t="str">
        <f t="shared" si="56"/>
        <v>&amp;AllGlyphs[16]</v>
      </c>
      <c r="BH82" s="54" t="str">
        <f t="shared" si="57"/>
        <v>&amp;AllGlyphs[79]</v>
      </c>
      <c r="BJ82" s="58">
        <f t="shared" si="58"/>
        <v>0</v>
      </c>
      <c r="BK82" s="58">
        <f t="shared" si="59"/>
        <v>0</v>
      </c>
      <c r="BL82" s="58">
        <f t="shared" si="60"/>
        <v>0</v>
      </c>
      <c r="BM82" s="58">
        <f t="shared" si="61"/>
        <v>0</v>
      </c>
    </row>
    <row r="83" spans="1:65" x14ac:dyDescent="0.4">
      <c r="A83" s="7" t="s">
        <v>0</v>
      </c>
      <c r="B83" s="6" t="str">
        <f t="shared" si="35"/>
        <v>q</v>
      </c>
      <c r="C83" s="48" cm="1">
        <f t="array" ref="C83">IF($N83,INDEX($O:$O,MATCH(TRUE,EXACT(B83,$A:$A),0)),"")</f>
        <v>81</v>
      </c>
      <c r="D83" s="38" t="s">
        <v>2</v>
      </c>
      <c r="E83" s="48" cm="1">
        <f t="array" ref="E83">IF($N83,INDEX($O:$O,MATCH(TRUE,EXACT(D83,$A:$A),0)),"")</f>
        <v>69</v>
      </c>
      <c r="F83" s="38" t="s">
        <v>21</v>
      </c>
      <c r="G83" s="48" cm="1">
        <f t="array" ref="G83">IF($O83&lt;&gt;"",INDEX($O:$O,MATCH(TRUE,EXACT(F83,$A:$A),0)),"")</f>
        <v>67</v>
      </c>
      <c r="H83" s="38" t="s">
        <v>19</v>
      </c>
      <c r="I83" s="48" cm="1">
        <f t="array" ref="I83">IF($N83,INDEX($O:$O,MATCH(TRUE,EXACT(H83,$A:$A),0)),"")</f>
        <v>90</v>
      </c>
      <c r="J83" s="38" t="s">
        <v>2</v>
      </c>
      <c r="K83" s="52" cm="1">
        <f t="array" ref="K83">IF($N83,INDEX($O:$O,MATCH(TRUE,EXACT(J83,$A:$A),0)),"")</f>
        <v>69</v>
      </c>
      <c r="L83" s="23"/>
      <c r="M83" s="33"/>
      <c r="N83" s="18" t="b">
        <f t="shared" si="37"/>
        <v>1</v>
      </c>
      <c r="O83" s="19">
        <f>IF(N83, MAX(O$2:O82)+1,"")</f>
        <v>81</v>
      </c>
      <c r="P83" s="23" t="str">
        <f t="shared" si="36"/>
        <v>q</v>
      </c>
      <c r="Q83" s="8" t="str" cm="1">
        <f t="array" ref="Q83">CharToUTF8(A83)</f>
        <v>\x71</v>
      </c>
      <c r="S83" s="18" t="str">
        <f>$AO$2</f>
        <v>EMPTY</v>
      </c>
      <c r="T83" s="24" t="str">
        <f>$AO$3</f>
        <v>DIAG_BOTH</v>
      </c>
      <c r="U83" s="24" t="str">
        <f>$AO$2</f>
        <v>EMPTY</v>
      </c>
      <c r="V83" s="21" t="str">
        <f>$AO$3</f>
        <v>DIAG_BOTH</v>
      </c>
      <c r="X83" s="31" t="b">
        <f t="shared" si="38"/>
        <v>0</v>
      </c>
      <c r="Y83" s="31" t="b">
        <f t="shared" si="39"/>
        <v>0</v>
      </c>
      <c r="Z83" t="b">
        <f t="shared" si="40"/>
        <v>0</v>
      </c>
      <c r="AA83" t="b">
        <f t="shared" si="41"/>
        <v>0</v>
      </c>
      <c r="AB83" t="b">
        <f t="shared" si="42"/>
        <v>0</v>
      </c>
      <c r="AC83" t="b">
        <f t="shared" si="43"/>
        <v>0</v>
      </c>
      <c r="AD83" t="b">
        <f t="shared" si="44"/>
        <v>1</v>
      </c>
      <c r="AE83" t="b">
        <f t="shared" si="45"/>
        <v>1</v>
      </c>
      <c r="AF83" t="b">
        <f t="shared" si="46"/>
        <v>1</v>
      </c>
      <c r="AG83" t="b">
        <f t="shared" si="47"/>
        <v>1</v>
      </c>
      <c r="AH83" t="b">
        <f t="shared" si="48"/>
        <v>1</v>
      </c>
      <c r="AI83" t="b">
        <f t="shared" si="49"/>
        <v>1</v>
      </c>
      <c r="AJ83" t="b">
        <f t="shared" si="50"/>
        <v>1</v>
      </c>
      <c r="AK83" t="b">
        <f t="shared" si="51"/>
        <v>1</v>
      </c>
      <c r="AL83" t="b">
        <f t="shared" si="52"/>
        <v>1</v>
      </c>
      <c r="AM83" t="b">
        <f t="shared" si="53"/>
        <v>1</v>
      </c>
      <c r="AV83" s="59" t="str">
        <f t="shared" si="62"/>
        <v xml:space="preserve">    { wxString::FromUTF8("\x71"), &amp;AllGlyphs[69], &amp;AllGlyphs[67], &amp;AllGlyphs[90], &amp;AllGlyphs[69], Connection::EMPTY, Connection::DIAG_BOTH, Connection::EMPTY, Connection::DIAG_BOTH, 0, 0, 0, 0 },</v>
      </c>
      <c r="AW83" s="60"/>
      <c r="AX83" s="60"/>
      <c r="AY83" s="60"/>
      <c r="AZ83" s="60"/>
      <c r="BA83" s="60"/>
      <c r="BB83" s="60"/>
      <c r="BC83" s="61"/>
      <c r="BE83" s="54" t="str">
        <f t="shared" si="54"/>
        <v>&amp;AllGlyphs[69]</v>
      </c>
      <c r="BF83" s="54" t="str">
        <f t="shared" si="55"/>
        <v>&amp;AllGlyphs[67]</v>
      </c>
      <c r="BG83" s="54" t="str">
        <f t="shared" si="56"/>
        <v>&amp;AllGlyphs[90]</v>
      </c>
      <c r="BH83" s="54" t="str">
        <f t="shared" si="57"/>
        <v>&amp;AllGlyphs[69]</v>
      </c>
      <c r="BJ83" s="58">
        <f t="shared" si="58"/>
        <v>0</v>
      </c>
      <c r="BK83" s="58">
        <f t="shared" si="59"/>
        <v>0</v>
      </c>
      <c r="BL83" s="58">
        <f t="shared" si="60"/>
        <v>0</v>
      </c>
      <c r="BM83" s="58">
        <f t="shared" si="61"/>
        <v>0</v>
      </c>
    </row>
    <row r="84" spans="1:65" x14ac:dyDescent="0.4">
      <c r="A84" s="7" t="s">
        <v>3</v>
      </c>
      <c r="B84" s="6" t="str">
        <f t="shared" si="35"/>
        <v>r</v>
      </c>
      <c r="C84" s="48" cm="1">
        <f t="array" ref="C84">IF($N84,INDEX($O:$O,MATCH(TRUE,EXACT(B84,$A:$A),0)),"")</f>
        <v>82</v>
      </c>
      <c r="D84" s="38" t="s">
        <v>13</v>
      </c>
      <c r="E84" s="48" cm="1">
        <f t="array" ref="E84">IF($N84,INDEX($O:$O,MATCH(TRUE,EXACT(D84,$A:$A),0)),"")</f>
        <v>70</v>
      </c>
      <c r="F84" s="38">
        <v>4</v>
      </c>
      <c r="G84" s="48" cm="1">
        <f t="array" ref="G84">IF($O84&lt;&gt;"",INDEX($O:$O,MATCH(TRUE,EXACT(F84,$A:$A),0)),"")</f>
        <v>20</v>
      </c>
      <c r="H84" s="38">
        <v>4</v>
      </c>
      <c r="I84" s="48" cm="1">
        <f t="array" ref="I84">IF($N84,INDEX($O:$O,MATCH(TRUE,EXACT(H84,$A:$A),0)),"")</f>
        <v>20</v>
      </c>
      <c r="J84" s="38" t="s">
        <v>3</v>
      </c>
      <c r="K84" s="52" cm="1">
        <f t="array" ref="K84">IF($N84,INDEX($O:$O,MATCH(TRUE,EXACT(J84,$A:$A),0)),"")</f>
        <v>82</v>
      </c>
      <c r="L84" s="23"/>
      <c r="M84" s="33"/>
      <c r="N84" s="18" t="b">
        <f t="shared" si="37"/>
        <v>1</v>
      </c>
      <c r="O84" s="19">
        <f>IF(N84, MAX(O$2:O83)+1,"")</f>
        <v>82</v>
      </c>
      <c r="P84" s="23" t="str">
        <f t="shared" si="36"/>
        <v>r</v>
      </c>
      <c r="Q84" s="8" t="str" cm="1">
        <f t="array" ref="Q84">CharToUTF8(A84)</f>
        <v>\x72</v>
      </c>
      <c r="S84" s="18" t="str">
        <f>$AO$3</f>
        <v>DIAG_BOTH</v>
      </c>
      <c r="T84" s="24" t="str">
        <f>$AO$2</f>
        <v>EMPTY</v>
      </c>
      <c r="U84" s="24" t="str">
        <f>$AO$2</f>
        <v>EMPTY</v>
      </c>
      <c r="V84" s="21" t="str">
        <f>$AO$2</f>
        <v>EMPTY</v>
      </c>
      <c r="X84" s="31" t="b">
        <f t="shared" si="38"/>
        <v>0</v>
      </c>
      <c r="Y84" s="31" t="b">
        <f t="shared" si="39"/>
        <v>0</v>
      </c>
      <c r="Z84" t="b">
        <f t="shared" si="40"/>
        <v>0</v>
      </c>
      <c r="AA84" t="b">
        <f t="shared" si="41"/>
        <v>1</v>
      </c>
      <c r="AB84" t="b">
        <f t="shared" si="42"/>
        <v>0</v>
      </c>
      <c r="AC84" t="b">
        <f t="shared" si="43"/>
        <v>1</v>
      </c>
      <c r="AD84" t="b">
        <f t="shared" si="44"/>
        <v>0</v>
      </c>
      <c r="AE84" t="b">
        <f t="shared" si="45"/>
        <v>1</v>
      </c>
      <c r="AF84" t="b">
        <f t="shared" si="46"/>
        <v>1</v>
      </c>
      <c r="AG84" t="b">
        <f t="shared" si="47"/>
        <v>1</v>
      </c>
      <c r="AH84" t="b">
        <f t="shared" si="48"/>
        <v>1</v>
      </c>
      <c r="AI84" t="b">
        <f t="shared" si="49"/>
        <v>1</v>
      </c>
      <c r="AJ84" t="b">
        <f t="shared" si="50"/>
        <v>1</v>
      </c>
      <c r="AK84" t="b">
        <f t="shared" si="51"/>
        <v>1</v>
      </c>
      <c r="AL84" t="b">
        <f t="shared" si="52"/>
        <v>1</v>
      </c>
      <c r="AM84" t="b">
        <f t="shared" si="53"/>
        <v>1</v>
      </c>
      <c r="AV84" s="59" t="str">
        <f t="shared" si="62"/>
        <v xml:space="preserve">    { wxString::FromUTF8("\x72"), &amp;AllGlyphs[70], &amp;AllGlyphs[20], &amp;AllGlyphs[20], &amp;AllGlyphs[82], Connection::DIAG_BOTH, Connection::EMPTY, Connection::EMPTY, Connection::EMPTY, 0, 0, 0, 1 },</v>
      </c>
      <c r="AW84" s="60"/>
      <c r="AX84" s="60"/>
      <c r="AY84" s="60"/>
      <c r="AZ84" s="60"/>
      <c r="BA84" s="60"/>
      <c r="BB84" s="60"/>
      <c r="BC84" s="61"/>
      <c r="BE84" s="54" t="str">
        <f t="shared" si="54"/>
        <v>&amp;AllGlyphs[70]</v>
      </c>
      <c r="BF84" s="54" t="str">
        <f t="shared" si="55"/>
        <v>&amp;AllGlyphs[20]</v>
      </c>
      <c r="BG84" s="54" t="str">
        <f t="shared" si="56"/>
        <v>&amp;AllGlyphs[20]</v>
      </c>
      <c r="BH84" s="54" t="str">
        <f t="shared" si="57"/>
        <v>&amp;AllGlyphs[82]</v>
      </c>
      <c r="BJ84" s="58">
        <f t="shared" si="58"/>
        <v>0</v>
      </c>
      <c r="BK84" s="58">
        <f t="shared" si="59"/>
        <v>0</v>
      </c>
      <c r="BL84" s="58">
        <f t="shared" si="60"/>
        <v>0</v>
      </c>
      <c r="BM84" s="58">
        <f t="shared" si="61"/>
        <v>1</v>
      </c>
    </row>
    <row r="85" spans="1:65" x14ac:dyDescent="0.4">
      <c r="A85" s="7" t="s">
        <v>11</v>
      </c>
      <c r="B85" s="6" t="str">
        <f t="shared" si="35"/>
        <v>s</v>
      </c>
      <c r="C85" s="48" cm="1">
        <f t="array" ref="C85">IF($N85,INDEX($O:$O,MATCH(TRUE,EXACT(B85,$A:$A),0)),"")</f>
        <v>83</v>
      </c>
      <c r="D85" s="38" t="s">
        <v>11</v>
      </c>
      <c r="E85" s="48" cm="1">
        <f t="array" ref="E85">IF($N85,INDEX($O:$O,MATCH(TRUE,EXACT(D85,$A:$A),0)),"")</f>
        <v>83</v>
      </c>
      <c r="F85" s="38" t="s">
        <v>11</v>
      </c>
      <c r="G85" s="48" cm="1">
        <f t="array" ref="G85">IF($O85&lt;&gt;"",INDEX($O:$O,MATCH(TRUE,EXACT(F85,$A:$A),0)),"")</f>
        <v>83</v>
      </c>
      <c r="H85" s="38" t="s">
        <v>11</v>
      </c>
      <c r="I85" s="48" cm="1">
        <f t="array" ref="I85">IF($N85,INDEX($O:$O,MATCH(TRUE,EXACT(H85,$A:$A),0)),"")</f>
        <v>83</v>
      </c>
      <c r="J85" s="38" t="s">
        <v>11</v>
      </c>
      <c r="K85" s="52" cm="1">
        <f t="array" ref="K85">IF($N85,INDEX($O:$O,MATCH(TRUE,EXACT(J85,$A:$A),0)),"")</f>
        <v>83</v>
      </c>
      <c r="L85" s="23"/>
      <c r="M85" s="33"/>
      <c r="N85" s="18" t="b">
        <f t="shared" si="37"/>
        <v>1</v>
      </c>
      <c r="O85" s="19">
        <f>IF(N85, MAX(O$2:O84)+1,"")</f>
        <v>83</v>
      </c>
      <c r="P85" s="23" t="str">
        <f t="shared" si="36"/>
        <v>s</v>
      </c>
      <c r="Q85" s="8" t="str" cm="1">
        <f t="array" ref="Q85">CharToUTF8(A85)</f>
        <v>\x73</v>
      </c>
      <c r="S85" s="18" t="str">
        <f>$AO$3</f>
        <v>DIAG_BOTH</v>
      </c>
      <c r="T85" s="24" t="str">
        <f t="shared" ref="T85:V86" si="63">$AO$3</f>
        <v>DIAG_BOTH</v>
      </c>
      <c r="U85" s="24" t="str">
        <f t="shared" si="63"/>
        <v>DIAG_BOTH</v>
      </c>
      <c r="V85" s="21" t="str">
        <f t="shared" si="63"/>
        <v>DIAG_BOTH</v>
      </c>
      <c r="X85" s="31" t="b">
        <f t="shared" si="38"/>
        <v>1</v>
      </c>
      <c r="Y85" s="31" t="b">
        <f t="shared" si="39"/>
        <v>1</v>
      </c>
      <c r="Z85" t="b">
        <f t="shared" si="40"/>
        <v>1</v>
      </c>
      <c r="AA85" t="b">
        <f t="shared" si="41"/>
        <v>1</v>
      </c>
      <c r="AB85" t="b">
        <f t="shared" si="42"/>
        <v>1</v>
      </c>
      <c r="AC85" t="b">
        <f t="shared" si="43"/>
        <v>1</v>
      </c>
      <c r="AD85" t="b">
        <f t="shared" si="44"/>
        <v>1</v>
      </c>
      <c r="AE85" t="b">
        <f t="shared" si="45"/>
        <v>1</v>
      </c>
      <c r="AF85" t="b">
        <f t="shared" si="46"/>
        <v>1</v>
      </c>
      <c r="AG85" t="b">
        <f t="shared" si="47"/>
        <v>1</v>
      </c>
      <c r="AH85" t="b">
        <f t="shared" si="48"/>
        <v>1</v>
      </c>
      <c r="AI85" t="b">
        <f t="shared" si="49"/>
        <v>1</v>
      </c>
      <c r="AJ85" t="b">
        <f t="shared" si="50"/>
        <v>1</v>
      </c>
      <c r="AK85" t="b">
        <f t="shared" si="51"/>
        <v>1</v>
      </c>
      <c r="AL85" t="b">
        <f t="shared" si="52"/>
        <v>1</v>
      </c>
      <c r="AM85" t="b">
        <f t="shared" si="53"/>
        <v>1</v>
      </c>
      <c r="AV85" s="59" t="str">
        <f t="shared" si="62"/>
        <v xml:space="preserve">    { wxString::FromUTF8("\x73"), &amp;AllGlyphs[83], &amp;AllGlyphs[83], &amp;AllGlyphs[83], &amp;AllGlyphs[83], Connection::DIAG_BOTH, Connection::DIAG_BOTH, Connection::DIAG_BOTH, Connection::DIAG_BOTH, 1, 1, 1, 1 },</v>
      </c>
      <c r="AW85" s="60"/>
      <c r="AX85" s="60"/>
      <c r="AY85" s="60"/>
      <c r="AZ85" s="60"/>
      <c r="BA85" s="60"/>
      <c r="BB85" s="60"/>
      <c r="BC85" s="61"/>
      <c r="BE85" s="54" t="str">
        <f t="shared" si="54"/>
        <v>&amp;AllGlyphs[83]</v>
      </c>
      <c r="BF85" s="54" t="str">
        <f t="shared" si="55"/>
        <v>&amp;AllGlyphs[83]</v>
      </c>
      <c r="BG85" s="54" t="str">
        <f t="shared" si="56"/>
        <v>&amp;AllGlyphs[83]</v>
      </c>
      <c r="BH85" s="54" t="str">
        <f t="shared" si="57"/>
        <v>&amp;AllGlyphs[83]</v>
      </c>
      <c r="BJ85" s="58">
        <f t="shared" si="58"/>
        <v>1</v>
      </c>
      <c r="BK85" s="58">
        <f t="shared" si="59"/>
        <v>1</v>
      </c>
      <c r="BL85" s="58">
        <f t="shared" si="60"/>
        <v>1</v>
      </c>
      <c r="BM85" s="58">
        <f t="shared" si="61"/>
        <v>1</v>
      </c>
    </row>
    <row r="86" spans="1:65" x14ac:dyDescent="0.4">
      <c r="A86" s="7" t="s">
        <v>4</v>
      </c>
      <c r="B86" s="6" t="str">
        <f t="shared" si="35"/>
        <v>t</v>
      </c>
      <c r="C86" s="48" cm="1">
        <f t="array" ref="C86">IF($N86,INDEX($O:$O,MATCH(TRUE,EXACT(B86,$A:$A),0)),"")</f>
        <v>84</v>
      </c>
      <c r="D86" s="38" t="s">
        <v>14</v>
      </c>
      <c r="E86" s="48" cm="1">
        <f t="array" ref="E86">IF($N86,INDEX($O:$O,MATCH(TRUE,EXACT(D86,$A:$A),0)),"")</f>
        <v>71</v>
      </c>
      <c r="F86" s="38">
        <v>5</v>
      </c>
      <c r="G86" s="48" cm="1">
        <f t="array" ref="G86">IF($O86&lt;&gt;"",INDEX($O:$O,MATCH(TRUE,EXACT(F86,$A:$A),0)),"")</f>
        <v>21</v>
      </c>
      <c r="H86" s="38">
        <v>5</v>
      </c>
      <c r="I86" s="48" cm="1">
        <f t="array" ref="I86">IF($N86,INDEX($O:$O,MATCH(TRUE,EXACT(H86,$A:$A),0)),"")</f>
        <v>21</v>
      </c>
      <c r="J86" s="38" t="s">
        <v>4</v>
      </c>
      <c r="K86" s="52" cm="1">
        <f t="array" ref="K86">IF($N86,INDEX($O:$O,MATCH(TRUE,EXACT(J86,$A:$A),0)),"")</f>
        <v>84</v>
      </c>
      <c r="L86" s="23"/>
      <c r="M86" s="33"/>
      <c r="N86" s="18" t="b">
        <f t="shared" si="37"/>
        <v>1</v>
      </c>
      <c r="O86" s="19">
        <f>IF(N86, MAX(O$2:O85)+1,"")</f>
        <v>84</v>
      </c>
      <c r="P86" s="23" t="str">
        <f t="shared" si="36"/>
        <v>t</v>
      </c>
      <c r="Q86" s="8" t="str" cm="1">
        <f t="array" ref="Q86">CharToUTF8(A86)</f>
        <v>\x74</v>
      </c>
      <c r="S86" s="18" t="str">
        <f>$AO$4</f>
        <v>ORTHO_BOTH</v>
      </c>
      <c r="T86" s="24" t="str">
        <f t="shared" si="63"/>
        <v>DIAG_BOTH</v>
      </c>
      <c r="U86" s="24" t="str">
        <f t="shared" si="63"/>
        <v>DIAG_BOTH</v>
      </c>
      <c r="V86" s="21" t="str">
        <f t="shared" si="63"/>
        <v>DIAG_BOTH</v>
      </c>
      <c r="X86" s="31" t="b">
        <f t="shared" si="38"/>
        <v>0</v>
      </c>
      <c r="Y86" s="31" t="b">
        <f t="shared" si="39"/>
        <v>0</v>
      </c>
      <c r="Z86" t="b">
        <f t="shared" si="40"/>
        <v>0</v>
      </c>
      <c r="AA86" t="b">
        <f t="shared" si="41"/>
        <v>1</v>
      </c>
      <c r="AB86" t="b">
        <f t="shared" si="42"/>
        <v>0</v>
      </c>
      <c r="AC86" t="b">
        <f t="shared" si="43"/>
        <v>1</v>
      </c>
      <c r="AD86" t="b">
        <f t="shared" si="44"/>
        <v>0</v>
      </c>
      <c r="AE86" t="b">
        <f t="shared" si="45"/>
        <v>1</v>
      </c>
      <c r="AF86" t="b">
        <f t="shared" si="46"/>
        <v>1</v>
      </c>
      <c r="AG86" t="b">
        <f t="shared" si="47"/>
        <v>1</v>
      </c>
      <c r="AH86" t="b">
        <f t="shared" si="48"/>
        <v>1</v>
      </c>
      <c r="AI86" t="b">
        <f t="shared" si="49"/>
        <v>1</v>
      </c>
      <c r="AJ86" t="b">
        <f t="shared" si="50"/>
        <v>1</v>
      </c>
      <c r="AK86" t="b">
        <f t="shared" si="51"/>
        <v>1</v>
      </c>
      <c r="AL86" t="b">
        <f t="shared" si="52"/>
        <v>1</v>
      </c>
      <c r="AM86" t="b">
        <f t="shared" si="53"/>
        <v>1</v>
      </c>
      <c r="AV86" s="59" t="str">
        <f t="shared" si="62"/>
        <v xml:space="preserve">    { wxString::FromUTF8("\x74"), &amp;AllGlyphs[71], &amp;AllGlyphs[21], &amp;AllGlyphs[21], &amp;AllGlyphs[84], Connection::ORTHO_BOTH, Connection::DIAG_BOTH, Connection::DIAG_BOTH, Connection::DIAG_BOTH, 0, 0, 0, 1 },</v>
      </c>
      <c r="AW86" s="60"/>
      <c r="AX86" s="60"/>
      <c r="AY86" s="60"/>
      <c r="AZ86" s="60"/>
      <c r="BA86" s="60"/>
      <c r="BB86" s="60"/>
      <c r="BC86" s="61"/>
      <c r="BE86" s="54" t="str">
        <f t="shared" si="54"/>
        <v>&amp;AllGlyphs[71]</v>
      </c>
      <c r="BF86" s="54" t="str">
        <f t="shared" si="55"/>
        <v>&amp;AllGlyphs[21]</v>
      </c>
      <c r="BG86" s="54" t="str">
        <f t="shared" si="56"/>
        <v>&amp;AllGlyphs[21]</v>
      </c>
      <c r="BH86" s="54" t="str">
        <f t="shared" si="57"/>
        <v>&amp;AllGlyphs[84]</v>
      </c>
      <c r="BJ86" s="58">
        <f t="shared" si="58"/>
        <v>0</v>
      </c>
      <c r="BK86" s="58">
        <f t="shared" si="59"/>
        <v>0</v>
      </c>
      <c r="BL86" s="58">
        <f t="shared" si="60"/>
        <v>0</v>
      </c>
      <c r="BM86" s="58">
        <f t="shared" si="61"/>
        <v>1</v>
      </c>
    </row>
    <row r="87" spans="1:65" x14ac:dyDescent="0.4">
      <c r="A87" s="7" t="s">
        <v>6</v>
      </c>
      <c r="B87" s="6" t="str">
        <f t="shared" si="35"/>
        <v>u</v>
      </c>
      <c r="C87" s="48" cm="1">
        <f t="array" ref="C87">IF($N87,INDEX($O:$O,MATCH(TRUE,EXACT(B87,$A:$A),0)),"")</f>
        <v>85</v>
      </c>
      <c r="D87" s="38" t="s">
        <v>16</v>
      </c>
      <c r="E87" s="48" cm="1">
        <f t="array" ref="E87">IF($N87,INDEX($O:$O,MATCH(TRUE,EXACT(D87,$A:$A),0)),"")</f>
        <v>74</v>
      </c>
      <c r="F87" s="38">
        <v>8</v>
      </c>
      <c r="G87" s="48" cm="1">
        <f t="array" ref="G87">IF($O87&lt;&gt;"",INDEX($O:$O,MATCH(TRUE,EXACT(F87,$A:$A),0)),"")</f>
        <v>24</v>
      </c>
      <c r="H87" s="38">
        <v>7</v>
      </c>
      <c r="I87" s="48" cm="1">
        <f t="array" ref="I87">IF($N87,INDEX($O:$O,MATCH(TRUE,EXACT(H87,$A:$A),0)),"")</f>
        <v>23</v>
      </c>
      <c r="J87" s="38" t="s">
        <v>7</v>
      </c>
      <c r="K87" s="52" cm="1">
        <f t="array" ref="K87">IF($N87,INDEX($O:$O,MATCH(TRUE,EXACT(J87,$A:$A),0)),"")</f>
        <v>73</v>
      </c>
      <c r="L87" s="23"/>
      <c r="M87" s="33"/>
      <c r="N87" s="18" t="b">
        <f t="shared" si="37"/>
        <v>1</v>
      </c>
      <c r="O87" s="19">
        <f>IF(N87, MAX(O$2:O86)+1,"")</f>
        <v>85</v>
      </c>
      <c r="P87" s="23" t="str">
        <f t="shared" si="36"/>
        <v>u</v>
      </c>
      <c r="Q87" s="8" t="str" cm="1">
        <f t="array" ref="Q87">CharToUTF8(A87)</f>
        <v>\x75</v>
      </c>
      <c r="S87" s="18" t="str">
        <f>$AO$4</f>
        <v>ORTHO_BOTH</v>
      </c>
      <c r="T87" s="24" t="str">
        <f>$AO$3</f>
        <v>DIAG_BOTH</v>
      </c>
      <c r="U87" s="24" t="str">
        <f>$AO$2</f>
        <v>EMPTY</v>
      </c>
      <c r="V87" s="21" t="str">
        <f>$AO$3</f>
        <v>DIAG_BOTH</v>
      </c>
      <c r="X87" s="31" t="b">
        <f t="shared" si="38"/>
        <v>0</v>
      </c>
      <c r="Y87" s="31" t="b">
        <f t="shared" si="39"/>
        <v>0</v>
      </c>
      <c r="Z87" t="b">
        <f t="shared" si="40"/>
        <v>0</v>
      </c>
      <c r="AA87" t="b">
        <f t="shared" si="41"/>
        <v>0</v>
      </c>
      <c r="AB87" t="b">
        <f t="shared" si="42"/>
        <v>0</v>
      </c>
      <c r="AC87" t="b">
        <f t="shared" si="43"/>
        <v>0</v>
      </c>
      <c r="AD87" t="b">
        <f t="shared" si="44"/>
        <v>0</v>
      </c>
      <c r="AE87" t="b">
        <f t="shared" si="45"/>
        <v>1</v>
      </c>
      <c r="AF87" t="b">
        <f t="shared" si="46"/>
        <v>1</v>
      </c>
      <c r="AG87" t="b">
        <f t="shared" si="47"/>
        <v>1</v>
      </c>
      <c r="AH87" t="b">
        <f t="shared" si="48"/>
        <v>1</v>
      </c>
      <c r="AI87" t="b">
        <f t="shared" si="49"/>
        <v>1</v>
      </c>
      <c r="AJ87" t="b">
        <f t="shared" si="50"/>
        <v>1</v>
      </c>
      <c r="AK87" t="b">
        <f t="shared" si="51"/>
        <v>1</v>
      </c>
      <c r="AL87" t="b">
        <f t="shared" si="52"/>
        <v>1</v>
      </c>
      <c r="AM87" t="b">
        <f t="shared" si="53"/>
        <v>1</v>
      </c>
      <c r="AV87" s="59" t="str">
        <f t="shared" si="62"/>
        <v xml:space="preserve">    { wxString::FromUTF8("\x75"), &amp;AllGlyphs[74], &amp;AllGlyphs[24], &amp;AllGlyphs[23], &amp;AllGlyphs[73], Connection::ORTHO_BOTH, Connection::DIAG_BOTH, Connection::EMPTY, Connection::DIAG_BOTH, 0, 0, 0, 0 },</v>
      </c>
      <c r="AW87" s="60"/>
      <c r="AX87" s="60"/>
      <c r="AY87" s="60"/>
      <c r="AZ87" s="60"/>
      <c r="BA87" s="60"/>
      <c r="BB87" s="60"/>
      <c r="BC87" s="61"/>
      <c r="BE87" s="54" t="str">
        <f t="shared" si="54"/>
        <v>&amp;AllGlyphs[74]</v>
      </c>
      <c r="BF87" s="54" t="str">
        <f t="shared" si="55"/>
        <v>&amp;AllGlyphs[24]</v>
      </c>
      <c r="BG87" s="54" t="str">
        <f t="shared" si="56"/>
        <v>&amp;AllGlyphs[23]</v>
      </c>
      <c r="BH87" s="54" t="str">
        <f t="shared" si="57"/>
        <v>&amp;AllGlyphs[73]</v>
      </c>
      <c r="BJ87" s="58">
        <f t="shared" si="58"/>
        <v>0</v>
      </c>
      <c r="BK87" s="58">
        <f t="shared" si="59"/>
        <v>0</v>
      </c>
      <c r="BL87" s="58">
        <f t="shared" si="60"/>
        <v>0</v>
      </c>
      <c r="BM87" s="58">
        <f t="shared" si="61"/>
        <v>0</v>
      </c>
    </row>
    <row r="88" spans="1:65" x14ac:dyDescent="0.4">
      <c r="A88" s="7" t="s">
        <v>22</v>
      </c>
      <c r="B88" s="6" t="str">
        <f t="shared" si="35"/>
        <v>v</v>
      </c>
      <c r="C88" s="48" cm="1">
        <f t="array" ref="C88">IF($N88,INDEX($O:$O,MATCH(TRUE,EXACT(B88,$A:$A),0)),"")</f>
        <v>86</v>
      </c>
      <c r="D88" s="38" t="s">
        <v>3</v>
      </c>
      <c r="E88" s="48" cm="1">
        <f t="array" ref="E88">IF($N88,INDEX($O:$O,MATCH(TRUE,EXACT(D88,$A:$A),0)),"")</f>
        <v>82</v>
      </c>
      <c r="F88" s="38" t="s">
        <v>13</v>
      </c>
      <c r="G88" s="48" cm="1">
        <f t="array" ref="G88">IF($O88&lt;&gt;"",INDEX($O:$O,MATCH(TRUE,EXACT(F88,$A:$A),0)),"")</f>
        <v>70</v>
      </c>
      <c r="H88" s="38" t="s">
        <v>22</v>
      </c>
      <c r="I88" s="48" cm="1">
        <f t="array" ref="I88">IF($N88,INDEX($O:$O,MATCH(TRUE,EXACT(H88,$A:$A),0)),"")</f>
        <v>86</v>
      </c>
      <c r="J88" s="38" t="s">
        <v>13</v>
      </c>
      <c r="K88" s="52" cm="1">
        <f t="array" ref="K88">IF($N88,INDEX($O:$O,MATCH(TRUE,EXACT(J88,$A:$A),0)),"")</f>
        <v>70</v>
      </c>
      <c r="L88" s="23"/>
      <c r="M88" s="33"/>
      <c r="N88" s="18" t="b">
        <f t="shared" si="37"/>
        <v>1</v>
      </c>
      <c r="O88" s="19">
        <f>IF(N88, MAX(O$2:O87)+1,"")</f>
        <v>86</v>
      </c>
      <c r="P88" s="23" t="str">
        <f t="shared" si="36"/>
        <v>v</v>
      </c>
      <c r="Q88" s="8" t="str" cm="1">
        <f t="array" ref="Q88">CharToUTF8(A88)</f>
        <v>\x76</v>
      </c>
      <c r="S88" s="18" t="str">
        <f>$AO$2</f>
        <v>EMPTY</v>
      </c>
      <c r="T88" s="24" t="str">
        <f>$AO$2</f>
        <v>EMPTY</v>
      </c>
      <c r="U88" s="24" t="str">
        <f>$AO$3</f>
        <v>DIAG_BOTH</v>
      </c>
      <c r="V88" s="21" t="str">
        <f>$AO$2</f>
        <v>EMPTY</v>
      </c>
      <c r="X88" s="31" t="b">
        <f t="shared" si="38"/>
        <v>0</v>
      </c>
      <c r="Y88" s="31" t="b">
        <f t="shared" si="39"/>
        <v>0</v>
      </c>
      <c r="Z88" t="b">
        <f t="shared" si="40"/>
        <v>1</v>
      </c>
      <c r="AA88" t="b">
        <f t="shared" si="41"/>
        <v>0</v>
      </c>
      <c r="AB88" t="b">
        <f t="shared" si="42"/>
        <v>1</v>
      </c>
      <c r="AC88" t="b">
        <f t="shared" si="43"/>
        <v>0</v>
      </c>
      <c r="AD88" t="b">
        <f t="shared" si="44"/>
        <v>0</v>
      </c>
      <c r="AE88" t="b">
        <f t="shared" si="45"/>
        <v>1</v>
      </c>
      <c r="AF88" t="b">
        <f t="shared" si="46"/>
        <v>1</v>
      </c>
      <c r="AG88" t="b">
        <f t="shared" si="47"/>
        <v>1</v>
      </c>
      <c r="AH88" t="b">
        <f t="shared" si="48"/>
        <v>1</v>
      </c>
      <c r="AI88" t="b">
        <f t="shared" si="49"/>
        <v>1</v>
      </c>
      <c r="AJ88" t="b">
        <f t="shared" si="50"/>
        <v>1</v>
      </c>
      <c r="AK88" t="b">
        <f t="shared" si="51"/>
        <v>1</v>
      </c>
      <c r="AL88" t="b">
        <f t="shared" si="52"/>
        <v>1</v>
      </c>
      <c r="AM88" t="b">
        <f t="shared" si="53"/>
        <v>1</v>
      </c>
      <c r="AV88" s="59" t="str">
        <f t="shared" si="62"/>
        <v xml:space="preserve">    { wxString::FromUTF8("\x76"), &amp;AllGlyphs[82], &amp;AllGlyphs[70], &amp;AllGlyphs[86], &amp;AllGlyphs[70], Connection::EMPTY, Connection::EMPTY, Connection::DIAG_BOTH, Connection::EMPTY, 0, 0, 1, 0 },</v>
      </c>
      <c r="AW88" s="60"/>
      <c r="AX88" s="60"/>
      <c r="AY88" s="60"/>
      <c r="AZ88" s="60"/>
      <c r="BA88" s="60"/>
      <c r="BB88" s="60"/>
      <c r="BC88" s="61"/>
      <c r="BE88" s="54" t="str">
        <f t="shared" si="54"/>
        <v>&amp;AllGlyphs[82]</v>
      </c>
      <c r="BF88" s="54" t="str">
        <f t="shared" si="55"/>
        <v>&amp;AllGlyphs[70]</v>
      </c>
      <c r="BG88" s="54" t="str">
        <f t="shared" si="56"/>
        <v>&amp;AllGlyphs[86]</v>
      </c>
      <c r="BH88" s="54" t="str">
        <f t="shared" si="57"/>
        <v>&amp;AllGlyphs[70]</v>
      </c>
      <c r="BJ88" s="58">
        <f t="shared" si="58"/>
        <v>0</v>
      </c>
      <c r="BK88" s="58">
        <f t="shared" si="59"/>
        <v>0</v>
      </c>
      <c r="BL88" s="58">
        <f t="shared" si="60"/>
        <v>1</v>
      </c>
      <c r="BM88" s="58">
        <f t="shared" si="61"/>
        <v>0</v>
      </c>
    </row>
    <row r="89" spans="1:65" x14ac:dyDescent="0.4">
      <c r="A89" s="7" t="s">
        <v>1</v>
      </c>
      <c r="B89" s="6" t="str">
        <f t="shared" si="35"/>
        <v>w</v>
      </c>
      <c r="C89" s="48" cm="1">
        <f t="array" ref="C89">IF($N89,INDEX($O:$O,MATCH(TRUE,EXACT(B89,$A:$A),0)),"")</f>
        <v>87</v>
      </c>
      <c r="D89" s="38" t="s">
        <v>12</v>
      </c>
      <c r="E89" s="48" cm="1">
        <f t="array" ref="E89">IF($N89,INDEX($O:$O,MATCH(TRUE,EXACT(D89,$A:$A),0)),"")</f>
        <v>68</v>
      </c>
      <c r="F89" s="38" t="s">
        <v>20</v>
      </c>
      <c r="G89" s="48" cm="1">
        <f t="array" ref="G89">IF($O89&lt;&gt;"",INDEX($O:$O,MATCH(TRUE,EXACT(F89,$A:$A),0)),"")</f>
        <v>88</v>
      </c>
      <c r="H89" s="38" t="s">
        <v>20</v>
      </c>
      <c r="I89" s="48" cm="1">
        <f t="array" ref="I89">IF($N89,INDEX($O:$O,MATCH(TRUE,EXACT(H89,$A:$A),0)),"")</f>
        <v>88</v>
      </c>
      <c r="J89" s="38" t="s">
        <v>1</v>
      </c>
      <c r="K89" s="52" cm="1">
        <f t="array" ref="K89">IF($N89,INDEX($O:$O,MATCH(TRUE,EXACT(J89,$A:$A),0)),"")</f>
        <v>87</v>
      </c>
      <c r="L89" s="23"/>
      <c r="M89" s="33"/>
      <c r="N89" s="18" t="b">
        <f t="shared" si="37"/>
        <v>1</v>
      </c>
      <c r="O89" s="19">
        <f>IF(N89, MAX(O$2:O88)+1,"")</f>
        <v>87</v>
      </c>
      <c r="P89" s="23" t="str">
        <f t="shared" si="36"/>
        <v>w</v>
      </c>
      <c r="Q89" s="8" t="str" cm="1">
        <f t="array" ref="Q89">CharToUTF8(A89)</f>
        <v>\x77</v>
      </c>
      <c r="S89" s="18" t="str">
        <f>$AO$2</f>
        <v>EMPTY</v>
      </c>
      <c r="T89" s="24" t="str">
        <f>$AO$3</f>
        <v>DIAG_BOTH</v>
      </c>
      <c r="U89" s="24" t="str">
        <f>$AO$3</f>
        <v>DIAG_BOTH</v>
      </c>
      <c r="V89" s="21" t="str">
        <f>$AO$3</f>
        <v>DIAG_BOTH</v>
      </c>
      <c r="X89" s="31" t="b">
        <f t="shared" si="38"/>
        <v>0</v>
      </c>
      <c r="Y89" s="31" t="b">
        <f t="shared" si="39"/>
        <v>0</v>
      </c>
      <c r="Z89" t="b">
        <f t="shared" si="40"/>
        <v>0</v>
      </c>
      <c r="AA89" t="b">
        <f t="shared" si="41"/>
        <v>1</v>
      </c>
      <c r="AB89" t="b">
        <f t="shared" si="42"/>
        <v>0</v>
      </c>
      <c r="AC89" t="b">
        <f t="shared" si="43"/>
        <v>1</v>
      </c>
      <c r="AD89" t="b">
        <f t="shared" si="44"/>
        <v>0</v>
      </c>
      <c r="AE89" t="b">
        <f t="shared" si="45"/>
        <v>1</v>
      </c>
      <c r="AF89" t="b">
        <f t="shared" si="46"/>
        <v>1</v>
      </c>
      <c r="AG89" t="b">
        <f t="shared" si="47"/>
        <v>1</v>
      </c>
      <c r="AH89" t="b">
        <f t="shared" si="48"/>
        <v>1</v>
      </c>
      <c r="AI89" t="b">
        <f t="shared" si="49"/>
        <v>1</v>
      </c>
      <c r="AJ89" t="b">
        <f t="shared" si="50"/>
        <v>1</v>
      </c>
      <c r="AK89" t="b">
        <f t="shared" si="51"/>
        <v>1</v>
      </c>
      <c r="AL89" t="b">
        <f t="shared" si="52"/>
        <v>1</v>
      </c>
      <c r="AM89" t="b">
        <f t="shared" si="53"/>
        <v>1</v>
      </c>
      <c r="AV89" s="59" t="str">
        <f t="shared" si="62"/>
        <v xml:space="preserve">    { wxString::FromUTF8("\x77"), &amp;AllGlyphs[68], &amp;AllGlyphs[88], &amp;AllGlyphs[88], &amp;AllGlyphs[87], Connection::EMPTY, Connection::DIAG_BOTH, Connection::DIAG_BOTH, Connection::DIAG_BOTH, 0, 0, 0, 1 },</v>
      </c>
      <c r="AW89" s="60"/>
      <c r="AX89" s="60"/>
      <c r="AY89" s="60"/>
      <c r="AZ89" s="60"/>
      <c r="BA89" s="60"/>
      <c r="BB89" s="60"/>
      <c r="BC89" s="61"/>
      <c r="BE89" s="54" t="str">
        <f t="shared" si="54"/>
        <v>&amp;AllGlyphs[68]</v>
      </c>
      <c r="BF89" s="54" t="str">
        <f t="shared" si="55"/>
        <v>&amp;AllGlyphs[88]</v>
      </c>
      <c r="BG89" s="54" t="str">
        <f t="shared" si="56"/>
        <v>&amp;AllGlyphs[88]</v>
      </c>
      <c r="BH89" s="54" t="str">
        <f t="shared" si="57"/>
        <v>&amp;AllGlyphs[87]</v>
      </c>
      <c r="BJ89" s="58">
        <f t="shared" si="58"/>
        <v>0</v>
      </c>
      <c r="BK89" s="58">
        <f t="shared" si="59"/>
        <v>0</v>
      </c>
      <c r="BL89" s="58">
        <f t="shared" si="60"/>
        <v>0</v>
      </c>
      <c r="BM89" s="58">
        <f t="shared" si="61"/>
        <v>1</v>
      </c>
    </row>
    <row r="90" spans="1:65" x14ac:dyDescent="0.4">
      <c r="A90" s="7" t="s">
        <v>20</v>
      </c>
      <c r="B90" s="6" t="str">
        <f t="shared" si="35"/>
        <v>x</v>
      </c>
      <c r="C90" s="48" cm="1">
        <f t="array" ref="C90">IF($N90,INDEX($O:$O,MATCH(TRUE,EXACT(B90,$A:$A),0)),"")</f>
        <v>88</v>
      </c>
      <c r="D90" s="38" t="s">
        <v>10</v>
      </c>
      <c r="E90" s="48" cm="1">
        <f t="array" ref="E90">IF($N90,INDEX($O:$O,MATCH(TRUE,EXACT(D90,$A:$A),0)),"")</f>
        <v>65</v>
      </c>
      <c r="F90" s="38" t="s">
        <v>1</v>
      </c>
      <c r="G90" s="48" cm="1">
        <f t="array" ref="G90">IF($O90&lt;&gt;"",INDEX($O:$O,MATCH(TRUE,EXACT(F90,$A:$A),0)),"")</f>
        <v>87</v>
      </c>
      <c r="H90" s="38" t="s">
        <v>1</v>
      </c>
      <c r="I90" s="48" cm="1">
        <f t="array" ref="I90">IF($N90,INDEX($O:$O,MATCH(TRUE,EXACT(H90,$A:$A),0)),"")</f>
        <v>87</v>
      </c>
      <c r="J90" s="38" t="s">
        <v>20</v>
      </c>
      <c r="K90" s="52" cm="1">
        <f t="array" ref="K90">IF($N90,INDEX($O:$O,MATCH(TRUE,EXACT(J90,$A:$A),0)),"")</f>
        <v>88</v>
      </c>
      <c r="L90" s="23"/>
      <c r="M90" s="33"/>
      <c r="N90" s="18" t="b">
        <f t="shared" si="37"/>
        <v>1</v>
      </c>
      <c r="O90" s="19">
        <f>IF(N90, MAX(O$2:O89)+1,"")</f>
        <v>88</v>
      </c>
      <c r="P90" s="23" t="str">
        <f t="shared" si="36"/>
        <v>x</v>
      </c>
      <c r="Q90" s="8" t="str" cm="1">
        <f t="array" ref="Q90">CharToUTF8(A90)</f>
        <v>\x78</v>
      </c>
      <c r="S90" s="18" t="str">
        <f>$AO$3</f>
        <v>DIAG_BOTH</v>
      </c>
      <c r="T90" s="24" t="str">
        <f>$AO$2</f>
        <v>EMPTY</v>
      </c>
      <c r="U90" s="24" t="str">
        <f>$AO$3</f>
        <v>DIAG_BOTH</v>
      </c>
      <c r="V90" s="21" t="str">
        <f>$AO$3</f>
        <v>DIAG_BOTH</v>
      </c>
      <c r="X90" s="31" t="b">
        <f t="shared" si="38"/>
        <v>0</v>
      </c>
      <c r="Y90" s="31" t="b">
        <f t="shared" si="39"/>
        <v>0</v>
      </c>
      <c r="Z90" t="b">
        <f t="shared" si="40"/>
        <v>0</v>
      </c>
      <c r="AA90" t="b">
        <f t="shared" si="41"/>
        <v>1</v>
      </c>
      <c r="AB90" t="b">
        <f t="shared" si="42"/>
        <v>1</v>
      </c>
      <c r="AC90" t="b">
        <f t="shared" si="43"/>
        <v>0</v>
      </c>
      <c r="AD90" t="b">
        <f t="shared" si="44"/>
        <v>1</v>
      </c>
      <c r="AE90" t="b">
        <f t="shared" si="45"/>
        <v>0</v>
      </c>
      <c r="AF90" t="b">
        <f t="shared" si="46"/>
        <v>1</v>
      </c>
      <c r="AG90" t="b">
        <f t="shared" si="47"/>
        <v>1</v>
      </c>
      <c r="AH90" t="b">
        <f t="shared" si="48"/>
        <v>1</v>
      </c>
      <c r="AI90" t="b">
        <f t="shared" si="49"/>
        <v>1</v>
      </c>
      <c r="AJ90" t="b">
        <f t="shared" si="50"/>
        <v>1</v>
      </c>
      <c r="AK90" t="b">
        <f t="shared" si="51"/>
        <v>1</v>
      </c>
      <c r="AL90" t="b">
        <f t="shared" si="52"/>
        <v>1</v>
      </c>
      <c r="AM90" t="b">
        <f t="shared" si="53"/>
        <v>1</v>
      </c>
      <c r="AV90" s="59" t="str">
        <f t="shared" si="62"/>
        <v xml:space="preserve">    { wxString::FromUTF8("\x78"), &amp;AllGlyphs[65], &amp;AllGlyphs[87], &amp;AllGlyphs[87], &amp;AllGlyphs[88], Connection::DIAG_BOTH, Connection::EMPTY, Connection::DIAG_BOTH, Connection::DIAG_BOTH, 0, 0, 0, 1 },</v>
      </c>
      <c r="AW90" s="60"/>
      <c r="AX90" s="60"/>
      <c r="AY90" s="60"/>
      <c r="AZ90" s="60"/>
      <c r="BA90" s="60"/>
      <c r="BB90" s="60"/>
      <c r="BC90" s="61"/>
      <c r="BE90" s="54" t="str">
        <f t="shared" si="54"/>
        <v>&amp;AllGlyphs[65]</v>
      </c>
      <c r="BF90" s="54" t="str">
        <f t="shared" si="55"/>
        <v>&amp;AllGlyphs[87]</v>
      </c>
      <c r="BG90" s="54" t="str">
        <f t="shared" si="56"/>
        <v>&amp;AllGlyphs[87]</v>
      </c>
      <c r="BH90" s="54" t="str">
        <f t="shared" si="57"/>
        <v>&amp;AllGlyphs[88]</v>
      </c>
      <c r="BJ90" s="58">
        <f t="shared" si="58"/>
        <v>0</v>
      </c>
      <c r="BK90" s="58">
        <f t="shared" si="59"/>
        <v>0</v>
      </c>
      <c r="BL90" s="58">
        <f t="shared" si="60"/>
        <v>0</v>
      </c>
      <c r="BM90" s="58">
        <f t="shared" si="61"/>
        <v>1</v>
      </c>
    </row>
    <row r="91" spans="1:65" x14ac:dyDescent="0.4">
      <c r="A91" s="7" t="s">
        <v>5</v>
      </c>
      <c r="B91" s="6" t="str">
        <f t="shared" si="35"/>
        <v>y</v>
      </c>
      <c r="C91" s="48" cm="1">
        <f t="array" ref="C91">IF($N91,INDEX($O:$O,MATCH(TRUE,EXACT(B91,$A:$A),0)),"")</f>
        <v>89</v>
      </c>
      <c r="D91" s="38" t="s">
        <v>23</v>
      </c>
      <c r="E91" s="48" cm="1">
        <f t="array" ref="E91">IF($N91,INDEX($O:$O,MATCH(TRUE,EXACT(D91,$A:$A),0)),"")</f>
        <v>66</v>
      </c>
      <c r="F91" s="38">
        <v>6</v>
      </c>
      <c r="G91" s="48" cm="1">
        <f t="array" ref="G91">IF($O91&lt;&gt;"",INDEX($O:$O,MATCH(TRUE,EXACT(F91,$A:$A),0)),"")</f>
        <v>22</v>
      </c>
      <c r="H91" s="38">
        <v>6</v>
      </c>
      <c r="I91" s="48" cm="1">
        <f t="array" ref="I91">IF($N91,INDEX($O:$O,MATCH(TRUE,EXACT(H91,$A:$A),0)),"")</f>
        <v>22</v>
      </c>
      <c r="J91" s="38" t="s">
        <v>5</v>
      </c>
      <c r="K91" s="52" cm="1">
        <f t="array" ref="K91">IF($N91,INDEX($O:$O,MATCH(TRUE,EXACT(J91,$A:$A),0)),"")</f>
        <v>89</v>
      </c>
      <c r="L91" s="23"/>
      <c r="M91" s="33"/>
      <c r="N91" s="18" t="b">
        <f t="shared" si="37"/>
        <v>1</v>
      </c>
      <c r="O91" s="19">
        <f>IF(N91, MAX(O$2:O90)+1,"")</f>
        <v>89</v>
      </c>
      <c r="P91" s="23" t="str">
        <f t="shared" si="36"/>
        <v>y</v>
      </c>
      <c r="Q91" s="8" t="str" cm="1">
        <f t="array" ref="Q91">CharToUTF8(A91)</f>
        <v>\x79</v>
      </c>
      <c r="S91" s="18" t="str">
        <f>$AO$4</f>
        <v>ORTHO_BOTH</v>
      </c>
      <c r="T91" s="24" t="str">
        <f>$AO$2</f>
        <v>EMPTY</v>
      </c>
      <c r="U91" s="24" t="str">
        <f>$AO$3</f>
        <v>DIAG_BOTH</v>
      </c>
      <c r="V91" s="21" t="str">
        <f>$AO$3</f>
        <v>DIAG_BOTH</v>
      </c>
      <c r="X91" s="31" t="b">
        <f t="shared" si="38"/>
        <v>0</v>
      </c>
      <c r="Y91" s="31" t="b">
        <f t="shared" si="39"/>
        <v>0</v>
      </c>
      <c r="Z91" t="b">
        <f t="shared" si="40"/>
        <v>0</v>
      </c>
      <c r="AA91" t="b">
        <f t="shared" si="41"/>
        <v>1</v>
      </c>
      <c r="AB91" t="b">
        <f t="shared" si="42"/>
        <v>0</v>
      </c>
      <c r="AC91" t="b">
        <f t="shared" si="43"/>
        <v>0</v>
      </c>
      <c r="AD91" t="b">
        <f t="shared" si="44"/>
        <v>0</v>
      </c>
      <c r="AE91" t="b">
        <f t="shared" si="45"/>
        <v>0</v>
      </c>
      <c r="AF91" t="b">
        <f t="shared" si="46"/>
        <v>1</v>
      </c>
      <c r="AG91" t="b">
        <f t="shared" si="47"/>
        <v>1</v>
      </c>
      <c r="AH91" t="b">
        <f t="shared" si="48"/>
        <v>1</v>
      </c>
      <c r="AI91" t="b">
        <f t="shared" si="49"/>
        <v>1</v>
      </c>
      <c r="AJ91" t="b">
        <f t="shared" si="50"/>
        <v>1</v>
      </c>
      <c r="AK91" t="b">
        <f t="shared" si="51"/>
        <v>1</v>
      </c>
      <c r="AL91" t="b">
        <f t="shared" si="52"/>
        <v>1</v>
      </c>
      <c r="AM91" t="b">
        <f t="shared" si="53"/>
        <v>1</v>
      </c>
      <c r="AV91" s="59" t="str">
        <f t="shared" si="62"/>
        <v xml:space="preserve">    { wxString::FromUTF8("\x79"), &amp;AllGlyphs[66], &amp;AllGlyphs[22], &amp;AllGlyphs[22], &amp;AllGlyphs[89], Connection::ORTHO_BOTH, Connection::EMPTY, Connection::DIAG_BOTH, Connection::DIAG_BOTH, 0, 0, 0, 1 },</v>
      </c>
      <c r="AW91" s="60"/>
      <c r="AX91" s="60"/>
      <c r="AY91" s="60"/>
      <c r="AZ91" s="60"/>
      <c r="BA91" s="60"/>
      <c r="BB91" s="60"/>
      <c r="BC91" s="61"/>
      <c r="BE91" s="54" t="str">
        <f t="shared" si="54"/>
        <v>&amp;AllGlyphs[66]</v>
      </c>
      <c r="BF91" s="54" t="str">
        <f t="shared" si="55"/>
        <v>&amp;AllGlyphs[22]</v>
      </c>
      <c r="BG91" s="54" t="str">
        <f t="shared" si="56"/>
        <v>&amp;AllGlyphs[22]</v>
      </c>
      <c r="BH91" s="54" t="str">
        <f t="shared" si="57"/>
        <v>&amp;AllGlyphs[89]</v>
      </c>
      <c r="BJ91" s="58">
        <f t="shared" si="58"/>
        <v>0</v>
      </c>
      <c r="BK91" s="58">
        <f t="shared" si="59"/>
        <v>0</v>
      </c>
      <c r="BL91" s="58">
        <f t="shared" si="60"/>
        <v>0</v>
      </c>
      <c r="BM91" s="58">
        <f t="shared" si="61"/>
        <v>1</v>
      </c>
    </row>
    <row r="92" spans="1:65" x14ac:dyDescent="0.4">
      <c r="A92" s="7" t="s">
        <v>19</v>
      </c>
      <c r="B92" s="6" t="str">
        <f t="shared" si="35"/>
        <v>z</v>
      </c>
      <c r="C92" s="48" cm="1">
        <f t="array" ref="C92">IF($N92,INDEX($O:$O,MATCH(TRUE,EXACT(B92,$A:$A),0)),"")</f>
        <v>90</v>
      </c>
      <c r="D92" s="38" t="s">
        <v>0</v>
      </c>
      <c r="E92" s="48" cm="1">
        <f t="array" ref="E92">IF($N92,INDEX($O:$O,MATCH(TRUE,EXACT(D92,$A:$A),0)),"")</f>
        <v>81</v>
      </c>
      <c r="F92" s="38" t="s">
        <v>2</v>
      </c>
      <c r="G92" s="48" cm="1">
        <f t="array" ref="G92">IF($O92&lt;&gt;"",INDEX($O:$O,MATCH(TRUE,EXACT(F92,$A:$A),0)),"")</f>
        <v>69</v>
      </c>
      <c r="H92" s="38" t="s">
        <v>0</v>
      </c>
      <c r="I92" s="48" cm="1">
        <f t="array" ref="I92">IF($N92,INDEX($O:$O,MATCH(TRUE,EXACT(H92,$A:$A),0)),"")</f>
        <v>81</v>
      </c>
      <c r="J92" s="38" t="s">
        <v>21</v>
      </c>
      <c r="K92" s="52" cm="1">
        <f t="array" ref="K92">IF($N92,INDEX($O:$O,MATCH(TRUE,EXACT(J92,$A:$A),0)),"")</f>
        <v>67</v>
      </c>
      <c r="L92" s="23"/>
      <c r="M92" s="33"/>
      <c r="N92" s="18" t="b">
        <f t="shared" si="37"/>
        <v>1</v>
      </c>
      <c r="O92" s="19">
        <f>IF(N92, MAX(O$2:O91)+1,"")</f>
        <v>90</v>
      </c>
      <c r="P92" s="23" t="str">
        <f t="shared" si="36"/>
        <v>z</v>
      </c>
      <c r="Q92" s="8" t="str" cm="1">
        <f t="array" ref="Q92">CharToUTF8(A92)</f>
        <v>\x7A</v>
      </c>
      <c r="S92" s="18" t="str">
        <f>$AO$3</f>
        <v>DIAG_BOTH</v>
      </c>
      <c r="T92" s="24" t="str">
        <f>$AO$2</f>
        <v>EMPTY</v>
      </c>
      <c r="U92" s="24" t="str">
        <f>$AO$2</f>
        <v>EMPTY</v>
      </c>
      <c r="V92" s="21" t="str">
        <f>$AO$3</f>
        <v>DIAG_BOTH</v>
      </c>
      <c r="X92" s="31" t="b">
        <f t="shared" si="38"/>
        <v>0</v>
      </c>
      <c r="Y92" s="31" t="b">
        <f t="shared" si="39"/>
        <v>0</v>
      </c>
      <c r="Z92" t="b">
        <f t="shared" si="40"/>
        <v>0</v>
      </c>
      <c r="AA92" t="b">
        <f t="shared" si="41"/>
        <v>0</v>
      </c>
      <c r="AB92" t="b">
        <f t="shared" si="42"/>
        <v>1</v>
      </c>
      <c r="AC92" t="b">
        <f t="shared" si="43"/>
        <v>1</v>
      </c>
      <c r="AD92" t="b">
        <f t="shared" si="44"/>
        <v>0</v>
      </c>
      <c r="AE92" t="b">
        <f t="shared" si="45"/>
        <v>0</v>
      </c>
      <c r="AF92" t="b">
        <f t="shared" si="46"/>
        <v>1</v>
      </c>
      <c r="AG92" t="b">
        <f t="shared" si="47"/>
        <v>1</v>
      </c>
      <c r="AH92" t="b">
        <f t="shared" si="48"/>
        <v>1</v>
      </c>
      <c r="AI92" t="b">
        <f t="shared" si="49"/>
        <v>1</v>
      </c>
      <c r="AJ92" t="b">
        <f t="shared" si="50"/>
        <v>1</v>
      </c>
      <c r="AK92" t="b">
        <f t="shared" si="51"/>
        <v>1</v>
      </c>
      <c r="AL92" t="b">
        <f t="shared" si="52"/>
        <v>1</v>
      </c>
      <c r="AM92" t="b">
        <f t="shared" si="53"/>
        <v>1</v>
      </c>
      <c r="AV92" s="59" t="str">
        <f t="shared" si="62"/>
        <v xml:space="preserve">    { wxString::FromUTF8("\x7A"), &amp;AllGlyphs[81], &amp;AllGlyphs[69], &amp;AllGlyphs[81], &amp;AllGlyphs[67], Connection::DIAG_BOTH, Connection::EMPTY, Connection::EMPTY, Connection::DIAG_BOTH, 0, 0, 0, 0 },</v>
      </c>
      <c r="AW92" s="60"/>
      <c r="AX92" s="60"/>
      <c r="AY92" s="60"/>
      <c r="AZ92" s="60"/>
      <c r="BA92" s="60"/>
      <c r="BB92" s="60"/>
      <c r="BC92" s="61"/>
      <c r="BE92" s="54" t="str">
        <f t="shared" si="54"/>
        <v>&amp;AllGlyphs[81]</v>
      </c>
      <c r="BF92" s="54" t="str">
        <f t="shared" si="55"/>
        <v>&amp;AllGlyphs[69]</v>
      </c>
      <c r="BG92" s="54" t="str">
        <f t="shared" si="56"/>
        <v>&amp;AllGlyphs[81]</v>
      </c>
      <c r="BH92" s="54" t="str">
        <f t="shared" si="57"/>
        <v>&amp;AllGlyphs[67]</v>
      </c>
      <c r="BJ92" s="58">
        <f t="shared" si="58"/>
        <v>0</v>
      </c>
      <c r="BK92" s="58">
        <f t="shared" si="59"/>
        <v>0</v>
      </c>
      <c r="BL92" s="58">
        <f t="shared" si="60"/>
        <v>0</v>
      </c>
      <c r="BM92" s="58">
        <f t="shared" si="61"/>
        <v>0</v>
      </c>
    </row>
    <row r="93" spans="1:65" x14ac:dyDescent="0.4">
      <c r="A93" s="7" t="s">
        <v>76</v>
      </c>
      <c r="B93" s="6" t="str">
        <f t="shared" si="35"/>
        <v>{</v>
      </c>
      <c r="C93" s="48" cm="1">
        <f t="array" ref="C93">IF($N93,INDEX($O:$O,MATCH(TRUE,EXACT(B93,$A:$A),0)),"")</f>
        <v>91</v>
      </c>
      <c r="D93" s="38" t="s">
        <v>75</v>
      </c>
      <c r="E93" s="48" cm="1">
        <f t="array" ref="E93">IF($N93,INDEX($O:$O,MATCH(TRUE,EXACT(D93,$A:$A),0)),"")</f>
        <v>63</v>
      </c>
      <c r="F93" s="38" t="s">
        <v>70</v>
      </c>
      <c r="G93" s="48" cm="1">
        <f t="array" ref="G93">IF($O93&lt;&gt;"",INDEX($O:$O,MATCH(TRUE,EXACT(F93,$A:$A),0)),"")</f>
        <v>11</v>
      </c>
      <c r="H93" s="38" t="s">
        <v>75</v>
      </c>
      <c r="I93" s="48" cm="1">
        <f t="array" ref="I93">IF($N93,INDEX($O:$O,MATCH(TRUE,EXACT(H93,$A:$A),0)),"")</f>
        <v>63</v>
      </c>
      <c r="J93" s="38" t="s">
        <v>77</v>
      </c>
      <c r="K93" s="52" cm="1">
        <f t="array" ref="K93">IF($N93,INDEX($O:$O,MATCH(TRUE,EXACT(J93,$A:$A),0)),"")</f>
        <v>93</v>
      </c>
      <c r="L93" s="23"/>
      <c r="M93" s="33"/>
      <c r="N93" s="18" t="b">
        <f t="shared" si="37"/>
        <v>1</v>
      </c>
      <c r="O93" s="19">
        <f>IF(N93, MAX(O$2:O92)+1,"")</f>
        <v>91</v>
      </c>
      <c r="P93" s="23" t="str">
        <f t="shared" si="36"/>
        <v>{</v>
      </c>
      <c r="Q93" s="8" t="str" cm="1">
        <f t="array" ref="Q93">CharToUTF8(A93)</f>
        <v>\x7B</v>
      </c>
      <c r="S93" s="18" t="str">
        <f>$AO$4</f>
        <v>ORTHO_BOTH</v>
      </c>
      <c r="T93" s="24" t="str">
        <f>$AO$3</f>
        <v>DIAG_BOTH</v>
      </c>
      <c r="U93" s="24" t="str">
        <f>$AO$3</f>
        <v>DIAG_BOTH</v>
      </c>
      <c r="V93" s="21" t="str">
        <f>$AO$4</f>
        <v>ORTHO_BOTH</v>
      </c>
      <c r="X93" s="31" t="b">
        <f t="shared" si="38"/>
        <v>0</v>
      </c>
      <c r="Y93" s="31" t="b">
        <f t="shared" si="39"/>
        <v>0</v>
      </c>
      <c r="Z93" t="b">
        <f t="shared" si="40"/>
        <v>0</v>
      </c>
      <c r="AA93" t="b">
        <f t="shared" si="41"/>
        <v>0</v>
      </c>
      <c r="AB93" t="b">
        <f t="shared" si="42"/>
        <v>1</v>
      </c>
      <c r="AC93" t="b">
        <f t="shared" si="43"/>
        <v>1</v>
      </c>
      <c r="AD93" t="b">
        <f t="shared" si="44"/>
        <v>0</v>
      </c>
      <c r="AE93" t="b">
        <f t="shared" si="45"/>
        <v>0</v>
      </c>
      <c r="AF93" t="b">
        <f t="shared" si="46"/>
        <v>1</v>
      </c>
      <c r="AG93" t="b">
        <f t="shared" si="47"/>
        <v>1</v>
      </c>
      <c r="AH93" t="b">
        <f t="shared" si="48"/>
        <v>1</v>
      </c>
      <c r="AI93" t="b">
        <f t="shared" si="49"/>
        <v>1</v>
      </c>
      <c r="AJ93" t="b">
        <f t="shared" si="50"/>
        <v>1</v>
      </c>
      <c r="AK93" t="b">
        <f t="shared" si="51"/>
        <v>1</v>
      </c>
      <c r="AL93" t="b">
        <f t="shared" si="52"/>
        <v>1</v>
      </c>
      <c r="AM93" t="b">
        <f t="shared" si="53"/>
        <v>1</v>
      </c>
      <c r="AV93" s="59" t="str">
        <f t="shared" si="62"/>
        <v xml:space="preserve">    { wxString::FromUTF8("\x7B"), &amp;AllGlyphs[63], &amp;AllGlyphs[11], &amp;AllGlyphs[63], &amp;AllGlyphs[93], Connection::ORTHO_BOTH, Connection::DIAG_BOTH, Connection::DIAG_BOTH, Connection::ORTHO_BOTH, 0, 0, 0, 0 },</v>
      </c>
      <c r="AW93" s="60"/>
      <c r="AX93" s="60"/>
      <c r="AY93" s="60"/>
      <c r="AZ93" s="60"/>
      <c r="BA93" s="60"/>
      <c r="BB93" s="60"/>
      <c r="BC93" s="61"/>
      <c r="BE93" s="54" t="str">
        <f t="shared" si="54"/>
        <v>&amp;AllGlyphs[63]</v>
      </c>
      <c r="BF93" s="54" t="str">
        <f t="shared" si="55"/>
        <v>&amp;AllGlyphs[11]</v>
      </c>
      <c r="BG93" s="54" t="str">
        <f t="shared" si="56"/>
        <v>&amp;AllGlyphs[63]</v>
      </c>
      <c r="BH93" s="54" t="str">
        <f t="shared" si="57"/>
        <v>&amp;AllGlyphs[93]</v>
      </c>
      <c r="BJ93" s="58">
        <f t="shared" si="58"/>
        <v>0</v>
      </c>
      <c r="BK93" s="58">
        <f t="shared" si="59"/>
        <v>0</v>
      </c>
      <c r="BL93" s="58">
        <f t="shared" si="60"/>
        <v>0</v>
      </c>
      <c r="BM93" s="58">
        <f t="shared" si="61"/>
        <v>0</v>
      </c>
    </row>
    <row r="94" spans="1:65" x14ac:dyDescent="0.4">
      <c r="A94" s="7" t="s">
        <v>69</v>
      </c>
      <c r="B94" s="6" t="str">
        <f t="shared" si="35"/>
        <v>|</v>
      </c>
      <c r="C94" s="48" cm="1">
        <f t="array" ref="C94">IF($N94,INDEX($O:$O,MATCH(TRUE,EXACT(B94,$A:$A),0)),"")</f>
        <v>92</v>
      </c>
      <c r="D94" s="38" t="s">
        <v>68</v>
      </c>
      <c r="E94" s="48" cm="1">
        <f t="array" ref="E94">IF($N94,INDEX($O:$O,MATCH(TRUE,EXACT(D94,$A:$A),0)),"")</f>
        <v>60</v>
      </c>
      <c r="F94" s="38" t="s">
        <v>69</v>
      </c>
      <c r="G94" s="48" cm="1">
        <f t="array" ref="G94">IF($O94&lt;&gt;"",INDEX($O:$O,MATCH(TRUE,EXACT(F94,$A:$A),0)),"")</f>
        <v>92</v>
      </c>
      <c r="H94" s="38" t="s">
        <v>69</v>
      </c>
      <c r="I94" s="48" cm="1">
        <f t="array" ref="I94">IF($N94,INDEX($O:$O,MATCH(TRUE,EXACT(H94,$A:$A),0)),"")</f>
        <v>92</v>
      </c>
      <c r="J94" s="38" t="s">
        <v>69</v>
      </c>
      <c r="K94" s="52" cm="1">
        <f t="array" ref="K94">IF($N94,INDEX($O:$O,MATCH(TRUE,EXACT(J94,$A:$A),0)),"")</f>
        <v>92</v>
      </c>
      <c r="L94" s="23"/>
      <c r="M94" s="33"/>
      <c r="N94" s="18" t="b">
        <f t="shared" si="37"/>
        <v>1</v>
      </c>
      <c r="O94" s="19">
        <f>IF(N94, MAX(O$2:O93)+1,"")</f>
        <v>92</v>
      </c>
      <c r="P94" s="23" t="str">
        <f t="shared" si="36"/>
        <v>|</v>
      </c>
      <c r="Q94" s="8" t="str" cm="1">
        <f t="array" ref="Q94">CharToUTF8(A94)</f>
        <v>\x7C</v>
      </c>
      <c r="S94" s="18" t="str">
        <f>$AO$2</f>
        <v>EMPTY</v>
      </c>
      <c r="T94" s="24" t="str">
        <f>$AO$2</f>
        <v>EMPTY</v>
      </c>
      <c r="U94" s="24" t="str">
        <f>$AO$4</f>
        <v>ORTHO_BOTH</v>
      </c>
      <c r="V94" s="21" t="str">
        <f>$AO$4</f>
        <v>ORTHO_BOTH</v>
      </c>
      <c r="X94" s="31" t="b">
        <f t="shared" si="38"/>
        <v>0</v>
      </c>
      <c r="Y94" s="31" t="b">
        <f t="shared" si="39"/>
        <v>1</v>
      </c>
      <c r="Z94" t="b">
        <f t="shared" si="40"/>
        <v>1</v>
      </c>
      <c r="AA94" t="b">
        <f t="shared" si="41"/>
        <v>1</v>
      </c>
      <c r="AB94" t="b">
        <f t="shared" si="42"/>
        <v>0</v>
      </c>
      <c r="AC94" t="b">
        <f t="shared" si="43"/>
        <v>0</v>
      </c>
      <c r="AD94" t="b">
        <f t="shared" si="44"/>
        <v>0</v>
      </c>
      <c r="AE94" t="b">
        <f t="shared" si="45"/>
        <v>0</v>
      </c>
      <c r="AF94" t="b">
        <f t="shared" si="46"/>
        <v>1</v>
      </c>
      <c r="AG94" t="b">
        <f t="shared" si="47"/>
        <v>1</v>
      </c>
      <c r="AH94" t="b">
        <f t="shared" si="48"/>
        <v>1</v>
      </c>
      <c r="AI94" t="b">
        <f t="shared" si="49"/>
        <v>1</v>
      </c>
      <c r="AJ94" t="b">
        <f t="shared" si="50"/>
        <v>1</v>
      </c>
      <c r="AK94" t="b">
        <f t="shared" si="51"/>
        <v>1</v>
      </c>
      <c r="AL94" t="b">
        <f t="shared" si="52"/>
        <v>1</v>
      </c>
      <c r="AM94" t="b">
        <f t="shared" si="53"/>
        <v>1</v>
      </c>
      <c r="AV94" s="59" t="str">
        <f t="shared" si="62"/>
        <v xml:space="preserve">    { wxString::FromUTF8("\x7C"), &amp;AllGlyphs[60], &amp;AllGlyphs[92], &amp;AllGlyphs[92], &amp;AllGlyphs[92], Connection::EMPTY, Connection::EMPTY, Connection::ORTHO_BOTH, Connection::ORTHO_BOTH, 0, 1, 1, 1 },</v>
      </c>
      <c r="AW94" s="60"/>
      <c r="AX94" s="60"/>
      <c r="AY94" s="60"/>
      <c r="AZ94" s="60"/>
      <c r="BA94" s="60"/>
      <c r="BB94" s="60"/>
      <c r="BC94" s="61"/>
      <c r="BE94" s="54" t="str">
        <f t="shared" si="54"/>
        <v>&amp;AllGlyphs[60]</v>
      </c>
      <c r="BF94" s="54" t="str">
        <f t="shared" si="55"/>
        <v>&amp;AllGlyphs[92]</v>
      </c>
      <c r="BG94" s="54" t="str">
        <f t="shared" si="56"/>
        <v>&amp;AllGlyphs[92]</v>
      </c>
      <c r="BH94" s="54" t="str">
        <f t="shared" si="57"/>
        <v>&amp;AllGlyphs[92]</v>
      </c>
      <c r="BJ94" s="58">
        <f t="shared" si="58"/>
        <v>0</v>
      </c>
      <c r="BK94" s="58">
        <f t="shared" si="59"/>
        <v>1</v>
      </c>
      <c r="BL94" s="58">
        <f t="shared" si="60"/>
        <v>1</v>
      </c>
      <c r="BM94" s="58">
        <f t="shared" si="61"/>
        <v>1</v>
      </c>
    </row>
    <row r="95" spans="1:65" x14ac:dyDescent="0.4">
      <c r="A95" s="7" t="s">
        <v>77</v>
      </c>
      <c r="B95" s="6" t="str">
        <f t="shared" si="35"/>
        <v>}</v>
      </c>
      <c r="C95" s="48" cm="1">
        <f t="array" ref="C95">IF($N95,INDEX($O:$O,MATCH(TRUE,EXACT(B95,$A:$A),0)),"")</f>
        <v>93</v>
      </c>
      <c r="D95" s="38" t="s">
        <v>76</v>
      </c>
      <c r="E95" s="48" cm="1">
        <f t="array" ref="E95">IF($N95,INDEX($O:$O,MATCH(TRUE,EXACT(D95,$A:$A),0)),"")</f>
        <v>91</v>
      </c>
      <c r="F95" s="38" t="s">
        <v>75</v>
      </c>
      <c r="G95" s="48" cm="1">
        <f t="array" ref="G95">IF($O95&lt;&gt;"",INDEX($O:$O,MATCH(TRUE,EXACT(F95,$A:$A),0)),"")</f>
        <v>63</v>
      </c>
      <c r="H95" s="38" t="s">
        <v>70</v>
      </c>
      <c r="I95" s="48" cm="1">
        <f t="array" ref="I95">IF($N95,INDEX($O:$O,MATCH(TRUE,EXACT(H95,$A:$A),0)),"")</f>
        <v>11</v>
      </c>
      <c r="J95" s="38" t="s">
        <v>76</v>
      </c>
      <c r="K95" s="52" cm="1">
        <f t="array" ref="K95">IF($N95,INDEX($O:$O,MATCH(TRUE,EXACT(J95,$A:$A),0)),"")</f>
        <v>91</v>
      </c>
      <c r="L95" s="23"/>
      <c r="M95" s="33"/>
      <c r="N95" s="18" t="b">
        <f t="shared" si="37"/>
        <v>1</v>
      </c>
      <c r="O95" s="19">
        <f>IF(N95, MAX(O$2:O94)+1,"")</f>
        <v>93</v>
      </c>
      <c r="P95" s="23" t="str">
        <f t="shared" si="36"/>
        <v>}</v>
      </c>
      <c r="Q95" s="8" t="str" cm="1">
        <f t="array" ref="Q95">CharToUTF8(A95)</f>
        <v>\x7D</v>
      </c>
      <c r="S95" s="18" t="str">
        <f>$AO$4</f>
        <v>ORTHO_BOTH</v>
      </c>
      <c r="T95" s="24" t="str">
        <f>$AO$3</f>
        <v>DIAG_BOTH</v>
      </c>
      <c r="U95" s="24" t="str">
        <f>$AO$4</f>
        <v>ORTHO_BOTH</v>
      </c>
      <c r="V95" s="21" t="str">
        <f>$AO$3</f>
        <v>DIAG_BOTH</v>
      </c>
      <c r="X95" s="31" t="b">
        <f t="shared" si="38"/>
        <v>0</v>
      </c>
      <c r="Y95" s="31" t="b">
        <f t="shared" si="39"/>
        <v>0</v>
      </c>
      <c r="Z95" t="b">
        <f t="shared" si="40"/>
        <v>0</v>
      </c>
      <c r="AA95" t="b">
        <f t="shared" si="41"/>
        <v>0</v>
      </c>
      <c r="AB95" t="b">
        <f t="shared" si="42"/>
        <v>0</v>
      </c>
      <c r="AC95" t="b">
        <f t="shared" si="43"/>
        <v>0</v>
      </c>
      <c r="AD95" t="b">
        <f t="shared" si="44"/>
        <v>1</v>
      </c>
      <c r="AE95" t="b">
        <f t="shared" si="45"/>
        <v>1</v>
      </c>
      <c r="AF95" t="b">
        <f t="shared" si="46"/>
        <v>1</v>
      </c>
      <c r="AG95" t="b">
        <f t="shared" si="47"/>
        <v>1</v>
      </c>
      <c r="AH95" t="b">
        <f t="shared" si="48"/>
        <v>1</v>
      </c>
      <c r="AI95" t="b">
        <f t="shared" si="49"/>
        <v>1</v>
      </c>
      <c r="AJ95" t="b">
        <f t="shared" si="50"/>
        <v>1</v>
      </c>
      <c r="AK95" t="b">
        <f t="shared" si="51"/>
        <v>1</v>
      </c>
      <c r="AL95" t="b">
        <f t="shared" si="52"/>
        <v>1</v>
      </c>
      <c r="AM95" t="b">
        <f t="shared" si="53"/>
        <v>1</v>
      </c>
      <c r="AV95" s="59" t="str">
        <f t="shared" si="62"/>
        <v xml:space="preserve">    { wxString::FromUTF8("\x7D"), &amp;AllGlyphs[91], &amp;AllGlyphs[63], &amp;AllGlyphs[11], &amp;AllGlyphs[91], Connection::ORTHO_BOTH, Connection::DIAG_BOTH, Connection::ORTHO_BOTH, Connection::DIAG_BOTH, 0, 0, 0, 0 },</v>
      </c>
      <c r="AW95" s="60"/>
      <c r="AX95" s="60"/>
      <c r="AY95" s="60"/>
      <c r="AZ95" s="60"/>
      <c r="BA95" s="60"/>
      <c r="BB95" s="60"/>
      <c r="BC95" s="61"/>
      <c r="BE95" s="54" t="str">
        <f t="shared" si="54"/>
        <v>&amp;AllGlyphs[91]</v>
      </c>
      <c r="BF95" s="54" t="str">
        <f t="shared" si="55"/>
        <v>&amp;AllGlyphs[63]</v>
      </c>
      <c r="BG95" s="54" t="str">
        <f t="shared" si="56"/>
        <v>&amp;AllGlyphs[11]</v>
      </c>
      <c r="BH95" s="54" t="str">
        <f t="shared" si="57"/>
        <v>&amp;AllGlyphs[91]</v>
      </c>
      <c r="BJ95" s="58">
        <f t="shared" si="58"/>
        <v>0</v>
      </c>
      <c r="BK95" s="58">
        <f t="shared" si="59"/>
        <v>0</v>
      </c>
      <c r="BL95" s="58">
        <f t="shared" si="60"/>
        <v>0</v>
      </c>
      <c r="BM95" s="58">
        <f t="shared" si="61"/>
        <v>0</v>
      </c>
    </row>
    <row r="96" spans="1:65" x14ac:dyDescent="0.4">
      <c r="A96" s="7" t="s">
        <v>62</v>
      </c>
      <c r="B96" s="6" t="str">
        <f t="shared" si="35"/>
        <v>~</v>
      </c>
      <c r="C96" s="48" cm="1">
        <f t="array" ref="C96">IF($N96,INDEX($O:$O,MATCH(TRUE,EXACT(B96,$A:$A),0)),"")</f>
        <v>94</v>
      </c>
      <c r="D96" s="38" t="s">
        <v>52</v>
      </c>
      <c r="E96" s="48" cm="1">
        <f t="array" ref="E96">IF($N96,INDEX($O:$O,MATCH(TRUE,EXACT(D96,$A:$A),0)),"")</f>
        <v>1</v>
      </c>
      <c r="F96" s="38" t="s">
        <v>62</v>
      </c>
      <c r="G96" s="48" cm="1">
        <f t="array" ref="G96">IF($O96&lt;&gt;"",INDEX($O:$O,MATCH(TRUE,EXACT(F96,$A:$A),0)),"")</f>
        <v>94</v>
      </c>
      <c r="H96" s="38" t="s">
        <v>62</v>
      </c>
      <c r="I96" s="48" cm="1">
        <f t="array" ref="I96">IF($N96,INDEX($O:$O,MATCH(TRUE,EXACT(H96,$A:$A),0)),"")</f>
        <v>94</v>
      </c>
      <c r="J96" s="38" t="s">
        <v>62</v>
      </c>
      <c r="K96" s="52" cm="1">
        <f t="array" ref="K96">IF($N96,INDEX($O:$O,MATCH(TRUE,EXACT(J96,$A:$A),0)),"")</f>
        <v>94</v>
      </c>
      <c r="L96" s="23"/>
      <c r="M96" s="33"/>
      <c r="N96" s="18" t="b">
        <f t="shared" si="37"/>
        <v>1</v>
      </c>
      <c r="O96" s="19">
        <f>IF(N96, MAX(O$2:O95)+1,"")</f>
        <v>94</v>
      </c>
      <c r="P96" s="23" t="str">
        <f t="shared" si="36"/>
        <v>~</v>
      </c>
      <c r="Q96" s="8" t="str" cm="1">
        <f t="array" ref="Q96">CharToUTF8(A96)</f>
        <v>\x7E</v>
      </c>
      <c r="S96" s="18" t="str">
        <f>$AO$4</f>
        <v>ORTHO_BOTH</v>
      </c>
      <c r="T96" s="24" t="str">
        <f>$AO$4</f>
        <v>ORTHO_BOTH</v>
      </c>
      <c r="U96" s="24" t="str">
        <f t="shared" ref="U96:V98" si="64">$AO$2</f>
        <v>EMPTY</v>
      </c>
      <c r="V96" s="21" t="str">
        <f t="shared" si="64"/>
        <v>EMPTY</v>
      </c>
      <c r="X96" s="31" t="b">
        <f t="shared" si="38"/>
        <v>0</v>
      </c>
      <c r="Y96" s="31" t="b">
        <f t="shared" si="39"/>
        <v>1</v>
      </c>
      <c r="Z96" t="b">
        <f t="shared" si="40"/>
        <v>1</v>
      </c>
      <c r="AA96" t="b">
        <f t="shared" si="41"/>
        <v>1</v>
      </c>
      <c r="AB96" t="b">
        <f t="shared" si="42"/>
        <v>0</v>
      </c>
      <c r="AC96" t="b">
        <f t="shared" si="43"/>
        <v>0</v>
      </c>
      <c r="AD96" t="b">
        <f t="shared" si="44"/>
        <v>0</v>
      </c>
      <c r="AE96" t="b">
        <f t="shared" si="45"/>
        <v>0</v>
      </c>
      <c r="AF96" t="b">
        <f t="shared" si="46"/>
        <v>1</v>
      </c>
      <c r="AG96" t="b">
        <f t="shared" si="47"/>
        <v>1</v>
      </c>
      <c r="AH96" t="b">
        <f t="shared" si="48"/>
        <v>1</v>
      </c>
      <c r="AI96" t="b">
        <f t="shared" si="49"/>
        <v>1</v>
      </c>
      <c r="AJ96" t="b">
        <f t="shared" si="50"/>
        <v>1</v>
      </c>
      <c r="AK96" t="b">
        <f t="shared" si="51"/>
        <v>1</v>
      </c>
      <c r="AL96" t="b">
        <f t="shared" si="52"/>
        <v>1</v>
      </c>
      <c r="AM96" t="b">
        <f t="shared" si="53"/>
        <v>1</v>
      </c>
      <c r="AV96" s="59" t="str">
        <f t="shared" si="62"/>
        <v xml:space="preserve">    { wxString::FromUTF8("\x7E"), &amp;AllGlyphs[1], &amp;AllGlyphs[94], &amp;AllGlyphs[94], &amp;AllGlyphs[94], Connection::ORTHO_BOTH, Connection::ORTHO_BOTH, Connection::EMPTY, Connection::EMPTY, 0, 1, 1, 1 },</v>
      </c>
      <c r="AW96" s="60"/>
      <c r="AX96" s="60"/>
      <c r="AY96" s="60"/>
      <c r="AZ96" s="60"/>
      <c r="BA96" s="60"/>
      <c r="BB96" s="60"/>
      <c r="BC96" s="61"/>
      <c r="BE96" s="54" t="str">
        <f t="shared" si="54"/>
        <v>&amp;AllGlyphs[1]</v>
      </c>
      <c r="BF96" s="54" t="str">
        <f t="shared" si="55"/>
        <v>&amp;AllGlyphs[94]</v>
      </c>
      <c r="BG96" s="54" t="str">
        <f t="shared" si="56"/>
        <v>&amp;AllGlyphs[94]</v>
      </c>
      <c r="BH96" s="54" t="str">
        <f t="shared" si="57"/>
        <v>&amp;AllGlyphs[94]</v>
      </c>
      <c r="BJ96" s="58">
        <f t="shared" si="58"/>
        <v>0</v>
      </c>
      <c r="BK96" s="58">
        <f t="shared" si="59"/>
        <v>1</v>
      </c>
      <c r="BL96" s="58">
        <f t="shared" si="60"/>
        <v>1</v>
      </c>
      <c r="BM96" s="58">
        <f t="shared" si="61"/>
        <v>1</v>
      </c>
    </row>
    <row r="97" spans="1:65" x14ac:dyDescent="0.4">
      <c r="A97" s="7" t="s">
        <v>169</v>
      </c>
      <c r="B97" s="6" t="str">
        <f t="shared" si="35"/>
        <v>¡</v>
      </c>
      <c r="C97" s="48" cm="1">
        <f t="array" ref="C97">IF($N97,INDEX($O:$O,MATCH(TRUE,EXACT(B97,$A:$A),0)),"")</f>
        <v>95</v>
      </c>
      <c r="D97" s="38" t="s">
        <v>172</v>
      </c>
      <c r="E97" s="48" cm="1">
        <f t="array" ref="E97">IF($N97,INDEX($O:$O,MATCH(TRUE,EXACT(D97,$A:$A),0)),"")</f>
        <v>98</v>
      </c>
      <c r="F97" s="38" t="s">
        <v>170</v>
      </c>
      <c r="G97" s="48" cm="1">
        <f t="array" ref="G97">IF($O97&lt;&gt;"",INDEX($O:$O,MATCH(TRUE,EXACT(F97,$A:$A),0)),"")</f>
        <v>96</v>
      </c>
      <c r="H97" s="38" t="s">
        <v>169</v>
      </c>
      <c r="I97" s="48" cm="1">
        <f t="array" ref="I97">IF($N97,INDEX($O:$O,MATCH(TRUE,EXACT(H97,$A:$A),0)),"")</f>
        <v>95</v>
      </c>
      <c r="J97" s="38" t="s">
        <v>170</v>
      </c>
      <c r="K97" s="52" cm="1">
        <f t="array" ref="K97">IF($N97,INDEX($O:$O,MATCH(TRUE,EXACT(J97,$A:$A),0)),"")</f>
        <v>96</v>
      </c>
      <c r="L97" s="23"/>
      <c r="M97" s="33"/>
      <c r="N97" s="18" t="b">
        <f t="shared" si="37"/>
        <v>1</v>
      </c>
      <c r="O97" s="19">
        <f>IF(N97, MAX(O$2:O96)+1,"")</f>
        <v>95</v>
      </c>
      <c r="P97" s="23" t="str">
        <f t="shared" si="36"/>
        <v>¡</v>
      </c>
      <c r="Q97" s="8" t="str" cm="1">
        <f t="array" ref="Q97">CharToUTF8(A97)</f>
        <v>\xC2\xA1</v>
      </c>
      <c r="S97" s="18" t="str">
        <f>$AO$10</f>
        <v>ORTHO_RIGHT</v>
      </c>
      <c r="T97" s="24" t="str">
        <f>$AO$10</f>
        <v>ORTHO_RIGHT</v>
      </c>
      <c r="U97" s="24" t="str">
        <f t="shared" si="64"/>
        <v>EMPTY</v>
      </c>
      <c r="V97" s="21" t="str">
        <f t="shared" si="64"/>
        <v>EMPTY</v>
      </c>
      <c r="X97" s="31" t="b">
        <f t="shared" si="38"/>
        <v>0</v>
      </c>
      <c r="Y97" s="31" t="b">
        <f t="shared" si="39"/>
        <v>0</v>
      </c>
      <c r="Z97" t="b">
        <f t="shared" si="40"/>
        <v>1</v>
      </c>
      <c r="AA97" t="b">
        <f t="shared" si="41"/>
        <v>0</v>
      </c>
      <c r="AB97" t="b">
        <f t="shared" si="42"/>
        <v>0</v>
      </c>
      <c r="AC97" t="b">
        <f t="shared" si="43"/>
        <v>0</v>
      </c>
      <c r="AD97" t="b">
        <f t="shared" si="44"/>
        <v>0</v>
      </c>
      <c r="AE97" t="b">
        <f t="shared" si="45"/>
        <v>0</v>
      </c>
      <c r="AF97" t="b">
        <f t="shared" si="46"/>
        <v>0</v>
      </c>
      <c r="AG97" t="b">
        <f t="shared" si="47"/>
        <v>0</v>
      </c>
      <c r="AH97" t="b">
        <f t="shared" si="48"/>
        <v>1</v>
      </c>
      <c r="AI97" t="b">
        <f t="shared" si="49"/>
        <v>1</v>
      </c>
      <c r="AJ97" t="b">
        <f t="shared" si="50"/>
        <v>1</v>
      </c>
      <c r="AK97" t="b">
        <f t="shared" si="51"/>
        <v>1</v>
      </c>
      <c r="AL97" t="b">
        <f t="shared" si="52"/>
        <v>1</v>
      </c>
      <c r="AM97" t="b">
        <f t="shared" si="53"/>
        <v>1</v>
      </c>
      <c r="AV97" s="59" t="str">
        <f t="shared" si="62"/>
        <v xml:space="preserve">    { wxString::FromUTF8("\xC2\xA1"), &amp;AllGlyphs[98], &amp;AllGlyphs[96], &amp;AllGlyphs[95], &amp;AllGlyphs[96], Connection::ORTHO_RIGHT, Connection::ORTHO_RIGHT, Connection::EMPTY, Connection::EMPTY, 0, 0, 1, 0 },</v>
      </c>
      <c r="AW97" s="60"/>
      <c r="AX97" s="60"/>
      <c r="AY97" s="60"/>
      <c r="AZ97" s="60"/>
      <c r="BA97" s="60"/>
      <c r="BB97" s="60"/>
      <c r="BC97" s="61"/>
      <c r="BE97" s="54" t="str">
        <f t="shared" si="54"/>
        <v>&amp;AllGlyphs[98]</v>
      </c>
      <c r="BF97" s="54" t="str">
        <f t="shared" si="55"/>
        <v>&amp;AllGlyphs[96]</v>
      </c>
      <c r="BG97" s="54" t="str">
        <f t="shared" si="56"/>
        <v>&amp;AllGlyphs[95]</v>
      </c>
      <c r="BH97" s="54" t="str">
        <f t="shared" si="57"/>
        <v>&amp;AllGlyphs[96]</v>
      </c>
      <c r="BJ97" s="58">
        <f t="shared" si="58"/>
        <v>0</v>
      </c>
      <c r="BK97" s="58">
        <f t="shared" si="59"/>
        <v>0</v>
      </c>
      <c r="BL97" s="58">
        <f t="shared" si="60"/>
        <v>1</v>
      </c>
      <c r="BM97" s="58">
        <f t="shared" si="61"/>
        <v>0</v>
      </c>
    </row>
    <row r="98" spans="1:65" x14ac:dyDescent="0.4">
      <c r="A98" s="7" t="s">
        <v>170</v>
      </c>
      <c r="B98" s="6" t="str">
        <f t="shared" si="35"/>
        <v>¢</v>
      </c>
      <c r="C98" s="48" cm="1">
        <f t="array" ref="C98">IF($N98,INDEX($O:$O,MATCH(TRUE,EXACT(B98,$A:$A),0)),"")</f>
        <v>96</v>
      </c>
      <c r="D98" s="38" t="s">
        <v>171</v>
      </c>
      <c r="E98" s="48" cm="1">
        <f t="array" ref="E98">IF($N98,INDEX($O:$O,MATCH(TRUE,EXACT(D98,$A:$A),0)),"")</f>
        <v>97</v>
      </c>
      <c r="F98" s="38" t="s">
        <v>169</v>
      </c>
      <c r="G98" s="48" cm="1">
        <f t="array" ref="G98">IF($O98&lt;&gt;"",INDEX($O:$O,MATCH(TRUE,EXACT(F98,$A:$A),0)),"")</f>
        <v>95</v>
      </c>
      <c r="H98" s="38" t="s">
        <v>170</v>
      </c>
      <c r="I98" s="48" cm="1">
        <f t="array" ref="I98">IF($N98,INDEX($O:$O,MATCH(TRUE,EXACT(H98,$A:$A),0)),"")</f>
        <v>96</v>
      </c>
      <c r="J98" s="38" t="s">
        <v>169</v>
      </c>
      <c r="K98" s="52" cm="1">
        <f t="array" ref="K98">IF($N98,INDEX($O:$O,MATCH(TRUE,EXACT(J98,$A:$A),0)),"")</f>
        <v>95</v>
      </c>
      <c r="L98" s="23"/>
      <c r="M98" s="33"/>
      <c r="N98" s="18" t="b">
        <f t="shared" si="37"/>
        <v>1</v>
      </c>
      <c r="O98" s="19">
        <f>IF(N98, MAX(O$2:O97)+1,"")</f>
        <v>96</v>
      </c>
      <c r="P98" s="23" t="str">
        <f t="shared" si="36"/>
        <v>¢</v>
      </c>
      <c r="Q98" s="8" t="str" cm="1">
        <f t="array" ref="Q98">CharToUTF8(A98)</f>
        <v>\xC2\xA2</v>
      </c>
      <c r="S98" s="18" t="str">
        <f>$AO$9</f>
        <v>ORTHO_LEFT</v>
      </c>
      <c r="T98" s="24" t="str">
        <f>$AO$9</f>
        <v>ORTHO_LEFT</v>
      </c>
      <c r="U98" s="24" t="str">
        <f t="shared" si="64"/>
        <v>EMPTY</v>
      </c>
      <c r="V98" s="21" t="str">
        <f t="shared" si="64"/>
        <v>EMPTY</v>
      </c>
      <c r="X98" s="31" t="b">
        <f t="shared" si="38"/>
        <v>0</v>
      </c>
      <c r="Y98" s="31" t="b">
        <f t="shared" si="39"/>
        <v>0</v>
      </c>
      <c r="Z98" t="b">
        <f t="shared" si="40"/>
        <v>1</v>
      </c>
      <c r="AA98" t="b">
        <f t="shared" si="41"/>
        <v>0</v>
      </c>
      <c r="AB98" t="b">
        <f t="shared" si="42"/>
        <v>0</v>
      </c>
      <c r="AC98" t="b">
        <f t="shared" si="43"/>
        <v>0</v>
      </c>
      <c r="AD98" t="b">
        <f t="shared" si="44"/>
        <v>0</v>
      </c>
      <c r="AE98" t="b">
        <f t="shared" si="45"/>
        <v>0</v>
      </c>
      <c r="AF98" t="b">
        <f t="shared" si="46"/>
        <v>0</v>
      </c>
      <c r="AG98" t="b">
        <f t="shared" si="47"/>
        <v>0</v>
      </c>
      <c r="AH98" t="b">
        <f t="shared" si="48"/>
        <v>1</v>
      </c>
      <c r="AI98" t="b">
        <f t="shared" si="49"/>
        <v>1</v>
      </c>
      <c r="AJ98" t="b">
        <f t="shared" si="50"/>
        <v>1</v>
      </c>
      <c r="AK98" t="b">
        <f t="shared" si="51"/>
        <v>1</v>
      </c>
      <c r="AL98" t="b">
        <f t="shared" si="52"/>
        <v>1</v>
      </c>
      <c r="AM98" t="b">
        <f t="shared" si="53"/>
        <v>1</v>
      </c>
      <c r="AV98" s="59" t="str">
        <f t="shared" si="62"/>
        <v xml:space="preserve">    { wxString::FromUTF8("\xC2\xA2"), &amp;AllGlyphs[97], &amp;AllGlyphs[95], &amp;AllGlyphs[96], &amp;AllGlyphs[95], Connection::ORTHO_LEFT, Connection::ORTHO_LEFT, Connection::EMPTY, Connection::EMPTY, 0, 0, 1, 0 },</v>
      </c>
      <c r="AW98" s="60"/>
      <c r="AX98" s="60"/>
      <c r="AY98" s="60"/>
      <c r="AZ98" s="60"/>
      <c r="BA98" s="60"/>
      <c r="BB98" s="60"/>
      <c r="BC98" s="61"/>
      <c r="BE98" s="54" t="str">
        <f t="shared" si="54"/>
        <v>&amp;AllGlyphs[97]</v>
      </c>
      <c r="BF98" s="54" t="str">
        <f t="shared" si="55"/>
        <v>&amp;AllGlyphs[95]</v>
      </c>
      <c r="BG98" s="54" t="str">
        <f t="shared" si="56"/>
        <v>&amp;AllGlyphs[96]</v>
      </c>
      <c r="BH98" s="54" t="str">
        <f t="shared" si="57"/>
        <v>&amp;AllGlyphs[95]</v>
      </c>
      <c r="BJ98" s="58">
        <f t="shared" si="58"/>
        <v>0</v>
      </c>
      <c r="BK98" s="58">
        <f t="shared" si="59"/>
        <v>0</v>
      </c>
      <c r="BL98" s="58">
        <f t="shared" si="60"/>
        <v>1</v>
      </c>
      <c r="BM98" s="58">
        <f t="shared" si="61"/>
        <v>0</v>
      </c>
    </row>
    <row r="99" spans="1:65" x14ac:dyDescent="0.4">
      <c r="A99" s="7" t="s">
        <v>171</v>
      </c>
      <c r="B99" s="6" t="str">
        <f t="shared" si="35"/>
        <v>£</v>
      </c>
      <c r="C99" s="48" cm="1">
        <f t="array" ref="C99">IF($N99,INDEX($O:$O,MATCH(TRUE,EXACT(B99,$A:$A),0)),"")</f>
        <v>97</v>
      </c>
      <c r="D99" s="38" t="s">
        <v>169</v>
      </c>
      <c r="E99" s="48" cm="1">
        <f t="array" ref="E99">IF($N99,INDEX($O:$O,MATCH(TRUE,EXACT(D99,$A:$A),0)),"")</f>
        <v>95</v>
      </c>
      <c r="F99" s="38" t="s">
        <v>172</v>
      </c>
      <c r="G99" s="48" cm="1">
        <f t="array" ref="G99">IF($O99&lt;&gt;"",INDEX($O:$O,MATCH(TRUE,EXACT(F99,$A:$A),0)),"")</f>
        <v>98</v>
      </c>
      <c r="H99" s="38" t="s">
        <v>172</v>
      </c>
      <c r="I99" s="48" cm="1">
        <f t="array" ref="I99">IF($N99,INDEX($O:$O,MATCH(TRUE,EXACT(H99,$A:$A),0)),"")</f>
        <v>98</v>
      </c>
      <c r="J99" s="38" t="s">
        <v>171</v>
      </c>
      <c r="K99" s="52" cm="1">
        <f t="array" ref="K99">IF($N99,INDEX($O:$O,MATCH(TRUE,EXACT(J99,$A:$A),0)),"")</f>
        <v>97</v>
      </c>
      <c r="L99" s="23"/>
      <c r="M99" s="33"/>
      <c r="N99" s="18" t="b">
        <f t="shared" si="37"/>
        <v>1</v>
      </c>
      <c r="O99" s="19">
        <f>IF(N99, MAX(O$2:O98)+1,"")</f>
        <v>97</v>
      </c>
      <c r="P99" s="23" t="str">
        <f t="shared" si="36"/>
        <v>£</v>
      </c>
      <c r="Q99" s="8" t="str" cm="1">
        <f t="array" ref="Q99">CharToUTF8(A99)</f>
        <v>\xC2\xA3</v>
      </c>
      <c r="S99" s="18" t="str">
        <f>$AO$2</f>
        <v>EMPTY</v>
      </c>
      <c r="T99" s="24" t="str">
        <f>$AO$2</f>
        <v>EMPTY</v>
      </c>
      <c r="U99" s="24" t="str">
        <f>$AO$7</f>
        <v>ORTHO_UP</v>
      </c>
      <c r="V99" s="21" t="str">
        <f>$AO$7</f>
        <v>ORTHO_UP</v>
      </c>
      <c r="X99" s="31" t="b">
        <f t="shared" si="38"/>
        <v>0</v>
      </c>
      <c r="Y99" s="31" t="b">
        <f t="shared" si="39"/>
        <v>0</v>
      </c>
      <c r="Z99" t="b">
        <f t="shared" si="40"/>
        <v>0</v>
      </c>
      <c r="AA99" t="b">
        <f t="shared" si="41"/>
        <v>1</v>
      </c>
      <c r="AB99" t="b">
        <f t="shared" si="42"/>
        <v>0</v>
      </c>
      <c r="AC99" t="b">
        <f t="shared" si="43"/>
        <v>0</v>
      </c>
      <c r="AD99" t="b">
        <f t="shared" si="44"/>
        <v>0</v>
      </c>
      <c r="AE99" t="b">
        <f t="shared" si="45"/>
        <v>0</v>
      </c>
      <c r="AF99" t="b">
        <f t="shared" si="46"/>
        <v>1</v>
      </c>
      <c r="AG99" t="b">
        <f t="shared" si="47"/>
        <v>1</v>
      </c>
      <c r="AH99" t="b">
        <f t="shared" si="48"/>
        <v>0</v>
      </c>
      <c r="AI99" t="b">
        <f t="shared" si="49"/>
        <v>0</v>
      </c>
      <c r="AJ99" t="b">
        <f t="shared" si="50"/>
        <v>1</v>
      </c>
      <c r="AK99" t="b">
        <f t="shared" si="51"/>
        <v>1</v>
      </c>
      <c r="AL99" t="b">
        <f t="shared" si="52"/>
        <v>1</v>
      </c>
      <c r="AM99" t="b">
        <f t="shared" si="53"/>
        <v>1</v>
      </c>
      <c r="AV99" s="59" t="str">
        <f t="shared" si="62"/>
        <v xml:space="preserve">    { wxString::FromUTF8("\xC2\xA3"), &amp;AllGlyphs[95], &amp;AllGlyphs[98], &amp;AllGlyphs[98], &amp;AllGlyphs[97], Connection::EMPTY, Connection::EMPTY, Connection::ORTHO_UP, Connection::ORTHO_UP, 0, 0, 0, 1 },</v>
      </c>
      <c r="AW99" s="60"/>
      <c r="AX99" s="60"/>
      <c r="AY99" s="60"/>
      <c r="AZ99" s="60"/>
      <c r="BA99" s="60"/>
      <c r="BB99" s="60"/>
      <c r="BC99" s="61"/>
      <c r="BE99" s="54" t="str">
        <f t="shared" si="54"/>
        <v>&amp;AllGlyphs[95]</v>
      </c>
      <c r="BF99" s="54" t="str">
        <f t="shared" si="55"/>
        <v>&amp;AllGlyphs[98]</v>
      </c>
      <c r="BG99" s="54" t="str">
        <f t="shared" si="56"/>
        <v>&amp;AllGlyphs[98]</v>
      </c>
      <c r="BH99" s="54" t="str">
        <f t="shared" si="57"/>
        <v>&amp;AllGlyphs[97]</v>
      </c>
      <c r="BJ99" s="58">
        <f t="shared" si="58"/>
        <v>0</v>
      </c>
      <c r="BK99" s="58">
        <f t="shared" si="59"/>
        <v>0</v>
      </c>
      <c r="BL99" s="58">
        <f t="shared" si="60"/>
        <v>0</v>
      </c>
      <c r="BM99" s="58">
        <f t="shared" si="61"/>
        <v>1</v>
      </c>
    </row>
    <row r="100" spans="1:65" x14ac:dyDescent="0.4">
      <c r="A100" s="7" t="s">
        <v>172</v>
      </c>
      <c r="B100" s="6" t="str">
        <f t="shared" si="35"/>
        <v>¤</v>
      </c>
      <c r="C100" s="48" cm="1">
        <f t="array" ref="C100">IF($N100,INDEX($O:$O,MATCH(TRUE,EXACT(B100,$A:$A),0)),"")</f>
        <v>98</v>
      </c>
      <c r="D100" s="38" t="s">
        <v>170</v>
      </c>
      <c r="E100" s="48" cm="1">
        <f t="array" ref="E100">IF($N100,INDEX($O:$O,MATCH(TRUE,EXACT(D100,$A:$A),0)),"")</f>
        <v>96</v>
      </c>
      <c r="F100" s="38" t="s">
        <v>171</v>
      </c>
      <c r="G100" s="48" cm="1">
        <f t="array" ref="G100">IF($O100&lt;&gt;"",INDEX($O:$O,MATCH(TRUE,EXACT(F100,$A:$A),0)),"")</f>
        <v>97</v>
      </c>
      <c r="H100" s="38" t="s">
        <v>171</v>
      </c>
      <c r="I100" s="48" cm="1">
        <f t="array" ref="I100">IF($N100,INDEX($O:$O,MATCH(TRUE,EXACT(H100,$A:$A),0)),"")</f>
        <v>97</v>
      </c>
      <c r="J100" s="38" t="s">
        <v>172</v>
      </c>
      <c r="K100" s="52" cm="1">
        <f t="array" ref="K100">IF($N100,INDEX($O:$O,MATCH(TRUE,EXACT(J100,$A:$A),0)),"")</f>
        <v>98</v>
      </c>
      <c r="L100" s="23"/>
      <c r="M100" s="33"/>
      <c r="N100" s="18" t="b">
        <f t="shared" si="37"/>
        <v>1</v>
      </c>
      <c r="O100" s="19">
        <f>IF(N100, MAX(O$2:O99)+1,"")</f>
        <v>98</v>
      </c>
      <c r="P100" s="23" t="str">
        <f t="shared" si="36"/>
        <v>¤</v>
      </c>
      <c r="Q100" s="8" t="str" cm="1">
        <f t="array" ref="Q100">CharToUTF8(A100)</f>
        <v>\xC2\xA4</v>
      </c>
      <c r="S100" s="18" t="str">
        <f>$AO$2</f>
        <v>EMPTY</v>
      </c>
      <c r="T100" s="24" t="str">
        <f>$AO$2</f>
        <v>EMPTY</v>
      </c>
      <c r="U100" s="24" t="str">
        <f>$AO$8</f>
        <v>ORTHO_DOWN</v>
      </c>
      <c r="V100" s="21" t="str">
        <f>$AO$8</f>
        <v>ORTHO_DOWN</v>
      </c>
      <c r="X100" s="31" t="b">
        <f t="shared" si="38"/>
        <v>0</v>
      </c>
      <c r="Y100" s="31" t="b">
        <f t="shared" si="39"/>
        <v>0</v>
      </c>
      <c r="Z100" t="b">
        <f t="shared" si="40"/>
        <v>0</v>
      </c>
      <c r="AA100" t="b">
        <f t="shared" si="41"/>
        <v>1</v>
      </c>
      <c r="AB100" t="b">
        <f t="shared" si="42"/>
        <v>0</v>
      </c>
      <c r="AC100" t="b">
        <f t="shared" si="43"/>
        <v>0</v>
      </c>
      <c r="AD100" t="b">
        <f t="shared" si="44"/>
        <v>0</v>
      </c>
      <c r="AE100" t="b">
        <f t="shared" si="45"/>
        <v>0</v>
      </c>
      <c r="AF100" t="b">
        <f t="shared" si="46"/>
        <v>1</v>
      </c>
      <c r="AG100" t="b">
        <f t="shared" si="47"/>
        <v>1</v>
      </c>
      <c r="AH100" t="b">
        <f t="shared" si="48"/>
        <v>0</v>
      </c>
      <c r="AI100" t="b">
        <f t="shared" si="49"/>
        <v>0</v>
      </c>
      <c r="AJ100" t="b">
        <f t="shared" si="50"/>
        <v>1</v>
      </c>
      <c r="AK100" t="b">
        <f t="shared" si="51"/>
        <v>1</v>
      </c>
      <c r="AL100" t="b">
        <f t="shared" si="52"/>
        <v>1</v>
      </c>
      <c r="AM100" t="b">
        <f t="shared" si="53"/>
        <v>1</v>
      </c>
      <c r="AV100" s="59" t="str">
        <f t="shared" si="62"/>
        <v xml:space="preserve">    { wxString::FromUTF8("\xC2\xA4"), &amp;AllGlyphs[96], &amp;AllGlyphs[97], &amp;AllGlyphs[97], &amp;AllGlyphs[98], Connection::EMPTY, Connection::EMPTY, Connection::ORTHO_DOWN, Connection::ORTHO_DOWN, 0, 0, 0, 1 },</v>
      </c>
      <c r="AW100" s="60"/>
      <c r="AX100" s="60"/>
      <c r="AY100" s="60"/>
      <c r="AZ100" s="60"/>
      <c r="BA100" s="60"/>
      <c r="BB100" s="60"/>
      <c r="BC100" s="61"/>
      <c r="BE100" s="54" t="str">
        <f t="shared" si="54"/>
        <v>&amp;AllGlyphs[96]</v>
      </c>
      <c r="BF100" s="54" t="str">
        <f t="shared" si="55"/>
        <v>&amp;AllGlyphs[97]</v>
      </c>
      <c r="BG100" s="54" t="str">
        <f t="shared" si="56"/>
        <v>&amp;AllGlyphs[97]</v>
      </c>
      <c r="BH100" s="54" t="str">
        <f t="shared" si="57"/>
        <v>&amp;AllGlyphs[98]</v>
      </c>
      <c r="BJ100" s="58">
        <f t="shared" si="58"/>
        <v>0</v>
      </c>
      <c r="BK100" s="58">
        <f t="shared" si="59"/>
        <v>0</v>
      </c>
      <c r="BL100" s="58">
        <f t="shared" si="60"/>
        <v>0</v>
      </c>
      <c r="BM100" s="58">
        <f t="shared" si="61"/>
        <v>1</v>
      </c>
    </row>
    <row r="101" spans="1:65" x14ac:dyDescent="0.4">
      <c r="A101" s="7" t="s">
        <v>80</v>
      </c>
      <c r="B101" s="6" t="str">
        <f t="shared" si="35"/>
        <v>¥</v>
      </c>
      <c r="C101" s="48" cm="1">
        <f t="array" ref="C101">IF($N101,INDEX($O:$O,MATCH(TRUE,EXACT(B101,$A:$A),0)),"")</f>
        <v>99</v>
      </c>
      <c r="D101" s="38" t="s">
        <v>81</v>
      </c>
      <c r="E101" s="48" cm="1">
        <f t="array" ref="E101">IF($N101,INDEX($O:$O,MATCH(TRUE,EXACT(D101,$A:$A),0)),"")</f>
        <v>100</v>
      </c>
      <c r="F101" s="38" t="s">
        <v>82</v>
      </c>
      <c r="G101" s="48" cm="1">
        <f t="array" ref="G101">IF($O101&lt;&gt;"",INDEX($O:$O,MATCH(TRUE,EXACT(F101,$A:$A),0)),"")</f>
        <v>101</v>
      </c>
      <c r="H101" s="38" t="s">
        <v>83</v>
      </c>
      <c r="I101" s="48" cm="1">
        <f t="array" ref="I101">IF($N101,INDEX($O:$O,MATCH(TRUE,EXACT(H101,$A:$A),0)),"")</f>
        <v>102</v>
      </c>
      <c r="J101" s="38" t="s">
        <v>81</v>
      </c>
      <c r="K101" s="52" cm="1">
        <f t="array" ref="K101">IF($N101,INDEX($O:$O,MATCH(TRUE,EXACT(J101,$A:$A),0)),"")</f>
        <v>100</v>
      </c>
      <c r="L101" s="23"/>
      <c r="M101" s="33"/>
      <c r="N101" s="18" t="b">
        <f t="shared" si="37"/>
        <v>1</v>
      </c>
      <c r="O101" s="19">
        <f>IF(N101, MAX(O$2:O100)+1,"")</f>
        <v>99</v>
      </c>
      <c r="P101" s="23" t="str">
        <f t="shared" si="36"/>
        <v>¥</v>
      </c>
      <c r="Q101" s="8" t="str" cm="1">
        <f t="array" ref="Q101">CharToUTF8(A101)</f>
        <v>\xC2\xA5</v>
      </c>
      <c r="S101" s="18" t="str">
        <f>$AO$5</f>
        <v>DIAG_FRONT</v>
      </c>
      <c r="T101" s="24" t="str">
        <f>$AO$3</f>
        <v>DIAG_BOTH</v>
      </c>
      <c r="U101" s="24" t="str">
        <f>$AO$6</f>
        <v>DIAG_BACK</v>
      </c>
      <c r="V101" s="21" t="str">
        <f>$AO$3</f>
        <v>DIAG_BOTH</v>
      </c>
      <c r="X101" s="31" t="b">
        <f t="shared" si="38"/>
        <v>0</v>
      </c>
      <c r="Y101" s="31" t="b">
        <f t="shared" si="39"/>
        <v>0</v>
      </c>
      <c r="Z101" t="b">
        <f t="shared" si="40"/>
        <v>0</v>
      </c>
      <c r="AA101" t="b">
        <f t="shared" si="41"/>
        <v>0</v>
      </c>
      <c r="AB101" t="b">
        <f t="shared" si="42"/>
        <v>0</v>
      </c>
      <c r="AC101" t="b">
        <f t="shared" si="43"/>
        <v>0</v>
      </c>
      <c r="AD101" t="b">
        <f t="shared" si="44"/>
        <v>0</v>
      </c>
      <c r="AE101" t="b">
        <f t="shared" si="45"/>
        <v>1</v>
      </c>
      <c r="AF101" t="b">
        <f t="shared" si="46"/>
        <v>1</v>
      </c>
      <c r="AG101" t="b">
        <f t="shared" si="47"/>
        <v>1</v>
      </c>
      <c r="AH101" t="b">
        <f t="shared" si="48"/>
        <v>1</v>
      </c>
      <c r="AI101" t="b">
        <f t="shared" si="49"/>
        <v>1</v>
      </c>
      <c r="AJ101" t="b">
        <f t="shared" si="50"/>
        <v>0</v>
      </c>
      <c r="AK101" t="b">
        <f t="shared" si="51"/>
        <v>1</v>
      </c>
      <c r="AL101" t="b">
        <f t="shared" si="52"/>
        <v>0</v>
      </c>
      <c r="AM101" t="b">
        <f t="shared" si="53"/>
        <v>1</v>
      </c>
      <c r="AV101" s="59" t="str">
        <f t="shared" si="62"/>
        <v xml:space="preserve">    { wxString::FromUTF8("\xC2\xA5"), &amp;AllGlyphs[100], &amp;AllGlyphs[101], &amp;AllGlyphs[102], &amp;AllGlyphs[100], Connection::DIAG_FRONT, Connection::DIAG_BOTH, Connection::DIAG_BACK, Connection::DIAG_BOTH, 0, 0, 0, 0 },</v>
      </c>
      <c r="AW101" s="60"/>
      <c r="AX101" s="60"/>
      <c r="AY101" s="60"/>
      <c r="AZ101" s="60"/>
      <c r="BA101" s="60"/>
      <c r="BB101" s="60"/>
      <c r="BC101" s="61"/>
      <c r="BE101" s="54" t="str">
        <f t="shared" si="54"/>
        <v>&amp;AllGlyphs[100]</v>
      </c>
      <c r="BF101" s="54" t="str">
        <f t="shared" si="55"/>
        <v>&amp;AllGlyphs[101]</v>
      </c>
      <c r="BG101" s="54" t="str">
        <f t="shared" si="56"/>
        <v>&amp;AllGlyphs[102]</v>
      </c>
      <c r="BH101" s="54" t="str">
        <f t="shared" si="57"/>
        <v>&amp;AllGlyphs[100]</v>
      </c>
      <c r="BJ101" s="58">
        <f t="shared" si="58"/>
        <v>0</v>
      </c>
      <c r="BK101" s="58">
        <f t="shared" si="59"/>
        <v>0</v>
      </c>
      <c r="BL101" s="58">
        <f t="shared" si="60"/>
        <v>0</v>
      </c>
      <c r="BM101" s="58">
        <f t="shared" si="61"/>
        <v>0</v>
      </c>
    </row>
    <row r="102" spans="1:65" x14ac:dyDescent="0.4">
      <c r="A102" s="7" t="s">
        <v>81</v>
      </c>
      <c r="B102" s="6" t="str">
        <f t="shared" si="35"/>
        <v>¦</v>
      </c>
      <c r="C102" s="48" cm="1">
        <f t="array" ref="C102">IF($N102,INDEX($O:$O,MATCH(TRUE,EXACT(B102,$A:$A),0)),"")</f>
        <v>100</v>
      </c>
      <c r="D102" s="38" t="s">
        <v>82</v>
      </c>
      <c r="E102" s="48" cm="1">
        <f t="array" ref="E102">IF($N102,INDEX($O:$O,MATCH(TRUE,EXACT(D102,$A:$A),0)),"")</f>
        <v>101</v>
      </c>
      <c r="F102" s="38" t="s">
        <v>83</v>
      </c>
      <c r="G102" s="48" cm="1">
        <f t="array" ref="G102">IF($O102&lt;&gt;"",INDEX($O:$O,MATCH(TRUE,EXACT(F102,$A:$A),0)),"")</f>
        <v>102</v>
      </c>
      <c r="H102" s="38" t="s">
        <v>82</v>
      </c>
      <c r="I102" s="48" cm="1">
        <f t="array" ref="I102">IF($N102,INDEX($O:$O,MATCH(TRUE,EXACT(H102,$A:$A),0)),"")</f>
        <v>101</v>
      </c>
      <c r="J102" s="38" t="s">
        <v>80</v>
      </c>
      <c r="K102" s="52" cm="1">
        <f t="array" ref="K102">IF($N102,INDEX($O:$O,MATCH(TRUE,EXACT(J102,$A:$A),0)),"")</f>
        <v>99</v>
      </c>
      <c r="L102" s="23"/>
      <c r="M102" s="33"/>
      <c r="N102" s="18" t="b">
        <f t="shared" si="37"/>
        <v>1</v>
      </c>
      <c r="O102" s="19">
        <f>IF(N102, MAX(O$2:O101)+1,"")</f>
        <v>100</v>
      </c>
      <c r="P102" s="23" t="str">
        <f t="shared" si="36"/>
        <v>¦</v>
      </c>
      <c r="Q102" s="8" t="str" cm="1">
        <f t="array" ref="Q102">CharToUTF8(A102)</f>
        <v>\xC2\xA6</v>
      </c>
      <c r="S102" s="18" t="str">
        <f>$AO$6</f>
        <v>DIAG_BACK</v>
      </c>
      <c r="T102" s="24" t="str">
        <f>$AO$3</f>
        <v>DIAG_BOTH</v>
      </c>
      <c r="U102" s="24" t="str">
        <f>$AO$3</f>
        <v>DIAG_BOTH</v>
      </c>
      <c r="V102" s="21" t="str">
        <f>$AO$5</f>
        <v>DIAG_FRONT</v>
      </c>
      <c r="X102" s="31" t="b">
        <f t="shared" si="38"/>
        <v>0</v>
      </c>
      <c r="Y102" s="31" t="b">
        <f t="shared" si="39"/>
        <v>0</v>
      </c>
      <c r="Z102" t="b">
        <f t="shared" si="40"/>
        <v>0</v>
      </c>
      <c r="AA102" t="b">
        <f t="shared" si="41"/>
        <v>0</v>
      </c>
      <c r="AB102" t="b">
        <f t="shared" si="42"/>
        <v>0</v>
      </c>
      <c r="AC102" t="b">
        <f t="shared" si="43"/>
        <v>1</v>
      </c>
      <c r="AD102" t="b">
        <f t="shared" si="44"/>
        <v>0</v>
      </c>
      <c r="AE102" t="b">
        <f t="shared" si="45"/>
        <v>0</v>
      </c>
      <c r="AF102" t="b">
        <f t="shared" si="46"/>
        <v>1</v>
      </c>
      <c r="AG102" t="b">
        <f t="shared" si="47"/>
        <v>1</v>
      </c>
      <c r="AH102" t="b">
        <f t="shared" si="48"/>
        <v>1</v>
      </c>
      <c r="AI102" t="b">
        <f t="shared" si="49"/>
        <v>1</v>
      </c>
      <c r="AJ102" t="b">
        <f t="shared" si="50"/>
        <v>0</v>
      </c>
      <c r="AK102" t="b">
        <f t="shared" si="51"/>
        <v>1</v>
      </c>
      <c r="AL102" t="b">
        <f t="shared" si="52"/>
        <v>1</v>
      </c>
      <c r="AM102" t="b">
        <f t="shared" si="53"/>
        <v>0</v>
      </c>
      <c r="AV102" s="59" t="str">
        <f t="shared" si="62"/>
        <v xml:space="preserve">    { wxString::FromUTF8("\xC2\xA6"), &amp;AllGlyphs[101], &amp;AllGlyphs[102], &amp;AllGlyphs[101], &amp;AllGlyphs[99], Connection::DIAG_BACK, Connection::DIAG_BOTH, Connection::DIAG_BOTH, Connection::DIAG_FRONT, 0, 0, 0, 0 },</v>
      </c>
      <c r="AW102" s="60"/>
      <c r="AX102" s="60"/>
      <c r="AY102" s="60"/>
      <c r="AZ102" s="60"/>
      <c r="BA102" s="60"/>
      <c r="BB102" s="60"/>
      <c r="BC102" s="61"/>
      <c r="BE102" s="54" t="str">
        <f t="shared" si="54"/>
        <v>&amp;AllGlyphs[101]</v>
      </c>
      <c r="BF102" s="54" t="str">
        <f t="shared" si="55"/>
        <v>&amp;AllGlyphs[102]</v>
      </c>
      <c r="BG102" s="54" t="str">
        <f t="shared" si="56"/>
        <v>&amp;AllGlyphs[101]</v>
      </c>
      <c r="BH102" s="54" t="str">
        <f t="shared" si="57"/>
        <v>&amp;AllGlyphs[99]</v>
      </c>
      <c r="BJ102" s="58">
        <f t="shared" si="58"/>
        <v>0</v>
      </c>
      <c r="BK102" s="58">
        <f t="shared" si="59"/>
        <v>0</v>
      </c>
      <c r="BL102" s="58">
        <f t="shared" si="60"/>
        <v>0</v>
      </c>
      <c r="BM102" s="58">
        <f t="shared" si="61"/>
        <v>0</v>
      </c>
    </row>
    <row r="103" spans="1:65" x14ac:dyDescent="0.4">
      <c r="A103" s="7" t="s">
        <v>82</v>
      </c>
      <c r="B103" s="6" t="str">
        <f t="shared" si="35"/>
        <v>§</v>
      </c>
      <c r="C103" s="48" cm="1">
        <f t="array" ref="C103">IF($N103,INDEX($O:$O,MATCH(TRUE,EXACT(B103,$A:$A),0)),"")</f>
        <v>101</v>
      </c>
      <c r="D103" s="38" t="s">
        <v>83</v>
      </c>
      <c r="E103" s="48" cm="1">
        <f t="array" ref="E103">IF($N103,INDEX($O:$O,MATCH(TRUE,EXACT(D103,$A:$A),0)),"")</f>
        <v>102</v>
      </c>
      <c r="F103" s="38" t="s">
        <v>80</v>
      </c>
      <c r="G103" s="48" cm="1">
        <f t="array" ref="G103">IF($O103&lt;&gt;"",INDEX($O:$O,MATCH(TRUE,EXACT(F103,$A:$A),0)),"")</f>
        <v>99</v>
      </c>
      <c r="H103" s="38" t="s">
        <v>81</v>
      </c>
      <c r="I103" s="48" cm="1">
        <f t="array" ref="I103">IF($N103,INDEX($O:$O,MATCH(TRUE,EXACT(H103,$A:$A),0)),"")</f>
        <v>100</v>
      </c>
      <c r="J103" s="38" t="s">
        <v>83</v>
      </c>
      <c r="K103" s="52" cm="1">
        <f t="array" ref="K103">IF($N103,INDEX($O:$O,MATCH(TRUE,EXACT(J103,$A:$A),0)),"")</f>
        <v>102</v>
      </c>
      <c r="L103" s="23"/>
      <c r="M103" s="33"/>
      <c r="N103" s="18" t="b">
        <f t="shared" si="37"/>
        <v>1</v>
      </c>
      <c r="O103" s="19">
        <f>IF(N103, MAX(O$2:O102)+1,"")</f>
        <v>101</v>
      </c>
      <c r="P103" s="23" t="str">
        <f t="shared" si="36"/>
        <v>§</v>
      </c>
      <c r="Q103" s="8" t="str" cm="1">
        <f t="array" ref="Q103">CharToUTF8(A103)</f>
        <v>\xC2\xA7</v>
      </c>
      <c r="S103" s="18" t="str">
        <f>$AO$3</f>
        <v>DIAG_BOTH</v>
      </c>
      <c r="T103" s="24" t="str">
        <f>$AO$5</f>
        <v>DIAG_FRONT</v>
      </c>
      <c r="U103" s="24" t="str">
        <f>$AO$3</f>
        <v>DIAG_BOTH</v>
      </c>
      <c r="V103" s="21" t="str">
        <f>$AO$6</f>
        <v>DIAG_BACK</v>
      </c>
      <c r="X103" s="31" t="b">
        <f t="shared" si="38"/>
        <v>0</v>
      </c>
      <c r="Y103" s="31" t="b">
        <f t="shared" si="39"/>
        <v>0</v>
      </c>
      <c r="Z103" t="b">
        <f t="shared" si="40"/>
        <v>0</v>
      </c>
      <c r="AA103" t="b">
        <f t="shared" si="41"/>
        <v>0</v>
      </c>
      <c r="AB103" t="b">
        <f t="shared" si="42"/>
        <v>0</v>
      </c>
      <c r="AC103" t="b">
        <f t="shared" si="43"/>
        <v>0</v>
      </c>
      <c r="AD103" t="b">
        <f t="shared" si="44"/>
        <v>1</v>
      </c>
      <c r="AE103" t="b">
        <f t="shared" si="45"/>
        <v>0</v>
      </c>
      <c r="AF103" t="b">
        <f t="shared" si="46"/>
        <v>1</v>
      </c>
      <c r="AG103" t="b">
        <f t="shared" si="47"/>
        <v>1</v>
      </c>
      <c r="AH103" t="b">
        <f t="shared" si="48"/>
        <v>1</v>
      </c>
      <c r="AI103" t="b">
        <f t="shared" si="49"/>
        <v>1</v>
      </c>
      <c r="AJ103" t="b">
        <f t="shared" si="50"/>
        <v>1</v>
      </c>
      <c r="AK103" t="b">
        <f t="shared" si="51"/>
        <v>0</v>
      </c>
      <c r="AL103" t="b">
        <f t="shared" si="52"/>
        <v>1</v>
      </c>
      <c r="AM103" t="b">
        <f t="shared" si="53"/>
        <v>0</v>
      </c>
      <c r="AV103" s="59" t="str">
        <f t="shared" si="62"/>
        <v xml:space="preserve">    { wxString::FromUTF8("\xC2\xA7"), &amp;AllGlyphs[102], &amp;AllGlyphs[99], &amp;AllGlyphs[100], &amp;AllGlyphs[102], Connection::DIAG_BOTH, Connection::DIAG_FRONT, Connection::DIAG_BOTH, Connection::DIAG_BACK, 0, 0, 0, 0 },</v>
      </c>
      <c r="AW103" s="60"/>
      <c r="AX103" s="60"/>
      <c r="AY103" s="60"/>
      <c r="AZ103" s="60"/>
      <c r="BA103" s="60"/>
      <c r="BB103" s="60"/>
      <c r="BC103" s="61"/>
      <c r="BE103" s="54" t="str">
        <f t="shared" si="54"/>
        <v>&amp;AllGlyphs[102]</v>
      </c>
      <c r="BF103" s="54" t="str">
        <f t="shared" si="55"/>
        <v>&amp;AllGlyphs[99]</v>
      </c>
      <c r="BG103" s="54" t="str">
        <f t="shared" si="56"/>
        <v>&amp;AllGlyphs[100]</v>
      </c>
      <c r="BH103" s="54" t="str">
        <f t="shared" si="57"/>
        <v>&amp;AllGlyphs[102]</v>
      </c>
      <c r="BJ103" s="58">
        <f t="shared" si="58"/>
        <v>0</v>
      </c>
      <c r="BK103" s="58">
        <f t="shared" si="59"/>
        <v>0</v>
      </c>
      <c r="BL103" s="58">
        <f t="shared" si="60"/>
        <v>0</v>
      </c>
      <c r="BM103" s="58">
        <f t="shared" si="61"/>
        <v>0</v>
      </c>
    </row>
    <row r="104" spans="1:65" x14ac:dyDescent="0.4">
      <c r="A104" s="7" t="s">
        <v>83</v>
      </c>
      <c r="B104" s="6" t="str">
        <f t="shared" si="35"/>
        <v>¨</v>
      </c>
      <c r="C104" s="48" cm="1">
        <f t="array" ref="C104">IF($N104,INDEX($O:$O,MATCH(TRUE,EXACT(B104,$A:$A),0)),"")</f>
        <v>102</v>
      </c>
      <c r="D104" s="38" t="s">
        <v>80</v>
      </c>
      <c r="E104" s="48" cm="1">
        <f t="array" ref="E104">IF($N104,INDEX($O:$O,MATCH(TRUE,EXACT(D104,$A:$A),0)),"")</f>
        <v>99</v>
      </c>
      <c r="F104" s="38" t="s">
        <v>81</v>
      </c>
      <c r="G104" s="48" cm="1">
        <f t="array" ref="G104">IF($O104&lt;&gt;"",INDEX($O:$O,MATCH(TRUE,EXACT(F104,$A:$A),0)),"")</f>
        <v>100</v>
      </c>
      <c r="H104" s="38" t="s">
        <v>80</v>
      </c>
      <c r="I104" s="48" cm="1">
        <f t="array" ref="I104">IF($N104,INDEX($O:$O,MATCH(TRUE,EXACT(H104,$A:$A),0)),"")</f>
        <v>99</v>
      </c>
      <c r="J104" s="38" t="s">
        <v>82</v>
      </c>
      <c r="K104" s="52" cm="1">
        <f t="array" ref="K104">IF($N104,INDEX($O:$O,MATCH(TRUE,EXACT(J104,$A:$A),0)),"")</f>
        <v>101</v>
      </c>
      <c r="L104" s="23"/>
      <c r="M104" s="33"/>
      <c r="N104" s="18" t="b">
        <f t="shared" si="37"/>
        <v>1</v>
      </c>
      <c r="O104" s="19">
        <f>IF(N104, MAX(O$2:O103)+1,"")</f>
        <v>102</v>
      </c>
      <c r="P104" s="23" t="str">
        <f t="shared" si="36"/>
        <v>¨</v>
      </c>
      <c r="Q104" s="8" t="str" cm="1">
        <f t="array" ref="Q104">CharToUTF8(A104)</f>
        <v>\xC2\xA8</v>
      </c>
      <c r="S104" s="18" t="str">
        <f>$AO$3</f>
        <v>DIAG_BOTH</v>
      </c>
      <c r="T104" s="24" t="str">
        <f>$AO$6</f>
        <v>DIAG_BACK</v>
      </c>
      <c r="U104" s="24" t="str">
        <f>$AO$5</f>
        <v>DIAG_FRONT</v>
      </c>
      <c r="V104" s="21" t="str">
        <f>$AO$3</f>
        <v>DIAG_BOTH</v>
      </c>
      <c r="X104" s="31" t="b">
        <f t="shared" si="38"/>
        <v>0</v>
      </c>
      <c r="Y104" s="31" t="b">
        <f t="shared" si="39"/>
        <v>0</v>
      </c>
      <c r="Z104" t="b">
        <f t="shared" si="40"/>
        <v>0</v>
      </c>
      <c r="AA104" t="b">
        <f t="shared" si="41"/>
        <v>0</v>
      </c>
      <c r="AB104" t="b">
        <f t="shared" si="42"/>
        <v>1</v>
      </c>
      <c r="AC104" t="b">
        <f t="shared" si="43"/>
        <v>0</v>
      </c>
      <c r="AD104" t="b">
        <f t="shared" si="44"/>
        <v>0</v>
      </c>
      <c r="AE104" t="b">
        <f t="shared" si="45"/>
        <v>0</v>
      </c>
      <c r="AF104" t="b">
        <f t="shared" si="46"/>
        <v>1</v>
      </c>
      <c r="AG104" t="b">
        <f t="shared" si="47"/>
        <v>1</v>
      </c>
      <c r="AH104" t="b">
        <f t="shared" si="48"/>
        <v>1</v>
      </c>
      <c r="AI104" t="b">
        <f t="shared" si="49"/>
        <v>1</v>
      </c>
      <c r="AJ104" t="b">
        <f t="shared" si="50"/>
        <v>1</v>
      </c>
      <c r="AK104" t="b">
        <f t="shared" si="51"/>
        <v>0</v>
      </c>
      <c r="AL104" t="b">
        <f t="shared" si="52"/>
        <v>0</v>
      </c>
      <c r="AM104" t="b">
        <f t="shared" si="53"/>
        <v>1</v>
      </c>
      <c r="AV104" s="59" t="str">
        <f t="shared" si="62"/>
        <v xml:space="preserve">    { wxString::FromUTF8("\xC2\xA8"), &amp;AllGlyphs[99], &amp;AllGlyphs[100], &amp;AllGlyphs[99], &amp;AllGlyphs[101], Connection::DIAG_BOTH, Connection::DIAG_BACK, Connection::DIAG_FRONT, Connection::DIAG_BOTH, 0, 0, 0, 0 },</v>
      </c>
      <c r="AW104" s="60"/>
      <c r="AX104" s="60"/>
      <c r="AY104" s="60"/>
      <c r="AZ104" s="60"/>
      <c r="BA104" s="60"/>
      <c r="BB104" s="60"/>
      <c r="BC104" s="61"/>
      <c r="BE104" s="54" t="str">
        <f t="shared" si="54"/>
        <v>&amp;AllGlyphs[99]</v>
      </c>
      <c r="BF104" s="54" t="str">
        <f t="shared" si="55"/>
        <v>&amp;AllGlyphs[100]</v>
      </c>
      <c r="BG104" s="54" t="str">
        <f t="shared" si="56"/>
        <v>&amp;AllGlyphs[99]</v>
      </c>
      <c r="BH104" s="54" t="str">
        <f t="shared" si="57"/>
        <v>&amp;AllGlyphs[101]</v>
      </c>
      <c r="BJ104" s="58">
        <f t="shared" si="58"/>
        <v>0</v>
      </c>
      <c r="BK104" s="58">
        <f t="shared" si="59"/>
        <v>0</v>
      </c>
      <c r="BL104" s="58">
        <f t="shared" si="60"/>
        <v>0</v>
      </c>
      <c r="BM104" s="58">
        <f t="shared" si="61"/>
        <v>0</v>
      </c>
    </row>
    <row r="105" spans="1:65" x14ac:dyDescent="0.4">
      <c r="A105" s="7" t="s">
        <v>84</v>
      </c>
      <c r="B105" s="6" t="str">
        <f t="shared" si="35"/>
        <v>©</v>
      </c>
      <c r="C105" s="48" cm="1">
        <f t="array" ref="C105">IF($N105,INDEX($O:$O,MATCH(TRUE,EXACT(B105,$A:$A),0)),"")</f>
        <v>103</v>
      </c>
      <c r="D105" s="38" t="s">
        <v>85</v>
      </c>
      <c r="E105" s="48" cm="1">
        <f t="array" ref="E105">IF($N105,INDEX($O:$O,MATCH(TRUE,EXACT(D105,$A:$A),0)),"")</f>
        <v>104</v>
      </c>
      <c r="F105" s="38" t="s">
        <v>86</v>
      </c>
      <c r="G105" s="48" cm="1">
        <f t="array" ref="G105">IF($O105&lt;&gt;"",INDEX($O:$O,MATCH(TRUE,EXACT(F105,$A:$A),0)),"")</f>
        <v>105</v>
      </c>
      <c r="H105" s="38" t="s">
        <v>86</v>
      </c>
      <c r="I105" s="48" cm="1">
        <f t="array" ref="I105">IF($N105,INDEX($O:$O,MATCH(TRUE,EXACT(H105,$A:$A),0)),"")</f>
        <v>105</v>
      </c>
      <c r="J105" s="38" t="s">
        <v>84</v>
      </c>
      <c r="K105" s="52" cm="1">
        <f t="array" ref="K105">IF($N105,INDEX($O:$O,MATCH(TRUE,EXACT(J105,$A:$A),0)),"")</f>
        <v>103</v>
      </c>
      <c r="L105" s="23"/>
      <c r="M105" s="33"/>
      <c r="N105" s="18" t="b">
        <f t="shared" si="37"/>
        <v>1</v>
      </c>
      <c r="O105" s="19">
        <f>IF(N105, MAX(O$2:O104)+1,"")</f>
        <v>103</v>
      </c>
      <c r="P105" s="23" t="str">
        <f t="shared" si="36"/>
        <v>©</v>
      </c>
      <c r="Q105" s="8" t="str" cm="1">
        <f t="array" ref="Q105">CharToUTF8(A105)</f>
        <v>\xC2\xA9</v>
      </c>
      <c r="S105" s="18" t="str">
        <f>$AO$2</f>
        <v>EMPTY</v>
      </c>
      <c r="T105" s="24" t="str">
        <f>$AO$3</f>
        <v>DIAG_BOTH</v>
      </c>
      <c r="U105" s="24" t="str">
        <f>$AO$6</f>
        <v>DIAG_BACK</v>
      </c>
      <c r="V105" s="21" t="str">
        <f>$AO$5</f>
        <v>DIAG_FRONT</v>
      </c>
      <c r="X105" s="31" t="b">
        <f t="shared" si="38"/>
        <v>0</v>
      </c>
      <c r="Y105" s="31" t="b">
        <f t="shared" si="39"/>
        <v>0</v>
      </c>
      <c r="Z105" t="b">
        <f t="shared" si="40"/>
        <v>0</v>
      </c>
      <c r="AA105" t="b">
        <f t="shared" si="41"/>
        <v>1</v>
      </c>
      <c r="AB105" t="b">
        <f t="shared" si="42"/>
        <v>0</v>
      </c>
      <c r="AC105" t="b">
        <f t="shared" si="43"/>
        <v>0</v>
      </c>
      <c r="AD105" t="b">
        <f t="shared" si="44"/>
        <v>0</v>
      </c>
      <c r="AE105" t="b">
        <f t="shared" si="45"/>
        <v>0</v>
      </c>
      <c r="AF105" t="b">
        <f t="shared" si="46"/>
        <v>1</v>
      </c>
      <c r="AG105" t="b">
        <f t="shared" si="47"/>
        <v>1</v>
      </c>
      <c r="AH105" t="b">
        <f t="shared" si="48"/>
        <v>1</v>
      </c>
      <c r="AI105" t="b">
        <f t="shared" si="49"/>
        <v>1</v>
      </c>
      <c r="AJ105" t="b">
        <f t="shared" si="50"/>
        <v>1</v>
      </c>
      <c r="AK105" t="b">
        <f t="shared" si="51"/>
        <v>1</v>
      </c>
      <c r="AL105" t="b">
        <f t="shared" si="52"/>
        <v>0</v>
      </c>
      <c r="AM105" t="b">
        <f t="shared" si="53"/>
        <v>0</v>
      </c>
      <c r="AV105" s="59" t="str">
        <f t="shared" si="62"/>
        <v xml:space="preserve">    { wxString::FromUTF8("\xC2\xA9"), &amp;AllGlyphs[104], &amp;AllGlyphs[105], &amp;AllGlyphs[105], &amp;AllGlyphs[103], Connection::EMPTY, Connection::DIAG_BOTH, Connection::DIAG_BACK, Connection::DIAG_FRONT, 0, 0, 0, 1 },</v>
      </c>
      <c r="AW105" s="60"/>
      <c r="AX105" s="60"/>
      <c r="AY105" s="60"/>
      <c r="AZ105" s="60"/>
      <c r="BA105" s="60"/>
      <c r="BB105" s="60"/>
      <c r="BC105" s="61"/>
      <c r="BE105" s="54" t="str">
        <f t="shared" si="54"/>
        <v>&amp;AllGlyphs[104]</v>
      </c>
      <c r="BF105" s="54" t="str">
        <f t="shared" si="55"/>
        <v>&amp;AllGlyphs[105]</v>
      </c>
      <c r="BG105" s="54" t="str">
        <f t="shared" si="56"/>
        <v>&amp;AllGlyphs[105]</v>
      </c>
      <c r="BH105" s="54" t="str">
        <f t="shared" si="57"/>
        <v>&amp;AllGlyphs[103]</v>
      </c>
      <c r="BJ105" s="58">
        <f t="shared" si="58"/>
        <v>0</v>
      </c>
      <c r="BK105" s="58">
        <f t="shared" si="59"/>
        <v>0</v>
      </c>
      <c r="BL105" s="58">
        <f t="shared" si="60"/>
        <v>0</v>
      </c>
      <c r="BM105" s="58">
        <f t="shared" si="61"/>
        <v>1</v>
      </c>
    </row>
    <row r="106" spans="1:65" ht="31.5" customHeight="1" x14ac:dyDescent="0.4">
      <c r="A106" s="7" t="s">
        <v>85</v>
      </c>
      <c r="B106" s="6" t="str">
        <f t="shared" si="35"/>
        <v>ª</v>
      </c>
      <c r="C106" s="48" cm="1">
        <f t="array" ref="C106">IF($N106,INDEX($O:$O,MATCH(TRUE,EXACT(B106,$A:$A),0)),"")</f>
        <v>104</v>
      </c>
      <c r="D106" s="38" t="s">
        <v>86</v>
      </c>
      <c r="E106" s="48" cm="1">
        <f t="array" ref="E106">IF($N106,INDEX($O:$O,MATCH(TRUE,EXACT(D106,$A:$A),0)),"")</f>
        <v>105</v>
      </c>
      <c r="F106" s="38" t="s">
        <v>87</v>
      </c>
      <c r="G106" s="48" cm="1">
        <f t="array" ref="G106">IF($O106&lt;&gt;"",INDEX($O:$O,MATCH(TRUE,EXACT(F106,$A:$A),0)),"")</f>
        <v>106</v>
      </c>
      <c r="H106" s="38" t="s">
        <v>85</v>
      </c>
      <c r="I106" s="48" cm="1">
        <f t="array" ref="I106">IF($N106,INDEX($O:$O,MATCH(TRUE,EXACT(H106,$A:$A),0)),"")</f>
        <v>104</v>
      </c>
      <c r="J106" s="38" t="s">
        <v>87</v>
      </c>
      <c r="K106" s="52" cm="1">
        <f t="array" ref="K106">IF($N106,INDEX($O:$O,MATCH(TRUE,EXACT(J106,$A:$A),0)),"")</f>
        <v>106</v>
      </c>
      <c r="L106" s="23"/>
      <c r="M106" s="33"/>
      <c r="N106" s="18" t="b">
        <f t="shared" si="37"/>
        <v>1</v>
      </c>
      <c r="O106" s="19">
        <f>IF(N106, MAX(O$2:O105)+1,"")</f>
        <v>104</v>
      </c>
      <c r="P106" s="23" t="str">
        <f t="shared" si="36"/>
        <v>ª</v>
      </c>
      <c r="Q106" s="8" t="str" cm="1">
        <f t="array" ref="Q106">CharToUTF8(A106)</f>
        <v>\xC2\xAA</v>
      </c>
      <c r="S106" s="18" t="str">
        <f>$AO$6</f>
        <v>DIAG_BACK</v>
      </c>
      <c r="T106" s="24" t="str">
        <f>$AO$5</f>
        <v>DIAG_FRONT</v>
      </c>
      <c r="U106" s="24" t="str">
        <f>$AO$3</f>
        <v>DIAG_BOTH</v>
      </c>
      <c r="V106" s="21" t="str">
        <f>$AO$2</f>
        <v>EMPTY</v>
      </c>
      <c r="X106" s="31" t="b">
        <f t="shared" si="38"/>
        <v>0</v>
      </c>
      <c r="Y106" s="31" t="b">
        <f t="shared" si="39"/>
        <v>0</v>
      </c>
      <c r="Z106" t="b">
        <f t="shared" si="40"/>
        <v>1</v>
      </c>
      <c r="AA106" t="b">
        <f t="shared" si="41"/>
        <v>0</v>
      </c>
      <c r="AB106" t="b">
        <f t="shared" si="42"/>
        <v>0</v>
      </c>
      <c r="AC106" t="b">
        <f t="shared" si="43"/>
        <v>0</v>
      </c>
      <c r="AD106" t="b">
        <f t="shared" si="44"/>
        <v>0</v>
      </c>
      <c r="AE106" t="b">
        <f t="shared" si="45"/>
        <v>0</v>
      </c>
      <c r="AF106" t="b">
        <f t="shared" si="46"/>
        <v>1</v>
      </c>
      <c r="AG106" t="b">
        <f t="shared" si="47"/>
        <v>1</v>
      </c>
      <c r="AH106" t="b">
        <f t="shared" si="48"/>
        <v>1</v>
      </c>
      <c r="AI106" t="b">
        <f t="shared" si="49"/>
        <v>1</v>
      </c>
      <c r="AJ106" t="b">
        <f t="shared" si="50"/>
        <v>0</v>
      </c>
      <c r="AK106" t="b">
        <f t="shared" si="51"/>
        <v>0</v>
      </c>
      <c r="AL106" t="b">
        <f t="shared" si="52"/>
        <v>1</v>
      </c>
      <c r="AM106" t="b">
        <f t="shared" si="53"/>
        <v>1</v>
      </c>
      <c r="AV106" s="59" t="str">
        <f t="shared" si="62"/>
        <v xml:space="preserve">    { wxString::FromUTF8("\xC2\xAA"), &amp;AllGlyphs[105], &amp;AllGlyphs[106], &amp;AllGlyphs[104], &amp;AllGlyphs[106], Connection::DIAG_BACK, Connection::DIAG_FRONT, Connection::DIAG_BOTH, Connection::EMPTY, 0, 0, 1, 0 },</v>
      </c>
      <c r="AW106" s="60"/>
      <c r="AX106" s="60"/>
      <c r="AY106" s="60"/>
      <c r="AZ106" s="60"/>
      <c r="BA106" s="60"/>
      <c r="BB106" s="60"/>
      <c r="BC106" s="61"/>
      <c r="BE106" s="54" t="str">
        <f t="shared" si="54"/>
        <v>&amp;AllGlyphs[105]</v>
      </c>
      <c r="BF106" s="54" t="str">
        <f t="shared" si="55"/>
        <v>&amp;AllGlyphs[106]</v>
      </c>
      <c r="BG106" s="54" t="str">
        <f t="shared" si="56"/>
        <v>&amp;AllGlyphs[104]</v>
      </c>
      <c r="BH106" s="54" t="str">
        <f t="shared" si="57"/>
        <v>&amp;AllGlyphs[106]</v>
      </c>
      <c r="BJ106" s="58">
        <f t="shared" si="58"/>
        <v>0</v>
      </c>
      <c r="BK106" s="58">
        <f t="shared" si="59"/>
        <v>0</v>
      </c>
      <c r="BL106" s="58">
        <f t="shared" si="60"/>
        <v>1</v>
      </c>
      <c r="BM106" s="58">
        <f t="shared" si="61"/>
        <v>0</v>
      </c>
    </row>
    <row r="107" spans="1:65" x14ac:dyDescent="0.4">
      <c r="A107" s="7" t="s">
        <v>86</v>
      </c>
      <c r="B107" s="6" t="str">
        <f t="shared" si="35"/>
        <v>«</v>
      </c>
      <c r="C107" s="48" cm="1">
        <f t="array" ref="C107">IF($N107,INDEX($O:$O,MATCH(TRUE,EXACT(B107,$A:$A),0)),"")</f>
        <v>105</v>
      </c>
      <c r="D107" s="38" t="s">
        <v>87</v>
      </c>
      <c r="E107" s="48" cm="1">
        <f t="array" ref="E107">IF($N107,INDEX($O:$O,MATCH(TRUE,EXACT(D107,$A:$A),0)),"")</f>
        <v>106</v>
      </c>
      <c r="F107" s="38" t="s">
        <v>84</v>
      </c>
      <c r="G107" s="48" cm="1">
        <f t="array" ref="G107">IF($O107&lt;&gt;"",INDEX($O:$O,MATCH(TRUE,EXACT(F107,$A:$A),0)),"")</f>
        <v>103</v>
      </c>
      <c r="H107" s="38" t="s">
        <v>84</v>
      </c>
      <c r="I107" s="48" cm="1">
        <f t="array" ref="I107">IF($N107,INDEX($O:$O,MATCH(TRUE,EXACT(H107,$A:$A),0)),"")</f>
        <v>103</v>
      </c>
      <c r="J107" s="38" t="s">
        <v>86</v>
      </c>
      <c r="K107" s="52" cm="1">
        <f t="array" ref="K107">IF($N107,INDEX($O:$O,MATCH(TRUE,EXACT(J107,$A:$A),0)),"")</f>
        <v>105</v>
      </c>
      <c r="L107" s="23"/>
      <c r="M107" s="33"/>
      <c r="N107" s="18" t="b">
        <f t="shared" si="37"/>
        <v>1</v>
      </c>
      <c r="O107" s="19">
        <f>IF(N107, MAX(O$2:O106)+1,"")</f>
        <v>105</v>
      </c>
      <c r="P107" s="23" t="str">
        <f t="shared" si="36"/>
        <v>«</v>
      </c>
      <c r="Q107" s="8" t="str" cm="1">
        <f t="array" ref="Q107">CharToUTF8(A107)</f>
        <v>\xC2\xAB</v>
      </c>
      <c r="S107" s="18" t="str">
        <f>$AO$3</f>
        <v>DIAG_BOTH</v>
      </c>
      <c r="T107" s="24" t="str">
        <f>$AO$2</f>
        <v>EMPTY</v>
      </c>
      <c r="U107" s="24" t="str">
        <f>$AO$5</f>
        <v>DIAG_FRONT</v>
      </c>
      <c r="V107" s="21" t="str">
        <f>$AO$6</f>
        <v>DIAG_BACK</v>
      </c>
      <c r="X107" s="31" t="b">
        <f t="shared" si="38"/>
        <v>0</v>
      </c>
      <c r="Y107" s="31" t="b">
        <f t="shared" si="39"/>
        <v>0</v>
      </c>
      <c r="Z107" t="b">
        <f t="shared" si="40"/>
        <v>0</v>
      </c>
      <c r="AA107" t="b">
        <f t="shared" si="41"/>
        <v>1</v>
      </c>
      <c r="AB107" t="b">
        <f t="shared" si="42"/>
        <v>0</v>
      </c>
      <c r="AC107" t="b">
        <f t="shared" si="43"/>
        <v>0</v>
      </c>
      <c r="AD107" t="b">
        <f t="shared" si="44"/>
        <v>0</v>
      </c>
      <c r="AE107" t="b">
        <f t="shared" si="45"/>
        <v>0</v>
      </c>
      <c r="AF107" t="b">
        <f t="shared" si="46"/>
        <v>1</v>
      </c>
      <c r="AG107" t="b">
        <f t="shared" si="47"/>
        <v>1</v>
      </c>
      <c r="AH107" t="b">
        <f t="shared" si="48"/>
        <v>1</v>
      </c>
      <c r="AI107" t="b">
        <f t="shared" si="49"/>
        <v>1</v>
      </c>
      <c r="AJ107" t="b">
        <f t="shared" si="50"/>
        <v>1</v>
      </c>
      <c r="AK107" t="b">
        <f t="shared" si="51"/>
        <v>1</v>
      </c>
      <c r="AL107" t="b">
        <f t="shared" si="52"/>
        <v>0</v>
      </c>
      <c r="AM107" t="b">
        <f t="shared" si="53"/>
        <v>0</v>
      </c>
      <c r="AV107" s="59" t="str">
        <f t="shared" si="62"/>
        <v xml:space="preserve">    { wxString::FromUTF8("\xC2\xAB"), &amp;AllGlyphs[106], &amp;AllGlyphs[103], &amp;AllGlyphs[103], &amp;AllGlyphs[105], Connection::DIAG_BOTH, Connection::EMPTY, Connection::DIAG_FRONT, Connection::DIAG_BACK, 0, 0, 0, 1 },</v>
      </c>
      <c r="AW107" s="60"/>
      <c r="AX107" s="60"/>
      <c r="AY107" s="60"/>
      <c r="AZ107" s="60"/>
      <c r="BA107" s="60"/>
      <c r="BB107" s="60"/>
      <c r="BC107" s="61"/>
      <c r="BE107" s="54" t="str">
        <f t="shared" si="54"/>
        <v>&amp;AllGlyphs[106]</v>
      </c>
      <c r="BF107" s="54" t="str">
        <f t="shared" si="55"/>
        <v>&amp;AllGlyphs[103]</v>
      </c>
      <c r="BG107" s="54" t="str">
        <f t="shared" si="56"/>
        <v>&amp;AllGlyphs[103]</v>
      </c>
      <c r="BH107" s="54" t="str">
        <f t="shared" si="57"/>
        <v>&amp;AllGlyphs[105]</v>
      </c>
      <c r="BJ107" s="58">
        <f t="shared" si="58"/>
        <v>0</v>
      </c>
      <c r="BK107" s="58">
        <f t="shared" si="59"/>
        <v>0</v>
      </c>
      <c r="BL107" s="58">
        <f t="shared" si="60"/>
        <v>0</v>
      </c>
      <c r="BM107" s="58">
        <f t="shared" si="61"/>
        <v>1</v>
      </c>
    </row>
    <row r="108" spans="1:65" x14ac:dyDescent="0.4">
      <c r="A108" s="7" t="s">
        <v>87</v>
      </c>
      <c r="B108" s="6" t="str">
        <f t="shared" si="35"/>
        <v>¬</v>
      </c>
      <c r="C108" s="48" cm="1">
        <f t="array" ref="C108">IF($N108,INDEX($O:$O,MATCH(TRUE,EXACT(B108,$A:$A),0)),"")</f>
        <v>106</v>
      </c>
      <c r="D108" s="38" t="s">
        <v>84</v>
      </c>
      <c r="E108" s="48" cm="1">
        <f t="array" ref="E108">IF($N108,INDEX($O:$O,MATCH(TRUE,EXACT(D108,$A:$A),0)),"")</f>
        <v>103</v>
      </c>
      <c r="F108" s="38" t="s">
        <v>85</v>
      </c>
      <c r="G108" s="48" cm="1">
        <f t="array" ref="G108">IF($O108&lt;&gt;"",INDEX($O:$O,MATCH(TRUE,EXACT(F108,$A:$A),0)),"")</f>
        <v>104</v>
      </c>
      <c r="H108" s="38" t="s">
        <v>87</v>
      </c>
      <c r="I108" s="48" cm="1">
        <f t="array" ref="I108">IF($N108,INDEX($O:$O,MATCH(TRUE,EXACT(H108,$A:$A),0)),"")</f>
        <v>106</v>
      </c>
      <c r="J108" s="38" t="s">
        <v>85</v>
      </c>
      <c r="K108" s="52" cm="1">
        <f t="array" ref="K108">IF($N108,INDEX($O:$O,MATCH(TRUE,EXACT(J108,$A:$A),0)),"")</f>
        <v>104</v>
      </c>
      <c r="L108" s="23"/>
      <c r="M108" s="33"/>
      <c r="N108" s="18" t="b">
        <f t="shared" si="37"/>
        <v>1</v>
      </c>
      <c r="O108" s="19">
        <f>IF(N108, MAX(O$2:O107)+1,"")</f>
        <v>106</v>
      </c>
      <c r="P108" s="23" t="str">
        <f t="shared" si="36"/>
        <v>¬</v>
      </c>
      <c r="Q108" s="8" t="str" cm="1">
        <f t="array" ref="Q108">CharToUTF8(A108)</f>
        <v>\xC2\xAC</v>
      </c>
      <c r="S108" s="18" t="str">
        <f>$AO$5</f>
        <v>DIAG_FRONT</v>
      </c>
      <c r="T108" s="24" t="str">
        <f>$AO$6</f>
        <v>DIAG_BACK</v>
      </c>
      <c r="U108" s="24" t="str">
        <f>$AO$2</f>
        <v>EMPTY</v>
      </c>
      <c r="V108" s="21" t="str">
        <f>$AO$3</f>
        <v>DIAG_BOTH</v>
      </c>
      <c r="X108" s="31" t="b">
        <f t="shared" si="38"/>
        <v>0</v>
      </c>
      <c r="Y108" s="31" t="b">
        <f t="shared" si="39"/>
        <v>0</v>
      </c>
      <c r="Z108" t="b">
        <f t="shared" si="40"/>
        <v>1</v>
      </c>
      <c r="AA108" t="b">
        <f t="shared" si="41"/>
        <v>0</v>
      </c>
      <c r="AB108" t="b">
        <f t="shared" si="42"/>
        <v>0</v>
      </c>
      <c r="AC108" t="b">
        <f t="shared" si="43"/>
        <v>0</v>
      </c>
      <c r="AD108" t="b">
        <f t="shared" si="44"/>
        <v>0</v>
      </c>
      <c r="AE108" t="b">
        <f t="shared" si="45"/>
        <v>0</v>
      </c>
      <c r="AF108" t="b">
        <f t="shared" si="46"/>
        <v>1</v>
      </c>
      <c r="AG108" t="b">
        <f t="shared" si="47"/>
        <v>1</v>
      </c>
      <c r="AH108" t="b">
        <f t="shared" si="48"/>
        <v>1</v>
      </c>
      <c r="AI108" t="b">
        <f t="shared" si="49"/>
        <v>1</v>
      </c>
      <c r="AJ108" t="b">
        <f t="shared" si="50"/>
        <v>0</v>
      </c>
      <c r="AK108" t="b">
        <f t="shared" si="51"/>
        <v>0</v>
      </c>
      <c r="AL108" t="b">
        <f t="shared" si="52"/>
        <v>1</v>
      </c>
      <c r="AM108" t="b">
        <f t="shared" si="53"/>
        <v>1</v>
      </c>
      <c r="AV108" s="59" t="str">
        <f t="shared" si="62"/>
        <v xml:space="preserve">    { wxString::FromUTF8("\xC2\xAC"), &amp;AllGlyphs[103], &amp;AllGlyphs[104], &amp;AllGlyphs[106], &amp;AllGlyphs[104], Connection::DIAG_FRONT, Connection::DIAG_BACK, Connection::EMPTY, Connection::DIAG_BOTH, 0, 0, 1, 0 },</v>
      </c>
      <c r="AW108" s="60"/>
      <c r="AX108" s="60"/>
      <c r="AY108" s="60"/>
      <c r="AZ108" s="60"/>
      <c r="BA108" s="60"/>
      <c r="BB108" s="60"/>
      <c r="BC108" s="61"/>
      <c r="BE108" s="54" t="str">
        <f t="shared" si="54"/>
        <v>&amp;AllGlyphs[103]</v>
      </c>
      <c r="BF108" s="54" t="str">
        <f t="shared" si="55"/>
        <v>&amp;AllGlyphs[104]</v>
      </c>
      <c r="BG108" s="54" t="str">
        <f t="shared" si="56"/>
        <v>&amp;AllGlyphs[106]</v>
      </c>
      <c r="BH108" s="54" t="str">
        <f t="shared" si="57"/>
        <v>&amp;AllGlyphs[104]</v>
      </c>
      <c r="BJ108" s="58">
        <f t="shared" si="58"/>
        <v>0</v>
      </c>
      <c r="BK108" s="58">
        <f t="shared" si="59"/>
        <v>0</v>
      </c>
      <c r="BL108" s="58">
        <f t="shared" si="60"/>
        <v>1</v>
      </c>
      <c r="BM108" s="58">
        <f t="shared" si="61"/>
        <v>0</v>
      </c>
    </row>
    <row r="109" spans="1:65" x14ac:dyDescent="0.4">
      <c r="A109" s="7" t="s">
        <v>88</v>
      </c>
      <c r="B109" s="6" t="str">
        <f t="shared" si="35"/>
        <v>®</v>
      </c>
      <c r="C109" s="48" cm="1">
        <f t="array" ref="C109">IF($N109,INDEX($O:$O,MATCH(TRUE,EXACT(B109,$A:$A),0)),"")</f>
        <v>107</v>
      </c>
      <c r="D109" s="38" t="s">
        <v>89</v>
      </c>
      <c r="E109" s="48" cm="1">
        <f t="array" ref="E109">IF($N109,INDEX($O:$O,MATCH(TRUE,EXACT(D109,$A:$A),0)),"")</f>
        <v>108</v>
      </c>
      <c r="F109" s="38" t="s">
        <v>90</v>
      </c>
      <c r="G109" s="48" cm="1">
        <f t="array" ref="G109">IF($O109&lt;&gt;"",INDEX($O:$O,MATCH(TRUE,EXACT(F109,$A:$A),0)),"")</f>
        <v>109</v>
      </c>
      <c r="H109" s="38" t="s">
        <v>89</v>
      </c>
      <c r="I109" s="48" cm="1">
        <f t="array" ref="I109">IF($N109,INDEX($O:$O,MATCH(TRUE,EXACT(H109,$A:$A),0)),"")</f>
        <v>108</v>
      </c>
      <c r="J109" s="38" t="s">
        <v>91</v>
      </c>
      <c r="K109" s="52" cm="1">
        <f t="array" ref="K109">IF($N109,INDEX($O:$O,MATCH(TRUE,EXACT(J109,$A:$A),0)),"")</f>
        <v>110</v>
      </c>
      <c r="L109" s="23"/>
      <c r="M109" s="33"/>
      <c r="N109" s="18" t="b">
        <f t="shared" si="37"/>
        <v>1</v>
      </c>
      <c r="O109" s="19">
        <f>IF(N109, MAX(O$2:O108)+1,"")</f>
        <v>107</v>
      </c>
      <c r="P109" s="23" t="str">
        <f t="shared" si="36"/>
        <v>®</v>
      </c>
      <c r="Q109" s="8" t="str" cm="1">
        <f t="array" ref="Q109">CharToUTF8(A109)</f>
        <v>\xC2\xAE</v>
      </c>
      <c r="S109" s="18" t="str">
        <f>$AO$2</f>
        <v>EMPTY</v>
      </c>
      <c r="T109" s="24" t="str">
        <f>$AO$5</f>
        <v>DIAG_FRONT</v>
      </c>
      <c r="U109" s="24" t="str">
        <f>$AO$6</f>
        <v>DIAG_BACK</v>
      </c>
      <c r="V109" s="21" t="str">
        <f>$AO$2</f>
        <v>EMPTY</v>
      </c>
      <c r="X109" s="31" t="b">
        <f t="shared" si="38"/>
        <v>0</v>
      </c>
      <c r="Y109" s="31" t="b">
        <f t="shared" si="39"/>
        <v>0</v>
      </c>
      <c r="Z109" t="b">
        <f t="shared" si="40"/>
        <v>0</v>
      </c>
      <c r="AA109" t="b">
        <f t="shared" si="41"/>
        <v>0</v>
      </c>
      <c r="AB109" t="b">
        <f t="shared" si="42"/>
        <v>1</v>
      </c>
      <c r="AC109" t="b">
        <f t="shared" si="43"/>
        <v>0</v>
      </c>
      <c r="AD109" t="b">
        <f t="shared" si="44"/>
        <v>0</v>
      </c>
      <c r="AE109" t="b">
        <f t="shared" si="45"/>
        <v>0</v>
      </c>
      <c r="AF109" t="b">
        <f t="shared" si="46"/>
        <v>1</v>
      </c>
      <c r="AG109" t="b">
        <f t="shared" si="47"/>
        <v>1</v>
      </c>
      <c r="AH109" t="b">
        <f t="shared" si="48"/>
        <v>1</v>
      </c>
      <c r="AI109" t="b">
        <f t="shared" si="49"/>
        <v>1</v>
      </c>
      <c r="AJ109" t="b">
        <f t="shared" si="50"/>
        <v>1</v>
      </c>
      <c r="AK109" t="b">
        <f t="shared" si="51"/>
        <v>0</v>
      </c>
      <c r="AL109" t="b">
        <f t="shared" si="52"/>
        <v>0</v>
      </c>
      <c r="AM109" t="b">
        <f t="shared" si="53"/>
        <v>1</v>
      </c>
      <c r="AV109" s="59" t="str">
        <f t="shared" si="62"/>
        <v xml:space="preserve">    { wxString::FromUTF8("\xC2\xAE"), &amp;AllGlyphs[108], &amp;AllGlyphs[109], &amp;AllGlyphs[108], &amp;AllGlyphs[110], Connection::EMPTY, Connection::DIAG_FRONT, Connection::DIAG_BACK, Connection::EMPTY, 0, 0, 0, 0 },</v>
      </c>
      <c r="AW109" s="60"/>
      <c r="AX109" s="60"/>
      <c r="AY109" s="60"/>
      <c r="AZ109" s="60"/>
      <c r="BA109" s="60"/>
      <c r="BB109" s="60"/>
      <c r="BC109" s="61"/>
      <c r="BE109" s="54" t="str">
        <f t="shared" si="54"/>
        <v>&amp;AllGlyphs[108]</v>
      </c>
      <c r="BF109" s="54" t="str">
        <f t="shared" si="55"/>
        <v>&amp;AllGlyphs[109]</v>
      </c>
      <c r="BG109" s="54" t="str">
        <f t="shared" si="56"/>
        <v>&amp;AllGlyphs[108]</v>
      </c>
      <c r="BH109" s="54" t="str">
        <f t="shared" si="57"/>
        <v>&amp;AllGlyphs[110]</v>
      </c>
      <c r="BJ109" s="58">
        <f t="shared" si="58"/>
        <v>0</v>
      </c>
      <c r="BK109" s="58">
        <f t="shared" si="59"/>
        <v>0</v>
      </c>
      <c r="BL109" s="58">
        <f t="shared" si="60"/>
        <v>0</v>
      </c>
      <c r="BM109" s="58">
        <f t="shared" si="61"/>
        <v>0</v>
      </c>
    </row>
    <row r="110" spans="1:65" x14ac:dyDescent="0.4">
      <c r="A110" s="7" t="s">
        <v>89</v>
      </c>
      <c r="B110" s="6" t="str">
        <f t="shared" si="35"/>
        <v>¯</v>
      </c>
      <c r="C110" s="48" cm="1">
        <f t="array" ref="C110">IF($N110,INDEX($O:$O,MATCH(TRUE,EXACT(B110,$A:$A),0)),"")</f>
        <v>108</v>
      </c>
      <c r="D110" s="38" t="s">
        <v>90</v>
      </c>
      <c r="E110" s="48" cm="1">
        <f t="array" ref="E110">IF($N110,INDEX($O:$O,MATCH(TRUE,EXACT(D110,$A:$A),0)),"")</f>
        <v>109</v>
      </c>
      <c r="F110" s="38" t="s">
        <v>91</v>
      </c>
      <c r="G110" s="48" cm="1">
        <f t="array" ref="G110">IF($O110&lt;&gt;"",INDEX($O:$O,MATCH(TRUE,EXACT(F110,$A:$A),0)),"")</f>
        <v>110</v>
      </c>
      <c r="H110" s="38" t="s">
        <v>88</v>
      </c>
      <c r="I110" s="48" cm="1">
        <f t="array" ref="I110">IF($N110,INDEX($O:$O,MATCH(TRUE,EXACT(H110,$A:$A),0)),"")</f>
        <v>107</v>
      </c>
      <c r="J110" s="38" t="s">
        <v>90</v>
      </c>
      <c r="K110" s="52" cm="1">
        <f t="array" ref="K110">IF($N110,INDEX($O:$O,MATCH(TRUE,EXACT(J110,$A:$A),0)),"")</f>
        <v>109</v>
      </c>
      <c r="L110" s="23"/>
      <c r="M110" s="33"/>
      <c r="N110" s="18" t="b">
        <f t="shared" si="37"/>
        <v>1</v>
      </c>
      <c r="O110" s="19">
        <f>IF(N110, MAX(O$2:O109)+1,"")</f>
        <v>108</v>
      </c>
      <c r="P110" s="23" t="str">
        <f t="shared" si="36"/>
        <v>¯</v>
      </c>
      <c r="Q110" s="8" t="str" cm="1">
        <f t="array" ref="Q110">CharToUTF8(A110)</f>
        <v>\xC2\xAF</v>
      </c>
      <c r="S110" s="18" t="str">
        <f>$AO$6</f>
        <v>DIAG_BACK</v>
      </c>
      <c r="T110" s="24" t="str">
        <f>$AO$2</f>
        <v>EMPTY</v>
      </c>
      <c r="U110" s="24" t="str">
        <f>$AO$5</f>
        <v>DIAG_FRONT</v>
      </c>
      <c r="V110" s="21" t="str">
        <f>$AO$2</f>
        <v>EMPTY</v>
      </c>
      <c r="X110" s="31" t="b">
        <f t="shared" si="38"/>
        <v>0</v>
      </c>
      <c r="Y110" s="31" t="b">
        <f t="shared" si="39"/>
        <v>0</v>
      </c>
      <c r="Z110" t="b">
        <f t="shared" si="40"/>
        <v>0</v>
      </c>
      <c r="AA110" t="b">
        <f t="shared" si="41"/>
        <v>0</v>
      </c>
      <c r="AB110" t="b">
        <f t="shared" si="42"/>
        <v>0</v>
      </c>
      <c r="AC110" t="b">
        <f t="shared" si="43"/>
        <v>0</v>
      </c>
      <c r="AD110" t="b">
        <f t="shared" si="44"/>
        <v>0</v>
      </c>
      <c r="AE110" t="b">
        <f t="shared" si="45"/>
        <v>1</v>
      </c>
      <c r="AF110" t="b">
        <f t="shared" si="46"/>
        <v>1</v>
      </c>
      <c r="AG110" t="b">
        <f t="shared" si="47"/>
        <v>1</v>
      </c>
      <c r="AH110" t="b">
        <f t="shared" si="48"/>
        <v>1</v>
      </c>
      <c r="AI110" t="b">
        <f t="shared" si="49"/>
        <v>1</v>
      </c>
      <c r="AJ110" t="b">
        <f t="shared" si="50"/>
        <v>0</v>
      </c>
      <c r="AK110" t="b">
        <f t="shared" si="51"/>
        <v>1</v>
      </c>
      <c r="AL110" t="b">
        <f t="shared" si="52"/>
        <v>0</v>
      </c>
      <c r="AM110" t="b">
        <f t="shared" si="53"/>
        <v>1</v>
      </c>
      <c r="AV110" s="59" t="str">
        <f t="shared" si="62"/>
        <v xml:space="preserve">    { wxString::FromUTF8("\xC2\xAF"), &amp;AllGlyphs[109], &amp;AllGlyphs[110], &amp;AllGlyphs[107], &amp;AllGlyphs[109], Connection::DIAG_BACK, Connection::EMPTY, Connection::DIAG_FRONT, Connection::EMPTY, 0, 0, 0, 0 },</v>
      </c>
      <c r="AW110" s="60"/>
      <c r="AX110" s="60"/>
      <c r="AY110" s="60"/>
      <c r="AZ110" s="60"/>
      <c r="BA110" s="60"/>
      <c r="BB110" s="60"/>
      <c r="BC110" s="61"/>
      <c r="BE110" s="54" t="str">
        <f t="shared" si="54"/>
        <v>&amp;AllGlyphs[109]</v>
      </c>
      <c r="BF110" s="54" t="str">
        <f t="shared" si="55"/>
        <v>&amp;AllGlyphs[110]</v>
      </c>
      <c r="BG110" s="54" t="str">
        <f t="shared" si="56"/>
        <v>&amp;AllGlyphs[107]</v>
      </c>
      <c r="BH110" s="54" t="str">
        <f t="shared" si="57"/>
        <v>&amp;AllGlyphs[109]</v>
      </c>
      <c r="BJ110" s="58">
        <f t="shared" si="58"/>
        <v>0</v>
      </c>
      <c r="BK110" s="58">
        <f t="shared" si="59"/>
        <v>0</v>
      </c>
      <c r="BL110" s="58">
        <f t="shared" si="60"/>
        <v>0</v>
      </c>
      <c r="BM110" s="58">
        <f t="shared" si="61"/>
        <v>0</v>
      </c>
    </row>
    <row r="111" spans="1:65" x14ac:dyDescent="0.4">
      <c r="A111" s="7" t="s">
        <v>90</v>
      </c>
      <c r="B111" s="6" t="str">
        <f t="shared" si="35"/>
        <v>°</v>
      </c>
      <c r="C111" s="48" cm="1">
        <f t="array" ref="C111">IF($N111,INDEX($O:$O,MATCH(TRUE,EXACT(B111,$A:$A),0)),"")</f>
        <v>109</v>
      </c>
      <c r="D111" s="38" t="s">
        <v>91</v>
      </c>
      <c r="E111" s="48" cm="1">
        <f t="array" ref="E111">IF($N111,INDEX($O:$O,MATCH(TRUE,EXACT(D111,$A:$A),0)),"")</f>
        <v>110</v>
      </c>
      <c r="F111" s="38" t="s">
        <v>88</v>
      </c>
      <c r="G111" s="48" cm="1">
        <f t="array" ref="G111">IF($O111&lt;&gt;"",INDEX($O:$O,MATCH(TRUE,EXACT(F111,$A:$A),0)),"")</f>
        <v>107</v>
      </c>
      <c r="H111" s="38" t="s">
        <v>91</v>
      </c>
      <c r="I111" s="48" cm="1">
        <f t="array" ref="I111">IF($N111,INDEX($O:$O,MATCH(TRUE,EXACT(H111,$A:$A),0)),"")</f>
        <v>110</v>
      </c>
      <c r="J111" s="38" t="s">
        <v>89</v>
      </c>
      <c r="K111" s="52" cm="1">
        <f t="array" ref="K111">IF($N111,INDEX($O:$O,MATCH(TRUE,EXACT(J111,$A:$A),0)),"")</f>
        <v>108</v>
      </c>
      <c r="L111" s="23"/>
      <c r="M111" s="33"/>
      <c r="N111" s="18" t="b">
        <f t="shared" si="37"/>
        <v>1</v>
      </c>
      <c r="O111" s="19">
        <f>IF(N111, MAX(O$2:O110)+1,"")</f>
        <v>109</v>
      </c>
      <c r="P111" s="23" t="str">
        <f t="shared" si="36"/>
        <v>°</v>
      </c>
      <c r="Q111" s="8" t="str" cm="1">
        <f t="array" ref="Q111">CharToUTF8(A111)</f>
        <v>\xC2\xB0</v>
      </c>
      <c r="S111" s="18" t="str">
        <f>$AO$5</f>
        <v>DIAG_FRONT</v>
      </c>
      <c r="T111" s="24" t="str">
        <f>$AO$2</f>
        <v>EMPTY</v>
      </c>
      <c r="U111" s="24" t="str">
        <f>$AO$2</f>
        <v>EMPTY</v>
      </c>
      <c r="V111" s="21" t="str">
        <f>$AO$6</f>
        <v>DIAG_BACK</v>
      </c>
      <c r="X111" s="31" t="b">
        <f t="shared" si="38"/>
        <v>0</v>
      </c>
      <c r="Y111" s="31" t="b">
        <f t="shared" si="39"/>
        <v>0</v>
      </c>
      <c r="Z111" t="b">
        <f t="shared" si="40"/>
        <v>0</v>
      </c>
      <c r="AA111" t="b">
        <f t="shared" si="41"/>
        <v>0</v>
      </c>
      <c r="AB111" t="b">
        <f t="shared" si="42"/>
        <v>0</v>
      </c>
      <c r="AC111" t="b">
        <f t="shared" si="43"/>
        <v>1</v>
      </c>
      <c r="AD111" t="b">
        <f t="shared" si="44"/>
        <v>0</v>
      </c>
      <c r="AE111" t="b">
        <f t="shared" si="45"/>
        <v>0</v>
      </c>
      <c r="AF111" t="b">
        <f t="shared" si="46"/>
        <v>1</v>
      </c>
      <c r="AG111" t="b">
        <f t="shared" si="47"/>
        <v>1</v>
      </c>
      <c r="AH111" t="b">
        <f t="shared" si="48"/>
        <v>1</v>
      </c>
      <c r="AI111" t="b">
        <f t="shared" si="49"/>
        <v>1</v>
      </c>
      <c r="AJ111" t="b">
        <f t="shared" si="50"/>
        <v>0</v>
      </c>
      <c r="AK111" t="b">
        <f t="shared" si="51"/>
        <v>1</v>
      </c>
      <c r="AL111" t="b">
        <f t="shared" si="52"/>
        <v>1</v>
      </c>
      <c r="AM111" t="b">
        <f t="shared" si="53"/>
        <v>0</v>
      </c>
      <c r="AV111" s="59" t="str">
        <f t="shared" si="62"/>
        <v xml:space="preserve">    { wxString::FromUTF8("\xC2\xB0"), &amp;AllGlyphs[110], &amp;AllGlyphs[107], &amp;AllGlyphs[110], &amp;AllGlyphs[108], Connection::DIAG_FRONT, Connection::EMPTY, Connection::EMPTY, Connection::DIAG_BACK, 0, 0, 0, 0 },</v>
      </c>
      <c r="AW111" s="60"/>
      <c r="AX111" s="60"/>
      <c r="AY111" s="60"/>
      <c r="AZ111" s="60"/>
      <c r="BA111" s="60"/>
      <c r="BB111" s="60"/>
      <c r="BC111" s="61"/>
      <c r="BE111" s="54" t="str">
        <f t="shared" si="54"/>
        <v>&amp;AllGlyphs[110]</v>
      </c>
      <c r="BF111" s="54" t="str">
        <f t="shared" si="55"/>
        <v>&amp;AllGlyphs[107]</v>
      </c>
      <c r="BG111" s="54" t="str">
        <f t="shared" si="56"/>
        <v>&amp;AllGlyphs[110]</v>
      </c>
      <c r="BH111" s="54" t="str">
        <f t="shared" si="57"/>
        <v>&amp;AllGlyphs[108]</v>
      </c>
      <c r="BJ111" s="58">
        <f t="shared" si="58"/>
        <v>0</v>
      </c>
      <c r="BK111" s="58">
        <f t="shared" si="59"/>
        <v>0</v>
      </c>
      <c r="BL111" s="58">
        <f t="shared" si="60"/>
        <v>0</v>
      </c>
      <c r="BM111" s="58">
        <f t="shared" si="61"/>
        <v>0</v>
      </c>
    </row>
    <row r="112" spans="1:65" x14ac:dyDescent="0.4">
      <c r="A112" s="7" t="s">
        <v>91</v>
      </c>
      <c r="B112" s="6" t="str">
        <f t="shared" si="35"/>
        <v>±</v>
      </c>
      <c r="C112" s="48" cm="1">
        <f t="array" ref="C112">IF($N112,INDEX($O:$O,MATCH(TRUE,EXACT(B112,$A:$A),0)),"")</f>
        <v>110</v>
      </c>
      <c r="D112" s="38" t="s">
        <v>88</v>
      </c>
      <c r="E112" s="48" cm="1">
        <f t="array" ref="E112">IF($N112,INDEX($O:$O,MATCH(TRUE,EXACT(D112,$A:$A),0)),"")</f>
        <v>107</v>
      </c>
      <c r="F112" s="38" t="s">
        <v>89</v>
      </c>
      <c r="G112" s="48" cm="1">
        <f t="array" ref="G112">IF($O112&lt;&gt;"",INDEX($O:$O,MATCH(TRUE,EXACT(F112,$A:$A),0)),"")</f>
        <v>108</v>
      </c>
      <c r="H112" s="38" t="s">
        <v>90</v>
      </c>
      <c r="I112" s="48" cm="1">
        <f t="array" ref="I112">IF($N112,INDEX($O:$O,MATCH(TRUE,EXACT(H112,$A:$A),0)),"")</f>
        <v>109</v>
      </c>
      <c r="J112" s="38" t="s">
        <v>88</v>
      </c>
      <c r="K112" s="52" cm="1">
        <f t="array" ref="K112">IF($N112,INDEX($O:$O,MATCH(TRUE,EXACT(J112,$A:$A),0)),"")</f>
        <v>107</v>
      </c>
      <c r="L112" s="23"/>
      <c r="M112" s="33"/>
      <c r="N112" s="18" t="b">
        <f t="shared" si="37"/>
        <v>1</v>
      </c>
      <c r="O112" s="19">
        <f>IF(N112, MAX(O$2:O111)+1,"")</f>
        <v>110</v>
      </c>
      <c r="P112" s="23" t="str">
        <f t="shared" si="36"/>
        <v>±</v>
      </c>
      <c r="Q112" s="8" t="str" cm="1">
        <f t="array" ref="Q112">CharToUTF8(A112)</f>
        <v>\xC2\xB1</v>
      </c>
      <c r="S112" s="18" t="str">
        <f>$AO$2</f>
        <v>EMPTY</v>
      </c>
      <c r="T112" s="24" t="str">
        <f>$AO$6</f>
        <v>DIAG_BACK</v>
      </c>
      <c r="U112" s="24" t="str">
        <f>$AO$2</f>
        <v>EMPTY</v>
      </c>
      <c r="V112" s="21" t="str">
        <f>$AO$5</f>
        <v>DIAG_FRONT</v>
      </c>
      <c r="X112" s="31" t="b">
        <f t="shared" si="38"/>
        <v>0</v>
      </c>
      <c r="Y112" s="31" t="b">
        <f t="shared" si="39"/>
        <v>0</v>
      </c>
      <c r="Z112" t="b">
        <f t="shared" si="40"/>
        <v>0</v>
      </c>
      <c r="AA112" t="b">
        <f t="shared" si="41"/>
        <v>0</v>
      </c>
      <c r="AB112" t="b">
        <f t="shared" si="42"/>
        <v>0</v>
      </c>
      <c r="AC112" t="b">
        <f t="shared" si="43"/>
        <v>0</v>
      </c>
      <c r="AD112" t="b">
        <f t="shared" si="44"/>
        <v>1</v>
      </c>
      <c r="AE112" t="b">
        <f t="shared" si="45"/>
        <v>0</v>
      </c>
      <c r="AF112" t="b">
        <f t="shared" si="46"/>
        <v>1</v>
      </c>
      <c r="AG112" t="b">
        <f t="shared" si="47"/>
        <v>1</v>
      </c>
      <c r="AH112" t="b">
        <f t="shared" si="48"/>
        <v>1</v>
      </c>
      <c r="AI112" t="b">
        <f t="shared" si="49"/>
        <v>1</v>
      </c>
      <c r="AJ112" t="b">
        <f t="shared" si="50"/>
        <v>1</v>
      </c>
      <c r="AK112" t="b">
        <f t="shared" si="51"/>
        <v>0</v>
      </c>
      <c r="AL112" t="b">
        <f t="shared" si="52"/>
        <v>1</v>
      </c>
      <c r="AM112" t="b">
        <f t="shared" si="53"/>
        <v>0</v>
      </c>
      <c r="AV112" s="59" t="str">
        <f t="shared" si="62"/>
        <v xml:space="preserve">    { wxString::FromUTF8("\xC2\xB1"), &amp;AllGlyphs[107], &amp;AllGlyphs[108], &amp;AllGlyphs[109], &amp;AllGlyphs[107], Connection::EMPTY, Connection::DIAG_BACK, Connection::EMPTY, Connection::DIAG_FRONT, 0, 0, 0, 0 },</v>
      </c>
      <c r="AW112" s="60"/>
      <c r="AX112" s="60"/>
      <c r="AY112" s="60"/>
      <c r="AZ112" s="60"/>
      <c r="BA112" s="60"/>
      <c r="BB112" s="60"/>
      <c r="BC112" s="61"/>
      <c r="BE112" s="54" t="str">
        <f t="shared" si="54"/>
        <v>&amp;AllGlyphs[107]</v>
      </c>
      <c r="BF112" s="54" t="str">
        <f t="shared" si="55"/>
        <v>&amp;AllGlyphs[108]</v>
      </c>
      <c r="BG112" s="54" t="str">
        <f t="shared" si="56"/>
        <v>&amp;AllGlyphs[109]</v>
      </c>
      <c r="BH112" s="54" t="str">
        <f t="shared" si="57"/>
        <v>&amp;AllGlyphs[107]</v>
      </c>
      <c r="BJ112" s="58">
        <f t="shared" si="58"/>
        <v>0</v>
      </c>
      <c r="BK112" s="58">
        <f t="shared" si="59"/>
        <v>0</v>
      </c>
      <c r="BL112" s="58">
        <f t="shared" si="60"/>
        <v>0</v>
      </c>
      <c r="BM112" s="58">
        <f t="shared" si="61"/>
        <v>0</v>
      </c>
    </row>
    <row r="113" spans="1:65" x14ac:dyDescent="0.4">
      <c r="A113" s="7" t="s">
        <v>92</v>
      </c>
      <c r="B113" s="6" t="str">
        <f t="shared" si="35"/>
        <v>²</v>
      </c>
      <c r="C113" s="48" cm="1">
        <f t="array" ref="C113">IF($N113,INDEX($O:$O,MATCH(TRUE,EXACT(B113,$A:$A),0)),"")</f>
        <v>111</v>
      </c>
      <c r="D113" s="38" t="s">
        <v>93</v>
      </c>
      <c r="E113" s="48" cm="1">
        <f t="array" ref="E113">IF($N113,INDEX($O:$O,MATCH(TRUE,EXACT(D113,$A:$A),0)),"")</f>
        <v>112</v>
      </c>
      <c r="F113" s="38" t="s">
        <v>94</v>
      </c>
      <c r="G113" s="48" cm="1">
        <f t="array" ref="G113">IF($O113&lt;&gt;"",INDEX($O:$O,MATCH(TRUE,EXACT(F113,$A:$A),0)),"")</f>
        <v>113</v>
      </c>
      <c r="H113" s="38" t="s">
        <v>94</v>
      </c>
      <c r="I113" s="48" cm="1">
        <f t="array" ref="I113">IF($N113,INDEX($O:$O,MATCH(TRUE,EXACT(H113,$A:$A),0)),"")</f>
        <v>113</v>
      </c>
      <c r="J113" s="38" t="s">
        <v>92</v>
      </c>
      <c r="K113" s="52" cm="1">
        <f t="array" ref="K113">IF($N113,INDEX($O:$O,MATCH(TRUE,EXACT(J113,$A:$A),0)),"")</f>
        <v>111</v>
      </c>
      <c r="L113" s="23"/>
      <c r="M113" s="33"/>
      <c r="N113" s="18" t="b">
        <f t="shared" si="37"/>
        <v>1</v>
      </c>
      <c r="O113" s="19">
        <f>IF(N113, MAX(O$2:O112)+1,"")</f>
        <v>111</v>
      </c>
      <c r="P113" s="23" t="str">
        <f t="shared" si="36"/>
        <v>²</v>
      </c>
      <c r="Q113" s="8" t="str" cm="1">
        <f t="array" ref="Q113">CharToUTF8(A113)</f>
        <v>\xC2\xB2</v>
      </c>
      <c r="S113" s="18" t="str">
        <f>$AO$4</f>
        <v>ORTHO_BOTH</v>
      </c>
      <c r="T113" s="24" t="str">
        <f>$AO$4</f>
        <v>ORTHO_BOTH</v>
      </c>
      <c r="U113" s="24" t="str">
        <f>$AO$8</f>
        <v>ORTHO_DOWN</v>
      </c>
      <c r="V113" s="21" t="str">
        <f>$AO$8</f>
        <v>ORTHO_DOWN</v>
      </c>
      <c r="X113" s="31" t="b">
        <f t="shared" si="38"/>
        <v>0</v>
      </c>
      <c r="Y113" s="31" t="b">
        <f t="shared" si="39"/>
        <v>0</v>
      </c>
      <c r="Z113" t="b">
        <f t="shared" si="40"/>
        <v>0</v>
      </c>
      <c r="AA113" t="b">
        <f t="shared" si="41"/>
        <v>1</v>
      </c>
      <c r="AB113" t="b">
        <f t="shared" si="42"/>
        <v>0</v>
      </c>
      <c r="AC113" t="b">
        <f t="shared" si="43"/>
        <v>0</v>
      </c>
      <c r="AD113" t="b">
        <f t="shared" si="44"/>
        <v>0</v>
      </c>
      <c r="AE113" t="b">
        <f t="shared" si="45"/>
        <v>0</v>
      </c>
      <c r="AF113" t="b">
        <f t="shared" si="46"/>
        <v>1</v>
      </c>
      <c r="AG113" t="b">
        <f t="shared" si="47"/>
        <v>1</v>
      </c>
      <c r="AH113" t="b">
        <f t="shared" si="48"/>
        <v>0</v>
      </c>
      <c r="AI113" t="b">
        <f t="shared" si="49"/>
        <v>0</v>
      </c>
      <c r="AJ113" t="b">
        <f t="shared" si="50"/>
        <v>1</v>
      </c>
      <c r="AK113" t="b">
        <f t="shared" si="51"/>
        <v>1</v>
      </c>
      <c r="AL113" t="b">
        <f t="shared" si="52"/>
        <v>1</v>
      </c>
      <c r="AM113" t="b">
        <f t="shared" si="53"/>
        <v>1</v>
      </c>
      <c r="AV113" s="59" t="str">
        <f t="shared" si="62"/>
        <v xml:space="preserve">    { wxString::FromUTF8("\xC2\xB2"), &amp;AllGlyphs[112], &amp;AllGlyphs[113], &amp;AllGlyphs[113], &amp;AllGlyphs[111], Connection::ORTHO_BOTH, Connection::ORTHO_BOTH, Connection::ORTHO_DOWN, Connection::ORTHO_DOWN, 0, 0, 0, 1 },</v>
      </c>
      <c r="AW113" s="60"/>
      <c r="AX113" s="60"/>
      <c r="AY113" s="60"/>
      <c r="AZ113" s="60"/>
      <c r="BA113" s="60"/>
      <c r="BB113" s="60"/>
      <c r="BC113" s="61"/>
      <c r="BE113" s="54" t="str">
        <f t="shared" si="54"/>
        <v>&amp;AllGlyphs[112]</v>
      </c>
      <c r="BF113" s="54" t="str">
        <f t="shared" si="55"/>
        <v>&amp;AllGlyphs[113]</v>
      </c>
      <c r="BG113" s="54" t="str">
        <f t="shared" si="56"/>
        <v>&amp;AllGlyphs[113]</v>
      </c>
      <c r="BH113" s="54" t="str">
        <f t="shared" si="57"/>
        <v>&amp;AllGlyphs[111]</v>
      </c>
      <c r="BJ113" s="58">
        <f t="shared" si="58"/>
        <v>0</v>
      </c>
      <c r="BK113" s="58">
        <f t="shared" si="59"/>
        <v>0</v>
      </c>
      <c r="BL113" s="58">
        <f t="shared" si="60"/>
        <v>0</v>
      </c>
      <c r="BM113" s="58">
        <f t="shared" si="61"/>
        <v>1</v>
      </c>
    </row>
    <row r="114" spans="1:65" ht="31.5" customHeight="1" x14ac:dyDescent="0.4">
      <c r="A114" s="7" t="s">
        <v>93</v>
      </c>
      <c r="B114" s="6" t="str">
        <f t="shared" si="35"/>
        <v>³</v>
      </c>
      <c r="C114" s="48" cm="1">
        <f t="array" ref="C114">IF($N114,INDEX($O:$O,MATCH(TRUE,EXACT(B114,$A:$A),0)),"")</f>
        <v>112</v>
      </c>
      <c r="D114" s="38" t="s">
        <v>94</v>
      </c>
      <c r="E114" s="48" cm="1">
        <f t="array" ref="E114">IF($N114,INDEX($O:$O,MATCH(TRUE,EXACT(D114,$A:$A),0)),"")</f>
        <v>113</v>
      </c>
      <c r="F114" s="38" t="s">
        <v>95</v>
      </c>
      <c r="G114" s="48" cm="1">
        <f t="array" ref="G114">IF($O114&lt;&gt;"",INDEX($O:$O,MATCH(TRUE,EXACT(F114,$A:$A),0)),"")</f>
        <v>114</v>
      </c>
      <c r="H114" s="38" t="s">
        <v>93</v>
      </c>
      <c r="I114" s="48" cm="1">
        <f t="array" ref="I114">IF($N114,INDEX($O:$O,MATCH(TRUE,EXACT(H114,$A:$A),0)),"")</f>
        <v>112</v>
      </c>
      <c r="J114" s="38" t="s">
        <v>95</v>
      </c>
      <c r="K114" s="52" cm="1">
        <f t="array" ref="K114">IF($N114,INDEX($O:$O,MATCH(TRUE,EXACT(J114,$A:$A),0)),"")</f>
        <v>114</v>
      </c>
      <c r="L114" s="23"/>
      <c r="M114" s="33"/>
      <c r="N114" s="18" t="b">
        <f t="shared" si="37"/>
        <v>1</v>
      </c>
      <c r="O114" s="19">
        <f>IF(N114, MAX(O$2:O113)+1,"")</f>
        <v>112</v>
      </c>
      <c r="P114" s="23" t="str">
        <f t="shared" si="36"/>
        <v>³</v>
      </c>
      <c r="Q114" s="8" t="str" cm="1">
        <f t="array" ref="Q114">CharToUTF8(A114)</f>
        <v>\xC2\xB3</v>
      </c>
      <c r="S114" s="18" t="str">
        <f>$AO$9</f>
        <v>ORTHO_LEFT</v>
      </c>
      <c r="T114" s="24" t="str">
        <f>$AO$9</f>
        <v>ORTHO_LEFT</v>
      </c>
      <c r="U114" s="24" t="str">
        <f>$AO$4</f>
        <v>ORTHO_BOTH</v>
      </c>
      <c r="V114" s="21" t="str">
        <f>$AO$4</f>
        <v>ORTHO_BOTH</v>
      </c>
      <c r="X114" s="31" t="b">
        <f t="shared" si="38"/>
        <v>0</v>
      </c>
      <c r="Y114" s="31" t="b">
        <f t="shared" si="39"/>
        <v>0</v>
      </c>
      <c r="Z114" t="b">
        <f t="shared" si="40"/>
        <v>1</v>
      </c>
      <c r="AA114" t="b">
        <f t="shared" si="41"/>
        <v>0</v>
      </c>
      <c r="AB114" t="b">
        <f t="shared" si="42"/>
        <v>0</v>
      </c>
      <c r="AC114" t="b">
        <f t="shared" si="43"/>
        <v>0</v>
      </c>
      <c r="AD114" t="b">
        <f t="shared" si="44"/>
        <v>0</v>
      </c>
      <c r="AE114" t="b">
        <f t="shared" si="45"/>
        <v>0</v>
      </c>
      <c r="AF114" t="b">
        <f t="shared" si="46"/>
        <v>0</v>
      </c>
      <c r="AG114" t="b">
        <f t="shared" si="47"/>
        <v>0</v>
      </c>
      <c r="AH114" t="b">
        <f t="shared" si="48"/>
        <v>1</v>
      </c>
      <c r="AI114" t="b">
        <f t="shared" si="49"/>
        <v>1</v>
      </c>
      <c r="AJ114" t="b">
        <f t="shared" si="50"/>
        <v>1</v>
      </c>
      <c r="AK114" t="b">
        <f t="shared" si="51"/>
        <v>1</v>
      </c>
      <c r="AL114" t="b">
        <f t="shared" si="52"/>
        <v>1</v>
      </c>
      <c r="AM114" t="b">
        <f t="shared" si="53"/>
        <v>1</v>
      </c>
      <c r="AV114" s="59" t="str">
        <f t="shared" si="62"/>
        <v xml:space="preserve">    { wxString::FromUTF8("\xC2\xB3"), &amp;AllGlyphs[113], &amp;AllGlyphs[114], &amp;AllGlyphs[112], &amp;AllGlyphs[114], Connection::ORTHO_LEFT, Connection::ORTHO_LEFT, Connection::ORTHO_BOTH, Connection::ORTHO_BOTH, 0, 0, 1, 0 },</v>
      </c>
      <c r="AW114" s="60"/>
      <c r="AX114" s="60"/>
      <c r="AY114" s="60"/>
      <c r="AZ114" s="60"/>
      <c r="BA114" s="60"/>
      <c r="BB114" s="60"/>
      <c r="BC114" s="61"/>
      <c r="BE114" s="54" t="str">
        <f t="shared" si="54"/>
        <v>&amp;AllGlyphs[113]</v>
      </c>
      <c r="BF114" s="54" t="str">
        <f t="shared" si="55"/>
        <v>&amp;AllGlyphs[114]</v>
      </c>
      <c r="BG114" s="54" t="str">
        <f t="shared" si="56"/>
        <v>&amp;AllGlyphs[112]</v>
      </c>
      <c r="BH114" s="54" t="str">
        <f t="shared" si="57"/>
        <v>&amp;AllGlyphs[114]</v>
      </c>
      <c r="BJ114" s="58">
        <f t="shared" si="58"/>
        <v>0</v>
      </c>
      <c r="BK114" s="58">
        <f t="shared" si="59"/>
        <v>0</v>
      </c>
      <c r="BL114" s="58">
        <f t="shared" si="60"/>
        <v>1</v>
      </c>
      <c r="BM114" s="58">
        <f t="shared" si="61"/>
        <v>0</v>
      </c>
    </row>
    <row r="115" spans="1:65" x14ac:dyDescent="0.4">
      <c r="A115" s="7" t="s">
        <v>94</v>
      </c>
      <c r="B115" s="6" t="str">
        <f t="shared" si="35"/>
        <v>´</v>
      </c>
      <c r="C115" s="48" cm="1">
        <f t="array" ref="C115">IF($N115,INDEX($O:$O,MATCH(TRUE,EXACT(B115,$A:$A),0)),"")</f>
        <v>113</v>
      </c>
      <c r="D115" s="38" t="s">
        <v>95</v>
      </c>
      <c r="E115" s="48" cm="1">
        <f t="array" ref="E115">IF($N115,INDEX($O:$O,MATCH(TRUE,EXACT(D115,$A:$A),0)),"")</f>
        <v>114</v>
      </c>
      <c r="F115" s="38" t="s">
        <v>92</v>
      </c>
      <c r="G115" s="48" cm="1">
        <f t="array" ref="G115">IF($O115&lt;&gt;"",INDEX($O:$O,MATCH(TRUE,EXACT(F115,$A:$A),0)),"")</f>
        <v>111</v>
      </c>
      <c r="H115" s="38" t="s">
        <v>92</v>
      </c>
      <c r="I115" s="48" cm="1">
        <f t="array" ref="I115">IF($N115,INDEX($O:$O,MATCH(TRUE,EXACT(H115,$A:$A),0)),"")</f>
        <v>111</v>
      </c>
      <c r="J115" s="38" t="s">
        <v>94</v>
      </c>
      <c r="K115" s="52" cm="1">
        <f t="array" ref="K115">IF($N115,INDEX($O:$O,MATCH(TRUE,EXACT(J115,$A:$A),0)),"")</f>
        <v>113</v>
      </c>
      <c r="L115" s="23"/>
      <c r="M115" s="33"/>
      <c r="N115" s="18" t="b">
        <f t="shared" si="37"/>
        <v>1</v>
      </c>
      <c r="O115" s="19">
        <f>IF(N115, MAX(O$2:O114)+1,"")</f>
        <v>113</v>
      </c>
      <c r="P115" s="23" t="str">
        <f t="shared" si="36"/>
        <v>´</v>
      </c>
      <c r="Q115" s="8" t="str" cm="1">
        <f t="array" ref="Q115">CharToUTF8(A115)</f>
        <v>\xC2\xB4</v>
      </c>
      <c r="S115" s="18" t="str">
        <f>$AO$4</f>
        <v>ORTHO_BOTH</v>
      </c>
      <c r="T115" s="24" t="str">
        <f>$AO$4</f>
        <v>ORTHO_BOTH</v>
      </c>
      <c r="U115" s="24" t="str">
        <f>$AO$7</f>
        <v>ORTHO_UP</v>
      </c>
      <c r="V115" s="21" t="str">
        <f>$AO$7</f>
        <v>ORTHO_UP</v>
      </c>
      <c r="X115" s="31" t="b">
        <f t="shared" si="38"/>
        <v>0</v>
      </c>
      <c r="Y115" s="31" t="b">
        <f t="shared" si="39"/>
        <v>0</v>
      </c>
      <c r="Z115" t="b">
        <f t="shared" si="40"/>
        <v>0</v>
      </c>
      <c r="AA115" t="b">
        <f t="shared" si="41"/>
        <v>1</v>
      </c>
      <c r="AB115" t="b">
        <f t="shared" si="42"/>
        <v>0</v>
      </c>
      <c r="AC115" t="b">
        <f t="shared" si="43"/>
        <v>0</v>
      </c>
      <c r="AD115" t="b">
        <f t="shared" si="44"/>
        <v>0</v>
      </c>
      <c r="AE115" t="b">
        <f t="shared" si="45"/>
        <v>0</v>
      </c>
      <c r="AF115" t="b">
        <f t="shared" si="46"/>
        <v>1</v>
      </c>
      <c r="AG115" t="b">
        <f t="shared" si="47"/>
        <v>1</v>
      </c>
      <c r="AH115" t="b">
        <f t="shared" si="48"/>
        <v>0</v>
      </c>
      <c r="AI115" t="b">
        <f t="shared" si="49"/>
        <v>0</v>
      </c>
      <c r="AJ115" t="b">
        <f t="shared" si="50"/>
        <v>1</v>
      </c>
      <c r="AK115" t="b">
        <f t="shared" si="51"/>
        <v>1</v>
      </c>
      <c r="AL115" t="b">
        <f t="shared" si="52"/>
        <v>1</v>
      </c>
      <c r="AM115" t="b">
        <f t="shared" si="53"/>
        <v>1</v>
      </c>
      <c r="AV115" s="59" t="str">
        <f t="shared" si="62"/>
        <v xml:space="preserve">    { wxString::FromUTF8("\xC2\xB4"), &amp;AllGlyphs[114], &amp;AllGlyphs[111], &amp;AllGlyphs[111], &amp;AllGlyphs[113], Connection::ORTHO_BOTH, Connection::ORTHO_BOTH, Connection::ORTHO_UP, Connection::ORTHO_UP, 0, 0, 0, 1 },</v>
      </c>
      <c r="AW115" s="60"/>
      <c r="AX115" s="60"/>
      <c r="AY115" s="60"/>
      <c r="AZ115" s="60"/>
      <c r="BA115" s="60"/>
      <c r="BB115" s="60"/>
      <c r="BC115" s="61"/>
      <c r="BE115" s="54" t="str">
        <f t="shared" si="54"/>
        <v>&amp;AllGlyphs[114]</v>
      </c>
      <c r="BF115" s="54" t="str">
        <f t="shared" si="55"/>
        <v>&amp;AllGlyphs[111]</v>
      </c>
      <c r="BG115" s="54" t="str">
        <f t="shared" si="56"/>
        <v>&amp;AllGlyphs[111]</v>
      </c>
      <c r="BH115" s="54" t="str">
        <f t="shared" si="57"/>
        <v>&amp;AllGlyphs[113]</v>
      </c>
      <c r="BJ115" s="58">
        <f t="shared" si="58"/>
        <v>0</v>
      </c>
      <c r="BK115" s="58">
        <f t="shared" si="59"/>
        <v>0</v>
      </c>
      <c r="BL115" s="58">
        <f t="shared" si="60"/>
        <v>0</v>
      </c>
      <c r="BM115" s="58">
        <f t="shared" si="61"/>
        <v>1</v>
      </c>
    </row>
    <row r="116" spans="1:65" x14ac:dyDescent="0.4">
      <c r="A116" s="7" t="s">
        <v>95</v>
      </c>
      <c r="B116" s="6" t="str">
        <f t="shared" si="35"/>
        <v>µ</v>
      </c>
      <c r="C116" s="48" cm="1">
        <f t="array" ref="C116">IF($N116,INDEX($O:$O,MATCH(TRUE,EXACT(B116,$A:$A),0)),"")</f>
        <v>114</v>
      </c>
      <c r="D116" s="38" t="s">
        <v>92</v>
      </c>
      <c r="E116" s="48" cm="1">
        <f t="array" ref="E116">IF($N116,INDEX($O:$O,MATCH(TRUE,EXACT(D116,$A:$A),0)),"")</f>
        <v>111</v>
      </c>
      <c r="F116" s="38" t="s">
        <v>93</v>
      </c>
      <c r="G116" s="48" cm="1">
        <f t="array" ref="G116">IF($O116&lt;&gt;"",INDEX($O:$O,MATCH(TRUE,EXACT(F116,$A:$A),0)),"")</f>
        <v>112</v>
      </c>
      <c r="H116" s="38" t="s">
        <v>95</v>
      </c>
      <c r="I116" s="48" cm="1">
        <f t="array" ref="I116">IF($N116,INDEX($O:$O,MATCH(TRUE,EXACT(H116,$A:$A),0)),"")</f>
        <v>114</v>
      </c>
      <c r="J116" s="38" t="s">
        <v>93</v>
      </c>
      <c r="K116" s="52" cm="1">
        <f t="array" ref="K116">IF($N116,INDEX($O:$O,MATCH(TRUE,EXACT(J116,$A:$A),0)),"")</f>
        <v>112</v>
      </c>
      <c r="L116" s="23"/>
      <c r="M116" s="33"/>
      <c r="N116" s="18" t="b">
        <f t="shared" si="37"/>
        <v>1</v>
      </c>
      <c r="O116" s="19">
        <f>IF(N116, MAX(O$2:O115)+1,"")</f>
        <v>114</v>
      </c>
      <c r="P116" s="23" t="str">
        <f t="shared" si="36"/>
        <v>µ</v>
      </c>
      <c r="Q116" s="8" t="str" cm="1">
        <f t="array" ref="Q116">CharToUTF8(A116)</f>
        <v>\xC2\xB5</v>
      </c>
      <c r="S116" s="18" t="str">
        <f>$AO$10</f>
        <v>ORTHO_RIGHT</v>
      </c>
      <c r="T116" s="24" t="str">
        <f>$AO$10</f>
        <v>ORTHO_RIGHT</v>
      </c>
      <c r="U116" s="24" t="str">
        <f>$AO$4</f>
        <v>ORTHO_BOTH</v>
      </c>
      <c r="V116" s="21" t="str">
        <f>$AO$4</f>
        <v>ORTHO_BOTH</v>
      </c>
      <c r="X116" s="31" t="b">
        <f t="shared" si="38"/>
        <v>0</v>
      </c>
      <c r="Y116" s="31" t="b">
        <f t="shared" si="39"/>
        <v>0</v>
      </c>
      <c r="Z116" t="b">
        <f t="shared" si="40"/>
        <v>1</v>
      </c>
      <c r="AA116" t="b">
        <f t="shared" si="41"/>
        <v>0</v>
      </c>
      <c r="AB116" t="b">
        <f t="shared" si="42"/>
        <v>0</v>
      </c>
      <c r="AC116" t="b">
        <f t="shared" si="43"/>
        <v>0</v>
      </c>
      <c r="AD116" t="b">
        <f t="shared" si="44"/>
        <v>0</v>
      </c>
      <c r="AE116" t="b">
        <f t="shared" si="45"/>
        <v>0</v>
      </c>
      <c r="AF116" t="b">
        <f t="shared" si="46"/>
        <v>0</v>
      </c>
      <c r="AG116" t="b">
        <f t="shared" si="47"/>
        <v>0</v>
      </c>
      <c r="AH116" t="b">
        <f t="shared" si="48"/>
        <v>1</v>
      </c>
      <c r="AI116" t="b">
        <f t="shared" si="49"/>
        <v>1</v>
      </c>
      <c r="AJ116" t="b">
        <f t="shared" si="50"/>
        <v>1</v>
      </c>
      <c r="AK116" t="b">
        <f t="shared" si="51"/>
        <v>1</v>
      </c>
      <c r="AL116" t="b">
        <f t="shared" si="52"/>
        <v>1</v>
      </c>
      <c r="AM116" t="b">
        <f t="shared" si="53"/>
        <v>1</v>
      </c>
      <c r="AV116" s="59" t="str">
        <f t="shared" si="62"/>
        <v xml:space="preserve">    { wxString::FromUTF8("\xC2\xB5"), &amp;AllGlyphs[111], &amp;AllGlyphs[112], &amp;AllGlyphs[114], &amp;AllGlyphs[112], Connection::ORTHO_RIGHT, Connection::ORTHO_RIGHT, Connection::ORTHO_BOTH, Connection::ORTHO_BOTH, 0, 0, 1, 0 },</v>
      </c>
      <c r="AW116" s="60"/>
      <c r="AX116" s="60"/>
      <c r="AY116" s="60"/>
      <c r="AZ116" s="60"/>
      <c r="BA116" s="60"/>
      <c r="BB116" s="60"/>
      <c r="BC116" s="61"/>
      <c r="BE116" s="54" t="str">
        <f t="shared" si="54"/>
        <v>&amp;AllGlyphs[111]</v>
      </c>
      <c r="BF116" s="54" t="str">
        <f t="shared" si="55"/>
        <v>&amp;AllGlyphs[112]</v>
      </c>
      <c r="BG116" s="54" t="str">
        <f t="shared" si="56"/>
        <v>&amp;AllGlyphs[114]</v>
      </c>
      <c r="BH116" s="54" t="str">
        <f t="shared" si="57"/>
        <v>&amp;AllGlyphs[112]</v>
      </c>
      <c r="BJ116" s="58">
        <f t="shared" si="58"/>
        <v>0</v>
      </c>
      <c r="BK116" s="58">
        <f t="shared" si="59"/>
        <v>0</v>
      </c>
      <c r="BL116" s="58">
        <f t="shared" si="60"/>
        <v>1</v>
      </c>
      <c r="BM116" s="58">
        <f t="shared" si="61"/>
        <v>0</v>
      </c>
    </row>
    <row r="117" spans="1:65" x14ac:dyDescent="0.4">
      <c r="A117" s="7" t="s">
        <v>96</v>
      </c>
      <c r="B117" s="6" t="str">
        <f t="shared" si="35"/>
        <v>¶</v>
      </c>
      <c r="C117" s="48" cm="1">
        <f t="array" ref="C117">IF($N117,INDEX($O:$O,MATCH(TRUE,EXACT(B117,$A:$A),0)),"")</f>
        <v>115</v>
      </c>
      <c r="D117" s="38" t="s">
        <v>97</v>
      </c>
      <c r="E117" s="48" cm="1">
        <f t="array" ref="E117">IF($N117,INDEX($O:$O,MATCH(TRUE,EXACT(D117,$A:$A),0)),"")</f>
        <v>116</v>
      </c>
      <c r="F117" s="38" t="s">
        <v>98</v>
      </c>
      <c r="G117" s="48" cm="1">
        <f t="array" ref="G117">IF($O117&lt;&gt;"",INDEX($O:$O,MATCH(TRUE,EXACT(F117,$A:$A),0)),"")</f>
        <v>117</v>
      </c>
      <c r="H117" s="38" t="s">
        <v>97</v>
      </c>
      <c r="I117" s="48" cm="1">
        <f t="array" ref="I117">IF($N117,INDEX($O:$O,MATCH(TRUE,EXACT(H117,$A:$A),0)),"")</f>
        <v>116</v>
      </c>
      <c r="J117" s="38" t="s">
        <v>99</v>
      </c>
      <c r="K117" s="52" cm="1">
        <f t="array" ref="K117">IF($N117,INDEX($O:$O,MATCH(TRUE,EXACT(J117,$A:$A),0)),"")</f>
        <v>118</v>
      </c>
      <c r="L117" s="23"/>
      <c r="M117" s="33"/>
      <c r="N117" s="18" t="b">
        <f t="shared" si="37"/>
        <v>1</v>
      </c>
      <c r="O117" s="19">
        <f>IF(N117, MAX(O$2:O116)+1,"")</f>
        <v>115</v>
      </c>
      <c r="P117" s="23" t="str">
        <f t="shared" si="36"/>
        <v>¶</v>
      </c>
      <c r="Q117" s="8" t="str" cm="1">
        <f t="array" ref="Q117">CharToUTF8(A117)</f>
        <v>\xC2\xB6</v>
      </c>
      <c r="S117" s="18" t="str">
        <f>$AO$9</f>
        <v>ORTHO_LEFT</v>
      </c>
      <c r="T117" s="24" t="str">
        <f>$AO$9</f>
        <v>ORTHO_LEFT</v>
      </c>
      <c r="U117" s="24" t="str">
        <f>$AO$8</f>
        <v>ORTHO_DOWN</v>
      </c>
      <c r="V117" s="21" t="str">
        <f>$AO$8</f>
        <v>ORTHO_DOWN</v>
      </c>
      <c r="X117" s="31" t="b">
        <f t="shared" si="38"/>
        <v>0</v>
      </c>
      <c r="Y117" s="31" t="b">
        <f t="shared" si="39"/>
        <v>0</v>
      </c>
      <c r="Z117" t="b">
        <f t="shared" si="40"/>
        <v>0</v>
      </c>
      <c r="AA117" t="b">
        <f t="shared" si="41"/>
        <v>0</v>
      </c>
      <c r="AB117" t="b">
        <f t="shared" si="42"/>
        <v>1</v>
      </c>
      <c r="AC117" t="b">
        <f t="shared" si="43"/>
        <v>1</v>
      </c>
      <c r="AD117" t="b">
        <f t="shared" si="44"/>
        <v>0</v>
      </c>
      <c r="AE117" t="b">
        <f t="shared" si="45"/>
        <v>0</v>
      </c>
      <c r="AF117" t="b">
        <f t="shared" si="46"/>
        <v>0</v>
      </c>
      <c r="AG117" t="b">
        <f t="shared" si="47"/>
        <v>0</v>
      </c>
      <c r="AH117" t="b">
        <f t="shared" si="48"/>
        <v>0</v>
      </c>
      <c r="AI117" t="b">
        <f t="shared" si="49"/>
        <v>0</v>
      </c>
      <c r="AJ117" t="b">
        <f t="shared" si="50"/>
        <v>1</v>
      </c>
      <c r="AK117" t="b">
        <f t="shared" si="51"/>
        <v>1</v>
      </c>
      <c r="AL117" t="b">
        <f t="shared" si="52"/>
        <v>1</v>
      </c>
      <c r="AM117" t="b">
        <f t="shared" si="53"/>
        <v>1</v>
      </c>
      <c r="AV117" s="59" t="str">
        <f t="shared" si="62"/>
        <v xml:space="preserve">    { wxString::FromUTF8("\xC2\xB6"), &amp;AllGlyphs[116], &amp;AllGlyphs[117], &amp;AllGlyphs[116], &amp;AllGlyphs[118], Connection::ORTHO_LEFT, Connection::ORTHO_LEFT, Connection::ORTHO_DOWN, Connection::ORTHO_DOWN, 0, 0, 0, 0 },</v>
      </c>
      <c r="AW117" s="60"/>
      <c r="AX117" s="60"/>
      <c r="AY117" s="60"/>
      <c r="AZ117" s="60"/>
      <c r="BA117" s="60"/>
      <c r="BB117" s="60"/>
      <c r="BC117" s="61"/>
      <c r="BE117" s="54" t="str">
        <f t="shared" si="54"/>
        <v>&amp;AllGlyphs[116]</v>
      </c>
      <c r="BF117" s="54" t="str">
        <f t="shared" si="55"/>
        <v>&amp;AllGlyphs[117]</v>
      </c>
      <c r="BG117" s="54" t="str">
        <f t="shared" si="56"/>
        <v>&amp;AllGlyphs[116]</v>
      </c>
      <c r="BH117" s="54" t="str">
        <f t="shared" si="57"/>
        <v>&amp;AllGlyphs[118]</v>
      </c>
      <c r="BJ117" s="58">
        <f t="shared" si="58"/>
        <v>0</v>
      </c>
      <c r="BK117" s="58">
        <f t="shared" si="59"/>
        <v>0</v>
      </c>
      <c r="BL117" s="58">
        <f t="shared" si="60"/>
        <v>0</v>
      </c>
      <c r="BM117" s="58">
        <f t="shared" si="61"/>
        <v>0</v>
      </c>
    </row>
    <row r="118" spans="1:65" x14ac:dyDescent="0.4">
      <c r="A118" s="7" t="s">
        <v>97</v>
      </c>
      <c r="B118" s="6" t="str">
        <f t="shared" si="35"/>
        <v>¸</v>
      </c>
      <c r="C118" s="48" cm="1">
        <f t="array" ref="C118">IF($N118,INDEX($O:$O,MATCH(TRUE,EXACT(B118,$A:$A),0)),"")</f>
        <v>116</v>
      </c>
      <c r="D118" s="38" t="s">
        <v>98</v>
      </c>
      <c r="E118" s="48" cm="1">
        <f t="array" ref="E118">IF($N118,INDEX($O:$O,MATCH(TRUE,EXACT(D118,$A:$A),0)),"")</f>
        <v>117</v>
      </c>
      <c r="F118" s="38" t="s">
        <v>99</v>
      </c>
      <c r="G118" s="48" cm="1">
        <f t="array" ref="G118">IF($O118&lt;&gt;"",INDEX($O:$O,MATCH(TRUE,EXACT(F118,$A:$A),0)),"")</f>
        <v>118</v>
      </c>
      <c r="H118" s="38" t="s">
        <v>96</v>
      </c>
      <c r="I118" s="48" cm="1">
        <f t="array" ref="I118">IF($N118,INDEX($O:$O,MATCH(TRUE,EXACT(H118,$A:$A),0)),"")</f>
        <v>115</v>
      </c>
      <c r="J118" s="38" t="s">
        <v>98</v>
      </c>
      <c r="K118" s="52" cm="1">
        <f t="array" ref="K118">IF($N118,INDEX($O:$O,MATCH(TRUE,EXACT(J118,$A:$A),0)),"")</f>
        <v>117</v>
      </c>
      <c r="L118" s="23"/>
      <c r="M118" s="33"/>
      <c r="N118" s="18" t="b">
        <f t="shared" si="37"/>
        <v>1</v>
      </c>
      <c r="O118" s="19">
        <f>IF(N118, MAX(O$2:O117)+1,"")</f>
        <v>116</v>
      </c>
      <c r="P118" s="23" t="str">
        <f t="shared" si="36"/>
        <v>¸</v>
      </c>
      <c r="Q118" s="8" t="str" cm="1">
        <f t="array" ref="Q118">CharToUTF8(A118)</f>
        <v>\xC2\xB8</v>
      </c>
      <c r="S118" s="18" t="str">
        <f>$AO$9</f>
        <v>ORTHO_LEFT</v>
      </c>
      <c r="T118" s="24" t="str">
        <f>$AO$9</f>
        <v>ORTHO_LEFT</v>
      </c>
      <c r="U118" s="24" t="str">
        <f>$AO$7</f>
        <v>ORTHO_UP</v>
      </c>
      <c r="V118" s="21" t="str">
        <f>$AO$7</f>
        <v>ORTHO_UP</v>
      </c>
      <c r="X118" s="31" t="b">
        <f t="shared" si="38"/>
        <v>0</v>
      </c>
      <c r="Y118" s="31" t="b">
        <f t="shared" si="39"/>
        <v>0</v>
      </c>
      <c r="Z118" t="b">
        <f t="shared" si="40"/>
        <v>0</v>
      </c>
      <c r="AA118" t="b">
        <f t="shared" si="41"/>
        <v>0</v>
      </c>
      <c r="AB118" t="b">
        <f t="shared" si="42"/>
        <v>0</v>
      </c>
      <c r="AC118" t="b">
        <f t="shared" si="43"/>
        <v>0</v>
      </c>
      <c r="AD118" t="b">
        <f t="shared" si="44"/>
        <v>1</v>
      </c>
      <c r="AE118" t="b">
        <f t="shared" si="45"/>
        <v>1</v>
      </c>
      <c r="AF118" t="b">
        <f t="shared" si="46"/>
        <v>0</v>
      </c>
      <c r="AG118" t="b">
        <f t="shared" si="47"/>
        <v>0</v>
      </c>
      <c r="AH118" t="b">
        <f t="shared" si="48"/>
        <v>0</v>
      </c>
      <c r="AI118" t="b">
        <f t="shared" si="49"/>
        <v>0</v>
      </c>
      <c r="AJ118" t="b">
        <f t="shared" si="50"/>
        <v>1</v>
      </c>
      <c r="AK118" t="b">
        <f t="shared" si="51"/>
        <v>1</v>
      </c>
      <c r="AL118" t="b">
        <f t="shared" si="52"/>
        <v>1</v>
      </c>
      <c r="AM118" t="b">
        <f t="shared" si="53"/>
        <v>1</v>
      </c>
      <c r="AV118" s="59" t="str">
        <f t="shared" si="62"/>
        <v xml:space="preserve">    { wxString::FromUTF8("\xC2\xB8"), &amp;AllGlyphs[117], &amp;AllGlyphs[118], &amp;AllGlyphs[115], &amp;AllGlyphs[117], Connection::ORTHO_LEFT, Connection::ORTHO_LEFT, Connection::ORTHO_UP, Connection::ORTHO_UP, 0, 0, 0, 0 },</v>
      </c>
      <c r="AW118" s="60"/>
      <c r="AX118" s="60"/>
      <c r="AY118" s="60"/>
      <c r="AZ118" s="60"/>
      <c r="BA118" s="60"/>
      <c r="BB118" s="60"/>
      <c r="BC118" s="61"/>
      <c r="BE118" s="54" t="str">
        <f t="shared" si="54"/>
        <v>&amp;AllGlyphs[117]</v>
      </c>
      <c r="BF118" s="54" t="str">
        <f t="shared" si="55"/>
        <v>&amp;AllGlyphs[118]</v>
      </c>
      <c r="BG118" s="54" t="str">
        <f t="shared" si="56"/>
        <v>&amp;AllGlyphs[115]</v>
      </c>
      <c r="BH118" s="54" t="str">
        <f t="shared" si="57"/>
        <v>&amp;AllGlyphs[117]</v>
      </c>
      <c r="BJ118" s="58">
        <f t="shared" si="58"/>
        <v>0</v>
      </c>
      <c r="BK118" s="58">
        <f t="shared" si="59"/>
        <v>0</v>
      </c>
      <c r="BL118" s="58">
        <f t="shared" si="60"/>
        <v>0</v>
      </c>
      <c r="BM118" s="58">
        <f t="shared" si="61"/>
        <v>0</v>
      </c>
    </row>
    <row r="119" spans="1:65" x14ac:dyDescent="0.4">
      <c r="A119" s="7" t="s">
        <v>98</v>
      </c>
      <c r="B119" s="6" t="str">
        <f t="shared" si="35"/>
        <v>¹</v>
      </c>
      <c r="C119" s="48" cm="1">
        <f t="array" ref="C119">IF($N119,INDEX($O:$O,MATCH(TRUE,EXACT(B119,$A:$A),0)),"")</f>
        <v>117</v>
      </c>
      <c r="D119" s="38" t="s">
        <v>99</v>
      </c>
      <c r="E119" s="48" cm="1">
        <f t="array" ref="E119">IF($N119,INDEX($O:$O,MATCH(TRUE,EXACT(D119,$A:$A),0)),"")</f>
        <v>118</v>
      </c>
      <c r="F119" s="38" t="s">
        <v>96</v>
      </c>
      <c r="G119" s="48" cm="1">
        <f t="array" ref="G119">IF($O119&lt;&gt;"",INDEX($O:$O,MATCH(TRUE,EXACT(F119,$A:$A),0)),"")</f>
        <v>115</v>
      </c>
      <c r="H119" s="38" t="s">
        <v>99</v>
      </c>
      <c r="I119" s="48" cm="1">
        <f t="array" ref="I119">IF($N119,INDEX($O:$O,MATCH(TRUE,EXACT(H119,$A:$A),0)),"")</f>
        <v>118</v>
      </c>
      <c r="J119" s="38" t="s">
        <v>97</v>
      </c>
      <c r="K119" s="52" cm="1">
        <f t="array" ref="K119">IF($N119,INDEX($O:$O,MATCH(TRUE,EXACT(J119,$A:$A),0)),"")</f>
        <v>116</v>
      </c>
      <c r="L119" s="23"/>
      <c r="M119" s="33"/>
      <c r="N119" s="18" t="b">
        <f t="shared" si="37"/>
        <v>1</v>
      </c>
      <c r="O119" s="19">
        <f>IF(N119, MAX(O$2:O118)+1,"")</f>
        <v>117</v>
      </c>
      <c r="P119" s="23" t="str">
        <f t="shared" si="36"/>
        <v>¹</v>
      </c>
      <c r="Q119" s="8" t="str" cm="1">
        <f t="array" ref="Q119">CharToUTF8(A119)</f>
        <v>\xC2\xB9</v>
      </c>
      <c r="S119" s="18" t="str">
        <f t="shared" ref="S119:T121" si="65">$AO$10</f>
        <v>ORTHO_RIGHT</v>
      </c>
      <c r="T119" s="24" t="str">
        <f t="shared" si="65"/>
        <v>ORTHO_RIGHT</v>
      </c>
      <c r="U119" s="24" t="str">
        <f>$AO$7</f>
        <v>ORTHO_UP</v>
      </c>
      <c r="V119" s="21" t="str">
        <f>$AO$7</f>
        <v>ORTHO_UP</v>
      </c>
      <c r="X119" s="31" t="b">
        <f t="shared" si="38"/>
        <v>0</v>
      </c>
      <c r="Y119" s="31" t="b">
        <f t="shared" si="39"/>
        <v>0</v>
      </c>
      <c r="Z119" t="b">
        <f t="shared" si="40"/>
        <v>0</v>
      </c>
      <c r="AA119" t="b">
        <f t="shared" si="41"/>
        <v>0</v>
      </c>
      <c r="AB119" t="b">
        <f t="shared" si="42"/>
        <v>1</v>
      </c>
      <c r="AC119" t="b">
        <f t="shared" si="43"/>
        <v>1</v>
      </c>
      <c r="AD119" t="b">
        <f t="shared" si="44"/>
        <v>0</v>
      </c>
      <c r="AE119" t="b">
        <f t="shared" si="45"/>
        <v>0</v>
      </c>
      <c r="AF119" t="b">
        <f t="shared" si="46"/>
        <v>0</v>
      </c>
      <c r="AG119" t="b">
        <f t="shared" si="47"/>
        <v>0</v>
      </c>
      <c r="AH119" t="b">
        <f t="shared" si="48"/>
        <v>0</v>
      </c>
      <c r="AI119" t="b">
        <f t="shared" si="49"/>
        <v>0</v>
      </c>
      <c r="AJ119" t="b">
        <f t="shared" si="50"/>
        <v>1</v>
      </c>
      <c r="AK119" t="b">
        <f t="shared" si="51"/>
        <v>1</v>
      </c>
      <c r="AL119" t="b">
        <f t="shared" si="52"/>
        <v>1</v>
      </c>
      <c r="AM119" t="b">
        <f t="shared" si="53"/>
        <v>1</v>
      </c>
      <c r="AV119" s="59" t="str">
        <f t="shared" si="62"/>
        <v xml:space="preserve">    { wxString::FromUTF8("\xC2\xB9"), &amp;AllGlyphs[118], &amp;AllGlyphs[115], &amp;AllGlyphs[118], &amp;AllGlyphs[116], Connection::ORTHO_RIGHT, Connection::ORTHO_RIGHT, Connection::ORTHO_UP, Connection::ORTHO_UP, 0, 0, 0, 0 },</v>
      </c>
      <c r="AW119" s="60"/>
      <c r="AX119" s="60"/>
      <c r="AY119" s="60"/>
      <c r="AZ119" s="60"/>
      <c r="BA119" s="60"/>
      <c r="BB119" s="60"/>
      <c r="BC119" s="61"/>
      <c r="BE119" s="54" t="str">
        <f t="shared" si="54"/>
        <v>&amp;AllGlyphs[118]</v>
      </c>
      <c r="BF119" s="54" t="str">
        <f t="shared" si="55"/>
        <v>&amp;AllGlyphs[115]</v>
      </c>
      <c r="BG119" s="54" t="str">
        <f t="shared" si="56"/>
        <v>&amp;AllGlyphs[118]</v>
      </c>
      <c r="BH119" s="54" t="str">
        <f t="shared" si="57"/>
        <v>&amp;AllGlyphs[116]</v>
      </c>
      <c r="BJ119" s="58">
        <f t="shared" si="58"/>
        <v>0</v>
      </c>
      <c r="BK119" s="58">
        <f t="shared" si="59"/>
        <v>0</v>
      </c>
      <c r="BL119" s="58">
        <f t="shared" si="60"/>
        <v>0</v>
      </c>
      <c r="BM119" s="58">
        <f t="shared" si="61"/>
        <v>0</v>
      </c>
    </row>
    <row r="120" spans="1:65" x14ac:dyDescent="0.4">
      <c r="A120" s="7" t="s">
        <v>99</v>
      </c>
      <c r="B120" s="6" t="str">
        <f t="shared" si="35"/>
        <v>º</v>
      </c>
      <c r="C120" s="48" cm="1">
        <f t="array" ref="C120">IF($N120,INDEX($O:$O,MATCH(TRUE,EXACT(B120,$A:$A),0)),"")</f>
        <v>118</v>
      </c>
      <c r="D120" s="38" t="s">
        <v>96</v>
      </c>
      <c r="E120" s="48" cm="1">
        <f t="array" ref="E120">IF($N120,INDEX($O:$O,MATCH(TRUE,EXACT(D120,$A:$A),0)),"")</f>
        <v>115</v>
      </c>
      <c r="F120" s="38" t="s">
        <v>97</v>
      </c>
      <c r="G120" s="48" cm="1">
        <f t="array" ref="G120">IF($O120&lt;&gt;"",INDEX($O:$O,MATCH(TRUE,EXACT(F120,$A:$A),0)),"")</f>
        <v>116</v>
      </c>
      <c r="H120" s="38" t="s">
        <v>98</v>
      </c>
      <c r="I120" s="48" cm="1">
        <f t="array" ref="I120">IF($N120,INDEX($O:$O,MATCH(TRUE,EXACT(H120,$A:$A),0)),"")</f>
        <v>117</v>
      </c>
      <c r="J120" s="38" t="s">
        <v>96</v>
      </c>
      <c r="K120" s="52" cm="1">
        <f t="array" ref="K120">IF($N120,INDEX($O:$O,MATCH(TRUE,EXACT(J120,$A:$A),0)),"")</f>
        <v>115</v>
      </c>
      <c r="L120" s="23"/>
      <c r="M120" s="33"/>
      <c r="N120" s="18" t="b">
        <f t="shared" si="37"/>
        <v>1</v>
      </c>
      <c r="O120" s="19">
        <f>IF(N120, MAX(O$2:O119)+1,"")</f>
        <v>118</v>
      </c>
      <c r="P120" s="23" t="str">
        <f t="shared" si="36"/>
        <v>º</v>
      </c>
      <c r="Q120" s="8" t="str" cm="1">
        <f t="array" ref="Q120">CharToUTF8(A120)</f>
        <v>\xC2\xBA</v>
      </c>
      <c r="S120" s="18" t="str">
        <f t="shared" si="65"/>
        <v>ORTHO_RIGHT</v>
      </c>
      <c r="T120" s="24" t="str">
        <f t="shared" si="65"/>
        <v>ORTHO_RIGHT</v>
      </c>
      <c r="U120" s="24" t="str">
        <f>$AO$8</f>
        <v>ORTHO_DOWN</v>
      </c>
      <c r="V120" s="21" t="str">
        <f>$AO$8</f>
        <v>ORTHO_DOWN</v>
      </c>
      <c r="X120" s="31" t="b">
        <f t="shared" si="38"/>
        <v>0</v>
      </c>
      <c r="Y120" s="31" t="b">
        <f t="shared" si="39"/>
        <v>0</v>
      </c>
      <c r="Z120" t="b">
        <f t="shared" si="40"/>
        <v>0</v>
      </c>
      <c r="AA120" t="b">
        <f t="shared" si="41"/>
        <v>0</v>
      </c>
      <c r="AB120" t="b">
        <f t="shared" si="42"/>
        <v>0</v>
      </c>
      <c r="AC120" t="b">
        <f t="shared" si="43"/>
        <v>0</v>
      </c>
      <c r="AD120" t="b">
        <f t="shared" si="44"/>
        <v>1</v>
      </c>
      <c r="AE120" t="b">
        <f t="shared" si="45"/>
        <v>1</v>
      </c>
      <c r="AF120" t="b">
        <f t="shared" si="46"/>
        <v>0</v>
      </c>
      <c r="AG120" t="b">
        <f t="shared" si="47"/>
        <v>0</v>
      </c>
      <c r="AH120" t="b">
        <f t="shared" si="48"/>
        <v>0</v>
      </c>
      <c r="AI120" t="b">
        <f t="shared" si="49"/>
        <v>0</v>
      </c>
      <c r="AJ120" t="b">
        <f t="shared" si="50"/>
        <v>1</v>
      </c>
      <c r="AK120" t="b">
        <f t="shared" si="51"/>
        <v>1</v>
      </c>
      <c r="AL120" t="b">
        <f t="shared" si="52"/>
        <v>1</v>
      </c>
      <c r="AM120" t="b">
        <f t="shared" si="53"/>
        <v>1</v>
      </c>
      <c r="AV120" s="59" t="str">
        <f t="shared" si="62"/>
        <v xml:space="preserve">    { wxString::FromUTF8("\xC2\xBA"), &amp;AllGlyphs[115], &amp;AllGlyphs[116], &amp;AllGlyphs[117], &amp;AllGlyphs[115], Connection::ORTHO_RIGHT, Connection::ORTHO_RIGHT, Connection::ORTHO_DOWN, Connection::ORTHO_DOWN, 0, 0, 0, 0 },</v>
      </c>
      <c r="AW120" s="60"/>
      <c r="AX120" s="60"/>
      <c r="AY120" s="60"/>
      <c r="AZ120" s="60"/>
      <c r="BA120" s="60"/>
      <c r="BB120" s="60"/>
      <c r="BC120" s="61"/>
      <c r="BE120" s="54" t="str">
        <f t="shared" si="54"/>
        <v>&amp;AllGlyphs[115]</v>
      </c>
      <c r="BF120" s="54" t="str">
        <f t="shared" si="55"/>
        <v>&amp;AllGlyphs[116]</v>
      </c>
      <c r="BG120" s="54" t="str">
        <f t="shared" si="56"/>
        <v>&amp;AllGlyphs[117]</v>
      </c>
      <c r="BH120" s="54" t="str">
        <f t="shared" si="57"/>
        <v>&amp;AllGlyphs[115]</v>
      </c>
      <c r="BJ120" s="58">
        <f t="shared" si="58"/>
        <v>0</v>
      </c>
      <c r="BK120" s="58">
        <f t="shared" si="59"/>
        <v>0</v>
      </c>
      <c r="BL120" s="58">
        <f t="shared" si="60"/>
        <v>0</v>
      </c>
      <c r="BM120" s="58">
        <f t="shared" si="61"/>
        <v>0</v>
      </c>
    </row>
    <row r="121" spans="1:65" x14ac:dyDescent="0.4">
      <c r="A121" s="7" t="s">
        <v>100</v>
      </c>
      <c r="B121" s="6" t="str">
        <f t="shared" si="35"/>
        <v>»</v>
      </c>
      <c r="C121" s="48" cm="1">
        <f t="array" ref="C121">IF($N121,INDEX($O:$O,MATCH(TRUE,EXACT(B121,$A:$A),0)),"")</f>
        <v>119</v>
      </c>
      <c r="D121" s="38" t="s">
        <v>103</v>
      </c>
      <c r="E121" s="48" cm="1">
        <f t="array" ref="E121">IF($N121,INDEX($O:$O,MATCH(TRUE,EXACT(D121,$A:$A),0)),"")</f>
        <v>122</v>
      </c>
      <c r="F121" s="38" t="s">
        <v>101</v>
      </c>
      <c r="G121" s="48" cm="1">
        <f t="array" ref="G121">IF($O121&lt;&gt;"",INDEX($O:$O,MATCH(TRUE,EXACT(F121,$A:$A),0)),"")</f>
        <v>120</v>
      </c>
      <c r="H121" s="38" t="s">
        <v>100</v>
      </c>
      <c r="I121" s="48" cm="1">
        <f t="array" ref="I121">IF($N121,INDEX($O:$O,MATCH(TRUE,EXACT(H121,$A:$A),0)),"")</f>
        <v>119</v>
      </c>
      <c r="J121" s="38" t="s">
        <v>101</v>
      </c>
      <c r="K121" s="52" cm="1">
        <f t="array" ref="K121">IF($N121,INDEX($O:$O,MATCH(TRUE,EXACT(J121,$A:$A),0)),"")</f>
        <v>120</v>
      </c>
      <c r="L121" s="23"/>
      <c r="M121" s="33"/>
      <c r="N121" s="18" t="b">
        <f t="shared" si="37"/>
        <v>1</v>
      </c>
      <c r="O121" s="19">
        <f>IF(N121, MAX(O$2:O120)+1,"")</f>
        <v>119</v>
      </c>
      <c r="P121" s="23" t="str">
        <f t="shared" si="36"/>
        <v>»</v>
      </c>
      <c r="Q121" s="8" t="str" cm="1">
        <f t="array" ref="Q121">CharToUTF8(A121)</f>
        <v>\xC2\xBB</v>
      </c>
      <c r="S121" s="18" t="str">
        <f t="shared" si="65"/>
        <v>ORTHO_RIGHT</v>
      </c>
      <c r="T121" s="24" t="str">
        <f t="shared" si="65"/>
        <v>ORTHO_RIGHT</v>
      </c>
      <c r="U121" s="24" t="str">
        <f>$AO$2</f>
        <v>EMPTY</v>
      </c>
      <c r="V121" s="21" t="str">
        <f>$AO$3</f>
        <v>DIAG_BOTH</v>
      </c>
      <c r="X121" s="31" t="b">
        <f t="shared" si="38"/>
        <v>0</v>
      </c>
      <c r="Y121" s="31" t="b">
        <f t="shared" si="39"/>
        <v>0</v>
      </c>
      <c r="Z121" t="b">
        <f t="shared" si="40"/>
        <v>1</v>
      </c>
      <c r="AA121" t="b">
        <f t="shared" si="41"/>
        <v>0</v>
      </c>
      <c r="AB121" t="b">
        <f t="shared" si="42"/>
        <v>0</v>
      </c>
      <c r="AC121" t="b">
        <f t="shared" si="43"/>
        <v>0</v>
      </c>
      <c r="AD121" t="b">
        <f t="shared" si="44"/>
        <v>0</v>
      </c>
      <c r="AE121" t="b">
        <f t="shared" si="45"/>
        <v>0</v>
      </c>
      <c r="AF121" t="b">
        <f t="shared" si="46"/>
        <v>0</v>
      </c>
      <c r="AG121" t="b">
        <f t="shared" si="47"/>
        <v>0</v>
      </c>
      <c r="AH121" t="b">
        <f t="shared" si="48"/>
        <v>1</v>
      </c>
      <c r="AI121" t="b">
        <f t="shared" si="49"/>
        <v>1</v>
      </c>
      <c r="AJ121" t="b">
        <f t="shared" si="50"/>
        <v>1</v>
      </c>
      <c r="AK121" t="b">
        <f t="shared" si="51"/>
        <v>1</v>
      </c>
      <c r="AL121" t="b">
        <f t="shared" si="52"/>
        <v>1</v>
      </c>
      <c r="AM121" t="b">
        <f t="shared" si="53"/>
        <v>1</v>
      </c>
      <c r="AV121" s="59" t="str">
        <f t="shared" si="62"/>
        <v xml:space="preserve">    { wxString::FromUTF8("\xC2\xBB"), &amp;AllGlyphs[122], &amp;AllGlyphs[120], &amp;AllGlyphs[119], &amp;AllGlyphs[120], Connection::ORTHO_RIGHT, Connection::ORTHO_RIGHT, Connection::EMPTY, Connection::DIAG_BOTH, 0, 0, 1, 0 },</v>
      </c>
      <c r="AW121" s="60"/>
      <c r="AX121" s="60"/>
      <c r="AY121" s="60"/>
      <c r="AZ121" s="60"/>
      <c r="BA121" s="60"/>
      <c r="BB121" s="60"/>
      <c r="BC121" s="61"/>
      <c r="BE121" s="54" t="str">
        <f t="shared" si="54"/>
        <v>&amp;AllGlyphs[122]</v>
      </c>
      <c r="BF121" s="54" t="str">
        <f t="shared" si="55"/>
        <v>&amp;AllGlyphs[120]</v>
      </c>
      <c r="BG121" s="54" t="str">
        <f t="shared" si="56"/>
        <v>&amp;AllGlyphs[119]</v>
      </c>
      <c r="BH121" s="54" t="str">
        <f t="shared" si="57"/>
        <v>&amp;AllGlyphs[120]</v>
      </c>
      <c r="BJ121" s="58">
        <f t="shared" si="58"/>
        <v>0</v>
      </c>
      <c r="BK121" s="58">
        <f t="shared" si="59"/>
        <v>0</v>
      </c>
      <c r="BL121" s="58">
        <f t="shared" si="60"/>
        <v>1</v>
      </c>
      <c r="BM121" s="58">
        <f t="shared" si="61"/>
        <v>0</v>
      </c>
    </row>
    <row r="122" spans="1:65" x14ac:dyDescent="0.4">
      <c r="A122" s="7" t="s">
        <v>101</v>
      </c>
      <c r="B122" s="6" t="str">
        <f t="shared" si="35"/>
        <v>¼</v>
      </c>
      <c r="C122" s="48" cm="1">
        <f t="array" ref="C122">IF($N122,INDEX($O:$O,MATCH(TRUE,EXACT(B122,$A:$A),0)),"")</f>
        <v>120</v>
      </c>
      <c r="D122" s="38" t="s">
        <v>102</v>
      </c>
      <c r="E122" s="48" cm="1">
        <f t="array" ref="E122">IF($N122,INDEX($O:$O,MATCH(TRUE,EXACT(D122,$A:$A),0)),"")</f>
        <v>121</v>
      </c>
      <c r="F122" s="38" t="s">
        <v>100</v>
      </c>
      <c r="G122" s="48" cm="1">
        <f t="array" ref="G122">IF($O122&lt;&gt;"",INDEX($O:$O,MATCH(TRUE,EXACT(F122,$A:$A),0)),"")</f>
        <v>119</v>
      </c>
      <c r="H122" s="38" t="s">
        <v>101</v>
      </c>
      <c r="I122" s="48" cm="1">
        <f t="array" ref="I122">IF($N122,INDEX($O:$O,MATCH(TRUE,EXACT(H122,$A:$A),0)),"")</f>
        <v>120</v>
      </c>
      <c r="J122" s="38" t="s">
        <v>100</v>
      </c>
      <c r="K122" s="52" cm="1">
        <f t="array" ref="K122">IF($N122,INDEX($O:$O,MATCH(TRUE,EXACT(J122,$A:$A),0)),"")</f>
        <v>119</v>
      </c>
      <c r="L122" s="23"/>
      <c r="M122" s="33"/>
      <c r="N122" s="18" t="b">
        <f t="shared" si="37"/>
        <v>1</v>
      </c>
      <c r="O122" s="19">
        <f>IF(N122, MAX(O$2:O121)+1,"")</f>
        <v>120</v>
      </c>
      <c r="P122" s="23" t="str">
        <f t="shared" si="36"/>
        <v>¼</v>
      </c>
      <c r="Q122" s="8" t="str" cm="1">
        <f t="array" ref="Q122">CharToUTF8(A122)</f>
        <v>\xC2\xBC</v>
      </c>
      <c r="S122" s="18" t="str">
        <f>$AO$9</f>
        <v>ORTHO_LEFT</v>
      </c>
      <c r="T122" s="24" t="str">
        <f>$AO$9</f>
        <v>ORTHO_LEFT</v>
      </c>
      <c r="U122" s="24" t="str">
        <f>$AO$3</f>
        <v>DIAG_BOTH</v>
      </c>
      <c r="V122" s="21" t="str">
        <f>$AO$2</f>
        <v>EMPTY</v>
      </c>
      <c r="X122" s="31" t="b">
        <f t="shared" si="38"/>
        <v>0</v>
      </c>
      <c r="Y122" s="31" t="b">
        <f t="shared" si="39"/>
        <v>0</v>
      </c>
      <c r="Z122" t="b">
        <f t="shared" si="40"/>
        <v>1</v>
      </c>
      <c r="AA122" t="b">
        <f t="shared" si="41"/>
        <v>0</v>
      </c>
      <c r="AB122" t="b">
        <f t="shared" si="42"/>
        <v>0</v>
      </c>
      <c r="AC122" t="b">
        <f t="shared" si="43"/>
        <v>0</v>
      </c>
      <c r="AD122" t="b">
        <f t="shared" si="44"/>
        <v>0</v>
      </c>
      <c r="AE122" t="b">
        <f t="shared" si="45"/>
        <v>0</v>
      </c>
      <c r="AF122" t="b">
        <f t="shared" si="46"/>
        <v>0</v>
      </c>
      <c r="AG122" t="b">
        <f t="shared" si="47"/>
        <v>0</v>
      </c>
      <c r="AH122" t="b">
        <f t="shared" si="48"/>
        <v>1</v>
      </c>
      <c r="AI122" t="b">
        <f t="shared" si="49"/>
        <v>1</v>
      </c>
      <c r="AJ122" t="b">
        <f t="shared" si="50"/>
        <v>1</v>
      </c>
      <c r="AK122" t="b">
        <f t="shared" si="51"/>
        <v>1</v>
      </c>
      <c r="AL122" t="b">
        <f t="shared" si="52"/>
        <v>1</v>
      </c>
      <c r="AM122" t="b">
        <f t="shared" si="53"/>
        <v>1</v>
      </c>
      <c r="AV122" s="59" t="str">
        <f t="shared" si="62"/>
        <v xml:space="preserve">    { wxString::FromUTF8("\xC2\xBC"), &amp;AllGlyphs[121], &amp;AllGlyphs[119], &amp;AllGlyphs[120], &amp;AllGlyphs[119], Connection::ORTHO_LEFT, Connection::ORTHO_LEFT, Connection::DIAG_BOTH, Connection::EMPTY, 0, 0, 1, 0 },</v>
      </c>
      <c r="AW122" s="60"/>
      <c r="AX122" s="60"/>
      <c r="AY122" s="60"/>
      <c r="AZ122" s="60"/>
      <c r="BA122" s="60"/>
      <c r="BB122" s="60"/>
      <c r="BC122" s="61"/>
      <c r="BE122" s="54" t="str">
        <f t="shared" si="54"/>
        <v>&amp;AllGlyphs[121]</v>
      </c>
      <c r="BF122" s="54" t="str">
        <f t="shared" si="55"/>
        <v>&amp;AllGlyphs[119]</v>
      </c>
      <c r="BG122" s="54" t="str">
        <f t="shared" si="56"/>
        <v>&amp;AllGlyphs[120]</v>
      </c>
      <c r="BH122" s="54" t="str">
        <f t="shared" si="57"/>
        <v>&amp;AllGlyphs[119]</v>
      </c>
      <c r="BJ122" s="58">
        <f t="shared" si="58"/>
        <v>0</v>
      </c>
      <c r="BK122" s="58">
        <f t="shared" si="59"/>
        <v>0</v>
      </c>
      <c r="BL122" s="58">
        <f t="shared" si="60"/>
        <v>1</v>
      </c>
      <c r="BM122" s="58">
        <f t="shared" si="61"/>
        <v>0</v>
      </c>
    </row>
    <row r="123" spans="1:65" x14ac:dyDescent="0.4">
      <c r="A123" s="7" t="s">
        <v>102</v>
      </c>
      <c r="B123" s="6" t="str">
        <f t="shared" si="35"/>
        <v>½</v>
      </c>
      <c r="C123" s="48" cm="1">
        <f t="array" ref="C123">IF($N123,INDEX($O:$O,MATCH(TRUE,EXACT(B123,$A:$A),0)),"")</f>
        <v>121</v>
      </c>
      <c r="D123" s="38" t="s">
        <v>100</v>
      </c>
      <c r="E123" s="48" cm="1">
        <f t="array" ref="E123">IF($N123,INDEX($O:$O,MATCH(TRUE,EXACT(D123,$A:$A),0)),"")</f>
        <v>119</v>
      </c>
      <c r="F123" s="38" t="s">
        <v>103</v>
      </c>
      <c r="G123" s="48" cm="1">
        <f t="array" ref="G123">IF($O123&lt;&gt;"",INDEX($O:$O,MATCH(TRUE,EXACT(F123,$A:$A),0)),"")</f>
        <v>122</v>
      </c>
      <c r="H123" s="38" t="s">
        <v>103</v>
      </c>
      <c r="I123" s="48" cm="1">
        <f t="array" ref="I123">IF($N123,INDEX($O:$O,MATCH(TRUE,EXACT(H123,$A:$A),0)),"")</f>
        <v>122</v>
      </c>
      <c r="J123" s="38" t="s">
        <v>102</v>
      </c>
      <c r="K123" s="52" cm="1">
        <f t="array" ref="K123">IF($N123,INDEX($O:$O,MATCH(TRUE,EXACT(J123,$A:$A),0)),"")</f>
        <v>121</v>
      </c>
      <c r="L123" s="23"/>
      <c r="M123" s="33"/>
      <c r="N123" s="18" t="b">
        <f t="shared" si="37"/>
        <v>1</v>
      </c>
      <c r="O123" s="19">
        <f>IF(N123, MAX(O$2:O122)+1,"")</f>
        <v>121</v>
      </c>
      <c r="P123" s="23" t="str">
        <f t="shared" si="36"/>
        <v>½</v>
      </c>
      <c r="Q123" s="8" t="str" cm="1">
        <f t="array" ref="Q123">CharToUTF8(A123)</f>
        <v>\xC2\xBD</v>
      </c>
      <c r="S123" s="18" t="str">
        <f>$AO$3</f>
        <v>DIAG_BOTH</v>
      </c>
      <c r="T123" s="24" t="str">
        <f>$AO$2</f>
        <v>EMPTY</v>
      </c>
      <c r="U123" s="24" t="str">
        <f>$AO$7</f>
        <v>ORTHO_UP</v>
      </c>
      <c r="V123" s="21" t="str">
        <f>$AO$7</f>
        <v>ORTHO_UP</v>
      </c>
      <c r="X123" s="31" t="b">
        <f t="shared" si="38"/>
        <v>0</v>
      </c>
      <c r="Y123" s="31" t="b">
        <f t="shared" si="39"/>
        <v>0</v>
      </c>
      <c r="Z123" t="b">
        <f t="shared" si="40"/>
        <v>0</v>
      </c>
      <c r="AA123" t="b">
        <f t="shared" si="41"/>
        <v>1</v>
      </c>
      <c r="AB123" t="b">
        <f t="shared" si="42"/>
        <v>0</v>
      </c>
      <c r="AC123" t="b">
        <f t="shared" si="43"/>
        <v>0</v>
      </c>
      <c r="AD123" t="b">
        <f t="shared" si="44"/>
        <v>0</v>
      </c>
      <c r="AE123" t="b">
        <f t="shared" si="45"/>
        <v>0</v>
      </c>
      <c r="AF123" t="b">
        <f t="shared" si="46"/>
        <v>1</v>
      </c>
      <c r="AG123" t="b">
        <f t="shared" si="47"/>
        <v>1</v>
      </c>
      <c r="AH123" t="b">
        <f t="shared" si="48"/>
        <v>0</v>
      </c>
      <c r="AI123" t="b">
        <f t="shared" si="49"/>
        <v>0</v>
      </c>
      <c r="AJ123" t="b">
        <f t="shared" si="50"/>
        <v>1</v>
      </c>
      <c r="AK123" t="b">
        <f t="shared" si="51"/>
        <v>1</v>
      </c>
      <c r="AL123" t="b">
        <f t="shared" si="52"/>
        <v>1</v>
      </c>
      <c r="AM123" t="b">
        <f t="shared" si="53"/>
        <v>1</v>
      </c>
      <c r="AV123" s="59" t="str">
        <f t="shared" si="62"/>
        <v xml:space="preserve">    { wxString::FromUTF8("\xC2\xBD"), &amp;AllGlyphs[119], &amp;AllGlyphs[122], &amp;AllGlyphs[122], &amp;AllGlyphs[121], Connection::DIAG_BOTH, Connection::EMPTY, Connection::ORTHO_UP, Connection::ORTHO_UP, 0, 0, 0, 1 },</v>
      </c>
      <c r="AW123" s="60"/>
      <c r="AX123" s="60"/>
      <c r="AY123" s="60"/>
      <c r="AZ123" s="60"/>
      <c r="BA123" s="60"/>
      <c r="BB123" s="60"/>
      <c r="BC123" s="61"/>
      <c r="BE123" s="54" t="str">
        <f t="shared" si="54"/>
        <v>&amp;AllGlyphs[119]</v>
      </c>
      <c r="BF123" s="54" t="str">
        <f t="shared" si="55"/>
        <v>&amp;AllGlyphs[122]</v>
      </c>
      <c r="BG123" s="54" t="str">
        <f t="shared" si="56"/>
        <v>&amp;AllGlyphs[122]</v>
      </c>
      <c r="BH123" s="54" t="str">
        <f t="shared" si="57"/>
        <v>&amp;AllGlyphs[121]</v>
      </c>
      <c r="BJ123" s="58">
        <f t="shared" si="58"/>
        <v>0</v>
      </c>
      <c r="BK123" s="58">
        <f t="shared" si="59"/>
        <v>0</v>
      </c>
      <c r="BL123" s="58">
        <f t="shared" si="60"/>
        <v>0</v>
      </c>
      <c r="BM123" s="58">
        <f t="shared" si="61"/>
        <v>1</v>
      </c>
    </row>
    <row r="124" spans="1:65" x14ac:dyDescent="0.4">
      <c r="A124" s="7" t="s">
        <v>103</v>
      </c>
      <c r="B124" s="6" t="str">
        <f t="shared" si="35"/>
        <v>¾</v>
      </c>
      <c r="C124" s="48" cm="1">
        <f t="array" ref="C124">IF($N124,INDEX($O:$O,MATCH(TRUE,EXACT(B124,$A:$A),0)),"")</f>
        <v>122</v>
      </c>
      <c r="D124" s="38" t="s">
        <v>101</v>
      </c>
      <c r="E124" s="48" cm="1">
        <f t="array" ref="E124">IF($N124,INDEX($O:$O,MATCH(TRUE,EXACT(D124,$A:$A),0)),"")</f>
        <v>120</v>
      </c>
      <c r="F124" s="38" t="s">
        <v>102</v>
      </c>
      <c r="G124" s="48" cm="1">
        <f t="array" ref="G124">IF($O124&lt;&gt;"",INDEX($O:$O,MATCH(TRUE,EXACT(F124,$A:$A),0)),"")</f>
        <v>121</v>
      </c>
      <c r="H124" s="38" t="s">
        <v>102</v>
      </c>
      <c r="I124" s="48" cm="1">
        <f t="array" ref="I124">IF($N124,INDEX($O:$O,MATCH(TRUE,EXACT(H124,$A:$A),0)),"")</f>
        <v>121</v>
      </c>
      <c r="J124" s="38" t="s">
        <v>103</v>
      </c>
      <c r="K124" s="52" cm="1">
        <f t="array" ref="K124">IF($N124,INDEX($O:$O,MATCH(TRUE,EXACT(J124,$A:$A),0)),"")</f>
        <v>122</v>
      </c>
      <c r="L124" s="23"/>
      <c r="M124" s="33"/>
      <c r="N124" s="18" t="b">
        <f t="shared" si="37"/>
        <v>1</v>
      </c>
      <c r="O124" s="19">
        <f>IF(N124, MAX(O$2:O123)+1,"")</f>
        <v>122</v>
      </c>
      <c r="P124" s="23" t="str">
        <f t="shared" si="36"/>
        <v>¾</v>
      </c>
      <c r="Q124" s="8" t="str" cm="1">
        <f t="array" ref="Q124">CharToUTF8(A124)</f>
        <v>\xC2\xBE</v>
      </c>
      <c r="S124" s="18" t="str">
        <f>$AO$2</f>
        <v>EMPTY</v>
      </c>
      <c r="T124" s="24" t="str">
        <f>$AO$3</f>
        <v>DIAG_BOTH</v>
      </c>
      <c r="U124" s="24" t="str">
        <f>$AO$8</f>
        <v>ORTHO_DOWN</v>
      </c>
      <c r="V124" s="21" t="str">
        <f>$AO$8</f>
        <v>ORTHO_DOWN</v>
      </c>
      <c r="X124" s="31" t="b">
        <f t="shared" si="38"/>
        <v>0</v>
      </c>
      <c r="Y124" s="31" t="b">
        <f t="shared" si="39"/>
        <v>0</v>
      </c>
      <c r="Z124" t="b">
        <f t="shared" si="40"/>
        <v>0</v>
      </c>
      <c r="AA124" t="b">
        <f t="shared" si="41"/>
        <v>1</v>
      </c>
      <c r="AB124" t="b">
        <f t="shared" si="42"/>
        <v>0</v>
      </c>
      <c r="AC124" t="b">
        <f t="shared" si="43"/>
        <v>0</v>
      </c>
      <c r="AD124" t="b">
        <f t="shared" si="44"/>
        <v>0</v>
      </c>
      <c r="AE124" t="b">
        <f t="shared" si="45"/>
        <v>0</v>
      </c>
      <c r="AF124" t="b">
        <f t="shared" si="46"/>
        <v>1</v>
      </c>
      <c r="AG124" t="b">
        <f t="shared" si="47"/>
        <v>1</v>
      </c>
      <c r="AH124" t="b">
        <f t="shared" si="48"/>
        <v>0</v>
      </c>
      <c r="AI124" t="b">
        <f t="shared" si="49"/>
        <v>0</v>
      </c>
      <c r="AJ124" t="b">
        <f t="shared" si="50"/>
        <v>1</v>
      </c>
      <c r="AK124" t="b">
        <f t="shared" si="51"/>
        <v>1</v>
      </c>
      <c r="AL124" t="b">
        <f t="shared" si="52"/>
        <v>1</v>
      </c>
      <c r="AM124" t="b">
        <f t="shared" si="53"/>
        <v>1</v>
      </c>
      <c r="AV124" s="59" t="str">
        <f t="shared" si="62"/>
        <v xml:space="preserve">    { wxString::FromUTF8("\xC2\xBE"), &amp;AllGlyphs[120], &amp;AllGlyphs[121], &amp;AllGlyphs[121], &amp;AllGlyphs[122], Connection::EMPTY, Connection::DIAG_BOTH, Connection::ORTHO_DOWN, Connection::ORTHO_DOWN, 0, 0, 0, 1 },</v>
      </c>
      <c r="AW124" s="60"/>
      <c r="AX124" s="60"/>
      <c r="AY124" s="60"/>
      <c r="AZ124" s="60"/>
      <c r="BA124" s="60"/>
      <c r="BB124" s="60"/>
      <c r="BC124" s="61"/>
      <c r="BE124" s="54" t="str">
        <f t="shared" si="54"/>
        <v>&amp;AllGlyphs[120]</v>
      </c>
      <c r="BF124" s="54" t="str">
        <f t="shared" si="55"/>
        <v>&amp;AllGlyphs[121]</v>
      </c>
      <c r="BG124" s="54" t="str">
        <f t="shared" si="56"/>
        <v>&amp;AllGlyphs[121]</v>
      </c>
      <c r="BH124" s="54" t="str">
        <f t="shared" si="57"/>
        <v>&amp;AllGlyphs[122]</v>
      </c>
      <c r="BJ124" s="58">
        <f t="shared" si="58"/>
        <v>0</v>
      </c>
      <c r="BK124" s="58">
        <f t="shared" si="59"/>
        <v>0</v>
      </c>
      <c r="BL124" s="58">
        <f t="shared" si="60"/>
        <v>0</v>
      </c>
      <c r="BM124" s="58">
        <f t="shared" si="61"/>
        <v>1</v>
      </c>
    </row>
    <row r="125" spans="1:65" x14ac:dyDescent="0.4">
      <c r="A125" s="7" t="s">
        <v>104</v>
      </c>
      <c r="B125" s="6" t="str">
        <f t="shared" si="35"/>
        <v>¿</v>
      </c>
      <c r="C125" s="48" cm="1">
        <f t="array" ref="C125">IF($N125,INDEX($O:$O,MATCH(TRUE,EXACT(B125,$A:$A),0)),"")</f>
        <v>123</v>
      </c>
      <c r="D125" s="38" t="s">
        <v>107</v>
      </c>
      <c r="E125" s="48" cm="1">
        <f t="array" ref="E125">IF($N125,INDEX($O:$O,MATCH(TRUE,EXACT(D125,$A:$A),0)),"")</f>
        <v>126</v>
      </c>
      <c r="F125" s="38" t="s">
        <v>105</v>
      </c>
      <c r="G125" s="48" cm="1">
        <f t="array" ref="G125">IF($O125&lt;&gt;"",INDEX($O:$O,MATCH(TRUE,EXACT(F125,$A:$A),0)),"")</f>
        <v>124</v>
      </c>
      <c r="H125" s="38" t="s">
        <v>104</v>
      </c>
      <c r="I125" s="48" cm="1">
        <f t="array" ref="I125">IF($N125,INDEX($O:$O,MATCH(TRUE,EXACT(H125,$A:$A),0)),"")</f>
        <v>123</v>
      </c>
      <c r="J125" s="38" t="s">
        <v>105</v>
      </c>
      <c r="K125" s="52" cm="1">
        <f t="array" ref="K125">IF($N125,INDEX($O:$O,MATCH(TRUE,EXACT(J125,$A:$A),0)),"")</f>
        <v>124</v>
      </c>
      <c r="L125" s="23"/>
      <c r="M125" s="33"/>
      <c r="N125" s="18" t="b">
        <f t="shared" si="37"/>
        <v>1</v>
      </c>
      <c r="O125" s="19">
        <f>IF(N125, MAX(O$2:O124)+1,"")</f>
        <v>123</v>
      </c>
      <c r="P125" s="23" t="str">
        <f t="shared" si="36"/>
        <v>¿</v>
      </c>
      <c r="Q125" s="8" t="str" cm="1">
        <f t="array" ref="Q125">CharToUTF8(A125)</f>
        <v>\xC2\xBF</v>
      </c>
      <c r="S125" s="18" t="str">
        <f>$AO$10</f>
        <v>ORTHO_RIGHT</v>
      </c>
      <c r="T125" s="24" t="str">
        <f>$AO$10</f>
        <v>ORTHO_RIGHT</v>
      </c>
      <c r="U125" s="24" t="str">
        <f>$AO$2</f>
        <v>EMPTY</v>
      </c>
      <c r="V125" s="21" t="str">
        <f>$AO$4</f>
        <v>ORTHO_BOTH</v>
      </c>
      <c r="X125" s="31" t="b">
        <f t="shared" si="38"/>
        <v>0</v>
      </c>
      <c r="Y125" s="31" t="b">
        <f t="shared" si="39"/>
        <v>0</v>
      </c>
      <c r="Z125" t="b">
        <f t="shared" si="40"/>
        <v>1</v>
      </c>
      <c r="AA125" t="b">
        <f t="shared" si="41"/>
        <v>0</v>
      </c>
      <c r="AB125" t="b">
        <f t="shared" si="42"/>
        <v>0</v>
      </c>
      <c r="AC125" t="b">
        <f t="shared" si="43"/>
        <v>0</v>
      </c>
      <c r="AD125" t="b">
        <f t="shared" si="44"/>
        <v>0</v>
      </c>
      <c r="AE125" t="b">
        <f t="shared" si="45"/>
        <v>0</v>
      </c>
      <c r="AF125" t="b">
        <f t="shared" si="46"/>
        <v>0</v>
      </c>
      <c r="AG125" t="b">
        <f t="shared" si="47"/>
        <v>0</v>
      </c>
      <c r="AH125" t="b">
        <f t="shared" si="48"/>
        <v>1</v>
      </c>
      <c r="AI125" t="b">
        <f t="shared" si="49"/>
        <v>1</v>
      </c>
      <c r="AJ125" t="b">
        <f t="shared" si="50"/>
        <v>1</v>
      </c>
      <c r="AK125" t="b">
        <f t="shared" si="51"/>
        <v>1</v>
      </c>
      <c r="AL125" t="b">
        <f t="shared" si="52"/>
        <v>1</v>
      </c>
      <c r="AM125" t="b">
        <f t="shared" si="53"/>
        <v>1</v>
      </c>
      <c r="AV125" s="59" t="str">
        <f t="shared" si="62"/>
        <v xml:space="preserve">    { wxString::FromUTF8("\xC2\xBF"), &amp;AllGlyphs[126], &amp;AllGlyphs[124], &amp;AllGlyphs[123], &amp;AllGlyphs[124], Connection::ORTHO_RIGHT, Connection::ORTHO_RIGHT, Connection::EMPTY, Connection::ORTHO_BOTH, 0, 0, 1, 0 },</v>
      </c>
      <c r="AW125" s="60"/>
      <c r="AX125" s="60"/>
      <c r="AY125" s="60"/>
      <c r="AZ125" s="60"/>
      <c r="BA125" s="60"/>
      <c r="BB125" s="60"/>
      <c r="BC125" s="61"/>
      <c r="BE125" s="54" t="str">
        <f t="shared" si="54"/>
        <v>&amp;AllGlyphs[126]</v>
      </c>
      <c r="BF125" s="54" t="str">
        <f t="shared" si="55"/>
        <v>&amp;AllGlyphs[124]</v>
      </c>
      <c r="BG125" s="54" t="str">
        <f t="shared" si="56"/>
        <v>&amp;AllGlyphs[123]</v>
      </c>
      <c r="BH125" s="54" t="str">
        <f t="shared" si="57"/>
        <v>&amp;AllGlyphs[124]</v>
      </c>
      <c r="BJ125" s="58">
        <f t="shared" si="58"/>
        <v>0</v>
      </c>
      <c r="BK125" s="58">
        <f t="shared" si="59"/>
        <v>0</v>
      </c>
      <c r="BL125" s="58">
        <f t="shared" si="60"/>
        <v>1</v>
      </c>
      <c r="BM125" s="58">
        <f t="shared" si="61"/>
        <v>0</v>
      </c>
    </row>
    <row r="126" spans="1:65" x14ac:dyDescent="0.4">
      <c r="A126" s="7" t="s">
        <v>105</v>
      </c>
      <c r="B126" s="6" t="str">
        <f t="shared" si="35"/>
        <v>À</v>
      </c>
      <c r="C126" s="48" cm="1">
        <f t="array" ref="C126">IF($N126,INDEX($O:$O,MATCH(TRUE,EXACT(B126,$A:$A),0)),"")</f>
        <v>124</v>
      </c>
      <c r="D126" s="38" t="s">
        <v>106</v>
      </c>
      <c r="E126" s="48" cm="1">
        <f t="array" ref="E126">IF($N126,INDEX($O:$O,MATCH(TRUE,EXACT(D126,$A:$A),0)),"")</f>
        <v>125</v>
      </c>
      <c r="F126" s="38" t="s">
        <v>104</v>
      </c>
      <c r="G126" s="48" cm="1">
        <f t="array" ref="G126">IF($O126&lt;&gt;"",INDEX($O:$O,MATCH(TRUE,EXACT(F126,$A:$A),0)),"")</f>
        <v>123</v>
      </c>
      <c r="H126" s="38" t="s">
        <v>105</v>
      </c>
      <c r="I126" s="48" cm="1">
        <f t="array" ref="I126">IF($N126,INDEX($O:$O,MATCH(TRUE,EXACT(H126,$A:$A),0)),"")</f>
        <v>124</v>
      </c>
      <c r="J126" s="38" t="s">
        <v>104</v>
      </c>
      <c r="K126" s="52" cm="1">
        <f t="array" ref="K126">IF($N126,INDEX($O:$O,MATCH(TRUE,EXACT(J126,$A:$A),0)),"")</f>
        <v>123</v>
      </c>
      <c r="L126" s="23"/>
      <c r="M126" s="33"/>
      <c r="N126" s="18" t="b">
        <f t="shared" si="37"/>
        <v>1</v>
      </c>
      <c r="O126" s="19">
        <f>IF(N126, MAX(O$2:O125)+1,"")</f>
        <v>124</v>
      </c>
      <c r="P126" s="23" t="str">
        <f t="shared" si="36"/>
        <v>À</v>
      </c>
      <c r="Q126" s="8" t="str" cm="1">
        <f t="array" ref="Q126">CharToUTF8(A126)</f>
        <v>\xC3\x80</v>
      </c>
      <c r="S126" s="18" t="str">
        <f>$AO$9</f>
        <v>ORTHO_LEFT</v>
      </c>
      <c r="T126" s="24" t="str">
        <f>$AO$9</f>
        <v>ORTHO_LEFT</v>
      </c>
      <c r="U126" s="24" t="str">
        <f>$AO$4</f>
        <v>ORTHO_BOTH</v>
      </c>
      <c r="V126" s="21" t="str">
        <f>$AO$2</f>
        <v>EMPTY</v>
      </c>
      <c r="X126" s="31" t="b">
        <f t="shared" si="38"/>
        <v>0</v>
      </c>
      <c r="Y126" s="31" t="b">
        <f t="shared" si="39"/>
        <v>0</v>
      </c>
      <c r="Z126" t="b">
        <f t="shared" si="40"/>
        <v>1</v>
      </c>
      <c r="AA126" t="b">
        <f t="shared" si="41"/>
        <v>0</v>
      </c>
      <c r="AB126" t="b">
        <f t="shared" si="42"/>
        <v>0</v>
      </c>
      <c r="AC126" t="b">
        <f t="shared" si="43"/>
        <v>0</v>
      </c>
      <c r="AD126" t="b">
        <f t="shared" si="44"/>
        <v>0</v>
      </c>
      <c r="AE126" t="b">
        <f t="shared" si="45"/>
        <v>0</v>
      </c>
      <c r="AF126" t="b">
        <f t="shared" si="46"/>
        <v>0</v>
      </c>
      <c r="AG126" t="b">
        <f t="shared" si="47"/>
        <v>0</v>
      </c>
      <c r="AH126" t="b">
        <f t="shared" si="48"/>
        <v>1</v>
      </c>
      <c r="AI126" t="b">
        <f t="shared" si="49"/>
        <v>1</v>
      </c>
      <c r="AJ126" t="b">
        <f t="shared" si="50"/>
        <v>1</v>
      </c>
      <c r="AK126" t="b">
        <f t="shared" si="51"/>
        <v>1</v>
      </c>
      <c r="AL126" t="b">
        <f t="shared" si="52"/>
        <v>1</v>
      </c>
      <c r="AM126" t="b">
        <f t="shared" si="53"/>
        <v>1</v>
      </c>
      <c r="AV126" s="59" t="str">
        <f t="shared" si="62"/>
        <v xml:space="preserve">    { wxString::FromUTF8("\xC3\x80"), &amp;AllGlyphs[125], &amp;AllGlyphs[123], &amp;AllGlyphs[124], &amp;AllGlyphs[123], Connection::ORTHO_LEFT, Connection::ORTHO_LEFT, Connection::ORTHO_BOTH, Connection::EMPTY, 0, 0, 1, 0 },</v>
      </c>
      <c r="AW126" s="60"/>
      <c r="AX126" s="60"/>
      <c r="AY126" s="60"/>
      <c r="AZ126" s="60"/>
      <c r="BA126" s="60"/>
      <c r="BB126" s="60"/>
      <c r="BC126" s="61"/>
      <c r="BE126" s="54" t="str">
        <f t="shared" si="54"/>
        <v>&amp;AllGlyphs[125]</v>
      </c>
      <c r="BF126" s="54" t="str">
        <f t="shared" si="55"/>
        <v>&amp;AllGlyphs[123]</v>
      </c>
      <c r="BG126" s="54" t="str">
        <f t="shared" si="56"/>
        <v>&amp;AllGlyphs[124]</v>
      </c>
      <c r="BH126" s="54" t="str">
        <f t="shared" si="57"/>
        <v>&amp;AllGlyphs[123]</v>
      </c>
      <c r="BJ126" s="58">
        <f t="shared" si="58"/>
        <v>0</v>
      </c>
      <c r="BK126" s="58">
        <f t="shared" si="59"/>
        <v>0</v>
      </c>
      <c r="BL126" s="58">
        <f t="shared" si="60"/>
        <v>1</v>
      </c>
      <c r="BM126" s="58">
        <f t="shared" si="61"/>
        <v>0</v>
      </c>
    </row>
    <row r="127" spans="1:65" x14ac:dyDescent="0.4">
      <c r="A127" s="7" t="s">
        <v>106</v>
      </c>
      <c r="B127" s="6" t="str">
        <f t="shared" si="35"/>
        <v>Á</v>
      </c>
      <c r="C127" s="48" cm="1">
        <f t="array" ref="C127">IF($N127,INDEX($O:$O,MATCH(TRUE,EXACT(B127,$A:$A),0)),"")</f>
        <v>125</v>
      </c>
      <c r="D127" s="38" t="s">
        <v>104</v>
      </c>
      <c r="E127" s="48" cm="1">
        <f t="array" ref="E127">IF($N127,INDEX($O:$O,MATCH(TRUE,EXACT(D127,$A:$A),0)),"")</f>
        <v>123</v>
      </c>
      <c r="F127" s="38" t="s">
        <v>107</v>
      </c>
      <c r="G127" s="48" cm="1">
        <f t="array" ref="G127">IF($O127&lt;&gt;"",INDEX($O:$O,MATCH(TRUE,EXACT(F127,$A:$A),0)),"")</f>
        <v>126</v>
      </c>
      <c r="H127" s="38" t="s">
        <v>107</v>
      </c>
      <c r="I127" s="48" cm="1">
        <f t="array" ref="I127">IF($N127,INDEX($O:$O,MATCH(TRUE,EXACT(H127,$A:$A),0)),"")</f>
        <v>126</v>
      </c>
      <c r="J127" s="38" t="s">
        <v>106</v>
      </c>
      <c r="K127" s="52" cm="1">
        <f t="array" ref="K127">IF($N127,INDEX($O:$O,MATCH(TRUE,EXACT(J127,$A:$A),0)),"")</f>
        <v>125</v>
      </c>
      <c r="L127" s="23"/>
      <c r="M127" s="33"/>
      <c r="N127" s="18" t="b">
        <f t="shared" si="37"/>
        <v>1</v>
      </c>
      <c r="O127" s="19">
        <f>IF(N127, MAX(O$2:O126)+1,"")</f>
        <v>125</v>
      </c>
      <c r="P127" s="23" t="str">
        <f t="shared" si="36"/>
        <v>Á</v>
      </c>
      <c r="Q127" s="8" t="str" cm="1">
        <f t="array" ref="Q127">CharToUTF8(A127)</f>
        <v>\xC3\x81</v>
      </c>
      <c r="S127" s="18" t="str">
        <f>$AO$4</f>
        <v>ORTHO_BOTH</v>
      </c>
      <c r="T127" s="24" t="str">
        <f>$AO$2</f>
        <v>EMPTY</v>
      </c>
      <c r="U127" s="24" t="str">
        <f>$AO$7</f>
        <v>ORTHO_UP</v>
      </c>
      <c r="V127" s="21" t="str">
        <f>$AO$7</f>
        <v>ORTHO_UP</v>
      </c>
      <c r="X127" s="31" t="b">
        <f t="shared" si="38"/>
        <v>0</v>
      </c>
      <c r="Y127" s="31" t="b">
        <f t="shared" si="39"/>
        <v>0</v>
      </c>
      <c r="Z127" t="b">
        <f t="shared" si="40"/>
        <v>0</v>
      </c>
      <c r="AA127" t="b">
        <f t="shared" si="41"/>
        <v>1</v>
      </c>
      <c r="AB127" t="b">
        <f t="shared" si="42"/>
        <v>0</v>
      </c>
      <c r="AC127" t="b">
        <f t="shared" si="43"/>
        <v>0</v>
      </c>
      <c r="AD127" t="b">
        <f t="shared" si="44"/>
        <v>0</v>
      </c>
      <c r="AE127" t="b">
        <f t="shared" si="45"/>
        <v>0</v>
      </c>
      <c r="AF127" t="b">
        <f t="shared" si="46"/>
        <v>1</v>
      </c>
      <c r="AG127" t="b">
        <f t="shared" si="47"/>
        <v>1</v>
      </c>
      <c r="AH127" t="b">
        <f t="shared" si="48"/>
        <v>0</v>
      </c>
      <c r="AI127" t="b">
        <f t="shared" si="49"/>
        <v>0</v>
      </c>
      <c r="AJ127" t="b">
        <f t="shared" si="50"/>
        <v>1</v>
      </c>
      <c r="AK127" t="b">
        <f t="shared" si="51"/>
        <v>1</v>
      </c>
      <c r="AL127" t="b">
        <f t="shared" si="52"/>
        <v>1</v>
      </c>
      <c r="AM127" t="b">
        <f t="shared" si="53"/>
        <v>1</v>
      </c>
      <c r="AV127" s="59" t="str">
        <f t="shared" si="62"/>
        <v xml:space="preserve">    { wxString::FromUTF8("\xC3\x81"), &amp;AllGlyphs[123], &amp;AllGlyphs[126], &amp;AllGlyphs[126], &amp;AllGlyphs[125], Connection::ORTHO_BOTH, Connection::EMPTY, Connection::ORTHO_UP, Connection::ORTHO_UP, 0, 0, 0, 1 },</v>
      </c>
      <c r="AW127" s="60"/>
      <c r="AX127" s="60"/>
      <c r="AY127" s="60"/>
      <c r="AZ127" s="60"/>
      <c r="BA127" s="60"/>
      <c r="BB127" s="60"/>
      <c r="BC127" s="61"/>
      <c r="BE127" s="54" t="str">
        <f t="shared" si="54"/>
        <v>&amp;AllGlyphs[123]</v>
      </c>
      <c r="BF127" s="54" t="str">
        <f t="shared" si="55"/>
        <v>&amp;AllGlyphs[126]</v>
      </c>
      <c r="BG127" s="54" t="str">
        <f t="shared" si="56"/>
        <v>&amp;AllGlyphs[126]</v>
      </c>
      <c r="BH127" s="54" t="str">
        <f t="shared" si="57"/>
        <v>&amp;AllGlyphs[125]</v>
      </c>
      <c r="BJ127" s="58">
        <f t="shared" si="58"/>
        <v>0</v>
      </c>
      <c r="BK127" s="58">
        <f t="shared" si="59"/>
        <v>0</v>
      </c>
      <c r="BL127" s="58">
        <f t="shared" si="60"/>
        <v>0</v>
      </c>
      <c r="BM127" s="58">
        <f t="shared" si="61"/>
        <v>1</v>
      </c>
    </row>
    <row r="128" spans="1:65" x14ac:dyDescent="0.4">
      <c r="A128" s="7" t="s">
        <v>107</v>
      </c>
      <c r="B128" s="6" t="str">
        <f t="shared" si="35"/>
        <v>Â</v>
      </c>
      <c r="C128" s="48" cm="1">
        <f t="array" ref="C128">IF($N128,INDEX($O:$O,MATCH(TRUE,EXACT(B128,$A:$A),0)),"")</f>
        <v>126</v>
      </c>
      <c r="D128" s="38" t="s">
        <v>105</v>
      </c>
      <c r="E128" s="48" cm="1">
        <f t="array" ref="E128">IF($N128,INDEX($O:$O,MATCH(TRUE,EXACT(D128,$A:$A),0)),"")</f>
        <v>124</v>
      </c>
      <c r="F128" s="38" t="s">
        <v>106</v>
      </c>
      <c r="G128" s="48" cm="1">
        <f t="array" ref="G128">IF($O128&lt;&gt;"",INDEX($O:$O,MATCH(TRUE,EXACT(F128,$A:$A),0)),"")</f>
        <v>125</v>
      </c>
      <c r="H128" s="38" t="s">
        <v>106</v>
      </c>
      <c r="I128" s="48" cm="1">
        <f t="array" ref="I128">IF($N128,INDEX($O:$O,MATCH(TRUE,EXACT(H128,$A:$A),0)),"")</f>
        <v>125</v>
      </c>
      <c r="J128" s="38" t="s">
        <v>107</v>
      </c>
      <c r="K128" s="52" cm="1">
        <f t="array" ref="K128">IF($N128,INDEX($O:$O,MATCH(TRUE,EXACT(J128,$A:$A),0)),"")</f>
        <v>126</v>
      </c>
      <c r="L128" s="23"/>
      <c r="M128" s="33"/>
      <c r="N128" s="18" t="b">
        <f t="shared" si="37"/>
        <v>1</v>
      </c>
      <c r="O128" s="19">
        <f>IF(N128, MAX(O$2:O127)+1,"")</f>
        <v>126</v>
      </c>
      <c r="P128" s="23" t="str">
        <f t="shared" si="36"/>
        <v>Â</v>
      </c>
      <c r="Q128" s="8" t="str" cm="1">
        <f t="array" ref="Q128">CharToUTF8(A128)</f>
        <v>\xC3\x82</v>
      </c>
      <c r="S128" s="18" t="str">
        <f>$AO$2</f>
        <v>EMPTY</v>
      </c>
      <c r="T128" s="24" t="str">
        <f>$AO$4</f>
        <v>ORTHO_BOTH</v>
      </c>
      <c r="U128" s="24" t="str">
        <f>$AO$8</f>
        <v>ORTHO_DOWN</v>
      </c>
      <c r="V128" s="21" t="str">
        <f>$AO$8</f>
        <v>ORTHO_DOWN</v>
      </c>
      <c r="X128" s="31" t="b">
        <f t="shared" si="38"/>
        <v>0</v>
      </c>
      <c r="Y128" s="31" t="b">
        <f t="shared" si="39"/>
        <v>0</v>
      </c>
      <c r="Z128" t="b">
        <f t="shared" si="40"/>
        <v>0</v>
      </c>
      <c r="AA128" t="b">
        <f t="shared" si="41"/>
        <v>1</v>
      </c>
      <c r="AB128" t="b">
        <f t="shared" si="42"/>
        <v>0</v>
      </c>
      <c r="AC128" t="b">
        <f t="shared" si="43"/>
        <v>0</v>
      </c>
      <c r="AD128" t="b">
        <f t="shared" si="44"/>
        <v>0</v>
      </c>
      <c r="AE128" t="b">
        <f t="shared" si="45"/>
        <v>0</v>
      </c>
      <c r="AF128" t="b">
        <f t="shared" si="46"/>
        <v>1</v>
      </c>
      <c r="AG128" t="b">
        <f t="shared" si="47"/>
        <v>1</v>
      </c>
      <c r="AH128" t="b">
        <f t="shared" si="48"/>
        <v>0</v>
      </c>
      <c r="AI128" t="b">
        <f t="shared" si="49"/>
        <v>0</v>
      </c>
      <c r="AJ128" t="b">
        <f t="shared" si="50"/>
        <v>1</v>
      </c>
      <c r="AK128" t="b">
        <f t="shared" si="51"/>
        <v>1</v>
      </c>
      <c r="AL128" t="b">
        <f t="shared" si="52"/>
        <v>1</v>
      </c>
      <c r="AM128" t="b">
        <f t="shared" si="53"/>
        <v>1</v>
      </c>
      <c r="AV128" s="59" t="str">
        <f t="shared" si="62"/>
        <v xml:space="preserve">    { wxString::FromUTF8("\xC3\x82"), &amp;AllGlyphs[124], &amp;AllGlyphs[125], &amp;AllGlyphs[125], &amp;AllGlyphs[126], Connection::EMPTY, Connection::ORTHO_BOTH, Connection::ORTHO_DOWN, Connection::ORTHO_DOWN, 0, 0, 0, 1 },</v>
      </c>
      <c r="AW128" s="60"/>
      <c r="AX128" s="60"/>
      <c r="AY128" s="60"/>
      <c r="AZ128" s="60"/>
      <c r="BA128" s="60"/>
      <c r="BB128" s="60"/>
      <c r="BC128" s="61"/>
      <c r="BE128" s="54" t="str">
        <f t="shared" si="54"/>
        <v>&amp;AllGlyphs[124]</v>
      </c>
      <c r="BF128" s="54" t="str">
        <f t="shared" si="55"/>
        <v>&amp;AllGlyphs[125]</v>
      </c>
      <c r="BG128" s="54" t="str">
        <f t="shared" si="56"/>
        <v>&amp;AllGlyphs[125]</v>
      </c>
      <c r="BH128" s="54" t="str">
        <f t="shared" si="57"/>
        <v>&amp;AllGlyphs[126]</v>
      </c>
      <c r="BJ128" s="58">
        <f t="shared" si="58"/>
        <v>0</v>
      </c>
      <c r="BK128" s="58">
        <f t="shared" si="59"/>
        <v>0</v>
      </c>
      <c r="BL128" s="58">
        <f t="shared" si="60"/>
        <v>0</v>
      </c>
      <c r="BM128" s="58">
        <f t="shared" si="61"/>
        <v>1</v>
      </c>
    </row>
    <row r="129" spans="1:65" x14ac:dyDescent="0.4">
      <c r="A129" s="7" t="s">
        <v>108</v>
      </c>
      <c r="B129" s="6" t="str">
        <f t="shared" si="35"/>
        <v>Ã</v>
      </c>
      <c r="C129" s="48" cm="1">
        <f t="array" ref="C129">IF($N129,INDEX($O:$O,MATCH(TRUE,EXACT(B129,$A:$A),0)),"")</f>
        <v>127</v>
      </c>
      <c r="D129" s="38" t="s">
        <v>109</v>
      </c>
      <c r="E129" s="48" cm="1">
        <f t="array" ref="E129">IF($N129,INDEX($O:$O,MATCH(TRUE,EXACT(D129,$A:$A),0)),"")</f>
        <v>128</v>
      </c>
      <c r="F129" s="38" t="s">
        <v>110</v>
      </c>
      <c r="G129" s="48" cm="1">
        <f t="array" ref="G129">IF($O129&lt;&gt;"",INDEX($O:$O,MATCH(TRUE,EXACT(F129,$A:$A),0)),"")</f>
        <v>129</v>
      </c>
      <c r="H129" s="38" t="s">
        <v>109</v>
      </c>
      <c r="I129" s="48" cm="1">
        <f t="array" ref="I129">IF($N129,INDEX($O:$O,MATCH(TRUE,EXACT(H129,$A:$A),0)),"")</f>
        <v>128</v>
      </c>
      <c r="J129" s="38" t="s">
        <v>111</v>
      </c>
      <c r="K129" s="52" cm="1">
        <f t="array" ref="K129">IF($N129,INDEX($O:$O,MATCH(TRUE,EXACT(J129,$A:$A),0)),"")</f>
        <v>130</v>
      </c>
      <c r="L129" s="23"/>
      <c r="M129" s="33"/>
      <c r="N129" s="18" t="b">
        <f t="shared" si="37"/>
        <v>1</v>
      </c>
      <c r="O129" s="19">
        <f>IF(N129, MAX(O$2:O128)+1,"")</f>
        <v>127</v>
      </c>
      <c r="P129" s="23" t="str">
        <f t="shared" si="36"/>
        <v>Ã</v>
      </c>
      <c r="Q129" s="8" t="str" cm="1">
        <f t="array" ref="Q129">CharToUTF8(A129)</f>
        <v>\xC3\x83</v>
      </c>
      <c r="S129" s="18" t="str">
        <f>$AO$2</f>
        <v>EMPTY</v>
      </c>
      <c r="T129" s="24" t="str">
        <f>$AO$9</f>
        <v>ORTHO_LEFT</v>
      </c>
      <c r="U129" s="24" t="str">
        <f>$AO$8</f>
        <v>ORTHO_DOWN</v>
      </c>
      <c r="V129" s="21" t="str">
        <f>$AO$2</f>
        <v>EMPTY</v>
      </c>
      <c r="X129" s="31" t="b">
        <f t="shared" si="38"/>
        <v>0</v>
      </c>
      <c r="Y129" s="31" t="b">
        <f t="shared" si="39"/>
        <v>0</v>
      </c>
      <c r="Z129" t="b">
        <f t="shared" si="40"/>
        <v>0</v>
      </c>
      <c r="AA129" t="b">
        <f t="shared" si="41"/>
        <v>0</v>
      </c>
      <c r="AB129" t="b">
        <f t="shared" si="42"/>
        <v>1</v>
      </c>
      <c r="AC129" t="b">
        <f t="shared" si="43"/>
        <v>1</v>
      </c>
      <c r="AD129" t="b">
        <f t="shared" si="44"/>
        <v>0</v>
      </c>
      <c r="AE129" t="b">
        <f t="shared" si="45"/>
        <v>0</v>
      </c>
      <c r="AF129" t="b">
        <f t="shared" si="46"/>
        <v>1</v>
      </c>
      <c r="AG129" t="b">
        <f t="shared" si="47"/>
        <v>0</v>
      </c>
      <c r="AH129" t="b">
        <f t="shared" si="48"/>
        <v>0</v>
      </c>
      <c r="AI129" t="b">
        <f t="shared" si="49"/>
        <v>1</v>
      </c>
      <c r="AJ129" t="b">
        <f t="shared" si="50"/>
        <v>1</v>
      </c>
      <c r="AK129" t="b">
        <f t="shared" si="51"/>
        <v>1</v>
      </c>
      <c r="AL129" t="b">
        <f t="shared" si="52"/>
        <v>1</v>
      </c>
      <c r="AM129" t="b">
        <f t="shared" si="53"/>
        <v>1</v>
      </c>
      <c r="AV129" s="59" t="str">
        <f t="shared" si="62"/>
        <v xml:space="preserve">    { wxString::FromUTF8("\xC3\x83"), &amp;AllGlyphs[128], &amp;AllGlyphs[129], &amp;AllGlyphs[128], &amp;AllGlyphs[130], Connection::EMPTY, Connection::ORTHO_LEFT, Connection::ORTHO_DOWN, Connection::EMPTY, 0, 0, 0, 0 },</v>
      </c>
      <c r="AW129" s="60"/>
      <c r="AX129" s="60"/>
      <c r="AY129" s="60"/>
      <c r="AZ129" s="60"/>
      <c r="BA129" s="60"/>
      <c r="BB129" s="60"/>
      <c r="BC129" s="61"/>
      <c r="BE129" s="54" t="str">
        <f t="shared" si="54"/>
        <v>&amp;AllGlyphs[128]</v>
      </c>
      <c r="BF129" s="54" t="str">
        <f t="shared" si="55"/>
        <v>&amp;AllGlyphs[129]</v>
      </c>
      <c r="BG129" s="54" t="str">
        <f t="shared" si="56"/>
        <v>&amp;AllGlyphs[128]</v>
      </c>
      <c r="BH129" s="54" t="str">
        <f t="shared" si="57"/>
        <v>&amp;AllGlyphs[130]</v>
      </c>
      <c r="BJ129" s="58">
        <f t="shared" si="58"/>
        <v>0</v>
      </c>
      <c r="BK129" s="58">
        <f t="shared" si="59"/>
        <v>0</v>
      </c>
      <c r="BL129" s="58">
        <f t="shared" si="60"/>
        <v>0</v>
      </c>
      <c r="BM129" s="58">
        <f t="shared" si="61"/>
        <v>0</v>
      </c>
    </row>
    <row r="130" spans="1:65" x14ac:dyDescent="0.4">
      <c r="A130" s="7" t="s">
        <v>109</v>
      </c>
      <c r="B130" s="6" t="str">
        <f t="shared" ref="B130:B193" si="66">A130</f>
        <v>Ä</v>
      </c>
      <c r="C130" s="48" cm="1">
        <f t="array" ref="C130">IF($N130,INDEX($O:$O,MATCH(TRUE,EXACT(B130,$A:$A),0)),"")</f>
        <v>128</v>
      </c>
      <c r="D130" s="38" t="s">
        <v>110</v>
      </c>
      <c r="E130" s="48" cm="1">
        <f t="array" ref="E130">IF($N130,INDEX($O:$O,MATCH(TRUE,EXACT(D130,$A:$A),0)),"")</f>
        <v>129</v>
      </c>
      <c r="F130" s="38" t="s">
        <v>111</v>
      </c>
      <c r="G130" s="48" cm="1">
        <f t="array" ref="G130">IF($O130&lt;&gt;"",INDEX($O:$O,MATCH(TRUE,EXACT(F130,$A:$A),0)),"")</f>
        <v>130</v>
      </c>
      <c r="H130" s="38" t="s">
        <v>108</v>
      </c>
      <c r="I130" s="48" cm="1">
        <f t="array" ref="I130">IF($N130,INDEX($O:$O,MATCH(TRUE,EXACT(H130,$A:$A),0)),"")</f>
        <v>127</v>
      </c>
      <c r="J130" s="38" t="s">
        <v>110</v>
      </c>
      <c r="K130" s="52" cm="1">
        <f t="array" ref="K130">IF($N130,INDEX($O:$O,MATCH(TRUE,EXACT(J130,$A:$A),0)),"")</f>
        <v>129</v>
      </c>
      <c r="L130" s="23"/>
      <c r="M130" s="33"/>
      <c r="N130" s="18" t="b">
        <f t="shared" si="37"/>
        <v>1</v>
      </c>
      <c r="O130" s="19">
        <f>IF(N130, MAX(O$2:O129)+1,"")</f>
        <v>128</v>
      </c>
      <c r="P130" s="23" t="str">
        <f t="shared" ref="P130:P193" si="67">A130</f>
        <v>Ä</v>
      </c>
      <c r="Q130" s="8" t="str" cm="1">
        <f t="array" ref="Q130">CharToUTF8(A130)</f>
        <v>\xC3\x84</v>
      </c>
      <c r="S130" s="18" t="str">
        <f>$AO$9</f>
        <v>ORTHO_LEFT</v>
      </c>
      <c r="T130" s="24" t="str">
        <f>$AO$2</f>
        <v>EMPTY</v>
      </c>
      <c r="U130" s="24" t="str">
        <f>$AO$7</f>
        <v>ORTHO_UP</v>
      </c>
      <c r="V130" s="21" t="str">
        <f>$AO$2</f>
        <v>EMPTY</v>
      </c>
      <c r="X130" s="31" t="b">
        <f t="shared" si="38"/>
        <v>0</v>
      </c>
      <c r="Y130" s="31" t="b">
        <f t="shared" si="39"/>
        <v>0</v>
      </c>
      <c r="Z130" t="b">
        <f t="shared" si="40"/>
        <v>0</v>
      </c>
      <c r="AA130" t="b">
        <f t="shared" si="41"/>
        <v>0</v>
      </c>
      <c r="AB130" t="b">
        <f t="shared" si="42"/>
        <v>0</v>
      </c>
      <c r="AC130" t="b">
        <f t="shared" si="43"/>
        <v>0</v>
      </c>
      <c r="AD130" t="b">
        <f t="shared" si="44"/>
        <v>1</v>
      </c>
      <c r="AE130" t="b">
        <f t="shared" si="45"/>
        <v>1</v>
      </c>
      <c r="AF130" t="b">
        <f t="shared" si="46"/>
        <v>0</v>
      </c>
      <c r="AG130" t="b">
        <f t="shared" si="47"/>
        <v>1</v>
      </c>
      <c r="AH130" t="b">
        <f t="shared" si="48"/>
        <v>0</v>
      </c>
      <c r="AI130" t="b">
        <f t="shared" si="49"/>
        <v>1</v>
      </c>
      <c r="AJ130" t="b">
        <f t="shared" si="50"/>
        <v>1</v>
      </c>
      <c r="AK130" t="b">
        <f t="shared" si="51"/>
        <v>1</v>
      </c>
      <c r="AL130" t="b">
        <f t="shared" si="52"/>
        <v>1</v>
      </c>
      <c r="AM130" t="b">
        <f t="shared" si="53"/>
        <v>1</v>
      </c>
      <c r="AV130" s="59" t="str">
        <f t="shared" si="62"/>
        <v xml:space="preserve">    { wxString::FromUTF8("\xC3\x84"), &amp;AllGlyphs[129], &amp;AllGlyphs[130], &amp;AllGlyphs[127], &amp;AllGlyphs[129], Connection::ORTHO_LEFT, Connection::EMPTY, Connection::ORTHO_UP, Connection::EMPTY, 0, 0, 0, 0 },</v>
      </c>
      <c r="AW130" s="60"/>
      <c r="AX130" s="60"/>
      <c r="AY130" s="60"/>
      <c r="AZ130" s="60"/>
      <c r="BA130" s="60"/>
      <c r="BB130" s="60"/>
      <c r="BC130" s="61"/>
      <c r="BE130" s="54" t="str">
        <f t="shared" si="54"/>
        <v>&amp;AllGlyphs[129]</v>
      </c>
      <c r="BF130" s="54" t="str">
        <f t="shared" si="55"/>
        <v>&amp;AllGlyphs[130]</v>
      </c>
      <c r="BG130" s="54" t="str">
        <f t="shared" si="56"/>
        <v>&amp;AllGlyphs[127]</v>
      </c>
      <c r="BH130" s="54" t="str">
        <f t="shared" si="57"/>
        <v>&amp;AllGlyphs[129]</v>
      </c>
      <c r="BJ130" s="58">
        <f t="shared" si="58"/>
        <v>0</v>
      </c>
      <c r="BK130" s="58">
        <f t="shared" si="59"/>
        <v>0</v>
      </c>
      <c r="BL130" s="58">
        <f t="shared" si="60"/>
        <v>0</v>
      </c>
      <c r="BM130" s="58">
        <f t="shared" si="61"/>
        <v>0</v>
      </c>
    </row>
    <row r="131" spans="1:65" x14ac:dyDescent="0.4">
      <c r="A131" s="7" t="s">
        <v>110</v>
      </c>
      <c r="B131" s="6" t="str">
        <f t="shared" si="66"/>
        <v>Å</v>
      </c>
      <c r="C131" s="48" cm="1">
        <f t="array" ref="C131">IF($N131,INDEX($O:$O,MATCH(TRUE,EXACT(B131,$A:$A),0)),"")</f>
        <v>129</v>
      </c>
      <c r="D131" s="38" t="s">
        <v>111</v>
      </c>
      <c r="E131" s="48" cm="1">
        <f t="array" ref="E131">IF($N131,INDEX($O:$O,MATCH(TRUE,EXACT(D131,$A:$A),0)),"")</f>
        <v>130</v>
      </c>
      <c r="F131" s="38" t="s">
        <v>108</v>
      </c>
      <c r="G131" s="48" cm="1">
        <f t="array" ref="G131">IF($O131&lt;&gt;"",INDEX($O:$O,MATCH(TRUE,EXACT(F131,$A:$A),0)),"")</f>
        <v>127</v>
      </c>
      <c r="H131" s="38" t="s">
        <v>111</v>
      </c>
      <c r="I131" s="48" cm="1">
        <f t="array" ref="I131">IF($N131,INDEX($O:$O,MATCH(TRUE,EXACT(H131,$A:$A),0)),"")</f>
        <v>130</v>
      </c>
      <c r="J131" s="38" t="s">
        <v>109</v>
      </c>
      <c r="K131" s="52" cm="1">
        <f t="array" ref="K131">IF($N131,INDEX($O:$O,MATCH(TRUE,EXACT(J131,$A:$A),0)),"")</f>
        <v>128</v>
      </c>
      <c r="L131" s="23"/>
      <c r="M131" s="33"/>
      <c r="N131" s="18" t="b">
        <f t="shared" ref="N131:N194" si="68">AND(B131&lt;&gt;"", D131&lt;&gt;"", F131&lt;&gt;"", J131&lt;&gt;"", H131&lt;&gt;"")</f>
        <v>1</v>
      </c>
      <c r="O131" s="19">
        <f>IF(N131, MAX(O$2:O130)+1,"")</f>
        <v>129</v>
      </c>
      <c r="P131" s="23" t="str">
        <f t="shared" si="67"/>
        <v>Å</v>
      </c>
      <c r="Q131" s="8" t="str" cm="1">
        <f t="array" ref="Q131">CharToUTF8(A131)</f>
        <v>\xC3\x85</v>
      </c>
      <c r="S131" s="18" t="str">
        <f>$AO$10</f>
        <v>ORTHO_RIGHT</v>
      </c>
      <c r="T131" s="24" t="str">
        <f>$AO$2</f>
        <v>EMPTY</v>
      </c>
      <c r="U131" s="24" t="str">
        <f>$AO$2</f>
        <v>EMPTY</v>
      </c>
      <c r="V131" s="21" t="str">
        <f>$AO$7</f>
        <v>ORTHO_UP</v>
      </c>
      <c r="X131" s="31" t="b">
        <f t="shared" ref="X131:X194" si="69">IF($N131,C131=E131,"")</f>
        <v>0</v>
      </c>
      <c r="Y131" s="31" t="b">
        <f t="shared" ref="Y131:Y194" si="70">IF($N131,C131=G131,"")</f>
        <v>0</v>
      </c>
      <c r="Z131" t="b">
        <f t="shared" ref="Z131:Z194" si="71">IF($N131,C131=I131,"")</f>
        <v>0</v>
      </c>
      <c r="AA131" t="b">
        <f t="shared" ref="AA131:AA194" si="72">IF($N131,C131=K131,"")</f>
        <v>0</v>
      </c>
      <c r="AB131" t="b">
        <f t="shared" ref="AB131:AB194" si="73">IF($N131,S131=VLOOKUP(V131,$AO$2:$AT$10,3,FALSE),"")</f>
        <v>1</v>
      </c>
      <c r="AC131" t="b">
        <f t="shared" ref="AC131:AC194" si="74">IF($N131,T131=VLOOKUP(U131,$AO$2:$AT$10,3,FALSE),"")</f>
        <v>1</v>
      </c>
      <c r="AD131" t="b">
        <f t="shared" ref="AD131:AD194" si="75">IF($N131,U131=VLOOKUP(S131,$AO$2:$AT$10,3,FALSE),"")</f>
        <v>0</v>
      </c>
      <c r="AE131" t="b">
        <f t="shared" ref="AE131:AE194" si="76">IF($N131,V131=VLOOKUP(T131,$AO$2:$AT$10,3,FALSE),"")</f>
        <v>0</v>
      </c>
      <c r="AF131" t="b">
        <f t="shared" ref="AF131:AF194" si="77">IF($N131,S131=VLOOKUP(S131,$AO$2:$AT$10,4,FALSE),"")</f>
        <v>0</v>
      </c>
      <c r="AG131" t="b">
        <f t="shared" ref="AG131:AG194" si="78">IF($N131,T131=VLOOKUP(T131,$AO$2:$AT$10,4,FALSE),"")</f>
        <v>1</v>
      </c>
      <c r="AH131" t="b">
        <f t="shared" ref="AH131:AH194" si="79">IF($N131,U131=VLOOKUP(U131,$AO$2:$AT$10,4,FALSE),"")</f>
        <v>1</v>
      </c>
      <c r="AI131" t="b">
        <f t="shared" ref="AI131:AI194" si="80">IF($N131,V131=VLOOKUP(V131,$AO$2:$AT$10,4,FALSE),"")</f>
        <v>0</v>
      </c>
      <c r="AJ131" t="b">
        <f t="shared" ref="AJ131:AJ194" si="81">IF($N131,S131=VLOOKUP(S131,$AO$2:$AT$10,5,FALSE),"")</f>
        <v>1</v>
      </c>
      <c r="AK131" t="b">
        <f t="shared" ref="AK131:AK194" si="82">IF($N131,T131=VLOOKUP(T131,$AO$2:$AT$10,5,FALSE),"")</f>
        <v>1</v>
      </c>
      <c r="AL131" t="b">
        <f t="shared" ref="AL131:AL194" si="83">IF($N131,U131=VLOOKUP(U131,$AO$2:$AT$10,6,FALSE),"")</f>
        <v>1</v>
      </c>
      <c r="AM131" t="b">
        <f t="shared" ref="AM131:AM194" si="84">IF($N131,V131=VLOOKUP(V131,$AO$2:$AT$10,6,FALSE),"")</f>
        <v>1</v>
      </c>
      <c r="AV131" s="59" t="str">
        <f t="shared" si="62"/>
        <v xml:space="preserve">    { wxString::FromUTF8("\xC3\x85"), &amp;AllGlyphs[130], &amp;AllGlyphs[127], &amp;AllGlyphs[130], &amp;AllGlyphs[128], Connection::ORTHO_RIGHT, Connection::EMPTY, Connection::EMPTY, Connection::ORTHO_UP, 0, 0, 0, 0 },</v>
      </c>
      <c r="AW131" s="60"/>
      <c r="AX131" s="60"/>
      <c r="AY131" s="60"/>
      <c r="AZ131" s="60"/>
      <c r="BA131" s="60"/>
      <c r="BB131" s="60"/>
      <c r="BC131" s="61"/>
      <c r="BE131" s="54" t="str">
        <f t="shared" ref="BE131:BE194" si="85">IF($N131,"&amp;AllGlyphs[" &amp; E131 &amp; "]","")</f>
        <v>&amp;AllGlyphs[130]</v>
      </c>
      <c r="BF131" s="54" t="str">
        <f t="shared" ref="BF131:BF194" si="86">IF($N131,"&amp;AllGlyphs[" &amp; G131 &amp; "]","")</f>
        <v>&amp;AllGlyphs[127]</v>
      </c>
      <c r="BG131" s="54" t="str">
        <f t="shared" ref="BG131:BG194" si="87">IF($N131,"&amp;AllGlyphs[" &amp; I131 &amp; "]","")</f>
        <v>&amp;AllGlyphs[130]</v>
      </c>
      <c r="BH131" s="54" t="str">
        <f t="shared" ref="BH131:BH194" si="88">IF($N131,"&amp;AllGlyphs[" &amp; K131 &amp; "]","")</f>
        <v>&amp;AllGlyphs[128]</v>
      </c>
      <c r="BJ131" s="58">
        <f t="shared" ref="BJ131:BJ194" si="89">IF($N131,IF(X131,1,0),"")</f>
        <v>0</v>
      </c>
      <c r="BK131" s="58">
        <f t="shared" ref="BK131:BK194" si="90">IF($N131,IF(Y131,1,0),"")</f>
        <v>0</v>
      </c>
      <c r="BL131" s="58">
        <f t="shared" ref="BL131:BL194" si="91">IF($N131,IF(Z131,1,0),"")</f>
        <v>0</v>
      </c>
      <c r="BM131" s="58">
        <f t="shared" ref="BM131:BM194" si="92">IF($N131,IF(AA131,1,0),"")</f>
        <v>0</v>
      </c>
    </row>
    <row r="132" spans="1:65" x14ac:dyDescent="0.4">
      <c r="A132" s="7" t="s">
        <v>111</v>
      </c>
      <c r="B132" s="6" t="str">
        <f t="shared" si="66"/>
        <v>Æ</v>
      </c>
      <c r="C132" s="48" cm="1">
        <f t="array" ref="C132">IF($N132,INDEX($O:$O,MATCH(TRUE,EXACT(B132,$A:$A),0)),"")</f>
        <v>130</v>
      </c>
      <c r="D132" s="38" t="s">
        <v>108</v>
      </c>
      <c r="E132" s="48" cm="1">
        <f t="array" ref="E132">IF($N132,INDEX($O:$O,MATCH(TRUE,EXACT(D132,$A:$A),0)),"")</f>
        <v>127</v>
      </c>
      <c r="F132" s="38" t="s">
        <v>109</v>
      </c>
      <c r="G132" s="48" cm="1">
        <f t="array" ref="G132">IF($O132&lt;&gt;"",INDEX($O:$O,MATCH(TRUE,EXACT(F132,$A:$A),0)),"")</f>
        <v>128</v>
      </c>
      <c r="H132" s="38" t="s">
        <v>110</v>
      </c>
      <c r="I132" s="48" cm="1">
        <f t="array" ref="I132">IF($N132,INDEX($O:$O,MATCH(TRUE,EXACT(H132,$A:$A),0)),"")</f>
        <v>129</v>
      </c>
      <c r="J132" s="38" t="s">
        <v>108</v>
      </c>
      <c r="K132" s="52" cm="1">
        <f t="array" ref="K132">IF($N132,INDEX($O:$O,MATCH(TRUE,EXACT(J132,$A:$A),0)),"")</f>
        <v>127</v>
      </c>
      <c r="L132" s="23"/>
      <c r="M132" s="33"/>
      <c r="N132" s="18" t="b">
        <f t="shared" si="68"/>
        <v>1</v>
      </c>
      <c r="O132" s="19">
        <f>IF(N132, MAX(O$2:O131)+1,"")</f>
        <v>130</v>
      </c>
      <c r="P132" s="23" t="str">
        <f t="shared" si="67"/>
        <v>Æ</v>
      </c>
      <c r="Q132" s="8" t="str" cm="1">
        <f t="array" ref="Q132">CharToUTF8(A132)</f>
        <v>\xC3\x86</v>
      </c>
      <c r="S132" s="18" t="str">
        <f>$AO$2</f>
        <v>EMPTY</v>
      </c>
      <c r="T132" s="24" t="str">
        <f>$AO$10</f>
        <v>ORTHO_RIGHT</v>
      </c>
      <c r="U132" s="24" t="str">
        <f>$AO$2</f>
        <v>EMPTY</v>
      </c>
      <c r="V132" s="21" t="str">
        <f>$AO$8</f>
        <v>ORTHO_DOWN</v>
      </c>
      <c r="X132" s="31" t="b">
        <f t="shared" si="69"/>
        <v>0</v>
      </c>
      <c r="Y132" s="31" t="b">
        <f t="shared" si="70"/>
        <v>0</v>
      </c>
      <c r="Z132" t="b">
        <f t="shared" si="71"/>
        <v>0</v>
      </c>
      <c r="AA132" t="b">
        <f t="shared" si="72"/>
        <v>0</v>
      </c>
      <c r="AB132" t="b">
        <f t="shared" si="73"/>
        <v>0</v>
      </c>
      <c r="AC132" t="b">
        <f t="shared" si="74"/>
        <v>0</v>
      </c>
      <c r="AD132" t="b">
        <f t="shared" si="75"/>
        <v>1</v>
      </c>
      <c r="AE132" t="b">
        <f t="shared" si="76"/>
        <v>1</v>
      </c>
      <c r="AF132" t="b">
        <f t="shared" si="77"/>
        <v>1</v>
      </c>
      <c r="AG132" t="b">
        <f t="shared" si="78"/>
        <v>0</v>
      </c>
      <c r="AH132" t="b">
        <f t="shared" si="79"/>
        <v>1</v>
      </c>
      <c r="AI132" t="b">
        <f t="shared" si="80"/>
        <v>0</v>
      </c>
      <c r="AJ132" t="b">
        <f t="shared" si="81"/>
        <v>1</v>
      </c>
      <c r="AK132" t="b">
        <f t="shared" si="82"/>
        <v>1</v>
      </c>
      <c r="AL132" t="b">
        <f t="shared" si="83"/>
        <v>1</v>
      </c>
      <c r="AM132" t="b">
        <f t="shared" si="84"/>
        <v>1</v>
      </c>
      <c r="AV132" s="59" t="str">
        <f t="shared" si="62"/>
        <v xml:space="preserve">    { wxString::FromUTF8("\xC3\x86"), &amp;AllGlyphs[127], &amp;AllGlyphs[128], &amp;AllGlyphs[129], &amp;AllGlyphs[127], Connection::EMPTY, Connection::ORTHO_RIGHT, Connection::EMPTY, Connection::ORTHO_DOWN, 0, 0, 0, 0 },</v>
      </c>
      <c r="AW132" s="60"/>
      <c r="AX132" s="60"/>
      <c r="AY132" s="60"/>
      <c r="AZ132" s="60"/>
      <c r="BA132" s="60"/>
      <c r="BB132" s="60"/>
      <c r="BC132" s="61"/>
      <c r="BE132" s="54" t="str">
        <f t="shared" si="85"/>
        <v>&amp;AllGlyphs[127]</v>
      </c>
      <c r="BF132" s="54" t="str">
        <f t="shared" si="86"/>
        <v>&amp;AllGlyphs[128]</v>
      </c>
      <c r="BG132" s="54" t="str">
        <f t="shared" si="87"/>
        <v>&amp;AllGlyphs[129]</v>
      </c>
      <c r="BH132" s="54" t="str">
        <f t="shared" si="88"/>
        <v>&amp;AllGlyphs[127]</v>
      </c>
      <c r="BJ132" s="58">
        <f t="shared" si="89"/>
        <v>0</v>
      </c>
      <c r="BK132" s="58">
        <f t="shared" si="90"/>
        <v>0</v>
      </c>
      <c r="BL132" s="58">
        <f t="shared" si="91"/>
        <v>0</v>
      </c>
      <c r="BM132" s="58">
        <f t="shared" si="92"/>
        <v>0</v>
      </c>
    </row>
    <row r="133" spans="1:65" x14ac:dyDescent="0.4">
      <c r="A133" s="7" t="s">
        <v>112</v>
      </c>
      <c r="B133" s="6" t="str">
        <f t="shared" si="66"/>
        <v>Ç</v>
      </c>
      <c r="C133" s="48" cm="1">
        <f t="array" ref="C133">IF($N133,INDEX($O:$O,MATCH(TRUE,EXACT(B133,$A:$A),0)),"")</f>
        <v>131</v>
      </c>
      <c r="D133" s="38" t="s">
        <v>115</v>
      </c>
      <c r="E133" s="48" cm="1">
        <f t="array" ref="E133">IF($N133,INDEX($O:$O,MATCH(TRUE,EXACT(D133,$A:$A),0)),"")</f>
        <v>134</v>
      </c>
      <c r="F133" s="38" t="s">
        <v>113</v>
      </c>
      <c r="G133" s="48" cm="1">
        <f t="array" ref="G133">IF($O133&lt;&gt;"",INDEX($O:$O,MATCH(TRUE,EXACT(F133,$A:$A),0)),"")</f>
        <v>132</v>
      </c>
      <c r="H133" s="38" t="s">
        <v>113</v>
      </c>
      <c r="I133" s="48" cm="1">
        <f t="array" ref="I133">IF($N133,INDEX($O:$O,MATCH(TRUE,EXACT(H133,$A:$A),0)),"")</f>
        <v>132</v>
      </c>
      <c r="J133" s="38" t="s">
        <v>112</v>
      </c>
      <c r="K133" s="52" cm="1">
        <f t="array" ref="K133">IF($N133,INDEX($O:$O,MATCH(TRUE,EXACT(J133,$A:$A),0)),"")</f>
        <v>131</v>
      </c>
      <c r="L133" s="23"/>
      <c r="M133" s="33"/>
      <c r="N133" s="18" t="b">
        <f t="shared" si="68"/>
        <v>1</v>
      </c>
      <c r="O133" s="19">
        <f>IF(N133, MAX(O$2:O132)+1,"")</f>
        <v>131</v>
      </c>
      <c r="P133" s="23" t="str">
        <f t="shared" si="67"/>
        <v>Ç</v>
      </c>
      <c r="Q133" s="8" t="str" cm="1">
        <f t="array" ref="Q133">CharToUTF8(A133)</f>
        <v>\xC3\x87</v>
      </c>
      <c r="S133" s="18" t="str">
        <f>$AO$4</f>
        <v>ORTHO_BOTH</v>
      </c>
      <c r="T133" s="24" t="str">
        <f>$AO$2</f>
        <v>EMPTY</v>
      </c>
      <c r="U133" s="24" t="str">
        <f>$AO$2</f>
        <v>EMPTY</v>
      </c>
      <c r="V133" s="21" t="str">
        <f>$AO$2</f>
        <v>EMPTY</v>
      </c>
      <c r="X133" s="31" t="b">
        <f t="shared" si="69"/>
        <v>0</v>
      </c>
      <c r="Y133" s="31" t="b">
        <f t="shared" si="70"/>
        <v>0</v>
      </c>
      <c r="Z133" t="b">
        <f t="shared" si="71"/>
        <v>0</v>
      </c>
      <c r="AA133" t="b">
        <f t="shared" si="72"/>
        <v>1</v>
      </c>
      <c r="AB133" t="b">
        <f t="shared" si="73"/>
        <v>0</v>
      </c>
      <c r="AC133" t="b">
        <f t="shared" si="74"/>
        <v>1</v>
      </c>
      <c r="AD133" t="b">
        <f t="shared" si="75"/>
        <v>0</v>
      </c>
      <c r="AE133" t="b">
        <f t="shared" si="76"/>
        <v>1</v>
      </c>
      <c r="AF133" t="b">
        <f t="shared" si="77"/>
        <v>1</v>
      </c>
      <c r="AG133" t="b">
        <f t="shared" si="78"/>
        <v>1</v>
      </c>
      <c r="AH133" t="b">
        <f t="shared" si="79"/>
        <v>1</v>
      </c>
      <c r="AI133" t="b">
        <f t="shared" si="80"/>
        <v>1</v>
      </c>
      <c r="AJ133" t="b">
        <f t="shared" si="81"/>
        <v>1</v>
      </c>
      <c r="AK133" t="b">
        <f t="shared" si="82"/>
        <v>1</v>
      </c>
      <c r="AL133" t="b">
        <f t="shared" si="83"/>
        <v>1</v>
      </c>
      <c r="AM133" t="b">
        <f t="shared" si="84"/>
        <v>1</v>
      </c>
      <c r="AV133" s="59" t="str">
        <f t="shared" si="62"/>
        <v xml:space="preserve">    { wxString::FromUTF8("\xC3\x87"), &amp;AllGlyphs[134], &amp;AllGlyphs[132], &amp;AllGlyphs[132], &amp;AllGlyphs[131], Connection::ORTHO_BOTH, Connection::EMPTY, Connection::EMPTY, Connection::EMPTY, 0, 0, 0, 1 },</v>
      </c>
      <c r="AW133" s="60"/>
      <c r="AX133" s="60"/>
      <c r="AY133" s="60"/>
      <c r="AZ133" s="60"/>
      <c r="BA133" s="60"/>
      <c r="BB133" s="60"/>
      <c r="BC133" s="61"/>
      <c r="BE133" s="54" t="str">
        <f t="shared" si="85"/>
        <v>&amp;AllGlyphs[134]</v>
      </c>
      <c r="BF133" s="54" t="str">
        <f t="shared" si="86"/>
        <v>&amp;AllGlyphs[132]</v>
      </c>
      <c r="BG133" s="54" t="str">
        <f t="shared" si="87"/>
        <v>&amp;AllGlyphs[132]</v>
      </c>
      <c r="BH133" s="54" t="str">
        <f t="shared" si="88"/>
        <v>&amp;AllGlyphs[131]</v>
      </c>
      <c r="BJ133" s="58">
        <f t="shared" si="89"/>
        <v>0</v>
      </c>
      <c r="BK133" s="58">
        <f t="shared" si="90"/>
        <v>0</v>
      </c>
      <c r="BL133" s="58">
        <f t="shared" si="91"/>
        <v>0</v>
      </c>
      <c r="BM133" s="58">
        <f t="shared" si="92"/>
        <v>1</v>
      </c>
    </row>
    <row r="134" spans="1:65" x14ac:dyDescent="0.4">
      <c r="A134" s="7" t="s">
        <v>113</v>
      </c>
      <c r="B134" s="6" t="str">
        <f t="shared" si="66"/>
        <v>È</v>
      </c>
      <c r="C134" s="48" cm="1">
        <f t="array" ref="C134">IF($N134,INDEX($O:$O,MATCH(TRUE,EXACT(B134,$A:$A),0)),"")</f>
        <v>132</v>
      </c>
      <c r="D134" s="38" t="s">
        <v>114</v>
      </c>
      <c r="E134" s="48" cm="1">
        <f t="array" ref="E134">IF($N134,INDEX($O:$O,MATCH(TRUE,EXACT(D134,$A:$A),0)),"")</f>
        <v>133</v>
      </c>
      <c r="F134" s="38" t="s">
        <v>112</v>
      </c>
      <c r="G134" s="48" cm="1">
        <f t="array" ref="G134">IF($O134&lt;&gt;"",INDEX($O:$O,MATCH(TRUE,EXACT(F134,$A:$A),0)),"")</f>
        <v>131</v>
      </c>
      <c r="H134" s="38" t="s">
        <v>112</v>
      </c>
      <c r="I134" s="48" cm="1">
        <f t="array" ref="I134">IF($N134,INDEX($O:$O,MATCH(TRUE,EXACT(H134,$A:$A),0)),"")</f>
        <v>131</v>
      </c>
      <c r="J134" s="38" t="s">
        <v>113</v>
      </c>
      <c r="K134" s="52" cm="1">
        <f t="array" ref="K134">IF($N134,INDEX($O:$O,MATCH(TRUE,EXACT(J134,$A:$A),0)),"")</f>
        <v>132</v>
      </c>
      <c r="L134" s="23"/>
      <c r="M134" s="33"/>
      <c r="N134" s="18" t="b">
        <f t="shared" si="68"/>
        <v>1</v>
      </c>
      <c r="O134" s="19">
        <f>IF(N134, MAX(O$2:O133)+1,"")</f>
        <v>132</v>
      </c>
      <c r="P134" s="23" t="str">
        <f t="shared" si="67"/>
        <v>È</v>
      </c>
      <c r="Q134" s="8" t="str" cm="1">
        <f t="array" ref="Q134">CharToUTF8(A134)</f>
        <v>\xC3\x88</v>
      </c>
      <c r="S134" s="18" t="str">
        <f>$AO$2</f>
        <v>EMPTY</v>
      </c>
      <c r="T134" s="24" t="str">
        <f>$AO$4</f>
        <v>ORTHO_BOTH</v>
      </c>
      <c r="U134" s="24" t="str">
        <f>$AO$2</f>
        <v>EMPTY</v>
      </c>
      <c r="V134" s="21" t="str">
        <f>$AO$2</f>
        <v>EMPTY</v>
      </c>
      <c r="X134" s="31" t="b">
        <f t="shared" si="69"/>
        <v>0</v>
      </c>
      <c r="Y134" s="31" t="b">
        <f t="shared" si="70"/>
        <v>0</v>
      </c>
      <c r="Z134" t="b">
        <f t="shared" si="71"/>
        <v>0</v>
      </c>
      <c r="AA134" t="b">
        <f t="shared" si="72"/>
        <v>1</v>
      </c>
      <c r="AB134" t="b">
        <f t="shared" si="73"/>
        <v>1</v>
      </c>
      <c r="AC134" t="b">
        <f t="shared" si="74"/>
        <v>0</v>
      </c>
      <c r="AD134" t="b">
        <f t="shared" si="75"/>
        <v>1</v>
      </c>
      <c r="AE134" t="b">
        <f t="shared" si="76"/>
        <v>0</v>
      </c>
      <c r="AF134" t="b">
        <f t="shared" si="77"/>
        <v>1</v>
      </c>
      <c r="AG134" t="b">
        <f t="shared" si="78"/>
        <v>1</v>
      </c>
      <c r="AH134" t="b">
        <f t="shared" si="79"/>
        <v>1</v>
      </c>
      <c r="AI134" t="b">
        <f t="shared" si="80"/>
        <v>1</v>
      </c>
      <c r="AJ134" t="b">
        <f t="shared" si="81"/>
        <v>1</v>
      </c>
      <c r="AK134" t="b">
        <f t="shared" si="82"/>
        <v>1</v>
      </c>
      <c r="AL134" t="b">
        <f t="shared" si="83"/>
        <v>1</v>
      </c>
      <c r="AM134" t="b">
        <f t="shared" si="84"/>
        <v>1</v>
      </c>
      <c r="AV134" s="59" t="str">
        <f t="shared" si="62"/>
        <v xml:space="preserve">    { wxString::FromUTF8("\xC3\x88"), &amp;AllGlyphs[133], &amp;AllGlyphs[131], &amp;AllGlyphs[131], &amp;AllGlyphs[132], Connection::EMPTY, Connection::ORTHO_BOTH, Connection::EMPTY, Connection::EMPTY, 0, 0, 0, 1 },</v>
      </c>
      <c r="AW134" s="60"/>
      <c r="AX134" s="60"/>
      <c r="AY134" s="60"/>
      <c r="AZ134" s="60"/>
      <c r="BA134" s="60"/>
      <c r="BB134" s="60"/>
      <c r="BC134" s="61"/>
      <c r="BE134" s="54" t="str">
        <f t="shared" si="85"/>
        <v>&amp;AllGlyphs[133]</v>
      </c>
      <c r="BF134" s="54" t="str">
        <f t="shared" si="86"/>
        <v>&amp;AllGlyphs[131]</v>
      </c>
      <c r="BG134" s="54" t="str">
        <f t="shared" si="87"/>
        <v>&amp;AllGlyphs[131]</v>
      </c>
      <c r="BH134" s="54" t="str">
        <f t="shared" si="88"/>
        <v>&amp;AllGlyphs[132]</v>
      </c>
      <c r="BJ134" s="58">
        <f t="shared" si="89"/>
        <v>0</v>
      </c>
      <c r="BK134" s="58">
        <f t="shared" si="90"/>
        <v>0</v>
      </c>
      <c r="BL134" s="58">
        <f t="shared" si="91"/>
        <v>0</v>
      </c>
      <c r="BM134" s="58">
        <f t="shared" si="92"/>
        <v>1</v>
      </c>
    </row>
    <row r="135" spans="1:65" x14ac:dyDescent="0.4">
      <c r="A135" s="7" t="s">
        <v>114</v>
      </c>
      <c r="B135" s="6" t="str">
        <f t="shared" si="66"/>
        <v>É</v>
      </c>
      <c r="C135" s="48" cm="1">
        <f t="array" ref="C135">IF($N135,INDEX($O:$O,MATCH(TRUE,EXACT(B135,$A:$A),0)),"")</f>
        <v>133</v>
      </c>
      <c r="D135" s="38" t="s">
        <v>112</v>
      </c>
      <c r="E135" s="48" cm="1">
        <f t="array" ref="E135">IF($N135,INDEX($O:$O,MATCH(TRUE,EXACT(D135,$A:$A),0)),"")</f>
        <v>131</v>
      </c>
      <c r="F135" s="38" t="s">
        <v>115</v>
      </c>
      <c r="G135" s="48" cm="1">
        <f t="array" ref="G135">IF($O135&lt;&gt;"",INDEX($O:$O,MATCH(TRUE,EXACT(F135,$A:$A),0)),"")</f>
        <v>134</v>
      </c>
      <c r="H135" s="38" t="s">
        <v>114</v>
      </c>
      <c r="I135" s="48" cm="1">
        <f t="array" ref="I135">IF($N135,INDEX($O:$O,MATCH(TRUE,EXACT(H135,$A:$A),0)),"")</f>
        <v>133</v>
      </c>
      <c r="J135" s="38" t="s">
        <v>115</v>
      </c>
      <c r="K135" s="52" cm="1">
        <f t="array" ref="K135">IF($N135,INDEX($O:$O,MATCH(TRUE,EXACT(J135,$A:$A),0)),"")</f>
        <v>134</v>
      </c>
      <c r="L135" s="23"/>
      <c r="M135" s="33"/>
      <c r="N135" s="18" t="b">
        <f t="shared" si="68"/>
        <v>1</v>
      </c>
      <c r="O135" s="19">
        <f>IF(N135, MAX(O$2:O134)+1,"")</f>
        <v>133</v>
      </c>
      <c r="P135" s="23" t="str">
        <f t="shared" si="67"/>
        <v>É</v>
      </c>
      <c r="Q135" s="8" t="str" cm="1">
        <f t="array" ref="Q135">CharToUTF8(A135)</f>
        <v>\xC3\x89</v>
      </c>
      <c r="S135" s="18" t="str">
        <f>$AO$2</f>
        <v>EMPTY</v>
      </c>
      <c r="T135" s="24" t="str">
        <f>$AO$2</f>
        <v>EMPTY</v>
      </c>
      <c r="U135" s="24" t="str">
        <f>$AO$4</f>
        <v>ORTHO_BOTH</v>
      </c>
      <c r="V135" s="21" t="str">
        <f>$AO$2</f>
        <v>EMPTY</v>
      </c>
      <c r="X135" s="31" t="b">
        <f t="shared" si="69"/>
        <v>0</v>
      </c>
      <c r="Y135" s="31" t="b">
        <f t="shared" si="70"/>
        <v>0</v>
      </c>
      <c r="Z135" t="b">
        <f t="shared" si="71"/>
        <v>1</v>
      </c>
      <c r="AA135" t="b">
        <f t="shared" si="72"/>
        <v>0</v>
      </c>
      <c r="AB135" t="b">
        <f t="shared" si="73"/>
        <v>1</v>
      </c>
      <c r="AC135" t="b">
        <f t="shared" si="74"/>
        <v>0</v>
      </c>
      <c r="AD135" t="b">
        <f t="shared" si="75"/>
        <v>0</v>
      </c>
      <c r="AE135" t="b">
        <f t="shared" si="76"/>
        <v>1</v>
      </c>
      <c r="AF135" t="b">
        <f t="shared" si="77"/>
        <v>1</v>
      </c>
      <c r="AG135" t="b">
        <f t="shared" si="78"/>
        <v>1</v>
      </c>
      <c r="AH135" t="b">
        <f t="shared" si="79"/>
        <v>1</v>
      </c>
      <c r="AI135" t="b">
        <f t="shared" si="80"/>
        <v>1</v>
      </c>
      <c r="AJ135" t="b">
        <f t="shared" si="81"/>
        <v>1</v>
      </c>
      <c r="AK135" t="b">
        <f t="shared" si="82"/>
        <v>1</v>
      </c>
      <c r="AL135" t="b">
        <f t="shared" si="83"/>
        <v>1</v>
      </c>
      <c r="AM135" t="b">
        <f t="shared" si="84"/>
        <v>1</v>
      </c>
      <c r="AV135" s="59" t="str">
        <f t="shared" si="62"/>
        <v xml:space="preserve">    { wxString::FromUTF8("\xC3\x89"), &amp;AllGlyphs[131], &amp;AllGlyphs[134], &amp;AllGlyphs[133], &amp;AllGlyphs[134], Connection::EMPTY, Connection::EMPTY, Connection::ORTHO_BOTH, Connection::EMPTY, 0, 0, 1, 0 },</v>
      </c>
      <c r="AW135" s="60"/>
      <c r="AX135" s="60"/>
      <c r="AY135" s="60"/>
      <c r="AZ135" s="60"/>
      <c r="BA135" s="60"/>
      <c r="BB135" s="60"/>
      <c r="BC135" s="61"/>
      <c r="BE135" s="54" t="str">
        <f t="shared" si="85"/>
        <v>&amp;AllGlyphs[131]</v>
      </c>
      <c r="BF135" s="54" t="str">
        <f t="shared" si="86"/>
        <v>&amp;AllGlyphs[134]</v>
      </c>
      <c r="BG135" s="54" t="str">
        <f t="shared" si="87"/>
        <v>&amp;AllGlyphs[133]</v>
      </c>
      <c r="BH135" s="54" t="str">
        <f t="shared" si="88"/>
        <v>&amp;AllGlyphs[134]</v>
      </c>
      <c r="BJ135" s="58">
        <f t="shared" si="89"/>
        <v>0</v>
      </c>
      <c r="BK135" s="58">
        <f t="shared" si="90"/>
        <v>0</v>
      </c>
      <c r="BL135" s="58">
        <f t="shared" si="91"/>
        <v>1</v>
      </c>
      <c r="BM135" s="58">
        <f t="shared" si="92"/>
        <v>0</v>
      </c>
    </row>
    <row r="136" spans="1:65" x14ac:dyDescent="0.4">
      <c r="A136" s="7" t="s">
        <v>115</v>
      </c>
      <c r="B136" s="6" t="str">
        <f t="shared" si="66"/>
        <v>Ê</v>
      </c>
      <c r="C136" s="48" cm="1">
        <f t="array" ref="C136">IF($N136,INDEX($O:$O,MATCH(TRUE,EXACT(B136,$A:$A),0)),"")</f>
        <v>134</v>
      </c>
      <c r="D136" s="38" t="s">
        <v>113</v>
      </c>
      <c r="E136" s="48" cm="1">
        <f t="array" ref="E136">IF($N136,INDEX($O:$O,MATCH(TRUE,EXACT(D136,$A:$A),0)),"")</f>
        <v>132</v>
      </c>
      <c r="F136" s="38" t="s">
        <v>114</v>
      </c>
      <c r="G136" s="48" cm="1">
        <f t="array" ref="G136">IF($O136&lt;&gt;"",INDEX($O:$O,MATCH(TRUE,EXACT(F136,$A:$A),0)),"")</f>
        <v>133</v>
      </c>
      <c r="H136" s="38" t="s">
        <v>115</v>
      </c>
      <c r="I136" s="48" cm="1">
        <f t="array" ref="I136">IF($N136,INDEX($O:$O,MATCH(TRUE,EXACT(H136,$A:$A),0)),"")</f>
        <v>134</v>
      </c>
      <c r="J136" s="38" t="s">
        <v>114</v>
      </c>
      <c r="K136" s="52" cm="1">
        <f t="array" ref="K136">IF($N136,INDEX($O:$O,MATCH(TRUE,EXACT(J136,$A:$A),0)),"")</f>
        <v>133</v>
      </c>
      <c r="L136" s="23"/>
      <c r="M136" s="33"/>
      <c r="N136" s="18" t="b">
        <f t="shared" si="68"/>
        <v>1</v>
      </c>
      <c r="O136" s="19">
        <f>IF(N136, MAX(O$2:O135)+1,"")</f>
        <v>134</v>
      </c>
      <c r="P136" s="23" t="str">
        <f t="shared" si="67"/>
        <v>Ê</v>
      </c>
      <c r="Q136" s="8" t="str" cm="1">
        <f t="array" ref="Q136">CharToUTF8(A136)</f>
        <v>\xC3\x8A</v>
      </c>
      <c r="S136" s="18" t="str">
        <f>$AO$2</f>
        <v>EMPTY</v>
      </c>
      <c r="T136" s="24" t="str">
        <f>$AO$2</f>
        <v>EMPTY</v>
      </c>
      <c r="U136" s="24" t="str">
        <f>$AO$2</f>
        <v>EMPTY</v>
      </c>
      <c r="V136" s="21" t="str">
        <f>$AO$4</f>
        <v>ORTHO_BOTH</v>
      </c>
      <c r="X136" s="31" t="b">
        <f t="shared" si="69"/>
        <v>0</v>
      </c>
      <c r="Y136" s="31" t="b">
        <f t="shared" si="70"/>
        <v>0</v>
      </c>
      <c r="Z136" t="b">
        <f t="shared" si="71"/>
        <v>1</v>
      </c>
      <c r="AA136" t="b">
        <f t="shared" si="72"/>
        <v>0</v>
      </c>
      <c r="AB136" t="b">
        <f t="shared" si="73"/>
        <v>0</v>
      </c>
      <c r="AC136" t="b">
        <f t="shared" si="74"/>
        <v>1</v>
      </c>
      <c r="AD136" t="b">
        <f t="shared" si="75"/>
        <v>1</v>
      </c>
      <c r="AE136" t="b">
        <f t="shared" si="76"/>
        <v>0</v>
      </c>
      <c r="AF136" t="b">
        <f t="shared" si="77"/>
        <v>1</v>
      </c>
      <c r="AG136" t="b">
        <f t="shared" si="78"/>
        <v>1</v>
      </c>
      <c r="AH136" t="b">
        <f t="shared" si="79"/>
        <v>1</v>
      </c>
      <c r="AI136" t="b">
        <f t="shared" si="80"/>
        <v>1</v>
      </c>
      <c r="AJ136" t="b">
        <f t="shared" si="81"/>
        <v>1</v>
      </c>
      <c r="AK136" t="b">
        <f t="shared" si="82"/>
        <v>1</v>
      </c>
      <c r="AL136" t="b">
        <f t="shared" si="83"/>
        <v>1</v>
      </c>
      <c r="AM136" t="b">
        <f t="shared" si="84"/>
        <v>1</v>
      </c>
      <c r="AV136" s="59" t="str">
        <f t="shared" si="62"/>
        <v xml:space="preserve">    { wxString::FromUTF8("\xC3\x8A"), &amp;AllGlyphs[132], &amp;AllGlyphs[133], &amp;AllGlyphs[134], &amp;AllGlyphs[133], Connection::EMPTY, Connection::EMPTY, Connection::EMPTY, Connection::ORTHO_BOTH, 0, 0, 1, 0 },</v>
      </c>
      <c r="AW136" s="60"/>
      <c r="AX136" s="60"/>
      <c r="AY136" s="60"/>
      <c r="AZ136" s="60"/>
      <c r="BA136" s="60"/>
      <c r="BB136" s="60"/>
      <c r="BC136" s="61"/>
      <c r="BE136" s="54" t="str">
        <f t="shared" si="85"/>
        <v>&amp;AllGlyphs[132]</v>
      </c>
      <c r="BF136" s="54" t="str">
        <f t="shared" si="86"/>
        <v>&amp;AllGlyphs[133]</v>
      </c>
      <c r="BG136" s="54" t="str">
        <f t="shared" si="87"/>
        <v>&amp;AllGlyphs[134]</v>
      </c>
      <c r="BH136" s="54" t="str">
        <f t="shared" si="88"/>
        <v>&amp;AllGlyphs[133]</v>
      </c>
      <c r="BJ136" s="58">
        <f t="shared" si="89"/>
        <v>0</v>
      </c>
      <c r="BK136" s="58">
        <f t="shared" si="90"/>
        <v>0</v>
      </c>
      <c r="BL136" s="58">
        <f t="shared" si="91"/>
        <v>1</v>
      </c>
      <c r="BM136" s="58">
        <f t="shared" si="92"/>
        <v>0</v>
      </c>
    </row>
    <row r="137" spans="1:65" x14ac:dyDescent="0.4">
      <c r="A137" s="7" t="s">
        <v>116</v>
      </c>
      <c r="B137" s="6" t="str">
        <f t="shared" si="66"/>
        <v>Ë</v>
      </c>
      <c r="C137" s="48" cm="1">
        <f t="array" ref="C137">IF($N137,INDEX($O:$O,MATCH(TRUE,EXACT(B137,$A:$A),0)),"")</f>
        <v>135</v>
      </c>
      <c r="D137" s="38" t="s">
        <v>117</v>
      </c>
      <c r="E137" s="48" cm="1">
        <f t="array" ref="E137">IF($N137,INDEX($O:$O,MATCH(TRUE,EXACT(D137,$A:$A),0)),"")</f>
        <v>136</v>
      </c>
      <c r="F137" s="38" t="s">
        <v>119</v>
      </c>
      <c r="G137" s="48" cm="1">
        <f t="array" ref="G137">IF($O137&lt;&gt;"",INDEX($O:$O,MATCH(TRUE,EXACT(F137,$A:$A),0)),"")</f>
        <v>138</v>
      </c>
      <c r="H137" s="38" t="s">
        <v>118</v>
      </c>
      <c r="I137" s="48" cm="1">
        <f t="array" ref="I137">IF($N137,INDEX($O:$O,MATCH(TRUE,EXACT(H137,$A:$A),0)),"")</f>
        <v>137</v>
      </c>
      <c r="J137" s="38" t="s">
        <v>117</v>
      </c>
      <c r="K137" s="52" cm="1">
        <f t="array" ref="K137">IF($N137,INDEX($O:$O,MATCH(TRUE,EXACT(J137,$A:$A),0)),"")</f>
        <v>136</v>
      </c>
      <c r="L137" s="23"/>
      <c r="M137" s="33"/>
      <c r="N137" s="18" t="b">
        <f t="shared" si="68"/>
        <v>1</v>
      </c>
      <c r="O137" s="19">
        <f>IF(N137, MAX(O$2:O136)+1,"")</f>
        <v>135</v>
      </c>
      <c r="P137" s="23" t="str">
        <f t="shared" si="67"/>
        <v>Ë</v>
      </c>
      <c r="Q137" s="8" t="str" cm="1">
        <f t="array" ref="Q137">CharToUTF8(A137)</f>
        <v>\xC3\x8B</v>
      </c>
      <c r="S137" s="18" t="str">
        <f>$AO$2</f>
        <v>EMPTY</v>
      </c>
      <c r="T137" s="24" t="str">
        <f>$AO$9</f>
        <v>ORTHO_LEFT</v>
      </c>
      <c r="U137" s="24" t="str">
        <f>$AO$2</f>
        <v>EMPTY</v>
      </c>
      <c r="V137" s="21" t="str">
        <f>$AO$7</f>
        <v>ORTHO_UP</v>
      </c>
      <c r="X137" s="31" t="b">
        <f t="shared" si="69"/>
        <v>0</v>
      </c>
      <c r="Y137" s="31" t="b">
        <f t="shared" si="70"/>
        <v>0</v>
      </c>
      <c r="Z137" t="b">
        <f t="shared" si="71"/>
        <v>0</v>
      </c>
      <c r="AA137" t="b">
        <f t="shared" si="72"/>
        <v>0</v>
      </c>
      <c r="AB137" t="b">
        <f t="shared" si="73"/>
        <v>0</v>
      </c>
      <c r="AC137" t="b">
        <f t="shared" si="74"/>
        <v>0</v>
      </c>
      <c r="AD137" t="b">
        <f t="shared" si="75"/>
        <v>1</v>
      </c>
      <c r="AE137" t="b">
        <f t="shared" si="76"/>
        <v>1</v>
      </c>
      <c r="AF137" t="b">
        <f t="shared" si="77"/>
        <v>1</v>
      </c>
      <c r="AG137" t="b">
        <f t="shared" si="78"/>
        <v>0</v>
      </c>
      <c r="AH137" t="b">
        <f t="shared" si="79"/>
        <v>1</v>
      </c>
      <c r="AI137" t="b">
        <f t="shared" si="80"/>
        <v>0</v>
      </c>
      <c r="AJ137" t="b">
        <f t="shared" si="81"/>
        <v>1</v>
      </c>
      <c r="AK137" t="b">
        <f t="shared" si="82"/>
        <v>1</v>
      </c>
      <c r="AL137" t="b">
        <f t="shared" si="83"/>
        <v>1</v>
      </c>
      <c r="AM137" t="b">
        <f t="shared" si="84"/>
        <v>1</v>
      </c>
      <c r="AV137" s="59" t="str">
        <f t="shared" si="62"/>
        <v xml:space="preserve">    { wxString::FromUTF8("\xC3\x8B"), &amp;AllGlyphs[136], &amp;AllGlyphs[138], &amp;AllGlyphs[137], &amp;AllGlyphs[136], Connection::EMPTY, Connection::ORTHO_LEFT, Connection::EMPTY, Connection::ORTHO_UP, 0, 0, 0, 0 },</v>
      </c>
      <c r="AW137" s="60"/>
      <c r="AX137" s="60"/>
      <c r="AY137" s="60"/>
      <c r="AZ137" s="60"/>
      <c r="BA137" s="60"/>
      <c r="BB137" s="60"/>
      <c r="BC137" s="61"/>
      <c r="BE137" s="54" t="str">
        <f t="shared" si="85"/>
        <v>&amp;AllGlyphs[136]</v>
      </c>
      <c r="BF137" s="54" t="str">
        <f t="shared" si="86"/>
        <v>&amp;AllGlyphs[138]</v>
      </c>
      <c r="BG137" s="54" t="str">
        <f t="shared" si="87"/>
        <v>&amp;AllGlyphs[137]</v>
      </c>
      <c r="BH137" s="54" t="str">
        <f t="shared" si="88"/>
        <v>&amp;AllGlyphs[136]</v>
      </c>
      <c r="BJ137" s="58">
        <f t="shared" si="89"/>
        <v>0</v>
      </c>
      <c r="BK137" s="58">
        <f t="shared" si="90"/>
        <v>0</v>
      </c>
      <c r="BL137" s="58">
        <f t="shared" si="91"/>
        <v>0</v>
      </c>
      <c r="BM137" s="58">
        <f t="shared" si="92"/>
        <v>0</v>
      </c>
    </row>
    <row r="138" spans="1:65" x14ac:dyDescent="0.4">
      <c r="A138" s="7" t="s">
        <v>117</v>
      </c>
      <c r="B138" s="6" t="str">
        <f t="shared" si="66"/>
        <v>Ì</v>
      </c>
      <c r="C138" s="48" cm="1">
        <f t="array" ref="C138">IF($N138,INDEX($O:$O,MATCH(TRUE,EXACT(B138,$A:$A),0)),"")</f>
        <v>136</v>
      </c>
      <c r="D138" s="38" t="s">
        <v>119</v>
      </c>
      <c r="E138" s="48" cm="1">
        <f t="array" ref="E138">IF($N138,INDEX($O:$O,MATCH(TRUE,EXACT(D138,$A:$A),0)),"")</f>
        <v>138</v>
      </c>
      <c r="F138" s="38" t="s">
        <v>118</v>
      </c>
      <c r="G138" s="48" cm="1">
        <f t="array" ref="G138">IF($O138&lt;&gt;"",INDEX($O:$O,MATCH(TRUE,EXACT(F138,$A:$A),0)),"")</f>
        <v>137</v>
      </c>
      <c r="H138" s="38" t="s">
        <v>119</v>
      </c>
      <c r="I138" s="48" cm="1">
        <f t="array" ref="I138">IF($N138,INDEX($O:$O,MATCH(TRUE,EXACT(H138,$A:$A),0)),"")</f>
        <v>138</v>
      </c>
      <c r="J138" s="38" t="s">
        <v>116</v>
      </c>
      <c r="K138" s="52" cm="1">
        <f t="array" ref="K138">IF($N138,INDEX($O:$O,MATCH(TRUE,EXACT(J138,$A:$A),0)),"")</f>
        <v>135</v>
      </c>
      <c r="L138" s="23"/>
      <c r="M138" s="33"/>
      <c r="N138" s="18" t="b">
        <f t="shared" si="68"/>
        <v>1</v>
      </c>
      <c r="O138" s="19">
        <f>IF(N138, MAX(O$2:O137)+1,"")</f>
        <v>136</v>
      </c>
      <c r="P138" s="23" t="str">
        <f t="shared" si="67"/>
        <v>Ì</v>
      </c>
      <c r="Q138" s="8" t="str" cm="1">
        <f t="array" ref="Q138">CharToUTF8(A138)</f>
        <v>\xC3\x8C</v>
      </c>
      <c r="S138" s="18" t="str">
        <f>$AO$2</f>
        <v>EMPTY</v>
      </c>
      <c r="T138" s="24" t="str">
        <f>$AO$10</f>
        <v>ORTHO_RIGHT</v>
      </c>
      <c r="U138" s="24" t="str">
        <f>$AO$7</f>
        <v>ORTHO_UP</v>
      </c>
      <c r="V138" s="21" t="str">
        <f>$AO$2</f>
        <v>EMPTY</v>
      </c>
      <c r="X138" s="31" t="b">
        <f t="shared" si="69"/>
        <v>0</v>
      </c>
      <c r="Y138" s="31" t="b">
        <f t="shared" si="70"/>
        <v>0</v>
      </c>
      <c r="Z138" t="b">
        <f t="shared" si="71"/>
        <v>0</v>
      </c>
      <c r="AA138" t="b">
        <f t="shared" si="72"/>
        <v>0</v>
      </c>
      <c r="AB138" t="b">
        <f t="shared" si="73"/>
        <v>1</v>
      </c>
      <c r="AC138" t="b">
        <f t="shared" si="74"/>
        <v>1</v>
      </c>
      <c r="AD138" t="b">
        <f t="shared" si="75"/>
        <v>0</v>
      </c>
      <c r="AE138" t="b">
        <f t="shared" si="76"/>
        <v>0</v>
      </c>
      <c r="AF138" t="b">
        <f t="shared" si="77"/>
        <v>1</v>
      </c>
      <c r="AG138" t="b">
        <f t="shared" si="78"/>
        <v>0</v>
      </c>
      <c r="AH138" t="b">
        <f t="shared" si="79"/>
        <v>0</v>
      </c>
      <c r="AI138" t="b">
        <f t="shared" si="80"/>
        <v>1</v>
      </c>
      <c r="AJ138" t="b">
        <f t="shared" si="81"/>
        <v>1</v>
      </c>
      <c r="AK138" t="b">
        <f t="shared" si="82"/>
        <v>1</v>
      </c>
      <c r="AL138" t="b">
        <f t="shared" si="83"/>
        <v>1</v>
      </c>
      <c r="AM138" t="b">
        <f t="shared" si="84"/>
        <v>1</v>
      </c>
      <c r="AV138" s="59" t="str">
        <f t="shared" si="62"/>
        <v xml:space="preserve">    { wxString::FromUTF8("\xC3\x8C"), &amp;AllGlyphs[138], &amp;AllGlyphs[137], &amp;AllGlyphs[138], &amp;AllGlyphs[135], Connection::EMPTY, Connection::ORTHO_RIGHT, Connection::ORTHO_UP, Connection::EMPTY, 0, 0, 0, 0 },</v>
      </c>
      <c r="AW138" s="60"/>
      <c r="AX138" s="60"/>
      <c r="AY138" s="60"/>
      <c r="AZ138" s="60"/>
      <c r="BA138" s="60"/>
      <c r="BB138" s="60"/>
      <c r="BC138" s="61"/>
      <c r="BE138" s="54" t="str">
        <f t="shared" si="85"/>
        <v>&amp;AllGlyphs[138]</v>
      </c>
      <c r="BF138" s="54" t="str">
        <f t="shared" si="86"/>
        <v>&amp;AllGlyphs[137]</v>
      </c>
      <c r="BG138" s="54" t="str">
        <f t="shared" si="87"/>
        <v>&amp;AllGlyphs[138]</v>
      </c>
      <c r="BH138" s="54" t="str">
        <f t="shared" si="88"/>
        <v>&amp;AllGlyphs[135]</v>
      </c>
      <c r="BJ138" s="58">
        <f t="shared" si="89"/>
        <v>0</v>
      </c>
      <c r="BK138" s="58">
        <f t="shared" si="90"/>
        <v>0</v>
      </c>
      <c r="BL138" s="58">
        <f t="shared" si="91"/>
        <v>0</v>
      </c>
      <c r="BM138" s="58">
        <f t="shared" si="92"/>
        <v>0</v>
      </c>
    </row>
    <row r="139" spans="1:65" x14ac:dyDescent="0.4">
      <c r="A139" s="7" t="s">
        <v>118</v>
      </c>
      <c r="B139" s="6" t="str">
        <f t="shared" si="66"/>
        <v>Í</v>
      </c>
      <c r="C139" s="48" cm="1">
        <f t="array" ref="C139">IF($N139,INDEX($O:$O,MATCH(TRUE,EXACT(B139,$A:$A),0)),"")</f>
        <v>137</v>
      </c>
      <c r="D139" s="38" t="s">
        <v>116</v>
      </c>
      <c r="E139" s="48" cm="1">
        <f t="array" ref="E139">IF($N139,INDEX($O:$O,MATCH(TRUE,EXACT(D139,$A:$A),0)),"")</f>
        <v>135</v>
      </c>
      <c r="F139" s="38" t="s">
        <v>117</v>
      </c>
      <c r="G139" s="48" cm="1">
        <f t="array" ref="G139">IF($O139&lt;&gt;"",INDEX($O:$O,MATCH(TRUE,EXACT(F139,$A:$A),0)),"")</f>
        <v>136</v>
      </c>
      <c r="H139" s="38" t="s">
        <v>116</v>
      </c>
      <c r="I139" s="48" cm="1">
        <f t="array" ref="I139">IF($N139,INDEX($O:$O,MATCH(TRUE,EXACT(H139,$A:$A),0)),"")</f>
        <v>135</v>
      </c>
      <c r="J139" s="38" t="s">
        <v>119</v>
      </c>
      <c r="K139" s="52" cm="1">
        <f t="array" ref="K139">IF($N139,INDEX($O:$O,MATCH(TRUE,EXACT(J139,$A:$A),0)),"")</f>
        <v>138</v>
      </c>
      <c r="L139" s="23"/>
      <c r="M139" s="33"/>
      <c r="N139" s="18" t="b">
        <f t="shared" si="68"/>
        <v>1</v>
      </c>
      <c r="O139" s="19">
        <f>IF(N139, MAX(O$2:O138)+1,"")</f>
        <v>137</v>
      </c>
      <c r="P139" s="23" t="str">
        <f t="shared" si="67"/>
        <v>Í</v>
      </c>
      <c r="Q139" s="8" t="str" cm="1">
        <f t="array" ref="Q139">CharToUTF8(A139)</f>
        <v>\xC3\x8D</v>
      </c>
      <c r="S139" s="18" t="str">
        <f>$AO$9</f>
        <v>ORTHO_LEFT</v>
      </c>
      <c r="T139" s="24" t="str">
        <f>$AO$2</f>
        <v>EMPTY</v>
      </c>
      <c r="U139" s="24" t="str">
        <f>$AO$2</f>
        <v>EMPTY</v>
      </c>
      <c r="V139" s="21" t="str">
        <f>$AO$8</f>
        <v>ORTHO_DOWN</v>
      </c>
      <c r="X139" s="31" t="b">
        <f t="shared" si="69"/>
        <v>0</v>
      </c>
      <c r="Y139" s="31" t="b">
        <f t="shared" si="70"/>
        <v>0</v>
      </c>
      <c r="Z139" t="b">
        <f t="shared" si="71"/>
        <v>0</v>
      </c>
      <c r="AA139" t="b">
        <f t="shared" si="72"/>
        <v>0</v>
      </c>
      <c r="AB139" t="b">
        <f t="shared" si="73"/>
        <v>1</v>
      </c>
      <c r="AC139" t="b">
        <f t="shared" si="74"/>
        <v>1</v>
      </c>
      <c r="AD139" t="b">
        <f t="shared" si="75"/>
        <v>0</v>
      </c>
      <c r="AE139" t="b">
        <f t="shared" si="76"/>
        <v>0</v>
      </c>
      <c r="AF139" t="b">
        <f t="shared" si="77"/>
        <v>0</v>
      </c>
      <c r="AG139" t="b">
        <f t="shared" si="78"/>
        <v>1</v>
      </c>
      <c r="AH139" t="b">
        <f t="shared" si="79"/>
        <v>1</v>
      </c>
      <c r="AI139" t="b">
        <f t="shared" si="80"/>
        <v>0</v>
      </c>
      <c r="AJ139" t="b">
        <f t="shared" si="81"/>
        <v>1</v>
      </c>
      <c r="AK139" t="b">
        <f t="shared" si="82"/>
        <v>1</v>
      </c>
      <c r="AL139" t="b">
        <f t="shared" si="83"/>
        <v>1</v>
      </c>
      <c r="AM139" t="b">
        <f t="shared" si="84"/>
        <v>1</v>
      </c>
      <c r="AV139" s="59" t="str">
        <f t="shared" si="62"/>
        <v xml:space="preserve">    { wxString::FromUTF8("\xC3\x8D"), &amp;AllGlyphs[135], &amp;AllGlyphs[136], &amp;AllGlyphs[135], &amp;AllGlyphs[138], Connection::ORTHO_LEFT, Connection::EMPTY, Connection::EMPTY, Connection::ORTHO_DOWN, 0, 0, 0, 0 },</v>
      </c>
      <c r="AW139" s="60"/>
      <c r="AX139" s="60"/>
      <c r="AY139" s="60"/>
      <c r="AZ139" s="60"/>
      <c r="BA139" s="60"/>
      <c r="BB139" s="60"/>
      <c r="BC139" s="61"/>
      <c r="BE139" s="54" t="str">
        <f t="shared" si="85"/>
        <v>&amp;AllGlyphs[135]</v>
      </c>
      <c r="BF139" s="54" t="str">
        <f t="shared" si="86"/>
        <v>&amp;AllGlyphs[136]</v>
      </c>
      <c r="BG139" s="54" t="str">
        <f t="shared" si="87"/>
        <v>&amp;AllGlyphs[135]</v>
      </c>
      <c r="BH139" s="54" t="str">
        <f t="shared" si="88"/>
        <v>&amp;AllGlyphs[138]</v>
      </c>
      <c r="BJ139" s="58">
        <f t="shared" si="89"/>
        <v>0</v>
      </c>
      <c r="BK139" s="58">
        <f t="shared" si="90"/>
        <v>0</v>
      </c>
      <c r="BL139" s="58">
        <f t="shared" si="91"/>
        <v>0</v>
      </c>
      <c r="BM139" s="58">
        <f t="shared" si="92"/>
        <v>0</v>
      </c>
    </row>
    <row r="140" spans="1:65" x14ac:dyDescent="0.4">
      <c r="A140" s="7" t="s">
        <v>119</v>
      </c>
      <c r="B140" s="6" t="str">
        <f t="shared" si="66"/>
        <v>Î</v>
      </c>
      <c r="C140" s="48" cm="1">
        <f t="array" ref="C140">IF($N140,INDEX($O:$O,MATCH(TRUE,EXACT(B140,$A:$A),0)),"")</f>
        <v>138</v>
      </c>
      <c r="D140" s="38" t="s">
        <v>118</v>
      </c>
      <c r="E140" s="48" cm="1">
        <f t="array" ref="E140">IF($N140,INDEX($O:$O,MATCH(TRUE,EXACT(D140,$A:$A),0)),"")</f>
        <v>137</v>
      </c>
      <c r="F140" s="38" t="s">
        <v>116</v>
      </c>
      <c r="G140" s="48" cm="1">
        <f t="array" ref="G140">IF($O140&lt;&gt;"",INDEX($O:$O,MATCH(TRUE,EXACT(F140,$A:$A),0)),"")</f>
        <v>135</v>
      </c>
      <c r="H140" s="38" t="s">
        <v>117</v>
      </c>
      <c r="I140" s="48" cm="1">
        <f t="array" ref="I140">IF($N140,INDEX($O:$O,MATCH(TRUE,EXACT(H140,$A:$A),0)),"")</f>
        <v>136</v>
      </c>
      <c r="J140" s="38" t="s">
        <v>118</v>
      </c>
      <c r="K140" s="52" cm="1">
        <f t="array" ref="K140">IF($N140,INDEX($O:$O,MATCH(TRUE,EXACT(J140,$A:$A),0)),"")</f>
        <v>137</v>
      </c>
      <c r="L140" s="23"/>
      <c r="M140" s="33"/>
      <c r="N140" s="18" t="b">
        <f t="shared" si="68"/>
        <v>1</v>
      </c>
      <c r="O140" s="19">
        <f>IF(N140, MAX(O$2:O139)+1,"")</f>
        <v>138</v>
      </c>
      <c r="P140" s="23" t="str">
        <f t="shared" si="67"/>
        <v>Î</v>
      </c>
      <c r="Q140" s="8" t="str" cm="1">
        <f t="array" ref="Q140">CharToUTF8(A140)</f>
        <v>\xC3\x8E</v>
      </c>
      <c r="S140" s="18" t="str">
        <f>$AO$10</f>
        <v>ORTHO_RIGHT</v>
      </c>
      <c r="T140" s="24" t="str">
        <f>$AO$2</f>
        <v>EMPTY</v>
      </c>
      <c r="U140" s="24" t="str">
        <f>$AO$8</f>
        <v>ORTHO_DOWN</v>
      </c>
      <c r="V140" s="21" t="str">
        <f>$AO$2</f>
        <v>EMPTY</v>
      </c>
      <c r="X140" s="31" t="b">
        <f t="shared" si="69"/>
        <v>0</v>
      </c>
      <c r="Y140" s="31" t="b">
        <f t="shared" si="70"/>
        <v>0</v>
      </c>
      <c r="Z140" t="b">
        <f t="shared" si="71"/>
        <v>0</v>
      </c>
      <c r="AA140" t="b">
        <f t="shared" si="72"/>
        <v>0</v>
      </c>
      <c r="AB140" t="b">
        <f t="shared" si="73"/>
        <v>0</v>
      </c>
      <c r="AC140" t="b">
        <f t="shared" si="74"/>
        <v>0</v>
      </c>
      <c r="AD140" t="b">
        <f t="shared" si="75"/>
        <v>1</v>
      </c>
      <c r="AE140" t="b">
        <f t="shared" si="76"/>
        <v>1</v>
      </c>
      <c r="AF140" t="b">
        <f t="shared" si="77"/>
        <v>0</v>
      </c>
      <c r="AG140" t="b">
        <f t="shared" si="78"/>
        <v>1</v>
      </c>
      <c r="AH140" t="b">
        <f t="shared" si="79"/>
        <v>0</v>
      </c>
      <c r="AI140" t="b">
        <f t="shared" si="80"/>
        <v>1</v>
      </c>
      <c r="AJ140" t="b">
        <f t="shared" si="81"/>
        <v>1</v>
      </c>
      <c r="AK140" t="b">
        <f t="shared" si="82"/>
        <v>1</v>
      </c>
      <c r="AL140" t="b">
        <f t="shared" si="83"/>
        <v>1</v>
      </c>
      <c r="AM140" t="b">
        <f t="shared" si="84"/>
        <v>1</v>
      </c>
      <c r="AV140" s="59" t="str">
        <f t="shared" si="62"/>
        <v xml:space="preserve">    { wxString::FromUTF8("\xC3\x8E"), &amp;AllGlyphs[137], &amp;AllGlyphs[135], &amp;AllGlyphs[136], &amp;AllGlyphs[137], Connection::ORTHO_RIGHT, Connection::EMPTY, Connection::ORTHO_DOWN, Connection::EMPTY, 0, 0, 0, 0 },</v>
      </c>
      <c r="AW140" s="60"/>
      <c r="AX140" s="60"/>
      <c r="AY140" s="60"/>
      <c r="AZ140" s="60"/>
      <c r="BA140" s="60"/>
      <c r="BB140" s="60"/>
      <c r="BC140" s="61"/>
      <c r="BE140" s="54" t="str">
        <f t="shared" si="85"/>
        <v>&amp;AllGlyphs[137]</v>
      </c>
      <c r="BF140" s="54" t="str">
        <f t="shared" si="86"/>
        <v>&amp;AllGlyphs[135]</v>
      </c>
      <c r="BG140" s="54" t="str">
        <f t="shared" si="87"/>
        <v>&amp;AllGlyphs[136]</v>
      </c>
      <c r="BH140" s="54" t="str">
        <f t="shared" si="88"/>
        <v>&amp;AllGlyphs[137]</v>
      </c>
      <c r="BJ140" s="58">
        <f t="shared" si="89"/>
        <v>0</v>
      </c>
      <c r="BK140" s="58">
        <f t="shared" si="90"/>
        <v>0</v>
      </c>
      <c r="BL140" s="58">
        <f t="shared" si="91"/>
        <v>0</v>
      </c>
      <c r="BM140" s="58">
        <f t="shared" si="92"/>
        <v>0</v>
      </c>
    </row>
    <row r="141" spans="1:65" x14ac:dyDescent="0.4">
      <c r="A141" s="7" t="s">
        <v>120</v>
      </c>
      <c r="B141" s="6" t="str">
        <f t="shared" si="66"/>
        <v>Ï</v>
      </c>
      <c r="C141" s="48" cm="1">
        <f t="array" ref="C141">IF($N141,INDEX($O:$O,MATCH(TRUE,EXACT(B141,$A:$A),0)),"")</f>
        <v>139</v>
      </c>
      <c r="D141" s="38" t="s">
        <v>121</v>
      </c>
      <c r="E141" s="48" cm="1">
        <f t="array" ref="E141">IF($N141,INDEX($O:$O,MATCH(TRUE,EXACT(D141,$A:$A),0)),"")</f>
        <v>140</v>
      </c>
      <c r="F141" s="38" t="s">
        <v>123</v>
      </c>
      <c r="G141" s="48" cm="1">
        <f t="array" ref="G141">IF($O141&lt;&gt;"",INDEX($O:$O,MATCH(TRUE,EXACT(F141,$A:$A),0)),"")</f>
        <v>142</v>
      </c>
      <c r="H141" s="38" t="s">
        <v>122</v>
      </c>
      <c r="I141" s="48" cm="1">
        <f t="array" ref="I141">IF($N141,INDEX($O:$O,MATCH(TRUE,EXACT(H141,$A:$A),0)),"")</f>
        <v>141</v>
      </c>
      <c r="J141" s="38" t="s">
        <v>121</v>
      </c>
      <c r="K141" s="52" cm="1">
        <f t="array" ref="K141">IF($N141,INDEX($O:$O,MATCH(TRUE,EXACT(J141,$A:$A),0)),"")</f>
        <v>140</v>
      </c>
      <c r="L141" s="23"/>
      <c r="M141" s="33"/>
      <c r="N141" s="18" t="b">
        <f t="shared" si="68"/>
        <v>1</v>
      </c>
      <c r="O141" s="19">
        <f>IF(N141, MAX(O$2:O140)+1,"")</f>
        <v>139</v>
      </c>
      <c r="P141" s="23" t="str">
        <f t="shared" si="67"/>
        <v>Ï</v>
      </c>
      <c r="Q141" s="8" t="str" cm="1">
        <f t="array" ref="Q141">CharToUTF8(A141)</f>
        <v>\xC3\x8F</v>
      </c>
      <c r="S141" s="18" t="str">
        <f>$AO$2</f>
        <v>EMPTY</v>
      </c>
      <c r="T141" s="24" t="str">
        <f>$AO$10</f>
        <v>ORTHO_RIGHT</v>
      </c>
      <c r="U141" s="24" t="str">
        <f>$AO$2</f>
        <v>EMPTY</v>
      </c>
      <c r="V141" s="21" t="str">
        <f>$AO$8</f>
        <v>ORTHO_DOWN</v>
      </c>
      <c r="X141" s="31" t="b">
        <f t="shared" si="69"/>
        <v>0</v>
      </c>
      <c r="Y141" s="31" t="b">
        <f t="shared" si="70"/>
        <v>0</v>
      </c>
      <c r="Z141" t="b">
        <f t="shared" si="71"/>
        <v>0</v>
      </c>
      <c r="AA141" t="b">
        <f t="shared" si="72"/>
        <v>0</v>
      </c>
      <c r="AB141" t="b">
        <f t="shared" si="73"/>
        <v>0</v>
      </c>
      <c r="AC141" t="b">
        <f t="shared" si="74"/>
        <v>0</v>
      </c>
      <c r="AD141" t="b">
        <f t="shared" si="75"/>
        <v>1</v>
      </c>
      <c r="AE141" t="b">
        <f t="shared" si="76"/>
        <v>1</v>
      </c>
      <c r="AF141" t="b">
        <f t="shared" si="77"/>
        <v>1</v>
      </c>
      <c r="AG141" t="b">
        <f t="shared" si="78"/>
        <v>0</v>
      </c>
      <c r="AH141" t="b">
        <f t="shared" si="79"/>
        <v>1</v>
      </c>
      <c r="AI141" t="b">
        <f t="shared" si="80"/>
        <v>0</v>
      </c>
      <c r="AJ141" t="b">
        <f t="shared" si="81"/>
        <v>1</v>
      </c>
      <c r="AK141" t="b">
        <f t="shared" si="82"/>
        <v>1</v>
      </c>
      <c r="AL141" t="b">
        <f t="shared" si="83"/>
        <v>1</v>
      </c>
      <c r="AM141" t="b">
        <f t="shared" si="84"/>
        <v>1</v>
      </c>
      <c r="AV141" s="59" t="str">
        <f t="shared" si="62"/>
        <v xml:space="preserve">    { wxString::FromUTF8("\xC3\x8F"), &amp;AllGlyphs[140], &amp;AllGlyphs[142], &amp;AllGlyphs[141], &amp;AllGlyphs[140], Connection::EMPTY, Connection::ORTHO_RIGHT, Connection::EMPTY, Connection::ORTHO_DOWN, 0, 0, 0, 0 },</v>
      </c>
      <c r="AW141" s="60"/>
      <c r="AX141" s="60"/>
      <c r="AY141" s="60"/>
      <c r="AZ141" s="60"/>
      <c r="BA141" s="60"/>
      <c r="BB141" s="60"/>
      <c r="BC141" s="61"/>
      <c r="BE141" s="54" t="str">
        <f t="shared" si="85"/>
        <v>&amp;AllGlyphs[140]</v>
      </c>
      <c r="BF141" s="54" t="str">
        <f t="shared" si="86"/>
        <v>&amp;AllGlyphs[142]</v>
      </c>
      <c r="BG141" s="54" t="str">
        <f t="shared" si="87"/>
        <v>&amp;AllGlyphs[141]</v>
      </c>
      <c r="BH141" s="54" t="str">
        <f t="shared" si="88"/>
        <v>&amp;AllGlyphs[140]</v>
      </c>
      <c r="BJ141" s="58">
        <f t="shared" si="89"/>
        <v>0</v>
      </c>
      <c r="BK141" s="58">
        <f t="shared" si="90"/>
        <v>0</v>
      </c>
      <c r="BL141" s="58">
        <f t="shared" si="91"/>
        <v>0</v>
      </c>
      <c r="BM141" s="58">
        <f t="shared" si="92"/>
        <v>0</v>
      </c>
    </row>
    <row r="142" spans="1:65" x14ac:dyDescent="0.4">
      <c r="A142" s="7" t="s">
        <v>121</v>
      </c>
      <c r="B142" s="6" t="str">
        <f t="shared" si="66"/>
        <v>Ð</v>
      </c>
      <c r="C142" s="48" cm="1">
        <f t="array" ref="C142">IF($N142,INDEX($O:$O,MATCH(TRUE,EXACT(B142,$A:$A),0)),"")</f>
        <v>140</v>
      </c>
      <c r="D142" s="38" t="s">
        <v>123</v>
      </c>
      <c r="E142" s="48" cm="1">
        <f t="array" ref="E142">IF($N142,INDEX($O:$O,MATCH(TRUE,EXACT(D142,$A:$A),0)),"")</f>
        <v>142</v>
      </c>
      <c r="F142" s="38" t="s">
        <v>122</v>
      </c>
      <c r="G142" s="48" cm="1">
        <f t="array" ref="G142">IF($O142&lt;&gt;"",INDEX($O:$O,MATCH(TRUE,EXACT(F142,$A:$A),0)),"")</f>
        <v>141</v>
      </c>
      <c r="H142" s="38" t="s">
        <v>123</v>
      </c>
      <c r="I142" s="48" cm="1">
        <f t="array" ref="I142">IF($N142,INDEX($O:$O,MATCH(TRUE,EXACT(H142,$A:$A),0)),"")</f>
        <v>142</v>
      </c>
      <c r="J142" s="38" t="s">
        <v>120</v>
      </c>
      <c r="K142" s="52" cm="1">
        <f t="array" ref="K142">IF($N142,INDEX($O:$O,MATCH(TRUE,EXACT(J142,$A:$A),0)),"")</f>
        <v>139</v>
      </c>
      <c r="L142" s="23"/>
      <c r="M142" s="33"/>
      <c r="N142" s="18" t="b">
        <f t="shared" si="68"/>
        <v>1</v>
      </c>
      <c r="O142" s="19">
        <f>IF(N142, MAX(O$2:O141)+1,"")</f>
        <v>140</v>
      </c>
      <c r="P142" s="23" t="str">
        <f t="shared" si="67"/>
        <v>Ð</v>
      </c>
      <c r="Q142" s="8" t="str" cm="1">
        <f t="array" ref="Q142">CharToUTF8(A142)</f>
        <v>\xC3\x90</v>
      </c>
      <c r="S142" s="18" t="str">
        <f>$AO$2</f>
        <v>EMPTY</v>
      </c>
      <c r="T142" s="24" t="str">
        <f>$AO$9</f>
        <v>ORTHO_LEFT</v>
      </c>
      <c r="U142" s="24" t="str">
        <f>$AO$8</f>
        <v>ORTHO_DOWN</v>
      </c>
      <c r="V142" s="21" t="str">
        <f>$AO$2</f>
        <v>EMPTY</v>
      </c>
      <c r="X142" s="31" t="b">
        <f t="shared" si="69"/>
        <v>0</v>
      </c>
      <c r="Y142" s="31" t="b">
        <f t="shared" si="70"/>
        <v>0</v>
      </c>
      <c r="Z142" t="b">
        <f t="shared" si="71"/>
        <v>0</v>
      </c>
      <c r="AA142" t="b">
        <f t="shared" si="72"/>
        <v>0</v>
      </c>
      <c r="AB142" t="b">
        <f t="shared" si="73"/>
        <v>1</v>
      </c>
      <c r="AC142" t="b">
        <f t="shared" si="74"/>
        <v>1</v>
      </c>
      <c r="AD142" t="b">
        <f t="shared" si="75"/>
        <v>0</v>
      </c>
      <c r="AE142" t="b">
        <f t="shared" si="76"/>
        <v>0</v>
      </c>
      <c r="AF142" t="b">
        <f t="shared" si="77"/>
        <v>1</v>
      </c>
      <c r="AG142" t="b">
        <f t="shared" si="78"/>
        <v>0</v>
      </c>
      <c r="AH142" t="b">
        <f t="shared" si="79"/>
        <v>0</v>
      </c>
      <c r="AI142" t="b">
        <f t="shared" si="80"/>
        <v>1</v>
      </c>
      <c r="AJ142" t="b">
        <f t="shared" si="81"/>
        <v>1</v>
      </c>
      <c r="AK142" t="b">
        <f t="shared" si="82"/>
        <v>1</v>
      </c>
      <c r="AL142" t="b">
        <f t="shared" si="83"/>
        <v>1</v>
      </c>
      <c r="AM142" t="b">
        <f t="shared" si="84"/>
        <v>1</v>
      </c>
      <c r="AV142" s="59" t="str">
        <f t="shared" si="62"/>
        <v xml:space="preserve">    { wxString::FromUTF8("\xC3\x90"), &amp;AllGlyphs[142], &amp;AllGlyphs[141], &amp;AllGlyphs[142], &amp;AllGlyphs[139], Connection::EMPTY, Connection::ORTHO_LEFT, Connection::ORTHO_DOWN, Connection::EMPTY, 0, 0, 0, 0 },</v>
      </c>
      <c r="AW142" s="60"/>
      <c r="AX142" s="60"/>
      <c r="AY142" s="60"/>
      <c r="AZ142" s="60"/>
      <c r="BA142" s="60"/>
      <c r="BB142" s="60"/>
      <c r="BC142" s="61"/>
      <c r="BE142" s="54" t="str">
        <f t="shared" si="85"/>
        <v>&amp;AllGlyphs[142]</v>
      </c>
      <c r="BF142" s="54" t="str">
        <f t="shared" si="86"/>
        <v>&amp;AllGlyphs[141]</v>
      </c>
      <c r="BG142" s="54" t="str">
        <f t="shared" si="87"/>
        <v>&amp;AllGlyphs[142]</v>
      </c>
      <c r="BH142" s="54" t="str">
        <f t="shared" si="88"/>
        <v>&amp;AllGlyphs[139]</v>
      </c>
      <c r="BJ142" s="58">
        <f t="shared" si="89"/>
        <v>0</v>
      </c>
      <c r="BK142" s="58">
        <f t="shared" si="90"/>
        <v>0</v>
      </c>
      <c r="BL142" s="58">
        <f t="shared" si="91"/>
        <v>0</v>
      </c>
      <c r="BM142" s="58">
        <f t="shared" si="92"/>
        <v>0</v>
      </c>
    </row>
    <row r="143" spans="1:65" x14ac:dyDescent="0.4">
      <c r="A143" s="7" t="s">
        <v>122</v>
      </c>
      <c r="B143" s="6" t="str">
        <f t="shared" si="66"/>
        <v>Ñ</v>
      </c>
      <c r="C143" s="48" cm="1">
        <f t="array" ref="C143">IF($N143,INDEX($O:$O,MATCH(TRUE,EXACT(B143,$A:$A),0)),"")</f>
        <v>141</v>
      </c>
      <c r="D143" s="38" t="s">
        <v>120</v>
      </c>
      <c r="E143" s="48" cm="1">
        <f t="array" ref="E143">IF($N143,INDEX($O:$O,MATCH(TRUE,EXACT(D143,$A:$A),0)),"")</f>
        <v>139</v>
      </c>
      <c r="F143" s="38" t="s">
        <v>121</v>
      </c>
      <c r="G143" s="48" cm="1">
        <f t="array" ref="G143">IF($O143&lt;&gt;"",INDEX($O:$O,MATCH(TRUE,EXACT(F143,$A:$A),0)),"")</f>
        <v>140</v>
      </c>
      <c r="H143" s="38" t="s">
        <v>120</v>
      </c>
      <c r="I143" s="48" cm="1">
        <f t="array" ref="I143">IF($N143,INDEX($O:$O,MATCH(TRUE,EXACT(H143,$A:$A),0)),"")</f>
        <v>139</v>
      </c>
      <c r="J143" s="38" t="s">
        <v>123</v>
      </c>
      <c r="K143" s="52" cm="1">
        <f t="array" ref="K143">IF($N143,INDEX($O:$O,MATCH(TRUE,EXACT(J143,$A:$A),0)),"")</f>
        <v>142</v>
      </c>
      <c r="L143" s="23"/>
      <c r="M143" s="33"/>
      <c r="N143" s="18" t="b">
        <f t="shared" si="68"/>
        <v>1</v>
      </c>
      <c r="O143" s="19">
        <f>IF(N143, MAX(O$2:O142)+1,"")</f>
        <v>141</v>
      </c>
      <c r="P143" s="23" t="str">
        <f t="shared" si="67"/>
        <v>Ñ</v>
      </c>
      <c r="Q143" s="8" t="str" cm="1">
        <f t="array" ref="Q143">CharToUTF8(A143)</f>
        <v>\xC3\x91</v>
      </c>
      <c r="S143" s="18" t="str">
        <f>$AO$10</f>
        <v>ORTHO_RIGHT</v>
      </c>
      <c r="T143" s="24" t="str">
        <f>$AO$2</f>
        <v>EMPTY</v>
      </c>
      <c r="U143" s="24" t="str">
        <f>$AO$2</f>
        <v>EMPTY</v>
      </c>
      <c r="V143" s="21" t="str">
        <f>$AO$7</f>
        <v>ORTHO_UP</v>
      </c>
      <c r="X143" s="31" t="b">
        <f t="shared" si="69"/>
        <v>0</v>
      </c>
      <c r="Y143" s="31" t="b">
        <f t="shared" si="70"/>
        <v>0</v>
      </c>
      <c r="Z143" t="b">
        <f t="shared" si="71"/>
        <v>0</v>
      </c>
      <c r="AA143" t="b">
        <f t="shared" si="72"/>
        <v>0</v>
      </c>
      <c r="AB143" t="b">
        <f t="shared" si="73"/>
        <v>1</v>
      </c>
      <c r="AC143" t="b">
        <f t="shared" si="74"/>
        <v>1</v>
      </c>
      <c r="AD143" t="b">
        <f t="shared" si="75"/>
        <v>0</v>
      </c>
      <c r="AE143" t="b">
        <f t="shared" si="76"/>
        <v>0</v>
      </c>
      <c r="AF143" t="b">
        <f t="shared" si="77"/>
        <v>0</v>
      </c>
      <c r="AG143" t="b">
        <f t="shared" si="78"/>
        <v>1</v>
      </c>
      <c r="AH143" t="b">
        <f t="shared" si="79"/>
        <v>1</v>
      </c>
      <c r="AI143" t="b">
        <f t="shared" si="80"/>
        <v>0</v>
      </c>
      <c r="AJ143" t="b">
        <f t="shared" si="81"/>
        <v>1</v>
      </c>
      <c r="AK143" t="b">
        <f t="shared" si="82"/>
        <v>1</v>
      </c>
      <c r="AL143" t="b">
        <f t="shared" si="83"/>
        <v>1</v>
      </c>
      <c r="AM143" t="b">
        <f t="shared" si="84"/>
        <v>1</v>
      </c>
      <c r="AV143" s="59" t="str">
        <f t="shared" si="62"/>
        <v xml:space="preserve">    { wxString::FromUTF8("\xC3\x91"), &amp;AllGlyphs[139], &amp;AllGlyphs[140], &amp;AllGlyphs[139], &amp;AllGlyphs[142], Connection::ORTHO_RIGHT, Connection::EMPTY, Connection::EMPTY, Connection::ORTHO_UP, 0, 0, 0, 0 },</v>
      </c>
      <c r="AW143" s="60"/>
      <c r="AX143" s="60"/>
      <c r="AY143" s="60"/>
      <c r="AZ143" s="60"/>
      <c r="BA143" s="60"/>
      <c r="BB143" s="60"/>
      <c r="BC143" s="61"/>
      <c r="BE143" s="54" t="str">
        <f t="shared" si="85"/>
        <v>&amp;AllGlyphs[139]</v>
      </c>
      <c r="BF143" s="54" t="str">
        <f t="shared" si="86"/>
        <v>&amp;AllGlyphs[140]</v>
      </c>
      <c r="BG143" s="54" t="str">
        <f t="shared" si="87"/>
        <v>&amp;AllGlyphs[139]</v>
      </c>
      <c r="BH143" s="54" t="str">
        <f t="shared" si="88"/>
        <v>&amp;AllGlyphs[142]</v>
      </c>
      <c r="BJ143" s="58">
        <f t="shared" si="89"/>
        <v>0</v>
      </c>
      <c r="BK143" s="58">
        <f t="shared" si="90"/>
        <v>0</v>
      </c>
      <c r="BL143" s="58">
        <f t="shared" si="91"/>
        <v>0</v>
      </c>
      <c r="BM143" s="58">
        <f t="shared" si="92"/>
        <v>0</v>
      </c>
    </row>
    <row r="144" spans="1:65" x14ac:dyDescent="0.4">
      <c r="A144" s="7" t="s">
        <v>123</v>
      </c>
      <c r="B144" s="6" t="str">
        <f t="shared" si="66"/>
        <v>Ò</v>
      </c>
      <c r="C144" s="48" cm="1">
        <f t="array" ref="C144">IF($N144,INDEX($O:$O,MATCH(TRUE,EXACT(B144,$A:$A),0)),"")</f>
        <v>142</v>
      </c>
      <c r="D144" s="38" t="s">
        <v>122</v>
      </c>
      <c r="E144" s="48" cm="1">
        <f t="array" ref="E144">IF($N144,INDEX($O:$O,MATCH(TRUE,EXACT(D144,$A:$A),0)),"")</f>
        <v>141</v>
      </c>
      <c r="F144" s="38" t="s">
        <v>120</v>
      </c>
      <c r="G144" s="48" cm="1">
        <f t="array" ref="G144">IF($O144&lt;&gt;"",INDEX($O:$O,MATCH(TRUE,EXACT(F144,$A:$A),0)),"")</f>
        <v>139</v>
      </c>
      <c r="H144" s="38" t="s">
        <v>121</v>
      </c>
      <c r="I144" s="48" cm="1">
        <f t="array" ref="I144">IF($N144,INDEX($O:$O,MATCH(TRUE,EXACT(H144,$A:$A),0)),"")</f>
        <v>140</v>
      </c>
      <c r="J144" s="38" t="s">
        <v>122</v>
      </c>
      <c r="K144" s="52" cm="1">
        <f t="array" ref="K144">IF($N144,INDEX($O:$O,MATCH(TRUE,EXACT(J144,$A:$A),0)),"")</f>
        <v>141</v>
      </c>
      <c r="L144" s="23"/>
      <c r="M144" s="33"/>
      <c r="N144" s="18" t="b">
        <f t="shared" si="68"/>
        <v>1</v>
      </c>
      <c r="O144" s="19">
        <f>IF(N144, MAX(O$2:O143)+1,"")</f>
        <v>142</v>
      </c>
      <c r="P144" s="23" t="str">
        <f t="shared" si="67"/>
        <v>Ò</v>
      </c>
      <c r="Q144" s="8" t="str" cm="1">
        <f t="array" ref="Q144">CharToUTF8(A144)</f>
        <v>\xC3\x92</v>
      </c>
      <c r="S144" s="18" t="str">
        <f>$AO$9</f>
        <v>ORTHO_LEFT</v>
      </c>
      <c r="T144" s="24" t="str">
        <f>$AO$2</f>
        <v>EMPTY</v>
      </c>
      <c r="U144" s="24" t="str">
        <f>$AO$7</f>
        <v>ORTHO_UP</v>
      </c>
      <c r="V144" s="21" t="str">
        <f>$AO$2</f>
        <v>EMPTY</v>
      </c>
      <c r="X144" s="31" t="b">
        <f t="shared" si="69"/>
        <v>0</v>
      </c>
      <c r="Y144" s="31" t="b">
        <f t="shared" si="70"/>
        <v>0</v>
      </c>
      <c r="Z144" t="b">
        <f t="shared" si="71"/>
        <v>0</v>
      </c>
      <c r="AA144" t="b">
        <f t="shared" si="72"/>
        <v>0</v>
      </c>
      <c r="AB144" t="b">
        <f t="shared" si="73"/>
        <v>0</v>
      </c>
      <c r="AC144" t="b">
        <f t="shared" si="74"/>
        <v>0</v>
      </c>
      <c r="AD144" t="b">
        <f t="shared" si="75"/>
        <v>1</v>
      </c>
      <c r="AE144" t="b">
        <f t="shared" si="76"/>
        <v>1</v>
      </c>
      <c r="AF144" t="b">
        <f t="shared" si="77"/>
        <v>0</v>
      </c>
      <c r="AG144" t="b">
        <f t="shared" si="78"/>
        <v>1</v>
      </c>
      <c r="AH144" t="b">
        <f t="shared" si="79"/>
        <v>0</v>
      </c>
      <c r="AI144" t="b">
        <f t="shared" si="80"/>
        <v>1</v>
      </c>
      <c r="AJ144" t="b">
        <f t="shared" si="81"/>
        <v>1</v>
      </c>
      <c r="AK144" t="b">
        <f t="shared" si="82"/>
        <v>1</v>
      </c>
      <c r="AL144" t="b">
        <f t="shared" si="83"/>
        <v>1</v>
      </c>
      <c r="AM144" t="b">
        <f t="shared" si="84"/>
        <v>1</v>
      </c>
      <c r="AV144" s="59" t="str">
        <f t="shared" si="62"/>
        <v xml:space="preserve">    { wxString::FromUTF8("\xC3\x92"), &amp;AllGlyphs[141], &amp;AllGlyphs[139], &amp;AllGlyphs[140], &amp;AllGlyphs[141], Connection::ORTHO_LEFT, Connection::EMPTY, Connection::ORTHO_UP, Connection::EMPTY, 0, 0, 0, 0 },</v>
      </c>
      <c r="AW144" s="60"/>
      <c r="AX144" s="60"/>
      <c r="AY144" s="60"/>
      <c r="AZ144" s="60"/>
      <c r="BA144" s="60"/>
      <c r="BB144" s="60"/>
      <c r="BC144" s="61"/>
      <c r="BE144" s="54" t="str">
        <f t="shared" si="85"/>
        <v>&amp;AllGlyphs[141]</v>
      </c>
      <c r="BF144" s="54" t="str">
        <f t="shared" si="86"/>
        <v>&amp;AllGlyphs[139]</v>
      </c>
      <c r="BG144" s="54" t="str">
        <f t="shared" si="87"/>
        <v>&amp;AllGlyphs[140]</v>
      </c>
      <c r="BH144" s="54" t="str">
        <f t="shared" si="88"/>
        <v>&amp;AllGlyphs[141]</v>
      </c>
      <c r="BJ144" s="58">
        <f t="shared" si="89"/>
        <v>0</v>
      </c>
      <c r="BK144" s="58">
        <f t="shared" si="90"/>
        <v>0</v>
      </c>
      <c r="BL144" s="58">
        <f t="shared" si="91"/>
        <v>0</v>
      </c>
      <c r="BM144" s="58">
        <f t="shared" si="92"/>
        <v>0</v>
      </c>
    </row>
    <row r="145" spans="1:65" x14ac:dyDescent="0.4">
      <c r="A145" s="7" t="s">
        <v>124</v>
      </c>
      <c r="B145" s="6" t="str">
        <f t="shared" si="66"/>
        <v>Ó</v>
      </c>
      <c r="C145" s="48" cm="1">
        <f t="array" ref="C145">IF($N145,INDEX($O:$O,MATCH(TRUE,EXACT(B145,$A:$A),0)),"")</f>
        <v>143</v>
      </c>
      <c r="D145" s="38" t="s">
        <v>126</v>
      </c>
      <c r="E145" s="48" cm="1">
        <f t="array" ref="E145">IF($N145,INDEX($O:$O,MATCH(TRUE,EXACT(D145,$A:$A),0)),"")</f>
        <v>145</v>
      </c>
      <c r="F145" s="38" t="s">
        <v>124</v>
      </c>
      <c r="G145" s="48" cm="1">
        <f t="array" ref="G145">IF($O145&lt;&gt;"",INDEX($O:$O,MATCH(TRUE,EXACT(F145,$A:$A),0)),"")</f>
        <v>143</v>
      </c>
      <c r="H145" s="38" t="s">
        <v>125</v>
      </c>
      <c r="I145" s="48" cm="1">
        <f t="array" ref="I145">IF($N145,INDEX($O:$O,MATCH(TRUE,EXACT(H145,$A:$A),0)),"")</f>
        <v>144</v>
      </c>
      <c r="J145" s="38" t="s">
        <v>125</v>
      </c>
      <c r="K145" s="52" cm="1">
        <f t="array" ref="K145">IF($N145,INDEX($O:$O,MATCH(TRUE,EXACT(J145,$A:$A),0)),"")</f>
        <v>144</v>
      </c>
      <c r="L145" s="23"/>
      <c r="M145" s="33"/>
      <c r="N145" s="18" t="b">
        <f t="shared" si="68"/>
        <v>1</v>
      </c>
      <c r="O145" s="19">
        <f>IF(N145, MAX(O$2:O144)+1,"")</f>
        <v>143</v>
      </c>
      <c r="P145" s="23" t="str">
        <f t="shared" si="67"/>
        <v>Ó</v>
      </c>
      <c r="Q145" s="8" t="str" cm="1">
        <f t="array" ref="Q145">CharToUTF8(A145)</f>
        <v>\xC3\x93</v>
      </c>
      <c r="S145" s="18" t="str">
        <f>$AO$9</f>
        <v>ORTHO_LEFT</v>
      </c>
      <c r="T145" s="24" t="str">
        <f>$AO$10</f>
        <v>ORTHO_RIGHT</v>
      </c>
      <c r="U145" s="24" t="str">
        <f>$AO$2</f>
        <v>EMPTY</v>
      </c>
      <c r="V145" s="21" t="str">
        <f>$AO$2</f>
        <v>EMPTY</v>
      </c>
      <c r="X145" s="31" t="b">
        <f t="shared" si="69"/>
        <v>0</v>
      </c>
      <c r="Y145" s="31" t="b">
        <f t="shared" si="70"/>
        <v>1</v>
      </c>
      <c r="Z145" t="b">
        <f t="shared" si="71"/>
        <v>0</v>
      </c>
      <c r="AA145" t="b">
        <f t="shared" si="72"/>
        <v>0</v>
      </c>
      <c r="AB145" t="b">
        <f t="shared" si="73"/>
        <v>0</v>
      </c>
      <c r="AC145" t="b">
        <f t="shared" si="74"/>
        <v>0</v>
      </c>
      <c r="AD145" t="b">
        <f t="shared" si="75"/>
        <v>0</v>
      </c>
      <c r="AE145" t="b">
        <f t="shared" si="76"/>
        <v>0</v>
      </c>
      <c r="AF145" t="b">
        <f t="shared" si="77"/>
        <v>0</v>
      </c>
      <c r="AG145" t="b">
        <f t="shared" si="78"/>
        <v>0</v>
      </c>
      <c r="AH145" t="b">
        <f t="shared" si="79"/>
        <v>1</v>
      </c>
      <c r="AI145" t="b">
        <f t="shared" si="80"/>
        <v>1</v>
      </c>
      <c r="AJ145" t="b">
        <f t="shared" si="81"/>
        <v>1</v>
      </c>
      <c r="AK145" t="b">
        <f t="shared" si="82"/>
        <v>1</v>
      </c>
      <c r="AL145" t="b">
        <f t="shared" si="83"/>
        <v>1</v>
      </c>
      <c r="AM145" t="b">
        <f t="shared" si="84"/>
        <v>1</v>
      </c>
      <c r="AV145" s="59" t="str">
        <f t="shared" si="62"/>
        <v xml:space="preserve">    { wxString::FromUTF8("\xC3\x93"), &amp;AllGlyphs[145], &amp;AllGlyphs[143], &amp;AllGlyphs[144], &amp;AllGlyphs[144], Connection::ORTHO_LEFT, Connection::ORTHO_RIGHT, Connection::EMPTY, Connection::EMPTY, 0, 1, 0, 0 },</v>
      </c>
      <c r="AW145" s="60"/>
      <c r="AX145" s="60"/>
      <c r="AY145" s="60"/>
      <c r="AZ145" s="60"/>
      <c r="BA145" s="60"/>
      <c r="BB145" s="60"/>
      <c r="BC145" s="61"/>
      <c r="BE145" s="54" t="str">
        <f t="shared" si="85"/>
        <v>&amp;AllGlyphs[145]</v>
      </c>
      <c r="BF145" s="54" t="str">
        <f t="shared" si="86"/>
        <v>&amp;AllGlyphs[143]</v>
      </c>
      <c r="BG145" s="54" t="str">
        <f t="shared" si="87"/>
        <v>&amp;AllGlyphs[144]</v>
      </c>
      <c r="BH145" s="54" t="str">
        <f t="shared" si="88"/>
        <v>&amp;AllGlyphs[144]</v>
      </c>
      <c r="BJ145" s="58">
        <f t="shared" si="89"/>
        <v>0</v>
      </c>
      <c r="BK145" s="58">
        <f t="shared" si="90"/>
        <v>1</v>
      </c>
      <c r="BL145" s="58">
        <f t="shared" si="91"/>
        <v>0</v>
      </c>
      <c r="BM145" s="58">
        <f t="shared" si="92"/>
        <v>0</v>
      </c>
    </row>
    <row r="146" spans="1:65" x14ac:dyDescent="0.4">
      <c r="A146" s="7" t="s">
        <v>125</v>
      </c>
      <c r="B146" s="6" t="str">
        <f t="shared" si="66"/>
        <v>Ô</v>
      </c>
      <c r="C146" s="48" cm="1">
        <f t="array" ref="C146">IF($N146,INDEX($O:$O,MATCH(TRUE,EXACT(B146,$A:$A),0)),"")</f>
        <v>144</v>
      </c>
      <c r="D146" s="38" t="s">
        <v>127</v>
      </c>
      <c r="E146" s="48" cm="1">
        <f t="array" ref="E146">IF($N146,INDEX($O:$O,MATCH(TRUE,EXACT(D146,$A:$A),0)),"")</f>
        <v>146</v>
      </c>
      <c r="F146" s="38" t="s">
        <v>125</v>
      </c>
      <c r="G146" s="48" cm="1">
        <f t="array" ref="G146">IF($O146&lt;&gt;"",INDEX($O:$O,MATCH(TRUE,EXACT(F146,$A:$A),0)),"")</f>
        <v>144</v>
      </c>
      <c r="H146" s="38" t="s">
        <v>124</v>
      </c>
      <c r="I146" s="48" cm="1">
        <f t="array" ref="I146">IF($N146,INDEX($O:$O,MATCH(TRUE,EXACT(H146,$A:$A),0)),"")</f>
        <v>143</v>
      </c>
      <c r="J146" s="38" t="s">
        <v>124</v>
      </c>
      <c r="K146" s="52" cm="1">
        <f t="array" ref="K146">IF($N146,INDEX($O:$O,MATCH(TRUE,EXACT(J146,$A:$A),0)),"")</f>
        <v>143</v>
      </c>
      <c r="L146" s="23"/>
      <c r="M146" s="33"/>
      <c r="N146" s="18" t="b">
        <f t="shared" si="68"/>
        <v>1</v>
      </c>
      <c r="O146" s="19">
        <f>IF(N146, MAX(O$2:O145)+1,"")</f>
        <v>144</v>
      </c>
      <c r="P146" s="23" t="str">
        <f t="shared" si="67"/>
        <v>Ô</v>
      </c>
      <c r="Q146" s="8" t="str" cm="1">
        <f t="array" ref="Q146">CharToUTF8(A146)</f>
        <v>\xC3\x94</v>
      </c>
      <c r="S146" s="18" t="str">
        <f>$AO$10</f>
        <v>ORTHO_RIGHT</v>
      </c>
      <c r="T146" s="24" t="str">
        <f>$AO$9</f>
        <v>ORTHO_LEFT</v>
      </c>
      <c r="U146" s="24" t="str">
        <f>$AO$2</f>
        <v>EMPTY</v>
      </c>
      <c r="V146" s="21" t="str">
        <f>$AO$2</f>
        <v>EMPTY</v>
      </c>
      <c r="X146" s="31" t="b">
        <f t="shared" si="69"/>
        <v>0</v>
      </c>
      <c r="Y146" s="31" t="b">
        <f t="shared" si="70"/>
        <v>1</v>
      </c>
      <c r="Z146" t="b">
        <f t="shared" si="71"/>
        <v>0</v>
      </c>
      <c r="AA146" t="b">
        <f t="shared" si="72"/>
        <v>0</v>
      </c>
      <c r="AB146" t="b">
        <f t="shared" si="73"/>
        <v>0</v>
      </c>
      <c r="AC146" t="b">
        <f t="shared" si="74"/>
        <v>0</v>
      </c>
      <c r="AD146" t="b">
        <f t="shared" si="75"/>
        <v>0</v>
      </c>
      <c r="AE146" t="b">
        <f t="shared" si="76"/>
        <v>0</v>
      </c>
      <c r="AF146" t="b">
        <f t="shared" si="77"/>
        <v>0</v>
      </c>
      <c r="AG146" t="b">
        <f t="shared" si="78"/>
        <v>0</v>
      </c>
      <c r="AH146" t="b">
        <f t="shared" si="79"/>
        <v>1</v>
      </c>
      <c r="AI146" t="b">
        <f t="shared" si="80"/>
        <v>1</v>
      </c>
      <c r="AJ146" t="b">
        <f t="shared" si="81"/>
        <v>1</v>
      </c>
      <c r="AK146" t="b">
        <f t="shared" si="82"/>
        <v>1</v>
      </c>
      <c r="AL146" t="b">
        <f t="shared" si="83"/>
        <v>1</v>
      </c>
      <c r="AM146" t="b">
        <f t="shared" si="84"/>
        <v>1</v>
      </c>
      <c r="AV146" s="59" t="str">
        <f t="shared" ref="AV146:AV202" si="93">IF($N146,"    { wxString::FromUTF8(""" &amp; $Q146 &amp; """), " &amp; _xlfn.TEXTJOIN(", ", TRUE, BE146:BH146) &amp; ", " &amp; $AO$1 &amp; _xlfn.TEXTJOIN(", " &amp; $AO$1, TRUE, $S146:$V146) &amp; ", " &amp; _xlfn.TEXTJOIN(", ", TRUE, BJ146:BM146) &amp; " },","")</f>
        <v xml:space="preserve">    { wxString::FromUTF8("\xC3\x94"), &amp;AllGlyphs[146], &amp;AllGlyphs[144], &amp;AllGlyphs[143], &amp;AllGlyphs[143], Connection::ORTHO_RIGHT, Connection::ORTHO_LEFT, Connection::EMPTY, Connection::EMPTY, 0, 1, 0, 0 },</v>
      </c>
      <c r="AW146" s="60"/>
      <c r="AX146" s="60"/>
      <c r="AY146" s="60"/>
      <c r="AZ146" s="60"/>
      <c r="BA146" s="60"/>
      <c r="BB146" s="60"/>
      <c r="BC146" s="61"/>
      <c r="BE146" s="54" t="str">
        <f t="shared" si="85"/>
        <v>&amp;AllGlyphs[146]</v>
      </c>
      <c r="BF146" s="54" t="str">
        <f t="shared" si="86"/>
        <v>&amp;AllGlyphs[144]</v>
      </c>
      <c r="BG146" s="54" t="str">
        <f t="shared" si="87"/>
        <v>&amp;AllGlyphs[143]</v>
      </c>
      <c r="BH146" s="54" t="str">
        <f t="shared" si="88"/>
        <v>&amp;AllGlyphs[143]</v>
      </c>
      <c r="BJ146" s="58">
        <f t="shared" si="89"/>
        <v>0</v>
      </c>
      <c r="BK146" s="58">
        <f t="shared" si="90"/>
        <v>1</v>
      </c>
      <c r="BL146" s="58">
        <f t="shared" si="91"/>
        <v>0</v>
      </c>
      <c r="BM146" s="58">
        <f t="shared" si="92"/>
        <v>0</v>
      </c>
    </row>
    <row r="147" spans="1:65" x14ac:dyDescent="0.4">
      <c r="A147" s="7" t="s">
        <v>126</v>
      </c>
      <c r="B147" s="6" t="str">
        <f t="shared" si="66"/>
        <v>Õ</v>
      </c>
      <c r="C147" s="48" cm="1">
        <f t="array" ref="C147">IF($N147,INDEX($O:$O,MATCH(TRUE,EXACT(B147,$A:$A),0)),"")</f>
        <v>145</v>
      </c>
      <c r="D147" s="38" t="s">
        <v>124</v>
      </c>
      <c r="E147" s="48" cm="1">
        <f t="array" ref="E147">IF($N147,INDEX($O:$O,MATCH(TRUE,EXACT(D147,$A:$A),0)),"")</f>
        <v>143</v>
      </c>
      <c r="F147" s="38" t="s">
        <v>126</v>
      </c>
      <c r="G147" s="48" cm="1">
        <f t="array" ref="G147">IF($O147&lt;&gt;"",INDEX($O:$O,MATCH(TRUE,EXACT(F147,$A:$A),0)),"")</f>
        <v>145</v>
      </c>
      <c r="H147" s="38" t="s">
        <v>127</v>
      </c>
      <c r="I147" s="48" cm="1">
        <f t="array" ref="I147">IF($N147,INDEX($O:$O,MATCH(TRUE,EXACT(H147,$A:$A),0)),"")</f>
        <v>146</v>
      </c>
      <c r="J147" s="38" t="s">
        <v>127</v>
      </c>
      <c r="K147" s="52" cm="1">
        <f t="array" ref="K147">IF($N147,INDEX($O:$O,MATCH(TRUE,EXACT(J147,$A:$A),0)),"")</f>
        <v>146</v>
      </c>
      <c r="L147" s="23"/>
      <c r="M147" s="33"/>
      <c r="N147" s="18" t="b">
        <f t="shared" si="68"/>
        <v>1</v>
      </c>
      <c r="O147" s="19">
        <f>IF(N147, MAX(O$2:O146)+1,"")</f>
        <v>145</v>
      </c>
      <c r="P147" s="23" t="str">
        <f t="shared" si="67"/>
        <v>Õ</v>
      </c>
      <c r="Q147" s="8" t="str" cm="1">
        <f t="array" ref="Q147">CharToUTF8(A147)</f>
        <v>\xC3\x95</v>
      </c>
      <c r="S147" s="18" t="str">
        <f>$AO$2</f>
        <v>EMPTY</v>
      </c>
      <c r="T147" s="24" t="str">
        <f>$AO$2</f>
        <v>EMPTY</v>
      </c>
      <c r="U147" s="24" t="str">
        <f>$AO$8</f>
        <v>ORTHO_DOWN</v>
      </c>
      <c r="V147" s="21" t="str">
        <f>$AO$7</f>
        <v>ORTHO_UP</v>
      </c>
      <c r="X147" s="31" t="b">
        <f t="shared" si="69"/>
        <v>0</v>
      </c>
      <c r="Y147" s="31" t="b">
        <f t="shared" si="70"/>
        <v>1</v>
      </c>
      <c r="Z147" t="b">
        <f t="shared" si="71"/>
        <v>0</v>
      </c>
      <c r="AA147" t="b">
        <f t="shared" si="72"/>
        <v>0</v>
      </c>
      <c r="AB147" t="b">
        <f t="shared" si="73"/>
        <v>0</v>
      </c>
      <c r="AC147" t="b">
        <f t="shared" si="74"/>
        <v>0</v>
      </c>
      <c r="AD147" t="b">
        <f t="shared" si="75"/>
        <v>0</v>
      </c>
      <c r="AE147" t="b">
        <f t="shared" si="76"/>
        <v>0</v>
      </c>
      <c r="AF147" t="b">
        <f t="shared" si="77"/>
        <v>1</v>
      </c>
      <c r="AG147" t="b">
        <f t="shared" si="78"/>
        <v>1</v>
      </c>
      <c r="AH147" t="b">
        <f t="shared" si="79"/>
        <v>0</v>
      </c>
      <c r="AI147" t="b">
        <f t="shared" si="80"/>
        <v>0</v>
      </c>
      <c r="AJ147" t="b">
        <f t="shared" si="81"/>
        <v>1</v>
      </c>
      <c r="AK147" t="b">
        <f t="shared" si="82"/>
        <v>1</v>
      </c>
      <c r="AL147" t="b">
        <f t="shared" si="83"/>
        <v>1</v>
      </c>
      <c r="AM147" t="b">
        <f t="shared" si="84"/>
        <v>1</v>
      </c>
      <c r="AV147" s="59" t="str">
        <f t="shared" si="93"/>
        <v xml:space="preserve">    { wxString::FromUTF8("\xC3\x95"), &amp;AllGlyphs[143], &amp;AllGlyphs[145], &amp;AllGlyphs[146], &amp;AllGlyphs[146], Connection::EMPTY, Connection::EMPTY, Connection::ORTHO_DOWN, Connection::ORTHO_UP, 0, 1, 0, 0 },</v>
      </c>
      <c r="AW147" s="60"/>
      <c r="AX147" s="60"/>
      <c r="AY147" s="60"/>
      <c r="AZ147" s="60"/>
      <c r="BA147" s="60"/>
      <c r="BB147" s="60"/>
      <c r="BC147" s="61"/>
      <c r="BE147" s="54" t="str">
        <f t="shared" si="85"/>
        <v>&amp;AllGlyphs[143]</v>
      </c>
      <c r="BF147" s="54" t="str">
        <f t="shared" si="86"/>
        <v>&amp;AllGlyphs[145]</v>
      </c>
      <c r="BG147" s="54" t="str">
        <f t="shared" si="87"/>
        <v>&amp;AllGlyphs[146]</v>
      </c>
      <c r="BH147" s="54" t="str">
        <f t="shared" si="88"/>
        <v>&amp;AllGlyphs[146]</v>
      </c>
      <c r="BJ147" s="58">
        <f t="shared" si="89"/>
        <v>0</v>
      </c>
      <c r="BK147" s="58">
        <f t="shared" si="90"/>
        <v>1</v>
      </c>
      <c r="BL147" s="58">
        <f t="shared" si="91"/>
        <v>0</v>
      </c>
      <c r="BM147" s="58">
        <f t="shared" si="92"/>
        <v>0</v>
      </c>
    </row>
    <row r="148" spans="1:65" x14ac:dyDescent="0.4">
      <c r="A148" s="7" t="s">
        <v>127</v>
      </c>
      <c r="B148" s="6" t="str">
        <f t="shared" si="66"/>
        <v>Ö</v>
      </c>
      <c r="C148" s="48" cm="1">
        <f t="array" ref="C148">IF($N148,INDEX($O:$O,MATCH(TRUE,EXACT(B148,$A:$A),0)),"")</f>
        <v>146</v>
      </c>
      <c r="D148" s="38" t="s">
        <v>125</v>
      </c>
      <c r="E148" s="48" cm="1">
        <f t="array" ref="E148">IF($N148,INDEX($O:$O,MATCH(TRUE,EXACT(D148,$A:$A),0)),"")</f>
        <v>144</v>
      </c>
      <c r="F148" s="38" t="s">
        <v>127</v>
      </c>
      <c r="G148" s="48" cm="1">
        <f t="array" ref="G148">IF($O148&lt;&gt;"",INDEX($O:$O,MATCH(TRUE,EXACT(F148,$A:$A),0)),"")</f>
        <v>146</v>
      </c>
      <c r="H148" s="38" t="s">
        <v>126</v>
      </c>
      <c r="I148" s="48" cm="1">
        <f t="array" ref="I148">IF($N148,INDEX($O:$O,MATCH(TRUE,EXACT(H148,$A:$A),0)),"")</f>
        <v>145</v>
      </c>
      <c r="J148" s="38" t="s">
        <v>126</v>
      </c>
      <c r="K148" s="52" cm="1">
        <f t="array" ref="K148">IF($N148,INDEX($O:$O,MATCH(TRUE,EXACT(J148,$A:$A),0)),"")</f>
        <v>145</v>
      </c>
      <c r="L148" s="23"/>
      <c r="M148" s="33"/>
      <c r="N148" s="18" t="b">
        <f t="shared" si="68"/>
        <v>1</v>
      </c>
      <c r="O148" s="19">
        <f>IF(N148, MAX(O$2:O147)+1,"")</f>
        <v>146</v>
      </c>
      <c r="P148" s="23" t="str">
        <f t="shared" si="67"/>
        <v>Ö</v>
      </c>
      <c r="Q148" s="8" t="str" cm="1">
        <f t="array" ref="Q148">CharToUTF8(A148)</f>
        <v>\xC3\x96</v>
      </c>
      <c r="S148" s="18" t="str">
        <f>$AO$2</f>
        <v>EMPTY</v>
      </c>
      <c r="T148" s="24" t="str">
        <f>$AO$2</f>
        <v>EMPTY</v>
      </c>
      <c r="U148" s="24" t="str">
        <f>$AO$7</f>
        <v>ORTHO_UP</v>
      </c>
      <c r="V148" s="21" t="str">
        <f>$AO$8</f>
        <v>ORTHO_DOWN</v>
      </c>
      <c r="X148" s="31" t="b">
        <f t="shared" si="69"/>
        <v>0</v>
      </c>
      <c r="Y148" s="31" t="b">
        <f t="shared" si="70"/>
        <v>1</v>
      </c>
      <c r="Z148" t="b">
        <f t="shared" si="71"/>
        <v>0</v>
      </c>
      <c r="AA148" t="b">
        <f t="shared" si="72"/>
        <v>0</v>
      </c>
      <c r="AB148" t="b">
        <f t="shared" si="73"/>
        <v>0</v>
      </c>
      <c r="AC148" t="b">
        <f t="shared" si="74"/>
        <v>0</v>
      </c>
      <c r="AD148" t="b">
        <f t="shared" si="75"/>
        <v>0</v>
      </c>
      <c r="AE148" t="b">
        <f t="shared" si="76"/>
        <v>0</v>
      </c>
      <c r="AF148" t="b">
        <f t="shared" si="77"/>
        <v>1</v>
      </c>
      <c r="AG148" t="b">
        <f t="shared" si="78"/>
        <v>1</v>
      </c>
      <c r="AH148" t="b">
        <f t="shared" si="79"/>
        <v>0</v>
      </c>
      <c r="AI148" t="b">
        <f t="shared" si="80"/>
        <v>0</v>
      </c>
      <c r="AJ148" t="b">
        <f t="shared" si="81"/>
        <v>1</v>
      </c>
      <c r="AK148" t="b">
        <f t="shared" si="82"/>
        <v>1</v>
      </c>
      <c r="AL148" t="b">
        <f t="shared" si="83"/>
        <v>1</v>
      </c>
      <c r="AM148" t="b">
        <f t="shared" si="84"/>
        <v>1</v>
      </c>
      <c r="AV148" s="59" t="str">
        <f t="shared" si="93"/>
        <v xml:space="preserve">    { wxString::FromUTF8("\xC3\x96"), &amp;AllGlyphs[144], &amp;AllGlyphs[146], &amp;AllGlyphs[145], &amp;AllGlyphs[145], Connection::EMPTY, Connection::EMPTY, Connection::ORTHO_UP, Connection::ORTHO_DOWN, 0, 1, 0, 0 },</v>
      </c>
      <c r="AW148" s="60"/>
      <c r="AX148" s="60"/>
      <c r="AY148" s="60"/>
      <c r="AZ148" s="60"/>
      <c r="BA148" s="60"/>
      <c r="BB148" s="60"/>
      <c r="BC148" s="61"/>
      <c r="BE148" s="54" t="str">
        <f t="shared" si="85"/>
        <v>&amp;AllGlyphs[144]</v>
      </c>
      <c r="BF148" s="54" t="str">
        <f t="shared" si="86"/>
        <v>&amp;AllGlyphs[146]</v>
      </c>
      <c r="BG148" s="54" t="str">
        <f t="shared" si="87"/>
        <v>&amp;AllGlyphs[145]</v>
      </c>
      <c r="BH148" s="54" t="str">
        <f t="shared" si="88"/>
        <v>&amp;AllGlyphs[145]</v>
      </c>
      <c r="BJ148" s="58">
        <f t="shared" si="89"/>
        <v>0</v>
      </c>
      <c r="BK148" s="58">
        <f t="shared" si="90"/>
        <v>1</v>
      </c>
      <c r="BL148" s="58">
        <f t="shared" si="91"/>
        <v>0</v>
      </c>
      <c r="BM148" s="58">
        <f t="shared" si="92"/>
        <v>0</v>
      </c>
    </row>
    <row r="149" spans="1:65" x14ac:dyDescent="0.4">
      <c r="A149" s="7" t="s">
        <v>128</v>
      </c>
      <c r="B149" s="6" t="str">
        <f t="shared" si="66"/>
        <v>×</v>
      </c>
      <c r="C149" s="48" cm="1">
        <f t="array" ref="C149">IF($N149,INDEX($O:$O,MATCH(TRUE,EXACT(B149,$A:$A),0)),"")</f>
        <v>147</v>
      </c>
      <c r="D149" s="38" t="s">
        <v>129</v>
      </c>
      <c r="E149" s="48" cm="1">
        <f t="array" ref="E149">IF($N149,INDEX($O:$O,MATCH(TRUE,EXACT(D149,$A:$A),0)),"")</f>
        <v>148</v>
      </c>
      <c r="F149" s="38" t="s">
        <v>130</v>
      </c>
      <c r="G149" s="48" cm="1">
        <f t="array" ref="G149">IF($O149&lt;&gt;"",INDEX($O:$O,MATCH(TRUE,EXACT(F149,$A:$A),0)),"")</f>
        <v>149</v>
      </c>
      <c r="H149" s="38" t="s">
        <v>130</v>
      </c>
      <c r="I149" s="48" cm="1">
        <f t="array" ref="I149">IF($N149,INDEX($O:$O,MATCH(TRUE,EXACT(H149,$A:$A),0)),"")</f>
        <v>149</v>
      </c>
      <c r="J149" s="38" t="s">
        <v>128</v>
      </c>
      <c r="K149" s="52" cm="1">
        <f t="array" ref="K149">IF($N149,INDEX($O:$O,MATCH(TRUE,EXACT(J149,$A:$A),0)),"")</f>
        <v>147</v>
      </c>
      <c r="L149" s="23"/>
      <c r="M149" s="33"/>
      <c r="N149" s="18" t="b">
        <f t="shared" si="68"/>
        <v>1</v>
      </c>
      <c r="O149" s="19">
        <f>IF(N149, MAX(O$2:O148)+1,"")</f>
        <v>147</v>
      </c>
      <c r="P149" s="23" t="str">
        <f t="shared" si="67"/>
        <v>×</v>
      </c>
      <c r="Q149" s="8" t="str" cm="1">
        <f t="array" ref="Q149">CharToUTF8(A149)</f>
        <v>\xC3\x97</v>
      </c>
      <c r="S149" s="18" t="str">
        <f>$AO$2</f>
        <v>EMPTY</v>
      </c>
      <c r="T149" s="24" t="str">
        <f>$AO$4</f>
        <v>ORTHO_BOTH</v>
      </c>
      <c r="U149" s="24" t="str">
        <f>$AO$4</f>
        <v>ORTHO_BOTH</v>
      </c>
      <c r="V149" s="21" t="str">
        <f>$AO$4</f>
        <v>ORTHO_BOTH</v>
      </c>
      <c r="X149" s="31" t="b">
        <f t="shared" si="69"/>
        <v>0</v>
      </c>
      <c r="Y149" s="31" t="b">
        <f t="shared" si="70"/>
        <v>0</v>
      </c>
      <c r="Z149" t="b">
        <f t="shared" si="71"/>
        <v>0</v>
      </c>
      <c r="AA149" t="b">
        <f t="shared" si="72"/>
        <v>1</v>
      </c>
      <c r="AB149" t="b">
        <f t="shared" si="73"/>
        <v>0</v>
      </c>
      <c r="AC149" t="b">
        <f t="shared" si="74"/>
        <v>1</v>
      </c>
      <c r="AD149" t="b">
        <f t="shared" si="75"/>
        <v>0</v>
      </c>
      <c r="AE149" t="b">
        <f t="shared" si="76"/>
        <v>1</v>
      </c>
      <c r="AF149" t="b">
        <f t="shared" si="77"/>
        <v>1</v>
      </c>
      <c r="AG149" t="b">
        <f t="shared" si="78"/>
        <v>1</v>
      </c>
      <c r="AH149" t="b">
        <f t="shared" si="79"/>
        <v>1</v>
      </c>
      <c r="AI149" t="b">
        <f t="shared" si="80"/>
        <v>1</v>
      </c>
      <c r="AJ149" t="b">
        <f t="shared" si="81"/>
        <v>1</v>
      </c>
      <c r="AK149" t="b">
        <f t="shared" si="82"/>
        <v>1</v>
      </c>
      <c r="AL149" t="b">
        <f t="shared" si="83"/>
        <v>1</v>
      </c>
      <c r="AM149" t="b">
        <f t="shared" si="84"/>
        <v>1</v>
      </c>
      <c r="AV149" s="59" t="str">
        <f t="shared" si="93"/>
        <v xml:space="preserve">    { wxString::FromUTF8("\xC3\x97"), &amp;AllGlyphs[148], &amp;AllGlyphs[149], &amp;AllGlyphs[149], &amp;AllGlyphs[147], Connection::EMPTY, Connection::ORTHO_BOTH, Connection::ORTHO_BOTH, Connection::ORTHO_BOTH, 0, 0, 0, 1 },</v>
      </c>
      <c r="AW149" s="60"/>
      <c r="AX149" s="60"/>
      <c r="AY149" s="60"/>
      <c r="AZ149" s="60"/>
      <c r="BA149" s="60"/>
      <c r="BB149" s="60"/>
      <c r="BC149" s="61"/>
      <c r="BE149" s="54" t="str">
        <f t="shared" si="85"/>
        <v>&amp;AllGlyphs[148]</v>
      </c>
      <c r="BF149" s="54" t="str">
        <f t="shared" si="86"/>
        <v>&amp;AllGlyphs[149]</v>
      </c>
      <c r="BG149" s="54" t="str">
        <f t="shared" si="87"/>
        <v>&amp;AllGlyphs[149]</v>
      </c>
      <c r="BH149" s="54" t="str">
        <f t="shared" si="88"/>
        <v>&amp;AllGlyphs[147]</v>
      </c>
      <c r="BJ149" s="58">
        <f t="shared" si="89"/>
        <v>0</v>
      </c>
      <c r="BK149" s="58">
        <f t="shared" si="90"/>
        <v>0</v>
      </c>
      <c r="BL149" s="58">
        <f t="shared" si="91"/>
        <v>0</v>
      </c>
      <c r="BM149" s="58">
        <f t="shared" si="92"/>
        <v>1</v>
      </c>
    </row>
    <row r="150" spans="1:65" x14ac:dyDescent="0.4">
      <c r="A150" s="7" t="s">
        <v>129</v>
      </c>
      <c r="B150" s="6" t="str">
        <f t="shared" si="66"/>
        <v>Ø</v>
      </c>
      <c r="C150" s="48" cm="1">
        <f t="array" ref="C150">IF($N150,INDEX($O:$O,MATCH(TRUE,EXACT(B150,$A:$A),0)),"")</f>
        <v>148</v>
      </c>
      <c r="D150" s="38" t="s">
        <v>130</v>
      </c>
      <c r="E150" s="48" cm="1">
        <f t="array" ref="E150">IF($N150,INDEX($O:$O,MATCH(TRUE,EXACT(D150,$A:$A),0)),"")</f>
        <v>149</v>
      </c>
      <c r="F150" s="38" t="s">
        <v>131</v>
      </c>
      <c r="G150" s="48" cm="1">
        <f t="array" ref="G150">IF($O150&lt;&gt;"",INDEX($O:$O,MATCH(TRUE,EXACT(F150,$A:$A),0)),"")</f>
        <v>150</v>
      </c>
      <c r="H150" s="38" t="s">
        <v>129</v>
      </c>
      <c r="I150" s="48" cm="1">
        <f t="array" ref="I150">IF($N150,INDEX($O:$O,MATCH(TRUE,EXACT(H150,$A:$A),0)),"")</f>
        <v>148</v>
      </c>
      <c r="J150" s="38" t="s">
        <v>131</v>
      </c>
      <c r="K150" s="52" cm="1">
        <f t="array" ref="K150">IF($N150,INDEX($O:$O,MATCH(TRUE,EXACT(J150,$A:$A),0)),"")</f>
        <v>150</v>
      </c>
      <c r="L150" s="23"/>
      <c r="M150" s="33"/>
      <c r="N150" s="18" t="b">
        <f t="shared" si="68"/>
        <v>1</v>
      </c>
      <c r="O150" s="19">
        <f>IF(N150, MAX(O$2:O149)+1,"")</f>
        <v>148</v>
      </c>
      <c r="P150" s="23" t="str">
        <f t="shared" si="67"/>
        <v>Ø</v>
      </c>
      <c r="Q150" s="8" t="str" cm="1">
        <f t="array" ref="Q150">CharToUTF8(A150)</f>
        <v>\xC3\x98</v>
      </c>
      <c r="S150" s="18" t="str">
        <f>$AO$4</f>
        <v>ORTHO_BOTH</v>
      </c>
      <c r="T150" s="24" t="str">
        <f>$AO$4</f>
        <v>ORTHO_BOTH</v>
      </c>
      <c r="U150" s="24" t="str">
        <f>$AO$4</f>
        <v>ORTHO_BOTH</v>
      </c>
      <c r="V150" s="21" t="str">
        <f>$AO$2</f>
        <v>EMPTY</v>
      </c>
      <c r="X150" s="31" t="b">
        <f t="shared" si="69"/>
        <v>0</v>
      </c>
      <c r="Y150" s="31" t="b">
        <f t="shared" si="70"/>
        <v>0</v>
      </c>
      <c r="Z150" t="b">
        <f t="shared" si="71"/>
        <v>1</v>
      </c>
      <c r="AA150" t="b">
        <f t="shared" si="72"/>
        <v>0</v>
      </c>
      <c r="AB150" t="b">
        <f t="shared" si="73"/>
        <v>0</v>
      </c>
      <c r="AC150" t="b">
        <f t="shared" si="74"/>
        <v>1</v>
      </c>
      <c r="AD150" t="b">
        <f t="shared" si="75"/>
        <v>1</v>
      </c>
      <c r="AE150" t="b">
        <f t="shared" si="76"/>
        <v>0</v>
      </c>
      <c r="AF150" t="b">
        <f t="shared" si="77"/>
        <v>1</v>
      </c>
      <c r="AG150" t="b">
        <f t="shared" si="78"/>
        <v>1</v>
      </c>
      <c r="AH150" t="b">
        <f t="shared" si="79"/>
        <v>1</v>
      </c>
      <c r="AI150" t="b">
        <f t="shared" si="80"/>
        <v>1</v>
      </c>
      <c r="AJ150" t="b">
        <f t="shared" si="81"/>
        <v>1</v>
      </c>
      <c r="AK150" t="b">
        <f t="shared" si="82"/>
        <v>1</v>
      </c>
      <c r="AL150" t="b">
        <f t="shared" si="83"/>
        <v>1</v>
      </c>
      <c r="AM150" t="b">
        <f t="shared" si="84"/>
        <v>1</v>
      </c>
      <c r="AV150" s="59" t="str">
        <f t="shared" si="93"/>
        <v xml:space="preserve">    { wxString::FromUTF8("\xC3\x98"), &amp;AllGlyphs[149], &amp;AllGlyphs[150], &amp;AllGlyphs[148], &amp;AllGlyphs[150], Connection::ORTHO_BOTH, Connection::ORTHO_BOTH, Connection::ORTHO_BOTH, Connection::EMPTY, 0, 0, 1, 0 },</v>
      </c>
      <c r="AW150" s="60"/>
      <c r="AX150" s="60"/>
      <c r="AY150" s="60"/>
      <c r="AZ150" s="60"/>
      <c r="BA150" s="60"/>
      <c r="BB150" s="60"/>
      <c r="BC150" s="61"/>
      <c r="BE150" s="54" t="str">
        <f t="shared" si="85"/>
        <v>&amp;AllGlyphs[149]</v>
      </c>
      <c r="BF150" s="54" t="str">
        <f t="shared" si="86"/>
        <v>&amp;AllGlyphs[150]</v>
      </c>
      <c r="BG150" s="54" t="str">
        <f t="shared" si="87"/>
        <v>&amp;AllGlyphs[148]</v>
      </c>
      <c r="BH150" s="54" t="str">
        <f t="shared" si="88"/>
        <v>&amp;AllGlyphs[150]</v>
      </c>
      <c r="BJ150" s="58">
        <f t="shared" si="89"/>
        <v>0</v>
      </c>
      <c r="BK150" s="58">
        <f t="shared" si="90"/>
        <v>0</v>
      </c>
      <c r="BL150" s="58">
        <f t="shared" si="91"/>
        <v>1</v>
      </c>
      <c r="BM150" s="58">
        <f t="shared" si="92"/>
        <v>0</v>
      </c>
    </row>
    <row r="151" spans="1:65" x14ac:dyDescent="0.4">
      <c r="A151" s="7" t="s">
        <v>130</v>
      </c>
      <c r="B151" s="6" t="str">
        <f t="shared" si="66"/>
        <v>Ù</v>
      </c>
      <c r="C151" s="48" cm="1">
        <f t="array" ref="C151">IF($N151,INDEX($O:$O,MATCH(TRUE,EXACT(B151,$A:$A),0)),"")</f>
        <v>149</v>
      </c>
      <c r="D151" s="38" t="s">
        <v>131</v>
      </c>
      <c r="E151" s="48" cm="1">
        <f t="array" ref="E151">IF($N151,INDEX($O:$O,MATCH(TRUE,EXACT(D151,$A:$A),0)),"")</f>
        <v>150</v>
      </c>
      <c r="F151" s="38" t="s">
        <v>128</v>
      </c>
      <c r="G151" s="48" cm="1">
        <f t="array" ref="G151">IF($O151&lt;&gt;"",INDEX($O:$O,MATCH(TRUE,EXACT(F151,$A:$A),0)),"")</f>
        <v>147</v>
      </c>
      <c r="H151" s="38" t="s">
        <v>128</v>
      </c>
      <c r="I151" s="48" cm="1">
        <f t="array" ref="I151">IF($N151,INDEX($O:$O,MATCH(TRUE,EXACT(H151,$A:$A),0)),"")</f>
        <v>147</v>
      </c>
      <c r="J151" s="38" t="s">
        <v>130</v>
      </c>
      <c r="K151" s="52" cm="1">
        <f t="array" ref="K151">IF($N151,INDEX($O:$O,MATCH(TRUE,EXACT(J151,$A:$A),0)),"")</f>
        <v>149</v>
      </c>
      <c r="L151" s="23"/>
      <c r="M151" s="33"/>
      <c r="N151" s="18" t="b">
        <f t="shared" si="68"/>
        <v>1</v>
      </c>
      <c r="O151" s="19">
        <f>IF(N151, MAX(O$2:O150)+1,"")</f>
        <v>149</v>
      </c>
      <c r="P151" s="23" t="str">
        <f t="shared" si="67"/>
        <v>Ù</v>
      </c>
      <c r="Q151" s="8" t="str" cm="1">
        <f t="array" ref="Q151">CharToUTF8(A151)</f>
        <v>\xC3\x99</v>
      </c>
      <c r="S151" s="18" t="str">
        <f>$AO$4</f>
        <v>ORTHO_BOTH</v>
      </c>
      <c r="T151" s="24" t="str">
        <f>$AO$2</f>
        <v>EMPTY</v>
      </c>
      <c r="U151" s="24" t="str">
        <f>$AO$4</f>
        <v>ORTHO_BOTH</v>
      </c>
      <c r="V151" s="21" t="str">
        <f>$AO$4</f>
        <v>ORTHO_BOTH</v>
      </c>
      <c r="X151" s="31" t="b">
        <f t="shared" si="69"/>
        <v>0</v>
      </c>
      <c r="Y151" s="31" t="b">
        <f t="shared" si="70"/>
        <v>0</v>
      </c>
      <c r="Z151" t="b">
        <f t="shared" si="71"/>
        <v>0</v>
      </c>
      <c r="AA151" t="b">
        <f t="shared" si="72"/>
        <v>1</v>
      </c>
      <c r="AB151" t="b">
        <f t="shared" si="73"/>
        <v>1</v>
      </c>
      <c r="AC151" t="b">
        <f t="shared" si="74"/>
        <v>0</v>
      </c>
      <c r="AD151" t="b">
        <f t="shared" si="75"/>
        <v>1</v>
      </c>
      <c r="AE151" t="b">
        <f t="shared" si="76"/>
        <v>0</v>
      </c>
      <c r="AF151" t="b">
        <f t="shared" si="77"/>
        <v>1</v>
      </c>
      <c r="AG151" t="b">
        <f t="shared" si="78"/>
        <v>1</v>
      </c>
      <c r="AH151" t="b">
        <f t="shared" si="79"/>
        <v>1</v>
      </c>
      <c r="AI151" t="b">
        <f t="shared" si="80"/>
        <v>1</v>
      </c>
      <c r="AJ151" t="b">
        <f t="shared" si="81"/>
        <v>1</v>
      </c>
      <c r="AK151" t="b">
        <f t="shared" si="82"/>
        <v>1</v>
      </c>
      <c r="AL151" t="b">
        <f t="shared" si="83"/>
        <v>1</v>
      </c>
      <c r="AM151" t="b">
        <f t="shared" si="84"/>
        <v>1</v>
      </c>
      <c r="AV151" s="59" t="str">
        <f t="shared" si="93"/>
        <v xml:space="preserve">    { wxString::FromUTF8("\xC3\x99"), &amp;AllGlyphs[150], &amp;AllGlyphs[147], &amp;AllGlyphs[147], &amp;AllGlyphs[149], Connection::ORTHO_BOTH, Connection::EMPTY, Connection::ORTHO_BOTH, Connection::ORTHO_BOTH, 0, 0, 0, 1 },</v>
      </c>
      <c r="AW151" s="60"/>
      <c r="AX151" s="60"/>
      <c r="AY151" s="60"/>
      <c r="AZ151" s="60"/>
      <c r="BA151" s="60"/>
      <c r="BB151" s="60"/>
      <c r="BC151" s="61"/>
      <c r="BE151" s="54" t="str">
        <f t="shared" si="85"/>
        <v>&amp;AllGlyphs[150]</v>
      </c>
      <c r="BF151" s="54" t="str">
        <f t="shared" si="86"/>
        <v>&amp;AllGlyphs[147]</v>
      </c>
      <c r="BG151" s="54" t="str">
        <f t="shared" si="87"/>
        <v>&amp;AllGlyphs[147]</v>
      </c>
      <c r="BH151" s="54" t="str">
        <f t="shared" si="88"/>
        <v>&amp;AllGlyphs[149]</v>
      </c>
      <c r="BJ151" s="58">
        <f t="shared" si="89"/>
        <v>0</v>
      </c>
      <c r="BK151" s="58">
        <f t="shared" si="90"/>
        <v>0</v>
      </c>
      <c r="BL151" s="58">
        <f t="shared" si="91"/>
        <v>0</v>
      </c>
      <c r="BM151" s="58">
        <f t="shared" si="92"/>
        <v>1</v>
      </c>
    </row>
    <row r="152" spans="1:65" x14ac:dyDescent="0.4">
      <c r="A152" s="7" t="s">
        <v>131</v>
      </c>
      <c r="B152" s="6" t="str">
        <f t="shared" si="66"/>
        <v>Ú</v>
      </c>
      <c r="C152" s="48" cm="1">
        <f t="array" ref="C152">IF($N152,INDEX($O:$O,MATCH(TRUE,EXACT(B152,$A:$A),0)),"")</f>
        <v>150</v>
      </c>
      <c r="D152" s="38" t="s">
        <v>128</v>
      </c>
      <c r="E152" s="48" cm="1">
        <f t="array" ref="E152">IF($N152,INDEX($O:$O,MATCH(TRUE,EXACT(D152,$A:$A),0)),"")</f>
        <v>147</v>
      </c>
      <c r="F152" s="38" t="s">
        <v>129</v>
      </c>
      <c r="G152" s="48" cm="1">
        <f t="array" ref="G152">IF($O152&lt;&gt;"",INDEX($O:$O,MATCH(TRUE,EXACT(F152,$A:$A),0)),"")</f>
        <v>148</v>
      </c>
      <c r="H152" s="38" t="s">
        <v>131</v>
      </c>
      <c r="I152" s="48" cm="1">
        <f t="array" ref="I152">IF($N152,INDEX($O:$O,MATCH(TRUE,EXACT(H152,$A:$A),0)),"")</f>
        <v>150</v>
      </c>
      <c r="J152" s="38" t="s">
        <v>129</v>
      </c>
      <c r="K152" s="52" cm="1">
        <f t="array" ref="K152">IF($N152,INDEX($O:$O,MATCH(TRUE,EXACT(J152,$A:$A),0)),"")</f>
        <v>148</v>
      </c>
      <c r="L152" s="23"/>
      <c r="M152" s="33"/>
      <c r="N152" s="18" t="b">
        <f t="shared" si="68"/>
        <v>1</v>
      </c>
      <c r="O152" s="19">
        <f>IF(N152, MAX(O$2:O151)+1,"")</f>
        <v>150</v>
      </c>
      <c r="P152" s="23" t="str">
        <f t="shared" si="67"/>
        <v>Ú</v>
      </c>
      <c r="Q152" s="8" t="str" cm="1">
        <f t="array" ref="Q152">CharToUTF8(A152)</f>
        <v>\xC3\x9A</v>
      </c>
      <c r="S152" s="18" t="str">
        <f>$AO$4</f>
        <v>ORTHO_BOTH</v>
      </c>
      <c r="T152" s="24" t="str">
        <f>$AO$4</f>
        <v>ORTHO_BOTH</v>
      </c>
      <c r="U152" s="24" t="str">
        <f>$AO$2</f>
        <v>EMPTY</v>
      </c>
      <c r="V152" s="21" t="str">
        <f>$AO$4</f>
        <v>ORTHO_BOTH</v>
      </c>
      <c r="X152" s="31" t="b">
        <f t="shared" si="69"/>
        <v>0</v>
      </c>
      <c r="Y152" s="31" t="b">
        <f t="shared" si="70"/>
        <v>0</v>
      </c>
      <c r="Z152" t="b">
        <f t="shared" si="71"/>
        <v>1</v>
      </c>
      <c r="AA152" t="b">
        <f t="shared" si="72"/>
        <v>0</v>
      </c>
      <c r="AB152" t="b">
        <f t="shared" si="73"/>
        <v>1</v>
      </c>
      <c r="AC152" t="b">
        <f t="shared" si="74"/>
        <v>0</v>
      </c>
      <c r="AD152" t="b">
        <f t="shared" si="75"/>
        <v>0</v>
      </c>
      <c r="AE152" t="b">
        <f t="shared" si="76"/>
        <v>1</v>
      </c>
      <c r="AF152" t="b">
        <f t="shared" si="77"/>
        <v>1</v>
      </c>
      <c r="AG152" t="b">
        <f t="shared" si="78"/>
        <v>1</v>
      </c>
      <c r="AH152" t="b">
        <f t="shared" si="79"/>
        <v>1</v>
      </c>
      <c r="AI152" t="b">
        <f t="shared" si="80"/>
        <v>1</v>
      </c>
      <c r="AJ152" t="b">
        <f t="shared" si="81"/>
        <v>1</v>
      </c>
      <c r="AK152" t="b">
        <f t="shared" si="82"/>
        <v>1</v>
      </c>
      <c r="AL152" t="b">
        <f t="shared" si="83"/>
        <v>1</v>
      </c>
      <c r="AM152" t="b">
        <f t="shared" si="84"/>
        <v>1</v>
      </c>
      <c r="AV152" s="59" t="str">
        <f t="shared" si="93"/>
        <v xml:space="preserve">    { wxString::FromUTF8("\xC3\x9A"), &amp;AllGlyphs[147], &amp;AllGlyphs[148], &amp;AllGlyphs[150], &amp;AllGlyphs[148], Connection::ORTHO_BOTH, Connection::ORTHO_BOTH, Connection::EMPTY, Connection::ORTHO_BOTH, 0, 0, 1, 0 },</v>
      </c>
      <c r="AW152" s="60"/>
      <c r="AX152" s="60"/>
      <c r="AY152" s="60"/>
      <c r="AZ152" s="60"/>
      <c r="BA152" s="60"/>
      <c r="BB152" s="60"/>
      <c r="BC152" s="61"/>
      <c r="BE152" s="54" t="str">
        <f t="shared" si="85"/>
        <v>&amp;AllGlyphs[147]</v>
      </c>
      <c r="BF152" s="54" t="str">
        <f t="shared" si="86"/>
        <v>&amp;AllGlyphs[148]</v>
      </c>
      <c r="BG152" s="54" t="str">
        <f t="shared" si="87"/>
        <v>&amp;AllGlyphs[150]</v>
      </c>
      <c r="BH152" s="54" t="str">
        <f t="shared" si="88"/>
        <v>&amp;AllGlyphs[148]</v>
      </c>
      <c r="BJ152" s="58">
        <f t="shared" si="89"/>
        <v>0</v>
      </c>
      <c r="BK152" s="58">
        <f t="shared" si="90"/>
        <v>0</v>
      </c>
      <c r="BL152" s="58">
        <f t="shared" si="91"/>
        <v>1</v>
      </c>
      <c r="BM152" s="58">
        <f t="shared" si="92"/>
        <v>0</v>
      </c>
    </row>
    <row r="153" spans="1:65" x14ac:dyDescent="0.4">
      <c r="A153" s="7" t="s">
        <v>132</v>
      </c>
      <c r="B153" s="6" t="str">
        <f t="shared" si="66"/>
        <v>Û</v>
      </c>
      <c r="C153" s="48" cm="1">
        <f t="array" ref="C153">IF($N153,INDEX($O:$O,MATCH(TRUE,EXACT(B153,$A:$A),0)),"")</f>
        <v>151</v>
      </c>
      <c r="D153" s="38" t="s">
        <v>133</v>
      </c>
      <c r="E153" s="48" cm="1">
        <f t="array" ref="E153">IF($N153,INDEX($O:$O,MATCH(TRUE,EXACT(D153,$A:$A),0)),"")</f>
        <v>152</v>
      </c>
      <c r="F153" s="38" t="s">
        <v>134</v>
      </c>
      <c r="G153" s="48" cm="1">
        <f t="array" ref="G153">IF($O153&lt;&gt;"",INDEX($O:$O,MATCH(TRUE,EXACT(F153,$A:$A),0)),"")</f>
        <v>153</v>
      </c>
      <c r="H153" s="38" t="s">
        <v>134</v>
      </c>
      <c r="I153" s="48" cm="1">
        <f t="array" ref="I153">IF($N153,INDEX($O:$O,MATCH(TRUE,EXACT(H153,$A:$A),0)),"")</f>
        <v>153</v>
      </c>
      <c r="J153" s="38" t="s">
        <v>132</v>
      </c>
      <c r="K153" s="52" cm="1">
        <f t="array" ref="K153">IF($N153,INDEX($O:$O,MATCH(TRUE,EXACT(J153,$A:$A),0)),"")</f>
        <v>151</v>
      </c>
      <c r="L153" s="23"/>
      <c r="M153" s="33"/>
      <c r="N153" s="18" t="b">
        <f t="shared" si="68"/>
        <v>1</v>
      </c>
      <c r="O153" s="19">
        <f>IF(N153, MAX(O$2:O152)+1,"")</f>
        <v>151</v>
      </c>
      <c r="P153" s="23" t="str">
        <f t="shared" si="67"/>
        <v>Û</v>
      </c>
      <c r="Q153" s="8" t="str" cm="1">
        <f t="array" ref="Q153">CharToUTF8(A153)</f>
        <v>\xC3\x9B</v>
      </c>
      <c r="S153" s="18" t="str">
        <f>$AO$2</f>
        <v>EMPTY</v>
      </c>
      <c r="T153" s="24" t="str">
        <f>$AO$4</f>
        <v>ORTHO_BOTH</v>
      </c>
      <c r="U153" s="24" t="str">
        <f>$AO$4</f>
        <v>ORTHO_BOTH</v>
      </c>
      <c r="V153" s="21" t="str">
        <f>$AO$4</f>
        <v>ORTHO_BOTH</v>
      </c>
      <c r="X153" s="31" t="b">
        <f t="shared" si="69"/>
        <v>0</v>
      </c>
      <c r="Y153" s="31" t="b">
        <f t="shared" si="70"/>
        <v>0</v>
      </c>
      <c r="Z153" t="b">
        <f t="shared" si="71"/>
        <v>0</v>
      </c>
      <c r="AA153" t="b">
        <f t="shared" si="72"/>
        <v>1</v>
      </c>
      <c r="AB153" t="b">
        <f t="shared" si="73"/>
        <v>0</v>
      </c>
      <c r="AC153" t="b">
        <f t="shared" si="74"/>
        <v>1</v>
      </c>
      <c r="AD153" t="b">
        <f t="shared" si="75"/>
        <v>0</v>
      </c>
      <c r="AE153" t="b">
        <f t="shared" si="76"/>
        <v>1</v>
      </c>
      <c r="AF153" t="b">
        <f t="shared" si="77"/>
        <v>1</v>
      </c>
      <c r="AG153" t="b">
        <f t="shared" si="78"/>
        <v>1</v>
      </c>
      <c r="AH153" t="b">
        <f t="shared" si="79"/>
        <v>1</v>
      </c>
      <c r="AI153" t="b">
        <f t="shared" si="80"/>
        <v>1</v>
      </c>
      <c r="AJ153" t="b">
        <f t="shared" si="81"/>
        <v>1</v>
      </c>
      <c r="AK153" t="b">
        <f t="shared" si="82"/>
        <v>1</v>
      </c>
      <c r="AL153" t="b">
        <f t="shared" si="83"/>
        <v>1</v>
      </c>
      <c r="AM153" t="b">
        <f t="shared" si="84"/>
        <v>1</v>
      </c>
      <c r="AV153" s="59" t="str">
        <f t="shared" si="93"/>
        <v xml:space="preserve">    { wxString::FromUTF8("\xC3\x9B"), &amp;AllGlyphs[152], &amp;AllGlyphs[153], &amp;AllGlyphs[153], &amp;AllGlyphs[151], Connection::EMPTY, Connection::ORTHO_BOTH, Connection::ORTHO_BOTH, Connection::ORTHO_BOTH, 0, 0, 0, 1 },</v>
      </c>
      <c r="AW153" s="60"/>
      <c r="AX153" s="60"/>
      <c r="AY153" s="60"/>
      <c r="AZ153" s="60"/>
      <c r="BA153" s="60"/>
      <c r="BB153" s="60"/>
      <c r="BC153" s="61"/>
      <c r="BE153" s="54" t="str">
        <f t="shared" si="85"/>
        <v>&amp;AllGlyphs[152]</v>
      </c>
      <c r="BF153" s="54" t="str">
        <f t="shared" si="86"/>
        <v>&amp;AllGlyphs[153]</v>
      </c>
      <c r="BG153" s="54" t="str">
        <f t="shared" si="87"/>
        <v>&amp;AllGlyphs[153]</v>
      </c>
      <c r="BH153" s="54" t="str">
        <f t="shared" si="88"/>
        <v>&amp;AllGlyphs[151]</v>
      </c>
      <c r="BJ153" s="58">
        <f t="shared" si="89"/>
        <v>0</v>
      </c>
      <c r="BK153" s="58">
        <f t="shared" si="90"/>
        <v>0</v>
      </c>
      <c r="BL153" s="58">
        <f t="shared" si="91"/>
        <v>0</v>
      </c>
      <c r="BM153" s="58">
        <f t="shared" si="92"/>
        <v>1</v>
      </c>
    </row>
    <row r="154" spans="1:65" x14ac:dyDescent="0.4">
      <c r="A154" s="7" t="s">
        <v>133</v>
      </c>
      <c r="B154" s="6" t="str">
        <f t="shared" si="66"/>
        <v>Ü</v>
      </c>
      <c r="C154" s="48" cm="1">
        <f t="array" ref="C154">IF($N154,INDEX($O:$O,MATCH(TRUE,EXACT(B154,$A:$A),0)),"")</f>
        <v>152</v>
      </c>
      <c r="D154" s="38" t="s">
        <v>134</v>
      </c>
      <c r="E154" s="48" cm="1">
        <f t="array" ref="E154">IF($N154,INDEX($O:$O,MATCH(TRUE,EXACT(D154,$A:$A),0)),"")</f>
        <v>153</v>
      </c>
      <c r="F154" s="38" t="s">
        <v>135</v>
      </c>
      <c r="G154" s="48" cm="1">
        <f t="array" ref="G154">IF($O154&lt;&gt;"",INDEX($O:$O,MATCH(TRUE,EXACT(F154,$A:$A),0)),"")</f>
        <v>154</v>
      </c>
      <c r="H154" s="38" t="s">
        <v>133</v>
      </c>
      <c r="I154" s="48" cm="1">
        <f t="array" ref="I154">IF($N154,INDEX($O:$O,MATCH(TRUE,EXACT(H154,$A:$A),0)),"")</f>
        <v>152</v>
      </c>
      <c r="J154" s="38" t="s">
        <v>135</v>
      </c>
      <c r="K154" s="52" cm="1">
        <f t="array" ref="K154">IF($N154,INDEX($O:$O,MATCH(TRUE,EXACT(J154,$A:$A),0)),"")</f>
        <v>154</v>
      </c>
      <c r="L154" s="23"/>
      <c r="M154" s="33"/>
      <c r="N154" s="18" t="b">
        <f t="shared" si="68"/>
        <v>1</v>
      </c>
      <c r="O154" s="19">
        <f>IF(N154, MAX(O$2:O153)+1,"")</f>
        <v>152</v>
      </c>
      <c r="P154" s="23" t="str">
        <f t="shared" si="67"/>
        <v>Ü</v>
      </c>
      <c r="Q154" s="8" t="str" cm="1">
        <f t="array" ref="Q154">CharToUTF8(A154)</f>
        <v>\xC3\x9C</v>
      </c>
      <c r="S154" s="18" t="str">
        <f>$AO$4</f>
        <v>ORTHO_BOTH</v>
      </c>
      <c r="T154" s="24" t="str">
        <f>$AO$4</f>
        <v>ORTHO_BOTH</v>
      </c>
      <c r="U154" s="24" t="str">
        <f>$AO$4</f>
        <v>ORTHO_BOTH</v>
      </c>
      <c r="V154" s="21" t="str">
        <f>$AO$2</f>
        <v>EMPTY</v>
      </c>
      <c r="X154" s="31" t="b">
        <f t="shared" si="69"/>
        <v>0</v>
      </c>
      <c r="Y154" s="31" t="b">
        <f t="shared" si="70"/>
        <v>0</v>
      </c>
      <c r="Z154" t="b">
        <f t="shared" si="71"/>
        <v>1</v>
      </c>
      <c r="AA154" t="b">
        <f t="shared" si="72"/>
        <v>0</v>
      </c>
      <c r="AB154" t="b">
        <f t="shared" si="73"/>
        <v>0</v>
      </c>
      <c r="AC154" t="b">
        <f t="shared" si="74"/>
        <v>1</v>
      </c>
      <c r="AD154" t="b">
        <f t="shared" si="75"/>
        <v>1</v>
      </c>
      <c r="AE154" t="b">
        <f t="shared" si="76"/>
        <v>0</v>
      </c>
      <c r="AF154" t="b">
        <f t="shared" si="77"/>
        <v>1</v>
      </c>
      <c r="AG154" t="b">
        <f t="shared" si="78"/>
        <v>1</v>
      </c>
      <c r="AH154" t="b">
        <f t="shared" si="79"/>
        <v>1</v>
      </c>
      <c r="AI154" t="b">
        <f t="shared" si="80"/>
        <v>1</v>
      </c>
      <c r="AJ154" t="b">
        <f t="shared" si="81"/>
        <v>1</v>
      </c>
      <c r="AK154" t="b">
        <f t="shared" si="82"/>
        <v>1</v>
      </c>
      <c r="AL154" t="b">
        <f t="shared" si="83"/>
        <v>1</v>
      </c>
      <c r="AM154" t="b">
        <f t="shared" si="84"/>
        <v>1</v>
      </c>
      <c r="AV154" s="59" t="str">
        <f t="shared" si="93"/>
        <v xml:space="preserve">    { wxString::FromUTF8("\xC3\x9C"), &amp;AllGlyphs[153], &amp;AllGlyphs[154], &amp;AllGlyphs[152], &amp;AllGlyphs[154], Connection::ORTHO_BOTH, Connection::ORTHO_BOTH, Connection::ORTHO_BOTH, Connection::EMPTY, 0, 0, 1, 0 },</v>
      </c>
      <c r="AW154" s="60"/>
      <c r="AX154" s="60"/>
      <c r="AY154" s="60"/>
      <c r="AZ154" s="60"/>
      <c r="BA154" s="60"/>
      <c r="BB154" s="60"/>
      <c r="BC154" s="61"/>
      <c r="BE154" s="54" t="str">
        <f t="shared" si="85"/>
        <v>&amp;AllGlyphs[153]</v>
      </c>
      <c r="BF154" s="54" t="str">
        <f t="shared" si="86"/>
        <v>&amp;AllGlyphs[154]</v>
      </c>
      <c r="BG154" s="54" t="str">
        <f t="shared" si="87"/>
        <v>&amp;AllGlyphs[152]</v>
      </c>
      <c r="BH154" s="54" t="str">
        <f t="shared" si="88"/>
        <v>&amp;AllGlyphs[154]</v>
      </c>
      <c r="BJ154" s="58">
        <f t="shared" si="89"/>
        <v>0</v>
      </c>
      <c r="BK154" s="58">
        <f t="shared" si="90"/>
        <v>0</v>
      </c>
      <c r="BL154" s="58">
        <f t="shared" si="91"/>
        <v>1</v>
      </c>
      <c r="BM154" s="58">
        <f t="shared" si="92"/>
        <v>0</v>
      </c>
    </row>
    <row r="155" spans="1:65" x14ac:dyDescent="0.4">
      <c r="A155" s="7" t="s">
        <v>134</v>
      </c>
      <c r="B155" s="6" t="str">
        <f t="shared" si="66"/>
        <v>Ý</v>
      </c>
      <c r="C155" s="48" cm="1">
        <f t="array" ref="C155">IF($N155,INDEX($O:$O,MATCH(TRUE,EXACT(B155,$A:$A),0)),"")</f>
        <v>153</v>
      </c>
      <c r="D155" s="38" t="s">
        <v>135</v>
      </c>
      <c r="E155" s="48" cm="1">
        <f t="array" ref="E155">IF($N155,INDEX($O:$O,MATCH(TRUE,EXACT(D155,$A:$A),0)),"")</f>
        <v>154</v>
      </c>
      <c r="F155" s="38" t="s">
        <v>132</v>
      </c>
      <c r="G155" s="48" cm="1">
        <f t="array" ref="G155">IF($O155&lt;&gt;"",INDEX($O:$O,MATCH(TRUE,EXACT(F155,$A:$A),0)),"")</f>
        <v>151</v>
      </c>
      <c r="H155" s="38" t="s">
        <v>132</v>
      </c>
      <c r="I155" s="48" cm="1">
        <f t="array" ref="I155">IF($N155,INDEX($O:$O,MATCH(TRUE,EXACT(H155,$A:$A),0)),"")</f>
        <v>151</v>
      </c>
      <c r="J155" s="38" t="s">
        <v>134</v>
      </c>
      <c r="K155" s="52" cm="1">
        <f t="array" ref="K155">IF($N155,INDEX($O:$O,MATCH(TRUE,EXACT(J155,$A:$A),0)),"")</f>
        <v>153</v>
      </c>
      <c r="L155" s="23"/>
      <c r="M155" s="33"/>
      <c r="N155" s="18" t="b">
        <f t="shared" si="68"/>
        <v>1</v>
      </c>
      <c r="O155" s="19">
        <f>IF(N155, MAX(O$2:O154)+1,"")</f>
        <v>153</v>
      </c>
      <c r="P155" s="23" t="str">
        <f t="shared" si="67"/>
        <v>Ý</v>
      </c>
      <c r="Q155" s="8" t="str" cm="1">
        <f t="array" ref="Q155">CharToUTF8(A155)</f>
        <v>\xC3\x9D</v>
      </c>
      <c r="S155" s="18" t="str">
        <f>$AO$4</f>
        <v>ORTHO_BOTH</v>
      </c>
      <c r="T155" s="24" t="str">
        <f>$AO$2</f>
        <v>EMPTY</v>
      </c>
      <c r="U155" s="24" t="str">
        <f>$AO$4</f>
        <v>ORTHO_BOTH</v>
      </c>
      <c r="V155" s="21" t="str">
        <f>$AO$4</f>
        <v>ORTHO_BOTH</v>
      </c>
      <c r="X155" s="31" t="b">
        <f t="shared" si="69"/>
        <v>0</v>
      </c>
      <c r="Y155" s="31" t="b">
        <f t="shared" si="70"/>
        <v>0</v>
      </c>
      <c r="Z155" t="b">
        <f t="shared" si="71"/>
        <v>0</v>
      </c>
      <c r="AA155" t="b">
        <f t="shared" si="72"/>
        <v>1</v>
      </c>
      <c r="AB155" t="b">
        <f t="shared" si="73"/>
        <v>1</v>
      </c>
      <c r="AC155" t="b">
        <f t="shared" si="74"/>
        <v>0</v>
      </c>
      <c r="AD155" t="b">
        <f t="shared" si="75"/>
        <v>1</v>
      </c>
      <c r="AE155" t="b">
        <f t="shared" si="76"/>
        <v>0</v>
      </c>
      <c r="AF155" t="b">
        <f t="shared" si="77"/>
        <v>1</v>
      </c>
      <c r="AG155" t="b">
        <f t="shared" si="78"/>
        <v>1</v>
      </c>
      <c r="AH155" t="b">
        <f t="shared" si="79"/>
        <v>1</v>
      </c>
      <c r="AI155" t="b">
        <f t="shared" si="80"/>
        <v>1</v>
      </c>
      <c r="AJ155" t="b">
        <f t="shared" si="81"/>
        <v>1</v>
      </c>
      <c r="AK155" t="b">
        <f t="shared" si="82"/>
        <v>1</v>
      </c>
      <c r="AL155" t="b">
        <f t="shared" si="83"/>
        <v>1</v>
      </c>
      <c r="AM155" t="b">
        <f t="shared" si="84"/>
        <v>1</v>
      </c>
      <c r="AV155" s="59" t="str">
        <f t="shared" si="93"/>
        <v xml:space="preserve">    { wxString::FromUTF8("\xC3\x9D"), &amp;AllGlyphs[154], &amp;AllGlyphs[151], &amp;AllGlyphs[151], &amp;AllGlyphs[153], Connection::ORTHO_BOTH, Connection::EMPTY, Connection::ORTHO_BOTH, Connection::ORTHO_BOTH, 0, 0, 0, 1 },</v>
      </c>
      <c r="AW155" s="60"/>
      <c r="AX155" s="60"/>
      <c r="AY155" s="60"/>
      <c r="AZ155" s="60"/>
      <c r="BA155" s="60"/>
      <c r="BB155" s="60"/>
      <c r="BC155" s="61"/>
      <c r="BE155" s="54" t="str">
        <f t="shared" si="85"/>
        <v>&amp;AllGlyphs[154]</v>
      </c>
      <c r="BF155" s="54" t="str">
        <f t="shared" si="86"/>
        <v>&amp;AllGlyphs[151]</v>
      </c>
      <c r="BG155" s="54" t="str">
        <f t="shared" si="87"/>
        <v>&amp;AllGlyphs[151]</v>
      </c>
      <c r="BH155" s="54" t="str">
        <f t="shared" si="88"/>
        <v>&amp;AllGlyphs[153]</v>
      </c>
      <c r="BJ155" s="58">
        <f t="shared" si="89"/>
        <v>0</v>
      </c>
      <c r="BK155" s="58">
        <f t="shared" si="90"/>
        <v>0</v>
      </c>
      <c r="BL155" s="58">
        <f t="shared" si="91"/>
        <v>0</v>
      </c>
      <c r="BM155" s="58">
        <f t="shared" si="92"/>
        <v>1</v>
      </c>
    </row>
    <row r="156" spans="1:65" x14ac:dyDescent="0.4">
      <c r="A156" s="7" t="s">
        <v>135</v>
      </c>
      <c r="B156" s="6" t="str">
        <f t="shared" si="66"/>
        <v>Þ</v>
      </c>
      <c r="C156" s="48" cm="1">
        <f t="array" ref="C156">IF($N156,INDEX($O:$O,MATCH(TRUE,EXACT(B156,$A:$A),0)),"")</f>
        <v>154</v>
      </c>
      <c r="D156" s="38" t="s">
        <v>132</v>
      </c>
      <c r="E156" s="48" cm="1">
        <f t="array" ref="E156">IF($N156,INDEX($O:$O,MATCH(TRUE,EXACT(D156,$A:$A),0)),"")</f>
        <v>151</v>
      </c>
      <c r="F156" s="38" t="s">
        <v>133</v>
      </c>
      <c r="G156" s="48" cm="1">
        <f t="array" ref="G156">IF($O156&lt;&gt;"",INDEX($O:$O,MATCH(TRUE,EXACT(F156,$A:$A),0)),"")</f>
        <v>152</v>
      </c>
      <c r="H156" s="38" t="s">
        <v>135</v>
      </c>
      <c r="I156" s="48" cm="1">
        <f t="array" ref="I156">IF($N156,INDEX($O:$O,MATCH(TRUE,EXACT(H156,$A:$A),0)),"")</f>
        <v>154</v>
      </c>
      <c r="J156" s="38" t="s">
        <v>133</v>
      </c>
      <c r="K156" s="52" cm="1">
        <f t="array" ref="K156">IF($N156,INDEX($O:$O,MATCH(TRUE,EXACT(J156,$A:$A),0)),"")</f>
        <v>152</v>
      </c>
      <c r="L156" s="23"/>
      <c r="M156" s="33"/>
      <c r="N156" s="18" t="b">
        <f t="shared" si="68"/>
        <v>1</v>
      </c>
      <c r="O156" s="19">
        <f>IF(N156, MAX(O$2:O155)+1,"")</f>
        <v>154</v>
      </c>
      <c r="P156" s="23" t="str">
        <f t="shared" si="67"/>
        <v>Þ</v>
      </c>
      <c r="Q156" s="8" t="str" cm="1">
        <f t="array" ref="Q156">CharToUTF8(A156)</f>
        <v>\xC3\x9E</v>
      </c>
      <c r="S156" s="18" t="str">
        <f>$AO$4</f>
        <v>ORTHO_BOTH</v>
      </c>
      <c r="T156" s="24" t="str">
        <f>$AO$4</f>
        <v>ORTHO_BOTH</v>
      </c>
      <c r="U156" s="24" t="str">
        <f>$AO$2</f>
        <v>EMPTY</v>
      </c>
      <c r="V156" s="21" t="str">
        <f>$AO$4</f>
        <v>ORTHO_BOTH</v>
      </c>
      <c r="X156" s="31" t="b">
        <f t="shared" si="69"/>
        <v>0</v>
      </c>
      <c r="Y156" s="31" t="b">
        <f t="shared" si="70"/>
        <v>0</v>
      </c>
      <c r="Z156" t="b">
        <f t="shared" si="71"/>
        <v>1</v>
      </c>
      <c r="AA156" t="b">
        <f t="shared" si="72"/>
        <v>0</v>
      </c>
      <c r="AB156" t="b">
        <f t="shared" si="73"/>
        <v>1</v>
      </c>
      <c r="AC156" t="b">
        <f t="shared" si="74"/>
        <v>0</v>
      </c>
      <c r="AD156" t="b">
        <f t="shared" si="75"/>
        <v>0</v>
      </c>
      <c r="AE156" t="b">
        <f t="shared" si="76"/>
        <v>1</v>
      </c>
      <c r="AF156" t="b">
        <f t="shared" si="77"/>
        <v>1</v>
      </c>
      <c r="AG156" t="b">
        <f t="shared" si="78"/>
        <v>1</v>
      </c>
      <c r="AH156" t="b">
        <f t="shared" si="79"/>
        <v>1</v>
      </c>
      <c r="AI156" t="b">
        <f t="shared" si="80"/>
        <v>1</v>
      </c>
      <c r="AJ156" t="b">
        <f t="shared" si="81"/>
        <v>1</v>
      </c>
      <c r="AK156" t="b">
        <f t="shared" si="82"/>
        <v>1</v>
      </c>
      <c r="AL156" t="b">
        <f t="shared" si="83"/>
        <v>1</v>
      </c>
      <c r="AM156" t="b">
        <f t="shared" si="84"/>
        <v>1</v>
      </c>
      <c r="AV156" s="59" t="str">
        <f t="shared" si="93"/>
        <v xml:space="preserve">    { wxString::FromUTF8("\xC3\x9E"), &amp;AllGlyphs[151], &amp;AllGlyphs[152], &amp;AllGlyphs[154], &amp;AllGlyphs[152], Connection::ORTHO_BOTH, Connection::ORTHO_BOTH, Connection::EMPTY, Connection::ORTHO_BOTH, 0, 0, 1, 0 },</v>
      </c>
      <c r="AW156" s="60"/>
      <c r="AX156" s="60"/>
      <c r="AY156" s="60"/>
      <c r="AZ156" s="60"/>
      <c r="BA156" s="60"/>
      <c r="BB156" s="60"/>
      <c r="BC156" s="61"/>
      <c r="BE156" s="54" t="str">
        <f t="shared" si="85"/>
        <v>&amp;AllGlyphs[151]</v>
      </c>
      <c r="BF156" s="54" t="str">
        <f t="shared" si="86"/>
        <v>&amp;AllGlyphs[152]</v>
      </c>
      <c r="BG156" s="54" t="str">
        <f t="shared" si="87"/>
        <v>&amp;AllGlyphs[154]</v>
      </c>
      <c r="BH156" s="54" t="str">
        <f t="shared" si="88"/>
        <v>&amp;AllGlyphs[152]</v>
      </c>
      <c r="BJ156" s="58">
        <f t="shared" si="89"/>
        <v>0</v>
      </c>
      <c r="BK156" s="58">
        <f t="shared" si="90"/>
        <v>0</v>
      </c>
      <c r="BL156" s="58">
        <f t="shared" si="91"/>
        <v>1</v>
      </c>
      <c r="BM156" s="58">
        <f t="shared" si="92"/>
        <v>0</v>
      </c>
    </row>
    <row r="157" spans="1:65" x14ac:dyDescent="0.4">
      <c r="A157" s="7" t="s">
        <v>136</v>
      </c>
      <c r="B157" s="6" t="str">
        <f t="shared" si="66"/>
        <v>ß</v>
      </c>
      <c r="C157" s="48" cm="1">
        <f t="array" ref="C157">IF($N157,INDEX($O:$O,MATCH(TRUE,EXACT(B157,$A:$A),0)),"")</f>
        <v>155</v>
      </c>
      <c r="D157" s="38" t="s">
        <v>136</v>
      </c>
      <c r="E157" s="48" cm="1">
        <f t="array" ref="E157">IF($N157,INDEX($O:$O,MATCH(TRUE,EXACT(D157,$A:$A),0)),"")</f>
        <v>155</v>
      </c>
      <c r="F157" s="38" t="s">
        <v>136</v>
      </c>
      <c r="G157" s="48" cm="1">
        <f t="array" ref="G157">IF($O157&lt;&gt;"",INDEX($O:$O,MATCH(TRUE,EXACT(F157,$A:$A),0)),"")</f>
        <v>155</v>
      </c>
      <c r="H157" s="38" t="s">
        <v>136</v>
      </c>
      <c r="I157" s="48" cm="1">
        <f t="array" ref="I157">IF($N157,INDEX($O:$O,MATCH(TRUE,EXACT(H157,$A:$A),0)),"")</f>
        <v>155</v>
      </c>
      <c r="J157" s="38" t="s">
        <v>136</v>
      </c>
      <c r="K157" s="52" cm="1">
        <f t="array" ref="K157">IF($N157,INDEX($O:$O,MATCH(TRUE,EXACT(J157,$A:$A),0)),"")</f>
        <v>155</v>
      </c>
      <c r="L157" s="23"/>
      <c r="M157" s="33"/>
      <c r="N157" s="18" t="b">
        <f t="shared" si="68"/>
        <v>1</v>
      </c>
      <c r="O157" s="19">
        <f>IF(N157, MAX(O$2:O156)+1,"")</f>
        <v>155</v>
      </c>
      <c r="P157" s="23" t="str">
        <f t="shared" si="67"/>
        <v>ß</v>
      </c>
      <c r="Q157" s="8" t="str" cm="1">
        <f t="array" ref="Q157">CharToUTF8(A157)</f>
        <v>\xC3\x9F</v>
      </c>
      <c r="S157" s="18" t="str">
        <f>$AO$4</f>
        <v>ORTHO_BOTH</v>
      </c>
      <c r="T157" s="24" t="str">
        <f>$AO$4</f>
        <v>ORTHO_BOTH</v>
      </c>
      <c r="U157" s="24" t="str">
        <f>$AO$4</f>
        <v>ORTHO_BOTH</v>
      </c>
      <c r="V157" s="21" t="str">
        <f>$AO$4</f>
        <v>ORTHO_BOTH</v>
      </c>
      <c r="X157" s="31" t="b">
        <f t="shared" si="69"/>
        <v>1</v>
      </c>
      <c r="Y157" s="31" t="b">
        <f t="shared" si="70"/>
        <v>1</v>
      </c>
      <c r="Z157" t="b">
        <f t="shared" si="71"/>
        <v>1</v>
      </c>
      <c r="AA157" t="b">
        <f t="shared" si="72"/>
        <v>1</v>
      </c>
      <c r="AB157" t="b">
        <f t="shared" si="73"/>
        <v>1</v>
      </c>
      <c r="AC157" t="b">
        <f t="shared" si="74"/>
        <v>1</v>
      </c>
      <c r="AD157" t="b">
        <f t="shared" si="75"/>
        <v>1</v>
      </c>
      <c r="AE157" t="b">
        <f t="shared" si="76"/>
        <v>1</v>
      </c>
      <c r="AF157" t="b">
        <f t="shared" si="77"/>
        <v>1</v>
      </c>
      <c r="AG157" t="b">
        <f t="shared" si="78"/>
        <v>1</v>
      </c>
      <c r="AH157" t="b">
        <f t="shared" si="79"/>
        <v>1</v>
      </c>
      <c r="AI157" t="b">
        <f t="shared" si="80"/>
        <v>1</v>
      </c>
      <c r="AJ157" t="b">
        <f t="shared" si="81"/>
        <v>1</v>
      </c>
      <c r="AK157" t="b">
        <f t="shared" si="82"/>
        <v>1</v>
      </c>
      <c r="AL157" t="b">
        <f t="shared" si="83"/>
        <v>1</v>
      </c>
      <c r="AM157" t="b">
        <f t="shared" si="84"/>
        <v>1</v>
      </c>
      <c r="AV157" s="59" t="str">
        <f t="shared" si="93"/>
        <v xml:space="preserve">    { wxString::FromUTF8("\xC3\x9F"), &amp;AllGlyphs[155], &amp;AllGlyphs[155], &amp;AllGlyphs[155], &amp;AllGlyphs[155], Connection::ORTHO_BOTH, Connection::ORTHO_BOTH, Connection::ORTHO_BOTH, Connection::ORTHO_BOTH, 1, 1, 1, 1 },</v>
      </c>
      <c r="AW157" s="60"/>
      <c r="AX157" s="60"/>
      <c r="AY157" s="60"/>
      <c r="AZ157" s="60"/>
      <c r="BA157" s="60"/>
      <c r="BB157" s="60"/>
      <c r="BC157" s="61"/>
      <c r="BE157" s="54" t="str">
        <f t="shared" si="85"/>
        <v>&amp;AllGlyphs[155]</v>
      </c>
      <c r="BF157" s="54" t="str">
        <f t="shared" si="86"/>
        <v>&amp;AllGlyphs[155]</v>
      </c>
      <c r="BG157" s="54" t="str">
        <f t="shared" si="87"/>
        <v>&amp;AllGlyphs[155]</v>
      </c>
      <c r="BH157" s="54" t="str">
        <f t="shared" si="88"/>
        <v>&amp;AllGlyphs[155]</v>
      </c>
      <c r="BJ157" s="58">
        <f t="shared" si="89"/>
        <v>1</v>
      </c>
      <c r="BK157" s="58">
        <f t="shared" si="90"/>
        <v>1</v>
      </c>
      <c r="BL157" s="58">
        <f t="shared" si="91"/>
        <v>1</v>
      </c>
      <c r="BM157" s="58">
        <f t="shared" si="92"/>
        <v>1</v>
      </c>
    </row>
    <row r="158" spans="1:65" x14ac:dyDescent="0.4">
      <c r="A158" s="7" t="s">
        <v>137</v>
      </c>
      <c r="B158" s="6" t="str">
        <f t="shared" si="66"/>
        <v>à</v>
      </c>
      <c r="C158" s="48" cm="1">
        <f t="array" ref="C158">IF($N158,INDEX($O:$O,MATCH(TRUE,EXACT(B158,$A:$A),0)),"")</f>
        <v>156</v>
      </c>
      <c r="D158" s="38" t="s">
        <v>138</v>
      </c>
      <c r="E158" s="48" cm="1">
        <f t="array" ref="E158">IF($N158,INDEX($O:$O,MATCH(TRUE,EXACT(D158,$A:$A),0)),"")</f>
        <v>157</v>
      </c>
      <c r="F158" s="40" t="s">
        <v>139</v>
      </c>
      <c r="G158" s="48" cm="1">
        <f t="array" ref="G158">IF($O158&lt;&gt;"",INDEX($O:$O,MATCH(TRUE,EXACT(F158,$A:$A),0)),"")</f>
        <v>158</v>
      </c>
      <c r="H158" s="38" t="s">
        <v>140</v>
      </c>
      <c r="I158" s="48" cm="1">
        <f t="array" ref="I158">IF($N158,INDEX($O:$O,MATCH(TRUE,EXACT(H158,$A:$A),0)),"")</f>
        <v>159</v>
      </c>
      <c r="J158" s="38" t="s">
        <v>138</v>
      </c>
      <c r="K158" s="52" cm="1">
        <f t="array" ref="K158">IF($N158,INDEX($O:$O,MATCH(TRUE,EXACT(J158,$A:$A),0)),"")</f>
        <v>157</v>
      </c>
      <c r="L158" s="23"/>
      <c r="M158" s="33"/>
      <c r="N158" s="18" t="b">
        <f t="shared" si="68"/>
        <v>1</v>
      </c>
      <c r="O158" s="19">
        <f>IF(N158, MAX(O$2:O157)+1,"")</f>
        <v>156</v>
      </c>
      <c r="P158" s="23" t="str">
        <f t="shared" si="67"/>
        <v>à</v>
      </c>
      <c r="Q158" s="8" t="str" cm="1">
        <f t="array" ref="Q158">CharToUTF8(A158)</f>
        <v>\xC3\xA0</v>
      </c>
      <c r="S158" s="18" t="str">
        <f>$AO$10</f>
        <v>ORTHO_RIGHT</v>
      </c>
      <c r="T158" s="24" t="str">
        <f>$AO$4</f>
        <v>ORTHO_BOTH</v>
      </c>
      <c r="U158" s="24" t="str">
        <f>$AO$8</f>
        <v>ORTHO_DOWN</v>
      </c>
      <c r="V158" s="21" t="str">
        <f>$AO$4</f>
        <v>ORTHO_BOTH</v>
      </c>
      <c r="X158" s="31" t="b">
        <f t="shared" si="69"/>
        <v>0</v>
      </c>
      <c r="Y158" s="31" t="b">
        <f t="shared" si="70"/>
        <v>0</v>
      </c>
      <c r="Z158" t="b">
        <f t="shared" si="71"/>
        <v>0</v>
      </c>
      <c r="AA158" t="b">
        <f t="shared" si="72"/>
        <v>0</v>
      </c>
      <c r="AB158" t="b">
        <f t="shared" si="73"/>
        <v>0</v>
      </c>
      <c r="AC158" t="b">
        <f t="shared" si="74"/>
        <v>0</v>
      </c>
      <c r="AD158" t="b">
        <f t="shared" si="75"/>
        <v>1</v>
      </c>
      <c r="AE158" t="b">
        <f t="shared" si="76"/>
        <v>1</v>
      </c>
      <c r="AF158" t="b">
        <f t="shared" si="77"/>
        <v>0</v>
      </c>
      <c r="AG158" t="b">
        <f t="shared" si="78"/>
        <v>1</v>
      </c>
      <c r="AH158" t="b">
        <f t="shared" si="79"/>
        <v>0</v>
      </c>
      <c r="AI158" t="b">
        <f t="shared" si="80"/>
        <v>1</v>
      </c>
      <c r="AJ158" t="b">
        <f t="shared" si="81"/>
        <v>1</v>
      </c>
      <c r="AK158" t="b">
        <f t="shared" si="82"/>
        <v>1</v>
      </c>
      <c r="AL158" t="b">
        <f t="shared" si="83"/>
        <v>1</v>
      </c>
      <c r="AM158" t="b">
        <f t="shared" si="84"/>
        <v>1</v>
      </c>
      <c r="AV158" s="59" t="str">
        <f t="shared" si="93"/>
        <v xml:space="preserve">    { wxString::FromUTF8("\xC3\xA0"), &amp;AllGlyphs[157], &amp;AllGlyphs[158], &amp;AllGlyphs[159], &amp;AllGlyphs[157], Connection::ORTHO_RIGHT, Connection::ORTHO_BOTH, Connection::ORTHO_DOWN, Connection::ORTHO_BOTH, 0, 0, 0, 0 },</v>
      </c>
      <c r="AW158" s="60"/>
      <c r="AX158" s="60"/>
      <c r="AY158" s="60"/>
      <c r="AZ158" s="60"/>
      <c r="BA158" s="60"/>
      <c r="BB158" s="60"/>
      <c r="BC158" s="61"/>
      <c r="BE158" s="54" t="str">
        <f t="shared" si="85"/>
        <v>&amp;AllGlyphs[157]</v>
      </c>
      <c r="BF158" s="54" t="str">
        <f t="shared" si="86"/>
        <v>&amp;AllGlyphs[158]</v>
      </c>
      <c r="BG158" s="54" t="str">
        <f t="shared" si="87"/>
        <v>&amp;AllGlyphs[159]</v>
      </c>
      <c r="BH158" s="54" t="str">
        <f t="shared" si="88"/>
        <v>&amp;AllGlyphs[157]</v>
      </c>
      <c r="BJ158" s="58">
        <f t="shared" si="89"/>
        <v>0</v>
      </c>
      <c r="BK158" s="58">
        <f t="shared" si="90"/>
        <v>0</v>
      </c>
      <c r="BL158" s="58">
        <f t="shared" si="91"/>
        <v>0</v>
      </c>
      <c r="BM158" s="58">
        <f t="shared" si="92"/>
        <v>0</v>
      </c>
    </row>
    <row r="159" spans="1:65" x14ac:dyDescent="0.4">
      <c r="A159" s="7" t="s">
        <v>138</v>
      </c>
      <c r="B159" s="6" t="str">
        <f t="shared" si="66"/>
        <v>á</v>
      </c>
      <c r="C159" s="48" cm="1">
        <f t="array" ref="C159">IF($N159,INDEX($O:$O,MATCH(TRUE,EXACT(B159,$A:$A),0)),"")</f>
        <v>157</v>
      </c>
      <c r="D159" s="38" t="s">
        <v>139</v>
      </c>
      <c r="E159" s="48" cm="1">
        <f t="array" ref="E159">IF($N159,INDEX($O:$O,MATCH(TRUE,EXACT(D159,$A:$A),0)),"")</f>
        <v>158</v>
      </c>
      <c r="F159" s="38" t="s">
        <v>140</v>
      </c>
      <c r="G159" s="48" cm="1">
        <f t="array" ref="G159">IF($O159&lt;&gt;"",INDEX($O:$O,MATCH(TRUE,EXACT(F159,$A:$A),0)),"")</f>
        <v>159</v>
      </c>
      <c r="H159" s="38" t="s">
        <v>139</v>
      </c>
      <c r="I159" s="48" cm="1">
        <f t="array" ref="I159">IF($N159,INDEX($O:$O,MATCH(TRUE,EXACT(H159,$A:$A),0)),"")</f>
        <v>158</v>
      </c>
      <c r="J159" s="38" t="s">
        <v>137</v>
      </c>
      <c r="K159" s="52" cm="1">
        <f t="array" ref="K159">IF($N159,INDEX($O:$O,MATCH(TRUE,EXACT(J159,$A:$A),0)),"")</f>
        <v>156</v>
      </c>
      <c r="L159" s="23"/>
      <c r="M159" s="33"/>
      <c r="N159" s="18" t="b">
        <f t="shared" si="68"/>
        <v>1</v>
      </c>
      <c r="O159" s="19">
        <f>IF(N159, MAX(O$2:O158)+1,"")</f>
        <v>157</v>
      </c>
      <c r="P159" s="23" t="str">
        <f t="shared" si="67"/>
        <v>á</v>
      </c>
      <c r="Q159" s="8" t="str" cm="1">
        <f t="array" ref="Q159">CharToUTF8(A159)</f>
        <v>\xC3\xA1</v>
      </c>
      <c r="S159" s="18" t="str">
        <f>$AO$9</f>
        <v>ORTHO_LEFT</v>
      </c>
      <c r="T159" s="24" t="str">
        <f>$AO$4</f>
        <v>ORTHO_BOTH</v>
      </c>
      <c r="U159" s="24" t="str">
        <f>$AO$4</f>
        <v>ORTHO_BOTH</v>
      </c>
      <c r="V159" s="21" t="str">
        <f>$AO$8</f>
        <v>ORTHO_DOWN</v>
      </c>
      <c r="X159" s="31" t="b">
        <f t="shared" si="69"/>
        <v>0</v>
      </c>
      <c r="Y159" s="31" t="b">
        <f t="shared" si="70"/>
        <v>0</v>
      </c>
      <c r="Z159" t="b">
        <f t="shared" si="71"/>
        <v>0</v>
      </c>
      <c r="AA159" t="b">
        <f t="shared" si="72"/>
        <v>0</v>
      </c>
      <c r="AB159" t="b">
        <f t="shared" si="73"/>
        <v>1</v>
      </c>
      <c r="AC159" t="b">
        <f t="shared" si="74"/>
        <v>1</v>
      </c>
      <c r="AD159" t="b">
        <f t="shared" si="75"/>
        <v>0</v>
      </c>
      <c r="AE159" t="b">
        <f t="shared" si="76"/>
        <v>0</v>
      </c>
      <c r="AF159" t="b">
        <f t="shared" si="77"/>
        <v>0</v>
      </c>
      <c r="AG159" t="b">
        <f t="shared" si="78"/>
        <v>1</v>
      </c>
      <c r="AH159" t="b">
        <f t="shared" si="79"/>
        <v>1</v>
      </c>
      <c r="AI159" t="b">
        <f t="shared" si="80"/>
        <v>0</v>
      </c>
      <c r="AJ159" t="b">
        <f t="shared" si="81"/>
        <v>1</v>
      </c>
      <c r="AK159" t="b">
        <f t="shared" si="82"/>
        <v>1</v>
      </c>
      <c r="AL159" t="b">
        <f t="shared" si="83"/>
        <v>1</v>
      </c>
      <c r="AM159" t="b">
        <f t="shared" si="84"/>
        <v>1</v>
      </c>
      <c r="AV159" s="59" t="str">
        <f t="shared" si="93"/>
        <v xml:space="preserve">    { wxString::FromUTF8("\xC3\xA1"), &amp;AllGlyphs[158], &amp;AllGlyphs[159], &amp;AllGlyphs[158], &amp;AllGlyphs[156], Connection::ORTHO_LEFT, Connection::ORTHO_BOTH, Connection::ORTHO_BOTH, Connection::ORTHO_DOWN, 0, 0, 0, 0 },</v>
      </c>
      <c r="AW159" s="60"/>
      <c r="AX159" s="60"/>
      <c r="AY159" s="60"/>
      <c r="AZ159" s="60"/>
      <c r="BA159" s="60"/>
      <c r="BB159" s="60"/>
      <c r="BC159" s="61"/>
      <c r="BE159" s="54" t="str">
        <f t="shared" si="85"/>
        <v>&amp;AllGlyphs[158]</v>
      </c>
      <c r="BF159" s="54" t="str">
        <f t="shared" si="86"/>
        <v>&amp;AllGlyphs[159]</v>
      </c>
      <c r="BG159" s="54" t="str">
        <f t="shared" si="87"/>
        <v>&amp;AllGlyphs[158]</v>
      </c>
      <c r="BH159" s="54" t="str">
        <f t="shared" si="88"/>
        <v>&amp;AllGlyphs[156]</v>
      </c>
      <c r="BJ159" s="58">
        <f t="shared" si="89"/>
        <v>0</v>
      </c>
      <c r="BK159" s="58">
        <f t="shared" si="90"/>
        <v>0</v>
      </c>
      <c r="BL159" s="58">
        <f t="shared" si="91"/>
        <v>0</v>
      </c>
      <c r="BM159" s="58">
        <f t="shared" si="92"/>
        <v>0</v>
      </c>
    </row>
    <row r="160" spans="1:65" x14ac:dyDescent="0.4">
      <c r="A160" s="7" t="s">
        <v>139</v>
      </c>
      <c r="B160" s="6" t="str">
        <f t="shared" si="66"/>
        <v>â</v>
      </c>
      <c r="C160" s="48" cm="1">
        <f t="array" ref="C160">IF($N160,INDEX($O:$O,MATCH(TRUE,EXACT(B160,$A:$A),0)),"")</f>
        <v>158</v>
      </c>
      <c r="D160" s="38" t="s">
        <v>140</v>
      </c>
      <c r="E160" s="48" cm="1">
        <f t="array" ref="E160">IF($N160,INDEX($O:$O,MATCH(TRUE,EXACT(D160,$A:$A),0)),"")</f>
        <v>159</v>
      </c>
      <c r="F160" s="38" t="s">
        <v>137</v>
      </c>
      <c r="G160" s="48" cm="1">
        <f t="array" ref="G160">IF($O160&lt;&gt;"",INDEX($O:$O,MATCH(TRUE,EXACT(F160,$A:$A),0)),"")</f>
        <v>156</v>
      </c>
      <c r="H160" s="38" t="s">
        <v>138</v>
      </c>
      <c r="I160" s="48" cm="1">
        <f t="array" ref="I160">IF($N160,INDEX($O:$O,MATCH(TRUE,EXACT(H160,$A:$A),0)),"")</f>
        <v>157</v>
      </c>
      <c r="J160" s="38" t="s">
        <v>140</v>
      </c>
      <c r="K160" s="52" cm="1">
        <f t="array" ref="K160">IF($N160,INDEX($O:$O,MATCH(TRUE,EXACT(J160,$A:$A),0)),"")</f>
        <v>159</v>
      </c>
      <c r="L160" s="23"/>
      <c r="M160" s="33"/>
      <c r="N160" s="18" t="b">
        <f t="shared" si="68"/>
        <v>1</v>
      </c>
      <c r="O160" s="19">
        <f>IF(N160, MAX(O$2:O159)+1,"")</f>
        <v>158</v>
      </c>
      <c r="P160" s="23" t="str">
        <f t="shared" si="67"/>
        <v>â</v>
      </c>
      <c r="Q160" s="8" t="str" cm="1">
        <f t="array" ref="Q160">CharToUTF8(A160)</f>
        <v>\xC3\xA2</v>
      </c>
      <c r="S160" s="18" t="str">
        <f>$AO$4</f>
        <v>ORTHO_BOTH</v>
      </c>
      <c r="T160" s="24" t="str">
        <f>$AO$9</f>
        <v>ORTHO_LEFT</v>
      </c>
      <c r="U160" s="24" t="str">
        <f>$AO$4</f>
        <v>ORTHO_BOTH</v>
      </c>
      <c r="V160" s="21" t="str">
        <f>$AO$7</f>
        <v>ORTHO_UP</v>
      </c>
      <c r="X160" s="31" t="b">
        <f t="shared" si="69"/>
        <v>0</v>
      </c>
      <c r="Y160" s="31" t="b">
        <f t="shared" si="70"/>
        <v>0</v>
      </c>
      <c r="Z160" t="b">
        <f t="shared" si="71"/>
        <v>0</v>
      </c>
      <c r="AA160" t="b">
        <f t="shared" si="72"/>
        <v>0</v>
      </c>
      <c r="AB160" t="b">
        <f t="shared" si="73"/>
        <v>0</v>
      </c>
      <c r="AC160" t="b">
        <f t="shared" si="74"/>
        <v>0</v>
      </c>
      <c r="AD160" t="b">
        <f t="shared" si="75"/>
        <v>1</v>
      </c>
      <c r="AE160" t="b">
        <f t="shared" si="76"/>
        <v>1</v>
      </c>
      <c r="AF160" t="b">
        <f t="shared" si="77"/>
        <v>1</v>
      </c>
      <c r="AG160" t="b">
        <f t="shared" si="78"/>
        <v>0</v>
      </c>
      <c r="AH160" t="b">
        <f t="shared" si="79"/>
        <v>1</v>
      </c>
      <c r="AI160" t="b">
        <f t="shared" si="80"/>
        <v>0</v>
      </c>
      <c r="AJ160" t="b">
        <f t="shared" si="81"/>
        <v>1</v>
      </c>
      <c r="AK160" t="b">
        <f t="shared" si="82"/>
        <v>1</v>
      </c>
      <c r="AL160" t="b">
        <f t="shared" si="83"/>
        <v>1</v>
      </c>
      <c r="AM160" t="b">
        <f t="shared" si="84"/>
        <v>1</v>
      </c>
      <c r="AV160" s="59" t="str">
        <f t="shared" si="93"/>
        <v xml:space="preserve">    { wxString::FromUTF8("\xC3\xA2"), &amp;AllGlyphs[159], &amp;AllGlyphs[156], &amp;AllGlyphs[157], &amp;AllGlyphs[159], Connection::ORTHO_BOTH, Connection::ORTHO_LEFT, Connection::ORTHO_BOTH, Connection::ORTHO_UP, 0, 0, 0, 0 },</v>
      </c>
      <c r="AW160" s="60"/>
      <c r="AX160" s="60"/>
      <c r="AY160" s="60"/>
      <c r="AZ160" s="60"/>
      <c r="BA160" s="60"/>
      <c r="BB160" s="60"/>
      <c r="BC160" s="61"/>
      <c r="BE160" s="54" t="str">
        <f t="shared" si="85"/>
        <v>&amp;AllGlyphs[159]</v>
      </c>
      <c r="BF160" s="54" t="str">
        <f t="shared" si="86"/>
        <v>&amp;AllGlyphs[156]</v>
      </c>
      <c r="BG160" s="54" t="str">
        <f t="shared" si="87"/>
        <v>&amp;AllGlyphs[157]</v>
      </c>
      <c r="BH160" s="54" t="str">
        <f t="shared" si="88"/>
        <v>&amp;AllGlyphs[159]</v>
      </c>
      <c r="BJ160" s="58">
        <f t="shared" si="89"/>
        <v>0</v>
      </c>
      <c r="BK160" s="58">
        <f t="shared" si="90"/>
        <v>0</v>
      </c>
      <c r="BL160" s="58">
        <f t="shared" si="91"/>
        <v>0</v>
      </c>
      <c r="BM160" s="58">
        <f t="shared" si="92"/>
        <v>0</v>
      </c>
    </row>
    <row r="161" spans="1:65" s="14" customFormat="1" x14ac:dyDescent="0.4">
      <c r="A161" s="7" t="s">
        <v>140</v>
      </c>
      <c r="B161" s="13" t="str">
        <f t="shared" si="66"/>
        <v>ã</v>
      </c>
      <c r="C161" s="48" cm="1">
        <f t="array" ref="C161">IF($N161,INDEX($O:$O,MATCH(TRUE,EXACT(B161,$A:$A),0)),"")</f>
        <v>159</v>
      </c>
      <c r="D161" s="40" t="s">
        <v>137</v>
      </c>
      <c r="E161" s="48" cm="1">
        <f t="array" ref="E161">IF($N161,INDEX($O:$O,MATCH(TRUE,EXACT(D161,$A:$A),0)),"")</f>
        <v>156</v>
      </c>
      <c r="F161" s="38" t="s">
        <v>138</v>
      </c>
      <c r="G161" s="48" cm="1">
        <f t="array" ref="G161">IF($O161&lt;&gt;"",INDEX($O:$O,MATCH(TRUE,EXACT(F161,$A:$A),0)),"")</f>
        <v>157</v>
      </c>
      <c r="H161" s="40" t="s">
        <v>137</v>
      </c>
      <c r="I161" s="48" cm="1">
        <f t="array" ref="I161">IF($N161,INDEX($O:$O,MATCH(TRUE,EXACT(H161,$A:$A),0)),"")</f>
        <v>156</v>
      </c>
      <c r="J161" s="40" t="s">
        <v>139</v>
      </c>
      <c r="K161" s="52" cm="1">
        <f t="array" ref="K161">IF($N161,INDEX($O:$O,MATCH(TRUE,EXACT(J161,$A:$A),0)),"")</f>
        <v>158</v>
      </c>
      <c r="L161" s="47"/>
      <c r="M161" s="35"/>
      <c r="N161" s="18" t="b">
        <f t="shared" si="68"/>
        <v>1</v>
      </c>
      <c r="O161" s="19">
        <f>IF(N161, MAX(O$2:O160)+1,"")</f>
        <v>159</v>
      </c>
      <c r="P161" s="23" t="str">
        <f t="shared" si="67"/>
        <v>ã</v>
      </c>
      <c r="Q161" s="8" t="str" cm="1">
        <f t="array" ref="Q161">CharToUTF8(A161)</f>
        <v>\xC3\xA3</v>
      </c>
      <c r="R161" s="22"/>
      <c r="S161" s="30" t="str">
        <f>$AO$4</f>
        <v>ORTHO_BOTH</v>
      </c>
      <c r="T161" s="24" t="str">
        <f>$AO$10</f>
        <v>ORTHO_RIGHT</v>
      </c>
      <c r="U161" s="31" t="str">
        <f>$AO$7</f>
        <v>ORTHO_UP</v>
      </c>
      <c r="V161" s="32" t="str">
        <f>$AO$4</f>
        <v>ORTHO_BOTH</v>
      </c>
      <c r="W161"/>
      <c r="X161" s="31" t="b">
        <f t="shared" si="69"/>
        <v>0</v>
      </c>
      <c r="Y161" s="31" t="b">
        <f t="shared" si="70"/>
        <v>0</v>
      </c>
      <c r="Z161" t="b">
        <f t="shared" si="71"/>
        <v>0</v>
      </c>
      <c r="AA161" t="b">
        <f t="shared" si="72"/>
        <v>0</v>
      </c>
      <c r="AB161" t="b">
        <f t="shared" si="73"/>
        <v>1</v>
      </c>
      <c r="AC161" t="b">
        <f t="shared" si="74"/>
        <v>1</v>
      </c>
      <c r="AD161" t="b">
        <f t="shared" si="75"/>
        <v>0</v>
      </c>
      <c r="AE161" t="b">
        <f t="shared" si="76"/>
        <v>0</v>
      </c>
      <c r="AF161" t="b">
        <f t="shared" si="77"/>
        <v>1</v>
      </c>
      <c r="AG161" t="b">
        <f t="shared" si="78"/>
        <v>0</v>
      </c>
      <c r="AH161" t="b">
        <f t="shared" si="79"/>
        <v>0</v>
      </c>
      <c r="AI161" t="b">
        <f t="shared" si="80"/>
        <v>1</v>
      </c>
      <c r="AJ161" t="b">
        <f t="shared" si="81"/>
        <v>1</v>
      </c>
      <c r="AK161" t="b">
        <f t="shared" si="82"/>
        <v>1</v>
      </c>
      <c r="AL161" t="b">
        <f t="shared" si="83"/>
        <v>1</v>
      </c>
      <c r="AM161" t="b">
        <f t="shared" si="84"/>
        <v>1</v>
      </c>
      <c r="AN161"/>
      <c r="AV161" s="59" t="str">
        <f t="shared" si="93"/>
        <v xml:space="preserve">    { wxString::FromUTF8("\xC3\xA3"), &amp;AllGlyphs[156], &amp;AllGlyphs[157], &amp;AllGlyphs[156], &amp;AllGlyphs[158], Connection::ORTHO_BOTH, Connection::ORTHO_RIGHT, Connection::ORTHO_UP, Connection::ORTHO_BOTH, 0, 0, 0, 0 },</v>
      </c>
      <c r="AW161" s="60"/>
      <c r="AX161" s="60"/>
      <c r="AY161" s="60"/>
      <c r="AZ161" s="60"/>
      <c r="BA161" s="60"/>
      <c r="BB161" s="60"/>
      <c r="BC161" s="61"/>
      <c r="BE161" s="54" t="str">
        <f t="shared" si="85"/>
        <v>&amp;AllGlyphs[156]</v>
      </c>
      <c r="BF161" s="54" t="str">
        <f t="shared" si="86"/>
        <v>&amp;AllGlyphs[157]</v>
      </c>
      <c r="BG161" s="54" t="str">
        <f t="shared" si="87"/>
        <v>&amp;AllGlyphs[156]</v>
      </c>
      <c r="BH161" s="54" t="str">
        <f t="shared" si="88"/>
        <v>&amp;AllGlyphs[158]</v>
      </c>
      <c r="BJ161" s="58">
        <f t="shared" si="89"/>
        <v>0</v>
      </c>
      <c r="BK161" s="58">
        <f t="shared" si="90"/>
        <v>0</v>
      </c>
      <c r="BL161" s="58">
        <f t="shared" si="91"/>
        <v>0</v>
      </c>
      <c r="BM161" s="58">
        <f t="shared" si="92"/>
        <v>0</v>
      </c>
    </row>
    <row r="162" spans="1:65" s="14" customFormat="1" x14ac:dyDescent="0.4">
      <c r="A162" s="7" t="s">
        <v>141</v>
      </c>
      <c r="B162" s="13" t="str">
        <f t="shared" si="66"/>
        <v>ä</v>
      </c>
      <c r="C162" s="48" t="str" cm="1">
        <f t="array" ref="C162">IF($N162,INDEX($O:$O,MATCH(TRUE,EXACT(B162,$A:$A),0)),"")</f>
        <v/>
      </c>
      <c r="D162" s="40"/>
      <c r="E162" s="48" t="str" cm="1">
        <f t="array" ref="E162">IF($N162,INDEX($O:$O,MATCH(TRUE,EXACT(D162,$A:$A),0)),"")</f>
        <v/>
      </c>
      <c r="F162" s="40" t="s">
        <v>144</v>
      </c>
      <c r="G162" s="48" t="str" cm="1">
        <f t="array" ref="G162">IF($O162&lt;&gt;"",INDEX($O:$O,MATCH(TRUE,EXACT(F162,$A:$A),0)),"")</f>
        <v/>
      </c>
      <c r="H162" s="40" t="s">
        <v>143</v>
      </c>
      <c r="I162" s="48" t="str" cm="1">
        <f t="array" ref="I162">IF($N162,INDEX($O:$O,MATCH(TRUE,EXACT(H162,$A:$A),0)),"")</f>
        <v/>
      </c>
      <c r="J162" s="40" t="s">
        <v>142</v>
      </c>
      <c r="K162" s="52" t="str" cm="1">
        <f t="array" ref="K162">IF($N162,INDEX($O:$O,MATCH(TRUE,EXACT(J162,$A:$A),0)),"")</f>
        <v/>
      </c>
      <c r="L162" s="47"/>
      <c r="M162" s="35"/>
      <c r="N162" s="18" t="b">
        <f t="shared" si="68"/>
        <v>0</v>
      </c>
      <c r="O162" s="19" t="str">
        <f>IF(N162, MAX(O$2:O161)+1,"")</f>
        <v/>
      </c>
      <c r="P162" s="23" t="str">
        <f t="shared" si="67"/>
        <v>ä</v>
      </c>
      <c r="Q162" s="8" t="str" cm="1">
        <f t="array" ref="Q162">CharToUTF8(A162)</f>
        <v>\xC3\xA4</v>
      </c>
      <c r="R162" s="22"/>
      <c r="S162" s="30">
        <v>10</v>
      </c>
      <c r="T162" s="31" t="str">
        <f>$AO$3</f>
        <v>DIAG_BOTH</v>
      </c>
      <c r="U162" s="31" t="str">
        <f>$AO$2</f>
        <v>EMPTY</v>
      </c>
      <c r="V162" s="32" t="str">
        <f>$AO$3</f>
        <v>DIAG_BOTH</v>
      </c>
      <c r="W162"/>
      <c r="X162" s="31" t="str">
        <f t="shared" si="69"/>
        <v/>
      </c>
      <c r="Y162" s="31" t="str">
        <f t="shared" si="70"/>
        <v/>
      </c>
      <c r="Z162" t="str">
        <f t="shared" si="71"/>
        <v/>
      </c>
      <c r="AA162" t="str">
        <f t="shared" si="72"/>
        <v/>
      </c>
      <c r="AB162" t="str">
        <f t="shared" si="73"/>
        <v/>
      </c>
      <c r="AC162" t="str">
        <f t="shared" si="74"/>
        <v/>
      </c>
      <c r="AD162" t="str">
        <f t="shared" si="75"/>
        <v/>
      </c>
      <c r="AE162" t="str">
        <f t="shared" si="76"/>
        <v/>
      </c>
      <c r="AF162" t="str">
        <f t="shared" si="77"/>
        <v/>
      </c>
      <c r="AG162" t="str">
        <f t="shared" si="78"/>
        <v/>
      </c>
      <c r="AH162" t="str">
        <f t="shared" si="79"/>
        <v/>
      </c>
      <c r="AI162" t="str">
        <f t="shared" si="80"/>
        <v/>
      </c>
      <c r="AJ162" t="str">
        <f t="shared" si="81"/>
        <v/>
      </c>
      <c r="AK162" t="str">
        <f t="shared" si="82"/>
        <v/>
      </c>
      <c r="AL162" t="str">
        <f t="shared" si="83"/>
        <v/>
      </c>
      <c r="AM162" t="str">
        <f t="shared" si="84"/>
        <v/>
      </c>
      <c r="AN162"/>
      <c r="AV162" s="59" t="str">
        <f t="shared" si="93"/>
        <v/>
      </c>
      <c r="AW162" s="60"/>
      <c r="AX162" s="60"/>
      <c r="AY162" s="60"/>
      <c r="AZ162" s="60"/>
      <c r="BA162" s="60"/>
      <c r="BB162" s="60"/>
      <c r="BC162" s="61"/>
      <c r="BE162" s="54" t="str">
        <f t="shared" si="85"/>
        <v/>
      </c>
      <c r="BF162" s="54" t="str">
        <f t="shared" si="86"/>
        <v/>
      </c>
      <c r="BG162" s="54" t="str">
        <f t="shared" si="87"/>
        <v/>
      </c>
      <c r="BH162" s="54" t="str">
        <f t="shared" si="88"/>
        <v/>
      </c>
      <c r="BJ162" s="58" t="str">
        <f t="shared" si="89"/>
        <v/>
      </c>
      <c r="BK162" s="58" t="str">
        <f t="shared" si="90"/>
        <v/>
      </c>
      <c r="BL162" s="58" t="str">
        <f t="shared" si="91"/>
        <v/>
      </c>
      <c r="BM162" s="58" t="str">
        <f t="shared" si="92"/>
        <v/>
      </c>
    </row>
    <row r="163" spans="1:65" s="14" customFormat="1" x14ac:dyDescent="0.4">
      <c r="A163" s="7" t="s">
        <v>142</v>
      </c>
      <c r="B163" s="13" t="str">
        <f t="shared" si="66"/>
        <v>å</v>
      </c>
      <c r="C163" s="48" t="str" cm="1">
        <f t="array" ref="C163">IF($N163,INDEX($O:$O,MATCH(TRUE,EXACT(B163,$A:$A),0)),"")</f>
        <v/>
      </c>
      <c r="D163" s="40"/>
      <c r="E163" s="48" t="str" cm="1">
        <f t="array" ref="E163">IF($N163,INDEX($O:$O,MATCH(TRUE,EXACT(D163,$A:$A),0)),"")</f>
        <v/>
      </c>
      <c r="F163" s="40" t="s">
        <v>143</v>
      </c>
      <c r="G163" s="48" t="str" cm="1">
        <f t="array" ref="G163">IF($O163&lt;&gt;"",INDEX($O:$O,MATCH(TRUE,EXACT(F163,$A:$A),0)),"")</f>
        <v/>
      </c>
      <c r="H163" s="40" t="s">
        <v>144</v>
      </c>
      <c r="I163" s="48" t="str" cm="1">
        <f t="array" ref="I163">IF($N163,INDEX($O:$O,MATCH(TRUE,EXACT(H163,$A:$A),0)),"")</f>
        <v/>
      </c>
      <c r="J163" s="40" t="s">
        <v>141</v>
      </c>
      <c r="K163" s="52" t="str" cm="1">
        <f t="array" ref="K163">IF($N163,INDEX($O:$O,MATCH(TRUE,EXACT(J163,$A:$A),0)),"")</f>
        <v/>
      </c>
      <c r="L163" s="47"/>
      <c r="M163" s="35"/>
      <c r="N163" s="18" t="b">
        <f t="shared" si="68"/>
        <v>0</v>
      </c>
      <c r="O163" s="19" t="str">
        <f>IF(N163, MAX(O$2:O162)+1,"")</f>
        <v/>
      </c>
      <c r="P163" s="23" t="str">
        <f t="shared" si="67"/>
        <v>å</v>
      </c>
      <c r="Q163" s="8" t="str" cm="1">
        <f t="array" ref="Q163">CharToUTF8(A163)</f>
        <v>\xC3\xA5</v>
      </c>
      <c r="R163" s="22"/>
      <c r="S163" s="30">
        <v>10</v>
      </c>
      <c r="T163" s="31" t="str">
        <f>$AO$3</f>
        <v>DIAG_BOTH</v>
      </c>
      <c r="U163" s="31" t="str">
        <f>$AO$3</f>
        <v>DIAG_BOTH</v>
      </c>
      <c r="V163" s="32" t="str">
        <f>$AO$2</f>
        <v>EMPTY</v>
      </c>
      <c r="W163"/>
      <c r="X163" s="31" t="str">
        <f t="shared" si="69"/>
        <v/>
      </c>
      <c r="Y163" s="31" t="str">
        <f t="shared" si="70"/>
        <v/>
      </c>
      <c r="Z163" t="str">
        <f t="shared" si="71"/>
        <v/>
      </c>
      <c r="AA163" t="str">
        <f t="shared" si="72"/>
        <v/>
      </c>
      <c r="AB163" t="str">
        <f t="shared" si="73"/>
        <v/>
      </c>
      <c r="AC163" t="str">
        <f t="shared" si="74"/>
        <v/>
      </c>
      <c r="AD163" t="str">
        <f t="shared" si="75"/>
        <v/>
      </c>
      <c r="AE163" t="str">
        <f t="shared" si="76"/>
        <v/>
      </c>
      <c r="AF163" t="str">
        <f t="shared" si="77"/>
        <v/>
      </c>
      <c r="AG163" t="str">
        <f t="shared" si="78"/>
        <v/>
      </c>
      <c r="AH163" t="str">
        <f t="shared" si="79"/>
        <v/>
      </c>
      <c r="AI163" t="str">
        <f t="shared" si="80"/>
        <v/>
      </c>
      <c r="AJ163" t="str">
        <f t="shared" si="81"/>
        <v/>
      </c>
      <c r="AK163" t="str">
        <f t="shared" si="82"/>
        <v/>
      </c>
      <c r="AL163" t="str">
        <f t="shared" si="83"/>
        <v/>
      </c>
      <c r="AM163" t="str">
        <f t="shared" si="84"/>
        <v/>
      </c>
      <c r="AN163"/>
      <c r="AO163"/>
      <c r="AP163"/>
      <c r="AQ163"/>
      <c r="AR163"/>
      <c r="AS163"/>
      <c r="AT163"/>
      <c r="AV163" s="59" t="str">
        <f t="shared" si="93"/>
        <v/>
      </c>
      <c r="AW163" s="60"/>
      <c r="AX163" s="60"/>
      <c r="AY163" s="60"/>
      <c r="AZ163" s="60"/>
      <c r="BA163" s="60"/>
      <c r="BB163" s="60"/>
      <c r="BC163" s="61"/>
      <c r="BE163" s="54" t="str">
        <f t="shared" si="85"/>
        <v/>
      </c>
      <c r="BF163" s="54" t="str">
        <f t="shared" si="86"/>
        <v/>
      </c>
      <c r="BG163" s="54" t="str">
        <f t="shared" si="87"/>
        <v/>
      </c>
      <c r="BH163" s="54" t="str">
        <f t="shared" si="88"/>
        <v/>
      </c>
      <c r="BJ163" s="58" t="str">
        <f t="shared" si="89"/>
        <v/>
      </c>
      <c r="BK163" s="58" t="str">
        <f t="shared" si="90"/>
        <v/>
      </c>
      <c r="BL163" s="58" t="str">
        <f t="shared" si="91"/>
        <v/>
      </c>
      <c r="BM163" s="58" t="str">
        <f t="shared" si="92"/>
        <v/>
      </c>
    </row>
    <row r="164" spans="1:65" s="14" customFormat="1" x14ac:dyDescent="0.4">
      <c r="A164" s="7" t="s">
        <v>143</v>
      </c>
      <c r="B164" s="13" t="str">
        <f t="shared" si="66"/>
        <v>ç</v>
      </c>
      <c r="C164" s="48" t="str" cm="1">
        <f t="array" ref="C164">IF($N164,INDEX($O:$O,MATCH(TRUE,EXACT(B164,$A:$A),0)),"")</f>
        <v/>
      </c>
      <c r="D164" s="40"/>
      <c r="E164" s="48" t="str" cm="1">
        <f t="array" ref="E164">IF($N164,INDEX($O:$O,MATCH(TRUE,EXACT(D164,$A:$A),0)),"")</f>
        <v/>
      </c>
      <c r="F164" s="40" t="s">
        <v>142</v>
      </c>
      <c r="G164" s="48" t="str" cm="1">
        <f t="array" ref="G164">IF($O164&lt;&gt;"",INDEX($O:$O,MATCH(TRUE,EXACT(F164,$A:$A),0)),"")</f>
        <v/>
      </c>
      <c r="H164" s="40" t="s">
        <v>141</v>
      </c>
      <c r="I164" s="48" t="str" cm="1">
        <f t="array" ref="I164">IF($N164,INDEX($O:$O,MATCH(TRUE,EXACT(H164,$A:$A),0)),"")</f>
        <v/>
      </c>
      <c r="J164" s="40" t="s">
        <v>144</v>
      </c>
      <c r="K164" s="52" t="str" cm="1">
        <f t="array" ref="K164">IF($N164,INDEX($O:$O,MATCH(TRUE,EXACT(J164,$A:$A),0)),"")</f>
        <v/>
      </c>
      <c r="L164" s="47"/>
      <c r="M164" s="35"/>
      <c r="N164" s="18" t="b">
        <f t="shared" si="68"/>
        <v>0</v>
      </c>
      <c r="O164" s="19" t="str">
        <f>IF(N164, MAX(O$2:O163)+1,"")</f>
        <v/>
      </c>
      <c r="P164" s="23" t="str">
        <f t="shared" si="67"/>
        <v>ç</v>
      </c>
      <c r="Q164" s="8" t="str" cm="1">
        <f t="array" ref="Q164">CharToUTF8(A164)</f>
        <v>\xC3\xA7</v>
      </c>
      <c r="R164" s="22"/>
      <c r="S164" s="30" t="str">
        <f>$AO$3</f>
        <v>DIAG_BOTH</v>
      </c>
      <c r="T164" s="31">
        <v>10</v>
      </c>
      <c r="U164" s="31" t="str">
        <f>$AO$2</f>
        <v>EMPTY</v>
      </c>
      <c r="V164" s="32" t="str">
        <f>$AO$3</f>
        <v>DIAG_BOTH</v>
      </c>
      <c r="W164"/>
      <c r="X164" s="31" t="str">
        <f t="shared" si="69"/>
        <v/>
      </c>
      <c r="Y164" s="31" t="str">
        <f t="shared" si="70"/>
        <v/>
      </c>
      <c r="Z164" t="str">
        <f t="shared" si="71"/>
        <v/>
      </c>
      <c r="AA164" t="str">
        <f t="shared" si="72"/>
        <v/>
      </c>
      <c r="AB164" t="str">
        <f t="shared" si="73"/>
        <v/>
      </c>
      <c r="AC164" t="str">
        <f t="shared" si="74"/>
        <v/>
      </c>
      <c r="AD164" t="str">
        <f t="shared" si="75"/>
        <v/>
      </c>
      <c r="AE164" t="str">
        <f t="shared" si="76"/>
        <v/>
      </c>
      <c r="AF164" t="str">
        <f t="shared" si="77"/>
        <v/>
      </c>
      <c r="AG164" t="str">
        <f t="shared" si="78"/>
        <v/>
      </c>
      <c r="AH164" t="str">
        <f t="shared" si="79"/>
        <v/>
      </c>
      <c r="AI164" t="str">
        <f t="shared" si="80"/>
        <v/>
      </c>
      <c r="AJ164" t="str">
        <f t="shared" si="81"/>
        <v/>
      </c>
      <c r="AK164" t="str">
        <f t="shared" si="82"/>
        <v/>
      </c>
      <c r="AL164" t="str">
        <f t="shared" si="83"/>
        <v/>
      </c>
      <c r="AM164" t="str">
        <f t="shared" si="84"/>
        <v/>
      </c>
      <c r="AN164"/>
      <c r="AO164"/>
      <c r="AP164"/>
      <c r="AQ164"/>
      <c r="AR164"/>
      <c r="AS164"/>
      <c r="AT164"/>
      <c r="AV164" s="59" t="str">
        <f t="shared" si="93"/>
        <v/>
      </c>
      <c r="AW164" s="60"/>
      <c r="AX164" s="60"/>
      <c r="AY164" s="60"/>
      <c r="AZ164" s="60"/>
      <c r="BA164" s="60"/>
      <c r="BB164" s="60"/>
      <c r="BC164" s="61"/>
      <c r="BE164" s="54" t="str">
        <f t="shared" si="85"/>
        <v/>
      </c>
      <c r="BF164" s="54" t="str">
        <f t="shared" si="86"/>
        <v/>
      </c>
      <c r="BG164" s="54" t="str">
        <f t="shared" si="87"/>
        <v/>
      </c>
      <c r="BH164" s="54" t="str">
        <f t="shared" si="88"/>
        <v/>
      </c>
      <c r="BJ164" s="58" t="str">
        <f t="shared" si="89"/>
        <v/>
      </c>
      <c r="BK164" s="58" t="str">
        <f t="shared" si="90"/>
        <v/>
      </c>
      <c r="BL164" s="58" t="str">
        <f t="shared" si="91"/>
        <v/>
      </c>
      <c r="BM164" s="58" t="str">
        <f t="shared" si="92"/>
        <v/>
      </c>
    </row>
    <row r="165" spans="1:65" s="14" customFormat="1" x14ac:dyDescent="0.4">
      <c r="A165" s="7" t="s">
        <v>144</v>
      </c>
      <c r="B165" s="13" t="str">
        <f t="shared" si="66"/>
        <v>è</v>
      </c>
      <c r="C165" s="48" t="str" cm="1">
        <f t="array" ref="C165">IF($N165,INDEX($O:$O,MATCH(TRUE,EXACT(B165,$A:$A),0)),"")</f>
        <v/>
      </c>
      <c r="D165" s="40"/>
      <c r="E165" s="48" t="str" cm="1">
        <f t="array" ref="E165">IF($N165,INDEX($O:$O,MATCH(TRUE,EXACT(D165,$A:$A),0)),"")</f>
        <v/>
      </c>
      <c r="F165" s="40" t="s">
        <v>141</v>
      </c>
      <c r="G165" s="48" t="str" cm="1">
        <f t="array" ref="G165">IF($O165&lt;&gt;"",INDEX($O:$O,MATCH(TRUE,EXACT(F165,$A:$A),0)),"")</f>
        <v/>
      </c>
      <c r="H165" s="40" t="s">
        <v>142</v>
      </c>
      <c r="I165" s="48" t="str" cm="1">
        <f t="array" ref="I165">IF($N165,INDEX($O:$O,MATCH(TRUE,EXACT(H165,$A:$A),0)),"")</f>
        <v/>
      </c>
      <c r="J165" s="40" t="s">
        <v>143</v>
      </c>
      <c r="K165" s="52" t="str" cm="1">
        <f t="array" ref="K165">IF($N165,INDEX($O:$O,MATCH(TRUE,EXACT(J165,$A:$A),0)),"")</f>
        <v/>
      </c>
      <c r="L165" s="47"/>
      <c r="M165" s="35"/>
      <c r="N165" s="18" t="b">
        <f t="shared" si="68"/>
        <v>0</v>
      </c>
      <c r="O165" s="19" t="str">
        <f>IF(N165, MAX(O$2:O164)+1,"")</f>
        <v/>
      </c>
      <c r="P165" s="23" t="str">
        <f t="shared" si="67"/>
        <v>è</v>
      </c>
      <c r="Q165" s="8" t="str" cm="1">
        <f t="array" ref="Q165">CharToUTF8(A165)</f>
        <v>\xC3\xA8</v>
      </c>
      <c r="R165" s="22"/>
      <c r="S165" s="30" t="str">
        <f>$AO$3</f>
        <v>DIAG_BOTH</v>
      </c>
      <c r="T165" s="31">
        <v>10</v>
      </c>
      <c r="U165" s="31" t="str">
        <f>$AO$3</f>
        <v>DIAG_BOTH</v>
      </c>
      <c r="V165" s="32" t="str">
        <f>$AO$2</f>
        <v>EMPTY</v>
      </c>
      <c r="W165"/>
      <c r="X165" s="31" t="str">
        <f t="shared" si="69"/>
        <v/>
      </c>
      <c r="Y165" s="31" t="str">
        <f t="shared" si="70"/>
        <v/>
      </c>
      <c r="Z165" t="str">
        <f t="shared" si="71"/>
        <v/>
      </c>
      <c r="AA165" t="str">
        <f t="shared" si="72"/>
        <v/>
      </c>
      <c r="AB165" t="str">
        <f t="shared" si="73"/>
        <v/>
      </c>
      <c r="AC165" t="str">
        <f t="shared" si="74"/>
        <v/>
      </c>
      <c r="AD165" t="str">
        <f t="shared" si="75"/>
        <v/>
      </c>
      <c r="AE165" t="str">
        <f t="shared" si="76"/>
        <v/>
      </c>
      <c r="AF165" t="str">
        <f t="shared" si="77"/>
        <v/>
      </c>
      <c r="AG165" t="str">
        <f t="shared" si="78"/>
        <v/>
      </c>
      <c r="AH165" t="str">
        <f t="shared" si="79"/>
        <v/>
      </c>
      <c r="AI165" t="str">
        <f t="shared" si="80"/>
        <v/>
      </c>
      <c r="AJ165" t="str">
        <f t="shared" si="81"/>
        <v/>
      </c>
      <c r="AK165" t="str">
        <f t="shared" si="82"/>
        <v/>
      </c>
      <c r="AL165" t="str">
        <f t="shared" si="83"/>
        <v/>
      </c>
      <c r="AM165" t="str">
        <f t="shared" si="84"/>
        <v/>
      </c>
      <c r="AN165"/>
      <c r="AO165"/>
      <c r="AP165"/>
      <c r="AQ165"/>
      <c r="AR165"/>
      <c r="AS165"/>
      <c r="AT165"/>
      <c r="AV165" s="59" t="str">
        <f t="shared" si="93"/>
        <v/>
      </c>
      <c r="AW165" s="60"/>
      <c r="AX165" s="60"/>
      <c r="AY165" s="60"/>
      <c r="AZ165" s="60"/>
      <c r="BA165" s="60"/>
      <c r="BB165" s="60"/>
      <c r="BC165" s="61"/>
      <c r="BE165" s="54" t="str">
        <f t="shared" si="85"/>
        <v/>
      </c>
      <c r="BF165" s="54" t="str">
        <f t="shared" si="86"/>
        <v/>
      </c>
      <c r="BG165" s="54" t="str">
        <f t="shared" si="87"/>
        <v/>
      </c>
      <c r="BH165" s="54" t="str">
        <f t="shared" si="88"/>
        <v/>
      </c>
      <c r="BJ165" s="58" t="str">
        <f t="shared" si="89"/>
        <v/>
      </c>
      <c r="BK165" s="58" t="str">
        <f t="shared" si="90"/>
        <v/>
      </c>
      <c r="BL165" s="58" t="str">
        <f t="shared" si="91"/>
        <v/>
      </c>
      <c r="BM165" s="58" t="str">
        <f t="shared" si="92"/>
        <v/>
      </c>
    </row>
    <row r="166" spans="1:65" s="14" customFormat="1" x14ac:dyDescent="0.4">
      <c r="A166" s="7" t="s">
        <v>161</v>
      </c>
      <c r="B166" s="13" t="str">
        <f t="shared" si="66"/>
        <v>é</v>
      </c>
      <c r="C166" s="48" t="str" cm="1">
        <f t="array" ref="C166">IF($N166,INDEX($O:$O,MATCH(TRUE,EXACT(B166,$A:$A),0)),"")</f>
        <v/>
      </c>
      <c r="D166" s="40"/>
      <c r="E166" s="48" t="str" cm="1">
        <f t="array" ref="E166">IF($N166,INDEX($O:$O,MATCH(TRUE,EXACT(D166,$A:$A),0)),"")</f>
        <v/>
      </c>
      <c r="F166" s="40" t="s">
        <v>162</v>
      </c>
      <c r="G166" s="48" t="str" cm="1">
        <f t="array" ref="G166">IF($O166&lt;&gt;"",INDEX($O:$O,MATCH(TRUE,EXACT(F166,$A:$A),0)),"")</f>
        <v/>
      </c>
      <c r="H166" s="40" t="s">
        <v>162</v>
      </c>
      <c r="I166" s="48" t="str" cm="1">
        <f t="array" ref="I166">IF($N166,INDEX($O:$O,MATCH(TRUE,EXACT(H166,$A:$A),0)),"")</f>
        <v/>
      </c>
      <c r="J166" s="40" t="s">
        <v>161</v>
      </c>
      <c r="K166" s="52" t="str" cm="1">
        <f t="array" ref="K166">IF($N166,INDEX($O:$O,MATCH(TRUE,EXACT(J166,$A:$A),0)),"")</f>
        <v/>
      </c>
      <c r="L166" s="47"/>
      <c r="M166" s="35"/>
      <c r="N166" s="18" t="b">
        <f t="shared" si="68"/>
        <v>0</v>
      </c>
      <c r="O166" s="19" t="str">
        <f>IF(N166, MAX(O$2:O165)+1,"")</f>
        <v/>
      </c>
      <c r="P166" s="23" t="str">
        <f t="shared" si="67"/>
        <v>é</v>
      </c>
      <c r="Q166" s="8" t="str" cm="1">
        <f t="array" ref="Q166">CharToUTF8(A166)</f>
        <v>\xC3\xA9</v>
      </c>
      <c r="R166" s="22"/>
      <c r="S166" s="30" t="str">
        <f>$AO$2</f>
        <v>EMPTY</v>
      </c>
      <c r="T166" s="31">
        <v>10</v>
      </c>
      <c r="U166" s="31" t="str">
        <f>$AO$2</f>
        <v>EMPTY</v>
      </c>
      <c r="V166" s="32" t="str">
        <f>$AO$2</f>
        <v>EMPTY</v>
      </c>
      <c r="W166"/>
      <c r="X166" s="31" t="str">
        <f t="shared" si="69"/>
        <v/>
      </c>
      <c r="Y166" s="31" t="str">
        <f t="shared" si="70"/>
        <v/>
      </c>
      <c r="Z166" t="str">
        <f t="shared" si="71"/>
        <v/>
      </c>
      <c r="AA166" t="str">
        <f t="shared" si="72"/>
        <v/>
      </c>
      <c r="AB166" t="str">
        <f t="shared" si="73"/>
        <v/>
      </c>
      <c r="AC166" t="str">
        <f t="shared" si="74"/>
        <v/>
      </c>
      <c r="AD166" t="str">
        <f t="shared" si="75"/>
        <v/>
      </c>
      <c r="AE166" t="str">
        <f t="shared" si="76"/>
        <v/>
      </c>
      <c r="AF166" t="str">
        <f t="shared" si="77"/>
        <v/>
      </c>
      <c r="AG166" t="str">
        <f t="shared" si="78"/>
        <v/>
      </c>
      <c r="AH166" t="str">
        <f t="shared" si="79"/>
        <v/>
      </c>
      <c r="AI166" t="str">
        <f t="shared" si="80"/>
        <v/>
      </c>
      <c r="AJ166" t="str">
        <f t="shared" si="81"/>
        <v/>
      </c>
      <c r="AK166" t="str">
        <f t="shared" si="82"/>
        <v/>
      </c>
      <c r="AL166" t="str">
        <f t="shared" si="83"/>
        <v/>
      </c>
      <c r="AM166" t="str">
        <f t="shared" si="84"/>
        <v/>
      </c>
      <c r="AN166"/>
      <c r="AO166"/>
      <c r="AP166"/>
      <c r="AQ166"/>
      <c r="AR166"/>
      <c r="AS166"/>
      <c r="AT166"/>
      <c r="AV166" s="59" t="str">
        <f t="shared" si="93"/>
        <v/>
      </c>
      <c r="AW166" s="60"/>
      <c r="AX166" s="60"/>
      <c r="AY166" s="60"/>
      <c r="AZ166" s="60"/>
      <c r="BA166" s="60"/>
      <c r="BB166" s="60"/>
      <c r="BC166" s="61"/>
      <c r="BE166" s="54" t="str">
        <f t="shared" si="85"/>
        <v/>
      </c>
      <c r="BF166" s="54" t="str">
        <f t="shared" si="86"/>
        <v/>
      </c>
      <c r="BG166" s="54" t="str">
        <f t="shared" si="87"/>
        <v/>
      </c>
      <c r="BH166" s="54" t="str">
        <f t="shared" si="88"/>
        <v/>
      </c>
      <c r="BJ166" s="58" t="str">
        <f t="shared" si="89"/>
        <v/>
      </c>
      <c r="BK166" s="58" t="str">
        <f t="shared" si="90"/>
        <v/>
      </c>
      <c r="BL166" s="58" t="str">
        <f t="shared" si="91"/>
        <v/>
      </c>
      <c r="BM166" s="58" t="str">
        <f t="shared" si="92"/>
        <v/>
      </c>
    </row>
    <row r="167" spans="1:65" s="14" customFormat="1" x14ac:dyDescent="0.4">
      <c r="A167" s="7" t="s">
        <v>162</v>
      </c>
      <c r="B167" s="13" t="str">
        <f t="shared" si="66"/>
        <v>ê</v>
      </c>
      <c r="C167" s="48" t="str" cm="1">
        <f t="array" ref="C167">IF($N167,INDEX($O:$O,MATCH(TRUE,EXACT(B167,$A:$A),0)),"")</f>
        <v/>
      </c>
      <c r="D167" s="40"/>
      <c r="E167" s="48" t="str" cm="1">
        <f t="array" ref="E167">IF($N167,INDEX($O:$O,MATCH(TRUE,EXACT(D167,$A:$A),0)),"")</f>
        <v/>
      </c>
      <c r="F167" s="40" t="s">
        <v>161</v>
      </c>
      <c r="G167" s="48" t="str" cm="1">
        <f t="array" ref="G167">IF($O167&lt;&gt;"",INDEX($O:$O,MATCH(TRUE,EXACT(F167,$A:$A),0)),"")</f>
        <v/>
      </c>
      <c r="H167" s="40" t="s">
        <v>161</v>
      </c>
      <c r="I167" s="48" t="str" cm="1">
        <f t="array" ref="I167">IF($N167,INDEX($O:$O,MATCH(TRUE,EXACT(H167,$A:$A),0)),"")</f>
        <v/>
      </c>
      <c r="J167" s="40" t="s">
        <v>162</v>
      </c>
      <c r="K167" s="52" t="str" cm="1">
        <f t="array" ref="K167">IF($N167,INDEX($O:$O,MATCH(TRUE,EXACT(J167,$A:$A),0)),"")</f>
        <v/>
      </c>
      <c r="L167" s="47"/>
      <c r="M167" s="35"/>
      <c r="N167" s="18" t="b">
        <f t="shared" si="68"/>
        <v>0</v>
      </c>
      <c r="O167" s="19" t="str">
        <f>IF(N167, MAX(O$2:O166)+1,"")</f>
        <v/>
      </c>
      <c r="P167" s="23" t="str">
        <f t="shared" si="67"/>
        <v>ê</v>
      </c>
      <c r="Q167" s="8" t="str" cm="1">
        <f t="array" ref="Q167">CharToUTF8(A167)</f>
        <v>\xC3\xAA</v>
      </c>
      <c r="R167" s="22"/>
      <c r="S167" s="30">
        <v>10</v>
      </c>
      <c r="T167" s="31" t="str">
        <f>$AO$2</f>
        <v>EMPTY</v>
      </c>
      <c r="U167" s="31" t="str">
        <f>$AO$2</f>
        <v>EMPTY</v>
      </c>
      <c r="V167" s="32" t="str">
        <f>$AO$2</f>
        <v>EMPTY</v>
      </c>
      <c r="W167"/>
      <c r="X167" s="31" t="str">
        <f t="shared" si="69"/>
        <v/>
      </c>
      <c r="Y167" s="31" t="str">
        <f t="shared" si="70"/>
        <v/>
      </c>
      <c r="Z167" t="str">
        <f t="shared" si="71"/>
        <v/>
      </c>
      <c r="AA167" t="str">
        <f t="shared" si="72"/>
        <v/>
      </c>
      <c r="AB167" t="str">
        <f t="shared" si="73"/>
        <v/>
      </c>
      <c r="AC167" t="str">
        <f t="shared" si="74"/>
        <v/>
      </c>
      <c r="AD167" t="str">
        <f t="shared" si="75"/>
        <v/>
      </c>
      <c r="AE167" t="str">
        <f t="shared" si="76"/>
        <v/>
      </c>
      <c r="AF167" t="str">
        <f t="shared" si="77"/>
        <v/>
      </c>
      <c r="AG167" t="str">
        <f t="shared" si="78"/>
        <v/>
      </c>
      <c r="AH167" t="str">
        <f t="shared" si="79"/>
        <v/>
      </c>
      <c r="AI167" t="str">
        <f t="shared" si="80"/>
        <v/>
      </c>
      <c r="AJ167" t="str">
        <f t="shared" si="81"/>
        <v/>
      </c>
      <c r="AK167" t="str">
        <f t="shared" si="82"/>
        <v/>
      </c>
      <c r="AL167" t="str">
        <f t="shared" si="83"/>
        <v/>
      </c>
      <c r="AM167" t="str">
        <f t="shared" si="84"/>
        <v/>
      </c>
      <c r="AN167"/>
      <c r="AO167"/>
      <c r="AP167"/>
      <c r="AQ167"/>
      <c r="AR167"/>
      <c r="AS167"/>
      <c r="AT167"/>
      <c r="AV167" s="59" t="str">
        <f t="shared" si="93"/>
        <v/>
      </c>
      <c r="AW167" s="60"/>
      <c r="AX167" s="60"/>
      <c r="AY167" s="60"/>
      <c r="AZ167" s="60"/>
      <c r="BA167" s="60"/>
      <c r="BB167" s="60"/>
      <c r="BC167" s="61"/>
      <c r="BE167" s="54" t="str">
        <f t="shared" si="85"/>
        <v/>
      </c>
      <c r="BF167" s="54" t="str">
        <f t="shared" si="86"/>
        <v/>
      </c>
      <c r="BG167" s="54" t="str">
        <f t="shared" si="87"/>
        <v/>
      </c>
      <c r="BH167" s="54" t="str">
        <f t="shared" si="88"/>
        <v/>
      </c>
      <c r="BJ167" s="58" t="str">
        <f t="shared" si="89"/>
        <v/>
      </c>
      <c r="BK167" s="58" t="str">
        <f t="shared" si="90"/>
        <v/>
      </c>
      <c r="BL167" s="58" t="str">
        <f t="shared" si="91"/>
        <v/>
      </c>
      <c r="BM167" s="58" t="str">
        <f t="shared" si="92"/>
        <v/>
      </c>
    </row>
    <row r="168" spans="1:65" s="14" customFormat="1" x14ac:dyDescent="0.4">
      <c r="A168" s="7" t="s">
        <v>163</v>
      </c>
      <c r="B168" s="13" t="str">
        <f t="shared" si="66"/>
        <v>ë</v>
      </c>
      <c r="C168" s="48" t="str" cm="1">
        <f t="array" ref="C168">IF($N168,INDEX($O:$O,MATCH(TRUE,EXACT(B168,$A:$A),0)),"")</f>
        <v/>
      </c>
      <c r="D168" s="40"/>
      <c r="E168" s="48" t="str" cm="1">
        <f t="array" ref="E168">IF($N168,INDEX($O:$O,MATCH(TRUE,EXACT(D168,$A:$A),0)),"")</f>
        <v/>
      </c>
      <c r="F168" s="40" t="s">
        <v>163</v>
      </c>
      <c r="G168" s="48" t="str" cm="1">
        <f t="array" ref="G168">IF($O168&lt;&gt;"",INDEX($O:$O,MATCH(TRUE,EXACT(F168,$A:$A),0)),"")</f>
        <v/>
      </c>
      <c r="H168" s="40" t="s">
        <v>163</v>
      </c>
      <c r="I168" s="48" t="str" cm="1">
        <f t="array" ref="I168">IF($N168,INDEX($O:$O,MATCH(TRUE,EXACT(H168,$A:$A),0)),"")</f>
        <v/>
      </c>
      <c r="J168" s="40" t="s">
        <v>163</v>
      </c>
      <c r="K168" s="52" t="str" cm="1">
        <f t="array" ref="K168">IF($N168,INDEX($O:$O,MATCH(TRUE,EXACT(J168,$A:$A),0)),"")</f>
        <v/>
      </c>
      <c r="L168" s="47"/>
      <c r="M168" s="35"/>
      <c r="N168" s="18" t="b">
        <f t="shared" si="68"/>
        <v>0</v>
      </c>
      <c r="O168" s="19" t="str">
        <f>IF(N168, MAX(O$2:O167)+1,"")</f>
        <v/>
      </c>
      <c r="P168" s="23" t="str">
        <f t="shared" si="67"/>
        <v>ë</v>
      </c>
      <c r="Q168" s="8" t="str" cm="1">
        <f t="array" ref="Q168">CharToUTF8(A168)</f>
        <v>\xC3\xAB</v>
      </c>
      <c r="R168" s="22"/>
      <c r="S168" s="30">
        <v>10</v>
      </c>
      <c r="T168" s="31">
        <v>10</v>
      </c>
      <c r="U168" s="31" t="str">
        <f>$AO$2</f>
        <v>EMPTY</v>
      </c>
      <c r="V168" s="32" t="str">
        <f>$AO$2</f>
        <v>EMPTY</v>
      </c>
      <c r="W168"/>
      <c r="X168" s="31" t="str">
        <f t="shared" si="69"/>
        <v/>
      </c>
      <c r="Y168" s="31" t="str">
        <f t="shared" si="70"/>
        <v/>
      </c>
      <c r="Z168" t="str">
        <f t="shared" si="71"/>
        <v/>
      </c>
      <c r="AA168" t="str">
        <f t="shared" si="72"/>
        <v/>
      </c>
      <c r="AB168" t="str">
        <f t="shared" si="73"/>
        <v/>
      </c>
      <c r="AC168" t="str">
        <f t="shared" si="74"/>
        <v/>
      </c>
      <c r="AD168" t="str">
        <f t="shared" si="75"/>
        <v/>
      </c>
      <c r="AE168" t="str">
        <f t="shared" si="76"/>
        <v/>
      </c>
      <c r="AF168" t="str">
        <f t="shared" si="77"/>
        <v/>
      </c>
      <c r="AG168" t="str">
        <f t="shared" si="78"/>
        <v/>
      </c>
      <c r="AH168" t="str">
        <f t="shared" si="79"/>
        <v/>
      </c>
      <c r="AI168" t="str">
        <f t="shared" si="80"/>
        <v/>
      </c>
      <c r="AJ168" t="str">
        <f t="shared" si="81"/>
        <v/>
      </c>
      <c r="AK168" t="str">
        <f t="shared" si="82"/>
        <v/>
      </c>
      <c r="AL168" t="str">
        <f t="shared" si="83"/>
        <v/>
      </c>
      <c r="AM168" t="str">
        <f t="shared" si="84"/>
        <v/>
      </c>
      <c r="AN168"/>
      <c r="AO168"/>
      <c r="AP168"/>
      <c r="AQ168"/>
      <c r="AR168"/>
      <c r="AS168"/>
      <c r="AT168"/>
      <c r="AV168" s="59" t="str">
        <f t="shared" si="93"/>
        <v/>
      </c>
      <c r="AW168" s="60"/>
      <c r="AX168" s="60"/>
      <c r="AY168" s="60"/>
      <c r="AZ168" s="60"/>
      <c r="BA168" s="60"/>
      <c r="BB168" s="60"/>
      <c r="BC168" s="61"/>
      <c r="BE168" s="54" t="str">
        <f t="shared" si="85"/>
        <v/>
      </c>
      <c r="BF168" s="54" t="str">
        <f t="shared" si="86"/>
        <v/>
      </c>
      <c r="BG168" s="54" t="str">
        <f t="shared" si="87"/>
        <v/>
      </c>
      <c r="BH168" s="54" t="str">
        <f t="shared" si="88"/>
        <v/>
      </c>
      <c r="BJ168" s="58" t="str">
        <f t="shared" si="89"/>
        <v/>
      </c>
      <c r="BK168" s="58" t="str">
        <f t="shared" si="90"/>
        <v/>
      </c>
      <c r="BL168" s="58" t="str">
        <f t="shared" si="91"/>
        <v/>
      </c>
      <c r="BM168" s="58" t="str">
        <f t="shared" si="92"/>
        <v/>
      </c>
    </row>
    <row r="169" spans="1:65" s="14" customFormat="1" x14ac:dyDescent="0.4">
      <c r="A169" s="7" t="s">
        <v>145</v>
      </c>
      <c r="B169" s="13" t="str">
        <f t="shared" si="66"/>
        <v>ì</v>
      </c>
      <c r="C169" s="48" t="str" cm="1">
        <f t="array" ref="C169">IF($N169,INDEX($O:$O,MATCH(TRUE,EXACT(B169,$A:$A),0)),"")</f>
        <v/>
      </c>
      <c r="D169" s="40"/>
      <c r="E169" s="48" t="str" cm="1">
        <f t="array" ref="E169">IF($N169,INDEX($O:$O,MATCH(TRUE,EXACT(D169,$A:$A),0)),"")</f>
        <v/>
      </c>
      <c r="F169" s="40" t="s">
        <v>148</v>
      </c>
      <c r="G169" s="48" t="str" cm="1">
        <f t="array" ref="G169">IF($O169&lt;&gt;"",INDEX($O:$O,MATCH(TRUE,EXACT(F169,$A:$A),0)),"")</f>
        <v/>
      </c>
      <c r="H169" s="40" t="s">
        <v>147</v>
      </c>
      <c r="I169" s="48" t="str" cm="1">
        <f t="array" ref="I169">IF($N169,INDEX($O:$O,MATCH(TRUE,EXACT(H169,$A:$A),0)),"")</f>
        <v/>
      </c>
      <c r="J169" s="40" t="s">
        <v>146</v>
      </c>
      <c r="K169" s="52" t="str" cm="1">
        <f t="array" ref="K169">IF($N169,INDEX($O:$O,MATCH(TRUE,EXACT(J169,$A:$A),0)),"")</f>
        <v/>
      </c>
      <c r="L169" s="47"/>
      <c r="M169" s="35"/>
      <c r="N169" s="18" t="b">
        <f t="shared" si="68"/>
        <v>0</v>
      </c>
      <c r="O169" s="19" t="str">
        <f>IF(N169, MAX(O$2:O168)+1,"")</f>
        <v/>
      </c>
      <c r="P169" s="23" t="str">
        <f t="shared" si="67"/>
        <v>ì</v>
      </c>
      <c r="Q169" s="8" t="str" cm="1">
        <f t="array" ref="Q169">CharToUTF8(A169)</f>
        <v>\xC3\xAC</v>
      </c>
      <c r="R169" s="22"/>
      <c r="S169" s="30" t="str">
        <f>$AO$2</f>
        <v>EMPTY</v>
      </c>
      <c r="T169" s="31" t="str">
        <f>$AO$3</f>
        <v>DIAG_BOTH</v>
      </c>
      <c r="U169" s="31">
        <v>9</v>
      </c>
      <c r="V169" s="32" t="str">
        <f>$AO$3</f>
        <v>DIAG_BOTH</v>
      </c>
      <c r="W169"/>
      <c r="X169" s="31" t="str">
        <f t="shared" si="69"/>
        <v/>
      </c>
      <c r="Y169" s="31" t="str">
        <f t="shared" si="70"/>
        <v/>
      </c>
      <c r="Z169" t="str">
        <f t="shared" si="71"/>
        <v/>
      </c>
      <c r="AA169" t="str">
        <f t="shared" si="72"/>
        <v/>
      </c>
      <c r="AB169" t="str">
        <f t="shared" si="73"/>
        <v/>
      </c>
      <c r="AC169" t="str">
        <f t="shared" si="74"/>
        <v/>
      </c>
      <c r="AD169" t="str">
        <f t="shared" si="75"/>
        <v/>
      </c>
      <c r="AE169" t="str">
        <f t="shared" si="76"/>
        <v/>
      </c>
      <c r="AF169" t="str">
        <f t="shared" si="77"/>
        <v/>
      </c>
      <c r="AG169" t="str">
        <f t="shared" si="78"/>
        <v/>
      </c>
      <c r="AH169" t="str">
        <f t="shared" si="79"/>
        <v/>
      </c>
      <c r="AI169" t="str">
        <f t="shared" si="80"/>
        <v/>
      </c>
      <c r="AJ169" t="str">
        <f t="shared" si="81"/>
        <v/>
      </c>
      <c r="AK169" t="str">
        <f t="shared" si="82"/>
        <v/>
      </c>
      <c r="AL169" t="str">
        <f t="shared" si="83"/>
        <v/>
      </c>
      <c r="AM169" t="str">
        <f t="shared" si="84"/>
        <v/>
      </c>
      <c r="AN169"/>
      <c r="AO169"/>
      <c r="AP169"/>
      <c r="AQ169"/>
      <c r="AR169"/>
      <c r="AS169"/>
      <c r="AT169"/>
      <c r="AV169" s="59" t="str">
        <f t="shared" si="93"/>
        <v/>
      </c>
      <c r="AW169" s="60"/>
      <c r="AX169" s="60"/>
      <c r="AY169" s="60"/>
      <c r="AZ169" s="60"/>
      <c r="BA169" s="60"/>
      <c r="BB169" s="60"/>
      <c r="BC169" s="61"/>
      <c r="BE169" s="54" t="str">
        <f t="shared" si="85"/>
        <v/>
      </c>
      <c r="BF169" s="54" t="str">
        <f t="shared" si="86"/>
        <v/>
      </c>
      <c r="BG169" s="54" t="str">
        <f t="shared" si="87"/>
        <v/>
      </c>
      <c r="BH169" s="54" t="str">
        <f t="shared" si="88"/>
        <v/>
      </c>
      <c r="BJ169" s="58" t="str">
        <f t="shared" si="89"/>
        <v/>
      </c>
      <c r="BK169" s="58" t="str">
        <f t="shared" si="90"/>
        <v/>
      </c>
      <c r="BL169" s="58" t="str">
        <f t="shared" si="91"/>
        <v/>
      </c>
      <c r="BM169" s="58" t="str">
        <f t="shared" si="92"/>
        <v/>
      </c>
    </row>
    <row r="170" spans="1:65" s="14" customFormat="1" x14ac:dyDescent="0.4">
      <c r="A170" s="7" t="s">
        <v>146</v>
      </c>
      <c r="B170" s="13" t="str">
        <f t="shared" si="66"/>
        <v>í</v>
      </c>
      <c r="C170" s="48" t="str" cm="1">
        <f t="array" ref="C170">IF($N170,INDEX($O:$O,MATCH(TRUE,EXACT(B170,$A:$A),0)),"")</f>
        <v/>
      </c>
      <c r="D170" s="40"/>
      <c r="E170" s="48" t="str" cm="1">
        <f t="array" ref="E170">IF($N170,INDEX($O:$O,MATCH(TRUE,EXACT(D170,$A:$A),0)),"")</f>
        <v/>
      </c>
      <c r="F170" s="40" t="s">
        <v>147</v>
      </c>
      <c r="G170" s="48" t="str" cm="1">
        <f t="array" ref="G170">IF($O170&lt;&gt;"",INDEX($O:$O,MATCH(TRUE,EXACT(F170,$A:$A),0)),"")</f>
        <v/>
      </c>
      <c r="H170" s="40" t="s">
        <v>148</v>
      </c>
      <c r="I170" s="48" t="str" cm="1">
        <f t="array" ref="I170">IF($N170,INDEX($O:$O,MATCH(TRUE,EXACT(H170,$A:$A),0)),"")</f>
        <v/>
      </c>
      <c r="J170" s="40" t="s">
        <v>145</v>
      </c>
      <c r="K170" s="52" t="str" cm="1">
        <f t="array" ref="K170">IF($N170,INDEX($O:$O,MATCH(TRUE,EXACT(J170,$A:$A),0)),"")</f>
        <v/>
      </c>
      <c r="L170" s="47"/>
      <c r="M170" s="35"/>
      <c r="N170" s="18" t="b">
        <f t="shared" si="68"/>
        <v>0</v>
      </c>
      <c r="O170" s="19" t="str">
        <f>IF(N170, MAX(O$2:O169)+1,"")</f>
        <v/>
      </c>
      <c r="P170" s="23" t="str">
        <f t="shared" si="67"/>
        <v>í</v>
      </c>
      <c r="Q170" s="8" t="str" cm="1">
        <f t="array" ref="Q170">CharToUTF8(A170)</f>
        <v>\xC3\xAD</v>
      </c>
      <c r="R170" s="22"/>
      <c r="S170" s="30" t="str">
        <f>$AO$2</f>
        <v>EMPTY</v>
      </c>
      <c r="T170" s="31" t="str">
        <f>$AO$3</f>
        <v>DIAG_BOTH</v>
      </c>
      <c r="U170" s="31" t="str">
        <f>$AO$3</f>
        <v>DIAG_BOTH</v>
      </c>
      <c r="V170" s="32">
        <v>9</v>
      </c>
      <c r="W170"/>
      <c r="X170" s="31" t="str">
        <f t="shared" si="69"/>
        <v/>
      </c>
      <c r="Y170" s="31" t="str">
        <f t="shared" si="70"/>
        <v/>
      </c>
      <c r="Z170" t="str">
        <f t="shared" si="71"/>
        <v/>
      </c>
      <c r="AA170" t="str">
        <f t="shared" si="72"/>
        <v/>
      </c>
      <c r="AB170" t="str">
        <f t="shared" si="73"/>
        <v/>
      </c>
      <c r="AC170" t="str">
        <f t="shared" si="74"/>
        <v/>
      </c>
      <c r="AD170" t="str">
        <f t="shared" si="75"/>
        <v/>
      </c>
      <c r="AE170" t="str">
        <f t="shared" si="76"/>
        <v/>
      </c>
      <c r="AF170" t="str">
        <f t="shared" si="77"/>
        <v/>
      </c>
      <c r="AG170" t="str">
        <f t="shared" si="78"/>
        <v/>
      </c>
      <c r="AH170" t="str">
        <f t="shared" si="79"/>
        <v/>
      </c>
      <c r="AI170" t="str">
        <f t="shared" si="80"/>
        <v/>
      </c>
      <c r="AJ170" t="str">
        <f t="shared" si="81"/>
        <v/>
      </c>
      <c r="AK170" t="str">
        <f t="shared" si="82"/>
        <v/>
      </c>
      <c r="AL170" t="str">
        <f t="shared" si="83"/>
        <v/>
      </c>
      <c r="AM170" t="str">
        <f t="shared" si="84"/>
        <v/>
      </c>
      <c r="AN170"/>
      <c r="AO170"/>
      <c r="AP170"/>
      <c r="AQ170"/>
      <c r="AR170"/>
      <c r="AS170"/>
      <c r="AT170"/>
      <c r="AV170" s="59" t="str">
        <f t="shared" si="93"/>
        <v/>
      </c>
      <c r="AW170" s="60"/>
      <c r="AX170" s="60"/>
      <c r="AY170" s="60"/>
      <c r="AZ170" s="60"/>
      <c r="BA170" s="60"/>
      <c r="BB170" s="60"/>
      <c r="BC170" s="61"/>
      <c r="BE170" s="54" t="str">
        <f t="shared" si="85"/>
        <v/>
      </c>
      <c r="BF170" s="54" t="str">
        <f t="shared" si="86"/>
        <v/>
      </c>
      <c r="BG170" s="54" t="str">
        <f t="shared" si="87"/>
        <v/>
      </c>
      <c r="BH170" s="54" t="str">
        <f t="shared" si="88"/>
        <v/>
      </c>
      <c r="BJ170" s="58" t="str">
        <f t="shared" si="89"/>
        <v/>
      </c>
      <c r="BK170" s="58" t="str">
        <f t="shared" si="90"/>
        <v/>
      </c>
      <c r="BL170" s="58" t="str">
        <f t="shared" si="91"/>
        <v/>
      </c>
      <c r="BM170" s="58" t="str">
        <f t="shared" si="92"/>
        <v/>
      </c>
    </row>
    <row r="171" spans="1:65" s="14" customFormat="1" x14ac:dyDescent="0.4">
      <c r="A171" s="7" t="s">
        <v>147</v>
      </c>
      <c r="B171" s="13" t="str">
        <f t="shared" si="66"/>
        <v>î</v>
      </c>
      <c r="C171" s="48" t="str" cm="1">
        <f t="array" ref="C171">IF($N171,INDEX($O:$O,MATCH(TRUE,EXACT(B171,$A:$A),0)),"")</f>
        <v/>
      </c>
      <c r="D171" s="40"/>
      <c r="E171" s="48" t="str" cm="1">
        <f t="array" ref="E171">IF($N171,INDEX($O:$O,MATCH(TRUE,EXACT(D171,$A:$A),0)),"")</f>
        <v/>
      </c>
      <c r="F171" s="40" t="s">
        <v>146</v>
      </c>
      <c r="G171" s="48" t="str" cm="1">
        <f t="array" ref="G171">IF($O171&lt;&gt;"",INDEX($O:$O,MATCH(TRUE,EXACT(F171,$A:$A),0)),"")</f>
        <v/>
      </c>
      <c r="H171" s="40" t="s">
        <v>145</v>
      </c>
      <c r="I171" s="48" t="str" cm="1">
        <f t="array" ref="I171">IF($N171,INDEX($O:$O,MATCH(TRUE,EXACT(H171,$A:$A),0)),"")</f>
        <v/>
      </c>
      <c r="J171" s="40" t="s">
        <v>148</v>
      </c>
      <c r="K171" s="52" t="str" cm="1">
        <f t="array" ref="K171">IF($N171,INDEX($O:$O,MATCH(TRUE,EXACT(J171,$A:$A),0)),"")</f>
        <v/>
      </c>
      <c r="L171" s="47"/>
      <c r="M171" s="35"/>
      <c r="N171" s="18" t="b">
        <f t="shared" si="68"/>
        <v>0</v>
      </c>
      <c r="O171" s="19" t="str">
        <f>IF(N171, MAX(O$2:O170)+1,"")</f>
        <v/>
      </c>
      <c r="P171" s="23" t="str">
        <f t="shared" si="67"/>
        <v>î</v>
      </c>
      <c r="Q171" s="8" t="str" cm="1">
        <f t="array" ref="Q171">CharToUTF8(A171)</f>
        <v>\xC3\xAE</v>
      </c>
      <c r="R171" s="22"/>
      <c r="S171" s="30" t="str">
        <f>$AO$3</f>
        <v>DIAG_BOTH</v>
      </c>
      <c r="T171" s="31" t="str">
        <f>$AO$2</f>
        <v>EMPTY</v>
      </c>
      <c r="U171" s="31">
        <v>9</v>
      </c>
      <c r="V171" s="32" t="str">
        <f>$AO$3</f>
        <v>DIAG_BOTH</v>
      </c>
      <c r="W171"/>
      <c r="X171" s="31" t="str">
        <f t="shared" si="69"/>
        <v/>
      </c>
      <c r="Y171" s="31" t="str">
        <f t="shared" si="70"/>
        <v/>
      </c>
      <c r="Z171" t="str">
        <f t="shared" si="71"/>
        <v/>
      </c>
      <c r="AA171" t="str">
        <f t="shared" si="72"/>
        <v/>
      </c>
      <c r="AB171" t="str">
        <f t="shared" si="73"/>
        <v/>
      </c>
      <c r="AC171" t="str">
        <f t="shared" si="74"/>
        <v/>
      </c>
      <c r="AD171" t="str">
        <f t="shared" si="75"/>
        <v/>
      </c>
      <c r="AE171" t="str">
        <f t="shared" si="76"/>
        <v/>
      </c>
      <c r="AF171" t="str">
        <f t="shared" si="77"/>
        <v/>
      </c>
      <c r="AG171" t="str">
        <f t="shared" si="78"/>
        <v/>
      </c>
      <c r="AH171" t="str">
        <f t="shared" si="79"/>
        <v/>
      </c>
      <c r="AI171" t="str">
        <f t="shared" si="80"/>
        <v/>
      </c>
      <c r="AJ171" t="str">
        <f t="shared" si="81"/>
        <v/>
      </c>
      <c r="AK171" t="str">
        <f t="shared" si="82"/>
        <v/>
      </c>
      <c r="AL171" t="str">
        <f t="shared" si="83"/>
        <v/>
      </c>
      <c r="AM171" t="str">
        <f t="shared" si="84"/>
        <v/>
      </c>
      <c r="AN171"/>
      <c r="AO171"/>
      <c r="AP171"/>
      <c r="AQ171"/>
      <c r="AR171"/>
      <c r="AS171"/>
      <c r="AT171"/>
      <c r="AV171" s="59" t="str">
        <f t="shared" si="93"/>
        <v/>
      </c>
      <c r="AW171" s="60"/>
      <c r="AX171" s="60"/>
      <c r="AY171" s="60"/>
      <c r="AZ171" s="60"/>
      <c r="BA171" s="60"/>
      <c r="BB171" s="60"/>
      <c r="BC171" s="61"/>
      <c r="BE171" s="54" t="str">
        <f t="shared" si="85"/>
        <v/>
      </c>
      <c r="BF171" s="54" t="str">
        <f t="shared" si="86"/>
        <v/>
      </c>
      <c r="BG171" s="54" t="str">
        <f t="shared" si="87"/>
        <v/>
      </c>
      <c r="BH171" s="54" t="str">
        <f t="shared" si="88"/>
        <v/>
      </c>
      <c r="BJ171" s="58" t="str">
        <f t="shared" si="89"/>
        <v/>
      </c>
      <c r="BK171" s="58" t="str">
        <f t="shared" si="90"/>
        <v/>
      </c>
      <c r="BL171" s="58" t="str">
        <f t="shared" si="91"/>
        <v/>
      </c>
      <c r="BM171" s="58" t="str">
        <f t="shared" si="92"/>
        <v/>
      </c>
    </row>
    <row r="172" spans="1:65" s="14" customFormat="1" x14ac:dyDescent="0.4">
      <c r="A172" s="7" t="s">
        <v>148</v>
      </c>
      <c r="B172" s="13" t="str">
        <f t="shared" si="66"/>
        <v>ï</v>
      </c>
      <c r="C172" s="48" t="str" cm="1">
        <f t="array" ref="C172">IF($N172,INDEX($O:$O,MATCH(TRUE,EXACT(B172,$A:$A),0)),"")</f>
        <v/>
      </c>
      <c r="D172" s="40"/>
      <c r="E172" s="48" t="str" cm="1">
        <f t="array" ref="E172">IF($N172,INDEX($O:$O,MATCH(TRUE,EXACT(D172,$A:$A),0)),"")</f>
        <v/>
      </c>
      <c r="F172" s="40" t="s">
        <v>145</v>
      </c>
      <c r="G172" s="48" t="str" cm="1">
        <f t="array" ref="G172">IF($O172&lt;&gt;"",INDEX($O:$O,MATCH(TRUE,EXACT(F172,$A:$A),0)),"")</f>
        <v/>
      </c>
      <c r="H172" s="40" t="s">
        <v>146</v>
      </c>
      <c r="I172" s="48" t="str" cm="1">
        <f t="array" ref="I172">IF($N172,INDEX($O:$O,MATCH(TRUE,EXACT(H172,$A:$A),0)),"")</f>
        <v/>
      </c>
      <c r="J172" s="40" t="s">
        <v>147</v>
      </c>
      <c r="K172" s="52" t="str" cm="1">
        <f t="array" ref="K172">IF($N172,INDEX($O:$O,MATCH(TRUE,EXACT(J172,$A:$A),0)),"")</f>
        <v/>
      </c>
      <c r="L172" s="47"/>
      <c r="M172" s="35"/>
      <c r="N172" s="18" t="b">
        <f t="shared" si="68"/>
        <v>0</v>
      </c>
      <c r="O172" s="19" t="str">
        <f>IF(N172, MAX(O$2:O171)+1,"")</f>
        <v/>
      </c>
      <c r="P172" s="23" t="str">
        <f t="shared" si="67"/>
        <v>ï</v>
      </c>
      <c r="Q172" s="8" t="str" cm="1">
        <f t="array" ref="Q172">CharToUTF8(A172)</f>
        <v>\xC3\xAF</v>
      </c>
      <c r="R172" s="22"/>
      <c r="S172" s="30" t="str">
        <f>$AO$3</f>
        <v>DIAG_BOTH</v>
      </c>
      <c r="T172" s="31" t="str">
        <f>$AO$2</f>
        <v>EMPTY</v>
      </c>
      <c r="U172" s="31" t="str">
        <f>$AO$3</f>
        <v>DIAG_BOTH</v>
      </c>
      <c r="V172" s="32">
        <v>9</v>
      </c>
      <c r="W172"/>
      <c r="X172" s="31" t="str">
        <f t="shared" si="69"/>
        <v/>
      </c>
      <c r="Y172" s="31" t="str">
        <f t="shared" si="70"/>
        <v/>
      </c>
      <c r="Z172" t="str">
        <f t="shared" si="71"/>
        <v/>
      </c>
      <c r="AA172" t="str">
        <f t="shared" si="72"/>
        <v/>
      </c>
      <c r="AB172" t="str">
        <f t="shared" si="73"/>
        <v/>
      </c>
      <c r="AC172" t="str">
        <f t="shared" si="74"/>
        <v/>
      </c>
      <c r="AD172" t="str">
        <f t="shared" si="75"/>
        <v/>
      </c>
      <c r="AE172" t="str">
        <f t="shared" si="76"/>
        <v/>
      </c>
      <c r="AF172" t="str">
        <f t="shared" si="77"/>
        <v/>
      </c>
      <c r="AG172" t="str">
        <f t="shared" si="78"/>
        <v/>
      </c>
      <c r="AH172" t="str">
        <f t="shared" si="79"/>
        <v/>
      </c>
      <c r="AI172" t="str">
        <f t="shared" si="80"/>
        <v/>
      </c>
      <c r="AJ172" t="str">
        <f t="shared" si="81"/>
        <v/>
      </c>
      <c r="AK172" t="str">
        <f t="shared" si="82"/>
        <v/>
      </c>
      <c r="AL172" t="str">
        <f t="shared" si="83"/>
        <v/>
      </c>
      <c r="AM172" t="str">
        <f t="shared" si="84"/>
        <v/>
      </c>
      <c r="AN172"/>
      <c r="AO172"/>
      <c r="AP172"/>
      <c r="AQ172"/>
      <c r="AR172"/>
      <c r="AS172"/>
      <c r="AT172"/>
      <c r="AV172" s="59" t="str">
        <f t="shared" si="93"/>
        <v/>
      </c>
      <c r="AW172" s="60"/>
      <c r="AX172" s="60"/>
      <c r="AY172" s="60"/>
      <c r="AZ172" s="60"/>
      <c r="BA172" s="60"/>
      <c r="BB172" s="60"/>
      <c r="BC172" s="61"/>
      <c r="BE172" s="54" t="str">
        <f t="shared" si="85"/>
        <v/>
      </c>
      <c r="BF172" s="54" t="str">
        <f t="shared" si="86"/>
        <v/>
      </c>
      <c r="BG172" s="54" t="str">
        <f t="shared" si="87"/>
        <v/>
      </c>
      <c r="BH172" s="54" t="str">
        <f t="shared" si="88"/>
        <v/>
      </c>
      <c r="BJ172" s="58" t="str">
        <f t="shared" si="89"/>
        <v/>
      </c>
      <c r="BK172" s="58" t="str">
        <f t="shared" si="90"/>
        <v/>
      </c>
      <c r="BL172" s="58" t="str">
        <f t="shared" si="91"/>
        <v/>
      </c>
      <c r="BM172" s="58" t="str">
        <f t="shared" si="92"/>
        <v/>
      </c>
    </row>
    <row r="173" spans="1:65" x14ac:dyDescent="0.4">
      <c r="A173" s="7" t="s">
        <v>149</v>
      </c>
      <c r="B173" s="13" t="str">
        <f t="shared" si="66"/>
        <v>ð</v>
      </c>
      <c r="C173" s="48" cm="1">
        <f t="array" ref="C173">IF($N173,INDEX($O:$O,MATCH(TRUE,EXACT(B173,$A:$A),0)),"")</f>
        <v>160</v>
      </c>
      <c r="D173" s="40" t="s">
        <v>152</v>
      </c>
      <c r="E173" s="48" cm="1">
        <f t="array" ref="E173">IF($N173,INDEX($O:$O,MATCH(TRUE,EXACT(D173,$A:$A),0)),"")</f>
        <v>163</v>
      </c>
      <c r="F173" s="40" t="s">
        <v>150</v>
      </c>
      <c r="G173" s="48" cm="1">
        <f t="array" ref="G173">IF($O173&lt;&gt;"",INDEX($O:$O,MATCH(TRUE,EXACT(F173,$A:$A),0)),"")</f>
        <v>161</v>
      </c>
      <c r="H173" s="40" t="s">
        <v>150</v>
      </c>
      <c r="I173" s="48" cm="1">
        <f t="array" ref="I173">IF($N173,INDEX($O:$O,MATCH(TRUE,EXACT(H173,$A:$A),0)),"")</f>
        <v>161</v>
      </c>
      <c r="J173" s="40" t="s">
        <v>149</v>
      </c>
      <c r="K173" s="52" cm="1">
        <f t="array" ref="K173">IF($N173,INDEX($O:$O,MATCH(TRUE,EXACT(J173,$A:$A),0)),"")</f>
        <v>160</v>
      </c>
      <c r="L173" s="47"/>
      <c r="M173" s="35"/>
      <c r="N173" s="18" t="b">
        <f t="shared" si="68"/>
        <v>1</v>
      </c>
      <c r="O173" s="19">
        <f>IF(N173, MAX(O$2:O172)+1,"")</f>
        <v>160</v>
      </c>
      <c r="P173" s="23" t="str">
        <f t="shared" si="67"/>
        <v>ð</v>
      </c>
      <c r="Q173" s="8" t="str" cm="1">
        <f t="array" ref="Q173">CharToUTF8(A173)</f>
        <v>\xC3\xB0</v>
      </c>
      <c r="S173" s="18" t="str">
        <f>$AO$2</f>
        <v>EMPTY</v>
      </c>
      <c r="T173" s="24" t="str">
        <f>$AO$2</f>
        <v>EMPTY</v>
      </c>
      <c r="U173" s="24" t="str">
        <f>$AO$5</f>
        <v>DIAG_FRONT</v>
      </c>
      <c r="V173" s="21" t="str">
        <f>$AO$6</f>
        <v>DIAG_BACK</v>
      </c>
      <c r="X173" s="31" t="b">
        <f t="shared" si="69"/>
        <v>0</v>
      </c>
      <c r="Y173" s="31" t="b">
        <f t="shared" si="70"/>
        <v>0</v>
      </c>
      <c r="Z173" t="b">
        <f t="shared" si="71"/>
        <v>0</v>
      </c>
      <c r="AA173" t="b">
        <f t="shared" si="72"/>
        <v>1</v>
      </c>
      <c r="AB173" t="b">
        <f t="shared" si="73"/>
        <v>0</v>
      </c>
      <c r="AC173" t="b">
        <f t="shared" si="74"/>
        <v>0</v>
      </c>
      <c r="AD173" t="b">
        <f t="shared" si="75"/>
        <v>0</v>
      </c>
      <c r="AE173" t="b">
        <f t="shared" si="76"/>
        <v>0</v>
      </c>
      <c r="AF173" t="b">
        <f t="shared" si="77"/>
        <v>1</v>
      </c>
      <c r="AG173" t="b">
        <f t="shared" si="78"/>
        <v>1</v>
      </c>
      <c r="AH173" t="b">
        <f t="shared" si="79"/>
        <v>1</v>
      </c>
      <c r="AI173" t="b">
        <f t="shared" si="80"/>
        <v>1</v>
      </c>
      <c r="AJ173" t="b">
        <f t="shared" si="81"/>
        <v>1</v>
      </c>
      <c r="AK173" t="b">
        <f t="shared" si="82"/>
        <v>1</v>
      </c>
      <c r="AL173" t="b">
        <f t="shared" si="83"/>
        <v>0</v>
      </c>
      <c r="AM173" t="b">
        <f t="shared" si="84"/>
        <v>0</v>
      </c>
      <c r="AV173" s="59" t="str">
        <f t="shared" si="93"/>
        <v xml:space="preserve">    { wxString::FromUTF8("\xC3\xB0"), &amp;AllGlyphs[163], &amp;AllGlyphs[161], &amp;AllGlyphs[161], &amp;AllGlyphs[160], Connection::EMPTY, Connection::EMPTY, Connection::DIAG_FRONT, Connection::DIAG_BACK, 0, 0, 0, 1 },</v>
      </c>
      <c r="AW173" s="60"/>
      <c r="AX173" s="60"/>
      <c r="AY173" s="60"/>
      <c r="AZ173" s="60"/>
      <c r="BA173" s="60"/>
      <c r="BB173" s="60"/>
      <c r="BC173" s="61"/>
      <c r="BE173" s="54" t="str">
        <f t="shared" si="85"/>
        <v>&amp;AllGlyphs[163]</v>
      </c>
      <c r="BF173" s="54" t="str">
        <f t="shared" si="86"/>
        <v>&amp;AllGlyphs[161]</v>
      </c>
      <c r="BG173" s="54" t="str">
        <f t="shared" si="87"/>
        <v>&amp;AllGlyphs[161]</v>
      </c>
      <c r="BH173" s="54" t="str">
        <f t="shared" si="88"/>
        <v>&amp;AllGlyphs[160]</v>
      </c>
      <c r="BJ173" s="58">
        <f t="shared" si="89"/>
        <v>0</v>
      </c>
      <c r="BK173" s="58">
        <f t="shared" si="90"/>
        <v>0</v>
      </c>
      <c r="BL173" s="58">
        <f t="shared" si="91"/>
        <v>0</v>
      </c>
      <c r="BM173" s="58">
        <f t="shared" si="92"/>
        <v>1</v>
      </c>
    </row>
    <row r="174" spans="1:65" x14ac:dyDescent="0.4">
      <c r="A174" s="7" t="s">
        <v>150</v>
      </c>
      <c r="B174" s="6" t="str">
        <f t="shared" si="66"/>
        <v>ñ</v>
      </c>
      <c r="C174" s="48" cm="1">
        <f t="array" ref="C174">IF($N174,INDEX($O:$O,MATCH(TRUE,EXACT(B174,$A:$A),0)),"")</f>
        <v>161</v>
      </c>
      <c r="D174" s="38" t="s">
        <v>151</v>
      </c>
      <c r="E174" s="48" cm="1">
        <f t="array" ref="E174">IF($N174,INDEX($O:$O,MATCH(TRUE,EXACT(D174,$A:$A),0)),"")</f>
        <v>162</v>
      </c>
      <c r="F174" s="38" t="s">
        <v>149</v>
      </c>
      <c r="G174" s="48" cm="1">
        <f t="array" ref="G174">IF($O174&lt;&gt;"",INDEX($O:$O,MATCH(TRUE,EXACT(F174,$A:$A),0)),"")</f>
        <v>160</v>
      </c>
      <c r="H174" s="38" t="s">
        <v>149</v>
      </c>
      <c r="I174" s="48" cm="1">
        <f t="array" ref="I174">IF($N174,INDEX($O:$O,MATCH(TRUE,EXACT(H174,$A:$A),0)),"")</f>
        <v>160</v>
      </c>
      <c r="J174" s="38" t="s">
        <v>150</v>
      </c>
      <c r="K174" s="52" cm="1">
        <f t="array" ref="K174">IF($N174,INDEX($O:$O,MATCH(TRUE,EXACT(J174,$A:$A),0)),"")</f>
        <v>161</v>
      </c>
      <c r="L174" s="23"/>
      <c r="M174" s="33"/>
      <c r="N174" s="18" t="b">
        <f t="shared" si="68"/>
        <v>1</v>
      </c>
      <c r="O174" s="19">
        <f>IF(N174, MAX(O$2:O173)+1,"")</f>
        <v>161</v>
      </c>
      <c r="P174" s="23" t="str">
        <f t="shared" si="67"/>
        <v>ñ</v>
      </c>
      <c r="Q174" s="8" t="str" cm="1">
        <f t="array" ref="Q174">CharToUTF8(A174)</f>
        <v>\xC3\xB1</v>
      </c>
      <c r="S174" s="18" t="str">
        <f>$AO$2</f>
        <v>EMPTY</v>
      </c>
      <c r="T174" s="24" t="str">
        <f>$AO$2</f>
        <v>EMPTY</v>
      </c>
      <c r="U174" s="24" t="str">
        <f>$AO$6</f>
        <v>DIAG_BACK</v>
      </c>
      <c r="V174" s="21" t="str">
        <f>$AO$5</f>
        <v>DIAG_FRONT</v>
      </c>
      <c r="X174" s="31" t="b">
        <f t="shared" si="69"/>
        <v>0</v>
      </c>
      <c r="Y174" s="31" t="b">
        <f t="shared" si="70"/>
        <v>0</v>
      </c>
      <c r="Z174" t="b">
        <f t="shared" si="71"/>
        <v>0</v>
      </c>
      <c r="AA174" t="b">
        <f t="shared" si="72"/>
        <v>1</v>
      </c>
      <c r="AB174" t="b">
        <f t="shared" si="73"/>
        <v>0</v>
      </c>
      <c r="AC174" t="b">
        <f t="shared" si="74"/>
        <v>0</v>
      </c>
      <c r="AD174" t="b">
        <f t="shared" si="75"/>
        <v>0</v>
      </c>
      <c r="AE174" t="b">
        <f t="shared" si="76"/>
        <v>0</v>
      </c>
      <c r="AF174" t="b">
        <f t="shared" si="77"/>
        <v>1</v>
      </c>
      <c r="AG174" t="b">
        <f t="shared" si="78"/>
        <v>1</v>
      </c>
      <c r="AH174" t="b">
        <f t="shared" si="79"/>
        <v>1</v>
      </c>
      <c r="AI174" t="b">
        <f t="shared" si="80"/>
        <v>1</v>
      </c>
      <c r="AJ174" t="b">
        <f t="shared" si="81"/>
        <v>1</v>
      </c>
      <c r="AK174" t="b">
        <f t="shared" si="82"/>
        <v>1</v>
      </c>
      <c r="AL174" t="b">
        <f t="shared" si="83"/>
        <v>0</v>
      </c>
      <c r="AM174" t="b">
        <f t="shared" si="84"/>
        <v>0</v>
      </c>
      <c r="AV174" s="59" t="str">
        <f t="shared" si="93"/>
        <v xml:space="preserve">    { wxString::FromUTF8("\xC3\xB1"), &amp;AllGlyphs[162], &amp;AllGlyphs[160], &amp;AllGlyphs[160], &amp;AllGlyphs[161], Connection::EMPTY, Connection::EMPTY, Connection::DIAG_BACK, Connection::DIAG_FRONT, 0, 0, 0, 1 },</v>
      </c>
      <c r="AW174" s="60"/>
      <c r="AX174" s="60"/>
      <c r="AY174" s="60"/>
      <c r="AZ174" s="60"/>
      <c r="BA174" s="60"/>
      <c r="BB174" s="60"/>
      <c r="BC174" s="61"/>
      <c r="BE174" s="54" t="str">
        <f t="shared" si="85"/>
        <v>&amp;AllGlyphs[162]</v>
      </c>
      <c r="BF174" s="54" t="str">
        <f t="shared" si="86"/>
        <v>&amp;AllGlyphs[160]</v>
      </c>
      <c r="BG174" s="54" t="str">
        <f t="shared" si="87"/>
        <v>&amp;AllGlyphs[160]</v>
      </c>
      <c r="BH174" s="54" t="str">
        <f t="shared" si="88"/>
        <v>&amp;AllGlyphs[161]</v>
      </c>
      <c r="BJ174" s="58">
        <f t="shared" si="89"/>
        <v>0</v>
      </c>
      <c r="BK174" s="58">
        <f t="shared" si="90"/>
        <v>0</v>
      </c>
      <c r="BL174" s="58">
        <f t="shared" si="91"/>
        <v>0</v>
      </c>
      <c r="BM174" s="58">
        <f t="shared" si="92"/>
        <v>1</v>
      </c>
    </row>
    <row r="175" spans="1:65" x14ac:dyDescent="0.4">
      <c r="A175" s="7" t="s">
        <v>151</v>
      </c>
      <c r="B175" s="6" t="str">
        <f t="shared" si="66"/>
        <v>ò</v>
      </c>
      <c r="C175" s="48" cm="1">
        <f t="array" ref="C175">IF($N175,INDEX($O:$O,MATCH(TRUE,EXACT(B175,$A:$A),0)),"")</f>
        <v>162</v>
      </c>
      <c r="D175" s="38" t="s">
        <v>149</v>
      </c>
      <c r="E175" s="48" cm="1">
        <f t="array" ref="E175">IF($N175,INDEX($O:$O,MATCH(TRUE,EXACT(D175,$A:$A),0)),"")</f>
        <v>160</v>
      </c>
      <c r="F175" s="38" t="s">
        <v>152</v>
      </c>
      <c r="G175" s="48" cm="1">
        <f t="array" ref="G175">IF($O175&lt;&gt;"",INDEX($O:$O,MATCH(TRUE,EXACT(F175,$A:$A),0)),"")</f>
        <v>163</v>
      </c>
      <c r="H175" s="38" t="s">
        <v>151</v>
      </c>
      <c r="I175" s="48" cm="1">
        <f t="array" ref="I175">IF($N175,INDEX($O:$O,MATCH(TRUE,EXACT(H175,$A:$A),0)),"")</f>
        <v>162</v>
      </c>
      <c r="J175" s="38" t="s">
        <v>152</v>
      </c>
      <c r="K175" s="52" cm="1">
        <f t="array" ref="K175">IF($N175,INDEX($O:$O,MATCH(TRUE,EXACT(J175,$A:$A),0)),"")</f>
        <v>163</v>
      </c>
      <c r="L175" s="23"/>
      <c r="M175" s="33"/>
      <c r="N175" s="18" t="b">
        <f t="shared" si="68"/>
        <v>1</v>
      </c>
      <c r="O175" s="19">
        <f>IF(N175, MAX(O$2:O174)+1,"")</f>
        <v>162</v>
      </c>
      <c r="P175" s="23" t="str">
        <f t="shared" si="67"/>
        <v>ò</v>
      </c>
      <c r="Q175" s="8" t="str" cm="1">
        <f t="array" ref="Q175">CharToUTF8(A175)</f>
        <v>\xC3\xB2</v>
      </c>
      <c r="S175" s="18" t="str">
        <f>$AO$6</f>
        <v>DIAG_BACK</v>
      </c>
      <c r="T175" s="24" t="str">
        <f>$AO$5</f>
        <v>DIAG_FRONT</v>
      </c>
      <c r="U175" s="24" t="str">
        <f>$AO$2</f>
        <v>EMPTY</v>
      </c>
      <c r="V175" s="21" t="str">
        <f>$AO$2</f>
        <v>EMPTY</v>
      </c>
      <c r="X175" s="31" t="b">
        <f t="shared" si="69"/>
        <v>0</v>
      </c>
      <c r="Y175" s="31" t="b">
        <f t="shared" si="70"/>
        <v>0</v>
      </c>
      <c r="Z175" t="b">
        <f t="shared" si="71"/>
        <v>1</v>
      </c>
      <c r="AA175" t="b">
        <f t="shared" si="72"/>
        <v>0</v>
      </c>
      <c r="AB175" t="b">
        <f t="shared" si="73"/>
        <v>0</v>
      </c>
      <c r="AC175" t="b">
        <f t="shared" si="74"/>
        <v>0</v>
      </c>
      <c r="AD175" t="b">
        <f t="shared" si="75"/>
        <v>0</v>
      </c>
      <c r="AE175" t="b">
        <f t="shared" si="76"/>
        <v>0</v>
      </c>
      <c r="AF175" t="b">
        <f t="shared" si="77"/>
        <v>1</v>
      </c>
      <c r="AG175" t="b">
        <f t="shared" si="78"/>
        <v>1</v>
      </c>
      <c r="AH175" t="b">
        <f t="shared" si="79"/>
        <v>1</v>
      </c>
      <c r="AI175" t="b">
        <f t="shared" si="80"/>
        <v>1</v>
      </c>
      <c r="AJ175" t="b">
        <f t="shared" si="81"/>
        <v>0</v>
      </c>
      <c r="AK175" t="b">
        <f t="shared" si="82"/>
        <v>0</v>
      </c>
      <c r="AL175" t="b">
        <f t="shared" si="83"/>
        <v>1</v>
      </c>
      <c r="AM175" t="b">
        <f t="shared" si="84"/>
        <v>1</v>
      </c>
      <c r="AV175" s="59" t="str">
        <f t="shared" si="93"/>
        <v xml:space="preserve">    { wxString::FromUTF8("\xC3\xB2"), &amp;AllGlyphs[160], &amp;AllGlyphs[163], &amp;AllGlyphs[162], &amp;AllGlyphs[163], Connection::DIAG_BACK, Connection::DIAG_FRONT, Connection::EMPTY, Connection::EMPTY, 0, 0, 1, 0 },</v>
      </c>
      <c r="AW175" s="60"/>
      <c r="AX175" s="60"/>
      <c r="AY175" s="60"/>
      <c r="AZ175" s="60"/>
      <c r="BA175" s="60"/>
      <c r="BB175" s="60"/>
      <c r="BC175" s="61"/>
      <c r="BE175" s="54" t="str">
        <f t="shared" si="85"/>
        <v>&amp;AllGlyphs[160]</v>
      </c>
      <c r="BF175" s="54" t="str">
        <f t="shared" si="86"/>
        <v>&amp;AllGlyphs[163]</v>
      </c>
      <c r="BG175" s="54" t="str">
        <f t="shared" si="87"/>
        <v>&amp;AllGlyphs[162]</v>
      </c>
      <c r="BH175" s="54" t="str">
        <f t="shared" si="88"/>
        <v>&amp;AllGlyphs[163]</v>
      </c>
      <c r="BJ175" s="58">
        <f t="shared" si="89"/>
        <v>0</v>
      </c>
      <c r="BK175" s="58">
        <f t="shared" si="90"/>
        <v>0</v>
      </c>
      <c r="BL175" s="58">
        <f t="shared" si="91"/>
        <v>1</v>
      </c>
      <c r="BM175" s="58">
        <f t="shared" si="92"/>
        <v>0</v>
      </c>
    </row>
    <row r="176" spans="1:65" x14ac:dyDescent="0.4">
      <c r="A176" s="7" t="s">
        <v>152</v>
      </c>
      <c r="B176" s="6" t="str">
        <f t="shared" si="66"/>
        <v>ó</v>
      </c>
      <c r="C176" s="48" cm="1">
        <f t="array" ref="C176">IF($N176,INDEX($O:$O,MATCH(TRUE,EXACT(B176,$A:$A),0)),"")</f>
        <v>163</v>
      </c>
      <c r="D176" s="38" t="s">
        <v>150</v>
      </c>
      <c r="E176" s="48" cm="1">
        <f t="array" ref="E176">IF($N176,INDEX($O:$O,MATCH(TRUE,EXACT(D176,$A:$A),0)),"")</f>
        <v>161</v>
      </c>
      <c r="F176" s="38" t="s">
        <v>151</v>
      </c>
      <c r="G176" s="48" cm="1">
        <f t="array" ref="G176">IF($O176&lt;&gt;"",INDEX($O:$O,MATCH(TRUE,EXACT(F176,$A:$A),0)),"")</f>
        <v>162</v>
      </c>
      <c r="H176" s="38" t="s">
        <v>152</v>
      </c>
      <c r="I176" s="48" cm="1">
        <f t="array" ref="I176">IF($N176,INDEX($O:$O,MATCH(TRUE,EXACT(H176,$A:$A),0)),"")</f>
        <v>163</v>
      </c>
      <c r="J176" s="38" t="s">
        <v>151</v>
      </c>
      <c r="K176" s="52" cm="1">
        <f t="array" ref="K176">IF($N176,INDEX($O:$O,MATCH(TRUE,EXACT(J176,$A:$A),0)),"")</f>
        <v>162</v>
      </c>
      <c r="L176" s="23"/>
      <c r="M176" s="33"/>
      <c r="N176" s="18" t="b">
        <f t="shared" si="68"/>
        <v>1</v>
      </c>
      <c r="O176" s="19">
        <f>IF(N176, MAX(O$2:O175)+1,"")</f>
        <v>163</v>
      </c>
      <c r="P176" s="23" t="str">
        <f t="shared" si="67"/>
        <v>ó</v>
      </c>
      <c r="Q176" s="8" t="str" cm="1">
        <f t="array" ref="Q176">CharToUTF8(A176)</f>
        <v>\xC3\xB3</v>
      </c>
      <c r="S176" s="18" t="str">
        <f>$AO$5</f>
        <v>DIAG_FRONT</v>
      </c>
      <c r="T176" s="24" t="str">
        <f>$AO$6</f>
        <v>DIAG_BACK</v>
      </c>
      <c r="U176" s="24" t="str">
        <f>$AO$2</f>
        <v>EMPTY</v>
      </c>
      <c r="V176" s="21" t="str">
        <f>$AO$2</f>
        <v>EMPTY</v>
      </c>
      <c r="X176" s="31" t="b">
        <f t="shared" si="69"/>
        <v>0</v>
      </c>
      <c r="Y176" s="31" t="b">
        <f t="shared" si="70"/>
        <v>0</v>
      </c>
      <c r="Z176" t="b">
        <f t="shared" si="71"/>
        <v>1</v>
      </c>
      <c r="AA176" t="b">
        <f t="shared" si="72"/>
        <v>0</v>
      </c>
      <c r="AB176" t="b">
        <f t="shared" si="73"/>
        <v>0</v>
      </c>
      <c r="AC176" t="b">
        <f t="shared" si="74"/>
        <v>0</v>
      </c>
      <c r="AD176" t="b">
        <f t="shared" si="75"/>
        <v>0</v>
      </c>
      <c r="AE176" t="b">
        <f t="shared" si="76"/>
        <v>0</v>
      </c>
      <c r="AF176" t="b">
        <f t="shared" si="77"/>
        <v>1</v>
      </c>
      <c r="AG176" t="b">
        <f t="shared" si="78"/>
        <v>1</v>
      </c>
      <c r="AH176" t="b">
        <f t="shared" si="79"/>
        <v>1</v>
      </c>
      <c r="AI176" t="b">
        <f t="shared" si="80"/>
        <v>1</v>
      </c>
      <c r="AJ176" t="b">
        <f t="shared" si="81"/>
        <v>0</v>
      </c>
      <c r="AK176" t="b">
        <f t="shared" si="82"/>
        <v>0</v>
      </c>
      <c r="AL176" t="b">
        <f t="shared" si="83"/>
        <v>1</v>
      </c>
      <c r="AM176" t="b">
        <f t="shared" si="84"/>
        <v>1</v>
      </c>
      <c r="AV176" s="59" t="str">
        <f t="shared" si="93"/>
        <v xml:space="preserve">    { wxString::FromUTF8("\xC3\xB3"), &amp;AllGlyphs[161], &amp;AllGlyphs[162], &amp;AllGlyphs[163], &amp;AllGlyphs[162], Connection::DIAG_FRONT, Connection::DIAG_BACK, Connection::EMPTY, Connection::EMPTY, 0, 0, 1, 0 },</v>
      </c>
      <c r="AW176" s="60"/>
      <c r="AX176" s="60"/>
      <c r="AY176" s="60"/>
      <c r="AZ176" s="60"/>
      <c r="BA176" s="60"/>
      <c r="BB176" s="60"/>
      <c r="BC176" s="61"/>
      <c r="BE176" s="54" t="str">
        <f t="shared" si="85"/>
        <v>&amp;AllGlyphs[161]</v>
      </c>
      <c r="BF176" s="54" t="str">
        <f t="shared" si="86"/>
        <v>&amp;AllGlyphs[162]</v>
      </c>
      <c r="BG176" s="54" t="str">
        <f t="shared" si="87"/>
        <v>&amp;AllGlyphs[163]</v>
      </c>
      <c r="BH176" s="54" t="str">
        <f t="shared" si="88"/>
        <v>&amp;AllGlyphs[162]</v>
      </c>
      <c r="BJ176" s="58">
        <f t="shared" si="89"/>
        <v>0</v>
      </c>
      <c r="BK176" s="58">
        <f t="shared" si="90"/>
        <v>0</v>
      </c>
      <c r="BL176" s="58">
        <f t="shared" si="91"/>
        <v>1</v>
      </c>
      <c r="BM176" s="58">
        <f t="shared" si="92"/>
        <v>0</v>
      </c>
    </row>
    <row r="177" spans="1:65" ht="32.25" customHeight="1" x14ac:dyDescent="0.4">
      <c r="A177" s="7" t="s">
        <v>153</v>
      </c>
      <c r="B177" s="6" t="str">
        <f t="shared" si="66"/>
        <v>ô</v>
      </c>
      <c r="C177" s="48" cm="1">
        <f t="array" ref="C177">IF($N177,INDEX($O:$O,MATCH(TRUE,EXACT(B177,$A:$A),0)),"")</f>
        <v>164</v>
      </c>
      <c r="D177" s="38" t="s">
        <v>164</v>
      </c>
      <c r="E177" s="48" cm="1">
        <f t="array" ref="E177">IF($N177,INDEX($O:$O,MATCH(TRUE,EXACT(D177,$A:$A),0)),"")</f>
        <v>169</v>
      </c>
      <c r="F177" s="38" t="s">
        <v>156</v>
      </c>
      <c r="G177" s="48" cm="1">
        <f t="array" ref="G177">IF($O177&lt;&gt;"",INDEX($O:$O,MATCH(TRUE,EXACT(F177,$A:$A),0)),"")</f>
        <v>167</v>
      </c>
      <c r="H177" s="38" t="s">
        <v>155</v>
      </c>
      <c r="I177" s="48" cm="1">
        <f t="array" ref="I177">IF($N177,INDEX($O:$O,MATCH(TRUE,EXACT(H177,$A:$A),0)),"")</f>
        <v>166</v>
      </c>
      <c r="J177" s="38" t="s">
        <v>154</v>
      </c>
      <c r="K177" s="52" cm="1">
        <f t="array" ref="K177">IF($N177,INDEX($O:$O,MATCH(TRUE,EXACT(J177,$A:$A),0)),"")</f>
        <v>165</v>
      </c>
      <c r="L177" s="23"/>
      <c r="M177" s="33"/>
      <c r="N177" s="18" t="b">
        <f t="shared" si="68"/>
        <v>1</v>
      </c>
      <c r="O177" s="19">
        <f>IF(N177, MAX(O$2:O176)+1,"")</f>
        <v>164</v>
      </c>
      <c r="P177" s="23" t="str">
        <f t="shared" si="67"/>
        <v>ô</v>
      </c>
      <c r="Q177" s="8" t="str" cm="1">
        <f t="array" ref="Q177">CharToUTF8(A177)</f>
        <v>\xC3\xB4</v>
      </c>
      <c r="S177" s="18" t="str">
        <f>$AO$2</f>
        <v>EMPTY</v>
      </c>
      <c r="T177" s="24" t="str">
        <f>$AO$3</f>
        <v>DIAG_BOTH</v>
      </c>
      <c r="U177" s="24" t="str">
        <f>$AO$2</f>
        <v>EMPTY</v>
      </c>
      <c r="V177" s="21" t="str">
        <f>$AO$4</f>
        <v>ORTHO_BOTH</v>
      </c>
      <c r="X177" s="31" t="b">
        <f t="shared" si="69"/>
        <v>0</v>
      </c>
      <c r="Y177" s="31" t="b">
        <f t="shared" si="70"/>
        <v>0</v>
      </c>
      <c r="Z177" t="b">
        <f t="shared" si="71"/>
        <v>0</v>
      </c>
      <c r="AA177" t="b">
        <f t="shared" si="72"/>
        <v>0</v>
      </c>
      <c r="AB177" t="b">
        <f t="shared" si="73"/>
        <v>0</v>
      </c>
      <c r="AC177" t="b">
        <f t="shared" si="74"/>
        <v>0</v>
      </c>
      <c r="AD177" t="b">
        <f t="shared" si="75"/>
        <v>1</v>
      </c>
      <c r="AE177" t="b">
        <f t="shared" si="76"/>
        <v>0</v>
      </c>
      <c r="AF177" t="b">
        <f t="shared" si="77"/>
        <v>1</v>
      </c>
      <c r="AG177" t="b">
        <f t="shared" si="78"/>
        <v>1</v>
      </c>
      <c r="AH177" t="b">
        <f t="shared" si="79"/>
        <v>1</v>
      </c>
      <c r="AI177" t="b">
        <f t="shared" si="80"/>
        <v>1</v>
      </c>
      <c r="AJ177" t="b">
        <f t="shared" si="81"/>
        <v>1</v>
      </c>
      <c r="AK177" t="b">
        <f t="shared" si="82"/>
        <v>1</v>
      </c>
      <c r="AL177" t="b">
        <f t="shared" si="83"/>
        <v>1</v>
      </c>
      <c r="AM177" t="b">
        <f t="shared" si="84"/>
        <v>1</v>
      </c>
      <c r="AV177" s="59" t="str">
        <f t="shared" si="93"/>
        <v xml:space="preserve">    { wxString::FromUTF8("\xC3\xB4"), &amp;AllGlyphs[169], &amp;AllGlyphs[167], &amp;AllGlyphs[166], &amp;AllGlyphs[165], Connection::EMPTY, Connection::DIAG_BOTH, Connection::EMPTY, Connection::ORTHO_BOTH, 0, 0, 0, 0 },</v>
      </c>
      <c r="AW177" s="60"/>
      <c r="AX177" s="60"/>
      <c r="AY177" s="60"/>
      <c r="AZ177" s="60"/>
      <c r="BA177" s="60"/>
      <c r="BB177" s="60"/>
      <c r="BC177" s="61"/>
      <c r="BE177" s="54" t="str">
        <f t="shared" si="85"/>
        <v>&amp;AllGlyphs[169]</v>
      </c>
      <c r="BF177" s="54" t="str">
        <f t="shared" si="86"/>
        <v>&amp;AllGlyphs[167]</v>
      </c>
      <c r="BG177" s="54" t="str">
        <f t="shared" si="87"/>
        <v>&amp;AllGlyphs[166]</v>
      </c>
      <c r="BH177" s="54" t="str">
        <f t="shared" si="88"/>
        <v>&amp;AllGlyphs[165]</v>
      </c>
      <c r="BJ177" s="58">
        <f t="shared" si="89"/>
        <v>0</v>
      </c>
      <c r="BK177" s="58">
        <f t="shared" si="90"/>
        <v>0</v>
      </c>
      <c r="BL177" s="58">
        <f t="shared" si="91"/>
        <v>0</v>
      </c>
      <c r="BM177" s="58">
        <f t="shared" si="92"/>
        <v>0</v>
      </c>
    </row>
    <row r="178" spans="1:65" ht="34.5" customHeight="1" x14ac:dyDescent="0.4">
      <c r="A178" s="7" t="s">
        <v>154</v>
      </c>
      <c r="B178" s="6" t="str">
        <f t="shared" si="66"/>
        <v>õ</v>
      </c>
      <c r="C178" s="48" cm="1">
        <f t="array" ref="C178">IF($N178,INDEX($O:$O,MATCH(TRUE,EXACT(B178,$A:$A),0)),"")</f>
        <v>165</v>
      </c>
      <c r="D178" s="38" t="s">
        <v>159</v>
      </c>
      <c r="E178" s="48" cm="1">
        <f t="array" ref="E178">IF($N178,INDEX($O:$O,MATCH(TRUE,EXACT(D178,$A:$A),0)),"")</f>
        <v>171</v>
      </c>
      <c r="F178" s="38" t="s">
        <v>155</v>
      </c>
      <c r="G178" s="48" cm="1">
        <f t="array" ref="G178">IF($O178&lt;&gt;"",INDEX($O:$O,MATCH(TRUE,EXACT(F178,$A:$A),0)),"")</f>
        <v>166</v>
      </c>
      <c r="H178" s="38" t="s">
        <v>156</v>
      </c>
      <c r="I178" s="48" cm="1">
        <f t="array" ref="I178">IF($N178,INDEX($O:$O,MATCH(TRUE,EXACT(H178,$A:$A),0)),"")</f>
        <v>167</v>
      </c>
      <c r="J178" s="38" t="s">
        <v>153</v>
      </c>
      <c r="K178" s="52" cm="1">
        <f t="array" ref="K178">IF($N178,INDEX($O:$O,MATCH(TRUE,EXACT(J178,$A:$A),0)),"")</f>
        <v>164</v>
      </c>
      <c r="L178" s="23"/>
      <c r="M178" s="33"/>
      <c r="N178" s="18" t="b">
        <f t="shared" si="68"/>
        <v>1</v>
      </c>
      <c r="O178" s="19">
        <f>IF(N178, MAX(O$2:O177)+1,"")</f>
        <v>165</v>
      </c>
      <c r="P178" s="23" t="str">
        <f t="shared" si="67"/>
        <v>õ</v>
      </c>
      <c r="Q178" s="8" t="str" cm="1">
        <f t="array" ref="Q178">CharToUTF8(A178)</f>
        <v>\xC3\xB5</v>
      </c>
      <c r="S178" s="18" t="str">
        <f>$AO$2</f>
        <v>EMPTY</v>
      </c>
      <c r="T178" s="24" t="str">
        <f>$AO$3</f>
        <v>DIAG_BOTH</v>
      </c>
      <c r="U178" s="24" t="str">
        <f>$AO$4</f>
        <v>ORTHO_BOTH</v>
      </c>
      <c r="V178" s="21" t="str">
        <f>$AO$2</f>
        <v>EMPTY</v>
      </c>
      <c r="X178" s="31" t="b">
        <f t="shared" si="69"/>
        <v>0</v>
      </c>
      <c r="Y178" s="31" t="b">
        <f t="shared" si="70"/>
        <v>0</v>
      </c>
      <c r="Z178" t="b">
        <f t="shared" si="71"/>
        <v>0</v>
      </c>
      <c r="AA178" t="b">
        <f t="shared" si="72"/>
        <v>0</v>
      </c>
      <c r="AB178" t="b">
        <f t="shared" si="73"/>
        <v>1</v>
      </c>
      <c r="AC178" t="b">
        <f t="shared" si="74"/>
        <v>0</v>
      </c>
      <c r="AD178" t="b">
        <f t="shared" si="75"/>
        <v>0</v>
      </c>
      <c r="AE178" t="b">
        <f t="shared" si="76"/>
        <v>0</v>
      </c>
      <c r="AF178" t="b">
        <f t="shared" si="77"/>
        <v>1</v>
      </c>
      <c r="AG178" t="b">
        <f t="shared" si="78"/>
        <v>1</v>
      </c>
      <c r="AH178" t="b">
        <f t="shared" si="79"/>
        <v>1</v>
      </c>
      <c r="AI178" t="b">
        <f t="shared" si="80"/>
        <v>1</v>
      </c>
      <c r="AJ178" t="b">
        <f t="shared" si="81"/>
        <v>1</v>
      </c>
      <c r="AK178" t="b">
        <f t="shared" si="82"/>
        <v>1</v>
      </c>
      <c r="AL178" t="b">
        <f t="shared" si="83"/>
        <v>1</v>
      </c>
      <c r="AM178" t="b">
        <f t="shared" si="84"/>
        <v>1</v>
      </c>
      <c r="AV178" s="59" t="str">
        <f t="shared" si="93"/>
        <v xml:space="preserve">    { wxString::FromUTF8("\xC3\xB5"), &amp;AllGlyphs[171], &amp;AllGlyphs[166], &amp;AllGlyphs[167], &amp;AllGlyphs[164], Connection::EMPTY, Connection::DIAG_BOTH, Connection::ORTHO_BOTH, Connection::EMPTY, 0, 0, 0, 0 },</v>
      </c>
      <c r="AW178" s="60"/>
      <c r="AX178" s="60"/>
      <c r="AY178" s="60"/>
      <c r="AZ178" s="60"/>
      <c r="BA178" s="60"/>
      <c r="BB178" s="60"/>
      <c r="BC178" s="61"/>
      <c r="BE178" s="54" t="str">
        <f t="shared" si="85"/>
        <v>&amp;AllGlyphs[171]</v>
      </c>
      <c r="BF178" s="54" t="str">
        <f t="shared" si="86"/>
        <v>&amp;AllGlyphs[166]</v>
      </c>
      <c r="BG178" s="54" t="str">
        <f t="shared" si="87"/>
        <v>&amp;AllGlyphs[167]</v>
      </c>
      <c r="BH178" s="54" t="str">
        <f t="shared" si="88"/>
        <v>&amp;AllGlyphs[164]</v>
      </c>
      <c r="BJ178" s="58">
        <f t="shared" si="89"/>
        <v>0</v>
      </c>
      <c r="BK178" s="58">
        <f t="shared" si="90"/>
        <v>0</v>
      </c>
      <c r="BL178" s="58">
        <f t="shared" si="91"/>
        <v>0</v>
      </c>
      <c r="BM178" s="58">
        <f t="shared" si="92"/>
        <v>0</v>
      </c>
    </row>
    <row r="179" spans="1:65" x14ac:dyDescent="0.4">
      <c r="A179" s="7" t="s">
        <v>155</v>
      </c>
      <c r="B179" s="6" t="str">
        <f t="shared" si="66"/>
        <v>ö</v>
      </c>
      <c r="C179" s="48" cm="1">
        <f t="array" ref="C179">IF($N179,INDEX($O:$O,MATCH(TRUE,EXACT(B179,$A:$A),0)),"")</f>
        <v>166</v>
      </c>
      <c r="D179" s="38" t="s">
        <v>157</v>
      </c>
      <c r="E179" s="48" cm="1">
        <f t="array" ref="E179">IF($N179,INDEX($O:$O,MATCH(TRUE,EXACT(D179,$A:$A),0)),"")</f>
        <v>168</v>
      </c>
      <c r="F179" s="38" t="s">
        <v>154</v>
      </c>
      <c r="G179" s="48" cm="1">
        <f t="array" ref="G179">IF($O179&lt;&gt;"",INDEX($O:$O,MATCH(TRUE,EXACT(F179,$A:$A),0)),"")</f>
        <v>165</v>
      </c>
      <c r="H179" s="38" t="s">
        <v>153</v>
      </c>
      <c r="I179" s="48" cm="1">
        <f t="array" ref="I179">IF($N179,INDEX($O:$O,MATCH(TRUE,EXACT(H179,$A:$A),0)),"")</f>
        <v>164</v>
      </c>
      <c r="J179" s="38" t="s">
        <v>156</v>
      </c>
      <c r="K179" s="52" cm="1">
        <f t="array" ref="K179">IF($N179,INDEX($O:$O,MATCH(TRUE,EXACT(J179,$A:$A),0)),"")</f>
        <v>167</v>
      </c>
      <c r="L179" s="23"/>
      <c r="M179" s="33"/>
      <c r="N179" s="18" t="b">
        <f t="shared" si="68"/>
        <v>1</v>
      </c>
      <c r="O179" s="19">
        <f>IF(N179, MAX(O$2:O178)+1,"")</f>
        <v>166</v>
      </c>
      <c r="P179" s="23" t="str">
        <f t="shared" si="67"/>
        <v>ö</v>
      </c>
      <c r="Q179" s="8" t="str" cm="1">
        <f t="array" ref="Q179">CharToUTF8(A179)</f>
        <v>\xC3\xB6</v>
      </c>
      <c r="S179" s="18" t="str">
        <f>$AO$3</f>
        <v>DIAG_BOTH</v>
      </c>
      <c r="T179" s="24" t="str">
        <f>$AO$2</f>
        <v>EMPTY</v>
      </c>
      <c r="U179" s="24" t="str">
        <f>$AO$2</f>
        <v>EMPTY</v>
      </c>
      <c r="V179" s="21" t="str">
        <f>$AO$4</f>
        <v>ORTHO_BOTH</v>
      </c>
      <c r="X179" s="31" t="b">
        <f t="shared" si="69"/>
        <v>0</v>
      </c>
      <c r="Y179" s="31" t="b">
        <f t="shared" si="70"/>
        <v>0</v>
      </c>
      <c r="Z179" t="b">
        <f t="shared" si="71"/>
        <v>0</v>
      </c>
      <c r="AA179" t="b">
        <f t="shared" si="72"/>
        <v>0</v>
      </c>
      <c r="AB179" t="b">
        <f t="shared" si="73"/>
        <v>0</v>
      </c>
      <c r="AC179" t="b">
        <f t="shared" si="74"/>
        <v>1</v>
      </c>
      <c r="AD179" t="b">
        <f t="shared" si="75"/>
        <v>0</v>
      </c>
      <c r="AE179" t="b">
        <f t="shared" si="76"/>
        <v>0</v>
      </c>
      <c r="AF179" t="b">
        <f t="shared" si="77"/>
        <v>1</v>
      </c>
      <c r="AG179" t="b">
        <f t="shared" si="78"/>
        <v>1</v>
      </c>
      <c r="AH179" t="b">
        <f t="shared" si="79"/>
        <v>1</v>
      </c>
      <c r="AI179" t="b">
        <f t="shared" si="80"/>
        <v>1</v>
      </c>
      <c r="AJ179" t="b">
        <f t="shared" si="81"/>
        <v>1</v>
      </c>
      <c r="AK179" t="b">
        <f t="shared" si="82"/>
        <v>1</v>
      </c>
      <c r="AL179" t="b">
        <f t="shared" si="83"/>
        <v>1</v>
      </c>
      <c r="AM179" t="b">
        <f t="shared" si="84"/>
        <v>1</v>
      </c>
      <c r="AV179" s="59" t="str">
        <f t="shared" si="93"/>
        <v xml:space="preserve">    { wxString::FromUTF8("\xC3\xB6"), &amp;AllGlyphs[168], &amp;AllGlyphs[165], &amp;AllGlyphs[164], &amp;AllGlyphs[167], Connection::DIAG_BOTH, Connection::EMPTY, Connection::EMPTY, Connection::ORTHO_BOTH, 0, 0, 0, 0 },</v>
      </c>
      <c r="AW179" s="60"/>
      <c r="AX179" s="60"/>
      <c r="AY179" s="60"/>
      <c r="AZ179" s="60"/>
      <c r="BA179" s="60"/>
      <c r="BB179" s="60"/>
      <c r="BC179" s="61"/>
      <c r="BE179" s="54" t="str">
        <f t="shared" si="85"/>
        <v>&amp;AllGlyphs[168]</v>
      </c>
      <c r="BF179" s="54" t="str">
        <f t="shared" si="86"/>
        <v>&amp;AllGlyphs[165]</v>
      </c>
      <c r="BG179" s="54" t="str">
        <f t="shared" si="87"/>
        <v>&amp;AllGlyphs[164]</v>
      </c>
      <c r="BH179" s="54" t="str">
        <f t="shared" si="88"/>
        <v>&amp;AllGlyphs[167]</v>
      </c>
      <c r="BJ179" s="58">
        <f t="shared" si="89"/>
        <v>0</v>
      </c>
      <c r="BK179" s="58">
        <f t="shared" si="90"/>
        <v>0</v>
      </c>
      <c r="BL179" s="58">
        <f t="shared" si="91"/>
        <v>0</v>
      </c>
      <c r="BM179" s="58">
        <f t="shared" si="92"/>
        <v>0</v>
      </c>
    </row>
    <row r="180" spans="1:65" x14ac:dyDescent="0.4">
      <c r="A180" s="7" t="s">
        <v>156</v>
      </c>
      <c r="B180" s="6" t="str">
        <f t="shared" si="66"/>
        <v>÷</v>
      </c>
      <c r="C180" s="48" cm="1">
        <f t="array" ref="C180">IF($N180,INDEX($O:$O,MATCH(TRUE,EXACT(B180,$A:$A),0)),"")</f>
        <v>167</v>
      </c>
      <c r="D180" s="38" t="s">
        <v>158</v>
      </c>
      <c r="E180" s="48" cm="1">
        <f t="array" ref="E180">IF($N180,INDEX($O:$O,MATCH(TRUE,EXACT(D180,$A:$A),0)),"")</f>
        <v>170</v>
      </c>
      <c r="F180" s="38" t="s">
        <v>153</v>
      </c>
      <c r="G180" s="48" cm="1">
        <f t="array" ref="G180">IF($O180&lt;&gt;"",INDEX($O:$O,MATCH(TRUE,EXACT(F180,$A:$A),0)),"")</f>
        <v>164</v>
      </c>
      <c r="H180" s="38" t="s">
        <v>154</v>
      </c>
      <c r="I180" s="48" cm="1">
        <f t="array" ref="I180">IF($N180,INDEX($O:$O,MATCH(TRUE,EXACT(H180,$A:$A),0)),"")</f>
        <v>165</v>
      </c>
      <c r="J180" s="38" t="s">
        <v>155</v>
      </c>
      <c r="K180" s="52" cm="1">
        <f t="array" ref="K180">IF($N180,INDEX($O:$O,MATCH(TRUE,EXACT(J180,$A:$A),0)),"")</f>
        <v>166</v>
      </c>
      <c r="L180" s="23"/>
      <c r="M180" s="33"/>
      <c r="N180" s="18" t="b">
        <f t="shared" si="68"/>
        <v>1</v>
      </c>
      <c r="O180" s="19">
        <f>IF(N180, MAX(O$2:O179)+1,"")</f>
        <v>167</v>
      </c>
      <c r="P180" s="23" t="str">
        <f t="shared" si="67"/>
        <v>÷</v>
      </c>
      <c r="Q180" s="8" t="str" cm="1">
        <f t="array" ref="Q180">CharToUTF8(A180)</f>
        <v>\xC3\xB7</v>
      </c>
      <c r="S180" s="18" t="str">
        <f>$AO$3</f>
        <v>DIAG_BOTH</v>
      </c>
      <c r="T180" s="24" t="str">
        <f>$AO$2</f>
        <v>EMPTY</v>
      </c>
      <c r="U180" s="24" t="str">
        <f>$AO$4</f>
        <v>ORTHO_BOTH</v>
      </c>
      <c r="V180" s="21" t="str">
        <f>$AO$2</f>
        <v>EMPTY</v>
      </c>
      <c r="X180" s="31" t="b">
        <f t="shared" si="69"/>
        <v>0</v>
      </c>
      <c r="Y180" s="31" t="b">
        <f t="shared" si="70"/>
        <v>0</v>
      </c>
      <c r="Z180" t="b">
        <f t="shared" si="71"/>
        <v>0</v>
      </c>
      <c r="AA180" t="b">
        <f t="shared" si="72"/>
        <v>0</v>
      </c>
      <c r="AB180" t="b">
        <f t="shared" si="73"/>
        <v>0</v>
      </c>
      <c r="AC180" t="b">
        <f t="shared" si="74"/>
        <v>0</v>
      </c>
      <c r="AD180" t="b">
        <f t="shared" si="75"/>
        <v>0</v>
      </c>
      <c r="AE180" t="b">
        <f t="shared" si="76"/>
        <v>1</v>
      </c>
      <c r="AF180" t="b">
        <f t="shared" si="77"/>
        <v>1</v>
      </c>
      <c r="AG180" t="b">
        <f t="shared" si="78"/>
        <v>1</v>
      </c>
      <c r="AH180" t="b">
        <f t="shared" si="79"/>
        <v>1</v>
      </c>
      <c r="AI180" t="b">
        <f t="shared" si="80"/>
        <v>1</v>
      </c>
      <c r="AJ180" t="b">
        <f t="shared" si="81"/>
        <v>1</v>
      </c>
      <c r="AK180" t="b">
        <f t="shared" si="82"/>
        <v>1</v>
      </c>
      <c r="AL180" t="b">
        <f t="shared" si="83"/>
        <v>1</v>
      </c>
      <c r="AM180" t="b">
        <f t="shared" si="84"/>
        <v>1</v>
      </c>
      <c r="AV180" s="59" t="str">
        <f t="shared" si="93"/>
        <v xml:space="preserve">    { wxString::FromUTF8("\xC3\xB7"), &amp;AllGlyphs[170], &amp;AllGlyphs[164], &amp;AllGlyphs[165], &amp;AllGlyphs[166], Connection::DIAG_BOTH, Connection::EMPTY, Connection::ORTHO_BOTH, Connection::EMPTY, 0, 0, 0, 0 },</v>
      </c>
      <c r="AW180" s="60"/>
      <c r="AX180" s="60"/>
      <c r="AY180" s="60"/>
      <c r="AZ180" s="60"/>
      <c r="BA180" s="60"/>
      <c r="BB180" s="60"/>
      <c r="BC180" s="61"/>
      <c r="BE180" s="54" t="str">
        <f t="shared" si="85"/>
        <v>&amp;AllGlyphs[170]</v>
      </c>
      <c r="BF180" s="54" t="str">
        <f t="shared" si="86"/>
        <v>&amp;AllGlyphs[164]</v>
      </c>
      <c r="BG180" s="54" t="str">
        <f t="shared" si="87"/>
        <v>&amp;AllGlyphs[165]</v>
      </c>
      <c r="BH180" s="54" t="str">
        <f t="shared" si="88"/>
        <v>&amp;AllGlyphs[166]</v>
      </c>
      <c r="BJ180" s="58">
        <f t="shared" si="89"/>
        <v>0</v>
      </c>
      <c r="BK180" s="58">
        <f t="shared" si="90"/>
        <v>0</v>
      </c>
      <c r="BL180" s="58">
        <f t="shared" si="91"/>
        <v>0</v>
      </c>
      <c r="BM180" s="58">
        <f t="shared" si="92"/>
        <v>0</v>
      </c>
    </row>
    <row r="181" spans="1:65" x14ac:dyDescent="0.4">
      <c r="A181" s="7" t="s">
        <v>157</v>
      </c>
      <c r="B181" s="6" t="str">
        <f t="shared" si="66"/>
        <v>ø</v>
      </c>
      <c r="C181" s="48" cm="1">
        <f t="array" ref="C181">IF($N181,INDEX($O:$O,MATCH(TRUE,EXACT(B181,$A:$A),0)),"")</f>
        <v>168</v>
      </c>
      <c r="D181" s="38" t="s">
        <v>154</v>
      </c>
      <c r="E181" s="48" cm="1">
        <f t="array" ref="E181">IF($N181,INDEX($O:$O,MATCH(TRUE,EXACT(D181,$A:$A),0)),"")</f>
        <v>165</v>
      </c>
      <c r="F181" s="38" t="s">
        <v>159</v>
      </c>
      <c r="G181" s="48" cm="1">
        <f t="array" ref="G181">IF($O181&lt;&gt;"",INDEX($O:$O,MATCH(TRUE,EXACT(F181,$A:$A),0)),"")</f>
        <v>171</v>
      </c>
      <c r="H181" s="38" t="s">
        <v>158</v>
      </c>
      <c r="I181" s="48" cm="1">
        <f t="array" ref="I181">IF($N181,INDEX($O:$O,MATCH(TRUE,EXACT(H181,$A:$A),0)),"")</f>
        <v>170</v>
      </c>
      <c r="J181" s="38" t="s">
        <v>164</v>
      </c>
      <c r="K181" s="52" cm="1">
        <f t="array" ref="K181">IF($N181,INDEX($O:$O,MATCH(TRUE,EXACT(J181,$A:$A),0)),"")</f>
        <v>169</v>
      </c>
      <c r="L181" s="23"/>
      <c r="M181" s="33"/>
      <c r="N181" s="18" t="b">
        <f t="shared" si="68"/>
        <v>1</v>
      </c>
      <c r="O181" s="19">
        <f>IF(N181, MAX(O$2:O180)+1,"")</f>
        <v>168</v>
      </c>
      <c r="P181" s="23" t="str">
        <f t="shared" si="67"/>
        <v>ø</v>
      </c>
      <c r="Q181" s="8" t="str" cm="1">
        <f t="array" ref="Q181">CharToUTF8(A181)</f>
        <v>\xC3\xB8</v>
      </c>
      <c r="S181" s="18" t="str">
        <f>$AO$2</f>
        <v>EMPTY</v>
      </c>
      <c r="T181" s="24" t="str">
        <f>$AO$4</f>
        <v>ORTHO_BOTH</v>
      </c>
      <c r="U181" s="24" t="str">
        <f>$AO$2</f>
        <v>EMPTY</v>
      </c>
      <c r="V181" s="21" t="str">
        <f>$AO$3</f>
        <v>DIAG_BOTH</v>
      </c>
      <c r="X181" s="31" t="b">
        <f t="shared" si="69"/>
        <v>0</v>
      </c>
      <c r="Y181" s="31" t="b">
        <f t="shared" si="70"/>
        <v>0</v>
      </c>
      <c r="Z181" t="b">
        <f t="shared" si="71"/>
        <v>0</v>
      </c>
      <c r="AA181" t="b">
        <f t="shared" si="72"/>
        <v>0</v>
      </c>
      <c r="AB181" t="b">
        <f t="shared" si="73"/>
        <v>0</v>
      </c>
      <c r="AC181" t="b">
        <f t="shared" si="74"/>
        <v>0</v>
      </c>
      <c r="AD181" t="b">
        <f t="shared" si="75"/>
        <v>1</v>
      </c>
      <c r="AE181" t="b">
        <f t="shared" si="76"/>
        <v>0</v>
      </c>
      <c r="AF181" t="b">
        <f t="shared" si="77"/>
        <v>1</v>
      </c>
      <c r="AG181" t="b">
        <f t="shared" si="78"/>
        <v>1</v>
      </c>
      <c r="AH181" t="b">
        <f t="shared" si="79"/>
        <v>1</v>
      </c>
      <c r="AI181" t="b">
        <f t="shared" si="80"/>
        <v>1</v>
      </c>
      <c r="AJ181" t="b">
        <f t="shared" si="81"/>
        <v>1</v>
      </c>
      <c r="AK181" t="b">
        <f t="shared" si="82"/>
        <v>1</v>
      </c>
      <c r="AL181" t="b">
        <f t="shared" si="83"/>
        <v>1</v>
      </c>
      <c r="AM181" t="b">
        <f t="shared" si="84"/>
        <v>1</v>
      </c>
      <c r="AV181" s="59" t="str">
        <f t="shared" si="93"/>
        <v xml:space="preserve">    { wxString::FromUTF8("\xC3\xB8"), &amp;AllGlyphs[165], &amp;AllGlyphs[171], &amp;AllGlyphs[170], &amp;AllGlyphs[169], Connection::EMPTY, Connection::ORTHO_BOTH, Connection::EMPTY, Connection::DIAG_BOTH, 0, 0, 0, 0 },</v>
      </c>
      <c r="AW181" s="60"/>
      <c r="AX181" s="60"/>
      <c r="AY181" s="60"/>
      <c r="AZ181" s="60"/>
      <c r="BA181" s="60"/>
      <c r="BB181" s="60"/>
      <c r="BC181" s="61"/>
      <c r="BE181" s="54" t="str">
        <f t="shared" si="85"/>
        <v>&amp;AllGlyphs[165]</v>
      </c>
      <c r="BF181" s="54" t="str">
        <f t="shared" si="86"/>
        <v>&amp;AllGlyphs[171]</v>
      </c>
      <c r="BG181" s="54" t="str">
        <f t="shared" si="87"/>
        <v>&amp;AllGlyphs[170]</v>
      </c>
      <c r="BH181" s="54" t="str">
        <f t="shared" si="88"/>
        <v>&amp;AllGlyphs[169]</v>
      </c>
      <c r="BJ181" s="58">
        <f t="shared" si="89"/>
        <v>0</v>
      </c>
      <c r="BK181" s="58">
        <f t="shared" si="90"/>
        <v>0</v>
      </c>
      <c r="BL181" s="58">
        <f t="shared" si="91"/>
        <v>0</v>
      </c>
      <c r="BM181" s="58">
        <f t="shared" si="92"/>
        <v>0</v>
      </c>
    </row>
    <row r="182" spans="1:65" x14ac:dyDescent="0.4">
      <c r="A182" s="7" t="s">
        <v>164</v>
      </c>
      <c r="B182" s="6" t="str">
        <f t="shared" si="66"/>
        <v>ù</v>
      </c>
      <c r="C182" s="48" cm="1">
        <f t="array" ref="C182">IF($N182,INDEX($O:$O,MATCH(TRUE,EXACT(B182,$A:$A),0)),"")</f>
        <v>169</v>
      </c>
      <c r="D182" s="38" t="s">
        <v>156</v>
      </c>
      <c r="E182" s="48" cm="1">
        <f t="array" ref="E182">IF($N182,INDEX($O:$O,MATCH(TRUE,EXACT(D182,$A:$A),0)),"")</f>
        <v>167</v>
      </c>
      <c r="F182" s="38" t="s">
        <v>158</v>
      </c>
      <c r="G182" s="48" cm="1">
        <f t="array" ref="G182">IF($O182&lt;&gt;"",INDEX($O:$O,MATCH(TRUE,EXACT(F182,$A:$A),0)),"")</f>
        <v>170</v>
      </c>
      <c r="H182" s="38" t="s">
        <v>159</v>
      </c>
      <c r="I182" s="48" cm="1">
        <f t="array" ref="I182">IF($N182,INDEX($O:$O,MATCH(TRUE,EXACT(H182,$A:$A),0)),"")</f>
        <v>171</v>
      </c>
      <c r="J182" s="38" t="s">
        <v>157</v>
      </c>
      <c r="K182" s="52" cm="1">
        <f t="array" ref="K182">IF($N182,INDEX($O:$O,MATCH(TRUE,EXACT(J182,$A:$A),0)),"")</f>
        <v>168</v>
      </c>
      <c r="L182" s="23"/>
      <c r="M182" s="33"/>
      <c r="N182" s="18" t="b">
        <f t="shared" si="68"/>
        <v>1</v>
      </c>
      <c r="O182" s="19">
        <f>IF(N182, MAX(O$2:O181)+1,"")</f>
        <v>169</v>
      </c>
      <c r="P182" s="23" t="str">
        <f t="shared" si="67"/>
        <v>ù</v>
      </c>
      <c r="Q182" s="8" t="str" cm="1">
        <f t="array" ref="Q182">CharToUTF8(A182)</f>
        <v>\xC3\xB9</v>
      </c>
      <c r="S182" s="18" t="str">
        <f>$AO$2</f>
        <v>EMPTY</v>
      </c>
      <c r="T182" s="24" t="str">
        <f>$AO$4</f>
        <v>ORTHO_BOTH</v>
      </c>
      <c r="U182" s="24" t="str">
        <f>$AO$3</f>
        <v>DIAG_BOTH</v>
      </c>
      <c r="V182" s="21" t="str">
        <f>$AO$2</f>
        <v>EMPTY</v>
      </c>
      <c r="X182" s="31" t="b">
        <f t="shared" si="69"/>
        <v>0</v>
      </c>
      <c r="Y182" s="31" t="b">
        <f t="shared" si="70"/>
        <v>0</v>
      </c>
      <c r="Z182" t="b">
        <f t="shared" si="71"/>
        <v>0</v>
      </c>
      <c r="AA182" t="b">
        <f t="shared" si="72"/>
        <v>0</v>
      </c>
      <c r="AB182" t="b">
        <f t="shared" si="73"/>
        <v>1</v>
      </c>
      <c r="AC182" t="b">
        <f t="shared" si="74"/>
        <v>0</v>
      </c>
      <c r="AD182" t="b">
        <f t="shared" si="75"/>
        <v>0</v>
      </c>
      <c r="AE182" t="b">
        <f t="shared" si="76"/>
        <v>0</v>
      </c>
      <c r="AF182" t="b">
        <f t="shared" si="77"/>
        <v>1</v>
      </c>
      <c r="AG182" t="b">
        <f t="shared" si="78"/>
        <v>1</v>
      </c>
      <c r="AH182" t="b">
        <f t="shared" si="79"/>
        <v>1</v>
      </c>
      <c r="AI182" t="b">
        <f t="shared" si="80"/>
        <v>1</v>
      </c>
      <c r="AJ182" t="b">
        <f t="shared" si="81"/>
        <v>1</v>
      </c>
      <c r="AK182" t="b">
        <f t="shared" si="82"/>
        <v>1</v>
      </c>
      <c r="AL182" t="b">
        <f t="shared" si="83"/>
        <v>1</v>
      </c>
      <c r="AM182" t="b">
        <f t="shared" si="84"/>
        <v>1</v>
      </c>
      <c r="AV182" s="59" t="str">
        <f t="shared" si="93"/>
        <v xml:space="preserve">    { wxString::FromUTF8("\xC3\xB9"), &amp;AllGlyphs[167], &amp;AllGlyphs[170], &amp;AllGlyphs[171], &amp;AllGlyphs[168], Connection::EMPTY, Connection::ORTHO_BOTH, Connection::DIAG_BOTH, Connection::EMPTY, 0, 0, 0, 0 },</v>
      </c>
      <c r="AW182" s="60"/>
      <c r="AX182" s="60"/>
      <c r="AY182" s="60"/>
      <c r="AZ182" s="60"/>
      <c r="BA182" s="60"/>
      <c r="BB182" s="60"/>
      <c r="BC182" s="61"/>
      <c r="BE182" s="54" t="str">
        <f t="shared" si="85"/>
        <v>&amp;AllGlyphs[167]</v>
      </c>
      <c r="BF182" s="54" t="str">
        <f t="shared" si="86"/>
        <v>&amp;AllGlyphs[170]</v>
      </c>
      <c r="BG182" s="54" t="str">
        <f t="shared" si="87"/>
        <v>&amp;AllGlyphs[171]</v>
      </c>
      <c r="BH182" s="54" t="str">
        <f t="shared" si="88"/>
        <v>&amp;AllGlyphs[168]</v>
      </c>
      <c r="BJ182" s="58">
        <f t="shared" si="89"/>
        <v>0</v>
      </c>
      <c r="BK182" s="58">
        <f t="shared" si="90"/>
        <v>0</v>
      </c>
      <c r="BL182" s="58">
        <f t="shared" si="91"/>
        <v>0</v>
      </c>
      <c r="BM182" s="58">
        <f t="shared" si="92"/>
        <v>0</v>
      </c>
    </row>
    <row r="183" spans="1:65" x14ac:dyDescent="0.4">
      <c r="A183" s="7" t="s">
        <v>158</v>
      </c>
      <c r="B183" s="6" t="str">
        <f t="shared" si="66"/>
        <v>û</v>
      </c>
      <c r="C183" s="48" cm="1">
        <f t="array" ref="C183">IF($N183,INDEX($O:$O,MATCH(TRUE,EXACT(B183,$A:$A),0)),"")</f>
        <v>170</v>
      </c>
      <c r="D183" s="38" t="s">
        <v>153</v>
      </c>
      <c r="E183" s="48" cm="1">
        <f t="array" ref="E183">IF($N183,INDEX($O:$O,MATCH(TRUE,EXACT(D183,$A:$A),0)),"")</f>
        <v>164</v>
      </c>
      <c r="F183" s="38" t="s">
        <v>164</v>
      </c>
      <c r="G183" s="48" cm="1">
        <f t="array" ref="G183">IF($O183&lt;&gt;"",INDEX($O:$O,MATCH(TRUE,EXACT(F183,$A:$A),0)),"")</f>
        <v>169</v>
      </c>
      <c r="H183" s="38" t="s">
        <v>157</v>
      </c>
      <c r="I183" s="48" cm="1">
        <f t="array" ref="I183">IF($N183,INDEX($O:$O,MATCH(TRUE,EXACT(H183,$A:$A),0)),"")</f>
        <v>168</v>
      </c>
      <c r="J183" s="38" t="s">
        <v>159</v>
      </c>
      <c r="K183" s="52" cm="1">
        <f t="array" ref="K183">IF($N183,INDEX($O:$O,MATCH(TRUE,EXACT(J183,$A:$A),0)),"")</f>
        <v>171</v>
      </c>
      <c r="L183" s="23"/>
      <c r="M183" s="33"/>
      <c r="N183" s="18" t="b">
        <f t="shared" si="68"/>
        <v>1</v>
      </c>
      <c r="O183" s="19">
        <f>IF(N183, MAX(O$2:O182)+1,"")</f>
        <v>170</v>
      </c>
      <c r="P183" s="23" t="str">
        <f t="shared" si="67"/>
        <v>û</v>
      </c>
      <c r="Q183" s="8" t="str" cm="1">
        <f t="array" ref="Q183">CharToUTF8(A183)</f>
        <v>\xC3\xBB</v>
      </c>
      <c r="S183" s="18" t="str">
        <f>$AO$4</f>
        <v>ORTHO_BOTH</v>
      </c>
      <c r="T183" s="24" t="str">
        <f>$AO$2</f>
        <v>EMPTY</v>
      </c>
      <c r="U183" s="24" t="str">
        <f>$AO$2</f>
        <v>EMPTY</v>
      </c>
      <c r="V183" s="21" t="str">
        <f>$AO$3</f>
        <v>DIAG_BOTH</v>
      </c>
      <c r="X183" s="31" t="b">
        <f t="shared" si="69"/>
        <v>0</v>
      </c>
      <c r="Y183" s="31" t="b">
        <f t="shared" si="70"/>
        <v>0</v>
      </c>
      <c r="Z183" t="b">
        <f t="shared" si="71"/>
        <v>0</v>
      </c>
      <c r="AA183" t="b">
        <f t="shared" si="72"/>
        <v>0</v>
      </c>
      <c r="AB183" t="b">
        <f t="shared" si="73"/>
        <v>0</v>
      </c>
      <c r="AC183" t="b">
        <f t="shared" si="74"/>
        <v>1</v>
      </c>
      <c r="AD183" t="b">
        <f t="shared" si="75"/>
        <v>0</v>
      </c>
      <c r="AE183" t="b">
        <f t="shared" si="76"/>
        <v>0</v>
      </c>
      <c r="AF183" t="b">
        <f t="shared" si="77"/>
        <v>1</v>
      </c>
      <c r="AG183" t="b">
        <f t="shared" si="78"/>
        <v>1</v>
      </c>
      <c r="AH183" t="b">
        <f t="shared" si="79"/>
        <v>1</v>
      </c>
      <c r="AI183" t="b">
        <f t="shared" si="80"/>
        <v>1</v>
      </c>
      <c r="AJ183" t="b">
        <f t="shared" si="81"/>
        <v>1</v>
      </c>
      <c r="AK183" t="b">
        <f t="shared" si="82"/>
        <v>1</v>
      </c>
      <c r="AL183" t="b">
        <f t="shared" si="83"/>
        <v>1</v>
      </c>
      <c r="AM183" t="b">
        <f t="shared" si="84"/>
        <v>1</v>
      </c>
      <c r="AV183" s="59" t="str">
        <f t="shared" si="93"/>
        <v xml:space="preserve">    { wxString::FromUTF8("\xC3\xBB"), &amp;AllGlyphs[164], &amp;AllGlyphs[169], &amp;AllGlyphs[168], &amp;AllGlyphs[171], Connection::ORTHO_BOTH, Connection::EMPTY, Connection::EMPTY, Connection::DIAG_BOTH, 0, 0, 0, 0 },</v>
      </c>
      <c r="AW183" s="60"/>
      <c r="AX183" s="60"/>
      <c r="AY183" s="60"/>
      <c r="AZ183" s="60"/>
      <c r="BA183" s="60"/>
      <c r="BB183" s="60"/>
      <c r="BC183" s="61"/>
      <c r="BE183" s="54" t="str">
        <f t="shared" si="85"/>
        <v>&amp;AllGlyphs[164]</v>
      </c>
      <c r="BF183" s="54" t="str">
        <f t="shared" si="86"/>
        <v>&amp;AllGlyphs[169]</v>
      </c>
      <c r="BG183" s="54" t="str">
        <f t="shared" si="87"/>
        <v>&amp;AllGlyphs[168]</v>
      </c>
      <c r="BH183" s="54" t="str">
        <f t="shared" si="88"/>
        <v>&amp;AllGlyphs[171]</v>
      </c>
      <c r="BJ183" s="58">
        <f t="shared" si="89"/>
        <v>0</v>
      </c>
      <c r="BK183" s="58">
        <f t="shared" si="90"/>
        <v>0</v>
      </c>
      <c r="BL183" s="58">
        <f t="shared" si="91"/>
        <v>0</v>
      </c>
      <c r="BM183" s="58">
        <f t="shared" si="92"/>
        <v>0</v>
      </c>
    </row>
    <row r="184" spans="1:65" x14ac:dyDescent="0.4">
      <c r="A184" s="7" t="s">
        <v>159</v>
      </c>
      <c r="B184" s="6" t="str">
        <f t="shared" si="66"/>
        <v>ü</v>
      </c>
      <c r="C184" s="48" cm="1">
        <f t="array" ref="C184">IF($N184,INDEX($O:$O,MATCH(TRUE,EXACT(B184,$A:$A),0)),"")</f>
        <v>171</v>
      </c>
      <c r="D184" s="38" t="s">
        <v>155</v>
      </c>
      <c r="E184" s="48" cm="1">
        <f t="array" ref="E184">IF($N184,INDEX($O:$O,MATCH(TRUE,EXACT(D184,$A:$A),0)),"")</f>
        <v>166</v>
      </c>
      <c r="F184" s="38" t="s">
        <v>157</v>
      </c>
      <c r="G184" s="48" cm="1">
        <f t="array" ref="G184">IF($O184&lt;&gt;"",INDEX($O:$O,MATCH(TRUE,EXACT(F184,$A:$A),0)),"")</f>
        <v>168</v>
      </c>
      <c r="H184" s="38" t="s">
        <v>164</v>
      </c>
      <c r="I184" s="48" cm="1">
        <f t="array" ref="I184">IF($N184,INDEX($O:$O,MATCH(TRUE,EXACT(H184,$A:$A),0)),"")</f>
        <v>169</v>
      </c>
      <c r="J184" s="38" t="s">
        <v>158</v>
      </c>
      <c r="K184" s="52" cm="1">
        <f t="array" ref="K184">IF($N184,INDEX($O:$O,MATCH(TRUE,EXACT(J184,$A:$A),0)),"")</f>
        <v>170</v>
      </c>
      <c r="L184" s="23"/>
      <c r="M184" s="33"/>
      <c r="N184" s="18" t="b">
        <f t="shared" si="68"/>
        <v>1</v>
      </c>
      <c r="O184" s="19">
        <f>IF(N184, MAX(O$2:O183)+1,"")</f>
        <v>171</v>
      </c>
      <c r="P184" s="23" t="str">
        <f t="shared" si="67"/>
        <v>ü</v>
      </c>
      <c r="Q184" s="8" t="str" cm="1">
        <f t="array" ref="Q184">CharToUTF8(A184)</f>
        <v>\xC3\xBC</v>
      </c>
      <c r="S184" s="18" t="str">
        <f>$AO$4</f>
        <v>ORTHO_BOTH</v>
      </c>
      <c r="T184" s="24" t="str">
        <f>$AO$2</f>
        <v>EMPTY</v>
      </c>
      <c r="U184" s="24" t="str">
        <f>$AO$3</f>
        <v>DIAG_BOTH</v>
      </c>
      <c r="V184" s="21" t="str">
        <f>$AO$2</f>
        <v>EMPTY</v>
      </c>
      <c r="X184" s="31" t="b">
        <f t="shared" si="69"/>
        <v>0</v>
      </c>
      <c r="Y184" s="31" t="b">
        <f t="shared" si="70"/>
        <v>0</v>
      </c>
      <c r="Z184" t="b">
        <f t="shared" si="71"/>
        <v>0</v>
      </c>
      <c r="AA184" t="b">
        <f t="shared" si="72"/>
        <v>0</v>
      </c>
      <c r="AB184" t="b">
        <f t="shared" si="73"/>
        <v>0</v>
      </c>
      <c r="AC184" t="b">
        <f t="shared" si="74"/>
        <v>0</v>
      </c>
      <c r="AD184" t="b">
        <f t="shared" si="75"/>
        <v>0</v>
      </c>
      <c r="AE184" t="b">
        <f t="shared" si="76"/>
        <v>1</v>
      </c>
      <c r="AF184" t="b">
        <f t="shared" si="77"/>
        <v>1</v>
      </c>
      <c r="AG184" t="b">
        <f t="shared" si="78"/>
        <v>1</v>
      </c>
      <c r="AH184" t="b">
        <f t="shared" si="79"/>
        <v>1</v>
      </c>
      <c r="AI184" t="b">
        <f t="shared" si="80"/>
        <v>1</v>
      </c>
      <c r="AJ184" t="b">
        <f t="shared" si="81"/>
        <v>1</v>
      </c>
      <c r="AK184" t="b">
        <f t="shared" si="82"/>
        <v>1</v>
      </c>
      <c r="AL184" t="b">
        <f t="shared" si="83"/>
        <v>1</v>
      </c>
      <c r="AM184" t="b">
        <f t="shared" si="84"/>
        <v>1</v>
      </c>
      <c r="AV184" s="59" t="str">
        <f t="shared" si="93"/>
        <v xml:space="preserve">    { wxString::FromUTF8("\xC3\xBC"), &amp;AllGlyphs[166], &amp;AllGlyphs[168], &amp;AllGlyphs[169], &amp;AllGlyphs[170], Connection::ORTHO_BOTH, Connection::EMPTY, Connection::DIAG_BOTH, Connection::EMPTY, 0, 0, 0, 0 },</v>
      </c>
      <c r="AW184" s="60"/>
      <c r="AX184" s="60"/>
      <c r="AY184" s="60"/>
      <c r="AZ184" s="60"/>
      <c r="BA184" s="60"/>
      <c r="BB184" s="60"/>
      <c r="BC184" s="61"/>
      <c r="BE184" s="54" t="str">
        <f t="shared" si="85"/>
        <v>&amp;AllGlyphs[166]</v>
      </c>
      <c r="BF184" s="54" t="str">
        <f t="shared" si="86"/>
        <v>&amp;AllGlyphs[168]</v>
      </c>
      <c r="BG184" s="54" t="str">
        <f t="shared" si="87"/>
        <v>&amp;AllGlyphs[169]</v>
      </c>
      <c r="BH184" s="54" t="str">
        <f t="shared" si="88"/>
        <v>&amp;AllGlyphs[170]</v>
      </c>
      <c r="BJ184" s="58">
        <f t="shared" si="89"/>
        <v>0</v>
      </c>
      <c r="BK184" s="58">
        <f t="shared" si="90"/>
        <v>0</v>
      </c>
      <c r="BL184" s="58">
        <f t="shared" si="91"/>
        <v>0</v>
      </c>
      <c r="BM184" s="58">
        <f t="shared" si="92"/>
        <v>0</v>
      </c>
    </row>
    <row r="185" spans="1:65" x14ac:dyDescent="0.4">
      <c r="A185" s="7" t="s">
        <v>179</v>
      </c>
      <c r="B185" s="6" t="str">
        <f t="shared" si="66"/>
        <v>ģ</v>
      </c>
      <c r="C185" s="48" cm="1">
        <f t="array" ref="C185">IF($N185,INDEX($O:$O,MATCH(TRUE,EXACT(B185,$A:$A),0)),"")</f>
        <v>172</v>
      </c>
      <c r="D185" s="38" t="s">
        <v>180</v>
      </c>
      <c r="E185" s="48" cm="1">
        <f t="array" ref="E185">IF($N185,INDEX($O:$O,MATCH(TRUE,EXACT(D185,$A:$A),0)),"")</f>
        <v>173</v>
      </c>
      <c r="F185" s="38" t="s">
        <v>181</v>
      </c>
      <c r="G185" s="48" cm="1">
        <f t="array" ref="G185">IF($O185&lt;&gt;"",INDEX($O:$O,MATCH(TRUE,EXACT(F185,$A:$A),0)),"")</f>
        <v>174</v>
      </c>
      <c r="H185" s="38" t="s">
        <v>185</v>
      </c>
      <c r="I185" s="48" cm="1">
        <f t="array" ref="I185">IF($N185,INDEX($O:$O,MATCH(TRUE,EXACT(H185,$A:$A),0)),"")</f>
        <v>178</v>
      </c>
      <c r="J185" s="38" t="s">
        <v>183</v>
      </c>
      <c r="K185" s="52" cm="1">
        <f t="array" ref="K185">IF($N185,INDEX($O:$O,MATCH(TRUE,EXACT(J185,$A:$A),0)),"")</f>
        <v>176</v>
      </c>
      <c r="L185" s="23"/>
      <c r="M185" s="33"/>
      <c r="N185" s="18" t="b">
        <f t="shared" si="68"/>
        <v>1</v>
      </c>
      <c r="O185" s="19">
        <f>IF(N185, MAX(O$2:O184)+1,"")</f>
        <v>172</v>
      </c>
      <c r="P185" s="23" t="str">
        <f t="shared" si="67"/>
        <v>ģ</v>
      </c>
      <c r="Q185" s="8" t="str" cm="1">
        <f t="array" ref="Q185">CharToUTF8(A185)</f>
        <v>\xC4\xA3</v>
      </c>
      <c r="S185" s="18" t="str">
        <f>$AO$2</f>
        <v>EMPTY</v>
      </c>
      <c r="T185" s="24" t="str">
        <f>$AO$5</f>
        <v>DIAG_FRONT</v>
      </c>
      <c r="U185" s="24" t="str">
        <f>$AO$8</f>
        <v>ORTHO_DOWN</v>
      </c>
      <c r="V185" s="21" t="str">
        <f>$AO$2</f>
        <v>EMPTY</v>
      </c>
      <c r="X185" s="31" t="b">
        <f t="shared" si="69"/>
        <v>0</v>
      </c>
      <c r="Y185" s="31" t="b">
        <f t="shared" si="70"/>
        <v>0</v>
      </c>
      <c r="Z185" t="b">
        <f t="shared" si="71"/>
        <v>0</v>
      </c>
      <c r="AA185" t="b">
        <f t="shared" si="72"/>
        <v>0</v>
      </c>
      <c r="AB185" t="b">
        <f t="shared" si="73"/>
        <v>1</v>
      </c>
      <c r="AC185" t="b">
        <f t="shared" si="74"/>
        <v>0</v>
      </c>
      <c r="AD185" t="b">
        <f t="shared" si="75"/>
        <v>0</v>
      </c>
      <c r="AE185" t="b">
        <f t="shared" si="76"/>
        <v>0</v>
      </c>
      <c r="AF185" t="b">
        <f t="shared" si="77"/>
        <v>1</v>
      </c>
      <c r="AG185" t="b">
        <f t="shared" si="78"/>
        <v>1</v>
      </c>
      <c r="AH185" t="b">
        <f t="shared" si="79"/>
        <v>0</v>
      </c>
      <c r="AI185" t="b">
        <f t="shared" si="80"/>
        <v>1</v>
      </c>
      <c r="AJ185" t="b">
        <f t="shared" si="81"/>
        <v>1</v>
      </c>
      <c r="AK185" t="b">
        <f t="shared" si="82"/>
        <v>0</v>
      </c>
      <c r="AL185" t="b">
        <f t="shared" si="83"/>
        <v>1</v>
      </c>
      <c r="AM185" t="b">
        <f t="shared" si="84"/>
        <v>1</v>
      </c>
      <c r="AV185" s="59" t="str">
        <f t="shared" si="93"/>
        <v xml:space="preserve">    { wxString::FromUTF8("\xC4\xA3"), &amp;AllGlyphs[173], &amp;AllGlyphs[174], &amp;AllGlyphs[178], &amp;AllGlyphs[176], Connection::EMPTY, Connection::DIAG_FRONT, Connection::ORTHO_DOWN, Connection::EMPTY, 0, 0, 0, 0 },</v>
      </c>
      <c r="AW185" s="60"/>
      <c r="AX185" s="60"/>
      <c r="AY185" s="60"/>
      <c r="AZ185" s="60"/>
      <c r="BA185" s="60"/>
      <c r="BB185" s="60"/>
      <c r="BC185" s="61"/>
      <c r="BE185" s="54" t="str">
        <f t="shared" si="85"/>
        <v>&amp;AllGlyphs[173]</v>
      </c>
      <c r="BF185" s="54" t="str">
        <f t="shared" si="86"/>
        <v>&amp;AllGlyphs[174]</v>
      </c>
      <c r="BG185" s="54" t="str">
        <f t="shared" si="87"/>
        <v>&amp;AllGlyphs[178]</v>
      </c>
      <c r="BH185" s="54" t="str">
        <f t="shared" si="88"/>
        <v>&amp;AllGlyphs[176]</v>
      </c>
      <c r="BJ185" s="58">
        <f t="shared" si="89"/>
        <v>0</v>
      </c>
      <c r="BK185" s="58">
        <f t="shared" si="90"/>
        <v>0</v>
      </c>
      <c r="BL185" s="58">
        <f t="shared" si="91"/>
        <v>0</v>
      </c>
      <c r="BM185" s="58">
        <f t="shared" si="92"/>
        <v>0</v>
      </c>
    </row>
    <row r="186" spans="1:65" x14ac:dyDescent="0.4">
      <c r="A186" s="7" t="s">
        <v>180</v>
      </c>
      <c r="B186" s="6" t="str">
        <f t="shared" si="66"/>
        <v>Ĥ</v>
      </c>
      <c r="C186" s="48" cm="1">
        <f t="array" ref="C186">IF($N186,INDEX($O:$O,MATCH(TRUE,EXACT(B186,$A:$A),0)),"")</f>
        <v>173</v>
      </c>
      <c r="D186" s="38" t="s">
        <v>181</v>
      </c>
      <c r="E186" s="48" cm="1">
        <f t="array" ref="E186">IF($N186,INDEX($O:$O,MATCH(TRUE,EXACT(D186,$A:$A),0)),"")</f>
        <v>174</v>
      </c>
      <c r="F186" s="38" t="s">
        <v>182</v>
      </c>
      <c r="G186" s="48" cm="1">
        <f t="array" ref="G186">IF($O186&lt;&gt;"",INDEX($O:$O,MATCH(TRUE,EXACT(F186,$A:$A),0)),"")</f>
        <v>175</v>
      </c>
      <c r="H186" s="38" t="s">
        <v>184</v>
      </c>
      <c r="I186" s="48" cm="1">
        <f t="array" ref="I186">IF($N186,INDEX($O:$O,MATCH(TRUE,EXACT(H186,$A:$A),0)),"")</f>
        <v>177</v>
      </c>
      <c r="J186" s="38" t="s">
        <v>186</v>
      </c>
      <c r="K186" s="52" cm="1">
        <f t="array" ref="K186">IF($N186,INDEX($O:$O,MATCH(TRUE,EXACT(J186,$A:$A),0)),"")</f>
        <v>179</v>
      </c>
      <c r="L186" s="23"/>
      <c r="M186" s="33"/>
      <c r="N186" s="18" t="b">
        <f t="shared" si="68"/>
        <v>1</v>
      </c>
      <c r="O186" s="19">
        <f>IF(N186, MAX(O$2:O185)+1,"")</f>
        <v>173</v>
      </c>
      <c r="P186" s="23" t="str">
        <f t="shared" si="67"/>
        <v>Ĥ</v>
      </c>
      <c r="Q186" s="8" t="str" cm="1">
        <f t="array" ref="Q186">CharToUTF8(A186)</f>
        <v>\xC4\xA4</v>
      </c>
      <c r="S186" s="18" t="str">
        <f>$AO$9</f>
        <v>ORTHO_LEFT</v>
      </c>
      <c r="T186" s="24" t="str">
        <f>$AO$2</f>
        <v>EMPTY</v>
      </c>
      <c r="U186" s="24" t="str">
        <f>$AO$5</f>
        <v>DIAG_FRONT</v>
      </c>
      <c r="V186" s="21" t="str">
        <f>$AO$2</f>
        <v>EMPTY</v>
      </c>
      <c r="X186" s="31" t="b">
        <f t="shared" si="69"/>
        <v>0</v>
      </c>
      <c r="Y186" s="31" t="b">
        <f t="shared" si="70"/>
        <v>0</v>
      </c>
      <c r="Z186" t="b">
        <f t="shared" si="71"/>
        <v>0</v>
      </c>
      <c r="AA186" t="b">
        <f t="shared" si="72"/>
        <v>0</v>
      </c>
      <c r="AB186" t="b">
        <f t="shared" si="73"/>
        <v>0</v>
      </c>
      <c r="AC186" t="b">
        <f t="shared" si="74"/>
        <v>0</v>
      </c>
      <c r="AD186" t="b">
        <f t="shared" si="75"/>
        <v>0</v>
      </c>
      <c r="AE186" t="b">
        <f t="shared" si="76"/>
        <v>1</v>
      </c>
      <c r="AF186" t="b">
        <f t="shared" si="77"/>
        <v>0</v>
      </c>
      <c r="AG186" t="b">
        <f t="shared" si="78"/>
        <v>1</v>
      </c>
      <c r="AH186" t="b">
        <f t="shared" si="79"/>
        <v>1</v>
      </c>
      <c r="AI186" t="b">
        <f t="shared" si="80"/>
        <v>1</v>
      </c>
      <c r="AJ186" t="b">
        <f t="shared" si="81"/>
        <v>1</v>
      </c>
      <c r="AK186" t="b">
        <f t="shared" si="82"/>
        <v>1</v>
      </c>
      <c r="AL186" t="b">
        <f t="shared" si="83"/>
        <v>0</v>
      </c>
      <c r="AM186" t="b">
        <f t="shared" si="84"/>
        <v>1</v>
      </c>
      <c r="AV186" s="59" t="str">
        <f t="shared" si="93"/>
        <v xml:space="preserve">    { wxString::FromUTF8("\xC4\xA4"), &amp;AllGlyphs[174], &amp;AllGlyphs[175], &amp;AllGlyphs[177], &amp;AllGlyphs[179], Connection::ORTHO_LEFT, Connection::EMPTY, Connection::DIAG_FRONT, Connection::EMPTY, 0, 0, 0, 0 },</v>
      </c>
      <c r="AW186" s="60"/>
      <c r="AX186" s="60"/>
      <c r="AY186" s="60"/>
      <c r="AZ186" s="60"/>
      <c r="BA186" s="60"/>
      <c r="BB186" s="60"/>
      <c r="BC186" s="61"/>
      <c r="BE186" s="54" t="str">
        <f t="shared" si="85"/>
        <v>&amp;AllGlyphs[174]</v>
      </c>
      <c r="BF186" s="54" t="str">
        <f t="shared" si="86"/>
        <v>&amp;AllGlyphs[175]</v>
      </c>
      <c r="BG186" s="54" t="str">
        <f t="shared" si="87"/>
        <v>&amp;AllGlyphs[177]</v>
      </c>
      <c r="BH186" s="54" t="str">
        <f t="shared" si="88"/>
        <v>&amp;AllGlyphs[179]</v>
      </c>
      <c r="BJ186" s="58">
        <f t="shared" si="89"/>
        <v>0</v>
      </c>
      <c r="BK186" s="58">
        <f t="shared" si="90"/>
        <v>0</v>
      </c>
      <c r="BL186" s="58">
        <f t="shared" si="91"/>
        <v>0</v>
      </c>
      <c r="BM186" s="58">
        <f t="shared" si="92"/>
        <v>0</v>
      </c>
    </row>
    <row r="187" spans="1:65" x14ac:dyDescent="0.4">
      <c r="A187" s="7" t="s">
        <v>181</v>
      </c>
      <c r="B187" s="6" t="str">
        <f t="shared" si="66"/>
        <v>ĥ</v>
      </c>
      <c r="C187" s="48" cm="1">
        <f t="array" ref="C187">IF($N187,INDEX($O:$O,MATCH(TRUE,EXACT(B187,$A:$A),0)),"")</f>
        <v>174</v>
      </c>
      <c r="D187" s="38" t="s">
        <v>182</v>
      </c>
      <c r="E187" s="48" cm="1">
        <f t="array" ref="E187">IF($N187,INDEX($O:$O,MATCH(TRUE,EXACT(D187,$A:$A),0)),"")</f>
        <v>175</v>
      </c>
      <c r="F187" s="38" t="s">
        <v>179</v>
      </c>
      <c r="G187" s="48" cm="1">
        <f t="array" ref="G187">IF($O187&lt;&gt;"",INDEX($O:$O,MATCH(TRUE,EXACT(F187,$A:$A),0)),"")</f>
        <v>172</v>
      </c>
      <c r="H187" s="38" t="s">
        <v>183</v>
      </c>
      <c r="I187" s="48" cm="1">
        <f t="array" ref="I187">IF($N187,INDEX($O:$O,MATCH(TRUE,EXACT(H187,$A:$A),0)),"")</f>
        <v>176</v>
      </c>
      <c r="J187" s="38" t="s">
        <v>185</v>
      </c>
      <c r="K187" s="52" cm="1">
        <f t="array" ref="K187">IF($N187,INDEX($O:$O,MATCH(TRUE,EXACT(J187,$A:$A),0)),"")</f>
        <v>178</v>
      </c>
      <c r="L187" s="23"/>
      <c r="M187" s="33"/>
      <c r="N187" s="18" t="b">
        <f t="shared" si="68"/>
        <v>1</v>
      </c>
      <c r="O187" s="19">
        <f>IF(N187, MAX(O$2:O186)+1,"")</f>
        <v>174</v>
      </c>
      <c r="P187" s="23" t="str">
        <f t="shared" si="67"/>
        <v>ĥ</v>
      </c>
      <c r="Q187" s="8" t="str" cm="1">
        <f t="array" ref="Q187">CharToUTF8(A187)</f>
        <v>\xC4\xA5</v>
      </c>
      <c r="S187" s="18" t="str">
        <f>$AO$5</f>
        <v>DIAG_FRONT</v>
      </c>
      <c r="T187" s="24" t="str">
        <f>$AO$2</f>
        <v>EMPTY</v>
      </c>
      <c r="U187" s="24" t="str">
        <f>$AO$2</f>
        <v>EMPTY</v>
      </c>
      <c r="V187" s="21" t="str">
        <f>$AO$7</f>
        <v>ORTHO_UP</v>
      </c>
      <c r="X187" s="31" t="b">
        <f t="shared" si="69"/>
        <v>0</v>
      </c>
      <c r="Y187" s="31" t="b">
        <f t="shared" si="70"/>
        <v>0</v>
      </c>
      <c r="Z187" t="b">
        <f t="shared" si="71"/>
        <v>0</v>
      </c>
      <c r="AA187" t="b">
        <f t="shared" si="72"/>
        <v>0</v>
      </c>
      <c r="AB187" t="b">
        <f t="shared" si="73"/>
        <v>0</v>
      </c>
      <c r="AC187" t="b">
        <f t="shared" si="74"/>
        <v>1</v>
      </c>
      <c r="AD187" t="b">
        <f t="shared" si="75"/>
        <v>0</v>
      </c>
      <c r="AE187" t="b">
        <f t="shared" si="76"/>
        <v>0</v>
      </c>
      <c r="AF187" t="b">
        <f t="shared" si="77"/>
        <v>1</v>
      </c>
      <c r="AG187" t="b">
        <f t="shared" si="78"/>
        <v>1</v>
      </c>
      <c r="AH187" t="b">
        <f t="shared" si="79"/>
        <v>1</v>
      </c>
      <c r="AI187" t="b">
        <f t="shared" si="80"/>
        <v>0</v>
      </c>
      <c r="AJ187" t="b">
        <f t="shared" si="81"/>
        <v>0</v>
      </c>
      <c r="AK187" t="b">
        <f t="shared" si="82"/>
        <v>1</v>
      </c>
      <c r="AL187" t="b">
        <f t="shared" si="83"/>
        <v>1</v>
      </c>
      <c r="AM187" t="b">
        <f t="shared" si="84"/>
        <v>1</v>
      </c>
      <c r="AV187" s="59" t="str">
        <f t="shared" si="93"/>
        <v xml:space="preserve">    { wxString::FromUTF8("\xC4\xA5"), &amp;AllGlyphs[175], &amp;AllGlyphs[172], &amp;AllGlyphs[176], &amp;AllGlyphs[178], Connection::DIAG_FRONT, Connection::EMPTY, Connection::EMPTY, Connection::ORTHO_UP, 0, 0, 0, 0 },</v>
      </c>
      <c r="AW187" s="60"/>
      <c r="AX187" s="60"/>
      <c r="AY187" s="60"/>
      <c r="AZ187" s="60"/>
      <c r="BA187" s="60"/>
      <c r="BB187" s="60"/>
      <c r="BC187" s="61"/>
      <c r="BE187" s="54" t="str">
        <f t="shared" si="85"/>
        <v>&amp;AllGlyphs[175]</v>
      </c>
      <c r="BF187" s="54" t="str">
        <f t="shared" si="86"/>
        <v>&amp;AllGlyphs[172]</v>
      </c>
      <c r="BG187" s="54" t="str">
        <f t="shared" si="87"/>
        <v>&amp;AllGlyphs[176]</v>
      </c>
      <c r="BH187" s="54" t="str">
        <f t="shared" si="88"/>
        <v>&amp;AllGlyphs[178]</v>
      </c>
      <c r="BJ187" s="58">
        <f t="shared" si="89"/>
        <v>0</v>
      </c>
      <c r="BK187" s="58">
        <f t="shared" si="90"/>
        <v>0</v>
      </c>
      <c r="BL187" s="58">
        <f t="shared" si="91"/>
        <v>0</v>
      </c>
      <c r="BM187" s="58">
        <f t="shared" si="92"/>
        <v>0</v>
      </c>
    </row>
    <row r="188" spans="1:65" x14ac:dyDescent="0.4">
      <c r="A188" s="7" t="s">
        <v>182</v>
      </c>
      <c r="B188" s="6" t="str">
        <f t="shared" si="66"/>
        <v>Ħ</v>
      </c>
      <c r="C188" s="48" cm="1">
        <f t="array" ref="C188">IF($N188,INDEX($O:$O,MATCH(TRUE,EXACT(B188,$A:$A),0)),"")</f>
        <v>175</v>
      </c>
      <c r="D188" s="38" t="s">
        <v>179</v>
      </c>
      <c r="E188" s="48" cm="1">
        <f t="array" ref="E188">IF($N188,INDEX($O:$O,MATCH(TRUE,EXACT(D188,$A:$A),0)),"")</f>
        <v>172</v>
      </c>
      <c r="F188" s="38" t="s">
        <v>180</v>
      </c>
      <c r="G188" s="48" cm="1">
        <f t="array" ref="G188">IF($O188&lt;&gt;"",INDEX($O:$O,MATCH(TRUE,EXACT(F188,$A:$A),0)),"")</f>
        <v>173</v>
      </c>
      <c r="H188" s="38" t="s">
        <v>186</v>
      </c>
      <c r="I188" s="48" cm="1">
        <f t="array" ref="I188">IF($N188,INDEX($O:$O,MATCH(TRUE,EXACT(H188,$A:$A),0)),"")</f>
        <v>179</v>
      </c>
      <c r="J188" s="38" t="s">
        <v>184</v>
      </c>
      <c r="K188" s="52" cm="1">
        <f t="array" ref="K188">IF($N188,INDEX($O:$O,MATCH(TRUE,EXACT(J188,$A:$A),0)),"")</f>
        <v>177</v>
      </c>
      <c r="L188" s="23"/>
      <c r="M188" s="33"/>
      <c r="N188" s="18" t="b">
        <f t="shared" si="68"/>
        <v>1</v>
      </c>
      <c r="O188" s="19">
        <f>IF(N188, MAX(O$2:O187)+1,"")</f>
        <v>175</v>
      </c>
      <c r="P188" s="23" t="str">
        <f t="shared" si="67"/>
        <v>Ħ</v>
      </c>
      <c r="Q188" s="8" t="str" cm="1">
        <f t="array" ref="Q188">CharToUTF8(A188)</f>
        <v>\xC4\xA6</v>
      </c>
      <c r="S188" s="18" t="str">
        <f>$AO$2</f>
        <v>EMPTY</v>
      </c>
      <c r="T188" s="24" t="str">
        <f>$AO$10</f>
        <v>ORTHO_RIGHT</v>
      </c>
      <c r="U188" s="24" t="str">
        <f>$AO$2</f>
        <v>EMPTY</v>
      </c>
      <c r="V188" s="21" t="str">
        <f>$AO$5</f>
        <v>DIAG_FRONT</v>
      </c>
      <c r="X188" s="31" t="b">
        <f t="shared" si="69"/>
        <v>0</v>
      </c>
      <c r="Y188" s="31" t="b">
        <f t="shared" si="70"/>
        <v>0</v>
      </c>
      <c r="Z188" t="b">
        <f t="shared" si="71"/>
        <v>0</v>
      </c>
      <c r="AA188" t="b">
        <f t="shared" si="72"/>
        <v>0</v>
      </c>
      <c r="AB188" t="b">
        <f t="shared" si="73"/>
        <v>0</v>
      </c>
      <c r="AC188" t="b">
        <f t="shared" si="74"/>
        <v>0</v>
      </c>
      <c r="AD188" t="b">
        <f t="shared" si="75"/>
        <v>1</v>
      </c>
      <c r="AE188" t="b">
        <f t="shared" si="76"/>
        <v>0</v>
      </c>
      <c r="AF188" t="b">
        <f t="shared" si="77"/>
        <v>1</v>
      </c>
      <c r="AG188" t="b">
        <f t="shared" si="78"/>
        <v>0</v>
      </c>
      <c r="AH188" t="b">
        <f t="shared" si="79"/>
        <v>1</v>
      </c>
      <c r="AI188" t="b">
        <f t="shared" si="80"/>
        <v>1</v>
      </c>
      <c r="AJ188" t="b">
        <f t="shared" si="81"/>
        <v>1</v>
      </c>
      <c r="AK188" t="b">
        <f t="shared" si="82"/>
        <v>1</v>
      </c>
      <c r="AL188" t="b">
        <f t="shared" si="83"/>
        <v>1</v>
      </c>
      <c r="AM188" t="b">
        <f t="shared" si="84"/>
        <v>0</v>
      </c>
      <c r="AV188" s="59" t="str">
        <f t="shared" si="93"/>
        <v xml:space="preserve">    { wxString::FromUTF8("\xC4\xA6"), &amp;AllGlyphs[172], &amp;AllGlyphs[173], &amp;AllGlyphs[179], &amp;AllGlyphs[177], Connection::EMPTY, Connection::ORTHO_RIGHT, Connection::EMPTY, Connection::DIAG_FRONT, 0, 0, 0, 0 },</v>
      </c>
      <c r="AW188" s="60"/>
      <c r="AX188" s="60"/>
      <c r="AY188" s="60"/>
      <c r="AZ188" s="60"/>
      <c r="BA188" s="60"/>
      <c r="BB188" s="60"/>
      <c r="BC188" s="61"/>
      <c r="BE188" s="54" t="str">
        <f t="shared" si="85"/>
        <v>&amp;AllGlyphs[172]</v>
      </c>
      <c r="BF188" s="54" t="str">
        <f t="shared" si="86"/>
        <v>&amp;AllGlyphs[173]</v>
      </c>
      <c r="BG188" s="54" t="str">
        <f t="shared" si="87"/>
        <v>&amp;AllGlyphs[179]</v>
      </c>
      <c r="BH188" s="54" t="str">
        <f t="shared" si="88"/>
        <v>&amp;AllGlyphs[177]</v>
      </c>
      <c r="BJ188" s="58">
        <f t="shared" si="89"/>
        <v>0</v>
      </c>
      <c r="BK188" s="58">
        <f t="shared" si="90"/>
        <v>0</v>
      </c>
      <c r="BL188" s="58">
        <f t="shared" si="91"/>
        <v>0</v>
      </c>
      <c r="BM188" s="58">
        <f t="shared" si="92"/>
        <v>0</v>
      </c>
    </row>
    <row r="189" spans="1:65" x14ac:dyDescent="0.4">
      <c r="A189" s="7" t="s">
        <v>183</v>
      </c>
      <c r="B189" s="6" t="str">
        <f t="shared" si="66"/>
        <v>ħ</v>
      </c>
      <c r="C189" s="48" cm="1">
        <f t="array" ref="C189">IF($N189,INDEX($O:$O,MATCH(TRUE,EXACT(B189,$A:$A),0)),"")</f>
        <v>176</v>
      </c>
      <c r="D189" s="38" t="s">
        <v>184</v>
      </c>
      <c r="E189" s="48" cm="1">
        <f t="array" ref="E189">IF($N189,INDEX($O:$O,MATCH(TRUE,EXACT(D189,$A:$A),0)),"")</f>
        <v>177</v>
      </c>
      <c r="F189" s="38" t="s">
        <v>185</v>
      </c>
      <c r="G189" s="48" cm="1">
        <f t="array" ref="G189">IF($O189&lt;&gt;"",INDEX($O:$O,MATCH(TRUE,EXACT(F189,$A:$A),0)),"")</f>
        <v>178</v>
      </c>
      <c r="H189" s="38" t="s">
        <v>181</v>
      </c>
      <c r="I189" s="48" cm="1">
        <f t="array" ref="I189">IF($N189,INDEX($O:$O,MATCH(TRUE,EXACT(H189,$A:$A),0)),"")</f>
        <v>174</v>
      </c>
      <c r="J189" s="38" t="s">
        <v>179</v>
      </c>
      <c r="K189" s="52" cm="1">
        <f t="array" ref="K189">IF($N189,INDEX($O:$O,MATCH(TRUE,EXACT(J189,$A:$A),0)),"")</f>
        <v>172</v>
      </c>
      <c r="L189" s="23"/>
      <c r="M189" s="33"/>
      <c r="N189" s="18" t="b">
        <f t="shared" si="68"/>
        <v>1</v>
      </c>
      <c r="O189" s="19">
        <f>IF(N189, MAX(O$2:O188)+1,"")</f>
        <v>176</v>
      </c>
      <c r="P189" s="23" t="str">
        <f t="shared" si="67"/>
        <v>ħ</v>
      </c>
      <c r="Q189" s="8" t="str" cm="1">
        <f t="array" ref="Q189">CharToUTF8(A189)</f>
        <v>\xC4\xA7</v>
      </c>
      <c r="S189" s="18" t="str">
        <f>$AO$2</f>
        <v>EMPTY</v>
      </c>
      <c r="T189" s="24" t="str">
        <f>$AO$6</f>
        <v>DIAG_BACK</v>
      </c>
      <c r="U189" s="24" t="str">
        <f>$AO$2</f>
        <v>EMPTY</v>
      </c>
      <c r="V189" s="21" t="str">
        <f>$AO$8</f>
        <v>ORTHO_DOWN</v>
      </c>
      <c r="X189" s="31" t="b">
        <f t="shared" si="69"/>
        <v>0</v>
      </c>
      <c r="Y189" s="31" t="b">
        <f t="shared" si="70"/>
        <v>0</v>
      </c>
      <c r="Z189" t="b">
        <f t="shared" si="71"/>
        <v>0</v>
      </c>
      <c r="AA189" t="b">
        <f t="shared" si="72"/>
        <v>0</v>
      </c>
      <c r="AB189" t="b">
        <f t="shared" si="73"/>
        <v>0</v>
      </c>
      <c r="AC189" t="b">
        <f t="shared" si="74"/>
        <v>0</v>
      </c>
      <c r="AD189" t="b">
        <f t="shared" si="75"/>
        <v>1</v>
      </c>
      <c r="AE189" t="b">
        <f t="shared" si="76"/>
        <v>0</v>
      </c>
      <c r="AF189" t="b">
        <f t="shared" si="77"/>
        <v>1</v>
      </c>
      <c r="AG189" t="b">
        <f t="shared" si="78"/>
        <v>1</v>
      </c>
      <c r="AH189" t="b">
        <f t="shared" si="79"/>
        <v>1</v>
      </c>
      <c r="AI189" t="b">
        <f t="shared" si="80"/>
        <v>0</v>
      </c>
      <c r="AJ189" t="b">
        <f t="shared" si="81"/>
        <v>1</v>
      </c>
      <c r="AK189" t="b">
        <f t="shared" si="82"/>
        <v>0</v>
      </c>
      <c r="AL189" t="b">
        <f t="shared" si="83"/>
        <v>1</v>
      </c>
      <c r="AM189" t="b">
        <f t="shared" si="84"/>
        <v>1</v>
      </c>
      <c r="AV189" s="59" t="str">
        <f t="shared" si="93"/>
        <v xml:space="preserve">    { wxString::FromUTF8("\xC4\xA7"), &amp;AllGlyphs[177], &amp;AllGlyphs[178], &amp;AllGlyphs[174], &amp;AllGlyphs[172], Connection::EMPTY, Connection::DIAG_BACK, Connection::EMPTY, Connection::ORTHO_DOWN, 0, 0, 0, 0 },</v>
      </c>
      <c r="AW189" s="60"/>
      <c r="AX189" s="60"/>
      <c r="AY189" s="60"/>
      <c r="AZ189" s="60"/>
      <c r="BA189" s="60"/>
      <c r="BB189" s="60"/>
      <c r="BC189" s="61"/>
      <c r="BE189" s="54" t="str">
        <f t="shared" si="85"/>
        <v>&amp;AllGlyphs[177]</v>
      </c>
      <c r="BF189" s="54" t="str">
        <f t="shared" si="86"/>
        <v>&amp;AllGlyphs[178]</v>
      </c>
      <c r="BG189" s="54" t="str">
        <f t="shared" si="87"/>
        <v>&amp;AllGlyphs[174]</v>
      </c>
      <c r="BH189" s="54" t="str">
        <f t="shared" si="88"/>
        <v>&amp;AllGlyphs[172]</v>
      </c>
      <c r="BJ189" s="58">
        <f t="shared" si="89"/>
        <v>0</v>
      </c>
      <c r="BK189" s="58">
        <f t="shared" si="90"/>
        <v>0</v>
      </c>
      <c r="BL189" s="58">
        <f t="shared" si="91"/>
        <v>0</v>
      </c>
      <c r="BM189" s="58">
        <f t="shared" si="92"/>
        <v>0</v>
      </c>
    </row>
    <row r="190" spans="1:65" x14ac:dyDescent="0.4">
      <c r="A190" s="7" t="s">
        <v>184</v>
      </c>
      <c r="B190" s="6" t="str">
        <f t="shared" si="66"/>
        <v>Ĩ</v>
      </c>
      <c r="C190" s="48" cm="1">
        <f t="array" ref="C190">IF($N190,INDEX($O:$O,MATCH(TRUE,EXACT(B190,$A:$A),0)),"")</f>
        <v>177</v>
      </c>
      <c r="D190" s="38" t="s">
        <v>185</v>
      </c>
      <c r="E190" s="48" cm="1">
        <f t="array" ref="E190">IF($N190,INDEX($O:$O,MATCH(TRUE,EXACT(D190,$A:$A),0)),"")</f>
        <v>178</v>
      </c>
      <c r="F190" s="38" t="s">
        <v>186</v>
      </c>
      <c r="G190" s="48" cm="1">
        <f t="array" ref="G190">IF($O190&lt;&gt;"",INDEX($O:$O,MATCH(TRUE,EXACT(F190,$A:$A),0)),"")</f>
        <v>179</v>
      </c>
      <c r="H190" s="38" t="s">
        <v>180</v>
      </c>
      <c r="I190" s="48" cm="1">
        <f t="array" ref="I190">IF($N190,INDEX($O:$O,MATCH(TRUE,EXACT(H190,$A:$A),0)),"")</f>
        <v>173</v>
      </c>
      <c r="J190" s="38" t="s">
        <v>182</v>
      </c>
      <c r="K190" s="52" cm="1">
        <f t="array" ref="K190">IF($N190,INDEX($O:$O,MATCH(TRUE,EXACT(J190,$A:$A),0)),"")</f>
        <v>175</v>
      </c>
      <c r="L190" s="23"/>
      <c r="M190" s="33"/>
      <c r="N190" s="18" t="b">
        <f t="shared" si="68"/>
        <v>1</v>
      </c>
      <c r="O190" s="19">
        <f>IF(N190, MAX(O$2:O189)+1,"")</f>
        <v>177</v>
      </c>
      <c r="P190" s="23" t="str">
        <f t="shared" si="67"/>
        <v>Ĩ</v>
      </c>
      <c r="Q190" s="8" t="str" cm="1">
        <f t="array" ref="Q190">CharToUTF8(A190)</f>
        <v>\xC4\xA8</v>
      </c>
      <c r="S190" s="18" t="str">
        <f>$AO$2</f>
        <v>EMPTY</v>
      </c>
      <c r="T190" s="24" t="str">
        <f>$AO$9</f>
        <v>ORTHO_LEFT</v>
      </c>
      <c r="U190" s="24" t="str">
        <f>$AO$6</f>
        <v>DIAG_BACK</v>
      </c>
      <c r="V190" s="21" t="str">
        <f>$AO$2</f>
        <v>EMPTY</v>
      </c>
      <c r="X190" s="31" t="b">
        <f t="shared" si="69"/>
        <v>0</v>
      </c>
      <c r="Y190" s="31" t="b">
        <f t="shared" si="70"/>
        <v>0</v>
      </c>
      <c r="Z190" t="b">
        <f t="shared" si="71"/>
        <v>0</v>
      </c>
      <c r="AA190" t="b">
        <f t="shared" si="72"/>
        <v>0</v>
      </c>
      <c r="AB190" t="b">
        <f t="shared" si="73"/>
        <v>1</v>
      </c>
      <c r="AC190" t="b">
        <f t="shared" si="74"/>
        <v>0</v>
      </c>
      <c r="AD190" t="b">
        <f t="shared" si="75"/>
        <v>0</v>
      </c>
      <c r="AE190" t="b">
        <f t="shared" si="76"/>
        <v>0</v>
      </c>
      <c r="AF190" t="b">
        <f t="shared" si="77"/>
        <v>1</v>
      </c>
      <c r="AG190" t="b">
        <f t="shared" si="78"/>
        <v>0</v>
      </c>
      <c r="AH190" t="b">
        <f t="shared" si="79"/>
        <v>1</v>
      </c>
      <c r="AI190" t="b">
        <f t="shared" si="80"/>
        <v>1</v>
      </c>
      <c r="AJ190" t="b">
        <f t="shared" si="81"/>
        <v>1</v>
      </c>
      <c r="AK190" t="b">
        <f t="shared" si="82"/>
        <v>1</v>
      </c>
      <c r="AL190" t="b">
        <f t="shared" si="83"/>
        <v>0</v>
      </c>
      <c r="AM190" t="b">
        <f t="shared" si="84"/>
        <v>1</v>
      </c>
      <c r="AV190" s="59" t="str">
        <f t="shared" si="93"/>
        <v xml:space="preserve">    { wxString::FromUTF8("\xC4\xA8"), &amp;AllGlyphs[178], &amp;AllGlyphs[179], &amp;AllGlyphs[173], &amp;AllGlyphs[175], Connection::EMPTY, Connection::ORTHO_LEFT, Connection::DIAG_BACK, Connection::EMPTY, 0, 0, 0, 0 },</v>
      </c>
      <c r="AW190" s="60"/>
      <c r="AX190" s="60"/>
      <c r="AY190" s="60"/>
      <c r="AZ190" s="60"/>
      <c r="BA190" s="60"/>
      <c r="BB190" s="60"/>
      <c r="BC190" s="61"/>
      <c r="BE190" s="54" t="str">
        <f t="shared" si="85"/>
        <v>&amp;AllGlyphs[178]</v>
      </c>
      <c r="BF190" s="54" t="str">
        <f t="shared" si="86"/>
        <v>&amp;AllGlyphs[179]</v>
      </c>
      <c r="BG190" s="54" t="str">
        <f t="shared" si="87"/>
        <v>&amp;AllGlyphs[173]</v>
      </c>
      <c r="BH190" s="54" t="str">
        <f t="shared" si="88"/>
        <v>&amp;AllGlyphs[175]</v>
      </c>
      <c r="BJ190" s="58">
        <f t="shared" si="89"/>
        <v>0</v>
      </c>
      <c r="BK190" s="58">
        <f t="shared" si="90"/>
        <v>0</v>
      </c>
      <c r="BL190" s="58">
        <f t="shared" si="91"/>
        <v>0</v>
      </c>
      <c r="BM190" s="58">
        <f t="shared" si="92"/>
        <v>0</v>
      </c>
    </row>
    <row r="191" spans="1:65" x14ac:dyDescent="0.4">
      <c r="A191" s="7" t="s">
        <v>185</v>
      </c>
      <c r="B191" s="6" t="str">
        <f t="shared" si="66"/>
        <v>ĩ</v>
      </c>
      <c r="C191" s="48" cm="1">
        <f t="array" ref="C191">IF($N191,INDEX($O:$O,MATCH(TRUE,EXACT(B191,$A:$A),0)),"")</f>
        <v>178</v>
      </c>
      <c r="D191" s="38" t="s">
        <v>186</v>
      </c>
      <c r="E191" s="48" cm="1">
        <f t="array" ref="E191">IF($N191,INDEX($O:$O,MATCH(TRUE,EXACT(D191,$A:$A),0)),"")</f>
        <v>179</v>
      </c>
      <c r="F191" s="38" t="s">
        <v>183</v>
      </c>
      <c r="G191" s="48" cm="1">
        <f t="array" ref="G191">IF($O191&lt;&gt;"",INDEX($O:$O,MATCH(TRUE,EXACT(F191,$A:$A),0)),"")</f>
        <v>176</v>
      </c>
      <c r="H191" s="38" t="s">
        <v>179</v>
      </c>
      <c r="I191" s="48" cm="1">
        <f t="array" ref="I191">IF($N191,INDEX($O:$O,MATCH(TRUE,EXACT(H191,$A:$A),0)),"")</f>
        <v>172</v>
      </c>
      <c r="J191" s="38" t="s">
        <v>181</v>
      </c>
      <c r="K191" s="52" cm="1">
        <f t="array" ref="K191">IF($N191,INDEX($O:$O,MATCH(TRUE,EXACT(J191,$A:$A),0)),"")</f>
        <v>174</v>
      </c>
      <c r="L191" s="23"/>
      <c r="M191" s="33"/>
      <c r="N191" s="18" t="b">
        <f t="shared" si="68"/>
        <v>1</v>
      </c>
      <c r="O191" s="19">
        <f>IF(N191, MAX(O$2:O190)+1,"")</f>
        <v>178</v>
      </c>
      <c r="P191" s="23" t="str">
        <f t="shared" si="67"/>
        <v>ĩ</v>
      </c>
      <c r="Q191" s="8" t="str" cm="1">
        <f t="array" ref="Q191">CharToUTF8(A191)</f>
        <v>\xC4\xA9</v>
      </c>
      <c r="S191" s="18" t="str">
        <f>$AO$6</f>
        <v>DIAG_BACK</v>
      </c>
      <c r="T191" s="24" t="str">
        <f>$AO$2</f>
        <v>EMPTY</v>
      </c>
      <c r="U191" s="24" t="str">
        <f>$AO$7</f>
        <v>ORTHO_UP</v>
      </c>
      <c r="V191" s="21" t="str">
        <f>$AO$2</f>
        <v>EMPTY</v>
      </c>
      <c r="X191" s="31" t="b">
        <f t="shared" si="69"/>
        <v>0</v>
      </c>
      <c r="Y191" s="31" t="b">
        <f t="shared" si="70"/>
        <v>0</v>
      </c>
      <c r="Z191" t="b">
        <f t="shared" si="71"/>
        <v>0</v>
      </c>
      <c r="AA191" t="b">
        <f t="shared" si="72"/>
        <v>0</v>
      </c>
      <c r="AB191" t="b">
        <f t="shared" si="73"/>
        <v>0</v>
      </c>
      <c r="AC191" t="b">
        <f t="shared" si="74"/>
        <v>0</v>
      </c>
      <c r="AD191" t="b">
        <f t="shared" si="75"/>
        <v>0</v>
      </c>
      <c r="AE191" t="b">
        <f t="shared" si="76"/>
        <v>1</v>
      </c>
      <c r="AF191" t="b">
        <f t="shared" si="77"/>
        <v>1</v>
      </c>
      <c r="AG191" t="b">
        <f t="shared" si="78"/>
        <v>1</v>
      </c>
      <c r="AH191" t="b">
        <f t="shared" si="79"/>
        <v>0</v>
      </c>
      <c r="AI191" t="b">
        <f t="shared" si="80"/>
        <v>1</v>
      </c>
      <c r="AJ191" t="b">
        <f t="shared" si="81"/>
        <v>0</v>
      </c>
      <c r="AK191" t="b">
        <f t="shared" si="82"/>
        <v>1</v>
      </c>
      <c r="AL191" t="b">
        <f t="shared" si="83"/>
        <v>1</v>
      </c>
      <c r="AM191" t="b">
        <f t="shared" si="84"/>
        <v>1</v>
      </c>
      <c r="AV191" s="59" t="str">
        <f t="shared" si="93"/>
        <v xml:space="preserve">    { wxString::FromUTF8("\xC4\xA9"), &amp;AllGlyphs[179], &amp;AllGlyphs[176], &amp;AllGlyphs[172], &amp;AllGlyphs[174], Connection::DIAG_BACK, Connection::EMPTY, Connection::ORTHO_UP, Connection::EMPTY, 0, 0, 0, 0 },</v>
      </c>
      <c r="AW191" s="60"/>
      <c r="AX191" s="60"/>
      <c r="AY191" s="60"/>
      <c r="AZ191" s="60"/>
      <c r="BA191" s="60"/>
      <c r="BB191" s="60"/>
      <c r="BC191" s="61"/>
      <c r="BE191" s="54" t="str">
        <f t="shared" si="85"/>
        <v>&amp;AllGlyphs[179]</v>
      </c>
      <c r="BF191" s="54" t="str">
        <f t="shared" si="86"/>
        <v>&amp;AllGlyphs[176]</v>
      </c>
      <c r="BG191" s="54" t="str">
        <f t="shared" si="87"/>
        <v>&amp;AllGlyphs[172]</v>
      </c>
      <c r="BH191" s="54" t="str">
        <f t="shared" si="88"/>
        <v>&amp;AllGlyphs[174]</v>
      </c>
      <c r="BJ191" s="58">
        <f t="shared" si="89"/>
        <v>0</v>
      </c>
      <c r="BK191" s="58">
        <f t="shared" si="90"/>
        <v>0</v>
      </c>
      <c r="BL191" s="58">
        <f t="shared" si="91"/>
        <v>0</v>
      </c>
      <c r="BM191" s="58">
        <f t="shared" si="92"/>
        <v>0</v>
      </c>
    </row>
    <row r="192" spans="1:65" x14ac:dyDescent="0.4">
      <c r="A192" s="7" t="s">
        <v>186</v>
      </c>
      <c r="B192" s="6" t="str">
        <f t="shared" si="66"/>
        <v>Ī</v>
      </c>
      <c r="C192" s="48" cm="1">
        <f t="array" ref="C192">IF($N192,INDEX($O:$O,MATCH(TRUE,EXACT(B192,$A:$A),0)),"")</f>
        <v>179</v>
      </c>
      <c r="D192" s="38" t="s">
        <v>183</v>
      </c>
      <c r="E192" s="48" cm="1">
        <f t="array" ref="E192">IF($N192,INDEX($O:$O,MATCH(TRUE,EXACT(D192,$A:$A),0)),"")</f>
        <v>176</v>
      </c>
      <c r="F192" s="38" t="s">
        <v>184</v>
      </c>
      <c r="G192" s="48" cm="1">
        <f t="array" ref="G192">IF($O192&lt;&gt;"",INDEX($O:$O,MATCH(TRUE,EXACT(F192,$A:$A),0)),"")</f>
        <v>177</v>
      </c>
      <c r="H192" s="38" t="s">
        <v>182</v>
      </c>
      <c r="I192" s="48" cm="1">
        <f t="array" ref="I192">IF($N192,INDEX($O:$O,MATCH(TRUE,EXACT(H192,$A:$A),0)),"")</f>
        <v>175</v>
      </c>
      <c r="J192" s="38" t="s">
        <v>180</v>
      </c>
      <c r="K192" s="52" cm="1">
        <f t="array" ref="K192">IF($N192,INDEX($O:$O,MATCH(TRUE,EXACT(J192,$A:$A),0)),"")</f>
        <v>173</v>
      </c>
      <c r="L192" s="23"/>
      <c r="M192" s="33"/>
      <c r="N192" s="18" t="b">
        <f t="shared" si="68"/>
        <v>1</v>
      </c>
      <c r="O192" s="19">
        <f>IF(N192, MAX(O$2:O191)+1,"")</f>
        <v>179</v>
      </c>
      <c r="P192" s="23" t="str">
        <f t="shared" si="67"/>
        <v>Ī</v>
      </c>
      <c r="Q192" s="8" t="str" cm="1">
        <f t="array" ref="Q192">CharToUTF8(A192)</f>
        <v>\xC4\xAA</v>
      </c>
      <c r="S192" s="18" t="str">
        <f>$AO$10</f>
        <v>ORTHO_RIGHT</v>
      </c>
      <c r="T192" s="24" t="str">
        <f>$AO$2</f>
        <v>EMPTY</v>
      </c>
      <c r="U192" s="24" t="str">
        <f>$AO$2</f>
        <v>EMPTY</v>
      </c>
      <c r="V192" s="21" t="str">
        <f>$AO$6</f>
        <v>DIAG_BACK</v>
      </c>
      <c r="X192" s="31" t="b">
        <f t="shared" si="69"/>
        <v>0</v>
      </c>
      <c r="Y192" s="31" t="b">
        <f t="shared" si="70"/>
        <v>0</v>
      </c>
      <c r="Z192" t="b">
        <f t="shared" si="71"/>
        <v>0</v>
      </c>
      <c r="AA192" t="b">
        <f t="shared" si="72"/>
        <v>0</v>
      </c>
      <c r="AB192" t="b">
        <f t="shared" si="73"/>
        <v>0</v>
      </c>
      <c r="AC192" t="b">
        <f t="shared" si="74"/>
        <v>1</v>
      </c>
      <c r="AD192" t="b">
        <f t="shared" si="75"/>
        <v>0</v>
      </c>
      <c r="AE192" t="b">
        <f t="shared" si="76"/>
        <v>0</v>
      </c>
      <c r="AF192" t="b">
        <f t="shared" si="77"/>
        <v>0</v>
      </c>
      <c r="AG192" t="b">
        <f t="shared" si="78"/>
        <v>1</v>
      </c>
      <c r="AH192" t="b">
        <f t="shared" si="79"/>
        <v>1</v>
      </c>
      <c r="AI192" t="b">
        <f t="shared" si="80"/>
        <v>1</v>
      </c>
      <c r="AJ192" t="b">
        <f t="shared" si="81"/>
        <v>1</v>
      </c>
      <c r="AK192" t="b">
        <f t="shared" si="82"/>
        <v>1</v>
      </c>
      <c r="AL192" t="b">
        <f t="shared" si="83"/>
        <v>1</v>
      </c>
      <c r="AM192" t="b">
        <f t="shared" si="84"/>
        <v>0</v>
      </c>
      <c r="AV192" s="59" t="str">
        <f t="shared" si="93"/>
        <v xml:space="preserve">    { wxString::FromUTF8("\xC4\xAA"), &amp;AllGlyphs[176], &amp;AllGlyphs[177], &amp;AllGlyphs[175], &amp;AllGlyphs[173], Connection::ORTHO_RIGHT, Connection::EMPTY, Connection::EMPTY, Connection::DIAG_BACK, 0, 0, 0, 0 },</v>
      </c>
      <c r="AW192" s="60"/>
      <c r="AX192" s="60"/>
      <c r="AY192" s="60"/>
      <c r="AZ192" s="60"/>
      <c r="BA192" s="60"/>
      <c r="BB192" s="60"/>
      <c r="BC192" s="61"/>
      <c r="BE192" s="54" t="str">
        <f t="shared" si="85"/>
        <v>&amp;AllGlyphs[176]</v>
      </c>
      <c r="BF192" s="54" t="str">
        <f t="shared" si="86"/>
        <v>&amp;AllGlyphs[177]</v>
      </c>
      <c r="BG192" s="54" t="str">
        <f t="shared" si="87"/>
        <v>&amp;AllGlyphs[175]</v>
      </c>
      <c r="BH192" s="54" t="str">
        <f t="shared" si="88"/>
        <v>&amp;AllGlyphs[173]</v>
      </c>
      <c r="BJ192" s="58">
        <f t="shared" si="89"/>
        <v>0</v>
      </c>
      <c r="BK192" s="58">
        <f t="shared" si="90"/>
        <v>0</v>
      </c>
      <c r="BL192" s="58">
        <f t="shared" si="91"/>
        <v>0</v>
      </c>
      <c r="BM192" s="58">
        <f t="shared" si="92"/>
        <v>0</v>
      </c>
    </row>
    <row r="193" spans="1:65" x14ac:dyDescent="0.4">
      <c r="A193" s="7" t="s">
        <v>187</v>
      </c>
      <c r="B193" s="6" t="str">
        <f t="shared" si="66"/>
        <v>Œ</v>
      </c>
      <c r="C193" s="48" cm="1">
        <f t="array" ref="C193">IF($N193,INDEX($O:$O,MATCH(TRUE,EXACT(B193,$A:$A),0)),"")</f>
        <v>180</v>
      </c>
      <c r="D193" s="38" t="s">
        <v>190</v>
      </c>
      <c r="E193" s="48" cm="1">
        <f t="array" ref="E193">IF($N193,INDEX($O:$O,MATCH(TRUE,EXACT(D193,$A:$A),0)),"")</f>
        <v>183</v>
      </c>
      <c r="F193" s="38" t="s">
        <v>187</v>
      </c>
      <c r="G193" s="48" cm="1">
        <f t="array" ref="G193">IF($O193&lt;&gt;"",INDEX($O:$O,MATCH(TRUE,EXACT(F193,$A:$A),0)),"")</f>
        <v>180</v>
      </c>
      <c r="H193" s="38" t="s">
        <v>187</v>
      </c>
      <c r="I193" s="48" cm="1">
        <f t="array" ref="I193">IF($N193,INDEX($O:$O,MATCH(TRUE,EXACT(H193,$A:$A),0)),"")</f>
        <v>180</v>
      </c>
      <c r="J193" s="38" t="s">
        <v>187</v>
      </c>
      <c r="K193" s="52" cm="1">
        <f t="array" ref="K193">IF($N193,INDEX($O:$O,MATCH(TRUE,EXACT(J193,$A:$A),0)),"")</f>
        <v>180</v>
      </c>
      <c r="L193" s="23"/>
      <c r="M193" s="33"/>
      <c r="N193" s="18" t="b">
        <f t="shared" si="68"/>
        <v>1</v>
      </c>
      <c r="O193" s="19">
        <f>IF(N193, MAX(O$2:O192)+1,"")</f>
        <v>180</v>
      </c>
      <c r="P193" s="23" t="str">
        <f t="shared" si="67"/>
        <v>Œ</v>
      </c>
      <c r="Q193" s="8" t="str" cm="1">
        <f t="array" ref="Q193">CharToUTF8(A193)</f>
        <v>\xC5\x92</v>
      </c>
      <c r="S193" s="18" t="str">
        <f>$AO$2</f>
        <v>EMPTY</v>
      </c>
      <c r="T193" s="24" t="str">
        <f>$AO$2</f>
        <v>EMPTY</v>
      </c>
      <c r="U193" s="24" t="str">
        <f>$AO$4</f>
        <v>ORTHO_BOTH</v>
      </c>
      <c r="V193" s="21" t="str">
        <f>$AO$4</f>
        <v>ORTHO_BOTH</v>
      </c>
      <c r="X193" s="31" t="b">
        <f t="shared" si="69"/>
        <v>0</v>
      </c>
      <c r="Y193" s="31" t="b">
        <f t="shared" si="70"/>
        <v>1</v>
      </c>
      <c r="Z193" t="b">
        <f t="shared" si="71"/>
        <v>1</v>
      </c>
      <c r="AA193" t="b">
        <f t="shared" si="72"/>
        <v>1</v>
      </c>
      <c r="AB193" t="b">
        <f t="shared" si="73"/>
        <v>0</v>
      </c>
      <c r="AC193" t="b">
        <f t="shared" si="74"/>
        <v>0</v>
      </c>
      <c r="AD193" t="b">
        <f t="shared" si="75"/>
        <v>0</v>
      </c>
      <c r="AE193" t="b">
        <f t="shared" si="76"/>
        <v>0</v>
      </c>
      <c r="AF193" t="b">
        <f t="shared" si="77"/>
        <v>1</v>
      </c>
      <c r="AG193" t="b">
        <f t="shared" si="78"/>
        <v>1</v>
      </c>
      <c r="AH193" t="b">
        <f t="shared" si="79"/>
        <v>1</v>
      </c>
      <c r="AI193" t="b">
        <f t="shared" si="80"/>
        <v>1</v>
      </c>
      <c r="AJ193" t="b">
        <f t="shared" si="81"/>
        <v>1</v>
      </c>
      <c r="AK193" t="b">
        <f t="shared" si="82"/>
        <v>1</v>
      </c>
      <c r="AL193" t="b">
        <f t="shared" si="83"/>
        <v>1</v>
      </c>
      <c r="AM193" t="b">
        <f t="shared" si="84"/>
        <v>1</v>
      </c>
      <c r="AV193" s="59" t="str">
        <f t="shared" si="93"/>
        <v xml:space="preserve">    { wxString::FromUTF8("\xC5\x92"), &amp;AllGlyphs[183], &amp;AllGlyphs[180], &amp;AllGlyphs[180], &amp;AllGlyphs[180], Connection::EMPTY, Connection::EMPTY, Connection::ORTHO_BOTH, Connection::ORTHO_BOTH, 0, 1, 1, 1 },</v>
      </c>
      <c r="AW193" s="60"/>
      <c r="AX193" s="60"/>
      <c r="AY193" s="60"/>
      <c r="AZ193" s="60"/>
      <c r="BA193" s="60"/>
      <c r="BB193" s="60"/>
      <c r="BC193" s="61"/>
      <c r="BE193" s="54" t="str">
        <f t="shared" si="85"/>
        <v>&amp;AllGlyphs[183]</v>
      </c>
      <c r="BF193" s="54" t="str">
        <f t="shared" si="86"/>
        <v>&amp;AllGlyphs[180]</v>
      </c>
      <c r="BG193" s="54" t="str">
        <f t="shared" si="87"/>
        <v>&amp;AllGlyphs[180]</v>
      </c>
      <c r="BH193" s="54" t="str">
        <f t="shared" si="88"/>
        <v>&amp;AllGlyphs[180]</v>
      </c>
      <c r="BJ193" s="58">
        <f t="shared" si="89"/>
        <v>0</v>
      </c>
      <c r="BK193" s="58">
        <f t="shared" si="90"/>
        <v>1</v>
      </c>
      <c r="BL193" s="58">
        <f t="shared" si="91"/>
        <v>1</v>
      </c>
      <c r="BM193" s="58">
        <f t="shared" si="92"/>
        <v>1</v>
      </c>
    </row>
    <row r="194" spans="1:65" x14ac:dyDescent="0.4">
      <c r="A194" s="7" t="s">
        <v>188</v>
      </c>
      <c r="B194" s="6" t="str">
        <f t="shared" ref="B194:B202" si="94">A194</f>
        <v>Š</v>
      </c>
      <c r="C194" s="48" cm="1">
        <f t="array" ref="C194">IF($N194,INDEX($O:$O,MATCH(TRUE,EXACT(B194,$A:$A),0)),"")</f>
        <v>181</v>
      </c>
      <c r="D194" s="38" t="s">
        <v>189</v>
      </c>
      <c r="E194" s="48" cm="1">
        <f t="array" ref="E194">IF($N194,INDEX($O:$O,MATCH(TRUE,EXACT(D194,$A:$A),0)),"")</f>
        <v>182</v>
      </c>
      <c r="F194" s="38" t="s">
        <v>196</v>
      </c>
      <c r="G194" s="48" cm="1">
        <f t="array" ref="G194">IF($O194&lt;&gt;"",INDEX($O:$O,MATCH(TRUE,EXACT(F194,$A:$A),0)),"")</f>
        <v>189</v>
      </c>
      <c r="H194" s="38" t="s">
        <v>188</v>
      </c>
      <c r="I194" s="48" cm="1">
        <f t="array" ref="I194">IF($N194,INDEX($O:$O,MATCH(TRUE,EXACT(H194,$A:$A),0)),"")</f>
        <v>181</v>
      </c>
      <c r="J194" s="38" t="s">
        <v>196</v>
      </c>
      <c r="K194" s="52" cm="1">
        <f t="array" ref="K194">IF($N194,INDEX($O:$O,MATCH(TRUE,EXACT(J194,$A:$A),0)),"")</f>
        <v>189</v>
      </c>
      <c r="L194" s="23"/>
      <c r="M194" s="33"/>
      <c r="N194" s="18" t="b">
        <f t="shared" si="68"/>
        <v>1</v>
      </c>
      <c r="O194" s="19">
        <f>IF(N194, MAX(O$2:O193)+1,"")</f>
        <v>181</v>
      </c>
      <c r="P194" s="23" t="str">
        <f t="shared" ref="P194:P202" si="95">A194</f>
        <v>Š</v>
      </c>
      <c r="Q194" s="8" t="str" cm="1">
        <f t="array" ref="Q194">CharToUTF8(A194)</f>
        <v>\xC5\xA0</v>
      </c>
      <c r="S194" s="18" t="str">
        <f>$AO$2</f>
        <v>EMPTY</v>
      </c>
      <c r="T194" s="24" t="str">
        <f>$AO$2</f>
        <v>EMPTY</v>
      </c>
      <c r="U194" s="24" t="str">
        <f>$AO$2</f>
        <v>EMPTY</v>
      </c>
      <c r="V194" s="21" t="str">
        <f>$AO$3</f>
        <v>DIAG_BOTH</v>
      </c>
      <c r="X194" s="31" t="b">
        <f t="shared" si="69"/>
        <v>0</v>
      </c>
      <c r="Y194" s="31" t="b">
        <f t="shared" si="70"/>
        <v>0</v>
      </c>
      <c r="Z194" t="b">
        <f t="shared" si="71"/>
        <v>1</v>
      </c>
      <c r="AA194" t="b">
        <f t="shared" si="72"/>
        <v>0</v>
      </c>
      <c r="AB194" t="b">
        <f t="shared" si="73"/>
        <v>0</v>
      </c>
      <c r="AC194" t="b">
        <f t="shared" si="74"/>
        <v>1</v>
      </c>
      <c r="AD194" t="b">
        <f t="shared" si="75"/>
        <v>1</v>
      </c>
      <c r="AE194" t="b">
        <f t="shared" si="76"/>
        <v>0</v>
      </c>
      <c r="AF194" t="b">
        <f t="shared" si="77"/>
        <v>1</v>
      </c>
      <c r="AG194" t="b">
        <f t="shared" si="78"/>
        <v>1</v>
      </c>
      <c r="AH194" t="b">
        <f t="shared" si="79"/>
        <v>1</v>
      </c>
      <c r="AI194" t="b">
        <f t="shared" si="80"/>
        <v>1</v>
      </c>
      <c r="AJ194" t="b">
        <f t="shared" si="81"/>
        <v>1</v>
      </c>
      <c r="AK194" t="b">
        <f t="shared" si="82"/>
        <v>1</v>
      </c>
      <c r="AL194" t="b">
        <f t="shared" si="83"/>
        <v>1</v>
      </c>
      <c r="AM194" t="b">
        <f t="shared" si="84"/>
        <v>1</v>
      </c>
      <c r="AV194" s="59" t="str">
        <f t="shared" si="93"/>
        <v xml:space="preserve">    { wxString::FromUTF8("\xC5\xA0"), &amp;AllGlyphs[182], &amp;AllGlyphs[189], &amp;AllGlyphs[181], &amp;AllGlyphs[189], Connection::EMPTY, Connection::EMPTY, Connection::EMPTY, Connection::DIAG_BOTH, 0, 0, 1, 0 },</v>
      </c>
      <c r="AW194" s="60"/>
      <c r="AX194" s="60"/>
      <c r="AY194" s="60"/>
      <c r="AZ194" s="60"/>
      <c r="BA194" s="60"/>
      <c r="BB194" s="60"/>
      <c r="BC194" s="61"/>
      <c r="BE194" s="54" t="str">
        <f t="shared" si="85"/>
        <v>&amp;AllGlyphs[182]</v>
      </c>
      <c r="BF194" s="54" t="str">
        <f t="shared" si="86"/>
        <v>&amp;AllGlyphs[189]</v>
      </c>
      <c r="BG194" s="54" t="str">
        <f t="shared" si="87"/>
        <v>&amp;AllGlyphs[181]</v>
      </c>
      <c r="BH194" s="54" t="str">
        <f t="shared" si="88"/>
        <v>&amp;AllGlyphs[189]</v>
      </c>
      <c r="BJ194" s="58">
        <f t="shared" si="89"/>
        <v>0</v>
      </c>
      <c r="BK194" s="58">
        <f t="shared" si="90"/>
        <v>0</v>
      </c>
      <c r="BL194" s="58">
        <f t="shared" si="91"/>
        <v>1</v>
      </c>
      <c r="BM194" s="58">
        <f t="shared" si="92"/>
        <v>0</v>
      </c>
    </row>
    <row r="195" spans="1:65" x14ac:dyDescent="0.4">
      <c r="A195" s="7" t="s">
        <v>189</v>
      </c>
      <c r="B195" s="6" t="str">
        <f t="shared" si="94"/>
        <v>ˆ</v>
      </c>
      <c r="C195" s="48" cm="1">
        <f t="array" ref="C195">IF($N195,INDEX($O:$O,MATCH(TRUE,EXACT(B195,$A:$A),0)),"")</f>
        <v>182</v>
      </c>
      <c r="D195" s="38" t="s">
        <v>196</v>
      </c>
      <c r="E195" s="48" cm="1">
        <f t="array" ref="E195">IF($N195,INDEX($O:$O,MATCH(TRUE,EXACT(D195,$A:$A),0)),"")</f>
        <v>189</v>
      </c>
      <c r="F195" s="38" t="s">
        <v>195</v>
      </c>
      <c r="G195" s="48" cm="1">
        <f t="array" ref="G195">IF($O195&lt;&gt;"",INDEX($O:$O,MATCH(TRUE,EXACT(F195,$A:$A),0)),"")</f>
        <v>188</v>
      </c>
      <c r="H195" s="38" t="s">
        <v>195</v>
      </c>
      <c r="I195" s="48" cm="1">
        <f t="array" ref="I195">IF($N195,INDEX($O:$O,MATCH(TRUE,EXACT(H195,$A:$A),0)),"")</f>
        <v>188</v>
      </c>
      <c r="J195" s="38" t="s">
        <v>189</v>
      </c>
      <c r="K195" s="52" cm="1">
        <f t="array" ref="K195">IF($N195,INDEX($O:$O,MATCH(TRUE,EXACT(J195,$A:$A),0)),"")</f>
        <v>182</v>
      </c>
      <c r="L195" s="23"/>
      <c r="M195" s="33"/>
      <c r="N195" s="18" t="b">
        <f t="shared" ref="N195:N202" si="96">AND(B195&lt;&gt;"", D195&lt;&gt;"", F195&lt;&gt;"", J195&lt;&gt;"", H195&lt;&gt;"")</f>
        <v>1</v>
      </c>
      <c r="O195" s="19">
        <f>IF(N195, MAX(O$2:O194)+1,"")</f>
        <v>182</v>
      </c>
      <c r="P195" s="23" t="str">
        <f t="shared" si="95"/>
        <v>ˆ</v>
      </c>
      <c r="Q195" s="8" t="str" cm="1">
        <f t="array" ref="Q195">CharToUTF8(A195)</f>
        <v>\xCB\x86</v>
      </c>
      <c r="S195" s="18" t="str">
        <f>$AO$2</f>
        <v>EMPTY</v>
      </c>
      <c r="T195" s="24" t="str">
        <f>$AO$3</f>
        <v>DIAG_BOTH</v>
      </c>
      <c r="U195" s="24" t="str">
        <f>$AO$2</f>
        <v>EMPTY</v>
      </c>
      <c r="V195" s="21" t="str">
        <f>$AO$2</f>
        <v>EMPTY</v>
      </c>
      <c r="X195" s="31" t="b">
        <f t="shared" ref="X195:X202" si="97">IF($N195,C195=E195,"")</f>
        <v>0</v>
      </c>
      <c r="Y195" s="31" t="b">
        <f t="shared" ref="Y195:Y202" si="98">IF($N195,C195=G195,"")</f>
        <v>0</v>
      </c>
      <c r="Z195" t="b">
        <f t="shared" ref="Z195:Z202" si="99">IF($N195,C195=I195,"")</f>
        <v>0</v>
      </c>
      <c r="AA195" t="b">
        <f t="shared" ref="AA195:AA202" si="100">IF($N195,C195=K195,"")</f>
        <v>1</v>
      </c>
      <c r="AB195" t="b">
        <f t="shared" ref="AB195:AB202" si="101">IF($N195,S195=VLOOKUP(V195,$AO$2:$AT$10,3,FALSE),"")</f>
        <v>1</v>
      </c>
      <c r="AC195" t="b">
        <f t="shared" ref="AC195:AC202" si="102">IF($N195,T195=VLOOKUP(U195,$AO$2:$AT$10,3,FALSE),"")</f>
        <v>0</v>
      </c>
      <c r="AD195" t="b">
        <f t="shared" ref="AD195:AD202" si="103">IF($N195,U195=VLOOKUP(S195,$AO$2:$AT$10,3,FALSE),"")</f>
        <v>1</v>
      </c>
      <c r="AE195" t="b">
        <f t="shared" ref="AE195:AE202" si="104">IF($N195,V195=VLOOKUP(T195,$AO$2:$AT$10,3,FALSE),"")</f>
        <v>0</v>
      </c>
      <c r="AF195" t="b">
        <f t="shared" ref="AF195:AF202" si="105">IF($N195,S195=VLOOKUP(S195,$AO$2:$AT$10,4,FALSE),"")</f>
        <v>1</v>
      </c>
      <c r="AG195" t="b">
        <f t="shared" ref="AG195:AG202" si="106">IF($N195,T195=VLOOKUP(T195,$AO$2:$AT$10,4,FALSE),"")</f>
        <v>1</v>
      </c>
      <c r="AH195" t="b">
        <f t="shared" ref="AH195:AH202" si="107">IF($N195,U195=VLOOKUP(U195,$AO$2:$AT$10,4,FALSE),"")</f>
        <v>1</v>
      </c>
      <c r="AI195" t="b">
        <f t="shared" ref="AI195:AI202" si="108">IF($N195,V195=VLOOKUP(V195,$AO$2:$AT$10,4,FALSE),"")</f>
        <v>1</v>
      </c>
      <c r="AJ195" t="b">
        <f t="shared" ref="AJ195:AJ202" si="109">IF($N195,S195=VLOOKUP(S195,$AO$2:$AT$10,5,FALSE),"")</f>
        <v>1</v>
      </c>
      <c r="AK195" t="b">
        <f t="shared" ref="AK195:AK202" si="110">IF($N195,T195=VLOOKUP(T195,$AO$2:$AT$10,5,FALSE),"")</f>
        <v>1</v>
      </c>
      <c r="AL195" t="b">
        <f t="shared" ref="AL195:AL202" si="111">IF($N195,U195=VLOOKUP(U195,$AO$2:$AT$10,6,FALSE),"")</f>
        <v>1</v>
      </c>
      <c r="AM195" t="b">
        <f t="shared" ref="AM195:AM202" si="112">IF($N195,V195=VLOOKUP(V195,$AO$2:$AT$10,6,FALSE),"")</f>
        <v>1</v>
      </c>
      <c r="AV195" s="59" t="str">
        <f t="shared" si="93"/>
        <v xml:space="preserve">    { wxString::FromUTF8("\xCB\x86"), &amp;AllGlyphs[189], &amp;AllGlyphs[188], &amp;AllGlyphs[188], &amp;AllGlyphs[182], Connection::EMPTY, Connection::DIAG_BOTH, Connection::EMPTY, Connection::EMPTY, 0, 0, 0, 1 },</v>
      </c>
      <c r="AW195" s="60"/>
      <c r="AX195" s="60"/>
      <c r="AY195" s="60"/>
      <c r="AZ195" s="60"/>
      <c r="BA195" s="60"/>
      <c r="BB195" s="60"/>
      <c r="BC195" s="61"/>
      <c r="BE195" s="54" t="str">
        <f t="shared" ref="BE195:BE202" si="113">IF($N195,"&amp;AllGlyphs[" &amp; E195 &amp; "]","")</f>
        <v>&amp;AllGlyphs[189]</v>
      </c>
      <c r="BF195" s="54" t="str">
        <f t="shared" ref="BF195:BF202" si="114">IF($N195,"&amp;AllGlyphs[" &amp; G195 &amp; "]","")</f>
        <v>&amp;AllGlyphs[188]</v>
      </c>
      <c r="BG195" s="54" t="str">
        <f t="shared" ref="BG195:BG202" si="115">IF($N195,"&amp;AllGlyphs[" &amp; I195 &amp; "]","")</f>
        <v>&amp;AllGlyphs[188]</v>
      </c>
      <c r="BH195" s="54" t="str">
        <f t="shared" ref="BH195:BH202" si="116">IF($N195,"&amp;AllGlyphs[" &amp; K195 &amp; "]","")</f>
        <v>&amp;AllGlyphs[182]</v>
      </c>
      <c r="BJ195" s="58">
        <f t="shared" ref="BJ195:BJ202" si="117">IF($N195,IF(X195,1,0),"")</f>
        <v>0</v>
      </c>
      <c r="BK195" s="58">
        <f t="shared" ref="BK195:BK202" si="118">IF($N195,IF(Y195,1,0),"")</f>
        <v>0</v>
      </c>
      <c r="BL195" s="58">
        <f t="shared" ref="BL195:BL202" si="119">IF($N195,IF(Z195,1,0),"")</f>
        <v>0</v>
      </c>
      <c r="BM195" s="58">
        <f t="shared" ref="BM195:BM202" si="120">IF($N195,IF(AA195,1,0),"")</f>
        <v>1</v>
      </c>
    </row>
    <row r="196" spans="1:65" x14ac:dyDescent="0.4">
      <c r="A196" s="7" t="s">
        <v>190</v>
      </c>
      <c r="B196" s="6" t="str">
        <f t="shared" si="94"/>
        <v>‚</v>
      </c>
      <c r="C196" s="48" cm="1">
        <f t="array" ref="C196">IF($N196,INDEX($O:$O,MATCH(TRUE,EXACT(B196,$A:$A),0)),"")</f>
        <v>183</v>
      </c>
      <c r="D196" s="38" t="s">
        <v>187</v>
      </c>
      <c r="E196" s="48" cm="1">
        <f t="array" ref="E196">IF($N196,INDEX($O:$O,MATCH(TRUE,EXACT(D196,$A:$A),0)),"")</f>
        <v>180</v>
      </c>
      <c r="F196" s="38" t="s">
        <v>190</v>
      </c>
      <c r="G196" s="48" cm="1">
        <f t="array" ref="G196">IF($O196&lt;&gt;"",INDEX($O:$O,MATCH(TRUE,EXACT(F196,$A:$A),0)),"")</f>
        <v>183</v>
      </c>
      <c r="H196" s="38" t="s">
        <v>190</v>
      </c>
      <c r="I196" s="48" cm="1">
        <f t="array" ref="I196">IF($N196,INDEX($O:$O,MATCH(TRUE,EXACT(H196,$A:$A),0)),"")</f>
        <v>183</v>
      </c>
      <c r="J196" s="38" t="s">
        <v>190</v>
      </c>
      <c r="K196" s="52" cm="1">
        <f t="array" ref="K196">IF($N196,INDEX($O:$O,MATCH(TRUE,EXACT(J196,$A:$A),0)),"")</f>
        <v>183</v>
      </c>
      <c r="L196" s="23"/>
      <c r="M196" s="33"/>
      <c r="N196" s="18" t="b">
        <f t="shared" si="96"/>
        <v>1</v>
      </c>
      <c r="O196" s="19">
        <f>IF(N196, MAX(O$2:O195)+1,"")</f>
        <v>183</v>
      </c>
      <c r="P196" s="23" t="str">
        <f t="shared" si="95"/>
        <v>‚</v>
      </c>
      <c r="Q196" s="8" t="str" cm="1">
        <f t="array" ref="Q196">CharToUTF8(A196)</f>
        <v>\xE2\x80\x9A</v>
      </c>
      <c r="S196" s="18" t="str">
        <f>$AO$4</f>
        <v>ORTHO_BOTH</v>
      </c>
      <c r="T196" s="24" t="str">
        <f>$AO$4</f>
        <v>ORTHO_BOTH</v>
      </c>
      <c r="U196" s="24" t="str">
        <f>$AO$2</f>
        <v>EMPTY</v>
      </c>
      <c r="V196" s="21" t="str">
        <f>$AO$2</f>
        <v>EMPTY</v>
      </c>
      <c r="X196" s="31" t="b">
        <f t="shared" si="97"/>
        <v>0</v>
      </c>
      <c r="Y196" s="31" t="b">
        <f t="shared" si="98"/>
        <v>1</v>
      </c>
      <c r="Z196" t="b">
        <f t="shared" si="99"/>
        <v>1</v>
      </c>
      <c r="AA196" t="b">
        <f t="shared" si="100"/>
        <v>1</v>
      </c>
      <c r="AB196" t="b">
        <f t="shared" si="101"/>
        <v>0</v>
      </c>
      <c r="AC196" t="b">
        <f t="shared" si="102"/>
        <v>0</v>
      </c>
      <c r="AD196" t="b">
        <f t="shared" si="103"/>
        <v>0</v>
      </c>
      <c r="AE196" t="b">
        <f t="shared" si="104"/>
        <v>0</v>
      </c>
      <c r="AF196" t="b">
        <f t="shared" si="105"/>
        <v>1</v>
      </c>
      <c r="AG196" t="b">
        <f t="shared" si="106"/>
        <v>1</v>
      </c>
      <c r="AH196" t="b">
        <f t="shared" si="107"/>
        <v>1</v>
      </c>
      <c r="AI196" t="b">
        <f t="shared" si="108"/>
        <v>1</v>
      </c>
      <c r="AJ196" t="b">
        <f t="shared" si="109"/>
        <v>1</v>
      </c>
      <c r="AK196" t="b">
        <f t="shared" si="110"/>
        <v>1</v>
      </c>
      <c r="AL196" t="b">
        <f t="shared" si="111"/>
        <v>1</v>
      </c>
      <c r="AM196" t="b">
        <f t="shared" si="112"/>
        <v>1</v>
      </c>
      <c r="AV196" s="59" t="str">
        <f t="shared" si="93"/>
        <v xml:space="preserve">    { wxString::FromUTF8("\xE2\x80\x9A"), &amp;AllGlyphs[180], &amp;AllGlyphs[183], &amp;AllGlyphs[183], &amp;AllGlyphs[183], Connection::ORTHO_BOTH, Connection::ORTHO_BOTH, Connection::EMPTY, Connection::EMPTY, 0, 1, 1, 1 },</v>
      </c>
      <c r="AW196" s="60"/>
      <c r="AX196" s="60"/>
      <c r="AY196" s="60"/>
      <c r="AZ196" s="60"/>
      <c r="BA196" s="60"/>
      <c r="BB196" s="60"/>
      <c r="BC196" s="61"/>
      <c r="BE196" s="54" t="str">
        <f t="shared" si="113"/>
        <v>&amp;AllGlyphs[180]</v>
      </c>
      <c r="BF196" s="54" t="str">
        <f t="shared" si="114"/>
        <v>&amp;AllGlyphs[183]</v>
      </c>
      <c r="BG196" s="54" t="str">
        <f t="shared" si="115"/>
        <v>&amp;AllGlyphs[183]</v>
      </c>
      <c r="BH196" s="54" t="str">
        <f t="shared" si="116"/>
        <v>&amp;AllGlyphs[183]</v>
      </c>
      <c r="BJ196" s="58">
        <f t="shared" si="117"/>
        <v>0</v>
      </c>
      <c r="BK196" s="58">
        <f t="shared" si="118"/>
        <v>1</v>
      </c>
      <c r="BL196" s="58">
        <f t="shared" si="119"/>
        <v>1</v>
      </c>
      <c r="BM196" s="58">
        <f t="shared" si="120"/>
        <v>1</v>
      </c>
    </row>
    <row r="197" spans="1:65" x14ac:dyDescent="0.4">
      <c r="A197" s="7" t="s">
        <v>191</v>
      </c>
      <c r="B197" s="6" t="str">
        <f t="shared" si="94"/>
        <v>„</v>
      </c>
      <c r="C197" s="48" cm="1">
        <f t="array" ref="C197">IF($N197,INDEX($O:$O,MATCH(TRUE,EXACT(B197,$A:$A),0)),"")</f>
        <v>184</v>
      </c>
      <c r="D197" s="38" t="s">
        <v>194</v>
      </c>
      <c r="E197" s="48" cm="1">
        <f t="array" ref="E197">IF($N197,INDEX($O:$O,MATCH(TRUE,EXACT(D197,$A:$A),0)),"")</f>
        <v>187</v>
      </c>
      <c r="F197" s="38" t="s">
        <v>193</v>
      </c>
      <c r="G197" s="48" cm="1">
        <f t="array" ref="G197">IF($O197&lt;&gt;"",INDEX($O:$O,MATCH(TRUE,EXACT(F197,$A:$A),0)),"")</f>
        <v>186</v>
      </c>
      <c r="H197" s="38" t="s">
        <v>192</v>
      </c>
      <c r="I197" s="48" cm="1">
        <f t="array" ref="I197">IF($N197,INDEX($O:$O,MATCH(TRUE,EXACT(H197,$A:$A),0)),"")</f>
        <v>185</v>
      </c>
      <c r="J197" s="38" t="s">
        <v>194</v>
      </c>
      <c r="K197" s="52" cm="1">
        <f t="array" ref="K197">IF($N197,INDEX($O:$O,MATCH(TRUE,EXACT(J197,$A:$A),0)),"")</f>
        <v>187</v>
      </c>
      <c r="L197" s="23"/>
      <c r="M197" s="33"/>
      <c r="N197" s="18" t="b">
        <f t="shared" si="96"/>
        <v>1</v>
      </c>
      <c r="O197" s="19">
        <f>IF(N197, MAX(O$2:O196)+1,"")</f>
        <v>184</v>
      </c>
      <c r="P197" s="23" t="str">
        <f t="shared" si="95"/>
        <v>„</v>
      </c>
      <c r="Q197" s="8" t="str" cm="1">
        <f t="array" ref="Q197">CharToUTF8(A197)</f>
        <v>\xE2\x80\x9E</v>
      </c>
      <c r="S197" s="18" t="str">
        <f>$AO$2</f>
        <v>EMPTY</v>
      </c>
      <c r="T197" s="24" t="str">
        <f>$AO$3</f>
        <v>DIAG_BOTH</v>
      </c>
      <c r="U197" s="24" t="str">
        <f>$AO$2</f>
        <v>EMPTY</v>
      </c>
      <c r="V197" s="21" t="str">
        <f>$AO$3</f>
        <v>DIAG_BOTH</v>
      </c>
      <c r="X197" s="31" t="b">
        <f t="shared" si="97"/>
        <v>0</v>
      </c>
      <c r="Y197" s="31" t="b">
        <f t="shared" si="98"/>
        <v>0</v>
      </c>
      <c r="Z197" t="b">
        <f t="shared" si="99"/>
        <v>0</v>
      </c>
      <c r="AA197" t="b">
        <f t="shared" si="100"/>
        <v>0</v>
      </c>
      <c r="AB197" t="b">
        <f t="shared" si="101"/>
        <v>0</v>
      </c>
      <c r="AC197" t="b">
        <f t="shared" si="102"/>
        <v>0</v>
      </c>
      <c r="AD197" t="b">
        <f t="shared" si="103"/>
        <v>1</v>
      </c>
      <c r="AE197" t="b">
        <f t="shared" si="104"/>
        <v>1</v>
      </c>
      <c r="AF197" t="b">
        <f t="shared" si="105"/>
        <v>1</v>
      </c>
      <c r="AG197" t="b">
        <f t="shared" si="106"/>
        <v>1</v>
      </c>
      <c r="AH197" t="b">
        <f t="shared" si="107"/>
        <v>1</v>
      </c>
      <c r="AI197" t="b">
        <f t="shared" si="108"/>
        <v>1</v>
      </c>
      <c r="AJ197" t="b">
        <f t="shared" si="109"/>
        <v>1</v>
      </c>
      <c r="AK197" t="b">
        <f t="shared" si="110"/>
        <v>1</v>
      </c>
      <c r="AL197" t="b">
        <f t="shared" si="111"/>
        <v>1</v>
      </c>
      <c r="AM197" t="b">
        <f t="shared" si="112"/>
        <v>1</v>
      </c>
      <c r="AO197" s="1"/>
      <c r="AV197" s="59" t="str">
        <f t="shared" si="93"/>
        <v xml:space="preserve">    { wxString::FromUTF8("\xE2\x80\x9E"), &amp;AllGlyphs[187], &amp;AllGlyphs[186], &amp;AllGlyphs[185], &amp;AllGlyphs[187], Connection::EMPTY, Connection::DIAG_BOTH, Connection::EMPTY, Connection::DIAG_BOTH, 0, 0, 0, 0 },</v>
      </c>
      <c r="AW197" s="60"/>
      <c r="AX197" s="60"/>
      <c r="AY197" s="60"/>
      <c r="AZ197" s="60"/>
      <c r="BA197" s="60"/>
      <c r="BB197" s="60"/>
      <c r="BC197" s="61"/>
      <c r="BE197" s="54" t="str">
        <f t="shared" si="113"/>
        <v>&amp;AllGlyphs[187]</v>
      </c>
      <c r="BF197" s="54" t="str">
        <f t="shared" si="114"/>
        <v>&amp;AllGlyphs[186]</v>
      </c>
      <c r="BG197" s="54" t="str">
        <f t="shared" si="115"/>
        <v>&amp;AllGlyphs[185]</v>
      </c>
      <c r="BH197" s="54" t="str">
        <f t="shared" si="116"/>
        <v>&amp;AllGlyphs[187]</v>
      </c>
      <c r="BJ197" s="58">
        <f t="shared" si="117"/>
        <v>0</v>
      </c>
      <c r="BK197" s="58">
        <f t="shared" si="118"/>
        <v>0</v>
      </c>
      <c r="BL197" s="58">
        <f t="shared" si="119"/>
        <v>0</v>
      </c>
      <c r="BM197" s="58">
        <f t="shared" si="120"/>
        <v>0</v>
      </c>
    </row>
    <row r="198" spans="1:65" x14ac:dyDescent="0.4">
      <c r="A198" s="7" t="s">
        <v>192</v>
      </c>
      <c r="B198" s="6" t="str">
        <f t="shared" si="94"/>
        <v>†</v>
      </c>
      <c r="C198" s="48" cm="1">
        <f t="array" ref="C198">IF($N198,INDEX($O:$O,MATCH(TRUE,EXACT(B198,$A:$A),0)),"")</f>
        <v>185</v>
      </c>
      <c r="D198" s="38" t="s">
        <v>191</v>
      </c>
      <c r="E198" s="48" cm="1">
        <f t="array" ref="E198">IF($N198,INDEX($O:$O,MATCH(TRUE,EXACT(D198,$A:$A),0)),"")</f>
        <v>184</v>
      </c>
      <c r="F198" s="38" t="s">
        <v>194</v>
      </c>
      <c r="G198" s="48" cm="1">
        <f t="array" ref="G198">IF($O198&lt;&gt;"",INDEX($O:$O,MATCH(TRUE,EXACT(F198,$A:$A),0)),"")</f>
        <v>187</v>
      </c>
      <c r="H198" s="38" t="s">
        <v>191</v>
      </c>
      <c r="I198" s="48" cm="1">
        <f t="array" ref="I198">IF($N198,INDEX($O:$O,MATCH(TRUE,EXACT(H198,$A:$A),0)),"")</f>
        <v>184</v>
      </c>
      <c r="J198" s="38" t="s">
        <v>193</v>
      </c>
      <c r="K198" s="52" cm="1">
        <f t="array" ref="K198">IF($N198,INDEX($O:$O,MATCH(TRUE,EXACT(J198,$A:$A),0)),"")</f>
        <v>186</v>
      </c>
      <c r="L198" s="23"/>
      <c r="M198" s="33"/>
      <c r="N198" s="18" t="b">
        <f t="shared" si="96"/>
        <v>1</v>
      </c>
      <c r="O198" s="19">
        <f>IF(N198, MAX(O$2:O197)+1,"")</f>
        <v>185</v>
      </c>
      <c r="P198" s="23" t="str">
        <f t="shared" si="95"/>
        <v>†</v>
      </c>
      <c r="Q198" s="8" t="str" cm="1">
        <f t="array" ref="Q198">CharToUTF8(A198)</f>
        <v>\xE2\x80\xA0</v>
      </c>
      <c r="S198" s="18" t="str">
        <f>$AO$3</f>
        <v>DIAG_BOTH</v>
      </c>
      <c r="T198" s="24" t="str">
        <f>$AO$2</f>
        <v>EMPTY</v>
      </c>
      <c r="U198" s="24" t="str">
        <f>$AO$2</f>
        <v>EMPTY</v>
      </c>
      <c r="V198" s="21" t="str">
        <f>$AO$3</f>
        <v>DIAG_BOTH</v>
      </c>
      <c r="X198" s="31" t="b">
        <f t="shared" si="97"/>
        <v>0</v>
      </c>
      <c r="Y198" s="31" t="b">
        <f t="shared" si="98"/>
        <v>0</v>
      </c>
      <c r="Z198" t="b">
        <f t="shared" si="99"/>
        <v>0</v>
      </c>
      <c r="AA198" t="b">
        <f t="shared" si="100"/>
        <v>0</v>
      </c>
      <c r="AB198" t="b">
        <f t="shared" si="101"/>
        <v>1</v>
      </c>
      <c r="AC198" t="b">
        <f t="shared" si="102"/>
        <v>1</v>
      </c>
      <c r="AD198" t="b">
        <f t="shared" si="103"/>
        <v>0</v>
      </c>
      <c r="AE198" t="b">
        <f t="shared" si="104"/>
        <v>0</v>
      </c>
      <c r="AF198" t="b">
        <f t="shared" si="105"/>
        <v>1</v>
      </c>
      <c r="AG198" t="b">
        <f t="shared" si="106"/>
        <v>1</v>
      </c>
      <c r="AH198" t="b">
        <f t="shared" si="107"/>
        <v>1</v>
      </c>
      <c r="AI198" t="b">
        <f t="shared" si="108"/>
        <v>1</v>
      </c>
      <c r="AJ198" t="b">
        <f t="shared" si="109"/>
        <v>1</v>
      </c>
      <c r="AK198" t="b">
        <f t="shared" si="110"/>
        <v>1</v>
      </c>
      <c r="AL198" t="b">
        <f t="shared" si="111"/>
        <v>1</v>
      </c>
      <c r="AM198" t="b">
        <f t="shared" si="112"/>
        <v>1</v>
      </c>
      <c r="AO198" s="1"/>
      <c r="AV198" s="59" t="str">
        <f t="shared" si="93"/>
        <v xml:space="preserve">    { wxString::FromUTF8("\xE2\x80\xA0"), &amp;AllGlyphs[184], &amp;AllGlyphs[187], &amp;AllGlyphs[184], &amp;AllGlyphs[186], Connection::DIAG_BOTH, Connection::EMPTY, Connection::EMPTY, Connection::DIAG_BOTH, 0, 0, 0, 0 },</v>
      </c>
      <c r="AW198" s="60"/>
      <c r="AX198" s="60"/>
      <c r="AY198" s="60"/>
      <c r="AZ198" s="60"/>
      <c r="BA198" s="60"/>
      <c r="BB198" s="60"/>
      <c r="BC198" s="61"/>
      <c r="BE198" s="54" t="str">
        <f t="shared" si="113"/>
        <v>&amp;AllGlyphs[184]</v>
      </c>
      <c r="BF198" s="54" t="str">
        <f t="shared" si="114"/>
        <v>&amp;AllGlyphs[187]</v>
      </c>
      <c r="BG198" s="54" t="str">
        <f t="shared" si="115"/>
        <v>&amp;AllGlyphs[184]</v>
      </c>
      <c r="BH198" s="54" t="str">
        <f t="shared" si="116"/>
        <v>&amp;AllGlyphs[186]</v>
      </c>
      <c r="BJ198" s="58">
        <f t="shared" si="117"/>
        <v>0</v>
      </c>
      <c r="BK198" s="58">
        <f t="shared" si="118"/>
        <v>0</v>
      </c>
      <c r="BL198" s="58">
        <f t="shared" si="119"/>
        <v>0</v>
      </c>
      <c r="BM198" s="58">
        <f t="shared" si="120"/>
        <v>0</v>
      </c>
    </row>
    <row r="199" spans="1:65" x14ac:dyDescent="0.4">
      <c r="A199" s="7" t="s">
        <v>193</v>
      </c>
      <c r="B199" s="6" t="str">
        <f t="shared" si="94"/>
        <v>‡</v>
      </c>
      <c r="C199" s="48" cm="1">
        <f t="array" ref="C199">IF($N199,INDEX($O:$O,MATCH(TRUE,EXACT(B199,$A:$A),0)),"")</f>
        <v>186</v>
      </c>
      <c r="D199" s="38" t="s">
        <v>192</v>
      </c>
      <c r="E199" s="48" cm="1">
        <f t="array" ref="E199">IF($N199,INDEX($O:$O,MATCH(TRUE,EXACT(D199,$A:$A),0)),"")</f>
        <v>185</v>
      </c>
      <c r="F199" s="38" t="s">
        <v>191</v>
      </c>
      <c r="G199" s="48" cm="1">
        <f t="array" ref="G199">IF($O199&lt;&gt;"",INDEX($O:$O,MATCH(TRUE,EXACT(F199,$A:$A),0)),"")</f>
        <v>184</v>
      </c>
      <c r="H199" s="38" t="s">
        <v>194</v>
      </c>
      <c r="I199" s="48" cm="1">
        <f t="array" ref="I199">IF($N199,INDEX($O:$O,MATCH(TRUE,EXACT(H199,$A:$A),0)),"")</f>
        <v>187</v>
      </c>
      <c r="J199" s="38" t="s">
        <v>192</v>
      </c>
      <c r="K199" s="52" cm="1">
        <f t="array" ref="K199">IF($N199,INDEX($O:$O,MATCH(TRUE,EXACT(J199,$A:$A),0)),"")</f>
        <v>185</v>
      </c>
      <c r="L199" s="23"/>
      <c r="M199" s="33"/>
      <c r="N199" s="18" t="b">
        <f t="shared" si="96"/>
        <v>1</v>
      </c>
      <c r="O199" s="19">
        <f>IF(N199, MAX(O$2:O198)+1,"")</f>
        <v>186</v>
      </c>
      <c r="P199" s="23" t="str">
        <f t="shared" si="95"/>
        <v>‡</v>
      </c>
      <c r="Q199" s="8" t="str" cm="1">
        <f t="array" ref="Q199">CharToUTF8(A199)</f>
        <v>\xE2\x80\xA1</v>
      </c>
      <c r="S199" s="18" t="str">
        <f>$AO$3</f>
        <v>DIAG_BOTH</v>
      </c>
      <c r="T199" s="24" t="str">
        <f>$AO$2</f>
        <v>EMPTY</v>
      </c>
      <c r="U199" s="24" t="str">
        <f>$AO$3</f>
        <v>DIAG_BOTH</v>
      </c>
      <c r="V199" s="21" t="str">
        <f>$AO$2</f>
        <v>EMPTY</v>
      </c>
      <c r="X199" s="31" t="b">
        <f t="shared" si="97"/>
        <v>0</v>
      </c>
      <c r="Y199" s="31" t="b">
        <f t="shared" si="98"/>
        <v>0</v>
      </c>
      <c r="Z199" t="b">
        <f t="shared" si="99"/>
        <v>0</v>
      </c>
      <c r="AA199" t="b">
        <f t="shared" si="100"/>
        <v>0</v>
      </c>
      <c r="AB199" t="b">
        <f t="shared" si="101"/>
        <v>0</v>
      </c>
      <c r="AC199" t="b">
        <f t="shared" si="102"/>
        <v>0</v>
      </c>
      <c r="AD199" t="b">
        <f t="shared" si="103"/>
        <v>1</v>
      </c>
      <c r="AE199" t="b">
        <f t="shared" si="104"/>
        <v>1</v>
      </c>
      <c r="AF199" t="b">
        <f t="shared" si="105"/>
        <v>1</v>
      </c>
      <c r="AG199" t="b">
        <f t="shared" si="106"/>
        <v>1</v>
      </c>
      <c r="AH199" t="b">
        <f t="shared" si="107"/>
        <v>1</v>
      </c>
      <c r="AI199" t="b">
        <f t="shared" si="108"/>
        <v>1</v>
      </c>
      <c r="AJ199" t="b">
        <f t="shared" si="109"/>
        <v>1</v>
      </c>
      <c r="AK199" t="b">
        <f t="shared" si="110"/>
        <v>1</v>
      </c>
      <c r="AL199" t="b">
        <f t="shared" si="111"/>
        <v>1</v>
      </c>
      <c r="AM199" t="b">
        <f t="shared" si="112"/>
        <v>1</v>
      </c>
      <c r="AO199" s="1"/>
      <c r="AV199" s="59" t="str">
        <f t="shared" si="93"/>
        <v xml:space="preserve">    { wxString::FromUTF8("\xE2\x80\xA1"), &amp;AllGlyphs[185], &amp;AllGlyphs[184], &amp;AllGlyphs[187], &amp;AllGlyphs[185], Connection::DIAG_BOTH, Connection::EMPTY, Connection::DIAG_BOTH, Connection::EMPTY, 0, 0, 0, 0 },</v>
      </c>
      <c r="AW199" s="60"/>
      <c r="AX199" s="60"/>
      <c r="AY199" s="60"/>
      <c r="AZ199" s="60"/>
      <c r="BA199" s="60"/>
      <c r="BB199" s="60"/>
      <c r="BC199" s="61"/>
      <c r="BE199" s="54" t="str">
        <f t="shared" si="113"/>
        <v>&amp;AllGlyphs[185]</v>
      </c>
      <c r="BF199" s="54" t="str">
        <f t="shared" si="114"/>
        <v>&amp;AllGlyphs[184]</v>
      </c>
      <c r="BG199" s="54" t="str">
        <f t="shared" si="115"/>
        <v>&amp;AllGlyphs[187]</v>
      </c>
      <c r="BH199" s="54" t="str">
        <f t="shared" si="116"/>
        <v>&amp;AllGlyphs[185]</v>
      </c>
      <c r="BJ199" s="58">
        <f t="shared" si="117"/>
        <v>0</v>
      </c>
      <c r="BK199" s="58">
        <f t="shared" si="118"/>
        <v>0</v>
      </c>
      <c r="BL199" s="58">
        <f t="shared" si="119"/>
        <v>0</v>
      </c>
      <c r="BM199" s="58">
        <f t="shared" si="120"/>
        <v>0</v>
      </c>
    </row>
    <row r="200" spans="1:65" x14ac:dyDescent="0.4">
      <c r="A200" s="7" t="s">
        <v>194</v>
      </c>
      <c r="B200" s="6" t="str">
        <f t="shared" si="94"/>
        <v>…</v>
      </c>
      <c r="C200" s="48" cm="1">
        <f t="array" ref="C200">IF($N200,INDEX($O:$O,MATCH(TRUE,EXACT(B200,$A:$A),0)),"")</f>
        <v>187</v>
      </c>
      <c r="D200" s="38" t="s">
        <v>193</v>
      </c>
      <c r="E200" s="48" cm="1">
        <f t="array" ref="E200">IF($N200,INDEX($O:$O,MATCH(TRUE,EXACT(D200,$A:$A),0)),"")</f>
        <v>186</v>
      </c>
      <c r="F200" s="38" t="s">
        <v>192</v>
      </c>
      <c r="G200" s="48" cm="1">
        <f t="array" ref="G200">IF($O200&lt;&gt;"",INDEX($O:$O,MATCH(TRUE,EXACT(F200,$A:$A),0)),"")</f>
        <v>185</v>
      </c>
      <c r="H200" s="38" t="s">
        <v>193</v>
      </c>
      <c r="I200" s="48" cm="1">
        <f t="array" ref="I200">IF($N200,INDEX($O:$O,MATCH(TRUE,EXACT(H200,$A:$A),0)),"")</f>
        <v>186</v>
      </c>
      <c r="J200" s="38" t="s">
        <v>191</v>
      </c>
      <c r="K200" s="52" cm="1">
        <f t="array" ref="K200">IF($N200,INDEX($O:$O,MATCH(TRUE,EXACT(J200,$A:$A),0)),"")</f>
        <v>184</v>
      </c>
      <c r="L200" s="23"/>
      <c r="M200" s="33"/>
      <c r="N200" s="18" t="b">
        <f t="shared" si="96"/>
        <v>1</v>
      </c>
      <c r="O200" s="19">
        <f>IF(N200, MAX(O$2:O199)+1,"")</f>
        <v>187</v>
      </c>
      <c r="P200" s="23" t="str">
        <f t="shared" si="95"/>
        <v>…</v>
      </c>
      <c r="Q200" s="8" t="str" cm="1">
        <f t="array" ref="Q200">CharToUTF8(A200)</f>
        <v>\xE2\x80\xA6</v>
      </c>
      <c r="S200" s="18" t="str">
        <f>$AO$2</f>
        <v>EMPTY</v>
      </c>
      <c r="T200" s="24" t="str">
        <f>$AO$3</f>
        <v>DIAG_BOTH</v>
      </c>
      <c r="U200" s="24" t="str">
        <f>$AO$3</f>
        <v>DIAG_BOTH</v>
      </c>
      <c r="V200" s="21" t="str">
        <f>$AO$2</f>
        <v>EMPTY</v>
      </c>
      <c r="X200" s="31" t="b">
        <f t="shared" si="97"/>
        <v>0</v>
      </c>
      <c r="Y200" s="31" t="b">
        <f t="shared" si="98"/>
        <v>0</v>
      </c>
      <c r="Z200" t="b">
        <f t="shared" si="99"/>
        <v>0</v>
      </c>
      <c r="AA200" t="b">
        <f t="shared" si="100"/>
        <v>0</v>
      </c>
      <c r="AB200" t="b">
        <f t="shared" si="101"/>
        <v>1</v>
      </c>
      <c r="AC200" t="b">
        <f t="shared" si="102"/>
        <v>1</v>
      </c>
      <c r="AD200" t="b">
        <f t="shared" si="103"/>
        <v>0</v>
      </c>
      <c r="AE200" t="b">
        <f t="shared" si="104"/>
        <v>0</v>
      </c>
      <c r="AF200" t="b">
        <f t="shared" si="105"/>
        <v>1</v>
      </c>
      <c r="AG200" t="b">
        <f t="shared" si="106"/>
        <v>1</v>
      </c>
      <c r="AH200" t="b">
        <f t="shared" si="107"/>
        <v>1</v>
      </c>
      <c r="AI200" t="b">
        <f t="shared" si="108"/>
        <v>1</v>
      </c>
      <c r="AJ200" t="b">
        <f t="shared" si="109"/>
        <v>1</v>
      </c>
      <c r="AK200" t="b">
        <f t="shared" si="110"/>
        <v>1</v>
      </c>
      <c r="AL200" t="b">
        <f t="shared" si="111"/>
        <v>1</v>
      </c>
      <c r="AM200" t="b">
        <f t="shared" si="112"/>
        <v>1</v>
      </c>
      <c r="AO200" s="1"/>
      <c r="AV200" s="59" t="str">
        <f t="shared" si="93"/>
        <v xml:space="preserve">    { wxString::FromUTF8("\xE2\x80\xA6"), &amp;AllGlyphs[186], &amp;AllGlyphs[185], &amp;AllGlyphs[186], &amp;AllGlyphs[184], Connection::EMPTY, Connection::DIAG_BOTH, Connection::DIAG_BOTH, Connection::EMPTY, 0, 0, 0, 0 },</v>
      </c>
      <c r="AW200" s="60"/>
      <c r="AX200" s="60"/>
      <c r="AY200" s="60"/>
      <c r="AZ200" s="60"/>
      <c r="BA200" s="60"/>
      <c r="BB200" s="60"/>
      <c r="BC200" s="61"/>
      <c r="BE200" s="54" t="str">
        <f t="shared" si="113"/>
        <v>&amp;AllGlyphs[186]</v>
      </c>
      <c r="BF200" s="54" t="str">
        <f t="shared" si="114"/>
        <v>&amp;AllGlyphs[185]</v>
      </c>
      <c r="BG200" s="54" t="str">
        <f t="shared" si="115"/>
        <v>&amp;AllGlyphs[186]</v>
      </c>
      <c r="BH200" s="54" t="str">
        <f t="shared" si="116"/>
        <v>&amp;AllGlyphs[184]</v>
      </c>
      <c r="BJ200" s="58">
        <f t="shared" si="117"/>
        <v>0</v>
      </c>
      <c r="BK200" s="58">
        <f t="shared" si="118"/>
        <v>0</v>
      </c>
      <c r="BL200" s="58">
        <f t="shared" si="119"/>
        <v>0</v>
      </c>
      <c r="BM200" s="58">
        <f t="shared" si="120"/>
        <v>0</v>
      </c>
    </row>
    <row r="201" spans="1:65" x14ac:dyDescent="0.4">
      <c r="A201" s="7" t="s">
        <v>195</v>
      </c>
      <c r="B201" s="6" t="str">
        <f t="shared" si="94"/>
        <v>‰</v>
      </c>
      <c r="C201" s="48" cm="1">
        <f t="array" ref="C201">IF($N201,INDEX($O:$O,MATCH(TRUE,EXACT(B201,$A:$A),0)),"")</f>
        <v>188</v>
      </c>
      <c r="D201" s="38" t="s">
        <v>188</v>
      </c>
      <c r="E201" s="48" cm="1">
        <f t="array" ref="E201">IF($N201,INDEX($O:$O,MATCH(TRUE,EXACT(D201,$A:$A),0)),"")</f>
        <v>181</v>
      </c>
      <c r="F201" s="38" t="s">
        <v>189</v>
      </c>
      <c r="G201" s="48" cm="1">
        <f t="array" ref="G201">IF($O201&lt;&gt;"",INDEX($O:$O,MATCH(TRUE,EXACT(F201,$A:$A),0)),"")</f>
        <v>182</v>
      </c>
      <c r="H201" s="38" t="s">
        <v>189</v>
      </c>
      <c r="I201" s="48" cm="1">
        <f t="array" ref="I201">IF($N201,INDEX($O:$O,MATCH(TRUE,EXACT(H201,$A:$A),0)),"")</f>
        <v>182</v>
      </c>
      <c r="J201" s="38" t="s">
        <v>195</v>
      </c>
      <c r="K201" s="52" cm="1">
        <f t="array" ref="K201">IF($N201,INDEX($O:$O,MATCH(TRUE,EXACT(J201,$A:$A),0)),"")</f>
        <v>188</v>
      </c>
      <c r="L201" s="23"/>
      <c r="M201" s="33"/>
      <c r="N201" s="18" t="b">
        <f t="shared" si="96"/>
        <v>1</v>
      </c>
      <c r="O201" s="19">
        <f>IF(N201, MAX(O$2:O200)+1,"")</f>
        <v>188</v>
      </c>
      <c r="P201" s="23" t="str">
        <f t="shared" si="95"/>
        <v>‰</v>
      </c>
      <c r="Q201" s="8" t="str" cm="1">
        <f t="array" ref="Q201">CharToUTF8(A201)</f>
        <v>\xE2\x80\xB0</v>
      </c>
      <c r="S201" s="18" t="str">
        <f>$AO$3</f>
        <v>DIAG_BOTH</v>
      </c>
      <c r="T201" s="24" t="str">
        <f>$AO$2</f>
        <v>EMPTY</v>
      </c>
      <c r="U201" s="24" t="str">
        <f>$AO$2</f>
        <v>EMPTY</v>
      </c>
      <c r="V201" s="21" t="str">
        <f>$AO$2</f>
        <v>EMPTY</v>
      </c>
      <c r="X201" s="31" t="b">
        <f t="shared" si="97"/>
        <v>0</v>
      </c>
      <c r="Y201" s="31" t="b">
        <f t="shared" si="98"/>
        <v>0</v>
      </c>
      <c r="Z201" t="b">
        <f t="shared" si="99"/>
        <v>0</v>
      </c>
      <c r="AA201" t="b">
        <f t="shared" si="100"/>
        <v>1</v>
      </c>
      <c r="AB201" t="b">
        <f t="shared" si="101"/>
        <v>0</v>
      </c>
      <c r="AC201" t="b">
        <f t="shared" si="102"/>
        <v>1</v>
      </c>
      <c r="AD201" t="b">
        <f t="shared" si="103"/>
        <v>0</v>
      </c>
      <c r="AE201" t="b">
        <f t="shared" si="104"/>
        <v>1</v>
      </c>
      <c r="AF201" t="b">
        <f t="shared" si="105"/>
        <v>1</v>
      </c>
      <c r="AG201" t="b">
        <f t="shared" si="106"/>
        <v>1</v>
      </c>
      <c r="AH201" t="b">
        <f t="shared" si="107"/>
        <v>1</v>
      </c>
      <c r="AI201" t="b">
        <f t="shared" si="108"/>
        <v>1</v>
      </c>
      <c r="AJ201" t="b">
        <f t="shared" si="109"/>
        <v>1</v>
      </c>
      <c r="AK201" t="b">
        <f t="shared" si="110"/>
        <v>1</v>
      </c>
      <c r="AL201" t="b">
        <f t="shared" si="111"/>
        <v>1</v>
      </c>
      <c r="AM201" t="b">
        <f t="shared" si="112"/>
        <v>1</v>
      </c>
      <c r="AO201" s="1"/>
      <c r="AV201" s="59" t="str">
        <f t="shared" si="93"/>
        <v xml:space="preserve">    { wxString::FromUTF8("\xE2\x80\xB0"), &amp;AllGlyphs[181], &amp;AllGlyphs[182], &amp;AllGlyphs[182], &amp;AllGlyphs[188], Connection::DIAG_BOTH, Connection::EMPTY, Connection::EMPTY, Connection::EMPTY, 0, 0, 0, 1 },</v>
      </c>
      <c r="AW201" s="60"/>
      <c r="AX201" s="60"/>
      <c r="AY201" s="60"/>
      <c r="AZ201" s="60"/>
      <c r="BA201" s="60"/>
      <c r="BB201" s="60"/>
      <c r="BC201" s="61"/>
      <c r="BE201" s="54" t="str">
        <f t="shared" si="113"/>
        <v>&amp;AllGlyphs[181]</v>
      </c>
      <c r="BF201" s="54" t="str">
        <f t="shared" si="114"/>
        <v>&amp;AllGlyphs[182]</v>
      </c>
      <c r="BG201" s="54" t="str">
        <f t="shared" si="115"/>
        <v>&amp;AllGlyphs[182]</v>
      </c>
      <c r="BH201" s="54" t="str">
        <f t="shared" si="116"/>
        <v>&amp;AllGlyphs[188]</v>
      </c>
      <c r="BJ201" s="58">
        <f t="shared" si="117"/>
        <v>0</v>
      </c>
      <c r="BK201" s="58">
        <f t="shared" si="118"/>
        <v>0</v>
      </c>
      <c r="BL201" s="58">
        <f t="shared" si="119"/>
        <v>0</v>
      </c>
      <c r="BM201" s="58">
        <f t="shared" si="120"/>
        <v>1</v>
      </c>
    </row>
    <row r="202" spans="1:65" x14ac:dyDescent="0.4">
      <c r="A202" s="7" t="s">
        <v>196</v>
      </c>
      <c r="B202" s="6" t="str">
        <f t="shared" si="94"/>
        <v>‹</v>
      </c>
      <c r="C202" s="48" cm="1">
        <f t="array" ref="C202">IF($N202,INDEX($O:$O,MATCH(TRUE,EXACT(B202,$A:$A),0)),"")</f>
        <v>189</v>
      </c>
      <c r="D202" s="38" t="s">
        <v>195</v>
      </c>
      <c r="E202" s="48" cm="1">
        <f t="array" ref="E202">IF($N202,INDEX($O:$O,MATCH(TRUE,EXACT(D202,$A:$A),0)),"")</f>
        <v>188</v>
      </c>
      <c r="F202" s="38" t="s">
        <v>188</v>
      </c>
      <c r="G202" s="48" cm="1">
        <f t="array" ref="G202">IF($O202&lt;&gt;"",INDEX($O:$O,MATCH(TRUE,EXACT(F202,$A:$A),0)),"")</f>
        <v>181</v>
      </c>
      <c r="H202" s="38" t="s">
        <v>196</v>
      </c>
      <c r="I202" s="48" cm="1">
        <f t="array" ref="I202">IF($N202,INDEX($O:$O,MATCH(TRUE,EXACT(H202,$A:$A),0)),"")</f>
        <v>189</v>
      </c>
      <c r="J202" s="38" t="s">
        <v>188</v>
      </c>
      <c r="K202" s="52" cm="1">
        <f t="array" ref="K202">IF($N202,INDEX($O:$O,MATCH(TRUE,EXACT(J202,$A:$A),0)),"")</f>
        <v>181</v>
      </c>
      <c r="L202" s="23"/>
      <c r="M202" s="33"/>
      <c r="N202" s="18" t="b">
        <f t="shared" si="96"/>
        <v>1</v>
      </c>
      <c r="O202" s="19">
        <f>IF(N202, MAX(O$2:O201)+1,"")</f>
        <v>189</v>
      </c>
      <c r="P202" s="23" t="str">
        <f t="shared" si="95"/>
        <v>‹</v>
      </c>
      <c r="Q202" s="8" t="str" cm="1">
        <f t="array" ref="Q202">CharToUTF8(A202)</f>
        <v>\xE2\x80\xB9</v>
      </c>
      <c r="S202" s="18" t="str">
        <f>$AO$2</f>
        <v>EMPTY</v>
      </c>
      <c r="T202" s="24" t="str">
        <f>$AO$2</f>
        <v>EMPTY</v>
      </c>
      <c r="U202" s="24" t="str">
        <f>$AO$3</f>
        <v>DIAG_BOTH</v>
      </c>
      <c r="V202" s="21" t="str">
        <f>$AO$2</f>
        <v>EMPTY</v>
      </c>
      <c r="X202" s="31" t="b">
        <f t="shared" si="97"/>
        <v>0</v>
      </c>
      <c r="Y202" s="31" t="b">
        <f t="shared" si="98"/>
        <v>0</v>
      </c>
      <c r="Z202" t="b">
        <f t="shared" si="99"/>
        <v>1</v>
      </c>
      <c r="AA202" t="b">
        <f t="shared" si="100"/>
        <v>0</v>
      </c>
      <c r="AB202" t="b">
        <f t="shared" si="101"/>
        <v>1</v>
      </c>
      <c r="AC202" t="b">
        <f t="shared" si="102"/>
        <v>0</v>
      </c>
      <c r="AD202" t="b">
        <f t="shared" si="103"/>
        <v>0</v>
      </c>
      <c r="AE202" t="b">
        <f t="shared" si="104"/>
        <v>1</v>
      </c>
      <c r="AF202" t="b">
        <f t="shared" si="105"/>
        <v>1</v>
      </c>
      <c r="AG202" t="b">
        <f t="shared" si="106"/>
        <v>1</v>
      </c>
      <c r="AH202" t="b">
        <f t="shared" si="107"/>
        <v>1</v>
      </c>
      <c r="AI202" t="b">
        <f t="shared" si="108"/>
        <v>1</v>
      </c>
      <c r="AJ202" t="b">
        <f t="shared" si="109"/>
        <v>1</v>
      </c>
      <c r="AK202" t="b">
        <f t="shared" si="110"/>
        <v>1</v>
      </c>
      <c r="AL202" t="b">
        <f t="shared" si="111"/>
        <v>1</v>
      </c>
      <c r="AM202" t="b">
        <f t="shared" si="112"/>
        <v>1</v>
      </c>
      <c r="AO202" s="1"/>
      <c r="AV202" s="59" t="str">
        <f t="shared" si="93"/>
        <v xml:space="preserve">    { wxString::FromUTF8("\xE2\x80\xB9"), &amp;AllGlyphs[188], &amp;AllGlyphs[181], &amp;AllGlyphs[189], &amp;AllGlyphs[181], Connection::EMPTY, Connection::EMPTY, Connection::DIAG_BOTH, Connection::EMPTY, 0, 0, 1, 0 },</v>
      </c>
      <c r="AW202" s="60"/>
      <c r="AX202" s="60"/>
      <c r="AY202" s="60"/>
      <c r="AZ202" s="60"/>
      <c r="BA202" s="60"/>
      <c r="BB202" s="60"/>
      <c r="BC202" s="61"/>
      <c r="BE202" s="54" t="str">
        <f t="shared" si="113"/>
        <v>&amp;AllGlyphs[188]</v>
      </c>
      <c r="BF202" s="54" t="str">
        <f t="shared" si="114"/>
        <v>&amp;AllGlyphs[181]</v>
      </c>
      <c r="BG202" s="54" t="str">
        <f t="shared" si="115"/>
        <v>&amp;AllGlyphs[189]</v>
      </c>
      <c r="BH202" s="54" t="str">
        <f t="shared" si="116"/>
        <v>&amp;AllGlyphs[181]</v>
      </c>
      <c r="BJ202" s="58">
        <f t="shared" si="117"/>
        <v>0</v>
      </c>
      <c r="BK202" s="58">
        <f t="shared" si="118"/>
        <v>0</v>
      </c>
      <c r="BL202" s="58">
        <f t="shared" si="119"/>
        <v>1</v>
      </c>
      <c r="BM202" s="58">
        <f t="shared" si="120"/>
        <v>0</v>
      </c>
    </row>
    <row r="203" spans="1:65" x14ac:dyDescent="0.4">
      <c r="AO203" s="1"/>
    </row>
    <row r="204" spans="1:65" x14ac:dyDescent="0.4">
      <c r="AO204" s="1"/>
    </row>
    <row r="205" spans="1:65" x14ac:dyDescent="0.4">
      <c r="AO205" s="1"/>
    </row>
    <row r="206" spans="1:65" x14ac:dyDescent="0.4">
      <c r="AO206" s="1"/>
    </row>
  </sheetData>
  <autoFilter ref="S1:AM202" xr:uid="{4AE40824-71EF-482A-8881-42BE28EC1AFA}"/>
  <mergeCells count="202">
    <mergeCell ref="AV34:BC34"/>
    <mergeCell ref="AV35:BC35"/>
    <mergeCell ref="AV36:BC36"/>
    <mergeCell ref="AV56:BC56"/>
    <mergeCell ref="AV37:BC37"/>
    <mergeCell ref="AV38:BC38"/>
    <mergeCell ref="AV39:BC39"/>
    <mergeCell ref="AV40:BC40"/>
    <mergeCell ref="AV41:BC41"/>
    <mergeCell ref="AV42:BC42"/>
    <mergeCell ref="AV43:BC43"/>
    <mergeCell ref="AV44:BC44"/>
    <mergeCell ref="AV45:BC45"/>
    <mergeCell ref="AV46:BC46"/>
    <mergeCell ref="AV47:BC47"/>
    <mergeCell ref="AV48:BC48"/>
    <mergeCell ref="AV49:BC49"/>
    <mergeCell ref="AV50:BC50"/>
    <mergeCell ref="AV51:BC51"/>
    <mergeCell ref="AV52:BC52"/>
    <mergeCell ref="AV53:BC53"/>
    <mergeCell ref="AV54:BC54"/>
    <mergeCell ref="AV55:BC55"/>
    <mergeCell ref="AV76:BC76"/>
    <mergeCell ref="AV57:BC57"/>
    <mergeCell ref="AV58:BC58"/>
    <mergeCell ref="AV59:BC59"/>
    <mergeCell ref="AV60:BC60"/>
    <mergeCell ref="AV61:BC61"/>
    <mergeCell ref="AV62:BC62"/>
    <mergeCell ref="AV63:BC63"/>
    <mergeCell ref="AV64:BC64"/>
    <mergeCell ref="AV65:BC65"/>
    <mergeCell ref="AV66:BC66"/>
    <mergeCell ref="AV67:BC67"/>
    <mergeCell ref="AV68:BC68"/>
    <mergeCell ref="AV69:BC69"/>
    <mergeCell ref="AV70:BC70"/>
    <mergeCell ref="AV71:BC71"/>
    <mergeCell ref="AV72:BC72"/>
    <mergeCell ref="AV73:BC73"/>
    <mergeCell ref="AV74:BC74"/>
    <mergeCell ref="AV75:BC75"/>
    <mergeCell ref="AV96:BC96"/>
    <mergeCell ref="AV77:BC77"/>
    <mergeCell ref="AV78:BC78"/>
    <mergeCell ref="AV79:BC79"/>
    <mergeCell ref="AV80:BC80"/>
    <mergeCell ref="AV81:BC81"/>
    <mergeCell ref="AV82:BC82"/>
    <mergeCell ref="AV83:BC83"/>
    <mergeCell ref="AV84:BC84"/>
    <mergeCell ref="AV85:BC85"/>
    <mergeCell ref="AV86:BC86"/>
    <mergeCell ref="AV87:BC87"/>
    <mergeCell ref="AV88:BC88"/>
    <mergeCell ref="AV89:BC89"/>
    <mergeCell ref="AV90:BC90"/>
    <mergeCell ref="AV91:BC91"/>
    <mergeCell ref="AV92:BC92"/>
    <mergeCell ref="AV93:BC93"/>
    <mergeCell ref="AV94:BC94"/>
    <mergeCell ref="AV95:BC95"/>
    <mergeCell ref="AV116:BC116"/>
    <mergeCell ref="AV97:BC97"/>
    <mergeCell ref="AV98:BC98"/>
    <mergeCell ref="AV99:BC99"/>
    <mergeCell ref="AV100:BC100"/>
    <mergeCell ref="AV101:BC101"/>
    <mergeCell ref="AV102:BC102"/>
    <mergeCell ref="AV103:BC103"/>
    <mergeCell ref="AV104:BC104"/>
    <mergeCell ref="AV105:BC105"/>
    <mergeCell ref="AV106:BC106"/>
    <mergeCell ref="AV107:BC107"/>
    <mergeCell ref="AV108:BC108"/>
    <mergeCell ref="AV109:BC109"/>
    <mergeCell ref="AV110:BC110"/>
    <mergeCell ref="AV111:BC111"/>
    <mergeCell ref="AV112:BC112"/>
    <mergeCell ref="AV113:BC113"/>
    <mergeCell ref="AV114:BC114"/>
    <mergeCell ref="AV115:BC115"/>
    <mergeCell ref="AV136:BC136"/>
    <mergeCell ref="AV117:BC117"/>
    <mergeCell ref="AV118:BC118"/>
    <mergeCell ref="AV119:BC119"/>
    <mergeCell ref="AV120:BC120"/>
    <mergeCell ref="AV121:BC121"/>
    <mergeCell ref="AV122:BC122"/>
    <mergeCell ref="AV123:BC123"/>
    <mergeCell ref="AV124:BC124"/>
    <mergeCell ref="AV125:BC125"/>
    <mergeCell ref="AV126:BC126"/>
    <mergeCell ref="AV127:BC127"/>
    <mergeCell ref="AV128:BC128"/>
    <mergeCell ref="AV129:BC129"/>
    <mergeCell ref="AV130:BC130"/>
    <mergeCell ref="AV131:BC131"/>
    <mergeCell ref="AV132:BC132"/>
    <mergeCell ref="AV133:BC133"/>
    <mergeCell ref="AV134:BC134"/>
    <mergeCell ref="AV135:BC135"/>
    <mergeCell ref="AV156:BC156"/>
    <mergeCell ref="AV137:BC137"/>
    <mergeCell ref="AV138:BC138"/>
    <mergeCell ref="AV139:BC139"/>
    <mergeCell ref="AV140:BC140"/>
    <mergeCell ref="AV141:BC141"/>
    <mergeCell ref="AV142:BC142"/>
    <mergeCell ref="AV143:BC143"/>
    <mergeCell ref="AV144:BC144"/>
    <mergeCell ref="AV145:BC145"/>
    <mergeCell ref="AV146:BC146"/>
    <mergeCell ref="AV147:BC147"/>
    <mergeCell ref="AV148:BC148"/>
    <mergeCell ref="AV149:BC149"/>
    <mergeCell ref="AV150:BC150"/>
    <mergeCell ref="AV151:BC151"/>
    <mergeCell ref="AV152:BC152"/>
    <mergeCell ref="AV153:BC153"/>
    <mergeCell ref="AV154:BC154"/>
    <mergeCell ref="AV155:BC155"/>
    <mergeCell ref="AV176:BC176"/>
    <mergeCell ref="AV177:BC177"/>
    <mergeCell ref="AV157:BC157"/>
    <mergeCell ref="AV158:BC158"/>
    <mergeCell ref="AV159:BC159"/>
    <mergeCell ref="AV160:BC160"/>
    <mergeCell ref="AV161:BC161"/>
    <mergeCell ref="AV162:BC162"/>
    <mergeCell ref="AV163:BC163"/>
    <mergeCell ref="AV164:BC164"/>
    <mergeCell ref="AV165:BC165"/>
    <mergeCell ref="AV166:BC166"/>
    <mergeCell ref="AV167:BC167"/>
    <mergeCell ref="AV168:BC168"/>
    <mergeCell ref="AV169:BC169"/>
    <mergeCell ref="AV170:BC170"/>
    <mergeCell ref="AV171:BC171"/>
    <mergeCell ref="AV172:BC172"/>
    <mergeCell ref="AV173:BC173"/>
    <mergeCell ref="AV174:BC174"/>
    <mergeCell ref="AV175:BC175"/>
    <mergeCell ref="AV27:BC27"/>
    <mergeCell ref="AV1:BC1"/>
    <mergeCell ref="AV28:BC28"/>
    <mergeCell ref="AV29:BC29"/>
    <mergeCell ref="AV30:BC30"/>
    <mergeCell ref="AV31:BC31"/>
    <mergeCell ref="AV32:BC32"/>
    <mergeCell ref="AV33:BC33"/>
    <mergeCell ref="AV19:BC19"/>
    <mergeCell ref="AV20:BC20"/>
    <mergeCell ref="AV21:BC21"/>
    <mergeCell ref="AV22:BC22"/>
    <mergeCell ref="AV23:BC23"/>
    <mergeCell ref="AV24:BC24"/>
    <mergeCell ref="AV25:BC25"/>
    <mergeCell ref="AV26:BC26"/>
    <mergeCell ref="AV178:BC178"/>
    <mergeCell ref="AV179:BC179"/>
    <mergeCell ref="AV180:BC180"/>
    <mergeCell ref="AV181:BC181"/>
    <mergeCell ref="AV182:BC182"/>
    <mergeCell ref="AV183:BC183"/>
    <mergeCell ref="AV184:BC184"/>
    <mergeCell ref="AV185:BC185"/>
    <mergeCell ref="AV186:BC186"/>
    <mergeCell ref="AV187:BC187"/>
    <mergeCell ref="AV188:BC188"/>
    <mergeCell ref="AV189:BC189"/>
    <mergeCell ref="AV190:BC190"/>
    <mergeCell ref="AV191:BC191"/>
    <mergeCell ref="AV192:BC192"/>
    <mergeCell ref="AV193:BC193"/>
    <mergeCell ref="AV194:BC194"/>
    <mergeCell ref="AV195:BC195"/>
    <mergeCell ref="AV196:BC196"/>
    <mergeCell ref="AV197:BC197"/>
    <mergeCell ref="AV198:BC198"/>
    <mergeCell ref="AV199:BC199"/>
    <mergeCell ref="AV200:BC200"/>
    <mergeCell ref="AV201:BC201"/>
    <mergeCell ref="AV202:BC202"/>
    <mergeCell ref="AV2:BC2"/>
    <mergeCell ref="AV3:BC3"/>
    <mergeCell ref="AV4:BC4"/>
    <mergeCell ref="AV5:BC5"/>
    <mergeCell ref="AV6:BC6"/>
    <mergeCell ref="AV7:BC7"/>
    <mergeCell ref="AV8:BC8"/>
    <mergeCell ref="AV9:BC9"/>
    <mergeCell ref="AV10:BC10"/>
    <mergeCell ref="AV11:BC11"/>
    <mergeCell ref="AV12:BC12"/>
    <mergeCell ref="AV13:BC13"/>
    <mergeCell ref="AV14:BC14"/>
    <mergeCell ref="AV15:BC15"/>
    <mergeCell ref="AV16:BC16"/>
    <mergeCell ref="AV17:BC17"/>
    <mergeCell ref="AV18:BC18"/>
  </mergeCells>
  <phoneticPr fontId="5" type="noConversion"/>
  <conditionalFormatting sqref="A2:XFD202">
    <cfRule type="expression" dxfId="0" priority="5">
      <formula>$N2=FALSE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Formatted 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Braden</dc:creator>
  <cp:lastModifiedBy>Braden</cp:lastModifiedBy>
  <dcterms:created xsi:type="dcterms:W3CDTF">2018-10-24T15:14:31Z</dcterms:created>
  <dcterms:modified xsi:type="dcterms:W3CDTF">2021-01-25T03:19:20Z</dcterms:modified>
</cp:coreProperties>
</file>