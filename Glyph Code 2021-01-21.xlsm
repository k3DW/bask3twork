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4E1FB90B-B86E-4840-9ECE-C52A2F0E3048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  <sheet name="Code" sheetId="7" r:id="rId2"/>
    <sheet name="Code FIXED" sheetId="8" r:id="rId3"/>
    <sheet name="allGlyphsWithTypeOnSide" sheetId="12" r:id="rId4"/>
  </sheets>
  <functionGroups builtInGroupCount="19"/>
  <definedNames>
    <definedName name="_xlnm._FilterDatabase" localSheetId="0" hidden="1">'Formatted NEW'!$Q$1:$X$202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2" i="6" l="1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AG183" i="6"/>
  <c r="AG184" i="6"/>
  <c r="AG185" i="6"/>
  <c r="AG186" i="6"/>
  <c r="AG187" i="6"/>
  <c r="AG188" i="6"/>
  <c r="AG189" i="6"/>
  <c r="AG190" i="6"/>
  <c r="AG191" i="6"/>
  <c r="AG192" i="6"/>
  <c r="AG193" i="6"/>
  <c r="AG194" i="6"/>
  <c r="AG195" i="6"/>
  <c r="AG196" i="6"/>
  <c r="AG197" i="6"/>
  <c r="AG198" i="6"/>
  <c r="AG199" i="6"/>
  <c r="AG200" i="6"/>
  <c r="AG201" i="6"/>
  <c r="AG20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2" i="6"/>
  <c r="T202" i="6" l="1"/>
  <c r="S202" i="6"/>
  <c r="R202" i="6"/>
  <c r="Q202" i="6"/>
  <c r="T201" i="6"/>
  <c r="S201" i="6"/>
  <c r="R201" i="6"/>
  <c r="Q201" i="6"/>
  <c r="T200" i="6"/>
  <c r="S200" i="6"/>
  <c r="R200" i="6"/>
  <c r="Q200" i="6"/>
  <c r="T199" i="6"/>
  <c r="S199" i="6"/>
  <c r="R199" i="6"/>
  <c r="Q199" i="6"/>
  <c r="T198" i="6"/>
  <c r="S198" i="6"/>
  <c r="R198" i="6"/>
  <c r="Q198" i="6"/>
  <c r="T197" i="6"/>
  <c r="S197" i="6"/>
  <c r="R197" i="6"/>
  <c r="Q197" i="6"/>
  <c r="T196" i="6"/>
  <c r="S196" i="6"/>
  <c r="R196" i="6"/>
  <c r="Q196" i="6"/>
  <c r="T195" i="6"/>
  <c r="S195" i="6"/>
  <c r="R195" i="6"/>
  <c r="Q195" i="6"/>
  <c r="T194" i="6"/>
  <c r="S194" i="6"/>
  <c r="R194" i="6"/>
  <c r="Q194" i="6"/>
  <c r="T193" i="6"/>
  <c r="S193" i="6"/>
  <c r="R193" i="6"/>
  <c r="Q193" i="6"/>
  <c r="T192" i="6"/>
  <c r="S192" i="6"/>
  <c r="R192" i="6"/>
  <c r="Q192" i="6"/>
  <c r="T191" i="6"/>
  <c r="S191" i="6"/>
  <c r="R191" i="6"/>
  <c r="Q191" i="6"/>
  <c r="T190" i="6"/>
  <c r="S190" i="6"/>
  <c r="R190" i="6"/>
  <c r="Q190" i="6"/>
  <c r="T189" i="6"/>
  <c r="S189" i="6"/>
  <c r="R189" i="6"/>
  <c r="Q189" i="6"/>
  <c r="T188" i="6"/>
  <c r="S188" i="6"/>
  <c r="R188" i="6"/>
  <c r="Q188" i="6"/>
  <c r="T187" i="6"/>
  <c r="S187" i="6"/>
  <c r="R187" i="6"/>
  <c r="Q187" i="6"/>
  <c r="T186" i="6"/>
  <c r="S186" i="6"/>
  <c r="R186" i="6"/>
  <c r="Q186" i="6"/>
  <c r="T185" i="6"/>
  <c r="S185" i="6"/>
  <c r="R185" i="6"/>
  <c r="Q185" i="6"/>
  <c r="T184" i="6"/>
  <c r="S184" i="6"/>
  <c r="R184" i="6"/>
  <c r="Q184" i="6"/>
  <c r="T183" i="6"/>
  <c r="S183" i="6"/>
  <c r="R183" i="6"/>
  <c r="Q183" i="6"/>
  <c r="T182" i="6"/>
  <c r="S182" i="6"/>
  <c r="R182" i="6"/>
  <c r="Q182" i="6"/>
  <c r="T181" i="6"/>
  <c r="S181" i="6"/>
  <c r="R181" i="6"/>
  <c r="Q181" i="6"/>
  <c r="T180" i="6"/>
  <c r="S180" i="6"/>
  <c r="R180" i="6"/>
  <c r="Q180" i="6"/>
  <c r="T179" i="6"/>
  <c r="S179" i="6"/>
  <c r="R179" i="6"/>
  <c r="Q179" i="6"/>
  <c r="T178" i="6"/>
  <c r="S178" i="6"/>
  <c r="R178" i="6"/>
  <c r="Q178" i="6"/>
  <c r="T177" i="6"/>
  <c r="S177" i="6"/>
  <c r="R177" i="6"/>
  <c r="Q177" i="6"/>
  <c r="T176" i="6"/>
  <c r="S176" i="6"/>
  <c r="R176" i="6"/>
  <c r="Q176" i="6"/>
  <c r="T175" i="6"/>
  <c r="S175" i="6"/>
  <c r="R175" i="6"/>
  <c r="Q175" i="6"/>
  <c r="T174" i="6"/>
  <c r="S174" i="6"/>
  <c r="R174" i="6"/>
  <c r="Q174" i="6"/>
  <c r="T173" i="6"/>
  <c r="S173" i="6"/>
  <c r="R173" i="6"/>
  <c r="Q173" i="6"/>
  <c r="S172" i="6"/>
  <c r="R172" i="6"/>
  <c r="Q172" i="6"/>
  <c r="T171" i="6"/>
  <c r="R171" i="6"/>
  <c r="Q171" i="6"/>
  <c r="S170" i="6"/>
  <c r="R170" i="6"/>
  <c r="Q170" i="6"/>
  <c r="T169" i="6"/>
  <c r="R169" i="6"/>
  <c r="Q169" i="6"/>
  <c r="T168" i="6"/>
  <c r="S168" i="6"/>
  <c r="T167" i="6"/>
  <c r="S167" i="6"/>
  <c r="R167" i="6"/>
  <c r="T166" i="6"/>
  <c r="S166" i="6"/>
  <c r="Q166" i="6"/>
  <c r="T165" i="6"/>
  <c r="S165" i="6"/>
  <c r="Q165" i="6"/>
  <c r="T164" i="6"/>
  <c r="S164" i="6"/>
  <c r="Q164" i="6"/>
  <c r="T163" i="6"/>
  <c r="S163" i="6"/>
  <c r="R163" i="6"/>
  <c r="T162" i="6"/>
  <c r="S162" i="6"/>
  <c r="R162" i="6"/>
  <c r="T161" i="6"/>
  <c r="S161" i="6"/>
  <c r="R161" i="6"/>
  <c r="Q161" i="6"/>
  <c r="T160" i="6"/>
  <c r="S160" i="6"/>
  <c r="R160" i="6"/>
  <c r="Q160" i="6"/>
  <c r="T159" i="6"/>
  <c r="S159" i="6"/>
  <c r="R159" i="6"/>
  <c r="Q159" i="6"/>
  <c r="T158" i="6"/>
  <c r="S158" i="6"/>
  <c r="R158" i="6"/>
  <c r="Q158" i="6"/>
  <c r="T157" i="6"/>
  <c r="S157" i="6"/>
  <c r="R157" i="6"/>
  <c r="Q157" i="6"/>
  <c r="T156" i="6"/>
  <c r="S156" i="6"/>
  <c r="R156" i="6"/>
  <c r="Q156" i="6"/>
  <c r="T155" i="6"/>
  <c r="S155" i="6"/>
  <c r="R155" i="6"/>
  <c r="Q155" i="6"/>
  <c r="T154" i="6"/>
  <c r="S154" i="6"/>
  <c r="R154" i="6"/>
  <c r="Q154" i="6"/>
  <c r="T153" i="6"/>
  <c r="S153" i="6"/>
  <c r="R153" i="6"/>
  <c r="Q153" i="6"/>
  <c r="T152" i="6"/>
  <c r="S152" i="6"/>
  <c r="R152" i="6"/>
  <c r="Q152" i="6"/>
  <c r="T151" i="6"/>
  <c r="S151" i="6"/>
  <c r="R151" i="6"/>
  <c r="Q151" i="6"/>
  <c r="T150" i="6"/>
  <c r="S150" i="6"/>
  <c r="R150" i="6"/>
  <c r="Q150" i="6"/>
  <c r="T149" i="6"/>
  <c r="S149" i="6"/>
  <c r="R149" i="6"/>
  <c r="Q149" i="6"/>
  <c r="T148" i="6"/>
  <c r="S148" i="6"/>
  <c r="R148" i="6"/>
  <c r="Q148" i="6"/>
  <c r="T147" i="6"/>
  <c r="S147" i="6"/>
  <c r="R147" i="6"/>
  <c r="Q147" i="6"/>
  <c r="T146" i="6"/>
  <c r="S146" i="6"/>
  <c r="R146" i="6"/>
  <c r="Q146" i="6"/>
  <c r="T145" i="6"/>
  <c r="S145" i="6"/>
  <c r="R145" i="6"/>
  <c r="Q145" i="6"/>
  <c r="T144" i="6"/>
  <c r="S144" i="6"/>
  <c r="R144" i="6"/>
  <c r="Q144" i="6"/>
  <c r="T143" i="6"/>
  <c r="S143" i="6"/>
  <c r="R143" i="6"/>
  <c r="Q143" i="6"/>
  <c r="T142" i="6"/>
  <c r="S142" i="6"/>
  <c r="R142" i="6"/>
  <c r="Q142" i="6"/>
  <c r="T141" i="6"/>
  <c r="S141" i="6"/>
  <c r="R141" i="6"/>
  <c r="Q141" i="6"/>
  <c r="T140" i="6"/>
  <c r="S140" i="6"/>
  <c r="R140" i="6"/>
  <c r="Q140" i="6"/>
  <c r="T139" i="6"/>
  <c r="S139" i="6"/>
  <c r="R139" i="6"/>
  <c r="Q139" i="6"/>
  <c r="T138" i="6"/>
  <c r="S138" i="6"/>
  <c r="R138" i="6"/>
  <c r="Q138" i="6"/>
  <c r="T137" i="6"/>
  <c r="S137" i="6"/>
  <c r="R137" i="6"/>
  <c r="Q137" i="6"/>
  <c r="T136" i="6"/>
  <c r="S136" i="6"/>
  <c r="R136" i="6"/>
  <c r="Q136" i="6"/>
  <c r="T135" i="6"/>
  <c r="S135" i="6"/>
  <c r="R135" i="6"/>
  <c r="Q135" i="6"/>
  <c r="T134" i="6"/>
  <c r="S134" i="6"/>
  <c r="R134" i="6"/>
  <c r="Q134" i="6"/>
  <c r="T133" i="6"/>
  <c r="S133" i="6"/>
  <c r="R133" i="6"/>
  <c r="Q133" i="6"/>
  <c r="T132" i="6"/>
  <c r="S132" i="6"/>
  <c r="R132" i="6"/>
  <c r="Q132" i="6"/>
  <c r="T131" i="6"/>
  <c r="S131" i="6"/>
  <c r="R131" i="6"/>
  <c r="Q131" i="6"/>
  <c r="T130" i="6"/>
  <c r="S130" i="6"/>
  <c r="R130" i="6"/>
  <c r="Q130" i="6"/>
  <c r="T129" i="6"/>
  <c r="S129" i="6"/>
  <c r="R129" i="6"/>
  <c r="Q129" i="6"/>
  <c r="T128" i="6"/>
  <c r="S128" i="6"/>
  <c r="R128" i="6"/>
  <c r="Q128" i="6"/>
  <c r="T127" i="6"/>
  <c r="S127" i="6"/>
  <c r="R127" i="6"/>
  <c r="Q127" i="6"/>
  <c r="T126" i="6"/>
  <c r="S126" i="6"/>
  <c r="R126" i="6"/>
  <c r="Q126" i="6"/>
  <c r="T125" i="6"/>
  <c r="S125" i="6"/>
  <c r="R125" i="6"/>
  <c r="Q125" i="6"/>
  <c r="T124" i="6"/>
  <c r="S124" i="6"/>
  <c r="R124" i="6"/>
  <c r="Q124" i="6"/>
  <c r="T123" i="6"/>
  <c r="S123" i="6"/>
  <c r="R123" i="6"/>
  <c r="Q123" i="6"/>
  <c r="T122" i="6"/>
  <c r="S122" i="6"/>
  <c r="R122" i="6"/>
  <c r="Q122" i="6"/>
  <c r="T121" i="6"/>
  <c r="S121" i="6"/>
  <c r="R121" i="6"/>
  <c r="Q121" i="6"/>
  <c r="T120" i="6"/>
  <c r="S120" i="6"/>
  <c r="R120" i="6"/>
  <c r="Q120" i="6"/>
  <c r="T119" i="6"/>
  <c r="S119" i="6"/>
  <c r="R119" i="6"/>
  <c r="Q119" i="6"/>
  <c r="T118" i="6"/>
  <c r="S118" i="6"/>
  <c r="R118" i="6"/>
  <c r="Q118" i="6"/>
  <c r="T117" i="6"/>
  <c r="S117" i="6"/>
  <c r="R117" i="6"/>
  <c r="Q117" i="6"/>
  <c r="T116" i="6"/>
  <c r="S116" i="6"/>
  <c r="R116" i="6"/>
  <c r="Q116" i="6"/>
  <c r="T115" i="6"/>
  <c r="S115" i="6"/>
  <c r="R115" i="6"/>
  <c r="Q115" i="6"/>
  <c r="T114" i="6"/>
  <c r="S114" i="6"/>
  <c r="R114" i="6"/>
  <c r="Q114" i="6"/>
  <c r="T113" i="6"/>
  <c r="S113" i="6"/>
  <c r="R113" i="6"/>
  <c r="Q113" i="6"/>
  <c r="T112" i="6"/>
  <c r="S112" i="6"/>
  <c r="R112" i="6"/>
  <c r="Q112" i="6"/>
  <c r="T111" i="6"/>
  <c r="S111" i="6"/>
  <c r="R111" i="6"/>
  <c r="Q111" i="6"/>
  <c r="T110" i="6"/>
  <c r="S110" i="6"/>
  <c r="R110" i="6"/>
  <c r="Q110" i="6"/>
  <c r="T109" i="6"/>
  <c r="S109" i="6"/>
  <c r="R109" i="6"/>
  <c r="Q109" i="6"/>
  <c r="T108" i="6"/>
  <c r="S108" i="6"/>
  <c r="R108" i="6"/>
  <c r="Q108" i="6"/>
  <c r="T107" i="6"/>
  <c r="S107" i="6"/>
  <c r="R107" i="6"/>
  <c r="Q107" i="6"/>
  <c r="T106" i="6"/>
  <c r="S106" i="6"/>
  <c r="R106" i="6"/>
  <c r="Q106" i="6"/>
  <c r="T105" i="6"/>
  <c r="S105" i="6"/>
  <c r="R105" i="6"/>
  <c r="Q105" i="6"/>
  <c r="T104" i="6"/>
  <c r="S104" i="6"/>
  <c r="R104" i="6"/>
  <c r="Q104" i="6"/>
  <c r="T103" i="6"/>
  <c r="S103" i="6"/>
  <c r="R103" i="6"/>
  <c r="Q103" i="6"/>
  <c r="T102" i="6"/>
  <c r="S102" i="6"/>
  <c r="R102" i="6"/>
  <c r="Q102" i="6"/>
  <c r="T101" i="6"/>
  <c r="S101" i="6"/>
  <c r="R101" i="6"/>
  <c r="Q101" i="6"/>
  <c r="T100" i="6"/>
  <c r="S100" i="6"/>
  <c r="R100" i="6"/>
  <c r="Q100" i="6"/>
  <c r="T99" i="6"/>
  <c r="S99" i="6"/>
  <c r="R99" i="6"/>
  <c r="Q99" i="6"/>
  <c r="T98" i="6"/>
  <c r="S98" i="6"/>
  <c r="R98" i="6"/>
  <c r="Q98" i="6"/>
  <c r="T97" i="6"/>
  <c r="S97" i="6"/>
  <c r="R97" i="6"/>
  <c r="Q97" i="6"/>
  <c r="T96" i="6"/>
  <c r="S96" i="6"/>
  <c r="R96" i="6"/>
  <c r="Q96" i="6"/>
  <c r="T95" i="6"/>
  <c r="S95" i="6"/>
  <c r="R95" i="6"/>
  <c r="Q95" i="6"/>
  <c r="T94" i="6"/>
  <c r="S94" i="6"/>
  <c r="R94" i="6"/>
  <c r="Q94" i="6"/>
  <c r="T93" i="6"/>
  <c r="S93" i="6"/>
  <c r="R93" i="6"/>
  <c r="Q93" i="6"/>
  <c r="T92" i="6"/>
  <c r="S92" i="6"/>
  <c r="R92" i="6"/>
  <c r="Q92" i="6"/>
  <c r="T91" i="6"/>
  <c r="S91" i="6"/>
  <c r="R91" i="6"/>
  <c r="Q91" i="6"/>
  <c r="T90" i="6"/>
  <c r="S90" i="6"/>
  <c r="R90" i="6"/>
  <c r="Q90" i="6"/>
  <c r="T89" i="6"/>
  <c r="S89" i="6"/>
  <c r="R89" i="6"/>
  <c r="Q89" i="6"/>
  <c r="T88" i="6"/>
  <c r="S88" i="6"/>
  <c r="R88" i="6"/>
  <c r="Q88" i="6"/>
  <c r="T87" i="6"/>
  <c r="S87" i="6"/>
  <c r="R87" i="6"/>
  <c r="Q87" i="6"/>
  <c r="T86" i="6"/>
  <c r="S86" i="6"/>
  <c r="R86" i="6"/>
  <c r="Q86" i="6"/>
  <c r="T85" i="6"/>
  <c r="S85" i="6"/>
  <c r="R85" i="6"/>
  <c r="Q85" i="6"/>
  <c r="T84" i="6"/>
  <c r="S84" i="6"/>
  <c r="R84" i="6"/>
  <c r="Q84" i="6"/>
  <c r="T83" i="6"/>
  <c r="S83" i="6"/>
  <c r="R83" i="6"/>
  <c r="Q83" i="6"/>
  <c r="T82" i="6"/>
  <c r="S82" i="6"/>
  <c r="R82" i="6"/>
  <c r="Q82" i="6"/>
  <c r="T81" i="6"/>
  <c r="S81" i="6"/>
  <c r="R81" i="6"/>
  <c r="Q81" i="6"/>
  <c r="T80" i="6"/>
  <c r="S80" i="6"/>
  <c r="R80" i="6"/>
  <c r="Q80" i="6"/>
  <c r="T79" i="6"/>
  <c r="S79" i="6"/>
  <c r="R79" i="6"/>
  <c r="Q79" i="6"/>
  <c r="T78" i="6"/>
  <c r="S78" i="6"/>
  <c r="R78" i="6"/>
  <c r="Q78" i="6"/>
  <c r="T77" i="6"/>
  <c r="S77" i="6"/>
  <c r="R77" i="6"/>
  <c r="Q77" i="6"/>
  <c r="T76" i="6"/>
  <c r="S76" i="6"/>
  <c r="R76" i="6"/>
  <c r="Q76" i="6"/>
  <c r="T75" i="6"/>
  <c r="S75" i="6"/>
  <c r="R75" i="6"/>
  <c r="Q75" i="6"/>
  <c r="T74" i="6"/>
  <c r="S74" i="6"/>
  <c r="R74" i="6"/>
  <c r="Q74" i="6"/>
  <c r="T73" i="6"/>
  <c r="S73" i="6"/>
  <c r="R73" i="6"/>
  <c r="Q73" i="6"/>
  <c r="T72" i="6"/>
  <c r="S72" i="6"/>
  <c r="R72" i="6"/>
  <c r="Q72" i="6"/>
  <c r="T71" i="6"/>
  <c r="S71" i="6"/>
  <c r="R71" i="6"/>
  <c r="Q71" i="6"/>
  <c r="T70" i="6"/>
  <c r="S70" i="6"/>
  <c r="R70" i="6"/>
  <c r="Q70" i="6"/>
  <c r="T69" i="6"/>
  <c r="S69" i="6"/>
  <c r="R69" i="6"/>
  <c r="Q69" i="6"/>
  <c r="T68" i="6"/>
  <c r="S68" i="6"/>
  <c r="R68" i="6"/>
  <c r="Q68" i="6"/>
  <c r="T67" i="6"/>
  <c r="S67" i="6"/>
  <c r="R67" i="6"/>
  <c r="Q67" i="6"/>
  <c r="T66" i="6"/>
  <c r="S66" i="6"/>
  <c r="R66" i="6"/>
  <c r="Q66" i="6"/>
  <c r="T65" i="6"/>
  <c r="S65" i="6"/>
  <c r="R65" i="6"/>
  <c r="Q65" i="6"/>
  <c r="T64" i="6"/>
  <c r="S64" i="6"/>
  <c r="R64" i="6"/>
  <c r="Q64" i="6"/>
  <c r="T63" i="6"/>
  <c r="S63" i="6"/>
  <c r="R63" i="6"/>
  <c r="Q63" i="6"/>
  <c r="T62" i="6"/>
  <c r="S62" i="6"/>
  <c r="R62" i="6"/>
  <c r="Q62" i="6"/>
  <c r="T61" i="6"/>
  <c r="S61" i="6"/>
  <c r="R61" i="6"/>
  <c r="Q61" i="6"/>
  <c r="T60" i="6"/>
  <c r="S60" i="6"/>
  <c r="R60" i="6"/>
  <c r="Q60" i="6"/>
  <c r="T59" i="6"/>
  <c r="S59" i="6"/>
  <c r="R59" i="6"/>
  <c r="Q59" i="6"/>
  <c r="T58" i="6"/>
  <c r="S58" i="6"/>
  <c r="R58" i="6"/>
  <c r="Q58" i="6"/>
  <c r="T57" i="6"/>
  <c r="S57" i="6"/>
  <c r="R57" i="6"/>
  <c r="Q57" i="6"/>
  <c r="T56" i="6"/>
  <c r="S56" i="6"/>
  <c r="R56" i="6"/>
  <c r="Q56" i="6"/>
  <c r="T55" i="6"/>
  <c r="S55" i="6"/>
  <c r="R55" i="6"/>
  <c r="Q55" i="6"/>
  <c r="T54" i="6"/>
  <c r="S54" i="6"/>
  <c r="R54" i="6"/>
  <c r="Q54" i="6"/>
  <c r="T53" i="6"/>
  <c r="S53" i="6"/>
  <c r="R53" i="6"/>
  <c r="Q53" i="6"/>
  <c r="T52" i="6"/>
  <c r="S52" i="6"/>
  <c r="R52" i="6"/>
  <c r="Q52" i="6"/>
  <c r="T51" i="6"/>
  <c r="S51" i="6"/>
  <c r="R51" i="6"/>
  <c r="Q51" i="6"/>
  <c r="T50" i="6"/>
  <c r="S50" i="6"/>
  <c r="R50" i="6"/>
  <c r="Q50" i="6"/>
  <c r="T49" i="6"/>
  <c r="S49" i="6"/>
  <c r="R49" i="6"/>
  <c r="Q49" i="6"/>
  <c r="T48" i="6"/>
  <c r="S48" i="6"/>
  <c r="R48" i="6"/>
  <c r="Q48" i="6"/>
  <c r="T47" i="6"/>
  <c r="S47" i="6"/>
  <c r="R47" i="6"/>
  <c r="Q47" i="6"/>
  <c r="T46" i="6"/>
  <c r="S46" i="6"/>
  <c r="R46" i="6"/>
  <c r="Q46" i="6"/>
  <c r="T45" i="6"/>
  <c r="S45" i="6"/>
  <c r="R45" i="6"/>
  <c r="Q45" i="6"/>
  <c r="T44" i="6"/>
  <c r="S44" i="6"/>
  <c r="R44" i="6"/>
  <c r="Q44" i="6"/>
  <c r="T43" i="6"/>
  <c r="S43" i="6"/>
  <c r="R43" i="6"/>
  <c r="Q43" i="6"/>
  <c r="T42" i="6"/>
  <c r="S42" i="6"/>
  <c r="R42" i="6"/>
  <c r="Q42" i="6"/>
  <c r="T41" i="6"/>
  <c r="S41" i="6"/>
  <c r="R41" i="6"/>
  <c r="Q41" i="6"/>
  <c r="T40" i="6"/>
  <c r="S40" i="6"/>
  <c r="R40" i="6"/>
  <c r="Q40" i="6"/>
  <c r="T39" i="6"/>
  <c r="S39" i="6"/>
  <c r="R39" i="6"/>
  <c r="Q39" i="6"/>
  <c r="T38" i="6"/>
  <c r="S38" i="6"/>
  <c r="R38" i="6"/>
  <c r="Q38" i="6"/>
  <c r="T37" i="6"/>
  <c r="S37" i="6"/>
  <c r="R37" i="6"/>
  <c r="Q37" i="6"/>
  <c r="T36" i="6"/>
  <c r="S36" i="6"/>
  <c r="R36" i="6"/>
  <c r="Q36" i="6"/>
  <c r="T35" i="6"/>
  <c r="S35" i="6"/>
  <c r="R35" i="6"/>
  <c r="Q35" i="6"/>
  <c r="T34" i="6"/>
  <c r="S34" i="6"/>
  <c r="R34" i="6"/>
  <c r="Q34" i="6"/>
  <c r="T33" i="6"/>
  <c r="S33" i="6"/>
  <c r="R33" i="6"/>
  <c r="Q33" i="6"/>
  <c r="T32" i="6"/>
  <c r="S32" i="6"/>
  <c r="R32" i="6"/>
  <c r="Q32" i="6"/>
  <c r="T31" i="6"/>
  <c r="S31" i="6"/>
  <c r="R31" i="6"/>
  <c r="Q31" i="6"/>
  <c r="T30" i="6"/>
  <c r="S30" i="6"/>
  <c r="R30" i="6"/>
  <c r="Q30" i="6"/>
  <c r="T29" i="6"/>
  <c r="S29" i="6"/>
  <c r="R29" i="6"/>
  <c r="Q29" i="6"/>
  <c r="T28" i="6"/>
  <c r="S28" i="6"/>
  <c r="R28" i="6"/>
  <c r="Q28" i="6"/>
  <c r="T27" i="6"/>
  <c r="S27" i="6"/>
  <c r="R27" i="6"/>
  <c r="Q27" i="6"/>
  <c r="T26" i="6"/>
  <c r="S26" i="6"/>
  <c r="R26" i="6"/>
  <c r="Q26" i="6"/>
  <c r="T25" i="6"/>
  <c r="S25" i="6"/>
  <c r="R25" i="6"/>
  <c r="Q25" i="6"/>
  <c r="T24" i="6"/>
  <c r="S24" i="6"/>
  <c r="R24" i="6"/>
  <c r="Q24" i="6"/>
  <c r="T23" i="6"/>
  <c r="S23" i="6"/>
  <c r="R23" i="6"/>
  <c r="Q23" i="6"/>
  <c r="T22" i="6"/>
  <c r="S22" i="6"/>
  <c r="R22" i="6"/>
  <c r="Q22" i="6"/>
  <c r="T21" i="6"/>
  <c r="S21" i="6"/>
  <c r="R21" i="6"/>
  <c r="Q21" i="6"/>
  <c r="T20" i="6"/>
  <c r="S20" i="6"/>
  <c r="R20" i="6"/>
  <c r="Q20" i="6"/>
  <c r="T19" i="6"/>
  <c r="S19" i="6"/>
  <c r="R19" i="6"/>
  <c r="Q19" i="6"/>
  <c r="T18" i="6"/>
  <c r="S18" i="6"/>
  <c r="R18" i="6"/>
  <c r="Q18" i="6"/>
  <c r="T17" i="6"/>
  <c r="S17" i="6"/>
  <c r="R17" i="6"/>
  <c r="Q17" i="6"/>
  <c r="T16" i="6"/>
  <c r="S16" i="6"/>
  <c r="R16" i="6"/>
  <c r="Q16" i="6"/>
  <c r="T15" i="6"/>
  <c r="S15" i="6"/>
  <c r="R15" i="6"/>
  <c r="Q15" i="6"/>
  <c r="T14" i="6"/>
  <c r="S14" i="6"/>
  <c r="R14" i="6"/>
  <c r="Q14" i="6"/>
  <c r="T13" i="6"/>
  <c r="S13" i="6"/>
  <c r="R13" i="6"/>
  <c r="Q13" i="6"/>
  <c r="T12" i="6"/>
  <c r="S12" i="6"/>
  <c r="R12" i="6"/>
  <c r="Q12" i="6"/>
  <c r="T11" i="6"/>
  <c r="S11" i="6"/>
  <c r="R11" i="6"/>
  <c r="Q11" i="6"/>
  <c r="T10" i="6"/>
  <c r="S10" i="6"/>
  <c r="R10" i="6"/>
  <c r="Q10" i="6"/>
  <c r="T9" i="6"/>
  <c r="S9" i="6"/>
  <c r="R9" i="6"/>
  <c r="Q9" i="6"/>
  <c r="T8" i="6"/>
  <c r="S8" i="6"/>
  <c r="R8" i="6"/>
  <c r="Q8" i="6"/>
  <c r="T7" i="6"/>
  <c r="S7" i="6"/>
  <c r="R7" i="6"/>
  <c r="Q7" i="6"/>
  <c r="T6" i="6"/>
  <c r="S6" i="6"/>
  <c r="R6" i="6"/>
  <c r="Q6" i="6"/>
  <c r="T5" i="6"/>
  <c r="S5" i="6"/>
  <c r="R5" i="6"/>
  <c r="Q5" i="6"/>
  <c r="T4" i="6"/>
  <c r="S4" i="6"/>
  <c r="R4" i="6"/>
  <c r="Q4" i="6"/>
  <c r="T3" i="6"/>
  <c r="S3" i="6"/>
  <c r="R3" i="6"/>
  <c r="Q3" i="6"/>
  <c r="T2" i="6"/>
  <c r="S2" i="6"/>
  <c r="R2" i="6"/>
  <c r="Q2" i="6"/>
  <c r="G2" i="6" l="1" a="1"/>
  <c r="G2" i="6" s="1"/>
  <c r="I2" i="6" a="1"/>
  <c r="I2" i="6" s="1"/>
  <c r="E2" i="6" a="1"/>
  <c r="E2" i="6" s="1"/>
  <c r="N3" i="6" l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" i="6"/>
  <c r="B2" i="6"/>
  <c r="C2" i="6" s="1" a="1"/>
  <c r="C2" i="6" s="1"/>
  <c r="O133" i="6" a="1"/>
  <c r="O173" i="6" a="1"/>
  <c r="O109" i="6" a="1"/>
  <c r="O168" i="6" a="1"/>
  <c r="O76" i="6" a="1"/>
  <c r="O45" i="6" a="1"/>
  <c r="O97" i="6" a="1"/>
  <c r="O21" i="6" a="1"/>
  <c r="O13" i="6" a="1"/>
  <c r="O151" i="6" a="1"/>
  <c r="O174" i="6" a="1"/>
  <c r="O198" i="6" a="1"/>
  <c r="O94" i="6" a="1"/>
  <c r="O189" i="6" a="1"/>
  <c r="O87" i="6" a="1"/>
  <c r="O63" i="6" a="1"/>
  <c r="O181" i="6" a="1"/>
  <c r="O82" i="6" a="1"/>
  <c r="O143" i="6" a="1"/>
  <c r="O124" i="6" a="1"/>
  <c r="O165" i="6" a="1"/>
  <c r="O5" i="6" a="1"/>
  <c r="O40" i="6" a="1"/>
  <c r="O126" i="6" a="1"/>
  <c r="O71" i="6" a="1"/>
  <c r="O53" i="6" a="1"/>
  <c r="O16" i="6" a="1"/>
  <c r="O25" i="6" a="1"/>
  <c r="O158" i="6" a="1"/>
  <c r="O39" i="6" a="1"/>
  <c r="O155" i="6" a="1"/>
  <c r="O28" i="6" a="1"/>
  <c r="O65" i="6" a="1"/>
  <c r="O60" i="6" a="1"/>
  <c r="O119" i="6" a="1"/>
  <c r="O135" i="6" a="1"/>
  <c r="O169" i="6" a="1"/>
  <c r="O156" i="6" a="1"/>
  <c r="O103" i="6" a="1"/>
  <c r="O54" i="6" a="1"/>
  <c r="O17" i="6" a="1"/>
  <c r="O80" i="6" a="1"/>
  <c r="O106" i="6" a="1"/>
  <c r="O50" i="6" a="1"/>
  <c r="O200" i="6" a="1"/>
  <c r="O188" i="6" a="1"/>
  <c r="O14" i="6" a="1"/>
  <c r="O149" i="6" a="1"/>
  <c r="O38" i="6" a="1"/>
  <c r="O166" i="6" a="1"/>
  <c r="O172" i="6" a="1"/>
  <c r="O57" i="6" a="1"/>
  <c r="O154" i="6" a="1"/>
  <c r="O134" i="6" a="1"/>
  <c r="O2" i="6" a="1"/>
  <c r="O164" i="6" a="1"/>
  <c r="O37" i="6" a="1"/>
  <c r="O26" i="6" a="1"/>
  <c r="O31" i="6" a="1"/>
  <c r="O127" i="6" a="1"/>
  <c r="O19" i="6" a="1"/>
  <c r="O159" i="6" a="1"/>
  <c r="O51" i="6" a="1"/>
  <c r="O52" i="6" a="1"/>
  <c r="O11" i="6" a="1"/>
  <c r="O47" i="6" a="1"/>
  <c r="O85" i="6" a="1"/>
  <c r="O152" i="6" a="1"/>
  <c r="O176" i="6" a="1"/>
  <c r="O69" i="6" a="1"/>
  <c r="O178" i="6" a="1"/>
  <c r="O62" i="6" a="1"/>
  <c r="O23" i="6" a="1"/>
  <c r="O191" i="6" a="1"/>
  <c r="O30" i="6" a="1"/>
  <c r="O84" i="6" a="1"/>
  <c r="O105" i="6" a="1"/>
  <c r="O132" i="6" a="1"/>
  <c r="O43" i="6" a="1"/>
  <c r="O171" i="6" a="1"/>
  <c r="O131" i="6" a="1"/>
  <c r="O177" i="6" a="1"/>
  <c r="O88" i="6" a="1"/>
  <c r="O49" i="6" a="1"/>
  <c r="O195" i="6" a="1"/>
  <c r="O125" i="6" a="1"/>
  <c r="O196" i="6" a="1"/>
  <c r="O79" i="6" a="1"/>
  <c r="O183" i="6" a="1"/>
  <c r="O162" i="6" a="1"/>
  <c r="O64" i="6" a="1"/>
  <c r="O99" i="6" a="1"/>
  <c r="O144" i="6" a="1"/>
  <c r="O115" i="6" a="1"/>
  <c r="O91" i="6" a="1"/>
  <c r="O136" i="6" a="1"/>
  <c r="O4" i="6" a="1"/>
  <c r="O112" i="6" a="1"/>
  <c r="O175" i="6" a="1"/>
  <c r="O202" i="6" a="1"/>
  <c r="O148" i="6" a="1"/>
  <c r="O42" i="6" a="1"/>
  <c r="O160" i="6" a="1"/>
  <c r="O98" i="6" a="1"/>
  <c r="O27" i="6" a="1"/>
  <c r="O140" i="6" a="1"/>
  <c r="O74" i="6" a="1"/>
  <c r="O157" i="6" a="1"/>
  <c r="O107" i="6" a="1"/>
  <c r="O70" i="6" a="1"/>
  <c r="O68" i="6" a="1"/>
  <c r="O7" i="6" a="1"/>
  <c r="O185" i="6" a="1"/>
  <c r="O56" i="6" a="1"/>
  <c r="O3" i="6" a="1"/>
  <c r="O197" i="6" a="1"/>
  <c r="O114" i="6" a="1"/>
  <c r="O72" i="6" a="1"/>
  <c r="O33" i="6" a="1"/>
  <c r="O35" i="6" a="1"/>
  <c r="O108" i="6" a="1"/>
  <c r="O142" i="6" a="1"/>
  <c r="O179" i="6" a="1"/>
  <c r="O161" i="6" a="1"/>
  <c r="O32" i="6" a="1"/>
  <c r="O78" i="6" a="1"/>
  <c r="O48" i="6" a="1"/>
  <c r="O22" i="6" a="1"/>
  <c r="O86" i="6" a="1"/>
  <c r="O29" i="6" a="1"/>
  <c r="O66" i="6" a="1"/>
  <c r="O104" i="6" a="1"/>
  <c r="O59" i="6" a="1"/>
  <c r="O167" i="6" a="1"/>
  <c r="O117" i="6" a="1"/>
  <c r="O96" i="6" a="1"/>
  <c r="O12" i="6" a="1"/>
  <c r="O123" i="6" a="1"/>
  <c r="O182" i="6" a="1"/>
  <c r="O128" i="6" a="1"/>
  <c r="O116" i="6" a="1"/>
  <c r="O58" i="6" a="1"/>
  <c r="O130" i="6" a="1"/>
  <c r="O193" i="6" a="1"/>
  <c r="O101" i="6" a="1"/>
  <c r="O75" i="6" a="1"/>
  <c r="O170" i="6" a="1"/>
  <c r="O186" i="6" a="1"/>
  <c r="O100" i="6" a="1"/>
  <c r="O15" i="6" a="1"/>
  <c r="O67" i="6" a="1"/>
  <c r="O199" i="6" a="1"/>
  <c r="O192" i="6" a="1"/>
  <c r="O190" i="6" a="1"/>
  <c r="O145" i="6" a="1"/>
  <c r="O92" i="6" a="1"/>
  <c r="O18" i="6" a="1"/>
  <c r="O138" i="6" a="1"/>
  <c r="O46" i="6" a="1"/>
  <c r="O201" i="6" a="1"/>
  <c r="O129" i="6" a="1"/>
  <c r="O187" i="6" a="1"/>
  <c r="O146" i="6" a="1"/>
  <c r="O122" i="6" a="1"/>
  <c r="O113" i="6" a="1"/>
  <c r="O90" i="6" a="1"/>
  <c r="O137" i="6" a="1"/>
  <c r="O36" i="6" a="1"/>
  <c r="O41" i="6" a="1"/>
  <c r="O89" i="6" a="1"/>
  <c r="O150" i="6" a="1"/>
  <c r="O93" i="6" a="1"/>
  <c r="O184" i="6" a="1"/>
  <c r="O83" i="6" a="1"/>
  <c r="O81" i="6" a="1"/>
  <c r="O10" i="6" a="1"/>
  <c r="O194" i="6" a="1"/>
  <c r="O44" i="6" a="1"/>
  <c r="O110" i="6" a="1"/>
  <c r="O73" i="6" a="1"/>
  <c r="O118" i="6" a="1"/>
  <c r="O163" i="6" a="1"/>
  <c r="O77" i="6" a="1"/>
  <c r="O111" i="6" a="1"/>
  <c r="O8" i="6" a="1"/>
  <c r="O120" i="6" a="1"/>
  <c r="O147" i="6" a="1"/>
  <c r="O61" i="6" a="1"/>
  <c r="O139" i="6" a="1"/>
  <c r="O6" i="6" a="1"/>
  <c r="O34" i="6" a="1"/>
  <c r="O153" i="6" a="1"/>
  <c r="O24" i="6" a="1"/>
  <c r="O55" i="6" a="1"/>
  <c r="O95" i="6" a="1"/>
  <c r="O9" i="6" a="1"/>
  <c r="O121" i="6" a="1"/>
  <c r="O20" i="6" a="1"/>
  <c r="O102" i="6" a="1"/>
  <c r="O180" i="6" a="1"/>
  <c r="O141" i="6" a="1"/>
  <c r="O176" i="6" l="1"/>
  <c r="O146" i="6"/>
  <c r="O116" i="6"/>
  <c r="O86" i="6"/>
  <c r="O56" i="6"/>
  <c r="O32" i="6"/>
  <c r="O199" i="6"/>
  <c r="O169" i="6"/>
  <c r="O145" i="6"/>
  <c r="O115" i="6"/>
  <c r="O79" i="6"/>
  <c r="O49" i="6"/>
  <c r="O19" i="6"/>
  <c r="O198" i="6"/>
  <c r="O174" i="6"/>
  <c r="O156" i="6"/>
  <c r="O132" i="6"/>
  <c r="O126" i="6"/>
  <c r="O114" i="6"/>
  <c r="O90" i="6"/>
  <c r="O84" i="6"/>
  <c r="O78" i="6"/>
  <c r="O72" i="6"/>
  <c r="O66" i="6"/>
  <c r="O60" i="6"/>
  <c r="O54" i="6"/>
  <c r="O48" i="6"/>
  <c r="O42" i="6"/>
  <c r="O36" i="6"/>
  <c r="O30" i="6"/>
  <c r="O24" i="6"/>
  <c r="O18" i="6"/>
  <c r="O12" i="6"/>
  <c r="O6" i="6"/>
  <c r="O182" i="6"/>
  <c r="O152" i="6"/>
  <c r="O122" i="6"/>
  <c r="O92" i="6"/>
  <c r="O62" i="6"/>
  <c r="O26" i="6"/>
  <c r="O193" i="6"/>
  <c r="O163" i="6"/>
  <c r="O133" i="6"/>
  <c r="O103" i="6"/>
  <c r="O73" i="6"/>
  <c r="O31" i="6"/>
  <c r="O162" i="6"/>
  <c r="O120" i="6"/>
  <c r="O185" i="6"/>
  <c r="O161" i="6"/>
  <c r="O131" i="6"/>
  <c r="O101" i="6"/>
  <c r="O83" i="6"/>
  <c r="O59" i="6"/>
  <c r="O41" i="6"/>
  <c r="O23" i="6"/>
  <c r="O5" i="6"/>
  <c r="O200" i="6"/>
  <c r="O170" i="6"/>
  <c r="O140" i="6"/>
  <c r="O110" i="6"/>
  <c r="O80" i="6"/>
  <c r="O50" i="6"/>
  <c r="O14" i="6"/>
  <c r="O175" i="6"/>
  <c r="O139" i="6"/>
  <c r="O109" i="6"/>
  <c r="O85" i="6"/>
  <c r="O55" i="6"/>
  <c r="O25" i="6"/>
  <c r="O180" i="6"/>
  <c r="O150" i="6"/>
  <c r="O108" i="6"/>
  <c r="O179" i="6"/>
  <c r="O143" i="6"/>
  <c r="O119" i="6"/>
  <c r="O95" i="6"/>
  <c r="O77" i="6"/>
  <c r="O53" i="6"/>
  <c r="O29" i="6"/>
  <c r="O11" i="6"/>
  <c r="O190" i="6"/>
  <c r="O184" i="6"/>
  <c r="O178" i="6"/>
  <c r="O172" i="6"/>
  <c r="O166" i="6"/>
  <c r="O160" i="6"/>
  <c r="O154" i="6"/>
  <c r="O148" i="6"/>
  <c r="O142" i="6"/>
  <c r="O136" i="6"/>
  <c r="O130" i="6"/>
  <c r="O124" i="6"/>
  <c r="O118" i="6"/>
  <c r="O112" i="6"/>
  <c r="O106" i="6"/>
  <c r="O100" i="6"/>
  <c r="O94" i="6"/>
  <c r="O88" i="6"/>
  <c r="O82" i="6"/>
  <c r="O76" i="6"/>
  <c r="O70" i="6"/>
  <c r="O64" i="6"/>
  <c r="O58" i="6"/>
  <c r="O52" i="6"/>
  <c r="O46" i="6"/>
  <c r="O40" i="6"/>
  <c r="O34" i="6"/>
  <c r="O28" i="6"/>
  <c r="O22" i="6"/>
  <c r="O16" i="6"/>
  <c r="O10" i="6"/>
  <c r="O4" i="6"/>
  <c r="O188" i="6"/>
  <c r="O158" i="6"/>
  <c r="O128" i="6"/>
  <c r="O98" i="6"/>
  <c r="O68" i="6"/>
  <c r="O44" i="6"/>
  <c r="O20" i="6"/>
  <c r="O181" i="6"/>
  <c r="O151" i="6"/>
  <c r="O121" i="6"/>
  <c r="O91" i="6"/>
  <c r="O61" i="6"/>
  <c r="O37" i="6"/>
  <c r="O13" i="6"/>
  <c r="O192" i="6"/>
  <c r="O168" i="6"/>
  <c r="O138" i="6"/>
  <c r="O102" i="6"/>
  <c r="O197" i="6"/>
  <c r="O173" i="6"/>
  <c r="O155" i="6"/>
  <c r="O137" i="6"/>
  <c r="O113" i="6"/>
  <c r="O65" i="6"/>
  <c r="O196" i="6"/>
  <c r="O194" i="6"/>
  <c r="O164" i="6"/>
  <c r="O134" i="6"/>
  <c r="O104" i="6"/>
  <c r="O74" i="6"/>
  <c r="O38" i="6"/>
  <c r="O8" i="6"/>
  <c r="O187" i="6"/>
  <c r="O157" i="6"/>
  <c r="O127" i="6"/>
  <c r="O97" i="6"/>
  <c r="O67" i="6"/>
  <c r="O43" i="6"/>
  <c r="O7" i="6"/>
  <c r="O186" i="6"/>
  <c r="O144" i="6"/>
  <c r="O96" i="6"/>
  <c r="O191" i="6"/>
  <c r="O167" i="6"/>
  <c r="O149" i="6"/>
  <c r="O125" i="6"/>
  <c r="O107" i="6"/>
  <c r="O89" i="6"/>
  <c r="O71" i="6"/>
  <c r="O47" i="6"/>
  <c r="O35" i="6"/>
  <c r="O17" i="6"/>
  <c r="O202" i="6"/>
  <c r="O201" i="6"/>
  <c r="O195" i="6"/>
  <c r="O189" i="6"/>
  <c r="O183" i="6"/>
  <c r="O177" i="6"/>
  <c r="O171" i="6"/>
  <c r="O165" i="6"/>
  <c r="O159" i="6"/>
  <c r="O153" i="6"/>
  <c r="O147" i="6"/>
  <c r="O141" i="6"/>
  <c r="O135" i="6"/>
  <c r="O129" i="6"/>
  <c r="O123" i="6"/>
  <c r="O117" i="6"/>
  <c r="O111" i="6"/>
  <c r="O105" i="6"/>
  <c r="O99" i="6"/>
  <c r="O93" i="6"/>
  <c r="O87" i="6"/>
  <c r="O81" i="6"/>
  <c r="O75" i="6"/>
  <c r="O69" i="6"/>
  <c r="O63" i="6"/>
  <c r="O57" i="6"/>
  <c r="O51" i="6"/>
  <c r="O45" i="6"/>
  <c r="O39" i="6"/>
  <c r="O33" i="6"/>
  <c r="O27" i="6"/>
  <c r="O21" i="6"/>
  <c r="O15" i="6"/>
  <c r="O9" i="6"/>
  <c r="O3" i="6"/>
  <c r="O2" i="6"/>
  <c r="B15" i="6"/>
  <c r="L15" i="6" s="1"/>
  <c r="B16" i="6"/>
  <c r="L16" i="6" s="1"/>
  <c r="B17" i="6"/>
  <c r="L17" i="6" s="1"/>
  <c r="B18" i="6"/>
  <c r="L18" i="6" s="1"/>
  <c r="B19" i="6"/>
  <c r="L19" i="6" s="1"/>
  <c r="B20" i="6"/>
  <c r="B21" i="6"/>
  <c r="B22" i="6"/>
  <c r="B23" i="6"/>
  <c r="B24" i="6"/>
  <c r="B25" i="6"/>
  <c r="B26" i="6"/>
  <c r="B27" i="6"/>
  <c r="L27" i="6" s="1"/>
  <c r="B28" i="6"/>
  <c r="L28" i="6" s="1"/>
  <c r="B29" i="6"/>
  <c r="L29" i="6" s="1"/>
  <c r="B30" i="6"/>
  <c r="L30" i="6" s="1"/>
  <c r="B31" i="6"/>
  <c r="B32" i="6"/>
  <c r="B33" i="6"/>
  <c r="B34" i="6"/>
  <c r="B35" i="6"/>
  <c r="B36" i="6"/>
  <c r="B37" i="6"/>
  <c r="B38" i="6"/>
  <c r="B39" i="6"/>
  <c r="L39" i="6" s="1"/>
  <c r="B40" i="6"/>
  <c r="L40" i="6" s="1"/>
  <c r="B41" i="6"/>
  <c r="L41" i="6" s="1"/>
  <c r="B42" i="6"/>
  <c r="L42" i="6" s="1"/>
  <c r="B43" i="6"/>
  <c r="L43" i="6" s="1"/>
  <c r="B44" i="6"/>
  <c r="B45" i="6"/>
  <c r="B46" i="6"/>
  <c r="B47" i="6"/>
  <c r="B48" i="6"/>
  <c r="B49" i="6"/>
  <c r="B50" i="6"/>
  <c r="B51" i="6"/>
  <c r="L51" i="6" s="1"/>
  <c r="B52" i="6"/>
  <c r="L52" i="6" s="1"/>
  <c r="B53" i="6"/>
  <c r="L53" i="6" s="1"/>
  <c r="B54" i="6"/>
  <c r="L54" i="6" s="1"/>
  <c r="B55" i="6"/>
  <c r="B56" i="6"/>
  <c r="B57" i="6"/>
  <c r="B58" i="6"/>
  <c r="B59" i="6"/>
  <c r="B60" i="6"/>
  <c r="B61" i="6"/>
  <c r="B62" i="6"/>
  <c r="B63" i="6"/>
  <c r="L63" i="6" s="1"/>
  <c r="B64" i="6"/>
  <c r="L64" i="6" s="1"/>
  <c r="B65" i="6"/>
  <c r="L65" i="6" s="1"/>
  <c r="B66" i="6"/>
  <c r="L66" i="6" s="1"/>
  <c r="B67" i="6"/>
  <c r="L67" i="6" s="1"/>
  <c r="B68" i="6"/>
  <c r="B69" i="6"/>
  <c r="B70" i="6"/>
  <c r="B71" i="6"/>
  <c r="B72" i="6"/>
  <c r="B73" i="6"/>
  <c r="B74" i="6"/>
  <c r="B75" i="6"/>
  <c r="L75" i="6" s="1"/>
  <c r="B76" i="6"/>
  <c r="L76" i="6" s="1"/>
  <c r="B77" i="6"/>
  <c r="L77" i="6" s="1"/>
  <c r="B78" i="6"/>
  <c r="L78" i="6" s="1"/>
  <c r="B79" i="6"/>
  <c r="B80" i="6"/>
  <c r="B81" i="6"/>
  <c r="B82" i="6"/>
  <c r="B83" i="6"/>
  <c r="B84" i="6"/>
  <c r="B85" i="6"/>
  <c r="B86" i="6"/>
  <c r="B87" i="6"/>
  <c r="L87" i="6" s="1"/>
  <c r="B88" i="6"/>
  <c r="L88" i="6" s="1"/>
  <c r="B89" i="6"/>
  <c r="L89" i="6" s="1"/>
  <c r="B90" i="6"/>
  <c r="L90" i="6" s="1"/>
  <c r="B91" i="6"/>
  <c r="L91" i="6" s="1"/>
  <c r="B92" i="6"/>
  <c r="B93" i="6"/>
  <c r="B94" i="6"/>
  <c r="B95" i="6"/>
  <c r="B96" i="6"/>
  <c r="B97" i="6"/>
  <c r="B98" i="6"/>
  <c r="B99" i="6"/>
  <c r="L99" i="6" s="1"/>
  <c r="B100" i="6"/>
  <c r="L100" i="6" s="1"/>
  <c r="B101" i="6"/>
  <c r="L101" i="6" s="1"/>
  <c r="B102" i="6"/>
  <c r="L102" i="6" s="1"/>
  <c r="B103" i="6"/>
  <c r="B104" i="6"/>
  <c r="B105" i="6"/>
  <c r="B106" i="6"/>
  <c r="B107" i="6"/>
  <c r="B108" i="6"/>
  <c r="B109" i="6"/>
  <c r="B110" i="6"/>
  <c r="B111" i="6"/>
  <c r="L111" i="6" s="1"/>
  <c r="B112" i="6"/>
  <c r="L112" i="6" s="1"/>
  <c r="B113" i="6"/>
  <c r="L113" i="6" s="1"/>
  <c r="B114" i="6"/>
  <c r="L114" i="6" s="1"/>
  <c r="B115" i="6"/>
  <c r="L115" i="6" s="1"/>
  <c r="B116" i="6"/>
  <c r="B117" i="6"/>
  <c r="B118" i="6"/>
  <c r="B119" i="6"/>
  <c r="B120" i="6"/>
  <c r="B121" i="6"/>
  <c r="B122" i="6"/>
  <c r="B123" i="6"/>
  <c r="L123" i="6" s="1"/>
  <c r="B124" i="6"/>
  <c r="L124" i="6" s="1"/>
  <c r="B125" i="6"/>
  <c r="L125" i="6" s="1"/>
  <c r="B126" i="6"/>
  <c r="L126" i="6" s="1"/>
  <c r="B127" i="6"/>
  <c r="L127" i="6" s="1"/>
  <c r="B128" i="6"/>
  <c r="B129" i="6"/>
  <c r="B130" i="6"/>
  <c r="B131" i="6"/>
  <c r="B132" i="6"/>
  <c r="B133" i="6"/>
  <c r="B134" i="6"/>
  <c r="B135" i="6"/>
  <c r="L135" i="6" s="1"/>
  <c r="B136" i="6"/>
  <c r="L136" i="6" s="1"/>
  <c r="B137" i="6"/>
  <c r="L137" i="6" s="1"/>
  <c r="B138" i="6"/>
  <c r="L138" i="6" s="1"/>
  <c r="B139" i="6"/>
  <c r="L139" i="6" s="1"/>
  <c r="B140" i="6"/>
  <c r="B141" i="6"/>
  <c r="B142" i="6"/>
  <c r="B143" i="6"/>
  <c r="B144" i="6"/>
  <c r="B145" i="6"/>
  <c r="B146" i="6"/>
  <c r="B147" i="6"/>
  <c r="L147" i="6" s="1"/>
  <c r="B148" i="6"/>
  <c r="L148" i="6" s="1"/>
  <c r="B149" i="6"/>
  <c r="L149" i="6" s="1"/>
  <c r="B150" i="6"/>
  <c r="L150" i="6" s="1"/>
  <c r="B151" i="6"/>
  <c r="B152" i="6"/>
  <c r="B153" i="6"/>
  <c r="B154" i="6"/>
  <c r="B155" i="6"/>
  <c r="B156" i="6"/>
  <c r="B157" i="6"/>
  <c r="B158" i="6"/>
  <c r="B159" i="6"/>
  <c r="L159" i="6" s="1"/>
  <c r="B160" i="6"/>
  <c r="L160" i="6" s="1"/>
  <c r="B161" i="6"/>
  <c r="L161" i="6" s="1"/>
  <c r="B162" i="6"/>
  <c r="L162" i="6" s="1"/>
  <c r="B163" i="6"/>
  <c r="L163" i="6" s="1"/>
  <c r="B164" i="6"/>
  <c r="B165" i="6"/>
  <c r="B166" i="6"/>
  <c r="B167" i="6"/>
  <c r="B168" i="6"/>
  <c r="B169" i="6"/>
  <c r="B170" i="6"/>
  <c r="B171" i="6"/>
  <c r="L171" i="6" s="1"/>
  <c r="B172" i="6"/>
  <c r="L172" i="6" s="1"/>
  <c r="B173" i="6"/>
  <c r="L173" i="6" s="1"/>
  <c r="B174" i="6"/>
  <c r="L174" i="6" s="1"/>
  <c r="B175" i="6"/>
  <c r="B176" i="6"/>
  <c r="B177" i="6"/>
  <c r="B178" i="6"/>
  <c r="B179" i="6"/>
  <c r="B180" i="6"/>
  <c r="B181" i="6"/>
  <c r="B182" i="6"/>
  <c r="B183" i="6"/>
  <c r="L183" i="6" s="1"/>
  <c r="B184" i="6"/>
  <c r="L184" i="6" s="1"/>
  <c r="B185" i="6"/>
  <c r="L185" i="6" s="1"/>
  <c r="B186" i="6"/>
  <c r="L186" i="6" s="1"/>
  <c r="B187" i="6"/>
  <c r="B188" i="6"/>
  <c r="B189" i="6"/>
  <c r="B190" i="6"/>
  <c r="B191" i="6"/>
  <c r="B192" i="6"/>
  <c r="B193" i="6"/>
  <c r="B194" i="6"/>
  <c r="B195" i="6"/>
  <c r="L195" i="6" s="1"/>
  <c r="B196" i="6"/>
  <c r="L196" i="6" s="1"/>
  <c r="B197" i="6"/>
  <c r="L197" i="6" s="1"/>
  <c r="B198" i="6"/>
  <c r="L198" i="6" s="1"/>
  <c r="B199" i="6"/>
  <c r="L199" i="6" s="1"/>
  <c r="B200" i="6"/>
  <c r="B201" i="6"/>
  <c r="B202" i="6"/>
  <c r="B3" i="6"/>
  <c r="B4" i="6"/>
  <c r="B5" i="6"/>
  <c r="B6" i="6"/>
  <c r="B7" i="6"/>
  <c r="L7" i="6" s="1"/>
  <c r="B8" i="6"/>
  <c r="L8" i="6" s="1"/>
  <c r="B9" i="6"/>
  <c r="L9" i="6" s="1"/>
  <c r="B10" i="6"/>
  <c r="B11" i="6"/>
  <c r="B12" i="6"/>
  <c r="B13" i="6"/>
  <c r="B14" i="6"/>
  <c r="L2" i="6"/>
  <c r="V172" i="6" l="1"/>
  <c r="W172" i="6"/>
  <c r="X172" i="6"/>
  <c r="X2" i="6"/>
  <c r="W2" i="6"/>
  <c r="V2" i="6"/>
  <c r="V171" i="6"/>
  <c r="W171" i="6"/>
  <c r="X171" i="6"/>
  <c r="V163" i="6"/>
  <c r="W163" i="6"/>
  <c r="X163" i="6"/>
  <c r="V162" i="6"/>
  <c r="W162" i="6"/>
  <c r="X162" i="6"/>
  <c r="M163" i="6"/>
  <c r="M171" i="6"/>
  <c r="M162" i="6"/>
  <c r="M172" i="6"/>
  <c r="L37" i="6"/>
  <c r="L25" i="6"/>
  <c r="L5" i="6"/>
  <c r="L61" i="6"/>
  <c r="L4" i="6"/>
  <c r="L192" i="6"/>
  <c r="L180" i="6"/>
  <c r="L168" i="6"/>
  <c r="L156" i="6"/>
  <c r="L144" i="6"/>
  <c r="L132" i="6"/>
  <c r="L120" i="6"/>
  <c r="L108" i="6"/>
  <c r="L96" i="6"/>
  <c r="L84" i="6"/>
  <c r="L72" i="6"/>
  <c r="L60" i="6"/>
  <c r="L48" i="6"/>
  <c r="L36" i="6"/>
  <c r="L24" i="6"/>
  <c r="L3" i="6"/>
  <c r="L191" i="6"/>
  <c r="L179" i="6"/>
  <c r="L167" i="6"/>
  <c r="L155" i="6"/>
  <c r="L143" i="6"/>
  <c r="L131" i="6"/>
  <c r="L119" i="6"/>
  <c r="L107" i="6"/>
  <c r="L95" i="6"/>
  <c r="L83" i="6"/>
  <c r="L71" i="6"/>
  <c r="L59" i="6"/>
  <c r="L47" i="6"/>
  <c r="L35" i="6"/>
  <c r="L23" i="6"/>
  <c r="L14" i="6"/>
  <c r="L202" i="6"/>
  <c r="L190" i="6"/>
  <c r="L178" i="6"/>
  <c r="L166" i="6"/>
  <c r="L154" i="6"/>
  <c r="L142" i="6"/>
  <c r="L130" i="6"/>
  <c r="L118" i="6"/>
  <c r="L106" i="6"/>
  <c r="L94" i="6"/>
  <c r="L82" i="6"/>
  <c r="L70" i="6"/>
  <c r="L58" i="6"/>
  <c r="L46" i="6"/>
  <c r="L34" i="6"/>
  <c r="L22" i="6"/>
  <c r="L157" i="6"/>
  <c r="L121" i="6"/>
  <c r="L189" i="6"/>
  <c r="L177" i="6"/>
  <c r="L141" i="6"/>
  <c r="L129" i="6"/>
  <c r="L117" i="6"/>
  <c r="L105" i="6"/>
  <c r="L93" i="6"/>
  <c r="L81" i="6"/>
  <c r="L69" i="6"/>
  <c r="L57" i="6"/>
  <c r="L45" i="6"/>
  <c r="L33" i="6"/>
  <c r="L21" i="6"/>
  <c r="L12" i="6"/>
  <c r="L200" i="6"/>
  <c r="L188" i="6"/>
  <c r="L176" i="6"/>
  <c r="L164" i="6"/>
  <c r="L152" i="6"/>
  <c r="L140" i="6"/>
  <c r="L128" i="6"/>
  <c r="L116" i="6"/>
  <c r="L104" i="6"/>
  <c r="L92" i="6"/>
  <c r="L80" i="6"/>
  <c r="L68" i="6"/>
  <c r="L56" i="6"/>
  <c r="L44" i="6"/>
  <c r="L32" i="6"/>
  <c r="L20" i="6"/>
  <c r="L11" i="6"/>
  <c r="L187" i="6"/>
  <c r="L175" i="6"/>
  <c r="L151" i="6"/>
  <c r="L103" i="6"/>
  <c r="L79" i="6"/>
  <c r="L55" i="6"/>
  <c r="L31" i="6"/>
  <c r="L145" i="6"/>
  <c r="L133" i="6"/>
  <c r="L49" i="6"/>
  <c r="L201" i="6"/>
  <c r="L193" i="6"/>
  <c r="L73" i="6"/>
  <c r="L165" i="6"/>
  <c r="L10" i="6"/>
  <c r="L169" i="6"/>
  <c r="L109" i="6"/>
  <c r="L153" i="6"/>
  <c r="L181" i="6"/>
  <c r="L97" i="6"/>
  <c r="L13" i="6"/>
  <c r="L85" i="6"/>
  <c r="L6" i="6"/>
  <c r="L194" i="6"/>
  <c r="L182" i="6"/>
  <c r="L170" i="6"/>
  <c r="L158" i="6"/>
  <c r="L146" i="6"/>
  <c r="L134" i="6"/>
  <c r="L122" i="6"/>
  <c r="L110" i="6"/>
  <c r="L98" i="6"/>
  <c r="L86" i="6"/>
  <c r="L74" i="6"/>
  <c r="L62" i="6"/>
  <c r="L50" i="6"/>
  <c r="L38" i="6"/>
  <c r="L26" i="6"/>
  <c r="H2" i="12" a="1"/>
  <c r="X165" i="6" l="1"/>
  <c r="W165" i="6"/>
  <c r="V165" i="6"/>
  <c r="V164" i="6"/>
  <c r="W164" i="6"/>
  <c r="X164" i="6"/>
  <c r="V166" i="6"/>
  <c r="W166" i="6"/>
  <c r="X166" i="6"/>
  <c r="V170" i="6"/>
  <c r="W170" i="6"/>
  <c r="X170" i="6"/>
  <c r="V168" i="6"/>
  <c r="W168" i="6"/>
  <c r="X168" i="6"/>
  <c r="V167" i="6"/>
  <c r="W167" i="6"/>
  <c r="X167" i="6"/>
  <c r="V169" i="6"/>
  <c r="X169" i="6"/>
  <c r="W169" i="6"/>
  <c r="G162" i="6" a="1"/>
  <c r="G162" i="6" s="1"/>
  <c r="I162" i="6" a="1"/>
  <c r="I162" i="6" s="1"/>
  <c r="E162" i="6" a="1"/>
  <c r="E162" i="6" s="1"/>
  <c r="C162" i="6" a="1"/>
  <c r="C162" i="6" s="1"/>
  <c r="I172" i="6" a="1"/>
  <c r="I172" i="6" s="1"/>
  <c r="G172" i="6" a="1"/>
  <c r="G172" i="6" s="1"/>
  <c r="C172" i="6" a="1"/>
  <c r="C172" i="6" s="1"/>
  <c r="E172" i="6" a="1"/>
  <c r="E172" i="6" s="1"/>
  <c r="I171" i="6" a="1"/>
  <c r="I171" i="6" s="1"/>
  <c r="G171" i="6" a="1"/>
  <c r="G171" i="6" s="1"/>
  <c r="E171" i="6" a="1"/>
  <c r="E171" i="6" s="1"/>
  <c r="C171" i="6" a="1"/>
  <c r="C171" i="6" s="1"/>
  <c r="G163" i="6" a="1"/>
  <c r="G163" i="6" s="1"/>
  <c r="E163" i="6" a="1"/>
  <c r="E163" i="6" s="1"/>
  <c r="C163" i="6" a="1"/>
  <c r="C163" i="6" s="1"/>
  <c r="I163" i="6" a="1"/>
  <c r="I163" i="6" s="1"/>
  <c r="M170" i="6"/>
  <c r="M164" i="6"/>
  <c r="M166" i="6"/>
  <c r="M165" i="6"/>
  <c r="M3" i="6"/>
  <c r="M169" i="6"/>
  <c r="M167" i="6"/>
  <c r="M168" i="6"/>
  <c r="H2" i="12"/>
  <c r="I2" i="12" a="1"/>
  <c r="E168" i="6" l="1" a="1"/>
  <c r="E168" i="6" s="1"/>
  <c r="I168" i="6" a="1"/>
  <c r="I168" i="6" s="1"/>
  <c r="G168" i="6" a="1"/>
  <c r="G168" i="6" s="1"/>
  <c r="C168" i="6" a="1"/>
  <c r="C168" i="6" s="1"/>
  <c r="C3" i="6" a="1"/>
  <c r="C3" i="6" s="1"/>
  <c r="I3" i="6" a="1"/>
  <c r="I3" i="6" s="1"/>
  <c r="G3" i="6" a="1"/>
  <c r="G3" i="6" s="1"/>
  <c r="E165" i="6" a="1"/>
  <c r="E165" i="6" s="1"/>
  <c r="I165" i="6" a="1"/>
  <c r="I165" i="6" s="1"/>
  <c r="G165" i="6" a="1"/>
  <c r="G165" i="6" s="1"/>
  <c r="C165" i="6" a="1"/>
  <c r="C165" i="6" s="1"/>
  <c r="I166" i="6" a="1"/>
  <c r="I166" i="6" s="1"/>
  <c r="C166" i="6" a="1"/>
  <c r="C166" i="6" s="1"/>
  <c r="E166" i="6" a="1"/>
  <c r="E166" i="6" s="1"/>
  <c r="G166" i="6" a="1"/>
  <c r="G166" i="6" s="1"/>
  <c r="C167" i="6" a="1"/>
  <c r="C167" i="6" s="1"/>
  <c r="I167" i="6" a="1"/>
  <c r="I167" i="6" s="1"/>
  <c r="G167" i="6" a="1"/>
  <c r="G167" i="6" s="1"/>
  <c r="E167" i="6" a="1"/>
  <c r="E167" i="6" s="1"/>
  <c r="E169" i="6" a="1"/>
  <c r="E169" i="6" s="1"/>
  <c r="I169" i="6" a="1"/>
  <c r="I169" i="6" s="1"/>
  <c r="G169" i="6" a="1"/>
  <c r="G169" i="6" s="1"/>
  <c r="C169" i="6" a="1"/>
  <c r="C169" i="6" s="1"/>
  <c r="E164" i="6" a="1"/>
  <c r="E164" i="6" s="1"/>
  <c r="I164" i="6" a="1"/>
  <c r="I164" i="6" s="1"/>
  <c r="G164" i="6" a="1"/>
  <c r="G164" i="6" s="1"/>
  <c r="C164" i="6" a="1"/>
  <c r="C164" i="6" s="1"/>
  <c r="I170" i="6" a="1"/>
  <c r="I170" i="6" s="1"/>
  <c r="G170" i="6" a="1"/>
  <c r="G170" i="6" s="1"/>
  <c r="E170" i="6" a="1"/>
  <c r="E170" i="6" s="1"/>
  <c r="C170" i="6" a="1"/>
  <c r="C170" i="6" s="1"/>
  <c r="M4" i="6"/>
  <c r="I2" i="12"/>
  <c r="E4" i="12"/>
  <c r="X2" i="12" a="1"/>
  <c r="AC2" i="12" a="1"/>
  <c r="AK2" i="12" a="1"/>
  <c r="AO2" i="12" a="1"/>
  <c r="AJ2" i="12" a="1"/>
  <c r="K2" i="12" a="1"/>
  <c r="N2" i="12" a="1"/>
  <c r="U2" i="12" a="1"/>
  <c r="J2" i="12" a="1"/>
  <c r="T2" i="12" a="1"/>
  <c r="AA2" i="12" a="1"/>
  <c r="AF2" i="12" a="1"/>
  <c r="L2" i="12" a="1"/>
  <c r="AQ2" i="12" a="1"/>
  <c r="AH2" i="12" a="1"/>
  <c r="AN2" i="12" a="1"/>
  <c r="R2" i="12" a="1"/>
  <c r="M2" i="12" a="1"/>
  <c r="P2" i="12" a="1"/>
  <c r="AB2" i="12" a="1"/>
  <c r="Q2" i="12" a="1"/>
  <c r="AM2" i="12" a="1"/>
  <c r="AI2" i="12" a="1"/>
  <c r="AD2" i="12" a="1"/>
  <c r="AL2" i="12" a="1"/>
  <c r="W2" i="12" a="1"/>
  <c r="AP2" i="12" a="1"/>
  <c r="Y2" i="12" a="1"/>
  <c r="Z2" i="12" a="1"/>
  <c r="O2" i="12" a="1"/>
  <c r="V2" i="12" a="1"/>
  <c r="AG2" i="12" a="1"/>
  <c r="AE2" i="12" a="1"/>
  <c r="S2" i="12" a="1"/>
  <c r="W3" i="6" l="1"/>
  <c r="X3" i="6"/>
  <c r="I4" i="6" a="1"/>
  <c r="I4" i="6" s="1"/>
  <c r="G4" i="6" a="1"/>
  <c r="G4" i="6" s="1"/>
  <c r="E4" i="6" a="1"/>
  <c r="E4" i="6" s="1"/>
  <c r="C4" i="6" a="1"/>
  <c r="C4" i="6" s="1"/>
  <c r="M5" i="6"/>
  <c r="O2" i="12"/>
  <c r="AD2" i="12"/>
  <c r="AN2" i="12"/>
  <c r="AH2" i="12"/>
  <c r="AB2" i="12"/>
  <c r="AM2" i="12"/>
  <c r="AG2" i="12"/>
  <c r="AA2" i="12"/>
  <c r="U2" i="12"/>
  <c r="AO2" i="12"/>
  <c r="Z2" i="12"/>
  <c r="T2" i="12"/>
  <c r="N2" i="12"/>
  <c r="AP2" i="12"/>
  <c r="AI2" i="12"/>
  <c r="AF2" i="12"/>
  <c r="M2" i="12"/>
  <c r="AC2" i="12"/>
  <c r="AL2" i="12"/>
  <c r="AQ2" i="12"/>
  <c r="AK2" i="12"/>
  <c r="AE2" i="12"/>
  <c r="Y2" i="12"/>
  <c r="S2" i="12"/>
  <c r="AJ2" i="12"/>
  <c r="X2" i="12"/>
  <c r="L2" i="12"/>
  <c r="R2" i="12"/>
  <c r="W2" i="12"/>
  <c r="K2" i="12"/>
  <c r="Q2" i="12"/>
  <c r="V2" i="12"/>
  <c r="J2" i="12"/>
  <c r="P2" i="12"/>
  <c r="V4" i="6" l="1"/>
  <c r="W4" i="6"/>
  <c r="X4" i="6"/>
  <c r="G5" i="6" a="1"/>
  <c r="G5" i="6" s="1"/>
  <c r="I5" i="6" a="1"/>
  <c r="I5" i="6" s="1"/>
  <c r="C5" i="6" a="1"/>
  <c r="C5" i="6" s="1"/>
  <c r="M6" i="6"/>
  <c r="E5" i="12"/>
  <c r="W5" i="6" l="1"/>
  <c r="X5" i="6"/>
  <c r="C6" i="6" a="1"/>
  <c r="C6" i="6" s="1"/>
  <c r="I6" i="6" a="1"/>
  <c r="I6" i="6" s="1"/>
  <c r="M7" i="6"/>
  <c r="M8" i="6" s="1"/>
  <c r="E6" i="12"/>
  <c r="X6" i="6" l="1"/>
  <c r="C8" i="6" a="1"/>
  <c r="C8" i="6" s="1"/>
  <c r="I7" i="6" a="1"/>
  <c r="I7" i="6" s="1"/>
  <c r="C7" i="6" a="1"/>
  <c r="C7" i="6" s="1"/>
  <c r="M9" i="6"/>
  <c r="E7" i="12"/>
  <c r="X7" i="6" l="1"/>
  <c r="C9" i="6" a="1"/>
  <c r="C9" i="6" s="1"/>
  <c r="I9" i="6" a="1"/>
  <c r="I9" i="6" s="1"/>
  <c r="G9" i="6" a="1"/>
  <c r="G9" i="6" s="1"/>
  <c r="E9" i="6" a="1"/>
  <c r="E9" i="6" s="1"/>
  <c r="M10" i="6"/>
  <c r="E8" i="12"/>
  <c r="W9" i="6" l="1"/>
  <c r="X9" i="6"/>
  <c r="V9" i="6"/>
  <c r="E10" i="6" a="1"/>
  <c r="E10" i="6" s="1"/>
  <c r="I10" i="6" a="1"/>
  <c r="I10" i="6" s="1"/>
  <c r="C10" i="6" a="1"/>
  <c r="C10" i="6" s="1"/>
  <c r="M11" i="6"/>
  <c r="E9" i="12"/>
  <c r="V10" i="6" l="1"/>
  <c r="X10" i="6"/>
  <c r="C11" i="6" a="1"/>
  <c r="C11" i="6" s="1"/>
  <c r="I11" i="6" a="1"/>
  <c r="I11" i="6" s="1"/>
  <c r="M12" i="6"/>
  <c r="M13" i="6" s="1"/>
  <c r="E10" i="12"/>
  <c r="X11" i="6" l="1"/>
  <c r="C13" i="6" a="1"/>
  <c r="C13" i="6" s="1"/>
  <c r="I12" i="6" a="1"/>
  <c r="I12" i="6" s="1"/>
  <c r="C12" i="6" a="1"/>
  <c r="C12" i="6" s="1"/>
  <c r="I8" i="6" a="1"/>
  <c r="I8" i="6" s="1"/>
  <c r="X8" i="6" s="1"/>
  <c r="M14" i="6"/>
  <c r="E11" i="12"/>
  <c r="X12" i="6" l="1"/>
  <c r="C14" i="6" a="1"/>
  <c r="C14" i="6" s="1"/>
  <c r="M15" i="6"/>
  <c r="E12" i="12"/>
  <c r="C15" i="6" l="1" a="1"/>
  <c r="C15" i="6" s="1"/>
  <c r="I15" i="6" a="1"/>
  <c r="I15" i="6" s="1"/>
  <c r="M16" i="6"/>
  <c r="E13" i="12"/>
  <c r="X15" i="6" l="1"/>
  <c r="I16" i="6" a="1"/>
  <c r="I16" i="6" s="1"/>
  <c r="C16" i="6" a="1"/>
  <c r="C16" i="6" s="1"/>
  <c r="M17" i="6"/>
  <c r="E14" i="12"/>
  <c r="X16" i="6" l="1"/>
  <c r="I17" i="6" a="1"/>
  <c r="I17" i="6" s="1"/>
  <c r="C17" i="6" a="1"/>
  <c r="C17" i="6" s="1"/>
  <c r="M18" i="6"/>
  <c r="E15" i="12"/>
  <c r="X17" i="6" l="1"/>
  <c r="C18" i="6" a="1"/>
  <c r="C18" i="6" s="1"/>
  <c r="E18" i="6" a="1"/>
  <c r="E18" i="6" s="1"/>
  <c r="M19" i="6"/>
  <c r="E16" i="12"/>
  <c r="V18" i="6" l="1"/>
  <c r="G19" i="6" a="1"/>
  <c r="G19" i="6" s="1"/>
  <c r="C19" i="6" a="1"/>
  <c r="C19" i="6" s="1"/>
  <c r="I19" i="6" a="1"/>
  <c r="I19" i="6" s="1"/>
  <c r="M20" i="6"/>
  <c r="E17" i="12"/>
  <c r="X19" i="6" l="1"/>
  <c r="W19" i="6"/>
  <c r="E20" i="6" a="1"/>
  <c r="E20" i="6" s="1"/>
  <c r="C20" i="6" a="1"/>
  <c r="C20" i="6" s="1"/>
  <c r="G20" i="6" a="1"/>
  <c r="G20" i="6" s="1"/>
  <c r="I20" i="6" a="1"/>
  <c r="I20" i="6" s="1"/>
  <c r="M21" i="6"/>
  <c r="E18" i="12"/>
  <c r="V20" i="6" l="1"/>
  <c r="W20" i="6"/>
  <c r="X20" i="6"/>
  <c r="C21" i="6" a="1"/>
  <c r="C21" i="6" s="1"/>
  <c r="I21" i="6" a="1"/>
  <c r="I21" i="6" s="1"/>
  <c r="G21" i="6" a="1"/>
  <c r="G21" i="6" s="1"/>
  <c r="E21" i="6" a="1"/>
  <c r="E21" i="6" s="1"/>
  <c r="M22" i="6"/>
  <c r="E19" i="12"/>
  <c r="W21" i="6" l="1"/>
  <c r="X21" i="6"/>
  <c r="V21" i="6"/>
  <c r="I22" i="6" a="1"/>
  <c r="I22" i="6" s="1"/>
  <c r="C22" i="6" a="1"/>
  <c r="C22" i="6" s="1"/>
  <c r="M23" i="6"/>
  <c r="E20" i="12"/>
  <c r="X22" i="6" l="1"/>
  <c r="I23" i="6" a="1"/>
  <c r="I23" i="6" s="1"/>
  <c r="C23" i="6" a="1"/>
  <c r="C23" i="6" s="1"/>
  <c r="M24" i="6"/>
  <c r="E21" i="12"/>
  <c r="X23" i="6" l="1"/>
  <c r="I24" i="6" a="1"/>
  <c r="I24" i="6" s="1"/>
  <c r="C24" i="6" a="1"/>
  <c r="C24" i="6" s="1"/>
  <c r="M25" i="6"/>
  <c r="E22" i="12"/>
  <c r="X24" i="6" l="1"/>
  <c r="I25" i="6" a="1"/>
  <c r="I25" i="6" s="1"/>
  <c r="C25" i="6" a="1"/>
  <c r="C25" i="6" s="1"/>
  <c r="M26" i="6"/>
  <c r="E23" i="12"/>
  <c r="X25" i="6" l="1"/>
  <c r="I26" i="6" a="1"/>
  <c r="I26" i="6" s="1"/>
  <c r="C26" i="6" a="1"/>
  <c r="C26" i="6" s="1"/>
  <c r="E26" i="6" a="1"/>
  <c r="E26" i="6" s="1"/>
  <c r="M27" i="6"/>
  <c r="E24" i="12"/>
  <c r="V26" i="6" l="1"/>
  <c r="X26" i="6"/>
  <c r="C27" i="6" a="1"/>
  <c r="C27" i="6" s="1"/>
  <c r="I27" i="6" a="1"/>
  <c r="I27" i="6" s="1"/>
  <c r="E16" i="6" a="1"/>
  <c r="E16" i="6" s="1"/>
  <c r="V16" i="6" s="1"/>
  <c r="I18" i="6" a="1"/>
  <c r="I18" i="6" s="1"/>
  <c r="X18" i="6" s="1"/>
  <c r="M28" i="6"/>
  <c r="E25" i="12"/>
  <c r="X27" i="6" l="1"/>
  <c r="C28" i="6" a="1"/>
  <c r="C28" i="6" s="1"/>
  <c r="M29" i="6"/>
  <c r="E26" i="12"/>
  <c r="G29" i="6" l="1" a="1"/>
  <c r="G29" i="6" s="1"/>
  <c r="C29" i="6" a="1"/>
  <c r="C29" i="6" s="1"/>
  <c r="G17" i="6" a="1"/>
  <c r="G17" i="6" s="1"/>
  <c r="W17" i="6" s="1"/>
  <c r="E27" i="6" a="1"/>
  <c r="E27" i="6" s="1"/>
  <c r="V27" i="6" s="1"/>
  <c r="M30" i="6"/>
  <c r="E27" i="12"/>
  <c r="W29" i="6" l="1"/>
  <c r="C30" i="6" a="1"/>
  <c r="C30" i="6" s="1"/>
  <c r="E12" i="6" a="1"/>
  <c r="E12" i="6" s="1"/>
  <c r="V12" i="6" s="1"/>
  <c r="M31" i="6"/>
  <c r="E28" i="12"/>
  <c r="G31" i="6" l="1" a="1"/>
  <c r="G31" i="6" s="1"/>
  <c r="I31" i="6" a="1"/>
  <c r="I31" i="6" s="1"/>
  <c r="C31" i="6" a="1"/>
  <c r="C31" i="6" s="1"/>
  <c r="G15" i="6" a="1"/>
  <c r="G15" i="6" s="1"/>
  <c r="W15" i="6" s="1"/>
  <c r="M32" i="6"/>
  <c r="E29" i="12"/>
  <c r="W31" i="6" l="1"/>
  <c r="X31" i="6"/>
  <c r="I32" i="6" a="1"/>
  <c r="I32" i="6" s="1"/>
  <c r="C32" i="6" a="1"/>
  <c r="C32" i="6" s="1"/>
  <c r="M33" i="6"/>
  <c r="E30" i="12"/>
  <c r="X32" i="6" l="1"/>
  <c r="C33" i="6" a="1"/>
  <c r="C33" i="6" s="1"/>
  <c r="I33" i="6" a="1"/>
  <c r="I33" i="6" s="1"/>
  <c r="G33" i="6" a="1"/>
  <c r="G33" i="6" s="1"/>
  <c r="E33" i="6" a="1"/>
  <c r="E33" i="6" s="1"/>
  <c r="G28" i="6" a="1"/>
  <c r="G28" i="6" s="1"/>
  <c r="W28" i="6" s="1"/>
  <c r="E28" i="6" a="1"/>
  <c r="E28" i="6" s="1"/>
  <c r="V28" i="6" s="1"/>
  <c r="M34" i="6"/>
  <c r="E31" i="12"/>
  <c r="V33" i="6" l="1"/>
  <c r="X33" i="6"/>
  <c r="W33" i="6"/>
  <c r="I34" i="6" a="1"/>
  <c r="I34" i="6" s="1"/>
  <c r="C34" i="6" a="1"/>
  <c r="C34" i="6" s="1"/>
  <c r="G34" i="6" a="1"/>
  <c r="G34" i="6" s="1"/>
  <c r="E34" i="6" a="1"/>
  <c r="E34" i="6" s="1"/>
  <c r="E5" i="6" a="1"/>
  <c r="E5" i="6" s="1"/>
  <c r="V5" i="6" s="1"/>
  <c r="M35" i="6"/>
  <c r="E32" i="12"/>
  <c r="V34" i="6" l="1"/>
  <c r="W34" i="6"/>
  <c r="X34" i="6"/>
  <c r="G35" i="6" a="1"/>
  <c r="G35" i="6" s="1"/>
  <c r="C35" i="6" a="1"/>
  <c r="C35" i="6" s="1"/>
  <c r="M36" i="6"/>
  <c r="E33" i="12"/>
  <c r="W35" i="6" l="1"/>
  <c r="C36" i="6" a="1"/>
  <c r="C36" i="6" s="1"/>
  <c r="G36" i="6" a="1"/>
  <c r="G36" i="6" s="1"/>
  <c r="M37" i="6"/>
  <c r="E34" i="12"/>
  <c r="W36" i="6" l="1"/>
  <c r="C37" i="6" a="1"/>
  <c r="C37" i="6" s="1"/>
  <c r="M38" i="6"/>
  <c r="E35" i="12"/>
  <c r="I38" i="6" l="1" a="1"/>
  <c r="I38" i="6" s="1"/>
  <c r="G38" i="6" a="1"/>
  <c r="G38" i="6" s="1"/>
  <c r="C38" i="6" a="1"/>
  <c r="C38" i="6" s="1"/>
  <c r="I35" i="6" a="1"/>
  <c r="I35" i="6" s="1"/>
  <c r="X35" i="6" s="1"/>
  <c r="M39" i="6"/>
  <c r="E36" i="12"/>
  <c r="W38" i="6" l="1"/>
  <c r="X38" i="6"/>
  <c r="C39" i="6" a="1"/>
  <c r="C39" i="6" s="1"/>
  <c r="G39" i="6" a="1"/>
  <c r="G39" i="6" s="1"/>
  <c r="E39" i="6" a="1"/>
  <c r="E39" i="6" s="1"/>
  <c r="G37" i="6" a="1"/>
  <c r="G37" i="6" s="1"/>
  <c r="W37" i="6" s="1"/>
  <c r="M40" i="6"/>
  <c r="E37" i="12"/>
  <c r="V39" i="6" l="1"/>
  <c r="W39" i="6"/>
  <c r="G40" i="6" a="1"/>
  <c r="G40" i="6" s="1"/>
  <c r="E40" i="6" a="1"/>
  <c r="E40" i="6" s="1"/>
  <c r="C40" i="6" a="1"/>
  <c r="C40" i="6" s="1"/>
  <c r="M41" i="6"/>
  <c r="E38" i="12"/>
  <c r="W40" i="6" l="1"/>
  <c r="V40" i="6"/>
  <c r="G41" i="6" a="1"/>
  <c r="G41" i="6" s="1"/>
  <c r="I41" i="6" a="1"/>
  <c r="I41" i="6" s="1"/>
  <c r="C41" i="6" a="1"/>
  <c r="C41" i="6" s="1"/>
  <c r="E41" i="6" a="1"/>
  <c r="E41" i="6" s="1"/>
  <c r="M42" i="6"/>
  <c r="E39" i="12"/>
  <c r="X41" i="6" l="1"/>
  <c r="V41" i="6"/>
  <c r="W41" i="6"/>
  <c r="G42" i="6" a="1"/>
  <c r="G42" i="6" s="1"/>
  <c r="C42" i="6" a="1"/>
  <c r="C42" i="6" s="1"/>
  <c r="I42" i="6" a="1"/>
  <c r="I42" i="6" s="1"/>
  <c r="E7" i="6" a="1"/>
  <c r="E7" i="6" s="1"/>
  <c r="V7" i="6" s="1"/>
  <c r="M43" i="6"/>
  <c r="E40" i="12"/>
  <c r="X42" i="6" l="1"/>
  <c r="W42" i="6"/>
  <c r="G43" i="6" a="1"/>
  <c r="G43" i="6" s="1"/>
  <c r="C43" i="6" a="1"/>
  <c r="C43" i="6" s="1"/>
  <c r="G12" i="6" a="1"/>
  <c r="G12" i="6" s="1"/>
  <c r="W12" i="6" s="1"/>
  <c r="M44" i="6"/>
  <c r="E41" i="12"/>
  <c r="W43" i="6" l="1"/>
  <c r="I44" i="6" a="1"/>
  <c r="I44" i="6" s="1"/>
  <c r="E44" i="6" a="1"/>
  <c r="E44" i="6" s="1"/>
  <c r="C44" i="6" a="1"/>
  <c r="C44" i="6" s="1"/>
  <c r="M45" i="6"/>
  <c r="E42" i="12"/>
  <c r="V44" i="6" l="1"/>
  <c r="X44" i="6"/>
  <c r="C45" i="6" a="1"/>
  <c r="C45" i="6" s="1"/>
  <c r="E45" i="6" a="1"/>
  <c r="E45" i="6" s="1"/>
  <c r="I45" i="6" a="1"/>
  <c r="I45" i="6" s="1"/>
  <c r="G45" i="6" a="1"/>
  <c r="G45" i="6" s="1"/>
  <c r="E8" i="6" a="1"/>
  <c r="E8" i="6" s="1"/>
  <c r="V8" i="6" s="1"/>
  <c r="G30" i="6" a="1"/>
  <c r="G30" i="6" s="1"/>
  <c r="W30" i="6" s="1"/>
  <c r="M46" i="6"/>
  <c r="E43" i="12"/>
  <c r="X45" i="6" l="1"/>
  <c r="V45" i="6"/>
  <c r="W45" i="6"/>
  <c r="I46" i="6" a="1"/>
  <c r="I46" i="6" s="1"/>
  <c r="C46" i="6" a="1"/>
  <c r="C46" i="6" s="1"/>
  <c r="G46" i="6" a="1"/>
  <c r="G46" i="6" s="1"/>
  <c r="E46" i="6" a="1"/>
  <c r="E46" i="6" s="1"/>
  <c r="I28" i="6" a="1"/>
  <c r="I28" i="6" s="1"/>
  <c r="X28" i="6" s="1"/>
  <c r="G32" i="6" a="1"/>
  <c r="G32" i="6" s="1"/>
  <c r="W32" i="6" s="1"/>
  <c r="E32" i="6" a="1"/>
  <c r="E32" i="6" s="1"/>
  <c r="V32" i="6" s="1"/>
  <c r="M47" i="6"/>
  <c r="E44" i="12"/>
  <c r="V46" i="6" l="1"/>
  <c r="X46" i="6"/>
  <c r="W46" i="6"/>
  <c r="G47" i="6" a="1"/>
  <c r="G47" i="6" s="1"/>
  <c r="E47" i="6" a="1"/>
  <c r="E47" i="6" s="1"/>
  <c r="I47" i="6" a="1"/>
  <c r="I47" i="6" s="1"/>
  <c r="C47" i="6" a="1"/>
  <c r="C47" i="6" s="1"/>
  <c r="I30" i="6" a="1"/>
  <c r="I30" i="6" s="1"/>
  <c r="X30" i="6" s="1"/>
  <c r="E43" i="6" a="1"/>
  <c r="E43" i="6" s="1"/>
  <c r="V43" i="6" s="1"/>
  <c r="G44" i="6" a="1"/>
  <c r="G44" i="6" s="1"/>
  <c r="W44" i="6" s="1"/>
  <c r="M48" i="6"/>
  <c r="E45" i="12"/>
  <c r="V47" i="6" l="1"/>
  <c r="X47" i="6"/>
  <c r="W47" i="6"/>
  <c r="I48" i="6" a="1"/>
  <c r="I48" i="6" s="1"/>
  <c r="C48" i="6" a="1"/>
  <c r="C48" i="6" s="1"/>
  <c r="G48" i="6" a="1"/>
  <c r="G48" i="6" s="1"/>
  <c r="I36" i="6" a="1"/>
  <c r="I36" i="6" s="1"/>
  <c r="X36" i="6" s="1"/>
  <c r="M49" i="6"/>
  <c r="G10" i="6" s="1" a="1"/>
  <c r="G10" i="6" s="1"/>
  <c r="W10" i="6" s="1"/>
  <c r="E46" i="12"/>
  <c r="X48" i="6" l="1"/>
  <c r="W48" i="6"/>
  <c r="E49" i="6" a="1"/>
  <c r="E49" i="6" s="1"/>
  <c r="I49" i="6" a="1"/>
  <c r="I49" i="6" s="1"/>
  <c r="G49" i="6" a="1"/>
  <c r="G49" i="6" s="1"/>
  <c r="C49" i="6" a="1"/>
  <c r="C49" i="6" s="1"/>
  <c r="M50" i="6"/>
  <c r="E47" i="12"/>
  <c r="V49" i="6" l="1"/>
  <c r="W49" i="6"/>
  <c r="X49" i="6"/>
  <c r="I50" i="6" a="1"/>
  <c r="I50" i="6" s="1"/>
  <c r="G50" i="6" a="1"/>
  <c r="G50" i="6" s="1"/>
  <c r="C50" i="6" a="1"/>
  <c r="C50" i="6" s="1"/>
  <c r="E50" i="6" a="1"/>
  <c r="E50" i="6" s="1"/>
  <c r="E11" i="6" a="1"/>
  <c r="E11" i="6" s="1"/>
  <c r="V11" i="6" s="1"/>
  <c r="G11" i="6" a="1"/>
  <c r="G11" i="6" s="1"/>
  <c r="W11" i="6" s="1"/>
  <c r="M51" i="6"/>
  <c r="E48" i="12"/>
  <c r="W50" i="6" l="1"/>
  <c r="V50" i="6"/>
  <c r="X50" i="6"/>
  <c r="C51" i="6" a="1"/>
  <c r="C51" i="6" s="1"/>
  <c r="I51" i="6" a="1"/>
  <c r="I51" i="6" s="1"/>
  <c r="E51" i="6" a="1"/>
  <c r="E51" i="6" s="1"/>
  <c r="I39" i="6" a="1"/>
  <c r="I39" i="6" s="1"/>
  <c r="X39" i="6" s="1"/>
  <c r="M52" i="6"/>
  <c r="E49" i="12"/>
  <c r="V51" i="6" l="1"/>
  <c r="X51" i="6"/>
  <c r="I52" i="6" a="1"/>
  <c r="I52" i="6" s="1"/>
  <c r="G52" i="6" a="1"/>
  <c r="G52" i="6" s="1"/>
  <c r="E52" i="6" a="1"/>
  <c r="E52" i="6" s="1"/>
  <c r="C52" i="6" a="1"/>
  <c r="C52" i="6" s="1"/>
  <c r="G6" i="6" a="1"/>
  <c r="G6" i="6" s="1"/>
  <c r="W6" i="6" s="1"/>
  <c r="M53" i="6"/>
  <c r="E50" i="12"/>
  <c r="X52" i="6" l="1"/>
  <c r="V52" i="6"/>
  <c r="W52" i="6"/>
  <c r="G53" i="6" a="1"/>
  <c r="G53" i="6" s="1"/>
  <c r="E53" i="6" a="1"/>
  <c r="E53" i="6" s="1"/>
  <c r="C53" i="6" a="1"/>
  <c r="C53" i="6" s="1"/>
  <c r="I53" i="6" a="1"/>
  <c r="I53" i="6" s="1"/>
  <c r="M54" i="6"/>
  <c r="E51" i="12"/>
  <c r="V53" i="6" l="1"/>
  <c r="X53" i="6"/>
  <c r="W53" i="6"/>
  <c r="G54" i="6" a="1"/>
  <c r="G54" i="6" s="1"/>
  <c r="C54" i="6" a="1"/>
  <c r="C54" i="6" s="1"/>
  <c r="I54" i="6" a="1"/>
  <c r="I54" i="6" s="1"/>
  <c r="E54" i="6" a="1"/>
  <c r="E54" i="6" s="1"/>
  <c r="G7" i="6" a="1"/>
  <c r="G7" i="6" s="1"/>
  <c r="W7" i="6" s="1"/>
  <c r="E42" i="6" a="1"/>
  <c r="E42" i="6" s="1"/>
  <c r="V42" i="6" s="1"/>
  <c r="M55" i="6"/>
  <c r="E52" i="12"/>
  <c r="X54" i="6" l="1"/>
  <c r="W54" i="6"/>
  <c r="V54" i="6"/>
  <c r="G55" i="6" a="1"/>
  <c r="G55" i="6" s="1"/>
  <c r="E55" i="6" a="1"/>
  <c r="E55" i="6" s="1"/>
  <c r="I55" i="6" a="1"/>
  <c r="I55" i="6" s="1"/>
  <c r="C55" i="6" a="1"/>
  <c r="C55" i="6" s="1"/>
  <c r="G8" i="6" a="1"/>
  <c r="G8" i="6" s="1"/>
  <c r="W8" i="6" s="1"/>
  <c r="E30" i="6" a="1"/>
  <c r="E30" i="6" s="1"/>
  <c r="V30" i="6" s="1"/>
  <c r="I43" i="6" a="1"/>
  <c r="I43" i="6" s="1"/>
  <c r="X43" i="6" s="1"/>
  <c r="M56" i="6"/>
  <c r="E53" i="12"/>
  <c r="W55" i="6" l="1"/>
  <c r="X55" i="6"/>
  <c r="V55" i="6"/>
  <c r="I56" i="6" a="1"/>
  <c r="I56" i="6" s="1"/>
  <c r="G56" i="6" a="1"/>
  <c r="G56" i="6" s="1"/>
  <c r="E56" i="6" a="1"/>
  <c r="E56" i="6" s="1"/>
  <c r="C56" i="6" a="1"/>
  <c r="C56" i="6" s="1"/>
  <c r="E6" i="6" a="1"/>
  <c r="E6" i="6" s="1"/>
  <c r="V6" i="6" s="1"/>
  <c r="I40" i="6" a="1"/>
  <c r="I40" i="6" s="1"/>
  <c r="X40" i="6" s="1"/>
  <c r="M57" i="6"/>
  <c r="E54" i="12"/>
  <c r="V56" i="6" l="1"/>
  <c r="W56" i="6"/>
  <c r="X56" i="6"/>
  <c r="C57" i="6" a="1"/>
  <c r="C57" i="6" s="1"/>
  <c r="E57" i="6" a="1"/>
  <c r="E57" i="6" s="1"/>
  <c r="I57" i="6" a="1"/>
  <c r="I57" i="6" s="1"/>
  <c r="G57" i="6" a="1"/>
  <c r="G57" i="6" s="1"/>
  <c r="E35" i="6" a="1"/>
  <c r="E35" i="6" s="1"/>
  <c r="V35" i="6" s="1"/>
  <c r="M58" i="6"/>
  <c r="E55" i="12"/>
  <c r="W57" i="6" l="1"/>
  <c r="X57" i="6"/>
  <c r="V57" i="6"/>
  <c r="I58" i="6" a="1"/>
  <c r="I58" i="6" s="1"/>
  <c r="C58" i="6" a="1"/>
  <c r="C58" i="6" s="1"/>
  <c r="E58" i="6" a="1"/>
  <c r="E58" i="6" s="1"/>
  <c r="G58" i="6" a="1"/>
  <c r="G58" i="6" s="1"/>
  <c r="E38" i="6" a="1"/>
  <c r="E38" i="6" s="1"/>
  <c r="V38" i="6" s="1"/>
  <c r="M59" i="6"/>
  <c r="E56" i="12"/>
  <c r="X58" i="6" l="1"/>
  <c r="W58" i="6"/>
  <c r="V58" i="6"/>
  <c r="I59" i="6" a="1"/>
  <c r="I59" i="6" s="1"/>
  <c r="C59" i="6" a="1"/>
  <c r="C59" i="6" s="1"/>
  <c r="E59" i="6" a="1"/>
  <c r="E59" i="6" s="1"/>
  <c r="E48" i="6" a="1"/>
  <c r="E48" i="6" s="1"/>
  <c r="V48" i="6" s="1"/>
  <c r="M60" i="6"/>
  <c r="E57" i="12"/>
  <c r="X59" i="6" l="1"/>
  <c r="V59" i="6"/>
  <c r="E60" i="6" a="1"/>
  <c r="E60" i="6" s="1"/>
  <c r="I60" i="6" a="1"/>
  <c r="I60" i="6" s="1"/>
  <c r="C60" i="6" a="1"/>
  <c r="C60" i="6" s="1"/>
  <c r="G60" i="6" a="1"/>
  <c r="G60" i="6" s="1"/>
  <c r="E37" i="6" a="1"/>
  <c r="E37" i="6" s="1"/>
  <c r="V37" i="6" s="1"/>
  <c r="I37" i="6" a="1"/>
  <c r="I37" i="6" s="1"/>
  <c r="X37" i="6" s="1"/>
  <c r="G51" i="6" a="1"/>
  <c r="G51" i="6" s="1"/>
  <c r="W51" i="6" s="1"/>
  <c r="M61" i="6"/>
  <c r="E58" i="12"/>
  <c r="V60" i="6" l="1"/>
  <c r="W60" i="6"/>
  <c r="X60" i="6"/>
  <c r="E61" i="6" a="1"/>
  <c r="E61" i="6" s="1"/>
  <c r="G61" i="6" a="1"/>
  <c r="G61" i="6" s="1"/>
  <c r="C61" i="6" a="1"/>
  <c r="C61" i="6" s="1"/>
  <c r="E31" i="6" a="1"/>
  <c r="E31" i="6" s="1"/>
  <c r="V31" i="6" s="1"/>
  <c r="M62" i="6"/>
  <c r="E59" i="12"/>
  <c r="V61" i="6" l="1"/>
  <c r="W61" i="6"/>
  <c r="I62" i="6" a="1"/>
  <c r="I62" i="6" s="1"/>
  <c r="G62" i="6" a="1"/>
  <c r="G62" i="6" s="1"/>
  <c r="C62" i="6" a="1"/>
  <c r="C62" i="6" s="1"/>
  <c r="M63" i="6"/>
  <c r="E60" i="12"/>
  <c r="W62" i="6" l="1"/>
  <c r="X62" i="6"/>
  <c r="C63" i="6" a="1"/>
  <c r="C63" i="6" s="1"/>
  <c r="I63" i="6" a="1"/>
  <c r="I63" i="6" s="1"/>
  <c r="G63" i="6" a="1"/>
  <c r="G63" i="6" s="1"/>
  <c r="E63" i="6" a="1"/>
  <c r="E63" i="6" s="1"/>
  <c r="E15" i="6" a="1"/>
  <c r="E15" i="6" s="1"/>
  <c r="V15" i="6" s="1"/>
  <c r="I61" i="6" a="1"/>
  <c r="I61" i="6" s="1"/>
  <c r="X61" i="6" s="1"/>
  <c r="M64" i="6"/>
  <c r="E61" i="12"/>
  <c r="W63" i="6" l="1"/>
  <c r="X63" i="6"/>
  <c r="V63" i="6"/>
  <c r="I64" i="6" a="1"/>
  <c r="I64" i="6" s="1"/>
  <c r="G64" i="6" a="1"/>
  <c r="G64" i="6" s="1"/>
  <c r="C64" i="6" a="1"/>
  <c r="C64" i="6" s="1"/>
  <c r="E64" i="6" a="1"/>
  <c r="E64" i="6" s="1"/>
  <c r="E36" i="6" a="1"/>
  <c r="E36" i="6" s="1"/>
  <c r="V36" i="6" s="1"/>
  <c r="G59" i="6" a="1"/>
  <c r="G59" i="6" s="1"/>
  <c r="W59" i="6" s="1"/>
  <c r="M65" i="6"/>
  <c r="E62" i="12"/>
  <c r="V64" i="6" l="1"/>
  <c r="W64" i="6"/>
  <c r="X64" i="6"/>
  <c r="I65" i="6" a="1"/>
  <c r="I65" i="6" s="1"/>
  <c r="E65" i="6" a="1"/>
  <c r="E65" i="6" s="1"/>
  <c r="C65" i="6" a="1"/>
  <c r="C65" i="6" s="1"/>
  <c r="I13" i="6" a="1"/>
  <c r="I13" i="6" s="1"/>
  <c r="X13" i="6" s="1"/>
  <c r="M66" i="6"/>
  <c r="E63" i="12"/>
  <c r="X65" i="6" l="1"/>
  <c r="V65" i="6"/>
  <c r="G66" i="6" a="1"/>
  <c r="G66" i="6" s="1"/>
  <c r="C66" i="6" a="1"/>
  <c r="C66" i="6" s="1"/>
  <c r="E66" i="6" a="1"/>
  <c r="E66" i="6" s="1"/>
  <c r="I66" i="6" a="1"/>
  <c r="I66" i="6" s="1"/>
  <c r="E19" i="6" a="1"/>
  <c r="E19" i="6" s="1"/>
  <c r="V19" i="6" s="1"/>
  <c r="M67" i="6"/>
  <c r="E64" i="12"/>
  <c r="W66" i="6" l="1"/>
  <c r="V66" i="6"/>
  <c r="X66" i="6"/>
  <c r="G67" i="6" a="1"/>
  <c r="G67" i="6" s="1"/>
  <c r="C67" i="6" a="1"/>
  <c r="C67" i="6" s="1"/>
  <c r="M68" i="6"/>
  <c r="E65" i="12"/>
  <c r="W67" i="6" l="1"/>
  <c r="E68" i="6" a="1"/>
  <c r="E68" i="6" s="1"/>
  <c r="G68" i="6" a="1"/>
  <c r="G68" i="6" s="1"/>
  <c r="C68" i="6" a="1"/>
  <c r="C68" i="6" s="1"/>
  <c r="M69" i="6"/>
  <c r="E66" i="12"/>
  <c r="W68" i="6" l="1"/>
  <c r="V68" i="6"/>
  <c r="C69" i="6" a="1"/>
  <c r="C69" i="6" s="1"/>
  <c r="M70" i="6"/>
  <c r="E67" i="12"/>
  <c r="I70" i="6" l="1" a="1"/>
  <c r="I70" i="6" s="1"/>
  <c r="G70" i="6" a="1"/>
  <c r="G70" i="6" s="1"/>
  <c r="C70" i="6" a="1"/>
  <c r="C70" i="6" s="1"/>
  <c r="I67" i="6" a="1"/>
  <c r="I67" i="6" s="1"/>
  <c r="X67" i="6" s="1"/>
  <c r="M71" i="6"/>
  <c r="E68" i="12"/>
  <c r="X70" i="6" l="1"/>
  <c r="W70" i="6"/>
  <c r="G71" i="6" a="1"/>
  <c r="G71" i="6" s="1"/>
  <c r="E71" i="6" a="1"/>
  <c r="E71" i="6" s="1"/>
  <c r="C71" i="6" a="1"/>
  <c r="C71" i="6" s="1"/>
  <c r="G69" i="6" a="1"/>
  <c r="G69" i="6" s="1"/>
  <c r="W69" i="6" s="1"/>
  <c r="M72" i="6"/>
  <c r="E69" i="12"/>
  <c r="W71" i="6" l="1"/>
  <c r="V71" i="6"/>
  <c r="E72" i="6" a="1"/>
  <c r="E72" i="6" s="1"/>
  <c r="G72" i="6" a="1"/>
  <c r="G72" i="6" s="1"/>
  <c r="C72" i="6" a="1"/>
  <c r="C72" i="6" s="1"/>
  <c r="M73" i="6"/>
  <c r="E70" i="12"/>
  <c r="V72" i="6" l="1"/>
  <c r="W72" i="6"/>
  <c r="E73" i="6" a="1"/>
  <c r="E73" i="6" s="1"/>
  <c r="I73" i="6" a="1"/>
  <c r="I73" i="6" s="1"/>
  <c r="G73" i="6" a="1"/>
  <c r="G73" i="6" s="1"/>
  <c r="C73" i="6" a="1"/>
  <c r="C73" i="6" s="1"/>
  <c r="M74" i="6"/>
  <c r="E71" i="12"/>
  <c r="X73" i="6" l="1"/>
  <c r="W73" i="6"/>
  <c r="V73" i="6"/>
  <c r="I74" i="6" a="1"/>
  <c r="I74" i="6" s="1"/>
  <c r="G74" i="6" a="1"/>
  <c r="G74" i="6" s="1"/>
  <c r="C74" i="6" a="1"/>
  <c r="C74" i="6" s="1"/>
  <c r="E23" i="6" a="1"/>
  <c r="E23" i="6" s="1"/>
  <c r="V23" i="6" s="1"/>
  <c r="M75" i="6"/>
  <c r="E72" i="12"/>
  <c r="W74" i="6" l="1"/>
  <c r="X74" i="6"/>
  <c r="C75" i="6" a="1"/>
  <c r="C75" i="6" s="1"/>
  <c r="G75" i="6" a="1"/>
  <c r="G75" i="6" s="1"/>
  <c r="G26" i="6" a="1"/>
  <c r="G26" i="6" s="1"/>
  <c r="W26" i="6" s="1"/>
  <c r="M76" i="6"/>
  <c r="E73" i="12"/>
  <c r="W75" i="6" l="1"/>
  <c r="I76" i="6" a="1"/>
  <c r="I76" i="6" s="1"/>
  <c r="E76" i="6" a="1"/>
  <c r="E76" i="6" s="1"/>
  <c r="C76" i="6" a="1"/>
  <c r="C76" i="6" s="1"/>
  <c r="M77" i="6"/>
  <c r="E74" i="12"/>
  <c r="V76" i="6" l="1"/>
  <c r="X76" i="6"/>
  <c r="G77" i="6" a="1"/>
  <c r="G77" i="6" s="1"/>
  <c r="I77" i="6" a="1"/>
  <c r="I77" i="6" s="1"/>
  <c r="E77" i="6" a="1"/>
  <c r="E77" i="6" s="1"/>
  <c r="C77" i="6" a="1"/>
  <c r="C77" i="6" s="1"/>
  <c r="G14" i="6" a="1"/>
  <c r="G14" i="6" s="1"/>
  <c r="W14" i="6" s="1"/>
  <c r="E25" i="6" a="1"/>
  <c r="E25" i="6" s="1"/>
  <c r="V25" i="6" s="1"/>
  <c r="M78" i="6"/>
  <c r="E75" i="12"/>
  <c r="X77" i="6" l="1"/>
  <c r="V77" i="6"/>
  <c r="W77" i="6"/>
  <c r="G78" i="6" a="1"/>
  <c r="G78" i="6" s="1"/>
  <c r="C78" i="6" a="1"/>
  <c r="C78" i="6" s="1"/>
  <c r="E78" i="6" a="1"/>
  <c r="E78" i="6" s="1"/>
  <c r="I78" i="6" a="1"/>
  <c r="I78" i="6" s="1"/>
  <c r="G16" i="6" a="1"/>
  <c r="G16" i="6" s="1"/>
  <c r="W16" i="6" s="1"/>
  <c r="I29" i="6" a="1"/>
  <c r="I29" i="6" s="1"/>
  <c r="X29" i="6" s="1"/>
  <c r="M79" i="6"/>
  <c r="E76" i="12"/>
  <c r="X78" i="6" l="1"/>
  <c r="V78" i="6"/>
  <c r="W78" i="6"/>
  <c r="E75" i="6" a="1"/>
  <c r="E75" i="6" s="1"/>
  <c r="V75" i="6" s="1"/>
  <c r="G76" i="6" a="1"/>
  <c r="G76" i="6" s="1"/>
  <c r="W76" i="6" s="1"/>
  <c r="G79" i="6" a="1"/>
  <c r="G79" i="6" s="1"/>
  <c r="E79" i="6" a="1"/>
  <c r="E79" i="6" s="1"/>
  <c r="I79" i="6" a="1"/>
  <c r="I79" i="6" s="1"/>
  <c r="C79" i="6" a="1"/>
  <c r="C79" i="6" s="1"/>
  <c r="I14" i="6" a="1"/>
  <c r="I14" i="6" s="1"/>
  <c r="X14" i="6" s="1"/>
  <c r="M80" i="6"/>
  <c r="E77" i="12"/>
  <c r="V79" i="6" l="1"/>
  <c r="W79" i="6"/>
  <c r="X79" i="6"/>
  <c r="C80" i="6" a="1"/>
  <c r="C80" i="6" s="1"/>
  <c r="I80" i="6" a="1"/>
  <c r="I80" i="6" s="1"/>
  <c r="G80" i="6" a="1"/>
  <c r="G80" i="6" s="1"/>
  <c r="E24" i="6" a="1"/>
  <c r="E24" i="6" s="1"/>
  <c r="V24" i="6" s="1"/>
  <c r="I68" i="6" a="1"/>
  <c r="I68" i="6" s="1"/>
  <c r="X68" i="6" s="1"/>
  <c r="M81" i="6"/>
  <c r="E78" i="12"/>
  <c r="W80" i="6" l="1"/>
  <c r="X80" i="6"/>
  <c r="E81" i="6" a="1"/>
  <c r="E81" i="6" s="1"/>
  <c r="I81" i="6" a="1"/>
  <c r="I81" i="6" s="1"/>
  <c r="C81" i="6" a="1"/>
  <c r="C81" i="6" s="1"/>
  <c r="G81" i="6" a="1"/>
  <c r="G81" i="6" s="1"/>
  <c r="E17" i="6" a="1"/>
  <c r="E17" i="6" s="1"/>
  <c r="V17" i="6" s="1"/>
  <c r="G27" i="6" a="1"/>
  <c r="G27" i="6" s="1"/>
  <c r="W27" i="6" s="1"/>
  <c r="M82" i="6"/>
  <c r="E79" i="12"/>
  <c r="W81" i="6" l="1"/>
  <c r="V81" i="6"/>
  <c r="X81" i="6"/>
  <c r="I82" i="6" a="1"/>
  <c r="I82" i="6" s="1"/>
  <c r="G82" i="6" a="1"/>
  <c r="G82" i="6" s="1"/>
  <c r="E82" i="6" a="1"/>
  <c r="E82" i="6" s="1"/>
  <c r="C82" i="6" a="1"/>
  <c r="C82" i="6" s="1"/>
  <c r="G18" i="6" a="1"/>
  <c r="G18" i="6" s="1"/>
  <c r="W18" i="6" s="1"/>
  <c r="E29" i="6" a="1"/>
  <c r="E29" i="6" s="1"/>
  <c r="V29" i="6" s="1"/>
  <c r="M83" i="6"/>
  <c r="I71" i="6" s="1" a="1"/>
  <c r="I71" i="6" s="1"/>
  <c r="X71" i="6" s="1"/>
  <c r="E80" i="12"/>
  <c r="W82" i="6" l="1"/>
  <c r="X82" i="6"/>
  <c r="V82" i="6"/>
  <c r="I83" i="6" a="1"/>
  <c r="I83" i="6" s="1"/>
  <c r="C83" i="6" a="1"/>
  <c r="C83" i="6" s="1"/>
  <c r="E83" i="6" a="1"/>
  <c r="E83" i="6" s="1"/>
  <c r="M84" i="6"/>
  <c r="E81" i="12"/>
  <c r="V83" i="6" l="1"/>
  <c r="X83" i="6"/>
  <c r="E84" i="6" a="1"/>
  <c r="E84" i="6" s="1"/>
  <c r="I84" i="6" a="1"/>
  <c r="I84" i="6" s="1"/>
  <c r="G84" i="6" a="1"/>
  <c r="G84" i="6" s="1"/>
  <c r="C84" i="6" a="1"/>
  <c r="C84" i="6" s="1"/>
  <c r="G22" i="6" a="1"/>
  <c r="G22" i="6" s="1"/>
  <c r="W22" i="6" s="1"/>
  <c r="M85" i="6"/>
  <c r="E82" i="12"/>
  <c r="V84" i="6" l="1"/>
  <c r="W84" i="6"/>
  <c r="X84" i="6"/>
  <c r="E85" i="6" a="1"/>
  <c r="E85" i="6" s="1"/>
  <c r="I85" i="6" a="1"/>
  <c r="I85" i="6" s="1"/>
  <c r="G85" i="6" a="1"/>
  <c r="G85" i="6" s="1"/>
  <c r="C85" i="6" a="1"/>
  <c r="C85" i="6" s="1"/>
  <c r="M86" i="6"/>
  <c r="E74" i="6" s="1" a="1"/>
  <c r="E74" i="6" s="1"/>
  <c r="V74" i="6" s="1"/>
  <c r="E83" i="12"/>
  <c r="W85" i="6" l="1"/>
  <c r="X85" i="6"/>
  <c r="V85" i="6"/>
  <c r="I86" i="6" a="1"/>
  <c r="I86" i="6" s="1"/>
  <c r="G86" i="6" a="1"/>
  <c r="G86" i="6" s="1"/>
  <c r="C86" i="6" a="1"/>
  <c r="C86" i="6" s="1"/>
  <c r="E86" i="6" a="1"/>
  <c r="E86" i="6" s="1"/>
  <c r="G23" i="6" a="1"/>
  <c r="G23" i="6" s="1"/>
  <c r="W23" i="6" s="1"/>
  <c r="M87" i="6"/>
  <c r="I75" i="6" s="1" a="1"/>
  <c r="I75" i="6" s="1"/>
  <c r="X75" i="6" s="1"/>
  <c r="E84" i="12"/>
  <c r="V86" i="6" l="1"/>
  <c r="X86" i="6"/>
  <c r="W86" i="6"/>
  <c r="I87" i="6" a="1"/>
  <c r="I87" i="6" s="1"/>
  <c r="G87" i="6" a="1"/>
  <c r="G87" i="6" s="1"/>
  <c r="C87" i="6" a="1"/>
  <c r="C87" i="6" s="1"/>
  <c r="E87" i="6" a="1"/>
  <c r="E87" i="6" s="1"/>
  <c r="E14" i="6" a="1"/>
  <c r="E14" i="6" s="1"/>
  <c r="V14" i="6" s="1"/>
  <c r="G25" i="6" a="1"/>
  <c r="G25" i="6" s="1"/>
  <c r="W25" i="6" s="1"/>
  <c r="M88" i="6"/>
  <c r="I72" i="6" s="1" a="1"/>
  <c r="I72" i="6" s="1"/>
  <c r="X72" i="6" s="1"/>
  <c r="E85" i="12"/>
  <c r="V87" i="6" l="1"/>
  <c r="W87" i="6"/>
  <c r="X87" i="6"/>
  <c r="I88" i="6" a="1"/>
  <c r="I88" i="6" s="1"/>
  <c r="G88" i="6" a="1"/>
  <c r="G88" i="6" s="1"/>
  <c r="E88" i="6" a="1"/>
  <c r="E88" i="6" s="1"/>
  <c r="C88" i="6" a="1"/>
  <c r="C88" i="6" s="1"/>
  <c r="E22" i="6" a="1"/>
  <c r="E22" i="6" s="1"/>
  <c r="V22" i="6" s="1"/>
  <c r="M89" i="6"/>
  <c r="E86" i="12"/>
  <c r="V88" i="6" l="1"/>
  <c r="W88" i="6"/>
  <c r="X88" i="6"/>
  <c r="G89" i="6" a="1"/>
  <c r="G89" i="6" s="1"/>
  <c r="E89" i="6" a="1"/>
  <c r="E89" i="6" s="1"/>
  <c r="I89" i="6" a="1"/>
  <c r="I89" i="6" s="1"/>
  <c r="C89" i="6" a="1"/>
  <c r="C89" i="6" s="1"/>
  <c r="E67" i="6" a="1"/>
  <c r="E67" i="6" s="1"/>
  <c r="V67" i="6" s="1"/>
  <c r="M90" i="6"/>
  <c r="E70" i="6" s="1" a="1"/>
  <c r="E70" i="6" s="1"/>
  <c r="V70" i="6" s="1"/>
  <c r="E87" i="12"/>
  <c r="W89" i="6" l="1"/>
  <c r="X89" i="6"/>
  <c r="V89" i="6"/>
  <c r="G90" i="6" a="1"/>
  <c r="G90" i="6" s="1"/>
  <c r="I90" i="6" a="1"/>
  <c r="I90" i="6" s="1"/>
  <c r="E90" i="6" a="1"/>
  <c r="E90" i="6" s="1"/>
  <c r="C90" i="6" a="1"/>
  <c r="C90" i="6" s="1"/>
  <c r="M91" i="6"/>
  <c r="E80" i="6" s="1" a="1"/>
  <c r="E80" i="6" s="1"/>
  <c r="V80" i="6" s="1"/>
  <c r="E88" i="12"/>
  <c r="V90" i="6" l="1"/>
  <c r="W90" i="6"/>
  <c r="X90" i="6"/>
  <c r="G91" i="6" a="1"/>
  <c r="G91" i="6" s="1"/>
  <c r="E91" i="6" a="1"/>
  <c r="E91" i="6" s="1"/>
  <c r="C91" i="6" a="1"/>
  <c r="C91" i="6" s="1"/>
  <c r="I91" i="6" a="1"/>
  <c r="I91" i="6" s="1"/>
  <c r="G24" i="6" a="1"/>
  <c r="G24" i="6" s="1"/>
  <c r="W24" i="6" s="1"/>
  <c r="M92" i="6"/>
  <c r="G83" i="6" s="1" a="1"/>
  <c r="G83" i="6" s="1"/>
  <c r="W83" i="6" s="1"/>
  <c r="E89" i="12"/>
  <c r="V91" i="6" l="1"/>
  <c r="W91" i="6"/>
  <c r="X91" i="6"/>
  <c r="E92" i="6" a="1"/>
  <c r="E92" i="6" s="1"/>
  <c r="G92" i="6" a="1"/>
  <c r="G92" i="6" s="1"/>
  <c r="I92" i="6" a="1"/>
  <c r="I92" i="6" s="1"/>
  <c r="C92" i="6" a="1"/>
  <c r="C92" i="6" s="1"/>
  <c r="E69" i="6" a="1"/>
  <c r="E69" i="6" s="1"/>
  <c r="V69" i="6" s="1"/>
  <c r="I69" i="6" a="1"/>
  <c r="I69" i="6" s="1"/>
  <c r="X69" i="6" s="1"/>
  <c r="M93" i="6"/>
  <c r="E90" i="12"/>
  <c r="W92" i="6" l="1"/>
  <c r="V92" i="6"/>
  <c r="X92" i="6"/>
  <c r="E93" i="6" a="1"/>
  <c r="E93" i="6" s="1"/>
  <c r="C93" i="6" a="1"/>
  <c r="C93" i="6" s="1"/>
  <c r="G93" i="6" a="1"/>
  <c r="G93" i="6" s="1"/>
  <c r="G65" i="6" a="1"/>
  <c r="G65" i="6" s="1"/>
  <c r="W65" i="6" s="1"/>
  <c r="M94" i="6"/>
  <c r="E91" i="12"/>
  <c r="V93" i="6" l="1"/>
  <c r="W93" i="6"/>
  <c r="I94" i="6" a="1"/>
  <c r="I94" i="6" s="1"/>
  <c r="C94" i="6" a="1"/>
  <c r="C94" i="6" s="1"/>
  <c r="E94" i="6" a="1"/>
  <c r="E94" i="6" s="1"/>
  <c r="G94" i="6" a="1"/>
  <c r="G94" i="6" s="1"/>
  <c r="E62" i="6" a="1"/>
  <c r="E62" i="6" s="1"/>
  <c r="V62" i="6" s="1"/>
  <c r="M95" i="6"/>
  <c r="I93" i="6" s="1" a="1"/>
  <c r="I93" i="6" s="1"/>
  <c r="X93" i="6" s="1"/>
  <c r="E92" i="12"/>
  <c r="W94" i="6" l="1"/>
  <c r="V94" i="6"/>
  <c r="X94" i="6"/>
  <c r="G95" i="6" a="1"/>
  <c r="G95" i="6" s="1"/>
  <c r="I95" i="6" a="1"/>
  <c r="I95" i="6" s="1"/>
  <c r="E95" i="6" a="1"/>
  <c r="E95" i="6" s="1"/>
  <c r="C95" i="6" a="1"/>
  <c r="C95" i="6" s="1"/>
  <c r="E13" i="6" a="1"/>
  <c r="E13" i="6" s="1"/>
  <c r="V13" i="6" s="1"/>
  <c r="G13" i="6" a="1"/>
  <c r="G13" i="6" s="1"/>
  <c r="W13" i="6" s="1"/>
  <c r="M96" i="6"/>
  <c r="E93" i="12"/>
  <c r="V95" i="6" l="1"/>
  <c r="W95" i="6"/>
  <c r="X95" i="6"/>
  <c r="E96" i="6" a="1"/>
  <c r="E96" i="6" s="1"/>
  <c r="I96" i="6" a="1"/>
  <c r="I96" i="6" s="1"/>
  <c r="G96" i="6" a="1"/>
  <c r="G96" i="6" s="1"/>
  <c r="C96" i="6" a="1"/>
  <c r="C96" i="6" s="1"/>
  <c r="E3" i="6" a="1"/>
  <c r="E3" i="6" s="1"/>
  <c r="V3" i="6" s="1"/>
  <c r="M97" i="6"/>
  <c r="E94" i="12"/>
  <c r="W96" i="6" l="1"/>
  <c r="V96" i="6"/>
  <c r="X96" i="6"/>
  <c r="I97" i="6" a="1"/>
  <c r="I97" i="6" s="1"/>
  <c r="G97" i="6" a="1"/>
  <c r="G97" i="6" s="1"/>
  <c r="C97" i="6" a="1"/>
  <c r="C97" i="6" s="1"/>
  <c r="M98" i="6"/>
  <c r="E95" i="12"/>
  <c r="X97" i="6" l="1"/>
  <c r="W97" i="6"/>
  <c r="I98" i="6" a="1"/>
  <c r="I98" i="6" s="1"/>
  <c r="G98" i="6" a="1"/>
  <c r="G98" i="6" s="1"/>
  <c r="C98" i="6" a="1"/>
  <c r="C98" i="6" s="1"/>
  <c r="E98" i="6" a="1"/>
  <c r="E98" i="6" s="1"/>
  <c r="M99" i="6"/>
  <c r="E96" i="12"/>
  <c r="V98" i="6" l="1"/>
  <c r="X98" i="6"/>
  <c r="W98" i="6"/>
  <c r="I99" i="6" a="1"/>
  <c r="I99" i="6" s="1"/>
  <c r="G99" i="6" a="1"/>
  <c r="G99" i="6" s="1"/>
  <c r="C99" i="6" a="1"/>
  <c r="C99" i="6" s="1"/>
  <c r="E99" i="6" a="1"/>
  <c r="E99" i="6" s="1"/>
  <c r="M100" i="6"/>
  <c r="E97" i="6" s="1" a="1"/>
  <c r="E97" i="6" s="1"/>
  <c r="V97" i="6" s="1"/>
  <c r="E97" i="12"/>
  <c r="V99" i="6" l="1"/>
  <c r="W99" i="6"/>
  <c r="X99" i="6"/>
  <c r="I100" i="6" a="1"/>
  <c r="I100" i="6" s="1"/>
  <c r="G100" i="6" a="1"/>
  <c r="G100" i="6" s="1"/>
  <c r="C100" i="6" a="1"/>
  <c r="C100" i="6" s="1"/>
  <c r="E100" i="6" a="1"/>
  <c r="E100" i="6" s="1"/>
  <c r="M101" i="6"/>
  <c r="E98" i="12"/>
  <c r="V100" i="6" l="1"/>
  <c r="W100" i="6"/>
  <c r="X100" i="6"/>
  <c r="C101" i="6" a="1"/>
  <c r="C101" i="6" s="1"/>
  <c r="I101" i="6" a="1"/>
  <c r="I101" i="6" s="1"/>
  <c r="E101" i="6" a="1"/>
  <c r="E101" i="6" s="1"/>
  <c r="M102" i="6"/>
  <c r="E99" i="12"/>
  <c r="X101" i="6" l="1"/>
  <c r="V101" i="6"/>
  <c r="G102" i="6" a="1"/>
  <c r="G102" i="6" s="1"/>
  <c r="E102" i="6" a="1"/>
  <c r="E102" i="6" s="1"/>
  <c r="C102" i="6" a="1"/>
  <c r="C102" i="6" s="1"/>
  <c r="I102" i="6" a="1"/>
  <c r="I102" i="6" s="1"/>
  <c r="M103" i="6"/>
  <c r="E100" i="12"/>
  <c r="X102" i="6" l="1"/>
  <c r="V102" i="6"/>
  <c r="W102" i="6"/>
  <c r="G103" i="6" a="1"/>
  <c r="G103" i="6" s="1"/>
  <c r="E103" i="6" a="1"/>
  <c r="E103" i="6" s="1"/>
  <c r="I103" i="6" a="1"/>
  <c r="I103" i="6" s="1"/>
  <c r="C103" i="6" a="1"/>
  <c r="C103" i="6" s="1"/>
  <c r="M104" i="6"/>
  <c r="G101" i="6" s="1" a="1"/>
  <c r="G101" i="6" s="1"/>
  <c r="W101" i="6" s="1"/>
  <c r="E101" i="12"/>
  <c r="V103" i="6" l="1"/>
  <c r="W103" i="6"/>
  <c r="X103" i="6"/>
  <c r="E104" i="6" a="1"/>
  <c r="E104" i="6" s="1"/>
  <c r="G104" i="6" a="1"/>
  <c r="G104" i="6" s="1"/>
  <c r="C104" i="6" a="1"/>
  <c r="C104" i="6" s="1"/>
  <c r="I104" i="6" a="1"/>
  <c r="I104" i="6" s="1"/>
  <c r="M105" i="6"/>
  <c r="E102" i="12"/>
  <c r="X104" i="6" l="1"/>
  <c r="V104" i="6"/>
  <c r="W104" i="6"/>
  <c r="E105" i="6" a="1"/>
  <c r="E105" i="6" s="1"/>
  <c r="I105" i="6" a="1"/>
  <c r="I105" i="6" s="1"/>
  <c r="C105" i="6" a="1"/>
  <c r="C105" i="6" s="1"/>
  <c r="M106" i="6"/>
  <c r="E103" i="12"/>
  <c r="X105" i="6" l="1"/>
  <c r="V105" i="6"/>
  <c r="C106" i="6" a="1"/>
  <c r="C106" i="6" s="1"/>
  <c r="G106" i="6" a="1"/>
  <c r="G106" i="6" s="1"/>
  <c r="E106" i="6" a="1"/>
  <c r="E106" i="6" s="1"/>
  <c r="M107" i="6"/>
  <c r="G105" i="6" s="1" a="1"/>
  <c r="G105" i="6" s="1"/>
  <c r="W105" i="6" s="1"/>
  <c r="E104" i="12"/>
  <c r="W106" i="6" l="1"/>
  <c r="V106" i="6"/>
  <c r="G107" i="6" a="1"/>
  <c r="G107" i="6" s="1"/>
  <c r="E107" i="6" a="1"/>
  <c r="E107" i="6" s="1"/>
  <c r="C107" i="6" a="1"/>
  <c r="C107" i="6" s="1"/>
  <c r="I107" i="6" a="1"/>
  <c r="I107" i="6" s="1"/>
  <c r="M108" i="6"/>
  <c r="I106" i="6" s="1" a="1"/>
  <c r="I106" i="6" s="1"/>
  <c r="X106" i="6" s="1"/>
  <c r="E105" i="12"/>
  <c r="W107" i="6" l="1"/>
  <c r="X107" i="6"/>
  <c r="V107" i="6"/>
  <c r="E108" i="6" a="1"/>
  <c r="E108" i="6" s="1"/>
  <c r="I108" i="6" a="1"/>
  <c r="I108" i="6" s="1"/>
  <c r="G108" i="6" a="1"/>
  <c r="G108" i="6" s="1"/>
  <c r="C108" i="6" a="1"/>
  <c r="C108" i="6" s="1"/>
  <c r="M109" i="6"/>
  <c r="E106" i="12"/>
  <c r="W108" i="6" l="1"/>
  <c r="X108" i="6"/>
  <c r="V108" i="6"/>
  <c r="E109" i="6" a="1"/>
  <c r="E109" i="6" s="1"/>
  <c r="G109" i="6" a="1"/>
  <c r="G109" i="6" s="1"/>
  <c r="C109" i="6" a="1"/>
  <c r="C109" i="6" s="1"/>
  <c r="M110" i="6"/>
  <c r="E107" i="12"/>
  <c r="W109" i="6" l="1"/>
  <c r="V109" i="6"/>
  <c r="I110" i="6" a="1"/>
  <c r="I110" i="6" s="1"/>
  <c r="G110" i="6" a="1"/>
  <c r="G110" i="6" s="1"/>
  <c r="C110" i="6" a="1"/>
  <c r="C110" i="6" s="1"/>
  <c r="E110" i="6" a="1"/>
  <c r="E110" i="6" s="1"/>
  <c r="M111" i="6"/>
  <c r="E108" i="12"/>
  <c r="V110" i="6" l="1"/>
  <c r="W110" i="6"/>
  <c r="X110" i="6"/>
  <c r="I111" i="6" a="1"/>
  <c r="I111" i="6" s="1"/>
  <c r="G111" i="6" a="1"/>
  <c r="G111" i="6" s="1"/>
  <c r="C111" i="6" a="1"/>
  <c r="C111" i="6" s="1"/>
  <c r="E111" i="6" a="1"/>
  <c r="E111" i="6" s="1"/>
  <c r="M112" i="6"/>
  <c r="I109" i="6" s="1" a="1"/>
  <c r="I109" i="6" s="1"/>
  <c r="X109" i="6" s="1"/>
  <c r="E109" i="12"/>
  <c r="V111" i="6" l="1"/>
  <c r="W111" i="6"/>
  <c r="X111" i="6"/>
  <c r="I112" i="6" a="1"/>
  <c r="I112" i="6" s="1"/>
  <c r="G112" i="6" a="1"/>
  <c r="G112" i="6" s="1"/>
  <c r="C112" i="6" a="1"/>
  <c r="C112" i="6" s="1"/>
  <c r="E112" i="6" a="1"/>
  <c r="E112" i="6" s="1"/>
  <c r="M113" i="6"/>
  <c r="E110" i="12"/>
  <c r="V112" i="6" l="1"/>
  <c r="W112" i="6"/>
  <c r="X112" i="6"/>
  <c r="C113" i="6" a="1"/>
  <c r="C113" i="6" s="1"/>
  <c r="I113" i="6" a="1"/>
  <c r="I113" i="6" s="1"/>
  <c r="E113" i="6" a="1"/>
  <c r="E113" i="6" s="1"/>
  <c r="M114" i="6"/>
  <c r="E111" i="12"/>
  <c r="V113" i="6" l="1"/>
  <c r="X113" i="6"/>
  <c r="G114" i="6" a="1"/>
  <c r="G114" i="6" s="1"/>
  <c r="C114" i="6" a="1"/>
  <c r="C114" i="6" s="1"/>
  <c r="E114" i="6" a="1"/>
  <c r="E114" i="6" s="1"/>
  <c r="M115" i="6"/>
  <c r="G113" i="6" s="1" a="1"/>
  <c r="G113" i="6" s="1"/>
  <c r="W113" i="6" s="1"/>
  <c r="E112" i="12"/>
  <c r="V114" i="6" l="1"/>
  <c r="W114" i="6"/>
  <c r="G115" i="6" a="1"/>
  <c r="G115" i="6" s="1"/>
  <c r="E115" i="6" a="1"/>
  <c r="E115" i="6" s="1"/>
  <c r="I115" i="6" a="1"/>
  <c r="I115" i="6" s="1"/>
  <c r="C115" i="6" a="1"/>
  <c r="C115" i="6" s="1"/>
  <c r="M116" i="6"/>
  <c r="I114" i="6" s="1" a="1"/>
  <c r="I114" i="6" s="1"/>
  <c r="X114" i="6" s="1"/>
  <c r="E113" i="12"/>
  <c r="V115" i="6" l="1"/>
  <c r="W115" i="6"/>
  <c r="X115" i="6"/>
  <c r="I116" i="6" a="1"/>
  <c r="I116" i="6" s="1"/>
  <c r="E116" i="6" a="1"/>
  <c r="E116" i="6" s="1"/>
  <c r="G116" i="6" a="1"/>
  <c r="G116" i="6" s="1"/>
  <c r="C116" i="6" a="1"/>
  <c r="C116" i="6" s="1"/>
  <c r="M117" i="6"/>
  <c r="E114" i="12"/>
  <c r="V116" i="6" l="1"/>
  <c r="W116" i="6"/>
  <c r="X116" i="6"/>
  <c r="E117" i="6" a="1"/>
  <c r="E117" i="6" s="1"/>
  <c r="G117" i="6" a="1"/>
  <c r="G117" i="6" s="1"/>
  <c r="C117" i="6" a="1"/>
  <c r="C117" i="6" s="1"/>
  <c r="M118" i="6"/>
  <c r="E115" i="12"/>
  <c r="W117" i="6" l="1"/>
  <c r="V117" i="6"/>
  <c r="I118" i="6" a="1"/>
  <c r="I118" i="6" s="1"/>
  <c r="C118" i="6" a="1"/>
  <c r="C118" i="6" s="1"/>
  <c r="G118" i="6" a="1"/>
  <c r="G118" i="6" s="1"/>
  <c r="E118" i="6" a="1"/>
  <c r="E118" i="6" s="1"/>
  <c r="M119" i="6"/>
  <c r="E116" i="12"/>
  <c r="V118" i="6" l="1"/>
  <c r="W118" i="6"/>
  <c r="X118" i="6"/>
  <c r="C119" i="6" a="1"/>
  <c r="C119" i="6" s="1"/>
  <c r="G119" i="6" a="1"/>
  <c r="G119" i="6" s="1"/>
  <c r="I119" i="6" a="1"/>
  <c r="I119" i="6" s="1"/>
  <c r="E119" i="6" a="1"/>
  <c r="E119" i="6" s="1"/>
  <c r="M120" i="6"/>
  <c r="I117" i="6" s="1" a="1"/>
  <c r="I117" i="6" s="1"/>
  <c r="X117" i="6" s="1"/>
  <c r="E117" i="12"/>
  <c r="V119" i="6" l="1"/>
  <c r="W119" i="6"/>
  <c r="X119" i="6"/>
  <c r="E120" i="6" a="1"/>
  <c r="E120" i="6" s="1"/>
  <c r="I120" i="6" a="1"/>
  <c r="I120" i="6" s="1"/>
  <c r="G120" i="6" a="1"/>
  <c r="G120" i="6" s="1"/>
  <c r="C120" i="6" a="1"/>
  <c r="C120" i="6" s="1"/>
  <c r="M121" i="6"/>
  <c r="E118" i="12"/>
  <c r="X120" i="6" l="1"/>
  <c r="W120" i="6"/>
  <c r="V120" i="6"/>
  <c r="I121" i="6" a="1"/>
  <c r="I121" i="6" s="1"/>
  <c r="G121" i="6" a="1"/>
  <c r="G121" i="6" s="1"/>
  <c r="C121" i="6" a="1"/>
  <c r="C121" i="6" s="1"/>
  <c r="M122" i="6"/>
  <c r="E119" i="12"/>
  <c r="W121" i="6" l="1"/>
  <c r="X121" i="6"/>
  <c r="I122" i="6" a="1"/>
  <c r="I122" i="6" s="1"/>
  <c r="G122" i="6" a="1"/>
  <c r="G122" i="6" s="1"/>
  <c r="E122" i="6" a="1"/>
  <c r="E122" i="6" s="1"/>
  <c r="C122" i="6" a="1"/>
  <c r="C122" i="6" s="1"/>
  <c r="M123" i="6"/>
  <c r="E120" i="12"/>
  <c r="V122" i="6" l="1"/>
  <c r="W122" i="6"/>
  <c r="X122" i="6"/>
  <c r="I123" i="6" a="1"/>
  <c r="I123" i="6" s="1"/>
  <c r="G123" i="6" a="1"/>
  <c r="G123" i="6" s="1"/>
  <c r="E123" i="6" a="1"/>
  <c r="E123" i="6" s="1"/>
  <c r="C123" i="6" a="1"/>
  <c r="C123" i="6" s="1"/>
  <c r="M124" i="6"/>
  <c r="E121" i="6" s="1" a="1"/>
  <c r="E121" i="6" s="1"/>
  <c r="V121" i="6" s="1"/>
  <c r="E121" i="12"/>
  <c r="W123" i="6" l="1"/>
  <c r="X123" i="6"/>
  <c r="V123" i="6"/>
  <c r="I124" i="6" a="1"/>
  <c r="I124" i="6" s="1"/>
  <c r="G124" i="6" a="1"/>
  <c r="G124" i="6" s="1"/>
  <c r="C124" i="6" a="1"/>
  <c r="C124" i="6" s="1"/>
  <c r="E124" i="6" a="1"/>
  <c r="E124" i="6" s="1"/>
  <c r="M125" i="6"/>
  <c r="E122" i="12"/>
  <c r="V124" i="6" l="1"/>
  <c r="W124" i="6"/>
  <c r="X124" i="6"/>
  <c r="G125" i="6" a="1"/>
  <c r="G125" i="6" s="1"/>
  <c r="C125" i="6" a="1"/>
  <c r="C125" i="6" s="1"/>
  <c r="I125" i="6" a="1"/>
  <c r="I125" i="6" s="1"/>
  <c r="M126" i="6"/>
  <c r="E123" i="12"/>
  <c r="W125" i="6" l="1"/>
  <c r="X125" i="6"/>
  <c r="G126" i="6" a="1"/>
  <c r="G126" i="6" s="1"/>
  <c r="I126" i="6" a="1"/>
  <c r="I126" i="6" s="1"/>
  <c r="E126" i="6" a="1"/>
  <c r="E126" i="6" s="1"/>
  <c r="C126" i="6" a="1"/>
  <c r="C126" i="6" s="1"/>
  <c r="M127" i="6"/>
  <c r="E124" i="12"/>
  <c r="V126" i="6" l="1"/>
  <c r="W126" i="6"/>
  <c r="X126" i="6"/>
  <c r="G127" i="6" a="1"/>
  <c r="G127" i="6" s="1"/>
  <c r="E127" i="6" a="1"/>
  <c r="E127" i="6" s="1"/>
  <c r="C127" i="6" a="1"/>
  <c r="C127" i="6" s="1"/>
  <c r="I127" i="6" a="1"/>
  <c r="I127" i="6" s="1"/>
  <c r="M128" i="6"/>
  <c r="E125" i="6" s="1" a="1"/>
  <c r="E125" i="6" s="1"/>
  <c r="V125" i="6" s="1"/>
  <c r="E125" i="12"/>
  <c r="W127" i="6" l="1"/>
  <c r="V127" i="6"/>
  <c r="X127" i="6"/>
  <c r="G128" i="6" a="1"/>
  <c r="G128" i="6" s="1"/>
  <c r="E128" i="6" a="1"/>
  <c r="E128" i="6" s="1"/>
  <c r="I128" i="6" a="1"/>
  <c r="I128" i="6" s="1"/>
  <c r="C128" i="6" a="1"/>
  <c r="C128" i="6" s="1"/>
  <c r="M129" i="6"/>
  <c r="E126" i="12"/>
  <c r="V128" i="6" l="1"/>
  <c r="W128" i="6"/>
  <c r="X128" i="6"/>
  <c r="E129" i="6" a="1"/>
  <c r="E129" i="6" s="1"/>
  <c r="G129" i="6" a="1"/>
  <c r="G129" i="6" s="1"/>
  <c r="C129" i="6" a="1"/>
  <c r="C129" i="6" s="1"/>
  <c r="M130" i="6"/>
  <c r="E127" i="12"/>
  <c r="W129" i="6" l="1"/>
  <c r="V129" i="6"/>
  <c r="I130" i="6" a="1"/>
  <c r="I130" i="6" s="1"/>
  <c r="C130" i="6" a="1"/>
  <c r="C130" i="6" s="1"/>
  <c r="E130" i="6" a="1"/>
  <c r="E130" i="6" s="1"/>
  <c r="G130" i="6" a="1"/>
  <c r="G130" i="6" s="1"/>
  <c r="M131" i="6"/>
  <c r="E128" i="12"/>
  <c r="W130" i="6" l="1"/>
  <c r="V130" i="6"/>
  <c r="X130" i="6"/>
  <c r="C131" i="6" a="1"/>
  <c r="C131" i="6" s="1"/>
  <c r="G131" i="6" a="1"/>
  <c r="G131" i="6" s="1"/>
  <c r="I131" i="6" a="1"/>
  <c r="I131" i="6" s="1"/>
  <c r="E131" i="6" a="1"/>
  <c r="E131" i="6" s="1"/>
  <c r="M132" i="6"/>
  <c r="I129" i="6" s="1" a="1"/>
  <c r="I129" i="6" s="1"/>
  <c r="X129" i="6" s="1"/>
  <c r="E129" i="12"/>
  <c r="V131" i="6" l="1"/>
  <c r="W131" i="6"/>
  <c r="X131" i="6"/>
  <c r="E132" i="6" a="1"/>
  <c r="E132" i="6" s="1"/>
  <c r="I132" i="6" a="1"/>
  <c r="I132" i="6" s="1"/>
  <c r="G132" i="6" a="1"/>
  <c r="G132" i="6" s="1"/>
  <c r="C132" i="6" a="1"/>
  <c r="C132" i="6" s="1"/>
  <c r="M133" i="6"/>
  <c r="E130" i="12"/>
  <c r="W132" i="6" l="1"/>
  <c r="V132" i="6"/>
  <c r="X132" i="6"/>
  <c r="I133" i="6" a="1"/>
  <c r="I133" i="6" s="1"/>
  <c r="G133" i="6" a="1"/>
  <c r="G133" i="6" s="1"/>
  <c r="C133" i="6" a="1"/>
  <c r="C133" i="6" s="1"/>
  <c r="M134" i="6"/>
  <c r="E131" i="12"/>
  <c r="W133" i="6" l="1"/>
  <c r="X133" i="6"/>
  <c r="I134" i="6" a="1"/>
  <c r="I134" i="6" s="1"/>
  <c r="G134" i="6" a="1"/>
  <c r="G134" i="6" s="1"/>
  <c r="C134" i="6" a="1"/>
  <c r="C134" i="6" s="1"/>
  <c r="E134" i="6" a="1"/>
  <c r="E134" i="6" s="1"/>
  <c r="M135" i="6"/>
  <c r="E132" i="12"/>
  <c r="V134" i="6" l="1"/>
  <c r="X134" i="6"/>
  <c r="W134" i="6"/>
  <c r="I135" i="6" a="1"/>
  <c r="I135" i="6" s="1"/>
  <c r="G135" i="6" a="1"/>
  <c r="G135" i="6" s="1"/>
  <c r="E135" i="6" a="1"/>
  <c r="E135" i="6" s="1"/>
  <c r="C135" i="6" a="1"/>
  <c r="C135" i="6" s="1"/>
  <c r="M136" i="6"/>
  <c r="E133" i="6" s="1" a="1"/>
  <c r="E133" i="6" s="1"/>
  <c r="V133" i="6" s="1"/>
  <c r="E133" i="12"/>
  <c r="X135" i="6" l="1"/>
  <c r="V135" i="6"/>
  <c r="W135" i="6"/>
  <c r="I136" i="6" a="1"/>
  <c r="I136" i="6" s="1"/>
  <c r="G136" i="6" a="1"/>
  <c r="G136" i="6" s="1"/>
  <c r="C136" i="6" a="1"/>
  <c r="C136" i="6" s="1"/>
  <c r="E136" i="6" a="1"/>
  <c r="E136" i="6" s="1"/>
  <c r="M137" i="6"/>
  <c r="E134" i="12"/>
  <c r="X136" i="6" l="1"/>
  <c r="W136" i="6"/>
  <c r="V136" i="6"/>
  <c r="C137" i="6" a="1"/>
  <c r="C137" i="6" s="1"/>
  <c r="I137" i="6" a="1"/>
  <c r="I137" i="6" s="1"/>
  <c r="E137" i="6" a="1"/>
  <c r="E137" i="6" s="1"/>
  <c r="M138" i="6"/>
  <c r="E135" i="12"/>
  <c r="X137" i="6" l="1"/>
  <c r="V137" i="6"/>
  <c r="C138" i="6" a="1"/>
  <c r="C138" i="6" s="1"/>
  <c r="I138" i="6" a="1"/>
  <c r="I138" i="6" s="1"/>
  <c r="M139" i="6"/>
  <c r="G137" i="6" s="1" a="1"/>
  <c r="G137" i="6" s="1"/>
  <c r="W137" i="6" s="1"/>
  <c r="E136" i="12"/>
  <c r="X138" i="6" l="1"/>
  <c r="G139" i="6" a="1"/>
  <c r="G139" i="6" s="1"/>
  <c r="E139" i="6" a="1"/>
  <c r="E139" i="6" s="1"/>
  <c r="I139" i="6" a="1"/>
  <c r="I139" i="6" s="1"/>
  <c r="C139" i="6" a="1"/>
  <c r="C139" i="6" s="1"/>
  <c r="M140" i="6"/>
  <c r="E137" i="12"/>
  <c r="X139" i="6" l="1"/>
  <c r="W139" i="6"/>
  <c r="V139" i="6"/>
  <c r="G138" i="6" a="1"/>
  <c r="G138" i="6" s="1"/>
  <c r="W138" i="6" s="1"/>
  <c r="E138" i="6" a="1"/>
  <c r="E138" i="6" s="1"/>
  <c r="V138" i="6" s="1"/>
  <c r="I140" i="6" a="1"/>
  <c r="I140" i="6" s="1"/>
  <c r="E140" i="6" a="1"/>
  <c r="E140" i="6" s="1"/>
  <c r="G140" i="6" a="1"/>
  <c r="G140" i="6" s="1"/>
  <c r="C140" i="6" a="1"/>
  <c r="C140" i="6" s="1"/>
  <c r="M141" i="6"/>
  <c r="E138" i="12"/>
  <c r="V140" i="6" l="1"/>
  <c r="W140" i="6"/>
  <c r="X140" i="6"/>
  <c r="E141" i="6" a="1"/>
  <c r="E141" i="6" s="1"/>
  <c r="I141" i="6" a="1"/>
  <c r="I141" i="6" s="1"/>
  <c r="C141" i="6" a="1"/>
  <c r="C141" i="6" s="1"/>
  <c r="M142" i="6"/>
  <c r="E139" i="12"/>
  <c r="X141" i="6" l="1"/>
  <c r="V141" i="6"/>
  <c r="I142" i="6" a="1"/>
  <c r="I142" i="6" s="1"/>
  <c r="C142" i="6" a="1"/>
  <c r="C142" i="6" s="1"/>
  <c r="M143" i="6"/>
  <c r="G141" i="6" s="1" a="1"/>
  <c r="G141" i="6" s="1"/>
  <c r="W141" i="6" s="1"/>
  <c r="E140" i="12"/>
  <c r="X142" i="6" l="1"/>
  <c r="G143" i="6" a="1"/>
  <c r="G143" i="6" s="1"/>
  <c r="E143" i="6" a="1"/>
  <c r="E143" i="6" s="1"/>
  <c r="C143" i="6" a="1"/>
  <c r="C143" i="6" s="1"/>
  <c r="I143" i="6" a="1"/>
  <c r="I143" i="6" s="1"/>
  <c r="M144" i="6"/>
  <c r="E141" i="12"/>
  <c r="V143" i="6" l="1"/>
  <c r="W143" i="6"/>
  <c r="X143" i="6"/>
  <c r="G142" i="6" a="1"/>
  <c r="G142" i="6" s="1"/>
  <c r="W142" i="6" s="1"/>
  <c r="E142" i="6" a="1"/>
  <c r="E142" i="6" s="1"/>
  <c r="V142" i="6" s="1"/>
  <c r="E144" i="6" a="1"/>
  <c r="E144" i="6" s="1"/>
  <c r="I144" i="6" a="1"/>
  <c r="I144" i="6" s="1"/>
  <c r="G144" i="6" a="1"/>
  <c r="G144" i="6" s="1"/>
  <c r="C144" i="6" a="1"/>
  <c r="C144" i="6" s="1"/>
  <c r="M145" i="6"/>
  <c r="E142" i="12"/>
  <c r="W144" i="6" l="1"/>
  <c r="X144" i="6"/>
  <c r="V144" i="6"/>
  <c r="I145" i="6" a="1"/>
  <c r="I145" i="6" s="1"/>
  <c r="G145" i="6" a="1"/>
  <c r="G145" i="6" s="1"/>
  <c r="C145" i="6" a="1"/>
  <c r="C145" i="6" s="1"/>
  <c r="M146" i="6"/>
  <c r="E143" i="12"/>
  <c r="X145" i="6" l="1"/>
  <c r="W145" i="6"/>
  <c r="I146" i="6" a="1"/>
  <c r="I146" i="6" s="1"/>
  <c r="G146" i="6" a="1"/>
  <c r="G146" i="6" s="1"/>
  <c r="C146" i="6" a="1"/>
  <c r="C146" i="6" s="1"/>
  <c r="M147" i="6"/>
  <c r="E145" i="6" s="1" a="1"/>
  <c r="E145" i="6" s="1"/>
  <c r="V145" i="6" s="1"/>
  <c r="E144" i="12"/>
  <c r="X146" i="6" l="1"/>
  <c r="W146" i="6"/>
  <c r="I147" i="6" a="1"/>
  <c r="I147" i="6" s="1"/>
  <c r="G147" i="6" a="1"/>
  <c r="G147" i="6" s="1"/>
  <c r="C147" i="6" a="1"/>
  <c r="C147" i="6" s="1"/>
  <c r="E147" i="6" a="1"/>
  <c r="E147" i="6" s="1"/>
  <c r="M148" i="6"/>
  <c r="E146" i="6" s="1" a="1"/>
  <c r="E146" i="6" s="1"/>
  <c r="V146" i="6" s="1"/>
  <c r="E145" i="12"/>
  <c r="W147" i="6" l="1"/>
  <c r="V147" i="6"/>
  <c r="X147" i="6"/>
  <c r="I148" i="6" a="1"/>
  <c r="I148" i="6" s="1"/>
  <c r="G148" i="6" a="1"/>
  <c r="G148" i="6" s="1"/>
  <c r="C148" i="6" a="1"/>
  <c r="C148" i="6" s="1"/>
  <c r="E148" i="6" a="1"/>
  <c r="E148" i="6" s="1"/>
  <c r="M149" i="6"/>
  <c r="E146" i="12"/>
  <c r="V148" i="6" l="1"/>
  <c r="W148" i="6"/>
  <c r="X148" i="6"/>
  <c r="I149" i="6" a="1"/>
  <c r="I149" i="6" s="1"/>
  <c r="C149" i="6" a="1"/>
  <c r="C149" i="6" s="1"/>
  <c r="E149" i="6" a="1"/>
  <c r="E149" i="6" s="1"/>
  <c r="M150" i="6"/>
  <c r="E147" i="12"/>
  <c r="V149" i="6" l="1"/>
  <c r="X149" i="6"/>
  <c r="G150" i="6" a="1"/>
  <c r="G150" i="6" s="1"/>
  <c r="C150" i="6" a="1"/>
  <c r="C150" i="6" s="1"/>
  <c r="E150" i="6" a="1"/>
  <c r="E150" i="6" s="1"/>
  <c r="M151" i="6"/>
  <c r="G149" i="6" s="1" a="1"/>
  <c r="G149" i="6" s="1"/>
  <c r="W149" i="6" s="1"/>
  <c r="E148" i="12"/>
  <c r="V150" i="6" l="1"/>
  <c r="W150" i="6"/>
  <c r="G151" i="6" a="1"/>
  <c r="G151" i="6" s="1"/>
  <c r="E151" i="6" a="1"/>
  <c r="E151" i="6" s="1"/>
  <c r="C151" i="6" a="1"/>
  <c r="C151" i="6" s="1"/>
  <c r="I151" i="6" a="1"/>
  <c r="I151" i="6" s="1"/>
  <c r="M152" i="6"/>
  <c r="I150" i="6" s="1" a="1"/>
  <c r="I150" i="6" s="1"/>
  <c r="X150" i="6" s="1"/>
  <c r="E149" i="12"/>
  <c r="X151" i="6" l="1"/>
  <c r="W151" i="6"/>
  <c r="V151" i="6"/>
  <c r="E152" i="6" a="1"/>
  <c r="E152" i="6" s="1"/>
  <c r="I152" i="6" a="1"/>
  <c r="I152" i="6" s="1"/>
  <c r="G152" i="6" a="1"/>
  <c r="G152" i="6" s="1"/>
  <c r="C152" i="6" a="1"/>
  <c r="C152" i="6" s="1"/>
  <c r="M153" i="6"/>
  <c r="E150" i="12"/>
  <c r="X152" i="6" l="1"/>
  <c r="W152" i="6"/>
  <c r="V152" i="6"/>
  <c r="E153" i="6" a="1"/>
  <c r="E153" i="6" s="1"/>
  <c r="I153" i="6" a="1"/>
  <c r="I153" i="6" s="1"/>
  <c r="C153" i="6" a="1"/>
  <c r="C153" i="6" s="1"/>
  <c r="M154" i="6"/>
  <c r="E151" i="12"/>
  <c r="X153" i="6" l="1"/>
  <c r="V153" i="6"/>
  <c r="C154" i="6" a="1"/>
  <c r="C154" i="6" s="1"/>
  <c r="G154" i="6" a="1"/>
  <c r="G154" i="6" s="1"/>
  <c r="E154" i="6" a="1"/>
  <c r="E154" i="6" s="1"/>
  <c r="M155" i="6"/>
  <c r="G153" i="6" s="1" a="1"/>
  <c r="G153" i="6" s="1"/>
  <c r="W153" i="6" s="1"/>
  <c r="E152" i="12"/>
  <c r="V154" i="6" l="1"/>
  <c r="W154" i="6"/>
  <c r="C155" i="6" a="1"/>
  <c r="C155" i="6" s="1"/>
  <c r="E155" i="6" a="1"/>
  <c r="E155" i="6" s="1"/>
  <c r="I155" i="6" a="1"/>
  <c r="I155" i="6" s="1"/>
  <c r="G155" i="6" a="1"/>
  <c r="G155" i="6" s="1"/>
  <c r="M156" i="6"/>
  <c r="I154" i="6" s="1" a="1"/>
  <c r="I154" i="6" s="1"/>
  <c r="X154" i="6" s="1"/>
  <c r="E153" i="12"/>
  <c r="X155" i="6" l="1"/>
  <c r="W155" i="6"/>
  <c r="V155" i="6"/>
  <c r="E156" i="6" a="1"/>
  <c r="E156" i="6" s="1"/>
  <c r="I156" i="6" a="1"/>
  <c r="I156" i="6" s="1"/>
  <c r="G156" i="6" a="1"/>
  <c r="G156" i="6" s="1"/>
  <c r="C156" i="6" a="1"/>
  <c r="C156" i="6" s="1"/>
  <c r="M157" i="6"/>
  <c r="E154" i="12"/>
  <c r="V156" i="6" l="1"/>
  <c r="X156" i="6"/>
  <c r="W156" i="6"/>
  <c r="E157" i="6" a="1"/>
  <c r="E157" i="6" s="1"/>
  <c r="I157" i="6" a="1"/>
  <c r="I157" i="6" s="1"/>
  <c r="G157" i="6" a="1"/>
  <c r="G157" i="6" s="1"/>
  <c r="C157" i="6" a="1"/>
  <c r="C157" i="6" s="1"/>
  <c r="M158" i="6"/>
  <c r="E155" i="12"/>
  <c r="W157" i="6" l="1"/>
  <c r="V157" i="6"/>
  <c r="X157" i="6"/>
  <c r="I158" i="6" a="1"/>
  <c r="I158" i="6" s="1"/>
  <c r="E158" i="6" a="1"/>
  <c r="E158" i="6" s="1"/>
  <c r="C158" i="6" a="1"/>
  <c r="C158" i="6" s="1"/>
  <c r="M159" i="6"/>
  <c r="E156" i="12"/>
  <c r="V158" i="6" l="1"/>
  <c r="X158" i="6"/>
  <c r="I159" i="6" a="1"/>
  <c r="I159" i="6" s="1"/>
  <c r="G159" i="6" a="1"/>
  <c r="G159" i="6" s="1"/>
  <c r="E159" i="6" a="1"/>
  <c r="E159" i="6" s="1"/>
  <c r="C159" i="6" a="1"/>
  <c r="C159" i="6" s="1"/>
  <c r="M160" i="6"/>
  <c r="E157" i="12"/>
  <c r="X159" i="6" l="1"/>
  <c r="V159" i="6"/>
  <c r="W159" i="6"/>
  <c r="I160" i="6" a="1"/>
  <c r="I160" i="6" s="1"/>
  <c r="G160" i="6" a="1"/>
  <c r="G160" i="6" s="1"/>
  <c r="C160" i="6" a="1"/>
  <c r="C160" i="6" s="1"/>
  <c r="E160" i="6" a="1"/>
  <c r="E160" i="6" s="1"/>
  <c r="M161" i="6"/>
  <c r="G158" i="6" s="1" a="1"/>
  <c r="G158" i="6" s="1"/>
  <c r="W158" i="6" s="1"/>
  <c r="E158" i="12"/>
  <c r="X160" i="6" l="1"/>
  <c r="V160" i="6"/>
  <c r="W160" i="6"/>
  <c r="G161" i="6" a="1"/>
  <c r="G161" i="6" s="1"/>
  <c r="E161" i="6" a="1"/>
  <c r="E161" i="6" s="1"/>
  <c r="C161" i="6" a="1"/>
  <c r="C161" i="6" s="1"/>
  <c r="I161" i="6" a="1"/>
  <c r="I161" i="6" s="1"/>
  <c r="M173" i="6"/>
  <c r="E159" i="12"/>
  <c r="W161" i="6" l="1"/>
  <c r="X161" i="6"/>
  <c r="V161" i="6"/>
  <c r="G173" i="6" a="1"/>
  <c r="G173" i="6" s="1"/>
  <c r="C173" i="6" a="1"/>
  <c r="C173" i="6" s="1"/>
  <c r="I173" i="6" a="1"/>
  <c r="I173" i="6" s="1"/>
  <c r="M174" i="6"/>
  <c r="E160" i="12"/>
  <c r="W173" i="6" l="1"/>
  <c r="X173" i="6"/>
  <c r="G174" i="6" a="1"/>
  <c r="G174" i="6" s="1"/>
  <c r="E174" i="6" a="1"/>
  <c r="E174" i="6" s="1"/>
  <c r="I174" i="6" a="1"/>
  <c r="I174" i="6" s="1"/>
  <c r="C174" i="6" a="1"/>
  <c r="C174" i="6" s="1"/>
  <c r="M175" i="6"/>
  <c r="E161" i="12"/>
  <c r="W174" i="6" l="1"/>
  <c r="V174" i="6"/>
  <c r="X174" i="6"/>
  <c r="G175" i="6" a="1"/>
  <c r="G175" i="6" s="1"/>
  <c r="E175" i="6" a="1"/>
  <c r="E175" i="6" s="1"/>
  <c r="I175" i="6" a="1"/>
  <c r="I175" i="6" s="1"/>
  <c r="C175" i="6" a="1"/>
  <c r="C175" i="6" s="1"/>
  <c r="M176" i="6"/>
  <c r="E173" i="6" s="1" a="1"/>
  <c r="E173" i="6" s="1"/>
  <c r="V173" i="6" s="1"/>
  <c r="E162" i="12"/>
  <c r="V175" i="6" l="1"/>
  <c r="W175" i="6"/>
  <c r="X175" i="6"/>
  <c r="G176" i="6" a="1"/>
  <c r="G176" i="6" s="1"/>
  <c r="E176" i="6" a="1"/>
  <c r="E176" i="6" s="1"/>
  <c r="I176" i="6" a="1"/>
  <c r="I176" i="6" s="1"/>
  <c r="C176" i="6" a="1"/>
  <c r="C176" i="6" s="1"/>
  <c r="M177" i="6"/>
  <c r="E163" i="12"/>
  <c r="V176" i="6" l="1"/>
  <c r="W176" i="6"/>
  <c r="X176" i="6"/>
  <c r="I177" i="6" a="1"/>
  <c r="I177" i="6" s="1"/>
  <c r="C177" i="6" a="1"/>
  <c r="C177" i="6" s="1"/>
  <c r="M178" i="6"/>
  <c r="E164" i="12"/>
  <c r="X177" i="6" l="1"/>
  <c r="I178" i="6" a="1"/>
  <c r="I178" i="6" s="1"/>
  <c r="C178" i="6" a="1"/>
  <c r="C178" i="6" s="1"/>
  <c r="M179" i="6"/>
  <c r="G177" i="6" s="1" a="1"/>
  <c r="G177" i="6" s="1"/>
  <c r="W177" i="6" s="1"/>
  <c r="E165" i="12"/>
  <c r="X178" i="6" l="1"/>
  <c r="G179" i="6" a="1"/>
  <c r="G179" i="6" s="1"/>
  <c r="C179" i="6" a="1"/>
  <c r="C179" i="6" s="1"/>
  <c r="I179" i="6" a="1"/>
  <c r="I179" i="6" s="1"/>
  <c r="M180" i="6"/>
  <c r="G178" i="6" s="1" a="1"/>
  <c r="G178" i="6" s="1"/>
  <c r="W178" i="6" s="1"/>
  <c r="E166" i="12"/>
  <c r="W179" i="6" l="1"/>
  <c r="X179" i="6"/>
  <c r="I180" i="6" a="1"/>
  <c r="I180" i="6" s="1"/>
  <c r="G180" i="6" a="1"/>
  <c r="G180" i="6" s="1"/>
  <c r="C180" i="6" a="1"/>
  <c r="C180" i="6" s="1"/>
  <c r="M181" i="6"/>
  <c r="E179" i="6" s="1" a="1"/>
  <c r="E179" i="6" s="1"/>
  <c r="V179" i="6" s="1"/>
  <c r="E167" i="12"/>
  <c r="W180" i="6" l="1"/>
  <c r="X180" i="6"/>
  <c r="E181" i="6" a="1"/>
  <c r="E181" i="6" s="1"/>
  <c r="I181" i="6" a="1"/>
  <c r="I181" i="6" s="1"/>
  <c r="C181" i="6" a="1"/>
  <c r="C181" i="6" s="1"/>
  <c r="M182" i="6"/>
  <c r="E177" i="6" s="1" a="1"/>
  <c r="E177" i="6" s="1"/>
  <c r="V177" i="6" s="1"/>
  <c r="E168" i="12"/>
  <c r="V181" i="6" l="1"/>
  <c r="X181" i="6"/>
  <c r="I182" i="6" a="1"/>
  <c r="I182" i="6" s="1"/>
  <c r="E182" i="6" a="1"/>
  <c r="E182" i="6" s="1"/>
  <c r="C182" i="6" a="1"/>
  <c r="C182" i="6" s="1"/>
  <c r="M183" i="6"/>
  <c r="E169" i="12"/>
  <c r="V182" i="6" l="1"/>
  <c r="X182" i="6"/>
  <c r="E180" i="6" a="1"/>
  <c r="E180" i="6" s="1"/>
  <c r="V180" i="6" s="1"/>
  <c r="G181" i="6" a="1"/>
  <c r="G181" i="6" s="1"/>
  <c r="W181" i="6" s="1"/>
  <c r="I183" i="6" a="1"/>
  <c r="I183" i="6" s="1"/>
  <c r="G183" i="6" a="1"/>
  <c r="G183" i="6" s="1"/>
  <c r="C183" i="6" a="1"/>
  <c r="C183" i="6" s="1"/>
  <c r="E183" i="6" a="1"/>
  <c r="E183" i="6" s="1"/>
  <c r="M184" i="6"/>
  <c r="E170" i="12"/>
  <c r="W183" i="6" l="1"/>
  <c r="X183" i="6"/>
  <c r="V183" i="6"/>
  <c r="E178" i="6" a="1"/>
  <c r="E178" i="6" s="1"/>
  <c r="V178" i="6" s="1"/>
  <c r="G182" i="6" a="1"/>
  <c r="G182" i="6" s="1"/>
  <c r="W182" i="6" s="1"/>
  <c r="I184" i="6" a="1"/>
  <c r="I184" i="6" s="1"/>
  <c r="G184" i="6" a="1"/>
  <c r="G184" i="6" s="1"/>
  <c r="C184" i="6" a="1"/>
  <c r="C184" i="6" s="1"/>
  <c r="E184" i="6" a="1"/>
  <c r="E184" i="6" s="1"/>
  <c r="M185" i="6"/>
  <c r="E171" i="12"/>
  <c r="V184" i="6" l="1"/>
  <c r="W184" i="6"/>
  <c r="X184" i="6"/>
  <c r="C185" i="6" a="1"/>
  <c r="C185" i="6" s="1"/>
  <c r="E185" i="6" a="1"/>
  <c r="E185" i="6" s="1"/>
  <c r="M186" i="6"/>
  <c r="E172" i="12"/>
  <c r="V185" i="6" l="1"/>
  <c r="E186" i="6" a="1"/>
  <c r="E186" i="6" s="1"/>
  <c r="C186" i="6" a="1"/>
  <c r="C186" i="6" s="1"/>
  <c r="M187" i="6"/>
  <c r="E173" i="12"/>
  <c r="V186" i="6" l="1"/>
  <c r="E187" i="6" a="1"/>
  <c r="E187" i="6" s="1"/>
  <c r="C187" i="6" a="1"/>
  <c r="C187" i="6" s="1"/>
  <c r="M188" i="6"/>
  <c r="E174" i="12"/>
  <c r="V187" i="6" l="1"/>
  <c r="E188" i="6" a="1"/>
  <c r="E188" i="6" s="1"/>
  <c r="C188" i="6" a="1"/>
  <c r="C188" i="6" s="1"/>
  <c r="M189" i="6"/>
  <c r="E175" i="12"/>
  <c r="V188" i="6" l="1"/>
  <c r="I185" i="6" a="1"/>
  <c r="I185" i="6" s="1"/>
  <c r="X185" i="6" s="1"/>
  <c r="G187" i="6" a="1"/>
  <c r="G187" i="6" s="1"/>
  <c r="W187" i="6" s="1"/>
  <c r="E189" i="6" a="1"/>
  <c r="E189" i="6" s="1"/>
  <c r="I189" i="6" a="1"/>
  <c r="I189" i="6" s="1"/>
  <c r="C189" i="6" a="1"/>
  <c r="C189" i="6" s="1"/>
  <c r="G189" i="6" a="1"/>
  <c r="G189" i="6" s="1"/>
  <c r="M190" i="6"/>
  <c r="E176" i="12"/>
  <c r="V189" i="6" l="1"/>
  <c r="W189" i="6"/>
  <c r="X189" i="6"/>
  <c r="G186" i="6" a="1"/>
  <c r="G186" i="6" s="1"/>
  <c r="W186" i="6" s="1"/>
  <c r="I188" i="6" a="1"/>
  <c r="I188" i="6" s="1"/>
  <c r="X188" i="6" s="1"/>
  <c r="E190" i="6" a="1"/>
  <c r="E190" i="6" s="1"/>
  <c r="I190" i="6" a="1"/>
  <c r="I190" i="6" s="1"/>
  <c r="G190" i="6" a="1"/>
  <c r="G190" i="6" s="1"/>
  <c r="C190" i="6" a="1"/>
  <c r="C190" i="6" s="1"/>
  <c r="M191" i="6"/>
  <c r="E177" i="12"/>
  <c r="V190" i="6" l="1"/>
  <c r="X190" i="6"/>
  <c r="W190" i="6"/>
  <c r="G185" i="6" a="1"/>
  <c r="G185" i="6" s="1"/>
  <c r="W185" i="6" s="1"/>
  <c r="I187" i="6" a="1"/>
  <c r="I187" i="6" s="1"/>
  <c r="X187" i="6" s="1"/>
  <c r="C191" i="6" a="1"/>
  <c r="C191" i="6" s="1"/>
  <c r="G191" i="6" a="1"/>
  <c r="G191" i="6" s="1"/>
  <c r="E191" i="6" a="1"/>
  <c r="E191" i="6" s="1"/>
  <c r="I191" i="6" a="1"/>
  <c r="I191" i="6" s="1"/>
  <c r="M192" i="6"/>
  <c r="E178" i="12"/>
  <c r="X191" i="6" l="1"/>
  <c r="V191" i="6"/>
  <c r="W191" i="6"/>
  <c r="I186" i="6" a="1"/>
  <c r="I186" i="6" s="1"/>
  <c r="X186" i="6" s="1"/>
  <c r="G188" i="6" a="1"/>
  <c r="G188" i="6" s="1"/>
  <c r="W188" i="6" s="1"/>
  <c r="E192" i="6" a="1"/>
  <c r="E192" i="6" s="1"/>
  <c r="I192" i="6" a="1"/>
  <c r="I192" i="6" s="1"/>
  <c r="G192" i="6" a="1"/>
  <c r="G192" i="6" s="1"/>
  <c r="C192" i="6" a="1"/>
  <c r="C192" i="6" s="1"/>
  <c r="M193" i="6"/>
  <c r="E179" i="12"/>
  <c r="V192" i="6" l="1"/>
  <c r="W192" i="6"/>
  <c r="X192" i="6"/>
  <c r="I193" i="6" a="1"/>
  <c r="I193" i="6" s="1"/>
  <c r="G193" i="6" a="1"/>
  <c r="G193" i="6" s="1"/>
  <c r="C193" i="6" a="1"/>
  <c r="C193" i="6" s="1"/>
  <c r="M194" i="6"/>
  <c r="E180" i="12"/>
  <c r="W193" i="6" l="1"/>
  <c r="X193" i="6"/>
  <c r="G194" i="6" a="1"/>
  <c r="G194" i="6" s="1"/>
  <c r="E194" i="6" a="1"/>
  <c r="E194" i="6" s="1"/>
  <c r="C194" i="6" a="1"/>
  <c r="C194" i="6" s="1"/>
  <c r="M195" i="6"/>
  <c r="E181" i="12"/>
  <c r="V194" i="6" l="1"/>
  <c r="W194" i="6"/>
  <c r="I195" i="6" a="1"/>
  <c r="I195" i="6" s="1"/>
  <c r="C195" i="6" a="1"/>
  <c r="C195" i="6" s="1"/>
  <c r="M196" i="6"/>
  <c r="E193" i="6" s="1" a="1"/>
  <c r="E193" i="6" s="1"/>
  <c r="V193" i="6" s="1"/>
  <c r="E182" i="12"/>
  <c r="X195" i="6" l="1"/>
  <c r="I196" i="6" a="1"/>
  <c r="I196" i="6" s="1"/>
  <c r="G196" i="6" a="1"/>
  <c r="G196" i="6" s="1"/>
  <c r="E196" i="6" a="1"/>
  <c r="E196" i="6" s="1"/>
  <c r="C196" i="6" a="1"/>
  <c r="C196" i="6" s="1"/>
  <c r="M197" i="6"/>
  <c r="E183" i="12"/>
  <c r="W196" i="6" l="1"/>
  <c r="X196" i="6"/>
  <c r="V196" i="6"/>
  <c r="G197" i="6" a="1"/>
  <c r="G197" i="6" s="1"/>
  <c r="C197" i="6" a="1"/>
  <c r="C197" i="6" s="1"/>
  <c r="M198" i="6"/>
  <c r="E184" i="12"/>
  <c r="W197" i="6" l="1"/>
  <c r="G198" i="6" a="1"/>
  <c r="G198" i="6" s="1"/>
  <c r="E198" i="6" a="1"/>
  <c r="E198" i="6" s="1"/>
  <c r="C198" i="6" a="1"/>
  <c r="C198" i="6" s="1"/>
  <c r="I198" i="6" a="1"/>
  <c r="I198" i="6" s="1"/>
  <c r="M199" i="6"/>
  <c r="E185" i="12"/>
  <c r="X198" i="6" l="1"/>
  <c r="W198" i="6"/>
  <c r="V198" i="6"/>
  <c r="G199" i="6" a="1"/>
  <c r="G199" i="6" s="1"/>
  <c r="E199" i="6" a="1"/>
  <c r="E199" i="6" s="1"/>
  <c r="I199" i="6" a="1"/>
  <c r="I199" i="6" s="1"/>
  <c r="C199" i="6" a="1"/>
  <c r="C199" i="6" s="1"/>
  <c r="M200" i="6"/>
  <c r="E186" i="12"/>
  <c r="V199" i="6" l="1"/>
  <c r="W199" i="6"/>
  <c r="X199" i="6"/>
  <c r="E197" i="6" a="1"/>
  <c r="E197" i="6" s="1"/>
  <c r="V197" i="6" s="1"/>
  <c r="I197" i="6" a="1"/>
  <c r="I197" i="6" s="1"/>
  <c r="X197" i="6" s="1"/>
  <c r="I200" i="6" a="1"/>
  <c r="I200" i="6" s="1"/>
  <c r="E200" i="6" a="1"/>
  <c r="E200" i="6" s="1"/>
  <c r="G200" i="6" a="1"/>
  <c r="G200" i="6" s="1"/>
  <c r="C200" i="6" a="1"/>
  <c r="C200" i="6" s="1"/>
  <c r="M201" i="6"/>
  <c r="G195" i="6" s="1" a="1"/>
  <c r="G195" i="6" s="1"/>
  <c r="W195" i="6" s="1"/>
  <c r="E187" i="12"/>
  <c r="X200" i="6" l="1"/>
  <c r="V200" i="6"/>
  <c r="W200" i="6"/>
  <c r="E201" i="6" a="1"/>
  <c r="E201" i="6" s="1"/>
  <c r="I201" i="6" a="1"/>
  <c r="I201" i="6" s="1"/>
  <c r="G201" i="6" a="1"/>
  <c r="G201" i="6" s="1"/>
  <c r="C201" i="6" a="1"/>
  <c r="C201" i="6" s="1"/>
  <c r="M202" i="6"/>
  <c r="E188" i="12"/>
  <c r="V201" i="6" l="1"/>
  <c r="W201" i="6"/>
  <c r="X201" i="6"/>
  <c r="I194" i="6" a="1"/>
  <c r="I194" i="6" s="1"/>
  <c r="X194" i="6" s="1"/>
  <c r="E195" i="6" a="1"/>
  <c r="E195" i="6" s="1"/>
  <c r="V195" i="6" s="1"/>
  <c r="E202" i="6" a="1"/>
  <c r="E202" i="6" s="1"/>
  <c r="I202" i="6" a="1"/>
  <c r="I202" i="6" s="1"/>
  <c r="C202" i="6" a="1"/>
  <c r="C202" i="6" s="1"/>
  <c r="G202" i="6" a="1"/>
  <c r="G202" i="6" s="1"/>
  <c r="E189" i="12"/>
  <c r="V202" i="6" l="1"/>
  <c r="X202" i="6"/>
  <c r="W202" i="6"/>
  <c r="E190" i="12"/>
  <c r="E191" i="12" l="1"/>
  <c r="E192" i="12" l="1"/>
  <c r="E193" i="12" l="1"/>
  <c r="W34" i="8" l="1"/>
  <c r="B119" i="12"/>
  <c r="B120" i="12"/>
  <c r="A119" i="12"/>
  <c r="A120" i="12"/>
  <c r="A124" i="12"/>
  <c r="B124" i="12"/>
  <c r="A128" i="12"/>
  <c r="B128" i="12"/>
  <c r="A132" i="12"/>
  <c r="B131" i="12"/>
  <c r="A141" i="12"/>
  <c r="B139" i="12"/>
  <c r="B144" i="12"/>
  <c r="B148" i="12"/>
  <c r="A147" i="12"/>
  <c r="A146" i="12"/>
  <c r="B162" i="12"/>
  <c r="A161" i="12"/>
  <c r="A177" i="12"/>
  <c r="B181" i="12"/>
  <c r="A116" i="12"/>
  <c r="B116" i="12"/>
  <c r="B100" i="12"/>
  <c r="A100" i="12"/>
  <c r="A183" i="12"/>
  <c r="B179" i="12"/>
  <c r="A160" i="12"/>
  <c r="B163" i="12"/>
  <c r="A148" i="12"/>
  <c r="B147" i="12"/>
  <c r="A145" i="12"/>
  <c r="B143" i="12"/>
  <c r="B142" i="12"/>
  <c r="A142" i="12"/>
  <c r="B140" i="12"/>
  <c r="B134" i="12"/>
  <c r="A133" i="12"/>
  <c r="A127" i="12"/>
  <c r="B127" i="12"/>
  <c r="B122" i="12"/>
  <c r="B123" i="12"/>
  <c r="A123" i="12"/>
  <c r="A122" i="12"/>
  <c r="A121" i="12"/>
  <c r="B121" i="12"/>
  <c r="B118" i="12"/>
  <c r="A118" i="12"/>
  <c r="B99" i="12"/>
  <c r="A99" i="12"/>
  <c r="N1" i="8"/>
  <c r="M1" i="8"/>
  <c r="L1" i="8"/>
  <c r="K1" i="8"/>
  <c r="AB120" i="12" a="1"/>
  <c r="I100" i="12" a="1"/>
  <c r="AO139" i="12" a="1"/>
  <c r="L124" i="12" a="1"/>
  <c r="T122" i="12" a="1"/>
  <c r="AO143" i="12" a="1"/>
  <c r="AB141" i="12" a="1"/>
  <c r="L160" i="12" a="1"/>
  <c r="Q118" i="12" a="1"/>
  <c r="AB160" i="12" a="1"/>
  <c r="Y163" i="12" a="1"/>
  <c r="AO124" i="12" a="1"/>
  <c r="P128" i="12" a="1"/>
  <c r="I124" i="12" a="1"/>
  <c r="AO100" i="12" a="1"/>
  <c r="AN128" i="12" a="1"/>
  <c r="AF183" i="12" a="1"/>
  <c r="Y121" i="12" a="1"/>
  <c r="Y147" i="12" a="1"/>
  <c r="I162" i="12" a="1"/>
  <c r="L123" i="12" a="1"/>
  <c r="AO128" i="12" a="1"/>
  <c r="I120" i="12" a="1"/>
  <c r="AG143" i="12" a="1"/>
  <c r="T132" i="12" a="1"/>
  <c r="U131" i="12" a="1"/>
  <c r="Q99" i="12" a="1"/>
  <c r="AF118" i="12" a="1"/>
  <c r="T118" i="12" a="1"/>
  <c r="AN146" i="12" a="1"/>
  <c r="Y131" i="12" a="1"/>
  <c r="Q147" i="12" a="1"/>
  <c r="AK139" i="12" a="1"/>
  <c r="AN145" i="12" a="1"/>
  <c r="AJ127" i="12" a="1"/>
  <c r="AJ124" i="12" a="1"/>
  <c r="X127" i="12" a="1"/>
  <c r="L99" i="12" a="1"/>
  <c r="Y148" i="12" a="1"/>
  <c r="X160" i="12" a="1"/>
  <c r="AC148" i="12" a="1"/>
  <c r="H121" i="12" a="1"/>
  <c r="Q124" i="12" a="1"/>
  <c r="Q100" i="12" a="1"/>
  <c r="U124" i="12" a="1"/>
  <c r="AO179" i="12" a="1"/>
  <c r="AJ160" i="12" a="1"/>
  <c r="Q162" i="12" a="1"/>
  <c r="M139" i="12" a="1"/>
  <c r="P133" i="12" a="1"/>
  <c r="P99" i="12" a="1"/>
  <c r="Q128" i="12" a="1"/>
  <c r="AK143" i="12" a="1"/>
  <c r="H146" i="12" a="1"/>
  <c r="AN99" i="12" a="1"/>
  <c r="Y99" i="12" a="1"/>
  <c r="U162" i="12" a="1"/>
  <c r="AN177" i="12" a="1"/>
  <c r="AG120" i="12" a="1"/>
  <c r="X146" i="12" a="1"/>
  <c r="I121" i="12" a="1"/>
  <c r="I147" i="12" a="1"/>
  <c r="U122" i="12" a="1"/>
  <c r="H120" i="12" a="1"/>
  <c r="AN116" i="12" a="1"/>
  <c r="P124" i="12" a="1"/>
  <c r="X141" i="12" a="1"/>
  <c r="AB119" i="12" a="1"/>
  <c r="H99" i="12" a="1"/>
  <c r="AJ133" i="12" a="1"/>
  <c r="AN142" i="12" a="1"/>
  <c r="AG118" i="12" a="1"/>
  <c r="AB121" i="12" a="1"/>
  <c r="AJ148" i="12" a="1"/>
  <c r="H148" i="12" a="1"/>
  <c r="U142" i="12" a="1"/>
  <c r="X99" i="12" a="1"/>
  <c r="H160" i="12" a="1"/>
  <c r="H122" i="12" a="1"/>
  <c r="H119" i="12" a="1"/>
  <c r="AO120" i="12" a="1"/>
  <c r="AK99" i="12" a="1"/>
  <c r="Q119" i="12" a="1"/>
  <c r="AK121" i="12" a="1"/>
  <c r="T127" i="12" a="1"/>
  <c r="M99" i="12" a="1"/>
  <c r="M119" i="12" a="1"/>
  <c r="X119" i="12" a="1"/>
  <c r="L141" i="12" a="1"/>
  <c r="H142" i="12" a="1"/>
  <c r="M128" i="12" a="1"/>
  <c r="I181" i="12" a="1"/>
  <c r="AJ116" i="12" a="1"/>
  <c r="AB133" i="12" a="1"/>
  <c r="P127" i="12" a="1"/>
  <c r="AK122" i="12" a="1"/>
  <c r="AC143" i="12" a="1"/>
  <c r="AJ161" i="12" a="1"/>
  <c r="M179" i="12" a="1"/>
  <c r="AC179" i="12" a="1"/>
  <c r="X177" i="12" a="1"/>
  <c r="Y128" i="12" a="1"/>
  <c r="I139" i="12" a="1"/>
  <c r="AG123" i="12" a="1"/>
  <c r="M127" i="12" a="1"/>
  <c r="L146" i="12" a="1"/>
  <c r="AB142" i="12" a="1"/>
  <c r="P148" i="12" a="1"/>
  <c r="AB161" i="12" a="1"/>
  <c r="X120" i="12" a="1"/>
  <c r="AG142" i="12" a="1"/>
  <c r="I144" i="12" a="1"/>
  <c r="AJ141" i="12" a="1"/>
  <c r="Y179" i="12" a="1"/>
  <c r="AC100" i="12" a="1"/>
  <c r="AO147" i="12" a="1"/>
  <c r="H145" i="12" a="1"/>
  <c r="M100" i="12" a="1"/>
  <c r="AJ142" i="12" a="1"/>
  <c r="AN183" i="12" a="1"/>
  <c r="AO121" i="12" a="1"/>
  <c r="AF120" i="12" a="1"/>
  <c r="AN147" i="12" a="1"/>
  <c r="AF142" i="12" a="1"/>
  <c r="Y143" i="12" a="1"/>
  <c r="P183" i="12" a="1"/>
  <c r="AG144" i="12" a="1"/>
  <c r="AB124" i="12" a="1"/>
  <c r="M121" i="12" a="1"/>
  <c r="I99" i="12" a="1"/>
  <c r="H147" i="12" a="1"/>
  <c r="U116" i="12" a="1"/>
  <c r="L147" i="12" a="1"/>
  <c r="P122" i="12" a="1"/>
  <c r="L148" i="12" a="1"/>
  <c r="AG179" i="12" a="1"/>
  <c r="AC142" i="12" a="1"/>
  <c r="AF177" i="12" a="1"/>
  <c r="AC162" i="12" a="1"/>
  <c r="AK134" i="12" a="1"/>
  <c r="I128" i="12" a="1"/>
  <c r="Y116" i="12" a="1"/>
  <c r="M163" i="12" a="1"/>
  <c r="L116" i="12" a="1"/>
  <c r="Y162" i="12" a="1"/>
  <c r="L142" i="12" a="1"/>
  <c r="U99" i="12" a="1"/>
  <c r="P116" i="12" a="1"/>
  <c r="P177" i="12" a="1"/>
  <c r="AB147" i="12" a="1"/>
  <c r="T124" i="12" a="1"/>
  <c r="T123" i="12" a="1"/>
  <c r="AJ118" i="12" a="1"/>
  <c r="Q120" i="12" a="1"/>
  <c r="AK142" i="12" a="1"/>
  <c r="U134" i="12" a="1"/>
  <c r="AN119" i="12" a="1"/>
  <c r="U118" i="12" a="1"/>
  <c r="I163" i="12" a="1"/>
  <c r="AG163" i="12" a="1"/>
  <c r="AF127" i="12" a="1"/>
  <c r="AF124" i="12" a="1"/>
  <c r="Q139" i="12" a="1"/>
  <c r="AK100" i="12" a="1"/>
  <c r="AJ123" i="12" a="1"/>
  <c r="AG148" i="12" a="1"/>
  <c r="AG139" i="12" a="1"/>
  <c r="X142" i="12" a="1"/>
  <c r="AK128" i="12" a="1"/>
  <c r="AN120" i="12" a="1"/>
  <c r="H128" i="12" a="1"/>
  <c r="T160" i="12" a="1"/>
  <c r="AB146" i="12" a="1"/>
  <c r="H127" i="12" a="1"/>
  <c r="AJ121" i="12" a="1"/>
  <c r="P132" i="12" a="1"/>
  <c r="U139" i="12" a="1"/>
  <c r="U148" i="12" a="1"/>
  <c r="P118" i="12" a="1"/>
  <c r="T183" i="12" a="1"/>
  <c r="AC134" i="12" a="1"/>
  <c r="AC127" i="12" a="1"/>
  <c r="T161" i="12" a="1"/>
  <c r="AK124" i="12" a="1"/>
  <c r="AO181" i="12" a="1"/>
  <c r="P147" i="12" a="1"/>
  <c r="AG128" i="12" a="1"/>
  <c r="P100" i="12" a="1"/>
  <c r="AO131" i="12" a="1"/>
  <c r="AB99" i="12" a="1"/>
  <c r="AO162" i="12" a="1"/>
  <c r="T148" i="12" a="1"/>
  <c r="AC140" i="12" a="1"/>
  <c r="L161" i="12" a="1"/>
  <c r="Q181" i="12" a="1"/>
  <c r="AG147" i="12" a="1"/>
  <c r="AK118" i="12" a="1"/>
  <c r="M123" i="12" a="1"/>
  <c r="U179" i="12" a="1"/>
  <c r="AC147" i="12" a="1"/>
  <c r="T121" i="12" a="1"/>
  <c r="AF116" i="12" a="1"/>
  <c r="M134" i="12" a="1"/>
  <c r="AK181" i="12" a="1"/>
  <c r="H124" i="12" a="1"/>
  <c r="AF147" i="12" a="1"/>
  <c r="AG100" i="12" a="1"/>
  <c r="H118" i="12" a="1"/>
  <c r="AK127" i="12" a="1"/>
  <c r="P121" i="12" a="1"/>
  <c r="AC181" i="12" a="1"/>
  <c r="M118" i="12" a="1"/>
  <c r="AB148" i="12" a="1"/>
  <c r="U163" i="12" a="1"/>
  <c r="H123" i="12" a="1"/>
  <c r="AO148" i="12" a="1"/>
  <c r="AB122" i="12" a="1"/>
  <c r="Q163" i="12" a="1"/>
  <c r="Q179" i="12" a="1"/>
  <c r="M147" i="12" a="1"/>
  <c r="X148" i="12" a="1"/>
  <c r="AB177" i="12" a="1"/>
  <c r="AK123" i="12" a="1"/>
  <c r="I116" i="12" a="1"/>
  <c r="U100" i="12" a="1"/>
  <c r="X161" i="12" a="1"/>
  <c r="M120" i="12" a="1"/>
  <c r="L128" i="12" a="1"/>
  <c r="M122" i="12" a="1"/>
  <c r="I118" i="12" a="1"/>
  <c r="T100" i="12" a="1"/>
  <c r="L100" i="12" a="1"/>
  <c r="AO122" i="12" a="1"/>
  <c r="AN122" i="12" a="1"/>
  <c r="M143" i="12" a="1"/>
  <c r="L122" i="12" a="1"/>
  <c r="AN121" i="12" a="1"/>
  <c r="AG119" i="12" a="1"/>
  <c r="M142" i="12" a="1"/>
  <c r="AN123" i="12" a="1"/>
  <c r="U121" i="12" a="1"/>
  <c r="AG181" i="12" a="1"/>
  <c r="Y118" i="12" a="1"/>
  <c r="AJ183" i="12" a="1"/>
  <c r="T119" i="12" a="1"/>
  <c r="L132" i="12" a="1"/>
  <c r="U140" i="12" a="1"/>
  <c r="X121" i="12" a="1"/>
  <c r="Y122" i="12" a="1"/>
  <c r="X116" i="12" a="1"/>
  <c r="P145" i="12" a="1"/>
  <c r="H183" i="12" a="1"/>
  <c r="L121" i="12" a="1"/>
  <c r="U120" i="12" a="1"/>
  <c r="I119" i="12" a="1"/>
  <c r="X124" i="12" a="1"/>
  <c r="AB123" i="12" a="1"/>
  <c r="AG99" i="12" a="1"/>
  <c r="X100" i="12" a="1"/>
  <c r="AO144" i="12" a="1"/>
  <c r="AK162" i="12" a="1"/>
  <c r="I140" i="12" a="1"/>
  <c r="AN100" i="12" a="1"/>
  <c r="AF121" i="12" a="1"/>
  <c r="AK116" i="12" a="1"/>
  <c r="AN141" i="12" a="1"/>
  <c r="M162" i="12" a="1"/>
  <c r="H132" i="12" a="1"/>
  <c r="X145" i="12" a="1"/>
  <c r="AK140" i="12" a="1"/>
  <c r="T116" i="12" a="1"/>
  <c r="AC99" i="12" a="1"/>
  <c r="AN148" i="12" a="1"/>
  <c r="H116" i="12" a="1"/>
  <c r="P161" i="12" a="1"/>
  <c r="AK144" i="12" a="1"/>
  <c r="AG131" i="12" a="1"/>
  <c r="AK179" i="12" a="1"/>
  <c r="Q127" i="12" a="1"/>
  <c r="AG134" i="12" a="1"/>
  <c r="AC116" i="12" a="1"/>
  <c r="AK163" i="12" a="1"/>
  <c r="AF132" i="12" a="1"/>
  <c r="T99" i="12" a="1"/>
  <c r="AF146" i="12" a="1"/>
  <c r="Y124" i="12" a="1"/>
  <c r="U181" i="12" a="1"/>
  <c r="AC121" i="12" a="1"/>
  <c r="Q122" i="12" a="1"/>
  <c r="AO116" i="12" a="1"/>
  <c r="AO140" i="12" a="1"/>
  <c r="P120" i="12" a="1"/>
  <c r="AC144" i="12" a="1"/>
  <c r="M144" i="12" a="1"/>
  <c r="H141" i="12" a="1"/>
  <c r="M124" i="12" a="1"/>
  <c r="U127" i="12" a="1"/>
  <c r="AJ122" i="12" a="1"/>
  <c r="Q142" i="12" a="1"/>
  <c r="AC119" i="12" a="1"/>
  <c r="M116" i="12" a="1"/>
  <c r="AN124" i="12" a="1"/>
  <c r="U143" i="12" a="1"/>
  <c r="AN161" i="12" a="1"/>
  <c r="AK131" i="12" a="1"/>
  <c r="AC120" i="12" a="1"/>
  <c r="T147" i="12" a="1"/>
  <c r="L183" i="12" a="1"/>
  <c r="AC163" i="12" a="1"/>
  <c r="L177" i="12" a="1"/>
  <c r="AG122" i="12" a="1"/>
  <c r="L120" i="12" a="1"/>
  <c r="AK147" i="12" a="1"/>
  <c r="L127" i="12" a="1"/>
  <c r="AF133" i="12" a="1"/>
  <c r="Y144" i="12" a="1"/>
  <c r="X133" i="12" a="1"/>
  <c r="AB100" i="12" a="1"/>
  <c r="I131" i="12" a="1"/>
  <c r="T177" i="12" a="1"/>
  <c r="AG140" i="12" a="1"/>
  <c r="AF99" i="12" a="1"/>
  <c r="U144" i="12" a="1"/>
  <c r="I134" i="12" a="1"/>
  <c r="Y120" i="12" a="1"/>
  <c r="AG121" i="12" a="1"/>
  <c r="AB183" i="12" a="1"/>
  <c r="Y139" i="12" a="1"/>
  <c r="AG116" i="12" a="1"/>
  <c r="T146" i="12" a="1"/>
  <c r="I123" i="12" a="1"/>
  <c r="Y123" i="12" a="1"/>
  <c r="AN133" i="12" a="1"/>
  <c r="AK119" i="12" a="1"/>
  <c r="AN132" i="12" a="1"/>
  <c r="H100" i="12" a="1"/>
  <c r="AF123" i="12" a="1"/>
  <c r="I143" i="12" a="1"/>
  <c r="AB132" i="12" a="1"/>
  <c r="I179" i="12" a="1"/>
  <c r="AO119" i="12" a="1"/>
  <c r="AF128" i="12" a="1"/>
  <c r="P141" i="12" a="1"/>
  <c r="AC131" i="12" a="1"/>
  <c r="P142" i="12" a="1"/>
  <c r="X122" i="12" a="1"/>
  <c r="AO123" i="12" a="1"/>
  <c r="AB118" i="12" a="1"/>
  <c r="U128" i="12" a="1"/>
  <c r="Y181" i="12" a="1"/>
  <c r="P160" i="12" a="1"/>
  <c r="AB128" i="12" a="1"/>
  <c r="AO127" i="12" a="1"/>
  <c r="L119" i="12" a="1"/>
  <c r="L133" i="12" a="1"/>
  <c r="I142" i="12" a="1"/>
  <c r="AC123" i="12" a="1"/>
  <c r="AF100" i="12" a="1"/>
  <c r="X183" i="12" a="1"/>
  <c r="T133" i="12" a="1"/>
  <c r="T120" i="12" a="1"/>
  <c r="AJ145" i="12" a="1"/>
  <c r="Q123" i="12" a="1"/>
  <c r="M148" i="12" a="1"/>
  <c r="AJ120" i="12" a="1"/>
  <c r="AO99" i="12" a="1"/>
  <c r="L118" i="12" a="1"/>
  <c r="Y140" i="12" a="1"/>
  <c r="AN160" i="12" a="1"/>
  <c r="AB145" i="12" a="1"/>
  <c r="AF145" i="12" a="1"/>
  <c r="Q131" i="12" a="1"/>
  <c r="T141" i="12" a="1"/>
  <c r="L145" i="12" a="1"/>
  <c r="AJ147" i="12" a="1"/>
  <c r="AK120" i="12" a="1"/>
  <c r="Y142" i="12" a="1"/>
  <c r="Q148" i="12" a="1"/>
  <c r="AN127" i="12" a="1"/>
  <c r="P146" i="12" a="1"/>
  <c r="AO142" i="12" a="1"/>
  <c r="AJ128" i="12" a="1"/>
  <c r="AC122" i="12" a="1"/>
  <c r="X147" i="12" a="1"/>
  <c r="I127" i="12" a="1"/>
  <c r="Y119" i="12" a="1"/>
  <c r="P123" i="12" a="1"/>
  <c r="P119" i="12" a="1"/>
  <c r="M181" i="12" a="1"/>
  <c r="X132" i="12" a="1"/>
  <c r="Q116" i="12" a="1"/>
  <c r="AC118" i="12" a="1"/>
  <c r="T128" i="12" a="1"/>
  <c r="Y134" i="12" a="1"/>
  <c r="AF141" i="12" a="1"/>
  <c r="AJ99" i="12" a="1"/>
  <c r="AG162" i="12" a="1"/>
  <c r="AO118" i="12" a="1"/>
  <c r="AC128" i="12" a="1"/>
  <c r="AG124" i="12" a="1"/>
  <c r="AJ132" i="12" a="1"/>
  <c r="X128" i="12" a="1"/>
  <c r="I148" i="12" a="1"/>
  <c r="AC139" i="12" a="1"/>
  <c r="U123" i="12" a="1"/>
  <c r="AB116" i="12" a="1"/>
  <c r="Y100" i="12" a="1"/>
  <c r="AJ100" i="12" a="1"/>
  <c r="AF161" i="12" a="1"/>
  <c r="M131" i="12" a="1"/>
  <c r="AB127" i="12" a="1"/>
  <c r="H177" i="12" a="1"/>
  <c r="AG127" i="12" a="1"/>
  <c r="Q134" i="12" a="1"/>
  <c r="AJ146" i="12" a="1"/>
  <c r="AO163" i="12" a="1"/>
  <c r="AF148" i="12" a="1"/>
  <c r="Y127" i="12" a="1"/>
  <c r="T142" i="12" a="1"/>
  <c r="H161" i="12" a="1"/>
  <c r="Q144" i="12" a="1"/>
  <c r="AO134" i="12" a="1"/>
  <c r="AF119" i="12" a="1"/>
  <c r="AN118" i="12" a="1"/>
  <c r="AF122" i="12" a="1"/>
  <c r="U119" i="12" a="1"/>
  <c r="M140" i="12" a="1"/>
  <c r="AC124" i="12" a="1"/>
  <c r="Q143" i="12" a="1"/>
  <c r="Q140" i="12" a="1"/>
  <c r="X118" i="12" a="1"/>
  <c r="T145" i="12" a="1"/>
  <c r="AJ177" i="12" a="1"/>
  <c r="AJ119" i="12" a="1"/>
  <c r="Q121" i="12" a="1"/>
  <c r="U147" i="12" a="1"/>
  <c r="AF160" i="12" a="1"/>
  <c r="I122" i="12" a="1"/>
  <c r="H133" i="12" a="1"/>
  <c r="X123" i="12" a="1"/>
  <c r="AK148" i="12" a="1"/>
  <c r="H133" i="12" l="1"/>
  <c r="AN133" i="12"/>
  <c r="X133" i="12"/>
  <c r="L133" i="12"/>
  <c r="AJ133" i="12"/>
  <c r="P133" i="12"/>
  <c r="AB133" i="12"/>
  <c r="AF133" i="12"/>
  <c r="T133" i="12"/>
  <c r="I144" i="12"/>
  <c r="U144" i="12"/>
  <c r="AG144" i="12"/>
  <c r="AK144" i="12"/>
  <c r="AO144" i="12"/>
  <c r="AC144" i="12"/>
  <c r="Y144" i="12"/>
  <c r="Q144" i="12"/>
  <c r="M144" i="12"/>
  <c r="I119" i="12"/>
  <c r="AK119" i="12"/>
  <c r="U119" i="12"/>
  <c r="AG119" i="12"/>
  <c r="Y119" i="12"/>
  <c r="Q119" i="12"/>
  <c r="AO119" i="12"/>
  <c r="AC119" i="12"/>
  <c r="M119" i="12"/>
  <c r="I127" i="12"/>
  <c r="U127" i="12"/>
  <c r="AG127" i="12"/>
  <c r="AK127" i="12"/>
  <c r="Q127" i="12"/>
  <c r="AO127" i="12"/>
  <c r="M127" i="12"/>
  <c r="AC127" i="12"/>
  <c r="Y127" i="12"/>
  <c r="I134" i="12"/>
  <c r="U134" i="12"/>
  <c r="AC134" i="12"/>
  <c r="AG134" i="12"/>
  <c r="AO134" i="12"/>
  <c r="Y134" i="12"/>
  <c r="Q134" i="12"/>
  <c r="AK134" i="12"/>
  <c r="M134" i="12"/>
  <c r="H100" i="12"/>
  <c r="AN100" i="12"/>
  <c r="L100" i="12"/>
  <c r="P100" i="12"/>
  <c r="AJ100" i="12"/>
  <c r="AB100" i="12"/>
  <c r="AF100" i="12"/>
  <c r="T100" i="12"/>
  <c r="X100" i="12"/>
  <c r="I139" i="12"/>
  <c r="U139" i="12"/>
  <c r="AG139" i="12"/>
  <c r="AK139" i="12"/>
  <c r="Q139" i="12"/>
  <c r="AC139" i="12"/>
  <c r="AO139" i="12"/>
  <c r="M139" i="12"/>
  <c r="Y139" i="12"/>
  <c r="H147" i="12"/>
  <c r="AN147" i="12"/>
  <c r="X147" i="12"/>
  <c r="P147" i="12"/>
  <c r="L147" i="12"/>
  <c r="AJ147" i="12"/>
  <c r="AF147" i="12"/>
  <c r="T147" i="12"/>
  <c r="AB147" i="12"/>
  <c r="I120" i="12"/>
  <c r="U120" i="12"/>
  <c r="AG120" i="12"/>
  <c r="M120" i="12"/>
  <c r="Q120" i="12"/>
  <c r="AO120" i="12"/>
  <c r="Y120" i="12"/>
  <c r="AC120" i="12"/>
  <c r="AK120" i="12"/>
  <c r="H118" i="12"/>
  <c r="AB118" i="12"/>
  <c r="AN118" i="12"/>
  <c r="X118" i="12"/>
  <c r="T118" i="12"/>
  <c r="P118" i="12"/>
  <c r="L118" i="12"/>
  <c r="AJ118" i="12"/>
  <c r="AF118" i="12"/>
  <c r="I100" i="12"/>
  <c r="U100" i="12"/>
  <c r="AO100" i="12"/>
  <c r="AG100" i="12"/>
  <c r="AK100" i="12"/>
  <c r="Q100" i="12"/>
  <c r="M100" i="12"/>
  <c r="AC100" i="12"/>
  <c r="Y100" i="12"/>
  <c r="H141" i="12"/>
  <c r="X141" i="12"/>
  <c r="T141" i="12"/>
  <c r="AB141" i="12"/>
  <c r="AN141" i="12"/>
  <c r="L141" i="12"/>
  <c r="AJ141" i="12"/>
  <c r="AF141" i="12"/>
  <c r="P141" i="12"/>
  <c r="I118" i="12"/>
  <c r="U118" i="12"/>
  <c r="AG118" i="12"/>
  <c r="AK118" i="12"/>
  <c r="AC118" i="12"/>
  <c r="Y118" i="12"/>
  <c r="Q118" i="12"/>
  <c r="AO118" i="12"/>
  <c r="M118" i="12"/>
  <c r="H142" i="12"/>
  <c r="P142" i="12"/>
  <c r="AB142" i="12"/>
  <c r="AN142" i="12"/>
  <c r="L142" i="12"/>
  <c r="AJ142" i="12"/>
  <c r="T142" i="12"/>
  <c r="AF142" i="12"/>
  <c r="X142" i="12"/>
  <c r="I116" i="12"/>
  <c r="U116" i="12"/>
  <c r="AO116" i="12"/>
  <c r="Y116" i="12"/>
  <c r="AG116" i="12"/>
  <c r="AC116" i="12"/>
  <c r="M116" i="12"/>
  <c r="AK116" i="12"/>
  <c r="Q116" i="12"/>
  <c r="I131" i="12"/>
  <c r="AC131" i="12"/>
  <c r="AK131" i="12"/>
  <c r="U131" i="12"/>
  <c r="AG131" i="12"/>
  <c r="Y131" i="12"/>
  <c r="Q131" i="12"/>
  <c r="AO131" i="12"/>
  <c r="M131" i="12"/>
  <c r="H160" i="12"/>
  <c r="X160" i="12"/>
  <c r="AN160" i="12"/>
  <c r="P160" i="12"/>
  <c r="AB160" i="12"/>
  <c r="L160" i="12"/>
  <c r="T160" i="12"/>
  <c r="AJ160" i="12"/>
  <c r="AF160" i="12"/>
  <c r="I142" i="12"/>
  <c r="Q142" i="12"/>
  <c r="AC142" i="12"/>
  <c r="AO142" i="12"/>
  <c r="M142" i="12"/>
  <c r="Y142" i="12"/>
  <c r="AK142" i="12"/>
  <c r="U142" i="12"/>
  <c r="AG142" i="12"/>
  <c r="H116" i="12"/>
  <c r="AB116" i="12"/>
  <c r="T116" i="12"/>
  <c r="AN116" i="12"/>
  <c r="X116" i="12"/>
  <c r="AF116" i="12"/>
  <c r="P116" i="12"/>
  <c r="AJ116" i="12"/>
  <c r="L116" i="12"/>
  <c r="H132" i="12"/>
  <c r="AN132" i="12"/>
  <c r="AB132" i="12"/>
  <c r="AF132" i="12"/>
  <c r="P132" i="12"/>
  <c r="X132" i="12"/>
  <c r="L132" i="12"/>
  <c r="AJ132" i="12"/>
  <c r="T132" i="12"/>
  <c r="H127" i="12"/>
  <c r="L127" i="12"/>
  <c r="AB127" i="12"/>
  <c r="AJ127" i="12"/>
  <c r="P127" i="12"/>
  <c r="AN127" i="12"/>
  <c r="T127" i="12"/>
  <c r="X127" i="12"/>
  <c r="AF127" i="12"/>
  <c r="H99" i="12"/>
  <c r="AN99" i="12"/>
  <c r="X99" i="12"/>
  <c r="AF99" i="12"/>
  <c r="T99" i="12"/>
  <c r="P99" i="12"/>
  <c r="AB99" i="12"/>
  <c r="AJ99" i="12"/>
  <c r="L99" i="12"/>
  <c r="H121" i="12"/>
  <c r="AB121" i="12"/>
  <c r="L121" i="12"/>
  <c r="P121" i="12"/>
  <c r="AN121" i="12"/>
  <c r="AJ121" i="12"/>
  <c r="T121" i="12"/>
  <c r="AF121" i="12"/>
  <c r="X121" i="12"/>
  <c r="I143" i="12"/>
  <c r="U143" i="12"/>
  <c r="AG143" i="12"/>
  <c r="Y143" i="12"/>
  <c r="AC143" i="12"/>
  <c r="AK143" i="12"/>
  <c r="M143" i="12"/>
  <c r="Q143" i="12"/>
  <c r="AO143" i="12"/>
  <c r="I181" i="12"/>
  <c r="U181" i="12"/>
  <c r="AG181" i="12"/>
  <c r="AO181" i="12"/>
  <c r="M181" i="12"/>
  <c r="AC181" i="12"/>
  <c r="Y181" i="12"/>
  <c r="Q181" i="12"/>
  <c r="AK181" i="12"/>
  <c r="I128" i="12"/>
  <c r="U128" i="12"/>
  <c r="AG128" i="12"/>
  <c r="AC128" i="12"/>
  <c r="AK128" i="12"/>
  <c r="AO128" i="12"/>
  <c r="M128" i="12"/>
  <c r="Q128" i="12"/>
  <c r="Y128" i="12"/>
  <c r="I179" i="12"/>
  <c r="U179" i="12"/>
  <c r="AG179" i="12"/>
  <c r="Q179" i="12"/>
  <c r="AC179" i="12"/>
  <c r="AO179" i="12"/>
  <c r="M179" i="12"/>
  <c r="Y179" i="12"/>
  <c r="AK179" i="12"/>
  <c r="I121" i="12"/>
  <c r="U121" i="12"/>
  <c r="AC121" i="12"/>
  <c r="Y121" i="12"/>
  <c r="AG121" i="12"/>
  <c r="AO121" i="12"/>
  <c r="AK121" i="12"/>
  <c r="Q121" i="12"/>
  <c r="M121" i="12"/>
  <c r="H122" i="12"/>
  <c r="X122" i="12"/>
  <c r="AN122" i="12"/>
  <c r="AJ122" i="12"/>
  <c r="AF122" i="12"/>
  <c r="P122" i="12"/>
  <c r="AB122" i="12"/>
  <c r="L122" i="12"/>
  <c r="T122" i="12"/>
  <c r="H145" i="12"/>
  <c r="AB145" i="12"/>
  <c r="AN145" i="12"/>
  <c r="L145" i="12"/>
  <c r="AJ145" i="12"/>
  <c r="T145" i="12"/>
  <c r="P145" i="12"/>
  <c r="X145" i="12"/>
  <c r="AF145" i="12"/>
  <c r="H177" i="12"/>
  <c r="X177" i="12"/>
  <c r="AB177" i="12"/>
  <c r="AN177" i="12"/>
  <c r="AJ177" i="12"/>
  <c r="P177" i="12"/>
  <c r="L177" i="12"/>
  <c r="T177" i="12"/>
  <c r="AF177" i="12"/>
  <c r="H128" i="12"/>
  <c r="P128" i="12"/>
  <c r="AN128" i="12"/>
  <c r="X128" i="12"/>
  <c r="T128" i="12"/>
  <c r="AB128" i="12"/>
  <c r="L128" i="12"/>
  <c r="AF128" i="12"/>
  <c r="AJ128" i="12"/>
  <c r="H119" i="12"/>
  <c r="AJ119" i="12"/>
  <c r="L119" i="12"/>
  <c r="AF119" i="12"/>
  <c r="P119" i="12"/>
  <c r="AB119" i="12"/>
  <c r="AN119" i="12"/>
  <c r="T119" i="12"/>
  <c r="X119" i="12"/>
  <c r="I148" i="12"/>
  <c r="U148" i="12"/>
  <c r="AK148" i="12"/>
  <c r="AG148" i="12"/>
  <c r="AC148" i="12"/>
  <c r="AO148" i="12"/>
  <c r="Y148" i="12"/>
  <c r="Q148" i="12"/>
  <c r="M148" i="12"/>
  <c r="I99" i="12"/>
  <c r="U99" i="12"/>
  <c r="AG99" i="12"/>
  <c r="AO99" i="12"/>
  <c r="AC99" i="12"/>
  <c r="M99" i="12"/>
  <c r="Q99" i="12"/>
  <c r="AK99" i="12"/>
  <c r="Y99" i="12"/>
  <c r="I147" i="12"/>
  <c r="AG147" i="12"/>
  <c r="Q147" i="12"/>
  <c r="AO147" i="12"/>
  <c r="U147" i="12"/>
  <c r="Y147" i="12"/>
  <c r="AC147" i="12"/>
  <c r="M147" i="12"/>
  <c r="AK147" i="12"/>
  <c r="H161" i="12"/>
  <c r="AN161" i="12"/>
  <c r="AJ161" i="12"/>
  <c r="P161" i="12"/>
  <c r="X161" i="12"/>
  <c r="T161" i="12"/>
  <c r="AB161" i="12"/>
  <c r="L161" i="12"/>
  <c r="AF161" i="12"/>
  <c r="I124" i="12"/>
  <c r="U124" i="12"/>
  <c r="AC124" i="12"/>
  <c r="AG124" i="12"/>
  <c r="M124" i="12"/>
  <c r="Y124" i="12"/>
  <c r="Q124" i="12"/>
  <c r="AO124" i="12"/>
  <c r="AK124" i="12"/>
  <c r="I140" i="12"/>
  <c r="U140" i="12"/>
  <c r="AO140" i="12"/>
  <c r="Y140" i="12"/>
  <c r="AG140" i="12"/>
  <c r="Q140" i="12"/>
  <c r="AC140" i="12"/>
  <c r="AK140" i="12"/>
  <c r="M140" i="12"/>
  <c r="I162" i="12"/>
  <c r="U162" i="12"/>
  <c r="AK162" i="12"/>
  <c r="AG162" i="12"/>
  <c r="AO162" i="12"/>
  <c r="AC162" i="12"/>
  <c r="M162" i="12"/>
  <c r="Q162" i="12"/>
  <c r="Y162" i="12"/>
  <c r="H124" i="12"/>
  <c r="AB124" i="12"/>
  <c r="X124" i="12"/>
  <c r="AF124" i="12"/>
  <c r="P124" i="12"/>
  <c r="L124" i="12"/>
  <c r="AN124" i="12"/>
  <c r="T124" i="12"/>
  <c r="AJ124" i="12"/>
  <c r="H183" i="12"/>
  <c r="AJ183" i="12"/>
  <c r="AB183" i="12"/>
  <c r="AN183" i="12"/>
  <c r="P183" i="12"/>
  <c r="L183" i="12"/>
  <c r="X183" i="12"/>
  <c r="T183" i="12"/>
  <c r="AF183" i="12"/>
  <c r="H123" i="12"/>
  <c r="X123" i="12"/>
  <c r="AB123" i="12"/>
  <c r="AF123" i="12"/>
  <c r="P123" i="12"/>
  <c r="AN123" i="12"/>
  <c r="L123" i="12"/>
  <c r="T123" i="12"/>
  <c r="AJ123" i="12"/>
  <c r="I123" i="12"/>
  <c r="AG123" i="12"/>
  <c r="M123" i="12"/>
  <c r="U123" i="12"/>
  <c r="Q123" i="12"/>
  <c r="AC123" i="12"/>
  <c r="Y123" i="12"/>
  <c r="AO123" i="12"/>
  <c r="AK123" i="12"/>
  <c r="H148" i="12"/>
  <c r="L148" i="12"/>
  <c r="T148" i="12"/>
  <c r="AN148" i="12"/>
  <c r="AJ148" i="12"/>
  <c r="P148" i="12"/>
  <c r="AB148" i="12"/>
  <c r="X148" i="12"/>
  <c r="AF148" i="12"/>
  <c r="I122" i="12"/>
  <c r="U122" i="12"/>
  <c r="AG122" i="12"/>
  <c r="AK122" i="12"/>
  <c r="AO122" i="12"/>
  <c r="Y122" i="12"/>
  <c r="Q122" i="12"/>
  <c r="M122" i="12"/>
  <c r="AC122" i="12"/>
  <c r="I163" i="12"/>
  <c r="AG163" i="12"/>
  <c r="AO163" i="12"/>
  <c r="U163" i="12"/>
  <c r="Y163" i="12"/>
  <c r="AC163" i="12"/>
  <c r="Q163" i="12"/>
  <c r="M163" i="12"/>
  <c r="AK163" i="12"/>
  <c r="H146" i="12"/>
  <c r="P146" i="12"/>
  <c r="AN146" i="12"/>
  <c r="X146" i="12"/>
  <c r="T146" i="12"/>
  <c r="AF146" i="12"/>
  <c r="AB146" i="12"/>
  <c r="L146" i="12"/>
  <c r="AJ146" i="12"/>
  <c r="H120" i="12"/>
  <c r="AB120" i="12"/>
  <c r="AN120" i="12"/>
  <c r="AF120" i="12"/>
  <c r="L120" i="12"/>
  <c r="P120" i="12"/>
  <c r="X120" i="12"/>
  <c r="T120" i="12"/>
  <c r="AJ120" i="12"/>
  <c r="A4" i="12"/>
  <c r="AB4" i="12" a="1"/>
  <c r="AJ4" i="12" a="1"/>
  <c r="P4" i="12" a="1"/>
  <c r="T4" i="12" a="1"/>
  <c r="AF4" i="12" a="1"/>
  <c r="L4" i="12" a="1"/>
  <c r="X4" i="12" a="1"/>
  <c r="H4" i="12" a="1"/>
  <c r="AN4" i="12" a="1"/>
  <c r="H4" i="12" l="1"/>
  <c r="AN4" i="12"/>
  <c r="AF4" i="12"/>
  <c r="P4" i="12"/>
  <c r="L4" i="12"/>
  <c r="AJ4" i="12"/>
  <c r="AB4" i="12"/>
  <c r="X4" i="12"/>
  <c r="T4" i="12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84" i="12"/>
  <c r="A75" i="12"/>
  <c r="A70" i="12"/>
  <c r="A21" i="12"/>
  <c r="C8" i="12"/>
  <c r="X84" i="12" a="1"/>
  <c r="AF84" i="12" a="1"/>
  <c r="V8" i="12" a="1"/>
  <c r="AF75" i="12" a="1"/>
  <c r="AN70" i="12" a="1"/>
  <c r="AJ75" i="12" a="1"/>
  <c r="H75" i="12" a="1"/>
  <c r="L21" i="12" a="1"/>
  <c r="AL8" i="12" a="1"/>
  <c r="AN84" i="12" a="1"/>
  <c r="AJ84" i="12" a="1"/>
  <c r="P21" i="12" a="1"/>
  <c r="X75" i="12" a="1"/>
  <c r="AB21" i="12" a="1"/>
  <c r="P75" i="12" a="1"/>
  <c r="AF70" i="12" a="1"/>
  <c r="H84" i="12" a="1"/>
  <c r="AD8" i="12" a="1"/>
  <c r="N8" i="12" a="1"/>
  <c r="H70" i="12" a="1"/>
  <c r="AB84" i="12" a="1"/>
  <c r="J8" i="12" a="1"/>
  <c r="P70" i="12" a="1"/>
  <c r="R8" i="12" a="1"/>
  <c r="AN75" i="12" a="1"/>
  <c r="AJ70" i="12" a="1"/>
  <c r="AP8" i="12" a="1"/>
  <c r="Z8" i="12" a="1"/>
  <c r="X70" i="12" a="1"/>
  <c r="T21" i="12" a="1"/>
  <c r="X21" i="12" a="1"/>
  <c r="P84" i="12" a="1"/>
  <c r="AF21" i="12" a="1"/>
  <c r="L75" i="12" a="1"/>
  <c r="T84" i="12" a="1"/>
  <c r="AB75" i="12" a="1"/>
  <c r="T75" i="12" a="1"/>
  <c r="AN21" i="12" a="1"/>
  <c r="AJ21" i="12" a="1"/>
  <c r="L84" i="12" a="1"/>
  <c r="AH8" i="12" a="1"/>
  <c r="T70" i="12" a="1"/>
  <c r="H21" i="12" a="1"/>
  <c r="AB70" i="12" a="1"/>
  <c r="L70" i="12" a="1"/>
  <c r="V8" i="12" l="1"/>
  <c r="AL8" i="12"/>
  <c r="AH8" i="12"/>
  <c r="AD8" i="12"/>
  <c r="J8" i="12"/>
  <c r="R8" i="12"/>
  <c r="AP8" i="12"/>
  <c r="Z8" i="12"/>
  <c r="N8" i="12"/>
  <c r="H21" i="12"/>
  <c r="P21" i="12"/>
  <c r="AN21" i="12"/>
  <c r="X21" i="12"/>
  <c r="AB21" i="12"/>
  <c r="T21" i="12"/>
  <c r="L21" i="12"/>
  <c r="AJ21" i="12"/>
  <c r="AF21" i="12"/>
  <c r="H75" i="12"/>
  <c r="AB75" i="12"/>
  <c r="AN75" i="12"/>
  <c r="L75" i="12"/>
  <c r="P75" i="12"/>
  <c r="AF75" i="12"/>
  <c r="X75" i="12"/>
  <c r="T75" i="12"/>
  <c r="AJ75" i="12"/>
  <c r="H84" i="12"/>
  <c r="T84" i="12"/>
  <c r="L84" i="12"/>
  <c r="AJ84" i="12"/>
  <c r="X84" i="12"/>
  <c r="AF84" i="12"/>
  <c r="P84" i="12"/>
  <c r="AB84" i="12"/>
  <c r="AN84" i="12"/>
  <c r="H70" i="12"/>
  <c r="AB70" i="12"/>
  <c r="T70" i="12"/>
  <c r="L70" i="12"/>
  <c r="AJ70" i="12"/>
  <c r="AF70" i="12"/>
  <c r="P70" i="12"/>
  <c r="AN70" i="12"/>
  <c r="X70" i="12"/>
  <c r="C15" i="12"/>
  <c r="C30" i="12"/>
  <c r="C45" i="12"/>
  <c r="C57" i="12"/>
  <c r="C63" i="12"/>
  <c r="C72" i="12"/>
  <c r="C75" i="12"/>
  <c r="C78" i="12"/>
  <c r="C81" i="12"/>
  <c r="C84" i="12"/>
  <c r="C87" i="12"/>
  <c r="C90" i="12"/>
  <c r="C93" i="12"/>
  <c r="C96" i="12"/>
  <c r="C99" i="12"/>
  <c r="C102" i="12"/>
  <c r="C105" i="12"/>
  <c r="C108" i="12"/>
  <c r="C111" i="12"/>
  <c r="C114" i="12"/>
  <c r="C117" i="12"/>
  <c r="C120" i="12"/>
  <c r="C123" i="12"/>
  <c r="C126" i="12"/>
  <c r="C129" i="12"/>
  <c r="C132" i="12"/>
  <c r="C135" i="12"/>
  <c r="C138" i="12"/>
  <c r="C141" i="12"/>
  <c r="C144" i="12"/>
  <c r="C147" i="12"/>
  <c r="C150" i="12"/>
  <c r="C153" i="12"/>
  <c r="C156" i="12"/>
  <c r="C159" i="12"/>
  <c r="D162" i="12"/>
  <c r="C12" i="12"/>
  <c r="C27" i="12"/>
  <c r="C33" i="12"/>
  <c r="C54" i="12"/>
  <c r="D21" i="12"/>
  <c r="D33" i="12"/>
  <c r="D42" i="12"/>
  <c r="D54" i="12"/>
  <c r="D60" i="12"/>
  <c r="D63" i="12"/>
  <c r="D69" i="12"/>
  <c r="D72" i="12"/>
  <c r="D78" i="12"/>
  <c r="D81" i="12"/>
  <c r="D87" i="12"/>
  <c r="D93" i="12"/>
  <c r="D99" i="12"/>
  <c r="D105" i="12"/>
  <c r="D111" i="12"/>
  <c r="D120" i="12"/>
  <c r="D126" i="12"/>
  <c r="D135" i="12"/>
  <c r="D141" i="12"/>
  <c r="D150" i="12"/>
  <c r="A163" i="12"/>
  <c r="C9" i="12"/>
  <c r="C18" i="12"/>
  <c r="C36" i="12"/>
  <c r="C48" i="12"/>
  <c r="C66" i="12"/>
  <c r="D9" i="12"/>
  <c r="D18" i="12"/>
  <c r="D30" i="12"/>
  <c r="D39" i="12"/>
  <c r="D51" i="12"/>
  <c r="D57" i="12"/>
  <c r="D66" i="12"/>
  <c r="D75" i="12"/>
  <c r="D84" i="12"/>
  <c r="D90" i="12"/>
  <c r="D96" i="12"/>
  <c r="D102" i="12"/>
  <c r="D108" i="12"/>
  <c r="D114" i="12"/>
  <c r="D117" i="12"/>
  <c r="D123" i="12"/>
  <c r="D129" i="12"/>
  <c r="D132" i="12"/>
  <c r="D138" i="12"/>
  <c r="D144" i="12"/>
  <c r="D147" i="12"/>
  <c r="D153" i="12"/>
  <c r="D156" i="12"/>
  <c r="D159" i="12"/>
  <c r="C6" i="12"/>
  <c r="C24" i="12"/>
  <c r="C39" i="12"/>
  <c r="C51" i="12"/>
  <c r="C60" i="12"/>
  <c r="D6" i="12"/>
  <c r="D15" i="12"/>
  <c r="D27" i="12"/>
  <c r="D45" i="12"/>
  <c r="B4" i="12"/>
  <c r="B10" i="12"/>
  <c r="B16" i="12"/>
  <c r="B22" i="12"/>
  <c r="B28" i="12"/>
  <c r="B34" i="12"/>
  <c r="B40" i="12"/>
  <c r="B46" i="12"/>
  <c r="B52" i="12"/>
  <c r="B58" i="12"/>
  <c r="B64" i="12"/>
  <c r="B70" i="12"/>
  <c r="B76" i="12"/>
  <c r="B79" i="12"/>
  <c r="B82" i="12"/>
  <c r="B85" i="12"/>
  <c r="B91" i="12"/>
  <c r="B94" i="12"/>
  <c r="B97" i="12"/>
  <c r="B103" i="12"/>
  <c r="B106" i="12"/>
  <c r="B109" i="12"/>
  <c r="B112" i="12"/>
  <c r="B115" i="12"/>
  <c r="B130" i="12"/>
  <c r="B133" i="12"/>
  <c r="B136" i="12"/>
  <c r="B145" i="12"/>
  <c r="B151" i="12"/>
  <c r="B154" i="12"/>
  <c r="B157" i="12"/>
  <c r="B160" i="12"/>
  <c r="C163" i="12"/>
  <c r="C40" i="12"/>
  <c r="C21" i="12"/>
  <c r="C42" i="12"/>
  <c r="C69" i="12"/>
  <c r="D12" i="12"/>
  <c r="D24" i="12"/>
  <c r="D36" i="12"/>
  <c r="D48" i="12"/>
  <c r="B7" i="12"/>
  <c r="B13" i="12"/>
  <c r="B19" i="12"/>
  <c r="B25" i="12"/>
  <c r="B31" i="12"/>
  <c r="B37" i="12"/>
  <c r="B43" i="12"/>
  <c r="B49" i="12"/>
  <c r="B55" i="12"/>
  <c r="B61" i="12"/>
  <c r="B67" i="12"/>
  <c r="B73" i="12"/>
  <c r="B88" i="12"/>
  <c r="C4" i="12"/>
  <c r="C7" i="12"/>
  <c r="C10" i="12"/>
  <c r="C13" i="12"/>
  <c r="C16" i="12"/>
  <c r="C19" i="12"/>
  <c r="C22" i="12"/>
  <c r="C25" i="12"/>
  <c r="C28" i="12"/>
  <c r="C31" i="12"/>
  <c r="C34" i="12"/>
  <c r="C37" i="12"/>
  <c r="C43" i="12"/>
  <c r="A5" i="12"/>
  <c r="A14" i="12"/>
  <c r="A20" i="12"/>
  <c r="A26" i="12"/>
  <c r="A32" i="12"/>
  <c r="A38" i="12"/>
  <c r="A44" i="12"/>
  <c r="A47" i="12"/>
  <c r="A53" i="12"/>
  <c r="A59" i="12"/>
  <c r="A65" i="12"/>
  <c r="A71" i="12"/>
  <c r="A77" i="12"/>
  <c r="A83" i="12"/>
  <c r="A89" i="12"/>
  <c r="A95" i="12"/>
  <c r="A101" i="12"/>
  <c r="A107" i="12"/>
  <c r="A113" i="12"/>
  <c r="A125" i="12"/>
  <c r="A131" i="12"/>
  <c r="A137" i="12"/>
  <c r="A155" i="12"/>
  <c r="B5" i="12"/>
  <c r="B14" i="12"/>
  <c r="B20" i="12"/>
  <c r="B29" i="12"/>
  <c r="B35" i="12"/>
  <c r="B41" i="12"/>
  <c r="B44" i="12"/>
  <c r="B47" i="12"/>
  <c r="B50" i="12"/>
  <c r="B53" i="12"/>
  <c r="B56" i="12"/>
  <c r="B59" i="12"/>
  <c r="B62" i="12"/>
  <c r="B65" i="12"/>
  <c r="B68" i="12"/>
  <c r="B71" i="12"/>
  <c r="B74" i="12"/>
  <c r="B77" i="12"/>
  <c r="B80" i="12"/>
  <c r="B83" i="12"/>
  <c r="B86" i="12"/>
  <c r="B89" i="12"/>
  <c r="B92" i="12"/>
  <c r="B95" i="12"/>
  <c r="B98" i="12"/>
  <c r="B101" i="12"/>
  <c r="B104" i="12"/>
  <c r="B107" i="12"/>
  <c r="B110" i="12"/>
  <c r="B113" i="12"/>
  <c r="B125" i="12"/>
  <c r="B137" i="12"/>
  <c r="B146" i="12"/>
  <c r="B149" i="12"/>
  <c r="B152" i="12"/>
  <c r="B155" i="12"/>
  <c r="B158" i="12"/>
  <c r="C161" i="12"/>
  <c r="A166" i="12"/>
  <c r="A169" i="12"/>
  <c r="A172" i="12"/>
  <c r="A175" i="12"/>
  <c r="A178" i="12"/>
  <c r="A181" i="12"/>
  <c r="A184" i="12"/>
  <c r="A187" i="12"/>
  <c r="A190" i="12"/>
  <c r="A193" i="12"/>
  <c r="A8" i="12"/>
  <c r="A11" i="12"/>
  <c r="A17" i="12"/>
  <c r="A23" i="12"/>
  <c r="A29" i="12"/>
  <c r="A35" i="12"/>
  <c r="A41" i="12"/>
  <c r="A50" i="12"/>
  <c r="A56" i="12"/>
  <c r="A62" i="12"/>
  <c r="A68" i="12"/>
  <c r="A74" i="12"/>
  <c r="A80" i="12"/>
  <c r="A86" i="12"/>
  <c r="A92" i="12"/>
  <c r="A98" i="12"/>
  <c r="A104" i="12"/>
  <c r="A110" i="12"/>
  <c r="A134" i="12"/>
  <c r="A140" i="12"/>
  <c r="A143" i="12"/>
  <c r="A149" i="12"/>
  <c r="A152" i="12"/>
  <c r="A158" i="12"/>
  <c r="B161" i="12"/>
  <c r="B8" i="12"/>
  <c r="B11" i="12"/>
  <c r="B17" i="12"/>
  <c r="B23" i="12"/>
  <c r="B26" i="12"/>
  <c r="B32" i="12"/>
  <c r="B38" i="12"/>
  <c r="C5" i="12"/>
  <c r="C11" i="12"/>
  <c r="C14" i="12"/>
  <c r="C17" i="12"/>
  <c r="C20" i="12"/>
  <c r="C23" i="12"/>
  <c r="C26" i="12"/>
  <c r="C29" i="12"/>
  <c r="C32" i="12"/>
  <c r="C35" i="12"/>
  <c r="C38" i="12"/>
  <c r="C41" i="12"/>
  <c r="C44" i="12"/>
  <c r="C47" i="12"/>
  <c r="C50" i="12"/>
  <c r="C53" i="12"/>
  <c r="C56" i="12"/>
  <c r="C59" i="12"/>
  <c r="C62" i="12"/>
  <c r="C65" i="12"/>
  <c r="C68" i="12"/>
  <c r="C71" i="12"/>
  <c r="C74" i="12"/>
  <c r="C77" i="12"/>
  <c r="C80" i="12"/>
  <c r="C83" i="12"/>
  <c r="C86" i="12"/>
  <c r="C89" i="12"/>
  <c r="C92" i="12"/>
  <c r="C95" i="12"/>
  <c r="C98" i="12"/>
  <c r="C101" i="12"/>
  <c r="C104" i="12"/>
  <c r="C107" i="12"/>
  <c r="C110" i="12"/>
  <c r="C113" i="12"/>
  <c r="C116" i="12"/>
  <c r="C119" i="12"/>
  <c r="C122" i="12"/>
  <c r="C125" i="12"/>
  <c r="C128" i="12"/>
  <c r="C131" i="12"/>
  <c r="C134" i="12"/>
  <c r="C137" i="12"/>
  <c r="C140" i="12"/>
  <c r="C143" i="12"/>
  <c r="C146" i="12"/>
  <c r="C149" i="12"/>
  <c r="C152" i="12"/>
  <c r="C155" i="12"/>
  <c r="C158" i="12"/>
  <c r="D161" i="12"/>
  <c r="B166" i="12"/>
  <c r="B169" i="12"/>
  <c r="B172" i="12"/>
  <c r="B175" i="12"/>
  <c r="B178" i="12"/>
  <c r="B184" i="12"/>
  <c r="B187" i="12"/>
  <c r="B190" i="12"/>
  <c r="B193" i="12"/>
  <c r="C166" i="12"/>
  <c r="C169" i="12"/>
  <c r="C172" i="12"/>
  <c r="C175" i="12"/>
  <c r="C178" i="12"/>
  <c r="C181" i="12"/>
  <c r="C184" i="12"/>
  <c r="C187" i="12"/>
  <c r="C190" i="12"/>
  <c r="C193" i="12"/>
  <c r="D166" i="12"/>
  <c r="D169" i="12"/>
  <c r="D172" i="12"/>
  <c r="D175" i="12"/>
  <c r="D178" i="12"/>
  <c r="D181" i="12"/>
  <c r="D184" i="12"/>
  <c r="D187" i="12"/>
  <c r="D190" i="12"/>
  <c r="D193" i="12"/>
  <c r="C46" i="12"/>
  <c r="C49" i="12"/>
  <c r="C52" i="12"/>
  <c r="C55" i="12"/>
  <c r="C58" i="12"/>
  <c r="C61" i="12"/>
  <c r="C64" i="12"/>
  <c r="C67" i="12"/>
  <c r="C70" i="12"/>
  <c r="C73" i="12"/>
  <c r="C76" i="12"/>
  <c r="C79" i="12"/>
  <c r="C82" i="12"/>
  <c r="C85" i="12"/>
  <c r="C88" i="12"/>
  <c r="C91" i="12"/>
  <c r="C94" i="12"/>
  <c r="C97" i="12"/>
  <c r="C100" i="12"/>
  <c r="C103" i="12"/>
  <c r="C106" i="12"/>
  <c r="C109" i="12"/>
  <c r="C112" i="12"/>
  <c r="C115" i="12"/>
  <c r="C118" i="12"/>
  <c r="C121" i="12"/>
  <c r="C124" i="12"/>
  <c r="C127" i="12"/>
  <c r="C130" i="12"/>
  <c r="C133" i="12"/>
  <c r="C136" i="12"/>
  <c r="C139" i="12"/>
  <c r="C142" i="12"/>
  <c r="C145" i="12"/>
  <c r="C148" i="12"/>
  <c r="C151" i="12"/>
  <c r="C154" i="12"/>
  <c r="C157" i="12"/>
  <c r="C160" i="12"/>
  <c r="D163" i="12"/>
  <c r="D4" i="12"/>
  <c r="D7" i="12"/>
  <c r="D10" i="12"/>
  <c r="D13" i="12"/>
  <c r="D16" i="12"/>
  <c r="D19" i="12"/>
  <c r="D22" i="12"/>
  <c r="D25" i="12"/>
  <c r="D28" i="12"/>
  <c r="D31" i="12"/>
  <c r="D34" i="12"/>
  <c r="D37" i="12"/>
  <c r="D40" i="12"/>
  <c r="D43" i="12"/>
  <c r="D46" i="12"/>
  <c r="D49" i="12"/>
  <c r="D52" i="12"/>
  <c r="D55" i="12"/>
  <c r="D58" i="12"/>
  <c r="D61" i="12"/>
  <c r="D64" i="12"/>
  <c r="D67" i="12"/>
  <c r="D70" i="12"/>
  <c r="D73" i="12"/>
  <c r="D76" i="12"/>
  <c r="D79" i="12"/>
  <c r="D82" i="12"/>
  <c r="D85" i="12"/>
  <c r="D88" i="12"/>
  <c r="D91" i="12"/>
  <c r="D94" i="12"/>
  <c r="D97" i="12"/>
  <c r="D100" i="12"/>
  <c r="D103" i="12"/>
  <c r="D106" i="12"/>
  <c r="D109" i="12"/>
  <c r="D112" i="12"/>
  <c r="D115" i="12"/>
  <c r="D118" i="12"/>
  <c r="D121" i="12"/>
  <c r="D124" i="12"/>
  <c r="D127" i="12"/>
  <c r="D130" i="12"/>
  <c r="D133" i="12"/>
  <c r="D136" i="12"/>
  <c r="D139" i="12"/>
  <c r="D142" i="12"/>
  <c r="D145" i="12"/>
  <c r="D148" i="12"/>
  <c r="D151" i="12"/>
  <c r="D154" i="12"/>
  <c r="D157" i="12"/>
  <c r="D160" i="12"/>
  <c r="D5" i="12"/>
  <c r="D8" i="12"/>
  <c r="D11" i="12"/>
  <c r="D14" i="12"/>
  <c r="D17" i="12"/>
  <c r="D20" i="12"/>
  <c r="D23" i="12"/>
  <c r="D26" i="12"/>
  <c r="D29" i="12"/>
  <c r="D32" i="12"/>
  <c r="D35" i="12"/>
  <c r="D38" i="12"/>
  <c r="D41" i="12"/>
  <c r="D44" i="12"/>
  <c r="D47" i="12"/>
  <c r="D50" i="12"/>
  <c r="D53" i="12"/>
  <c r="D56" i="12"/>
  <c r="D59" i="12"/>
  <c r="D62" i="12"/>
  <c r="D65" i="12"/>
  <c r="D68" i="12"/>
  <c r="D71" i="12"/>
  <c r="D74" i="12"/>
  <c r="D77" i="12"/>
  <c r="D80" i="12"/>
  <c r="D83" i="12"/>
  <c r="D86" i="12"/>
  <c r="D89" i="12"/>
  <c r="D92" i="12"/>
  <c r="D95" i="12"/>
  <c r="D98" i="12"/>
  <c r="D101" i="12"/>
  <c r="D104" i="12"/>
  <c r="D107" i="12"/>
  <c r="D110" i="12"/>
  <c r="D113" i="12"/>
  <c r="D116" i="12"/>
  <c r="D119" i="12"/>
  <c r="D122" i="12"/>
  <c r="D125" i="12"/>
  <c r="D128" i="12"/>
  <c r="D131" i="12"/>
  <c r="D134" i="12"/>
  <c r="D137" i="12"/>
  <c r="D140" i="12"/>
  <c r="D143" i="12"/>
  <c r="D146" i="12"/>
  <c r="D149" i="12"/>
  <c r="D152" i="12"/>
  <c r="D155" i="12"/>
  <c r="D158" i="12"/>
  <c r="A162" i="12"/>
  <c r="A6" i="12"/>
  <c r="A9" i="12"/>
  <c r="A12" i="12"/>
  <c r="A15" i="12"/>
  <c r="A18" i="12"/>
  <c r="A24" i="12"/>
  <c r="A27" i="12"/>
  <c r="A30" i="12"/>
  <c r="A33" i="12"/>
  <c r="A36" i="12"/>
  <c r="A39" i="12"/>
  <c r="A42" i="12"/>
  <c r="A45" i="12"/>
  <c r="A48" i="12"/>
  <c r="A51" i="12"/>
  <c r="A54" i="12"/>
  <c r="A57" i="12"/>
  <c r="A60" i="12"/>
  <c r="A63" i="12"/>
  <c r="A66" i="12"/>
  <c r="A69" i="12"/>
  <c r="A72" i="12"/>
  <c r="A78" i="12"/>
  <c r="A81" i="12"/>
  <c r="A87" i="12"/>
  <c r="A90" i="12"/>
  <c r="A93" i="12"/>
  <c r="A96" i="12"/>
  <c r="A102" i="12"/>
  <c r="A105" i="12"/>
  <c r="A108" i="12"/>
  <c r="A111" i="12"/>
  <c r="A114" i="12"/>
  <c r="A117" i="12"/>
  <c r="A126" i="12"/>
  <c r="A129" i="12"/>
  <c r="A135" i="12"/>
  <c r="A138" i="12"/>
  <c r="A144" i="12"/>
  <c r="A150" i="12"/>
  <c r="A153" i="12"/>
  <c r="A156" i="12"/>
  <c r="A159" i="12"/>
  <c r="B6" i="12"/>
  <c r="B9" i="12"/>
  <c r="B12" i="12"/>
  <c r="B15" i="12"/>
  <c r="B18" i="12"/>
  <c r="B21" i="12"/>
  <c r="B24" i="12"/>
  <c r="B27" i="12"/>
  <c r="B30" i="12"/>
  <c r="B33" i="12"/>
  <c r="B36" i="12"/>
  <c r="B39" i="12"/>
  <c r="B42" i="12"/>
  <c r="B45" i="12"/>
  <c r="B48" i="12"/>
  <c r="B51" i="12"/>
  <c r="B54" i="12"/>
  <c r="B57" i="12"/>
  <c r="B60" i="12"/>
  <c r="B63" i="12"/>
  <c r="B66" i="12"/>
  <c r="B69" i="12"/>
  <c r="B72" i="12"/>
  <c r="B75" i="12"/>
  <c r="B78" i="12"/>
  <c r="B81" i="12"/>
  <c r="B84" i="12"/>
  <c r="B87" i="12"/>
  <c r="B90" i="12"/>
  <c r="B93" i="12"/>
  <c r="B96" i="12"/>
  <c r="B102" i="12"/>
  <c r="B105" i="12"/>
  <c r="B108" i="12"/>
  <c r="B111" i="12"/>
  <c r="B114" i="12"/>
  <c r="B117" i="12"/>
  <c r="B126" i="12"/>
  <c r="B129" i="12"/>
  <c r="B132" i="12"/>
  <c r="B135" i="12"/>
  <c r="B138" i="12"/>
  <c r="B141" i="12"/>
  <c r="B150" i="12"/>
  <c r="B153" i="12"/>
  <c r="B156" i="12"/>
  <c r="B159" i="12"/>
  <c r="C162" i="12"/>
  <c r="A164" i="12"/>
  <c r="A167" i="12"/>
  <c r="A170" i="12"/>
  <c r="A173" i="12"/>
  <c r="A176" i="12"/>
  <c r="A179" i="12"/>
  <c r="A182" i="12"/>
  <c r="A185" i="12"/>
  <c r="A188" i="12"/>
  <c r="A191" i="12"/>
  <c r="B164" i="12"/>
  <c r="B167" i="12"/>
  <c r="B170" i="12"/>
  <c r="B173" i="12"/>
  <c r="B176" i="12"/>
  <c r="B182" i="12"/>
  <c r="B185" i="12"/>
  <c r="B188" i="12"/>
  <c r="B191" i="12"/>
  <c r="C164" i="12"/>
  <c r="C167" i="12"/>
  <c r="C170" i="12"/>
  <c r="C173" i="12"/>
  <c r="C176" i="12"/>
  <c r="C179" i="12"/>
  <c r="C182" i="12"/>
  <c r="C185" i="12"/>
  <c r="C188" i="12"/>
  <c r="C191" i="12"/>
  <c r="A7" i="12"/>
  <c r="A10" i="12"/>
  <c r="A13" i="12"/>
  <c r="A16" i="12"/>
  <c r="A19" i="12"/>
  <c r="A22" i="12"/>
  <c r="A25" i="12"/>
  <c r="A28" i="12"/>
  <c r="A31" i="12"/>
  <c r="A34" i="12"/>
  <c r="A37" i="12"/>
  <c r="A40" i="12"/>
  <c r="A43" i="12"/>
  <c r="A46" i="12"/>
  <c r="A49" i="12"/>
  <c r="A52" i="12"/>
  <c r="A55" i="12"/>
  <c r="A58" i="12"/>
  <c r="A61" i="12"/>
  <c r="A64" i="12"/>
  <c r="A67" i="12"/>
  <c r="A73" i="12"/>
  <c r="A76" i="12"/>
  <c r="A79" i="12"/>
  <c r="A82" i="12"/>
  <c r="A85" i="12"/>
  <c r="A88" i="12"/>
  <c r="A91" i="12"/>
  <c r="A94" i="12"/>
  <c r="A97" i="12"/>
  <c r="A103" i="12"/>
  <c r="A106" i="12"/>
  <c r="A109" i="12"/>
  <c r="A112" i="12"/>
  <c r="A115" i="12"/>
  <c r="A130" i="12"/>
  <c r="A136" i="12"/>
  <c r="A139" i="12"/>
  <c r="A151" i="12"/>
  <c r="A154" i="12"/>
  <c r="A157" i="12"/>
  <c r="D164" i="12"/>
  <c r="D167" i="12"/>
  <c r="D170" i="12"/>
  <c r="D173" i="12"/>
  <c r="D176" i="12"/>
  <c r="D179" i="12"/>
  <c r="D182" i="12"/>
  <c r="D185" i="12"/>
  <c r="D188" i="12"/>
  <c r="D191" i="12"/>
  <c r="A165" i="12"/>
  <c r="A168" i="12"/>
  <c r="A171" i="12"/>
  <c r="A174" i="12"/>
  <c r="A180" i="12"/>
  <c r="A186" i="12"/>
  <c r="A189" i="12"/>
  <c r="A192" i="12"/>
  <c r="B165" i="12"/>
  <c r="B168" i="12"/>
  <c r="B171" i="12"/>
  <c r="B174" i="12"/>
  <c r="B177" i="12"/>
  <c r="B180" i="12"/>
  <c r="B183" i="12"/>
  <c r="B186" i="12"/>
  <c r="B189" i="12"/>
  <c r="B192" i="12"/>
  <c r="C165" i="12"/>
  <c r="C168" i="12"/>
  <c r="C171" i="12"/>
  <c r="C174" i="12"/>
  <c r="C177" i="12"/>
  <c r="C180" i="12"/>
  <c r="C183" i="12"/>
  <c r="C186" i="12"/>
  <c r="C189" i="12"/>
  <c r="C192" i="12"/>
  <c r="D165" i="12"/>
  <c r="D168" i="12"/>
  <c r="D171" i="12"/>
  <c r="D174" i="12"/>
  <c r="D177" i="12"/>
  <c r="D180" i="12"/>
  <c r="D183" i="12"/>
  <c r="D186" i="12"/>
  <c r="D189" i="12"/>
  <c r="D192" i="12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AH13" i="12" a="1"/>
  <c r="AB97" i="12" a="1"/>
  <c r="Z74" i="12" a="1"/>
  <c r="R37" i="12" a="1"/>
  <c r="AH23" i="12" a="1"/>
  <c r="AP54" i="12" a="1"/>
  <c r="AA42" i="12" a="1"/>
  <c r="AI18" i="12" a="1"/>
  <c r="AG79" i="12" a="1"/>
  <c r="M106" i="12" a="1"/>
  <c r="X26" i="12" a="1"/>
  <c r="M88" i="12" a="1"/>
  <c r="AA61" i="12" a="1"/>
  <c r="R19" i="12" a="1"/>
  <c r="AF167" i="12" a="1"/>
  <c r="T8" i="12" a="1"/>
  <c r="Y183" i="12" a="1"/>
  <c r="AE11" i="12" a="1"/>
  <c r="N35" i="12" a="1"/>
  <c r="M185" i="12" a="1"/>
  <c r="K28" i="12" a="1"/>
  <c r="AM40" i="12" a="1"/>
  <c r="Y110" i="12" a="1"/>
  <c r="AE182" i="12" a="1"/>
  <c r="AK15" i="12" a="1"/>
  <c r="AI178" i="12" a="1"/>
  <c r="N150" i="12" a="1"/>
  <c r="AM54" i="12" a="1"/>
  <c r="X59" i="12" a="1"/>
  <c r="H82" i="12" a="1"/>
  <c r="W114" i="12" a="1"/>
  <c r="K87" i="12" a="1"/>
  <c r="AG84" i="12" a="1"/>
  <c r="V65" i="12" a="1"/>
  <c r="Z61" i="12" a="1"/>
  <c r="P12" i="12" a="1"/>
  <c r="AD98" i="12" a="1"/>
  <c r="AM151" i="12" a="1"/>
  <c r="N97" i="12" a="1"/>
  <c r="AN16" i="12" a="1"/>
  <c r="Z31" i="12" a="1"/>
  <c r="AN57" i="12" a="1"/>
  <c r="AE144" i="12" a="1"/>
  <c r="AE44" i="12" a="1"/>
  <c r="U48" i="12" a="1"/>
  <c r="H171" i="12" a="1"/>
  <c r="M29" i="12" a="1"/>
  <c r="T107" i="12" a="1"/>
  <c r="AK66" i="12" a="1"/>
  <c r="Q161" i="12" a="1"/>
  <c r="L149" i="12" a="1"/>
  <c r="AO126" i="12" a="1"/>
  <c r="AH148" i="12" a="1"/>
  <c r="R169" i="12" a="1"/>
  <c r="AG114" i="12" a="1"/>
  <c r="AQ75" i="12" a="1"/>
  <c r="S63" i="12" a="1"/>
  <c r="AI134" i="12" a="1"/>
  <c r="AQ135" i="12" a="1"/>
  <c r="T139" i="12" a="1"/>
  <c r="R170" i="12" a="1"/>
  <c r="O15" i="12" a="1"/>
  <c r="AP93" i="12" a="1"/>
  <c r="AJ71" i="12" a="1"/>
  <c r="K174" i="12" a="1"/>
  <c r="AM58" i="12" a="1"/>
  <c r="AO170" i="12" a="1"/>
  <c r="W118" i="12" a="1"/>
  <c r="U9" i="12" a="1"/>
  <c r="X176" i="12" a="1"/>
  <c r="Y59" i="12" a="1"/>
  <c r="X54" i="12" a="1"/>
  <c r="T72" i="12" a="1"/>
  <c r="L24" i="12" a="1"/>
  <c r="I59" i="12" a="1"/>
  <c r="AB105" i="12" a="1"/>
  <c r="AD141" i="12" a="1"/>
  <c r="P57" i="12" a="1"/>
  <c r="L22" i="12" a="1"/>
  <c r="J166" i="12" a="1"/>
  <c r="AD179" i="12" a="1"/>
  <c r="AQ117" i="12" a="1"/>
  <c r="S30" i="12" a="1"/>
  <c r="R75" i="12" a="1"/>
  <c r="AA132" i="12" a="1"/>
  <c r="M74" i="12" a="1"/>
  <c r="Z132" i="12" a="1"/>
  <c r="V190" i="12" a="1"/>
  <c r="T80" i="12" a="1"/>
  <c r="AD108" i="12" a="1"/>
  <c r="K22" i="12" a="1"/>
  <c r="AB186" i="12" a="1"/>
  <c r="U27" i="12" a="1"/>
  <c r="O68" i="12" a="1"/>
  <c r="AC30" i="12" a="1"/>
  <c r="S158" i="12" a="1"/>
  <c r="J171" i="12" a="1"/>
  <c r="AQ44" i="12" a="1"/>
  <c r="R89" i="12" a="1"/>
  <c r="AD36" i="12" a="1"/>
  <c r="AO184" i="12" a="1"/>
  <c r="AD88" i="12" a="1"/>
  <c r="M27" i="12" a="1"/>
  <c r="AJ65" i="12" a="1"/>
  <c r="AN95" i="12" a="1"/>
  <c r="AA64" i="12" a="1"/>
  <c r="J100" i="12" a="1"/>
  <c r="AG23" i="12" a="1"/>
  <c r="AH114" i="12" a="1"/>
  <c r="O81" i="12" a="1"/>
  <c r="U132" i="12" a="1"/>
  <c r="V171" i="12" a="1"/>
  <c r="S151" i="12" a="1"/>
  <c r="AN79" i="12" a="1"/>
  <c r="P23" i="12" a="1"/>
  <c r="AC16" i="12" a="1"/>
  <c r="AL83" i="12" a="1"/>
  <c r="I34" i="12" a="1"/>
  <c r="V111" i="12" a="1"/>
  <c r="AE185" i="12" a="1"/>
  <c r="AB188" i="12" a="1"/>
  <c r="H62" i="12" a="1"/>
  <c r="AG54" i="12" a="1"/>
  <c r="AA98" i="12" a="1"/>
  <c r="AQ81" i="12" a="1"/>
  <c r="AM155" i="12" a="1"/>
  <c r="AK152" i="12" a="1"/>
  <c r="AN192" i="12" a="1"/>
  <c r="AD86" i="12" a="1"/>
  <c r="AI20" i="12" a="1"/>
  <c r="AK125" i="12" a="1"/>
  <c r="K114" i="12" a="1"/>
  <c r="J89" i="12" a="1"/>
  <c r="AM137" i="12" a="1"/>
  <c r="AP96" i="12" a="1"/>
  <c r="R100" i="12" a="1"/>
  <c r="AK41" i="12" a="1"/>
  <c r="M38" i="12" a="1"/>
  <c r="AK79" i="12" a="1"/>
  <c r="AC102" i="12" a="1"/>
  <c r="AP100" i="12" a="1"/>
  <c r="AP22" i="12" a="1"/>
  <c r="N16" i="12" a="1"/>
  <c r="AQ112" i="12" a="1"/>
  <c r="U149" i="12" a="1"/>
  <c r="AM27" i="12" a="1"/>
  <c r="W85" i="12" a="1"/>
  <c r="AM144" i="12" a="1"/>
  <c r="AF72" i="12" a="1"/>
  <c r="AF71" i="12" a="1"/>
  <c r="AI112" i="12" a="1"/>
  <c r="N57" i="12" a="1"/>
  <c r="W170" i="12" a="1"/>
  <c r="AE93" i="12" a="1"/>
  <c r="AP114" i="12" a="1"/>
  <c r="AG69" i="12" a="1"/>
  <c r="R76" i="12" a="1"/>
  <c r="AQ61" i="12" a="1"/>
  <c r="AF144" i="12" a="1"/>
  <c r="AK31" i="12" a="1"/>
  <c r="AM117" i="12" a="1"/>
  <c r="AM181" i="12" a="1"/>
  <c r="U184" i="12" a="1"/>
  <c r="S164" i="12" a="1"/>
  <c r="AH58" i="12" a="1"/>
  <c r="N158" i="12" a="1"/>
  <c r="AE77" i="12" a="1"/>
  <c r="X14" i="12" a="1"/>
  <c r="AN101" i="12" a="1"/>
  <c r="AF89" i="12" a="1"/>
  <c r="T175" i="12" a="1"/>
  <c r="T102" i="12" a="1"/>
  <c r="AF178" i="12" a="1"/>
  <c r="W146" i="12" a="1"/>
  <c r="H35" i="12" a="1"/>
  <c r="W69" i="12" a="1"/>
  <c r="L7" i="12" a="1"/>
  <c r="AD83" i="12" a="1"/>
  <c r="T41" i="12" a="1"/>
  <c r="AQ22" i="12" a="1"/>
  <c r="AJ104" i="12" a="1"/>
  <c r="AH96" i="12" a="1"/>
  <c r="AG150" i="12" a="1"/>
  <c r="W81" i="12" a="1"/>
  <c r="AD114" i="12" a="1"/>
  <c r="W147" i="12" a="1"/>
  <c r="AI133" i="12" a="1"/>
  <c r="AJ22" i="12" a="1"/>
  <c r="Z11" i="12" a="1"/>
  <c r="AK56" i="12" a="1"/>
  <c r="AO182" i="12" a="1"/>
  <c r="O45" i="12" a="1"/>
  <c r="AK187" i="12" a="1"/>
  <c r="AQ80" i="12" a="1"/>
  <c r="AE45" i="12" a="1"/>
  <c r="AD71" i="12" a="1"/>
  <c r="R30" i="12" a="1"/>
  <c r="AP12" i="12" a="1"/>
  <c r="Z150" i="12" a="1"/>
  <c r="H26" i="12" a="1"/>
  <c r="AG47" i="12" a="1"/>
  <c r="L38" i="12" a="1"/>
  <c r="AO135" i="12" a="1"/>
  <c r="M92" i="12" a="1"/>
  <c r="AC56" i="12" a="1"/>
  <c r="AM122" i="12" a="1"/>
  <c r="V86" i="12" a="1"/>
  <c r="S43" i="12" a="1"/>
  <c r="M102" i="12" a="1"/>
  <c r="O37" i="12" a="1"/>
  <c r="AD125" i="12" a="1"/>
  <c r="AF139" i="12" a="1"/>
  <c r="O27" i="12" a="1"/>
  <c r="U154" i="12" a="1"/>
  <c r="AJ154" i="12" a="1"/>
  <c r="X15" i="12" a="1"/>
  <c r="M114" i="12" a="1"/>
  <c r="AD24" i="12" a="1"/>
  <c r="AD128" i="12" a="1"/>
  <c r="AM84" i="12" a="1"/>
  <c r="S93" i="12" a="1"/>
  <c r="AQ71" i="12" a="1"/>
  <c r="Q50" i="12" a="1"/>
  <c r="Z39" i="12" a="1"/>
  <c r="S51" i="12" a="1"/>
  <c r="M78" i="12" a="1"/>
  <c r="X28" i="12" a="1"/>
  <c r="AL18" i="12" a="1"/>
  <c r="P185" i="12" a="1"/>
  <c r="AB139" i="12" a="1"/>
  <c r="AN104" i="12" a="1"/>
  <c r="H61" i="12" a="1"/>
  <c r="W43" i="12" a="1"/>
  <c r="AM83" i="12" a="1"/>
  <c r="AN110" i="12" a="1"/>
  <c r="AH31" i="12" a="1"/>
  <c r="AM11" i="12" a="1"/>
  <c r="AK59" i="12" a="1"/>
  <c r="H51" i="12" a="1"/>
  <c r="J45" i="12" a="1"/>
  <c r="H143" i="12" a="1"/>
  <c r="Z183" i="12" a="1"/>
  <c r="AN172" i="12" a="1"/>
  <c r="V24" i="12" a="1"/>
  <c r="K46" i="12" a="1"/>
  <c r="AN33" i="12" a="1"/>
  <c r="AD189" i="12" a="1"/>
  <c r="AC153" i="12" a="1"/>
  <c r="AK23" i="12" a="1"/>
  <c r="AC36" i="12" a="1"/>
  <c r="P139" i="12" a="1"/>
  <c r="AB85" i="12" a="1"/>
  <c r="W40" i="12" a="1"/>
  <c r="AO25" i="12" a="1"/>
  <c r="P107" i="12" a="1"/>
  <c r="O167" i="12" a="1"/>
  <c r="R38" i="12" a="1"/>
  <c r="AI124" i="12" a="1"/>
  <c r="Y27" i="12" a="1"/>
  <c r="AD107" i="12" a="1"/>
  <c r="AA93" i="12" a="1"/>
  <c r="AM60" i="12" a="1"/>
  <c r="AA191" i="12" a="1"/>
  <c r="Z55" i="12" a="1"/>
  <c r="R50" i="12" a="1"/>
  <c r="AI84" i="12" a="1"/>
  <c r="Z165" i="12" a="1"/>
  <c r="AP43" i="12" a="1"/>
  <c r="K29" i="12" a="1"/>
  <c r="AJ105" i="12" a="1"/>
  <c r="I154" i="12" a="1"/>
  <c r="AI22" i="12" a="1"/>
  <c r="AA73" i="12" a="1"/>
  <c r="AB167" i="12" a="1"/>
  <c r="U94" i="12" a="1"/>
  <c r="X155" i="12" a="1"/>
  <c r="H172" i="12" a="1"/>
  <c r="AL179" i="12" a="1"/>
  <c r="AH14" i="12" a="1"/>
  <c r="AF69" i="12" a="1"/>
  <c r="AO45" i="12" a="1"/>
  <c r="AK38" i="12" a="1"/>
  <c r="AQ100" i="12" a="1"/>
  <c r="AG165" i="12" a="1"/>
  <c r="AG95" i="12" a="1"/>
  <c r="AB65" i="12" a="1"/>
  <c r="AI65" i="12" a="1"/>
  <c r="I115" i="12" a="1"/>
  <c r="AN68" i="12" a="1"/>
  <c r="J183" i="12" a="1"/>
  <c r="AE164" i="12" a="1"/>
  <c r="AE47" i="12" a="1"/>
  <c r="AF58" i="12" a="1"/>
  <c r="AL157" i="12" a="1"/>
  <c r="AI11" i="12" a="1"/>
  <c r="T154" i="12" a="1"/>
  <c r="O59" i="12" a="1"/>
  <c r="O80" i="12" a="1"/>
  <c r="Y114" i="12" a="1"/>
  <c r="O78" i="12" a="1"/>
  <c r="AE7" i="12" a="1"/>
  <c r="N63" i="12" a="1"/>
  <c r="AL53" i="12" a="1"/>
  <c r="N94" i="12" a="1"/>
  <c r="L71" i="12" a="1"/>
  <c r="Q150" i="12" a="1"/>
  <c r="Y154" i="12" a="1"/>
  <c r="L54" i="12" a="1"/>
  <c r="W171" i="12" a="1"/>
  <c r="U31" i="12" a="1"/>
  <c r="I88" i="12" a="1"/>
  <c r="AP158" i="12" a="1"/>
  <c r="H175" i="12" a="1"/>
  <c r="I92" i="12" a="1"/>
  <c r="AQ25" i="12" a="1"/>
  <c r="Q102" i="12" a="1"/>
  <c r="L110" i="12" a="1"/>
  <c r="AO37" i="12" a="1"/>
  <c r="X50" i="12" a="1"/>
  <c r="V76" i="12" a="1"/>
  <c r="AD164" i="12" a="1"/>
  <c r="O127" i="12" a="1"/>
  <c r="AA19" i="12" a="1"/>
  <c r="S65" i="12" a="1"/>
  <c r="AP109" i="12" a="1"/>
  <c r="L69" i="12" a="1"/>
  <c r="AA135" i="12" a="1"/>
  <c r="AE42" i="12" a="1"/>
  <c r="V104" i="12" a="1"/>
  <c r="Q90" i="12" a="1"/>
  <c r="AI94" i="12" a="1"/>
  <c r="AD154" i="12" a="1"/>
  <c r="J37" i="12" a="1"/>
  <c r="U46" i="12" a="1"/>
  <c r="K158" i="12" a="1"/>
  <c r="AC106" i="12" a="1"/>
  <c r="AL81" i="12" a="1"/>
  <c r="J109" i="12" a="1"/>
  <c r="Q42" i="12" a="1"/>
  <c r="P111" i="12" a="1"/>
  <c r="J181" i="12" a="1"/>
  <c r="Q108" i="12" a="1"/>
  <c r="AI97" i="12" a="1"/>
  <c r="AD99" i="12" a="1"/>
  <c r="AL146" i="12" a="1"/>
  <c r="J57" i="12" a="1"/>
  <c r="L107" i="12" a="1"/>
  <c r="AE112" i="12" a="1"/>
  <c r="S173" i="12" a="1"/>
  <c r="V10" i="12" a="1"/>
  <c r="M57" i="12" a="1"/>
  <c r="AO180" i="12" a="1"/>
  <c r="R122" i="12" a="1"/>
  <c r="Z188" i="12" a="1"/>
  <c r="AP27" i="12" a="1"/>
  <c r="P168" i="12" a="1"/>
  <c r="W115" i="12" a="1"/>
  <c r="Q185" i="12" a="1"/>
  <c r="AF41" i="12" a="1"/>
  <c r="V156" i="12" a="1"/>
  <c r="AB170" i="12" a="1"/>
  <c r="AF96" i="12" a="1"/>
  <c r="AE190" i="12" a="1"/>
  <c r="H19" i="12" a="1"/>
  <c r="V23" i="12" a="1"/>
  <c r="Y72" i="12" a="1"/>
  <c r="AP155" i="12" a="1"/>
  <c r="H173" i="12" a="1"/>
  <c r="N149" i="12" a="1"/>
  <c r="H80" i="12" a="1"/>
  <c r="AO125" i="12" a="1"/>
  <c r="M37" i="12" a="1"/>
  <c r="AP140" i="12" a="1"/>
  <c r="S35" i="12" a="1"/>
  <c r="AM113" i="12" a="1"/>
  <c r="AP23" i="12" a="1"/>
  <c r="Z173" i="12" a="1"/>
  <c r="O99" i="12" a="1"/>
  <c r="AH32" i="12" a="1"/>
  <c r="U126" i="12" a="1"/>
  <c r="J97" i="12" a="1"/>
  <c r="P95" i="12" a="1"/>
  <c r="O168" i="12" a="1"/>
  <c r="I4" i="12" a="1"/>
  <c r="I165" i="12" a="1"/>
  <c r="U108" i="12" a="1"/>
  <c r="I152" i="12" a="1"/>
  <c r="AA47" i="12" a="1"/>
  <c r="AB58" i="12" a="1"/>
  <c r="AL27" i="12" a="1"/>
  <c r="AI43" i="12" a="1"/>
  <c r="O47" i="12" a="1"/>
  <c r="AE193" i="12" a="1"/>
  <c r="O79" i="12" a="1"/>
  <c r="O161" i="12" a="1"/>
  <c r="Y153" i="12" a="1"/>
  <c r="AA155" i="12" a="1"/>
  <c r="AK180" i="12" a="1"/>
  <c r="P173" i="12" a="1"/>
  <c r="AH107" i="12" a="1"/>
  <c r="Q45" i="12" a="1"/>
  <c r="S104" i="12" a="1"/>
  <c r="K84" i="12" a="1"/>
  <c r="N109" i="12" a="1"/>
  <c r="S29" i="12" a="1"/>
  <c r="S157" i="12" a="1"/>
  <c r="X144" i="12" a="1"/>
  <c r="I129" i="12" a="1"/>
  <c r="AA178" i="12" a="1"/>
  <c r="K18" i="12" a="1"/>
  <c r="AF39" i="12" a="1"/>
  <c r="AO53" i="12" a="1"/>
  <c r="AM112" i="12" a="1"/>
  <c r="T47" i="12" a="1"/>
  <c r="J39" i="12" a="1"/>
  <c r="Z65" i="12" a="1"/>
  <c r="K168" i="12" a="1"/>
  <c r="Y31" i="12" a="1"/>
  <c r="Y102" i="12" a="1"/>
  <c r="AG9" i="12" a="1"/>
  <c r="N89" i="12" a="1"/>
  <c r="AJ61" i="12" a="1"/>
  <c r="AO152" i="12" a="1"/>
  <c r="K128" i="12" a="1"/>
  <c r="T93" i="12" a="1"/>
  <c r="AF156" i="12" a="1"/>
  <c r="AJ144" i="12" a="1"/>
  <c r="W149" i="12" a="1"/>
  <c r="T34" i="12" a="1"/>
  <c r="H46" i="12" a="1"/>
  <c r="AK95" i="12" a="1"/>
  <c r="AC110" i="12" a="1"/>
  <c r="L32" i="12" a="1"/>
  <c r="K68" i="12" a="1"/>
  <c r="AL89" i="12" a="1"/>
  <c r="J36" i="12" a="1"/>
  <c r="AJ8" i="12" a="1"/>
  <c r="T40" i="12" a="1"/>
  <c r="V170" i="12" a="1"/>
  <c r="N90" i="12" a="1"/>
  <c r="T32" i="12" a="1"/>
  <c r="T193" i="12" a="1"/>
  <c r="AH131" i="12" a="1"/>
  <c r="AB33" i="12" a="1"/>
  <c r="AB51" i="12" a="1"/>
  <c r="AH68" i="12" a="1"/>
  <c r="AB71" i="12" a="1"/>
  <c r="H23" i="12" a="1"/>
  <c r="AA43" i="12" a="1"/>
  <c r="J33" i="12" a="1"/>
  <c r="AA125" i="12" a="1"/>
  <c r="AH146" i="12" a="1"/>
  <c r="AM80" i="12" a="1"/>
  <c r="AI41" i="12" a="1"/>
  <c r="AP141" i="12" a="1"/>
  <c r="AQ45" i="12" a="1"/>
  <c r="AQ65" i="12" a="1"/>
  <c r="AH181" i="12" a="1"/>
  <c r="S146" i="12" a="1"/>
  <c r="AH178" i="12" a="1"/>
  <c r="H98" i="12" a="1"/>
  <c r="AQ17" i="12" a="1"/>
  <c r="O163" i="12" a="1"/>
  <c r="AP112" i="12" a="1"/>
  <c r="V56" i="12" a="1"/>
  <c r="P51" i="12" a="1"/>
  <c r="V99" i="12" a="1"/>
  <c r="P85" i="12" a="1"/>
  <c r="AM148" i="12" a="1"/>
  <c r="O144" i="12" a="1"/>
  <c r="AJ114" i="12" a="1"/>
  <c r="O126" i="12" a="1"/>
  <c r="X149" i="12" a="1"/>
  <c r="AA149" i="12" a="1"/>
  <c r="AH151" i="12" a="1"/>
  <c r="AL188" i="12" a="1"/>
  <c r="Y170" i="12" a="1"/>
  <c r="K182" i="12" a="1"/>
  <c r="AP149" i="12" a="1"/>
  <c r="AE80" i="12" a="1"/>
  <c r="AJ23" i="12" a="1"/>
  <c r="Y61" i="12" a="1"/>
  <c r="V115" i="12" a="1"/>
  <c r="AO46" i="12" a="1"/>
  <c r="AG161" i="12" a="1"/>
  <c r="AF137" i="12" a="1"/>
  <c r="AM79" i="12" a="1"/>
  <c r="X111" i="12" a="1"/>
  <c r="AA58" i="12" a="1"/>
  <c r="X92" i="12" a="1"/>
  <c r="W26" i="12" a="1"/>
  <c r="N45" i="12" a="1"/>
  <c r="AA75" i="12" a="1"/>
  <c r="Y109" i="12" a="1"/>
  <c r="AQ18" i="12" a="1"/>
  <c r="AC19" i="12" a="1"/>
  <c r="AP21" i="12" a="1"/>
  <c r="Q151" i="12" a="1"/>
  <c r="X180" i="12" a="1"/>
  <c r="AO41" i="12" a="1"/>
  <c r="AO105" i="12" a="1"/>
  <c r="O157" i="12" a="1"/>
  <c r="V55" i="12" a="1"/>
  <c r="V50" i="12" a="1"/>
  <c r="S152" i="12" a="1"/>
  <c r="V9" i="12" a="1"/>
  <c r="W137" i="12" a="1"/>
  <c r="Q164" i="12" a="1"/>
  <c r="AF98" i="12" a="1"/>
  <c r="AB175" i="12" a="1"/>
  <c r="AG187" i="12" a="1"/>
  <c r="R135" i="12" a="1"/>
  <c r="AO22" i="12" a="1"/>
  <c r="AP33" i="12" a="1"/>
  <c r="Q84" i="12" a="1"/>
  <c r="L34" i="12" a="1"/>
  <c r="AQ7" i="12" a="1"/>
  <c r="W191" i="12" a="1"/>
  <c r="W76" i="12" a="1"/>
  <c r="AK7" i="12" a="1"/>
  <c r="S182" i="12" a="1"/>
  <c r="AF101" i="12" a="1"/>
  <c r="AA14" i="12" a="1"/>
  <c r="AD34" i="12" a="1"/>
  <c r="AF129" i="12" a="1"/>
  <c r="X36" i="12" a="1"/>
  <c r="J153" i="12" a="1"/>
  <c r="AG170" i="12" a="1"/>
  <c r="Y106" i="12" a="1"/>
  <c r="AM183" i="12" a="1"/>
  <c r="O160" i="12" a="1"/>
  <c r="AH9" i="12" a="1"/>
  <c r="S155" i="12" a="1"/>
  <c r="AD16" i="12" a="1"/>
  <c r="U91" i="12" a="1"/>
  <c r="P94" i="12" a="1"/>
  <c r="J5" i="12" a="1"/>
  <c r="Y76" i="12" a="1"/>
  <c r="AA146" i="12" a="1"/>
  <c r="AP32" i="12" a="1"/>
  <c r="AC173" i="12" a="1"/>
  <c r="R48" i="12" a="1"/>
  <c r="AM98" i="12" a="1"/>
  <c r="X190" i="12" a="1"/>
  <c r="AG105" i="12" a="1"/>
  <c r="AQ148" i="12" a="1"/>
  <c r="Q28" i="12" a="1"/>
  <c r="AL123" i="12" a="1"/>
  <c r="L97" i="12" a="1"/>
  <c r="Z153" i="12" a="1"/>
  <c r="R172" i="12" a="1"/>
  <c r="AO94" i="12" a="1"/>
  <c r="AL109" i="12" a="1"/>
  <c r="W45" i="12" a="1"/>
  <c r="AD162" i="12" a="1"/>
  <c r="R51" i="12" a="1"/>
  <c r="AF150" i="12" a="1"/>
  <c r="U97" i="12" a="1"/>
  <c r="AG35" i="12" a="1"/>
  <c r="U98" i="12" a="1"/>
  <c r="Y97" i="12" a="1"/>
  <c r="Y130" i="12" a="1"/>
  <c r="AC41" i="12" a="1"/>
  <c r="AG17" i="12" a="1"/>
  <c r="T131" i="12" a="1"/>
  <c r="AN179" i="12" a="1"/>
  <c r="M170" i="12" a="1"/>
  <c r="Q26" i="12" a="1"/>
  <c r="J27" i="12" a="1"/>
  <c r="S24" i="12" a="1"/>
  <c r="M95" i="12" a="1"/>
  <c r="AB150" i="12" a="1"/>
  <c r="U56" i="12" a="1"/>
  <c r="AH10" i="12" a="1"/>
  <c r="P74" i="12" a="1"/>
  <c r="I41" i="12" a="1"/>
  <c r="AI44" i="12" a="1"/>
  <c r="AC88" i="12" a="1"/>
  <c r="T52" i="12" a="1"/>
  <c r="R175" i="12" a="1"/>
  <c r="AF107" i="12" a="1"/>
  <c r="N120" i="12" a="1"/>
  <c r="J75" i="12" a="1"/>
  <c r="AE152" i="12" a="1"/>
  <c r="AJ73" i="12" a="1"/>
  <c r="AD15" i="12" a="1"/>
  <c r="R117" i="12" a="1"/>
  <c r="N41" i="12" a="1"/>
  <c r="AB23" i="12" a="1"/>
  <c r="I28" i="12" a="1"/>
  <c r="AL21" i="12" a="1"/>
  <c r="AH187" i="12" a="1"/>
  <c r="O129" i="12" a="1"/>
  <c r="I57" i="12" a="1"/>
  <c r="V54" i="12" a="1"/>
  <c r="R29" i="12" a="1"/>
  <c r="I176" i="12" a="1"/>
  <c r="AD136" i="12" a="1"/>
  <c r="AJ110" i="12" a="1"/>
  <c r="AL120" i="12" a="1"/>
  <c r="K164" i="12" a="1"/>
  <c r="AK185" i="12" a="1"/>
  <c r="AB32" i="12" a="1"/>
  <c r="M69" i="12" a="1"/>
  <c r="I164" i="12" a="1"/>
  <c r="AI152" i="12" a="1"/>
  <c r="AQ40" i="12" a="1"/>
  <c r="AA18" i="12" a="1"/>
  <c r="AK89" i="12" a="1"/>
  <c r="AP45" i="12" a="1"/>
  <c r="AD119" i="12" a="1"/>
  <c r="M73" i="12" a="1"/>
  <c r="X162" i="12" a="1"/>
  <c r="AN190" i="12" a="1"/>
  <c r="AO19" i="12" a="1"/>
  <c r="AP83" i="12" a="1"/>
  <c r="R78" i="12" a="1"/>
  <c r="Y88" i="12" a="1"/>
  <c r="AF113" i="12" a="1"/>
  <c r="I73" i="12" a="1"/>
  <c r="W161" i="12" a="1"/>
  <c r="AF63" i="12" a="1"/>
  <c r="AN30" i="12" a="1"/>
  <c r="AB152" i="12" a="1"/>
  <c r="AI115" i="12" a="1"/>
  <c r="AO60" i="12" a="1"/>
  <c r="Z90" i="12" a="1"/>
  <c r="X174" i="12" a="1"/>
  <c r="X72" i="12" a="1"/>
  <c r="W90" i="12" a="1"/>
  <c r="AC28" i="12" a="1"/>
  <c r="AP169" i="12" a="1"/>
  <c r="AL129" i="12" a="1"/>
  <c r="AF112" i="12" a="1"/>
  <c r="AG108" i="12" a="1"/>
  <c r="X68" i="12" a="1"/>
  <c r="AH140" i="12" a="1"/>
  <c r="Y26" i="12" a="1"/>
  <c r="S172" i="12" a="1"/>
  <c r="AQ119" i="12" a="1"/>
  <c r="AD58" i="12" a="1"/>
  <c r="P104" i="12" a="1"/>
  <c r="AQ49" i="12" a="1"/>
  <c r="Q23" i="12" a="1"/>
  <c r="AH37" i="12" a="1"/>
  <c r="AJ158" i="12" a="1"/>
  <c r="W25" i="12" a="1"/>
  <c r="AH159" i="12" a="1"/>
  <c r="W62" i="12" a="1"/>
  <c r="AJ106" i="12" a="1"/>
  <c r="AC22" i="12" a="1"/>
  <c r="AO175" i="12" a="1"/>
  <c r="AN55" i="12" a="1"/>
  <c r="AL160" i="12" a="1"/>
  <c r="W188" i="12" a="1"/>
  <c r="AJ33" i="12" a="1"/>
  <c r="L72" i="12" a="1"/>
  <c r="T101" i="12" a="1"/>
  <c r="AE154" i="12" a="1"/>
  <c r="Q25" i="12" a="1"/>
  <c r="AQ59" i="12" a="1"/>
  <c r="L56" i="12" a="1"/>
  <c r="AP148" i="12" a="1"/>
  <c r="U88" i="12" a="1"/>
  <c r="AE186" i="12" a="1"/>
  <c r="Y37" i="12" a="1"/>
  <c r="M112" i="12" a="1"/>
  <c r="J145" i="12" a="1"/>
  <c r="Z16" i="12" a="1"/>
  <c r="T117" i="12" a="1"/>
  <c r="Y70" i="12" a="1"/>
  <c r="Z96" i="12" a="1"/>
  <c r="AP167" i="12" a="1"/>
  <c r="AN154" i="12" a="1"/>
  <c r="AB24" i="12" a="1"/>
  <c r="AM152" i="12" a="1"/>
  <c r="S135" i="12" a="1"/>
  <c r="P152" i="12" a="1"/>
  <c r="K43" i="12" a="1"/>
  <c r="W172" i="12" a="1"/>
  <c r="AG92" i="12" a="1"/>
  <c r="AI4" i="12" a="1"/>
  <c r="M34" i="12" a="1"/>
  <c r="Z80" i="12" a="1"/>
  <c r="P79" i="12" a="1"/>
  <c r="AP37" i="12" a="1"/>
  <c r="K183" i="12" a="1"/>
  <c r="Z91" i="12" a="1"/>
  <c r="AB172" i="12" a="1"/>
  <c r="K8" i="12" a="1"/>
  <c r="I114" i="12" a="1"/>
  <c r="AM134" i="12" a="1"/>
  <c r="AG43" i="12" a="1"/>
  <c r="J132" i="12" a="1"/>
  <c r="AH54" i="12" a="1"/>
  <c r="AH12" i="12" a="1"/>
  <c r="AH117" i="12" a="1"/>
  <c r="Z35" i="12" a="1"/>
  <c r="V158" i="12" a="1"/>
  <c r="J71" i="12" a="1"/>
  <c r="V58" i="12" a="1"/>
  <c r="T181" i="12" a="1"/>
  <c r="AB36" i="12" a="1"/>
  <c r="AL133" i="12" a="1"/>
  <c r="I178" i="12" a="1"/>
  <c r="AP153" i="12" a="1"/>
  <c r="Z37" i="12" a="1"/>
  <c r="O152" i="12" a="1"/>
  <c r="X65" i="12" a="1"/>
  <c r="U165" i="12" a="1"/>
  <c r="AP97" i="12" a="1"/>
  <c r="J143" i="12" a="1"/>
  <c r="Z49" i="12" a="1"/>
  <c r="AP104" i="12" a="1"/>
  <c r="AE48" i="12" a="1"/>
  <c r="Q155" i="12" a="1"/>
  <c r="AE58" i="12" a="1"/>
  <c r="T168" i="12" a="1"/>
  <c r="AM25" i="12" a="1"/>
  <c r="AN150" i="12" a="1"/>
  <c r="AO115" i="12" a="1"/>
  <c r="I43" i="12" a="1"/>
  <c r="P134" i="12" a="1"/>
  <c r="L17" i="12" a="1"/>
  <c r="AK98" i="12" a="1"/>
  <c r="AE53" i="12" a="1"/>
  <c r="AP119" i="12" a="1"/>
  <c r="AC177" i="12" a="1"/>
  <c r="I91" i="12" a="1"/>
  <c r="AG86" i="12" a="1"/>
  <c r="I74" i="12" a="1"/>
  <c r="AP31" i="12" a="1"/>
  <c r="K100" i="12" a="1"/>
  <c r="P18" i="12" a="1"/>
  <c r="K193" i="12" a="1"/>
  <c r="O137" i="12" a="1"/>
  <c r="N118" i="12" a="1"/>
  <c r="AH112" i="12" a="1"/>
  <c r="Y129" i="12" a="1"/>
  <c r="AA127" i="12" a="1"/>
  <c r="Q130" i="12" a="1"/>
  <c r="AN170" i="12" a="1"/>
  <c r="AA30" i="12" a="1"/>
  <c r="P117" i="12" a="1"/>
  <c r="Y19" i="12" a="1"/>
  <c r="AK67" i="12" a="1"/>
  <c r="O174" i="12" a="1"/>
  <c r="M85" i="12" a="1"/>
  <c r="V180" i="12" a="1"/>
  <c r="O49" i="12" a="1"/>
  <c r="O165" i="12" a="1"/>
  <c r="AQ92" i="12" a="1"/>
  <c r="I14" i="12" a="1"/>
  <c r="AA182" i="12" a="1"/>
  <c r="O182" i="12" a="1"/>
  <c r="Q178" i="12" a="1"/>
  <c r="AC170" i="12" a="1"/>
  <c r="M155" i="12" a="1"/>
  <c r="R45" i="12" a="1"/>
  <c r="AQ163" i="12" a="1"/>
  <c r="AH57" i="12" a="1"/>
  <c r="N61" i="12" a="1"/>
  <c r="S178" i="12" a="1"/>
  <c r="O94" i="12" a="1"/>
  <c r="AH149" i="12" a="1"/>
  <c r="K107" i="12" a="1"/>
  <c r="AG190" i="12" a="1"/>
  <c r="K165" i="12" a="1"/>
  <c r="H88" i="12" a="1"/>
  <c r="Q136" i="12" a="1"/>
  <c r="N143" i="12" a="1"/>
  <c r="L192" i="12" a="1"/>
  <c r="AH118" i="12" a="1"/>
  <c r="AH97" i="12" a="1"/>
  <c r="J78" i="12" a="1"/>
  <c r="AN130" i="12" a="1"/>
  <c r="AI119" i="12" a="1"/>
  <c r="AP173" i="12" a="1"/>
  <c r="T43" i="12" a="1"/>
  <c r="AA70" i="12" a="1"/>
  <c r="AN23" i="12" a="1"/>
  <c r="AM85" i="12" a="1"/>
  <c r="AL104" i="12" a="1"/>
  <c r="AA183" i="12" a="1"/>
  <c r="I15" i="12" a="1"/>
  <c r="I40" i="12" a="1"/>
  <c r="M4" i="12" a="1"/>
  <c r="Z104" i="12" a="1"/>
  <c r="K135" i="12" a="1"/>
  <c r="Z70" i="12" a="1"/>
  <c r="AP176" i="12" a="1"/>
  <c r="H83" i="12" a="1"/>
  <c r="AE189" i="12" a="1"/>
  <c r="AK36" i="12" a="1"/>
  <c r="R94" i="12" a="1"/>
  <c r="H170" i="12" a="1"/>
  <c r="T10" i="12" a="1"/>
  <c r="AF181" i="12" a="1"/>
  <c r="W132" i="12" a="1"/>
  <c r="AN18" i="12" a="1"/>
  <c r="J58" i="12" a="1"/>
  <c r="AB154" i="12" a="1"/>
  <c r="P179" i="12" a="1"/>
  <c r="AB190" i="12" a="1"/>
  <c r="AE94" i="12" a="1"/>
  <c r="AH165" i="12" a="1"/>
  <c r="AG88" i="12" a="1"/>
  <c r="I130" i="12" a="1"/>
  <c r="AO39" i="12" a="1"/>
  <c r="K76" i="12" a="1"/>
  <c r="R148" i="12" a="1"/>
  <c r="AQ41" i="12" a="1"/>
  <c r="AJ42" i="12" a="1"/>
  <c r="AH132" i="12" a="1"/>
  <c r="Y187" i="12" a="1"/>
  <c r="J76" i="12" a="1"/>
  <c r="K96" i="12" a="1"/>
  <c r="L15" i="12" a="1"/>
  <c r="AH27" i="12" a="1"/>
  <c r="P105" i="12" a="1"/>
  <c r="AE153" i="12" a="1"/>
  <c r="N183" i="12" a="1"/>
  <c r="AK111" i="12" a="1"/>
  <c r="AJ193" i="12" a="1"/>
  <c r="AL45" i="12" a="1"/>
  <c r="H187" i="12" a="1"/>
  <c r="AO164" i="12" a="1"/>
  <c r="AC115" i="12" a="1"/>
  <c r="AB59" i="12" a="1"/>
  <c r="AD117" i="12" a="1"/>
  <c r="AN135" i="12" a="1"/>
  <c r="AB137" i="12" a="1"/>
  <c r="R9" i="12" a="1"/>
  <c r="R107" i="12" a="1"/>
  <c r="AB16" i="12" a="1"/>
  <c r="Y23" i="12" a="1"/>
  <c r="AQ162" i="12" a="1"/>
  <c r="R188" i="12" a="1"/>
  <c r="V109" i="12" a="1"/>
  <c r="AP92" i="12" a="1"/>
  <c r="V57" i="12" a="1"/>
  <c r="AJ14" i="12" a="1"/>
  <c r="AF171" i="12" a="1"/>
  <c r="AI122" i="12" a="1"/>
  <c r="AN158" i="12" a="1"/>
  <c r="AH20" i="12" a="1"/>
  <c r="AP151" i="12" a="1"/>
  <c r="AC81" i="12" a="1"/>
  <c r="J79" i="12" a="1"/>
  <c r="AE165" i="12" a="1"/>
  <c r="K39" i="12" a="1"/>
  <c r="AC91" i="12" a="1"/>
  <c r="U70" i="12" a="1"/>
  <c r="AL17" i="12" a="1"/>
  <c r="AQ173" i="12" a="1"/>
  <c r="P80" i="12" a="1"/>
  <c r="S134" i="12" a="1"/>
  <c r="P130" i="12" a="1"/>
  <c r="AM59" i="12" a="1"/>
  <c r="AL82" i="12" a="1"/>
  <c r="L153" i="12" a="1"/>
  <c r="V21" i="12" a="1"/>
  <c r="AA16" i="12" a="1"/>
  <c r="AC26" i="12" a="1"/>
  <c r="AE135" i="12" a="1"/>
  <c r="N72" i="12" a="1"/>
  <c r="Z71" i="12" a="1"/>
  <c r="AG151" i="12" a="1"/>
  <c r="J96" i="12" a="1"/>
  <c r="AD187" i="12" a="1"/>
  <c r="AC48" i="12" a="1"/>
  <c r="S15" i="12" a="1"/>
  <c r="AB43" i="12" a="1"/>
  <c r="T57" i="12" a="1"/>
  <c r="U57" i="12" a="1"/>
  <c r="AI172" i="12" a="1"/>
  <c r="Z112" i="12" a="1"/>
  <c r="H93" i="12" a="1"/>
  <c r="AM174" i="12" a="1"/>
  <c r="R187" i="12" a="1"/>
  <c r="T74" i="12" a="1"/>
  <c r="AD163" i="12" a="1"/>
  <c r="AP58" i="12" a="1"/>
  <c r="V105" i="12" a="1"/>
  <c r="J120" i="12" a="1"/>
  <c r="AO185" i="12" a="1"/>
  <c r="Q10" i="12" a="1"/>
  <c r="AO176" i="12" a="1"/>
  <c r="AD56" i="12" a="1"/>
  <c r="Z46" i="12" a="1"/>
  <c r="AK174" i="12" a="1"/>
  <c r="S26" i="12" a="1"/>
  <c r="AD35" i="12" a="1"/>
  <c r="M70" i="12" a="1"/>
  <c r="AC146" i="12" a="1"/>
  <c r="AK77" i="12" a="1"/>
  <c r="V106" i="12" a="1"/>
  <c r="AA99" i="12" a="1"/>
  <c r="W127" i="12" a="1"/>
  <c r="L193" i="12" a="1"/>
  <c r="AE172" i="12" a="1"/>
  <c r="O133" i="12" a="1"/>
  <c r="AE46" i="12" a="1"/>
  <c r="I35" i="12" a="1"/>
  <c r="X17" i="12" a="1"/>
  <c r="AF138" i="12" a="1"/>
  <c r="AN82" i="12" a="1"/>
  <c r="V71" i="12" a="1"/>
  <c r="V42" i="12" a="1"/>
  <c r="AG37" i="12" a="1"/>
  <c r="AF179" i="12" a="1"/>
  <c r="V151" i="12" a="1"/>
  <c r="AD122" i="12" a="1"/>
  <c r="K154" i="12" a="1"/>
  <c r="AP182" i="12" a="1"/>
  <c r="H150" i="12" a="1"/>
  <c r="R24" i="12" a="1"/>
  <c r="AN89" i="12" a="1"/>
  <c r="W44" i="12" a="1"/>
  <c r="Z64" i="12" a="1"/>
  <c r="W190" i="12" a="1"/>
  <c r="T153" i="12" a="1"/>
  <c r="AE176" i="12" a="1"/>
  <c r="AJ117" i="12" a="1"/>
  <c r="Q176" i="12" a="1"/>
  <c r="Z58" i="12" a="1"/>
  <c r="H39" i="12" a="1"/>
  <c r="H73" i="12" a="1"/>
  <c r="AG74" i="12" a="1"/>
  <c r="M90" i="12" a="1"/>
  <c r="K102" i="12" a="1"/>
  <c r="R34" i="12" a="1"/>
  <c r="S112" i="12" a="1"/>
  <c r="U114" i="12" a="1"/>
  <c r="AG110" i="12" a="1"/>
  <c r="AE134" i="12" a="1"/>
  <c r="AL58" i="12" a="1"/>
  <c r="H126" i="12" a="1"/>
  <c r="AG49" i="12" a="1"/>
  <c r="AE170" i="12" a="1"/>
  <c r="AP68" i="12" a="1"/>
  <c r="AF158" i="12" a="1"/>
  <c r="Z187" i="12" a="1"/>
  <c r="AQ136" i="12" a="1"/>
  <c r="Z135" i="12" a="1"/>
  <c r="AN72" i="12" a="1"/>
  <c r="AK154" i="12" a="1"/>
  <c r="R56" i="12" a="1"/>
  <c r="AF155" i="12" a="1"/>
  <c r="AD5" i="12" a="1"/>
  <c r="Y63" i="12" a="1"/>
  <c r="P93" i="12" a="1"/>
  <c r="Q36" i="12" a="1"/>
  <c r="I56" i="12" a="1"/>
  <c r="R168" i="12" a="1"/>
  <c r="T158" i="12" a="1"/>
  <c r="AK33" i="12" a="1"/>
  <c r="K112" i="12" a="1"/>
  <c r="AI149" i="12" a="1"/>
  <c r="N153" i="12" a="1"/>
  <c r="AD131" i="12" a="1"/>
  <c r="L111" i="12" a="1"/>
  <c r="H30" i="12" a="1"/>
  <c r="P182" i="12" a="1"/>
  <c r="AI34" i="12" a="1"/>
  <c r="AL122" i="12" a="1"/>
  <c r="W148" i="12" a="1"/>
  <c r="AA76" i="12" a="1"/>
  <c r="Y136" i="12" a="1"/>
  <c r="I191" i="12" a="1"/>
  <c r="AO56" i="12" a="1"/>
  <c r="AE120" i="12" a="1"/>
  <c r="U190" i="12" a="1"/>
  <c r="T155" i="12" a="1"/>
  <c r="AG66" i="12" a="1"/>
  <c r="AI47" i="12" a="1"/>
  <c r="I112" i="12" a="1"/>
  <c r="AE130" i="12" a="1"/>
  <c r="L130" i="12" a="1"/>
  <c r="AD17" i="12" a="1"/>
  <c r="H44" i="12" a="1"/>
  <c r="AK88" i="12" a="1"/>
  <c r="M35" i="12" a="1"/>
  <c r="H114" i="12" a="1"/>
  <c r="S154" i="12" a="1"/>
  <c r="K77" i="12" a="1"/>
  <c r="AE96" i="12" a="1"/>
  <c r="W4" i="12" a="1"/>
  <c r="Q35" i="12" a="1"/>
  <c r="AQ11" i="12" a="1"/>
  <c r="AP124" i="12" a="1"/>
  <c r="AQ123" i="12" a="1"/>
  <c r="N166" i="12" a="1"/>
  <c r="R7" i="12" a="1"/>
  <c r="Q49" i="12" a="1"/>
  <c r="M84" i="12" a="1"/>
  <c r="AO178" i="12" a="1"/>
  <c r="AL114" i="12" a="1"/>
  <c r="S130" i="12" a="1"/>
  <c r="AQ90" i="12" a="1"/>
  <c r="J104" i="12" a="1"/>
  <c r="O9" i="12" a="1"/>
  <c r="Z24" i="12" a="1"/>
  <c r="K185" i="12" a="1"/>
  <c r="AD123" i="12" a="1"/>
  <c r="AL16" i="12" a="1"/>
  <c r="AD172" i="12" a="1"/>
  <c r="AQ164" i="12" a="1"/>
  <c r="R119" i="12" a="1"/>
  <c r="AG73" i="12" a="1"/>
  <c r="AF190" i="12" a="1"/>
  <c r="AC184" i="12" a="1"/>
  <c r="AI76" i="12" a="1"/>
  <c r="AB95" i="12" a="1"/>
  <c r="AG191" i="12" a="1"/>
  <c r="V11" i="12" a="1"/>
  <c r="L43" i="12" a="1"/>
  <c r="L185" i="12" a="1"/>
  <c r="U84" i="12" a="1"/>
  <c r="AA59" i="12" a="1"/>
  <c r="AP11" i="12" a="1"/>
  <c r="AD53" i="12" a="1"/>
  <c r="AB111" i="12" a="1"/>
  <c r="AA80" i="12" a="1"/>
  <c r="U73" i="12" a="1"/>
  <c r="W176" i="12" a="1"/>
  <c r="AI54" i="12" a="1"/>
  <c r="L64" i="12" a="1"/>
  <c r="AQ94" i="12" a="1"/>
  <c r="AG129" i="12" a="1"/>
  <c r="X193" i="12" a="1"/>
  <c r="AA11" i="12" a="1"/>
  <c r="Y81" i="12" a="1"/>
  <c r="AH78" i="12" a="1"/>
  <c r="V96" i="12" a="1"/>
  <c r="AA8" i="12" a="1"/>
  <c r="AB34" i="12" a="1"/>
  <c r="U153" i="12" a="1"/>
  <c r="AA22" i="12" a="1"/>
  <c r="AJ88" i="12" a="1"/>
  <c r="X12" i="12" a="1"/>
  <c r="L82" i="12" a="1"/>
  <c r="AA9" i="12" a="1"/>
  <c r="U175" i="12" a="1"/>
  <c r="AI127" i="12" a="1"/>
  <c r="O14" i="12" a="1"/>
  <c r="S90" i="12" a="1"/>
  <c r="L93" i="12" a="1"/>
  <c r="I173" i="12" a="1"/>
  <c r="AD175" i="12" a="1"/>
  <c r="AP146" i="12" a="1"/>
  <c r="AQ89" i="12" a="1"/>
  <c r="Y40" i="12" a="1"/>
  <c r="AE137" i="12" a="1"/>
  <c r="AF18" i="12" a="1"/>
  <c r="P193" i="12" a="1"/>
  <c r="R154" i="12" a="1"/>
  <c r="W39" i="12" a="1"/>
  <c r="Y101" i="12" a="1"/>
  <c r="M89" i="12" a="1"/>
  <c r="AE116" i="12" a="1"/>
  <c r="I5" i="12" a="1"/>
  <c r="AK62" i="12" a="1"/>
  <c r="AD111" i="12" a="1"/>
  <c r="Q41" i="12" a="1"/>
  <c r="AL63" i="12" a="1"/>
  <c r="AH34" i="12" a="1"/>
  <c r="AE41" i="12" a="1"/>
  <c r="V179" i="12" a="1"/>
  <c r="K99" i="12" a="1"/>
  <c r="O189" i="12" a="1"/>
  <c r="J142" i="12" a="1"/>
  <c r="AD61" i="12" a="1"/>
  <c r="AH102" i="12" a="1"/>
  <c r="AI98" i="12" a="1"/>
  <c r="AH47" i="12" a="1"/>
  <c r="P29" i="12" a="1"/>
  <c r="AH106" i="12" a="1"/>
  <c r="M54" i="12" a="1"/>
  <c r="V167" i="12" a="1"/>
  <c r="AD85" i="12" a="1"/>
  <c r="O67" i="12" a="1"/>
  <c r="M174" i="12" a="1"/>
  <c r="AF149" i="12" a="1"/>
  <c r="AC34" i="12" a="1"/>
  <c r="R43" i="12" a="1"/>
  <c r="AG59" i="12" a="1"/>
  <c r="Y14" i="12" a="1"/>
  <c r="N156" i="12" a="1"/>
  <c r="V130" i="12" a="1"/>
  <c r="AP41" i="12" a="1"/>
  <c r="AM132" i="12" a="1"/>
  <c r="AM107" i="12" a="1"/>
  <c r="AK5" i="12" a="1"/>
  <c r="X80" i="12" a="1"/>
  <c r="AC158" i="12" a="1"/>
  <c r="J38" i="12" a="1"/>
  <c r="T9" i="12" a="1"/>
  <c r="R102" i="12" a="1"/>
  <c r="Q22" i="12" a="1"/>
  <c r="Y105" i="12" a="1"/>
  <c r="X188" i="12" a="1"/>
  <c r="AC188" i="12" a="1"/>
  <c r="R68" i="12" a="1"/>
  <c r="M110" i="12" a="1"/>
  <c r="AI102" i="12" a="1"/>
  <c r="AK80" i="12" a="1"/>
  <c r="AK164" i="12" a="1"/>
  <c r="AD188" i="12" a="1"/>
  <c r="AP61" i="12" a="1"/>
  <c r="J61" i="12" a="1"/>
  <c r="J158" i="12" a="1"/>
  <c r="L187" i="12" a="1"/>
  <c r="R97" i="12" a="1"/>
  <c r="AP86" i="12" a="1"/>
  <c r="AH42" i="12" a="1"/>
  <c r="AP99" i="12" a="1"/>
  <c r="AE124" i="12" a="1"/>
  <c r="O178" i="12" a="1"/>
  <c r="R79" i="12" a="1"/>
  <c r="T192" i="12" a="1"/>
  <c r="R143" i="12" a="1"/>
  <c r="U170" i="12" a="1"/>
  <c r="AN22" i="12" a="1"/>
  <c r="AC25" i="12" a="1"/>
  <c r="AI164" i="12" a="1"/>
  <c r="K136" i="12" a="1"/>
  <c r="M126" i="12" a="1"/>
  <c r="AN47" i="12" a="1"/>
  <c r="L73" i="12" a="1"/>
  <c r="Q133" i="12" a="1"/>
  <c r="X117" i="12" a="1"/>
  <c r="T18" i="12" a="1"/>
  <c r="AN126" i="12" a="1"/>
  <c r="I126" i="12" a="1"/>
  <c r="V87" i="12" a="1"/>
  <c r="Z186" i="12" a="1"/>
  <c r="J121" i="12" a="1"/>
  <c r="AA54" i="12" a="1"/>
  <c r="I171" i="12" a="1"/>
  <c r="Q129" i="12" a="1"/>
  <c r="AN175" i="12" a="1"/>
  <c r="Z73" i="12" a="1"/>
  <c r="AN88" i="12" a="1"/>
  <c r="AL15" i="12" a="1"/>
  <c r="Y115" i="12" a="1"/>
  <c r="AG155" i="12" a="1"/>
  <c r="N179" i="12" a="1"/>
  <c r="AP172" i="12" a="1"/>
  <c r="J179" i="12" a="1"/>
  <c r="R114" i="12" a="1"/>
  <c r="AQ98" i="12" a="1"/>
  <c r="AM124" i="12" a="1"/>
  <c r="AG154" i="12" a="1"/>
  <c r="J119" i="12" a="1"/>
  <c r="Y13" i="12" a="1"/>
  <c r="AH133" i="12" a="1"/>
  <c r="AE75" i="12" a="1"/>
  <c r="Z141" i="12" a="1"/>
  <c r="AD22" i="12" a="1"/>
  <c r="O43" i="12" a="1"/>
  <c r="AP81" i="12" a="1"/>
  <c r="J148" i="12" a="1"/>
  <c r="R133" i="12" a="1"/>
  <c r="Y93" i="12" a="1"/>
  <c r="AE10" i="12" a="1"/>
  <c r="AB89" i="12" a="1"/>
  <c r="Y49" i="12" a="1"/>
  <c r="AD7" i="12" a="1"/>
  <c r="O188" i="12" a="1"/>
  <c r="K178" i="12" a="1"/>
  <c r="AO14" i="12" a="1"/>
  <c r="AC157" i="12" a="1"/>
  <c r="O183" i="12" a="1"/>
  <c r="AN193" i="12" a="1"/>
  <c r="AO29" i="12" a="1"/>
  <c r="K155" i="12" a="1"/>
  <c r="AO106" i="12" a="1"/>
  <c r="L117" i="12" a="1"/>
  <c r="Z5" i="12" a="1"/>
  <c r="N133" i="12" a="1"/>
  <c r="AI100" i="12" a="1"/>
  <c r="AI155" i="12" a="1"/>
  <c r="AJ190" i="12" a="1"/>
  <c r="T126" i="12" a="1"/>
  <c r="AB174" i="12" a="1"/>
  <c r="AF104" i="12" a="1"/>
  <c r="AE110" i="12" a="1"/>
  <c r="AJ34" i="12" a="1"/>
  <c r="W9" i="12" a="1"/>
  <c r="AP115" i="12" a="1"/>
  <c r="AJ20" i="12" a="1"/>
  <c r="K90" i="12" a="1"/>
  <c r="AI193" i="12" a="1"/>
  <c r="AJ130" i="12" a="1"/>
  <c r="X25" i="12" a="1"/>
  <c r="AA134" i="12" a="1"/>
  <c r="AC87" i="12" a="1"/>
  <c r="AQ91" i="12" a="1"/>
  <c r="R138" i="12" a="1"/>
  <c r="AO133" i="12" a="1"/>
  <c r="AD46" i="12" a="1"/>
  <c r="T79" i="12" a="1"/>
  <c r="Q170" i="12" a="1"/>
  <c r="I21" i="12" a="1"/>
  <c r="W117" i="12" a="1"/>
  <c r="AM178" i="12" a="1"/>
  <c r="AM188" i="12" a="1"/>
  <c r="V47" i="12" a="1"/>
  <c r="Y78" i="12" a="1"/>
  <c r="Z120" i="12" a="1"/>
  <c r="AH26" i="12" a="1"/>
  <c r="AH46" i="12" a="1"/>
  <c r="AC7" i="12" a="1"/>
  <c r="H167" i="12" a="1"/>
  <c r="S122" i="12" a="1"/>
  <c r="AF65" i="12" a="1"/>
  <c r="P22" i="12" a="1"/>
  <c r="S76" i="12" a="1"/>
  <c r="AG103" i="12" a="1"/>
  <c r="U11" i="12" a="1"/>
  <c r="V182" i="12" a="1"/>
  <c r="Y15" i="12" a="1"/>
  <c r="AQ72" i="12" a="1"/>
  <c r="AD11" i="12" a="1"/>
  <c r="O46" i="12" a="1"/>
  <c r="J140" i="12" a="1"/>
  <c r="N138" i="12" a="1"/>
  <c r="AD13" i="12" a="1"/>
  <c r="AA96" i="12" a="1"/>
  <c r="O77" i="12" a="1"/>
  <c r="AL52" i="12" a="1"/>
  <c r="P42" i="12" a="1"/>
  <c r="K51" i="12" a="1"/>
  <c r="W41" i="12" a="1"/>
  <c r="AH36" i="12" a="1"/>
  <c r="W165" i="12" a="1"/>
  <c r="AK91" i="12" a="1"/>
  <c r="AG48" i="12" a="1"/>
  <c r="N54" i="12" a="1"/>
  <c r="U92" i="12" a="1"/>
  <c r="M97" i="12" a="1"/>
  <c r="X82" i="12" a="1"/>
  <c r="AO61" i="12" a="1"/>
  <c r="AD65" i="12" a="1"/>
  <c r="J82" i="12" a="1"/>
  <c r="T188" i="12" a="1"/>
  <c r="AI148" i="12" a="1"/>
  <c r="O66" i="12" a="1"/>
  <c r="AD75" i="12" a="1"/>
  <c r="S79" i="12" a="1"/>
  <c r="M51" i="12" a="1"/>
  <c r="Q64" i="12" a="1"/>
  <c r="V82" i="12" a="1"/>
  <c r="X173" i="12" a="1"/>
  <c r="AB114" i="12" a="1"/>
  <c r="AQ184" i="12" a="1"/>
  <c r="AL174" i="12" a="1"/>
  <c r="X192" i="12" a="1"/>
  <c r="AC54" i="12" a="1"/>
  <c r="AF103" i="12" a="1"/>
  <c r="AF64" i="12" a="1"/>
  <c r="I150" i="12" a="1"/>
  <c r="U53" i="12" a="1"/>
  <c r="R177" i="12" a="1"/>
  <c r="AE4" i="12" a="1"/>
  <c r="V38" i="12" a="1"/>
  <c r="AA31" i="12" a="1"/>
  <c r="T189" i="12" a="1"/>
  <c r="V126" i="12" a="1"/>
  <c r="M154" i="12" a="1"/>
  <c r="Z69" i="12" a="1"/>
  <c r="U110" i="12" a="1"/>
  <c r="AE177" i="12" a="1"/>
  <c r="AB91" i="12" a="1"/>
  <c r="AP13" i="12" a="1"/>
  <c r="AJ109" i="12" a="1"/>
  <c r="AE30" i="12" a="1"/>
  <c r="J20" i="12" a="1"/>
  <c r="AE39" i="12" a="1"/>
  <c r="AN191" i="12" a="1"/>
  <c r="N37" i="12" a="1"/>
  <c r="AD157" i="12" a="1"/>
  <c r="AL102" i="12" a="1"/>
  <c r="AN32" i="12" a="1"/>
  <c r="AI58" i="12" a="1"/>
  <c r="H33" i="12" a="1"/>
  <c r="AG4" i="12" a="1"/>
  <c r="AQ48" i="12" a="1"/>
  <c r="AJ43" i="12" a="1"/>
  <c r="N107" i="12" a="1"/>
  <c r="I30" i="12" a="1"/>
  <c r="AO47" i="12" a="1"/>
  <c r="AK97" i="12" a="1"/>
  <c r="W181" i="12" a="1"/>
  <c r="P96" i="12" a="1"/>
  <c r="I86" i="12" a="1"/>
  <c r="AB88" i="12" a="1"/>
  <c r="Q9" i="12" a="1"/>
  <c r="M48" i="12" a="1"/>
  <c r="Z14" i="12" a="1"/>
  <c r="V133" i="12" a="1"/>
  <c r="AI45" i="12" a="1"/>
  <c r="AG50" i="12" a="1"/>
  <c r="AL145" i="12" a="1"/>
  <c r="AH87" i="12" a="1"/>
  <c r="O69" i="12" a="1"/>
  <c r="I96" i="12" a="1"/>
  <c r="K7" i="12" a="1"/>
  <c r="AP142" i="12" a="1"/>
  <c r="AI36" i="12" a="1"/>
  <c r="N192" i="12" a="1"/>
  <c r="Z81" i="12" a="1"/>
  <c r="AO114" i="12" a="1"/>
  <c r="L36" i="12" a="1"/>
  <c r="N74" i="12" a="1"/>
  <c r="H25" i="12" a="1"/>
  <c r="AO113" i="12" a="1"/>
  <c r="S54" i="12" a="1"/>
  <c r="AN138" i="12" a="1"/>
  <c r="AN85" i="12" a="1"/>
  <c r="L42" i="12" a="1"/>
  <c r="Z45" i="12" a="1"/>
  <c r="K19" i="12" a="1"/>
  <c r="K187" i="12" a="1"/>
  <c r="K129" i="12" a="1"/>
  <c r="AC40" i="12" a="1"/>
  <c r="AI32" i="12" a="1"/>
  <c r="AO9" i="12" a="1"/>
  <c r="H110" i="12" a="1"/>
  <c r="AC126" i="12" a="1"/>
  <c r="AP110" i="12" a="1"/>
  <c r="AN15" i="12" a="1"/>
  <c r="N114" i="12" a="1"/>
  <c r="AA55" i="12" a="1"/>
  <c r="N103" i="12" a="1"/>
  <c r="H97" i="12" a="1"/>
  <c r="AA129" i="12" a="1"/>
  <c r="S126" i="12" a="1"/>
  <c r="J122" i="12" a="1"/>
  <c r="R35" i="12" a="1"/>
  <c r="M31" i="12" a="1"/>
  <c r="M65" i="12" a="1"/>
  <c r="AD182" i="12" a="1"/>
  <c r="J85" i="12" a="1"/>
  <c r="AO189" i="12" a="1"/>
  <c r="X41" i="12" a="1"/>
  <c r="Z36" i="12" a="1"/>
  <c r="AF164" i="12" a="1"/>
  <c r="AK189" i="12" a="1"/>
  <c r="T55" i="12" a="1"/>
  <c r="AK28" i="12" a="1"/>
  <c r="AB187" i="12" a="1"/>
  <c r="V186" i="12" a="1"/>
  <c r="T29" i="12" a="1"/>
  <c r="AI80" i="12" a="1"/>
  <c r="AL112" i="12" a="1"/>
  <c r="AI60" i="12" a="1"/>
  <c r="AN51" i="12" a="1"/>
  <c r="S96" i="12" a="1"/>
  <c r="AL56" i="12" a="1"/>
  <c r="L41" i="12" a="1"/>
  <c r="W154" i="12" a="1"/>
  <c r="AM36" i="12" a="1"/>
  <c r="M33" i="12" a="1"/>
  <c r="AH175" i="12" a="1"/>
  <c r="L25" i="12" a="1"/>
  <c r="AI153" i="12" a="1"/>
  <c r="AM114" i="12" a="1"/>
  <c r="Q168" i="12" a="1"/>
  <c r="AC96" i="12" a="1"/>
  <c r="AM118" i="12" a="1"/>
  <c r="AJ78" i="12" a="1"/>
  <c r="AB38" i="12" a="1"/>
  <c r="X130" i="12" a="1"/>
  <c r="AL99" i="12" a="1"/>
  <c r="AA111" i="12" a="1"/>
  <c r="AI81" i="12" a="1"/>
  <c r="Y167" i="12" a="1"/>
  <c r="X8" i="12" a="1"/>
  <c r="W34" i="12" a="1"/>
  <c r="J86" i="12" a="1"/>
  <c r="AJ181" i="12" a="1"/>
  <c r="O102" i="12" a="1"/>
  <c r="M152" i="12" a="1"/>
  <c r="R44" i="12" a="1"/>
  <c r="AA124" i="12" a="1"/>
  <c r="R57" i="12" a="1"/>
  <c r="Q88" i="12" a="1"/>
  <c r="O42" i="12" a="1"/>
  <c r="Z139" i="12" a="1"/>
  <c r="AI182" i="12" a="1"/>
  <c r="J84" i="12" a="1"/>
  <c r="AQ78" i="12" a="1"/>
  <c r="I54" i="12" a="1"/>
  <c r="M177" i="12" a="1"/>
  <c r="Y66" i="12" a="1"/>
  <c r="AQ12" i="12" a="1"/>
  <c r="AH56" i="12" a="1"/>
  <c r="AA122" i="12" a="1"/>
  <c r="R69" i="12" a="1"/>
  <c r="AI175" i="12" a="1"/>
  <c r="AM193" i="12" a="1"/>
  <c r="AD116" i="12" a="1"/>
  <c r="AN58" i="12" a="1"/>
  <c r="L104" i="12" a="1"/>
  <c r="AC70" i="12" a="1"/>
  <c r="T12" i="12" a="1"/>
  <c r="X137" i="12" a="1"/>
  <c r="K83" i="12" a="1"/>
  <c r="Y168" i="12" a="1"/>
  <c r="AH170" i="12" a="1"/>
  <c r="R166" i="12" a="1"/>
  <c r="Q21" i="12" a="1"/>
  <c r="R99" i="12" a="1"/>
  <c r="I48" i="12" a="1"/>
  <c r="AJ44" i="12" a="1"/>
  <c r="AA126" i="12" a="1"/>
  <c r="R158" i="12" a="1"/>
  <c r="O95" i="12" a="1"/>
  <c r="AD153" i="12" a="1"/>
  <c r="L135" i="12" a="1"/>
  <c r="AA62" i="12" a="1"/>
  <c r="S101" i="12" a="1"/>
  <c r="AN36" i="12" a="1"/>
  <c r="X10" i="12" a="1"/>
  <c r="K124" i="12" a="1"/>
  <c r="AI173" i="12" a="1"/>
  <c r="AB81" i="12" a="1"/>
  <c r="U156" i="12" a="1"/>
  <c r="AM93" i="12" a="1"/>
  <c r="X175" i="12" a="1"/>
  <c r="K13" i="12" a="1"/>
  <c r="O48" i="12" a="1"/>
  <c r="H36" i="12" a="1"/>
  <c r="L101" i="12" a="1"/>
  <c r="AO84" i="12" a="1"/>
  <c r="AF168" i="12" a="1"/>
  <c r="N181" i="12" a="1"/>
  <c r="O138" i="12" a="1"/>
  <c r="AK108" i="12" a="1"/>
  <c r="U158" i="12" a="1"/>
  <c r="AH120" i="12" a="1"/>
  <c r="AO173" i="12" a="1"/>
  <c r="AF73" i="12" a="1"/>
  <c r="AD168" i="12" a="1"/>
  <c r="K50" i="12" a="1"/>
  <c r="U23" i="12" a="1"/>
  <c r="X163" i="12" a="1"/>
  <c r="AN187" i="12" a="1"/>
  <c r="AQ87" i="12" a="1"/>
  <c r="N43" i="12" a="1"/>
  <c r="AJ67" i="12" a="1"/>
  <c r="K25" i="12" a="1"/>
  <c r="AK184" i="12" a="1"/>
  <c r="H79" i="12" a="1"/>
  <c r="X33" i="12" a="1"/>
  <c r="Y112" i="12" a="1"/>
  <c r="J186" i="12" a="1"/>
  <c r="AC98" i="12" a="1"/>
  <c r="P186" i="12" a="1"/>
  <c r="Z79" i="12" a="1"/>
  <c r="W105" i="12" a="1"/>
  <c r="AD82" i="12" a="1"/>
  <c r="T180" i="12" a="1"/>
  <c r="AG177" i="12" a="1"/>
  <c r="AO112" i="12" a="1"/>
  <c r="AO36" i="12" a="1"/>
  <c r="AA119" i="12" a="1"/>
  <c r="R93" i="12" a="1"/>
  <c r="S16" i="12" a="1"/>
  <c r="K188" i="12" a="1"/>
  <c r="M66" i="12" a="1"/>
  <c r="P34" i="12" a="1"/>
  <c r="AE145" i="12" a="1"/>
  <c r="H27" i="12" a="1"/>
  <c r="X152" i="12" a="1"/>
  <c r="S120" i="12" a="1"/>
  <c r="AQ97" i="12" a="1"/>
  <c r="AO98" i="12" a="1"/>
  <c r="S27" i="12" a="1"/>
  <c r="AA175" i="12" a="1"/>
  <c r="O104" i="12" a="1"/>
  <c r="AN39" i="12" a="1"/>
  <c r="AP170" i="12" a="1"/>
  <c r="AM165" i="12" a="1"/>
  <c r="V22" i="12" a="1"/>
  <c r="AP120" i="12" a="1"/>
  <c r="W126" i="12" a="1"/>
  <c r="S9" i="12" a="1"/>
  <c r="R67" i="12" a="1"/>
  <c r="AK68" i="12" a="1"/>
  <c r="M17" i="12" a="1"/>
  <c r="V34" i="12" a="1"/>
  <c r="AQ131" i="12" a="1"/>
  <c r="Q154" i="12" a="1"/>
  <c r="T105" i="12" a="1"/>
  <c r="Y33" i="12" a="1"/>
  <c r="O75" i="12" a="1"/>
  <c r="M105" i="12" a="1"/>
  <c r="Z166" i="12" a="1"/>
  <c r="Z47" i="12" a="1"/>
  <c r="AA28" i="12" a="1"/>
  <c r="S39" i="12" a="1"/>
  <c r="AP190" i="12" a="1"/>
  <c r="Q152" i="12" a="1"/>
  <c r="I186" i="12" a="1"/>
  <c r="AC39" i="12" a="1"/>
  <c r="AG189" i="12" a="1"/>
  <c r="AD124" i="12" a="1"/>
  <c r="AG62" i="12" a="1"/>
  <c r="AE126" i="12" a="1"/>
  <c r="AI86" i="12" a="1"/>
  <c r="AP18" i="12" a="1"/>
  <c r="Q191" i="12" a="1"/>
  <c r="W116" i="12" a="1"/>
  <c r="AM68" i="12" a="1"/>
  <c r="N56" i="12" a="1"/>
  <c r="P101" i="12" a="1"/>
  <c r="X101" i="12" a="1"/>
  <c r="Y45" i="12" a="1"/>
  <c r="AG19" i="12" a="1"/>
  <c r="N85" i="12" a="1"/>
  <c r="AL150" i="12" a="1"/>
  <c r="X95" i="12" a="1"/>
  <c r="H136" i="12" a="1"/>
  <c r="AQ126" i="12" a="1"/>
  <c r="Q30" i="12" a="1"/>
  <c r="M164" i="12" a="1"/>
  <c r="AA151" i="12" a="1"/>
  <c r="AA165" i="12" a="1"/>
  <c r="V18" i="12" a="1"/>
  <c r="AD135" i="12" a="1"/>
  <c r="AA112" i="12" a="1"/>
  <c r="AN106" i="12" a="1"/>
  <c r="AH55" i="12" a="1"/>
  <c r="AH15" i="12" a="1"/>
  <c r="V192" i="12" a="1"/>
  <c r="AB130" i="12" a="1"/>
  <c r="AQ168" i="12" a="1"/>
  <c r="AH74" i="12" a="1"/>
  <c r="V30" i="12" a="1"/>
  <c r="Y58" i="12" a="1"/>
  <c r="T7" i="12" a="1"/>
  <c r="S168" i="12" a="1"/>
  <c r="AM45" i="12" a="1"/>
  <c r="AQ177" i="12" a="1"/>
  <c r="Q66" i="12" a="1"/>
  <c r="V184" i="12" a="1"/>
  <c r="O50" i="12" a="1"/>
  <c r="X126" i="12" a="1"/>
  <c r="AN43" i="12" a="1"/>
  <c r="AA130" i="12" a="1"/>
  <c r="AQ37" i="12" a="1"/>
  <c r="J29" i="12" a="1"/>
  <c r="O58" i="12" a="1"/>
  <c r="AH183" i="12" a="1"/>
  <c r="AI109" i="12" a="1"/>
  <c r="X60" i="12" a="1"/>
  <c r="AK22" i="12" a="1"/>
  <c r="AQ181" i="12" a="1"/>
  <c r="AH192" i="12" a="1"/>
  <c r="AM48" i="12" a="1"/>
  <c r="AH67" i="12" a="1"/>
  <c r="AJ79" i="12" a="1"/>
  <c r="AG5" i="12" a="1"/>
  <c r="W145" i="12" a="1"/>
  <c r="K41" i="12" a="1"/>
  <c r="L88" i="12" a="1"/>
  <c r="N93" i="12" a="1"/>
  <c r="AP67" i="12" a="1"/>
  <c r="AK115" i="12" a="1"/>
  <c r="I33" i="12" a="1"/>
  <c r="I105" i="12" a="1"/>
  <c r="N68" i="12" a="1"/>
  <c r="T97" i="12" a="1"/>
  <c r="J133" i="12" a="1"/>
  <c r="AF180" i="12" a="1"/>
  <c r="R21" i="12" a="1"/>
  <c r="R183" i="12" a="1"/>
  <c r="AD159" i="12" a="1"/>
  <c r="O83" i="12" a="1"/>
  <c r="H96" i="12" a="1"/>
  <c r="W122" i="12" a="1"/>
  <c r="AC51" i="12" a="1"/>
  <c r="W113" i="12" a="1"/>
  <c r="N64" i="12" a="1"/>
  <c r="AQ5" i="12" a="1"/>
  <c r="AC31" i="12" a="1"/>
  <c r="AL70" i="12" a="1"/>
  <c r="AE20" i="12" a="1"/>
  <c r="L29" i="12" a="1"/>
  <c r="AH64" i="12" a="1"/>
  <c r="AI150" i="12" a="1"/>
  <c r="Z121" i="12" a="1"/>
  <c r="Z128" i="12" a="1"/>
  <c r="I137" i="12" a="1"/>
  <c r="AQ30" i="12" a="1"/>
  <c r="K67" i="12" a="1"/>
  <c r="AI39" i="12" a="1"/>
  <c r="U86" i="12" a="1"/>
  <c r="V4" i="12" a="1"/>
  <c r="AJ81" i="12" a="1"/>
  <c r="AP122" i="12" a="1"/>
  <c r="R110" i="12" a="1"/>
  <c r="Q31" i="12" a="1"/>
  <c r="AN59" i="12" a="1"/>
  <c r="AM9" i="12" a="1"/>
  <c r="AL54" i="12" a="1"/>
  <c r="J7" i="12" a="1"/>
  <c r="AM179" i="12" a="1"/>
  <c r="AM186" i="12" a="1"/>
  <c r="AG130" i="12" a="1"/>
  <c r="M187" i="12" a="1"/>
  <c r="Z140" i="12" a="1"/>
  <c r="S14" i="12" a="1"/>
  <c r="V94" i="12" a="1"/>
  <c r="AK32" i="12" a="1"/>
  <c r="AG76" i="12" a="1"/>
  <c r="AA39" i="12" a="1"/>
  <c r="P41" i="12" a="1"/>
  <c r="S186" i="12" a="1"/>
  <c r="L67" i="12" a="1"/>
  <c r="AQ161" i="12" a="1"/>
  <c r="AJ85" i="12" a="1"/>
  <c r="S32" i="12" a="1"/>
  <c r="W83" i="12" a="1"/>
  <c r="L9" i="12" a="1"/>
  <c r="N173" i="12" a="1"/>
  <c r="AF95" i="12" a="1"/>
  <c r="V149" i="12" a="1"/>
  <c r="N17" i="12" a="1"/>
  <c r="H74" i="12" a="1"/>
  <c r="N164" i="12" a="1"/>
  <c r="N69" i="12" a="1"/>
  <c r="AH11" i="12" a="1"/>
  <c r="AM90" i="12" a="1"/>
  <c r="AF82" i="12" a="1"/>
  <c r="AB47" i="12" a="1"/>
  <c r="AL97" i="12" a="1"/>
  <c r="AC176" i="12" a="1"/>
  <c r="AM41" i="12" a="1"/>
  <c r="AF31" i="12" a="1"/>
  <c r="P20" i="12" a="1"/>
  <c r="S149" i="12" a="1"/>
  <c r="AI78" i="12" a="1"/>
  <c r="AK173" i="12" a="1"/>
  <c r="AP166" i="12" a="1"/>
  <c r="X172" i="12" a="1"/>
  <c r="AP91" i="12" a="1"/>
  <c r="T54" i="12" a="1"/>
  <c r="J170" i="12" a="1"/>
  <c r="AH4" i="12" a="1"/>
  <c r="J184" i="12" a="1"/>
  <c r="S176" i="12" a="1"/>
  <c r="J31" i="12" a="1"/>
  <c r="Q81" i="12" a="1"/>
  <c r="AO80" i="12" a="1"/>
  <c r="AN168" i="12" a="1"/>
  <c r="N168" i="12" a="1"/>
  <c r="U59" i="12" a="1"/>
  <c r="AC5" i="12" a="1"/>
  <c r="K73" i="12" a="1"/>
  <c r="AH110" i="12" a="1"/>
  <c r="AN42" i="12" a="1"/>
  <c r="AJ186" i="12" a="1"/>
  <c r="AO18" i="12" a="1"/>
  <c r="AA68" i="12" a="1"/>
  <c r="N108" i="12" a="1"/>
  <c r="AL66" i="12" a="1"/>
  <c r="AH43" i="12" a="1"/>
  <c r="Q157" i="12" a="1"/>
  <c r="Q20" i="12" a="1"/>
  <c r="AM161" i="12" a="1"/>
  <c r="O181" i="12" a="1"/>
  <c r="AH92" i="12" a="1"/>
  <c r="AG34" i="12" a="1"/>
  <c r="U180" i="12" a="1"/>
  <c r="N91" i="12" a="1"/>
  <c r="P38" i="12" a="1"/>
  <c r="H78" i="12" a="1"/>
  <c r="H15" i="12" a="1"/>
  <c r="AP152" i="12" a="1"/>
  <c r="P14" i="12" a="1"/>
  <c r="AM73" i="12" a="1"/>
  <c r="Q103" i="12" a="1"/>
  <c r="M16" i="12" a="1"/>
  <c r="AE184" i="12" a="1"/>
  <c r="L30" i="12" a="1"/>
  <c r="I12" i="12" a="1"/>
  <c r="O101" i="12" a="1"/>
  <c r="I51" i="12" a="1"/>
  <c r="AI40" i="12" a="1"/>
  <c r="AE22" i="12" a="1"/>
  <c r="I32" i="12" a="1"/>
  <c r="L125" i="12" a="1"/>
  <c r="N189" i="12" a="1"/>
  <c r="V98" i="12" a="1"/>
  <c r="AK9" i="12" a="1"/>
  <c r="AM87" i="12" a="1"/>
  <c r="I102" i="12" a="1"/>
  <c r="AO7" i="12" a="1"/>
  <c r="J15" i="12" a="1"/>
  <c r="AO191" i="12" a="1"/>
  <c r="I172" i="12" a="1"/>
  <c r="U58" i="12" a="1"/>
  <c r="AB173" i="12" a="1"/>
  <c r="AN11" i="12" a="1"/>
  <c r="AK69" i="12" a="1"/>
  <c r="AA46" i="12" a="1"/>
  <c r="AM32" i="12" a="1"/>
  <c r="AK30" i="12" a="1"/>
  <c r="V153" i="12" a="1"/>
  <c r="AI114" i="12" a="1"/>
  <c r="N96" i="12" a="1"/>
  <c r="AM156" i="12" a="1"/>
  <c r="R192" i="12" a="1"/>
  <c r="AC68" i="12" a="1"/>
  <c r="Y173" i="12" a="1"/>
  <c r="AI51" i="12" a="1"/>
  <c r="M165" i="12" a="1"/>
  <c r="H192" i="12" a="1"/>
  <c r="AJ187" i="12" a="1"/>
  <c r="H29" i="12" a="1"/>
  <c r="M178" i="12" a="1"/>
  <c r="P162" i="12" a="1"/>
  <c r="AJ89" i="12" a="1"/>
  <c r="J32" i="12" a="1"/>
  <c r="AQ76" i="12" a="1"/>
  <c r="AI136" i="12" a="1"/>
  <c r="AM146" i="12" a="1"/>
  <c r="AE90" i="12" a="1"/>
  <c r="AM176" i="12" a="1"/>
  <c r="I6" i="12" a="1"/>
  <c r="Z170" i="12" a="1"/>
  <c r="AQ167" i="12" a="1"/>
  <c r="R71" i="12" a="1"/>
  <c r="T37" i="12" a="1"/>
  <c r="N180" i="12" a="1"/>
  <c r="AF20" i="12" a="1"/>
  <c r="AG28" i="12" a="1"/>
  <c r="AC164" i="12" a="1"/>
  <c r="X107" i="12" a="1"/>
  <c r="S53" i="12" a="1"/>
  <c r="S47" i="12" a="1"/>
  <c r="AA181" i="12" a="1"/>
  <c r="AD102" i="12" a="1"/>
  <c r="V45" i="12" a="1"/>
  <c r="O175" i="12" a="1"/>
  <c r="Z193" i="12" a="1"/>
  <c r="S68" i="12" a="1"/>
  <c r="AH130" i="12" a="1"/>
  <c r="T87" i="12" a="1"/>
  <c r="AA66" i="12" a="1"/>
  <c r="I62" i="12" a="1"/>
  <c r="J130" i="12" a="1"/>
  <c r="AD57" i="12" a="1"/>
  <c r="AL132" i="12" a="1"/>
  <c r="AJ68" i="12" a="1"/>
  <c r="AO79" i="12" a="1"/>
  <c r="U172" i="12" a="1"/>
  <c r="AK70" i="12" a="1"/>
  <c r="T152" i="12" a="1"/>
  <c r="H103" i="12" a="1"/>
  <c r="AF13" i="12" a="1"/>
  <c r="I26" i="12" a="1"/>
  <c r="AD18" i="12" a="1"/>
  <c r="N100" i="12" a="1"/>
  <c r="AH166" i="12" a="1"/>
  <c r="U61" i="12" a="1"/>
  <c r="AK157" i="12" a="1"/>
  <c r="Q7" i="12" a="1"/>
  <c r="Y53" i="12" a="1"/>
  <c r="AO81" i="12" a="1"/>
  <c r="AL76" i="12" a="1"/>
  <c r="P43" i="12" a="1"/>
  <c r="AN114" i="12" a="1"/>
  <c r="V107" i="12" a="1"/>
  <c r="AA138" i="12" a="1"/>
  <c r="U43" i="12" a="1"/>
  <c r="O177" i="12" a="1"/>
  <c r="AJ188" i="12" a="1"/>
  <c r="AJ111" i="12" a="1"/>
  <c r="AK102" i="12" a="1"/>
  <c r="AQ79" i="12" a="1"/>
  <c r="H48" i="12" a="1"/>
  <c r="W123" i="12" a="1"/>
  <c r="AQ176" i="12" a="1"/>
  <c r="S58" i="12" a="1"/>
  <c r="AE97" i="12" a="1"/>
  <c r="AB110" i="12" a="1"/>
  <c r="AL172" i="12" a="1"/>
  <c r="AD39" i="12" a="1"/>
  <c r="J144" i="12" a="1"/>
  <c r="W182" i="12" a="1"/>
  <c r="T64" i="12" a="1"/>
  <c r="T13" i="12" a="1"/>
  <c r="AA185" i="12" a="1"/>
  <c r="V17" i="12" a="1"/>
  <c r="X171" i="12" a="1"/>
  <c r="L168" i="12" a="1"/>
  <c r="W77" i="12" a="1"/>
  <c r="AA190" i="12" a="1"/>
  <c r="AA113" i="12" a="1"/>
  <c r="AP178" i="12" a="1"/>
  <c r="AO21" i="12" a="1"/>
  <c r="AQ114" i="12" a="1"/>
  <c r="R58" i="12" a="1"/>
  <c r="W179" i="12" a="1"/>
  <c r="AG40" i="12" a="1"/>
  <c r="AM130" i="12" a="1"/>
  <c r="AO76" i="12" a="1"/>
  <c r="AC112" i="12" a="1"/>
  <c r="R180" i="12" a="1"/>
  <c r="AH158" i="12" a="1"/>
  <c r="Q79" i="12" a="1"/>
  <c r="W133" i="12" a="1"/>
  <c r="V159" i="12" a="1"/>
  <c r="O113" i="12" a="1"/>
  <c r="O60" i="12" a="1"/>
  <c r="AJ172" i="12" a="1"/>
  <c r="U76" i="12" a="1"/>
  <c r="J117" i="12" a="1"/>
  <c r="W27" i="12" a="1"/>
  <c r="AO12" i="12" a="1"/>
  <c r="O135" i="12" a="1"/>
  <c r="AJ152" i="12" a="1"/>
  <c r="I65" i="12" a="1"/>
  <c r="Z113" i="12" a="1"/>
  <c r="R16" i="12" a="1"/>
  <c r="AG175" i="12" a="1"/>
  <c r="O53" i="12" a="1"/>
  <c r="AN73" i="12" a="1"/>
  <c r="W97" i="12" a="1"/>
  <c r="P39" i="12" a="1"/>
  <c r="W79" i="12" a="1"/>
  <c r="T138" i="12" a="1"/>
  <c r="AE103" i="12" a="1"/>
  <c r="L158" i="12" a="1"/>
  <c r="Q12" i="12" a="1"/>
  <c r="AL13" i="12" a="1"/>
  <c r="AF86" i="12" a="1"/>
  <c r="AD81" i="12" a="1"/>
  <c r="M40" i="12" a="1"/>
  <c r="R129" i="12" a="1"/>
  <c r="H176" i="12" a="1"/>
  <c r="Y150" i="12" a="1"/>
  <c r="N131" i="12" a="1"/>
  <c r="K70" i="12" a="1"/>
  <c r="L14" i="12" a="1"/>
  <c r="AO172" i="12" a="1"/>
  <c r="Q106" i="12" a="1"/>
  <c r="AP113" i="12" a="1"/>
  <c r="AQ139" i="12" a="1"/>
  <c r="K53" i="12" a="1"/>
  <c r="AE82" i="12" a="1"/>
  <c r="V162" i="12" a="1"/>
  <c r="AB22" i="12" a="1"/>
  <c r="L170" i="12" a="1"/>
  <c r="Z174" i="12" a="1"/>
  <c r="Y89" i="12" a="1"/>
  <c r="AI165" i="12" a="1"/>
  <c r="AC86" i="12" a="1"/>
  <c r="L74" i="12" a="1"/>
  <c r="AG133" i="12" a="1"/>
  <c r="S50" i="12" a="1"/>
  <c r="AF134" i="12" a="1"/>
  <c r="AH109" i="12" a="1"/>
  <c r="K81" i="12" a="1"/>
  <c r="AI161" i="12" a="1"/>
  <c r="AM141" i="12" a="1"/>
  <c r="Q85" i="12" a="1"/>
  <c r="AM167" i="12" a="1"/>
  <c r="Y12" i="12" a="1"/>
  <c r="W54" i="12" a="1"/>
  <c r="H28" i="12" a="1"/>
  <c r="AL149" i="12" a="1"/>
  <c r="AJ51" i="12" a="1"/>
  <c r="AN7" i="12" a="1"/>
  <c r="J18" i="12" a="1"/>
  <c r="S4" i="12" a="1"/>
  <c r="AF40" i="12" a="1"/>
  <c r="AG10" i="12" a="1"/>
  <c r="AO151" i="12" a="1"/>
  <c r="AN50" i="12" a="1"/>
  <c r="R61" i="12" a="1"/>
  <c r="AF66" i="12" a="1"/>
  <c r="W175" i="12" a="1"/>
  <c r="AJ52" i="12" a="1"/>
  <c r="AM115" i="12" a="1"/>
  <c r="AG61" i="12" a="1"/>
  <c r="AF17" i="12" a="1"/>
  <c r="M156" i="12" a="1"/>
  <c r="AH169" i="12" a="1"/>
  <c r="K123" i="12" a="1"/>
  <c r="AI96" i="12" a="1"/>
  <c r="I182" i="12" a="1"/>
  <c r="AM158" i="12" a="1"/>
  <c r="AD165" i="12" a="1"/>
  <c r="AB104" i="12" a="1"/>
  <c r="Z50" i="12" a="1"/>
  <c r="AQ50" i="12" a="1"/>
  <c r="AO158" i="12" a="1"/>
  <c r="AB40" i="12" a="1"/>
  <c r="Q115" i="12" a="1"/>
  <c r="Q112" i="12" a="1"/>
  <c r="AM185" i="12" a="1"/>
  <c r="T106" i="12" a="1"/>
  <c r="Y83" i="12" a="1"/>
  <c r="AB109" i="12" a="1"/>
  <c r="S41" i="12" a="1"/>
  <c r="AO95" i="12" a="1"/>
  <c r="AK182" i="12" a="1"/>
  <c r="AI147" i="12" a="1"/>
  <c r="L191" i="12" a="1"/>
  <c r="Y84" i="12" a="1"/>
  <c r="AH104" i="12" a="1"/>
  <c r="Q59" i="12" a="1"/>
  <c r="Z142" i="12" a="1"/>
  <c r="AC69" i="12" a="1"/>
  <c r="P188" i="12" a="1"/>
  <c r="AB7" i="12" a="1"/>
  <c r="O111" i="12" a="1"/>
  <c r="K127" i="12" a="1"/>
  <c r="U146" i="12" a="1"/>
  <c r="AJ192" i="12" a="1"/>
  <c r="R179" i="12" a="1"/>
  <c r="AE125" i="12" a="1"/>
  <c r="AM92" i="12" a="1"/>
  <c r="AL168" i="12" a="1"/>
  <c r="Y73" i="12" a="1"/>
  <c r="T167" i="12" a="1"/>
  <c r="AE104" i="12" a="1"/>
  <c r="H130" i="12" a="1"/>
  <c r="AA41" i="12" a="1"/>
  <c r="W72" i="12" a="1"/>
  <c r="U176" i="12" a="1"/>
  <c r="U34" i="12" a="1"/>
  <c r="X32" i="12" a="1"/>
  <c r="K150" i="12" a="1"/>
  <c r="X150" i="12" a="1"/>
  <c r="AC191" i="12" a="1"/>
  <c r="AA48" i="12" a="1"/>
  <c r="X48" i="12" a="1"/>
  <c r="AN152" i="12" a="1"/>
  <c r="M62" i="12" a="1"/>
  <c r="AI130" i="12" a="1"/>
  <c r="AE73" i="12" a="1"/>
  <c r="AP90" i="12" a="1"/>
  <c r="AD180" i="12" a="1"/>
  <c r="AI73" i="12" a="1"/>
  <c r="J113" i="12" a="1"/>
  <c r="W152" i="12" a="1"/>
  <c r="AJ54" i="12" a="1"/>
  <c r="AF23" i="12" a="1"/>
  <c r="AM138" i="12" a="1"/>
  <c r="P135" i="12" a="1"/>
  <c r="AM101" i="12" a="1"/>
  <c r="N135" i="12" a="1"/>
  <c r="AK137" i="12" a="1"/>
  <c r="AJ115" i="12" a="1"/>
  <c r="O44" i="12" a="1"/>
  <c r="AN26" i="12" a="1"/>
  <c r="AM102" i="12" a="1"/>
  <c r="AE70" i="12" a="1"/>
  <c r="M150" i="12" a="1"/>
  <c r="Y62" i="12" a="1"/>
  <c r="AJ69" i="12" a="1"/>
  <c r="AH53" i="12" a="1"/>
  <c r="Y90" i="12" a="1"/>
  <c r="S57" i="12" a="1"/>
  <c r="W42" i="12" a="1"/>
  <c r="R191" i="12" a="1"/>
  <c r="P90" i="12" a="1"/>
  <c r="H190" i="12" a="1"/>
  <c r="AB68" i="12" a="1"/>
  <c r="AC73" i="12" a="1"/>
  <c r="AL100" i="12" a="1"/>
  <c r="L44" i="12" a="1"/>
  <c r="S40" i="12" a="1"/>
  <c r="H179" i="12" a="1"/>
  <c r="AO70" i="12" a="1"/>
  <c r="O112" i="12" a="1"/>
  <c r="AF56" i="12" a="1"/>
  <c r="AL32" i="12" a="1"/>
  <c r="AI169" i="12" a="1"/>
  <c r="M59" i="12" a="1"/>
  <c r="O119" i="12" a="1"/>
  <c r="AC178" i="12" a="1"/>
  <c r="T71" i="12" a="1"/>
  <c r="L179" i="12" a="1"/>
  <c r="AO109" i="12" a="1"/>
  <c r="K9" i="12" a="1"/>
  <c r="AD26" i="12" a="1"/>
  <c r="O146" i="12" a="1"/>
  <c r="AN13" i="12" a="1"/>
  <c r="AK113" i="12" a="1"/>
  <c r="AJ163" i="12" a="1"/>
  <c r="AB155" i="12" a="1"/>
  <c r="AA29" i="12" a="1"/>
  <c r="W138" i="12" a="1"/>
  <c r="AC169" i="12" a="1"/>
  <c r="T186" i="12" a="1"/>
  <c r="V39" i="12" a="1"/>
  <c r="S12" i="12" a="1"/>
  <c r="AA77" i="12" a="1"/>
  <c r="V19" i="12" a="1"/>
  <c r="AB94" i="12" a="1"/>
  <c r="W173" i="12" a="1"/>
  <c r="R81" i="12" a="1"/>
  <c r="AC111" i="12" a="1"/>
  <c r="AQ120" i="12" a="1"/>
  <c r="R155" i="12" a="1"/>
  <c r="V108" i="12" a="1"/>
  <c r="I103" i="12" a="1"/>
  <c r="AI117" i="12" a="1"/>
  <c r="AQ46" i="12" a="1"/>
  <c r="AI113" i="12" a="1"/>
  <c r="Z157" i="12" a="1"/>
  <c r="AC72" i="12" a="1"/>
  <c r="AJ12" i="12" a="1"/>
  <c r="K78" i="12" a="1"/>
  <c r="I187" i="12" a="1"/>
  <c r="Q165" i="12" a="1"/>
  <c r="Z106" i="12" a="1"/>
  <c r="Y34" i="12" a="1"/>
  <c r="U28" i="12" a="1"/>
  <c r="U78" i="12" a="1"/>
  <c r="AA12" i="12" a="1"/>
  <c r="AE33" i="12" a="1"/>
  <c r="S98" i="12" a="1"/>
  <c r="U10" i="12" a="1"/>
  <c r="V183" i="12" a="1"/>
  <c r="AH38" i="12" a="1"/>
  <c r="AE113" i="12" a="1"/>
  <c r="AF29" i="12" a="1"/>
  <c r="AB138" i="12" a="1"/>
  <c r="S31" i="12" a="1"/>
  <c r="AQ170" i="12" a="1"/>
  <c r="AG137" i="12" a="1"/>
  <c r="H14" i="12" a="1"/>
  <c r="P87" i="12" a="1"/>
  <c r="AJ97" i="12" a="1"/>
  <c r="AF35" i="12" a="1"/>
  <c r="AB57" i="12" a="1"/>
  <c r="O150" i="12" a="1"/>
  <c r="AE138" i="12" a="1"/>
  <c r="Y177" i="12" a="1"/>
  <c r="AH189" i="12" a="1"/>
  <c r="AJ178" i="12" a="1"/>
  <c r="U67" i="12" a="1"/>
  <c r="V48" i="12" a="1"/>
  <c r="AI189" i="12" a="1"/>
  <c r="AN90" i="12" a="1"/>
  <c r="Y184" i="12" a="1"/>
  <c r="AF48" i="12" a="1"/>
  <c r="Q110" i="12" a="1"/>
  <c r="AN19" i="12" a="1"/>
  <c r="V101" i="12" a="1"/>
  <c r="AC132" i="12" a="1"/>
  <c r="AD127" i="12" a="1"/>
  <c r="H65" i="12" a="1"/>
  <c r="R161" i="12" a="1"/>
  <c r="O19" i="12" a="1"/>
  <c r="AI6" i="12" a="1"/>
  <c r="AH119" i="12" a="1"/>
  <c r="AB169" i="12" a="1"/>
  <c r="M12" i="12" a="1"/>
  <c r="AN144" i="12" a="1"/>
  <c r="V114" i="12" a="1"/>
  <c r="I69" i="12" a="1"/>
  <c r="AG44" i="12" a="1"/>
  <c r="AK14" i="12" a="1"/>
  <c r="AM96" i="12" a="1"/>
  <c r="P137" i="12" a="1"/>
  <c r="AL42" i="12" a="1"/>
  <c r="AN48" i="12" a="1"/>
  <c r="J21" i="12" a="1"/>
  <c r="AK16" i="12" a="1"/>
  <c r="L95" i="12" a="1"/>
  <c r="AD55" i="12" a="1"/>
  <c r="AC37" i="12" a="1"/>
  <c r="I77" i="12" a="1"/>
  <c r="AP24" i="12" a="1"/>
  <c r="AE118" i="12" a="1"/>
  <c r="AK75" i="12" a="1"/>
  <c r="S11" i="12" a="1"/>
  <c r="P115" i="12" a="1"/>
  <c r="N58" i="12" a="1"/>
  <c r="W95" i="12" a="1"/>
  <c r="AQ143" i="12" a="1"/>
  <c r="H165" i="12" a="1"/>
  <c r="AN98" i="12" a="1"/>
  <c r="AB50" i="12" a="1"/>
  <c r="P178" i="12" a="1"/>
  <c r="AF49" i="12" a="1"/>
  <c r="AA4" i="12" a="1"/>
  <c r="AG132" i="12" a="1"/>
  <c r="H47" i="12" a="1"/>
  <c r="AP48" i="12" a="1"/>
  <c r="N83" i="12" a="1"/>
  <c r="Q53" i="12" a="1"/>
  <c r="AL11" i="12" a="1"/>
  <c r="R145" i="12" a="1"/>
  <c r="AK27" i="12" a="1"/>
  <c r="AF22" i="12" a="1"/>
  <c r="Z158" i="12" a="1"/>
  <c r="AE155" i="12" a="1"/>
  <c r="I79" i="12" a="1"/>
  <c r="W156" i="12" a="1"/>
  <c r="O145" i="12" a="1"/>
  <c r="AB101" i="12" a="1"/>
  <c r="K137" i="12" a="1"/>
  <c r="R131" i="12" a="1"/>
  <c r="AD130" i="12" a="1"/>
  <c r="AN149" i="12" a="1"/>
  <c r="X64" i="12" a="1"/>
  <c r="AJ15" i="12" a="1"/>
  <c r="AG168" i="12" a="1"/>
  <c r="X31" i="12" a="1"/>
  <c r="S56" i="12" a="1"/>
  <c r="S163" i="12" a="1"/>
  <c r="AG192" i="12" a="1"/>
  <c r="Z41" i="12" a="1"/>
  <c r="N182" i="12" a="1"/>
  <c r="V14" i="12" a="1"/>
  <c r="AA27" i="12" a="1"/>
  <c r="W8" i="12" a="1"/>
  <c r="AD38" i="12" a="1"/>
  <c r="Q32" i="12" a="1"/>
  <c r="X102" i="12" a="1"/>
  <c r="AC150" i="12" a="1"/>
  <c r="AF12" i="12" a="1"/>
  <c r="J174" i="12" a="1"/>
  <c r="R142" i="12" a="1"/>
  <c r="AO110" i="12" a="1"/>
  <c r="H40" i="12" a="1"/>
  <c r="Z93" i="12" a="1"/>
  <c r="R12" i="12" a="1"/>
  <c r="AE105" i="12" a="1"/>
  <c r="AG11" i="12" a="1"/>
  <c r="AI37" i="12" a="1"/>
  <c r="AI79" i="12" a="1"/>
  <c r="AK12" i="12" a="1"/>
  <c r="AL143" i="12" a="1"/>
  <c r="AH127" i="12" a="1"/>
  <c r="AO23" i="12" a="1"/>
  <c r="V72" i="12" a="1"/>
  <c r="R128" i="12" a="1"/>
  <c r="Q29" i="12" a="1"/>
  <c r="V79" i="12" a="1"/>
  <c r="AM121" i="12" a="1"/>
  <c r="Y138" i="12" a="1"/>
  <c r="U169" i="12" a="1"/>
  <c r="Q186" i="12" a="1"/>
  <c r="AE149" i="12" a="1"/>
  <c r="J190" i="12" a="1"/>
  <c r="L68" i="12" a="1"/>
  <c r="AI62" i="12" a="1"/>
  <c r="L57" i="12" a="1"/>
  <c r="AA162" i="12" a="1"/>
  <c r="AD77" i="12" a="1"/>
  <c r="S48" i="12" a="1"/>
  <c r="Q159" i="12" a="1"/>
  <c r="AJ93" i="12" a="1"/>
  <c r="AQ183" i="12" a="1"/>
  <c r="AD74" i="12" a="1"/>
  <c r="AF26" i="12" a="1"/>
  <c r="AG46" i="12" a="1"/>
  <c r="AQ140" i="12" a="1"/>
  <c r="J177" i="12" a="1"/>
  <c r="AP117" i="12" a="1"/>
  <c r="S80" i="12" a="1"/>
  <c r="J74" i="12" a="1"/>
  <c r="Z169" i="12" a="1"/>
  <c r="J34" i="12" a="1"/>
  <c r="AG60" i="12" a="1"/>
  <c r="W93" i="12" a="1"/>
  <c r="W61" i="12" a="1"/>
  <c r="AK156" i="12" a="1"/>
  <c r="AF110" i="12" a="1"/>
  <c r="AM140" i="12" a="1"/>
  <c r="K12" i="12" a="1"/>
  <c r="AQ9" i="12" a="1"/>
  <c r="AM38" i="12" a="1"/>
  <c r="K86" i="12" a="1"/>
  <c r="AC21" i="12" a="1"/>
  <c r="AI140" i="12" a="1"/>
  <c r="W186" i="12" a="1"/>
  <c r="Y20" i="12" a="1"/>
  <c r="AA142" i="12" a="1"/>
  <c r="AJ103" i="12" a="1"/>
  <c r="R157" i="12" a="1"/>
  <c r="AH5" i="12" a="1"/>
  <c r="X43" i="12" a="1"/>
  <c r="AG146" i="12" a="1"/>
  <c r="AK146" i="12" a="1"/>
  <c r="AQ146" i="12" a="1"/>
  <c r="X86" i="12" a="1"/>
  <c r="I188" i="12" a="1"/>
  <c r="AI67" i="12" a="1"/>
  <c r="AQ31" i="12" a="1"/>
  <c r="AD44" i="12" a="1"/>
  <c r="AL155" i="12" a="1"/>
  <c r="N86" i="12" a="1"/>
  <c r="T171" i="12" a="1"/>
  <c r="AL57" i="12" a="1"/>
  <c r="AK177" i="12" a="1"/>
  <c r="N59" i="12" a="1"/>
  <c r="AA102" i="12" a="1"/>
  <c r="J180" i="12" a="1"/>
  <c r="I90" i="12" a="1"/>
  <c r="P191" i="12" a="1"/>
  <c r="AQ152" i="12" a="1"/>
  <c r="H67" i="12" a="1"/>
  <c r="Q92" i="12" a="1"/>
  <c r="H166" i="12" a="1"/>
  <c r="AM175" i="12" a="1"/>
  <c r="AO103" i="12" a="1"/>
  <c r="U107" i="12" a="1"/>
  <c r="M9" i="12" a="1"/>
  <c r="AL96" i="12" a="1"/>
  <c r="AQ189" i="12" a="1"/>
  <c r="AH144" i="12" a="1"/>
  <c r="V174" i="12" a="1"/>
  <c r="T22" i="12" a="1"/>
  <c r="V91" i="12" a="1"/>
  <c r="K59" i="12" a="1"/>
  <c r="AG111" i="12" a="1"/>
  <c r="AM61" i="12" a="1"/>
  <c r="AP164" i="12" a="1"/>
  <c r="AK150" i="12" a="1"/>
  <c r="AQ149" i="12" a="1"/>
  <c r="AM147" i="12" a="1"/>
  <c r="AL35" i="12" a="1"/>
  <c r="AN17" i="12" a="1"/>
  <c r="L78" i="12" a="1"/>
  <c r="N104" i="12" a="1"/>
  <c r="AC192" i="12" a="1"/>
  <c r="AI187" i="12" a="1"/>
  <c r="AP57" i="12" a="1"/>
  <c r="M145" i="12" a="1"/>
  <c r="AE40" i="12" a="1"/>
  <c r="P103" i="12" a="1"/>
  <c r="J154" i="12" a="1"/>
  <c r="O105" i="12" a="1"/>
  <c r="Z119" i="12" a="1"/>
  <c r="X136" i="12" a="1"/>
  <c r="Y48" i="12" a="1"/>
  <c r="Z19" i="12" a="1"/>
  <c r="AE37" i="12" a="1"/>
  <c r="AH18" i="12" a="1"/>
  <c r="AL88" i="12" a="1"/>
  <c r="AP9" i="12" a="1"/>
  <c r="AC152" i="12" a="1"/>
  <c r="I153" i="12" a="1"/>
  <c r="M183" i="12" a="1"/>
  <c r="AG38" i="12" a="1"/>
  <c r="V78" i="12" a="1"/>
  <c r="AB126" i="12" a="1"/>
  <c r="AK92" i="12" a="1"/>
  <c r="AN167" i="12" a="1"/>
  <c r="AO8" i="12" a="1"/>
  <c r="AF28" i="12" a="1"/>
  <c r="AN20" i="12" a="1"/>
  <c r="AQ193" i="12" a="1"/>
  <c r="R112" i="12" a="1"/>
  <c r="X131" i="12" a="1"/>
  <c r="V136" i="12" a="1"/>
  <c r="AC90" i="12" a="1"/>
  <c r="S161" i="12" a="1"/>
  <c r="Z114" i="12" a="1"/>
  <c r="AQ188" i="12" a="1"/>
  <c r="V27" i="12" a="1"/>
  <c r="AN111" i="12" a="1"/>
  <c r="Y155" i="12" a="1"/>
  <c r="AN91" i="12" a="1"/>
  <c r="N44" i="12" a="1"/>
  <c r="J98" i="12" a="1"/>
  <c r="AI186" i="12" a="1"/>
  <c r="Z22" i="12" a="1"/>
  <c r="AH66" i="12" a="1"/>
  <c r="AF111" i="12" a="1"/>
  <c r="AK37" i="12" a="1"/>
  <c r="J70" i="12" a="1"/>
  <c r="AE79" i="12" a="1"/>
  <c r="Z129" i="12" a="1"/>
  <c r="AJ60" i="12" a="1"/>
  <c r="V119" i="12" a="1"/>
  <c r="AN10" i="12" a="1"/>
  <c r="U95" i="12" a="1"/>
  <c r="N71" i="12" a="1"/>
  <c r="Z137" i="12" a="1"/>
  <c r="N24" i="12" a="1"/>
  <c r="O6" i="12" a="1"/>
  <c r="N25" i="12" a="1"/>
  <c r="P26" i="12" a="1"/>
  <c r="AL137" i="12" a="1"/>
  <c r="AE38" i="12" a="1"/>
  <c r="X7" i="12" a="1"/>
  <c r="AM168" i="12" a="1"/>
  <c r="AK167" i="12" a="1"/>
  <c r="AP157" i="12" a="1"/>
  <c r="AI190" i="12" a="1"/>
  <c r="W7" i="12" a="1"/>
  <c r="Y104" i="12" a="1"/>
  <c r="V113" i="12" a="1"/>
  <c r="O61" i="12" a="1"/>
  <c r="M175" i="12" a="1"/>
  <c r="AL73" i="12" a="1"/>
  <c r="AF47" i="12" a="1"/>
  <c r="J101" i="12" a="1"/>
  <c r="AL12" i="12" a="1"/>
  <c r="AH93" i="12" a="1"/>
  <c r="N113" i="12" a="1"/>
  <c r="AD174" i="12" a="1"/>
  <c r="P78" i="12" a="1"/>
  <c r="H159" i="12" a="1"/>
  <c r="AL39" i="12" a="1"/>
  <c r="W78" i="12" a="1"/>
  <c r="AK13" i="12" a="1"/>
  <c r="AP7" i="12" a="1"/>
  <c r="AE156" i="12" a="1"/>
  <c r="Y64" i="12" a="1"/>
  <c r="AI15" i="12" a="1"/>
  <c r="Y79" i="12" a="1"/>
  <c r="AG91" i="12" a="1"/>
  <c r="Q47" i="12" a="1"/>
  <c r="AC94" i="12" a="1"/>
  <c r="N123" i="12" a="1"/>
  <c r="S97" i="12" a="1"/>
  <c r="K58" i="12" a="1"/>
  <c r="AF163" i="12" a="1"/>
  <c r="AO77" i="12" a="1"/>
  <c r="AC64" i="12" a="1"/>
  <c r="K116" i="12" a="1"/>
  <c r="T159" i="12" a="1"/>
  <c r="M192" i="12" a="1"/>
  <c r="L175" i="12" a="1"/>
  <c r="R167" i="12" a="1"/>
  <c r="AK93" i="12" a="1"/>
  <c r="AM7" i="12" a="1"/>
  <c r="X11" i="12" a="1"/>
  <c r="O176" i="12" a="1"/>
  <c r="W189" i="12" a="1"/>
  <c r="Z51" i="12" a="1"/>
  <c r="O28" i="12" a="1"/>
  <c r="AA13" i="12" a="1"/>
  <c r="AP175" i="12" a="1"/>
  <c r="AF33" i="12" a="1"/>
  <c r="H186" i="12" a="1"/>
  <c r="T114" i="12" a="1"/>
  <c r="AB52" i="12" a="1"/>
  <c r="AL111" i="12" a="1"/>
  <c r="H174" i="12" a="1"/>
  <c r="P136" i="12" a="1"/>
  <c r="W87" i="12" a="1"/>
  <c r="L171" i="12" a="1"/>
  <c r="AN96" i="12" a="1"/>
  <c r="O155" i="12" a="1"/>
  <c r="AL51" i="12" a="1"/>
  <c r="AN151" i="12" a="1"/>
  <c r="AJ40" i="12" a="1"/>
  <c r="AF152" i="12" a="1"/>
  <c r="AH125" i="12" a="1"/>
  <c r="AD31" i="12" a="1"/>
  <c r="Y157" i="12" a="1"/>
  <c r="AB74" i="12" a="1"/>
  <c r="W66" i="12" a="1"/>
  <c r="AC180" i="12" a="1"/>
  <c r="U159" i="12" a="1"/>
  <c r="S52" i="12" a="1"/>
  <c r="K189" i="12" a="1"/>
  <c r="J54" i="12" a="1"/>
  <c r="M49" i="12" a="1"/>
  <c r="M83" i="12" a="1"/>
  <c r="V150" i="12" a="1"/>
  <c r="U21" i="12" a="1"/>
  <c r="AE115" i="12" a="1"/>
  <c r="AM62" i="12" a="1"/>
  <c r="O29" i="12" a="1"/>
  <c r="AQ130" i="12" a="1"/>
  <c r="T85" i="12" a="1"/>
  <c r="L114" i="12" a="1"/>
  <c r="M28" i="12" a="1"/>
  <c r="AB93" i="12" a="1"/>
  <c r="P175" i="12" a="1"/>
  <c r="Z68" i="12" a="1"/>
  <c r="U152" i="12" a="1"/>
  <c r="AF76" i="12" a="1"/>
  <c r="AD50" i="12" a="1"/>
  <c r="AA152" i="12" a="1"/>
  <c r="P59" i="12" a="1"/>
  <c r="K171" i="12" a="1"/>
  <c r="U72" i="12" a="1"/>
  <c r="AE133" i="12" a="1"/>
  <c r="S113" i="12" a="1"/>
  <c r="P154" i="12" a="1"/>
  <c r="AH134" i="12" a="1"/>
  <c r="U87" i="12" a="1"/>
  <c r="V92" i="12" a="1"/>
  <c r="AP35" i="12" a="1"/>
  <c r="L5" i="12" a="1"/>
  <c r="AB29" i="12" a="1"/>
  <c r="O96" i="12" a="1"/>
  <c r="AM88" i="12" a="1"/>
  <c r="K186" i="12" a="1"/>
  <c r="L113" i="12" a="1"/>
  <c r="AP102" i="12" a="1"/>
  <c r="AQ102" i="12" a="1"/>
  <c r="Z182" i="12" a="1"/>
  <c r="Z176" i="12" a="1"/>
  <c r="V75" i="12" a="1"/>
  <c r="R70" i="12" a="1"/>
  <c r="J26" i="12" a="1"/>
  <c r="AQ155" i="12" a="1"/>
  <c r="AH82" i="12" a="1"/>
  <c r="AF51" i="12" a="1"/>
  <c r="AK81" i="12" a="1"/>
  <c r="N92" i="12" a="1"/>
  <c r="AD126" i="12" a="1"/>
  <c r="J137" i="12" a="1"/>
  <c r="AO171" i="12" a="1"/>
  <c r="AM184" i="12" a="1"/>
  <c r="AO188" i="12" a="1"/>
  <c r="K33" i="12" a="1"/>
  <c r="AC114" i="12" a="1"/>
  <c r="P110" i="12" a="1"/>
  <c r="AO183" i="12" a="1"/>
  <c r="O169" i="12" a="1"/>
  <c r="X58" i="12" a="1"/>
  <c r="Z145" i="12" a="1"/>
  <c r="AI5" i="12" a="1"/>
  <c r="T176" i="12" a="1"/>
  <c r="AP161" i="12" a="1"/>
  <c r="S94" i="12" a="1"/>
  <c r="P67" i="12" a="1"/>
  <c r="U173" i="12" a="1"/>
  <c r="AO111" i="12" a="1"/>
  <c r="AE106" i="12" a="1"/>
  <c r="AG33" i="12" a="1"/>
  <c r="Q76" i="12" a="1"/>
  <c r="AK172" i="12" a="1"/>
  <c r="Z53" i="12" a="1"/>
  <c r="U193" i="12" a="1"/>
  <c r="Z33" i="12" a="1"/>
  <c r="AL154" i="12" a="1"/>
  <c r="S191" i="12" a="1"/>
  <c r="I29" i="12" a="1"/>
  <c r="AD121" i="12" a="1"/>
  <c r="AI106" i="12" a="1"/>
  <c r="AK4" i="12" a="1"/>
  <c r="AD51" i="12" a="1"/>
  <c r="AO92" i="12" a="1"/>
  <c r="I189" i="12" a="1"/>
  <c r="K159" i="12" a="1"/>
  <c r="V74" i="12" a="1"/>
  <c r="AP171" i="12" a="1"/>
  <c r="X98" i="12" a="1"/>
  <c r="J16" i="12" a="1"/>
  <c r="AG16" i="12" a="1"/>
  <c r="H112" i="12" a="1"/>
  <c r="J91" i="12" a="1"/>
  <c r="Q46" i="12" a="1"/>
  <c r="V20" i="12" a="1"/>
  <c r="V29" i="12" a="1"/>
  <c r="Q167" i="12" a="1"/>
  <c r="Q173" i="12" a="1"/>
  <c r="AG184" i="12" a="1"/>
  <c r="S125" i="12" a="1"/>
  <c r="AQ145" i="12" a="1"/>
  <c r="N20" i="12" a="1"/>
  <c r="AP26" i="12" a="1"/>
  <c r="W75" i="12" a="1"/>
  <c r="AD87" i="12" a="1"/>
  <c r="AJ77" i="12" a="1"/>
  <c r="S85" i="12" a="1"/>
  <c r="S77" i="12" a="1"/>
  <c r="O71" i="12" a="1"/>
  <c r="AC10" i="12" a="1"/>
  <c r="AJ10" i="12" a="1"/>
  <c r="AA45" i="12" a="1"/>
  <c r="V139" i="12" a="1"/>
  <c r="AF117" i="12" a="1"/>
  <c r="K62" i="12" a="1"/>
  <c r="AA97" i="12" a="1"/>
  <c r="AO90" i="12" a="1"/>
  <c r="AI31" i="12" a="1"/>
  <c r="Q160" i="12" a="1"/>
  <c r="L48" i="12" a="1"/>
  <c r="AH141" i="12" a="1"/>
  <c r="O11" i="12" a="1"/>
  <c r="AH99" i="12" a="1"/>
  <c r="W29" i="12" a="1"/>
  <c r="Y132" i="12" a="1"/>
  <c r="Y9" i="12" a="1"/>
  <c r="Y21" i="12" a="1"/>
  <c r="AP123" i="12" a="1"/>
  <c r="AQ84" i="12" a="1"/>
  <c r="J13" i="12" a="1"/>
  <c r="AC161" i="12" a="1"/>
  <c r="K75" i="12" a="1"/>
  <c r="AM35" i="12" a="1"/>
  <c r="L137" i="12" a="1"/>
  <c r="AN188" i="12" a="1"/>
  <c r="AM55" i="12" a="1"/>
  <c r="AA87" i="12" a="1"/>
  <c r="AA144" i="12" a="1"/>
  <c r="R190" i="12" a="1"/>
  <c r="Q91" i="12" a="1"/>
  <c r="AH145" i="12" a="1"/>
  <c r="AM177" i="12" a="1"/>
  <c r="X88" i="12" a="1"/>
  <c r="AM51" i="12" a="1"/>
  <c r="K11" i="12" a="1"/>
  <c r="AC107" i="12" a="1"/>
  <c r="AH191" i="12" a="1"/>
  <c r="AQ154" i="12" a="1"/>
  <c r="L59" i="12" a="1"/>
  <c r="U24" i="12" a="1"/>
  <c r="AK34" i="12" a="1"/>
  <c r="R5" i="12" a="1"/>
  <c r="AQ28" i="12" a="1"/>
  <c r="AK183" i="12" a="1"/>
  <c r="AF140" i="12" a="1"/>
  <c r="Z4" i="12" a="1"/>
  <c r="AJ29" i="12" a="1"/>
  <c r="AA121" i="12" a="1"/>
  <c r="L23" i="12" a="1"/>
  <c r="Q145" i="12" a="1"/>
  <c r="Z164" i="12" a="1"/>
  <c r="I67" i="12" a="1"/>
  <c r="P32" i="12" a="1"/>
  <c r="AO187" i="12" a="1"/>
  <c r="U4" i="12" a="1"/>
  <c r="AA100" i="12" a="1"/>
  <c r="N60" i="12" a="1"/>
  <c r="N128" i="12" a="1"/>
  <c r="U63" i="12" a="1"/>
  <c r="AG157" i="12" a="1"/>
  <c r="AI56" i="12" a="1"/>
  <c r="AO155" i="12" a="1"/>
  <c r="AE78" i="12" a="1"/>
  <c r="AP147" i="12" a="1"/>
  <c r="S23" i="12" a="1"/>
  <c r="AA115" i="12" a="1"/>
  <c r="AE34" i="12" a="1"/>
  <c r="AO82" i="12" a="1"/>
  <c r="U38" i="12" a="1"/>
  <c r="V6" i="12" a="1"/>
  <c r="O17" i="12" a="1"/>
  <c r="AQ158" i="12" a="1"/>
  <c r="AM37" i="12" a="1"/>
  <c r="W160" i="12" a="1"/>
  <c r="AQ32" i="12" a="1"/>
  <c r="T28" i="12" a="1"/>
  <c r="S103" i="12" a="1"/>
  <c r="K71" i="12" a="1"/>
  <c r="O26" i="12" a="1"/>
  <c r="AC77" i="12" a="1"/>
  <c r="AE107" i="12" a="1"/>
  <c r="Z146" i="12" a="1"/>
  <c r="AK19" i="12" a="1"/>
  <c r="AA153" i="12" a="1"/>
  <c r="X40" i="12" a="1"/>
  <c r="K113" i="12" a="1"/>
  <c r="T178" i="12" a="1"/>
  <c r="P172" i="12" a="1"/>
  <c r="AJ107" i="12" a="1"/>
  <c r="I94" i="12" a="1"/>
  <c r="AD63" i="12" a="1"/>
  <c r="Z34" i="12" a="1"/>
  <c r="H34" i="12" a="1"/>
  <c r="AN56" i="12" a="1"/>
  <c r="AC109" i="12" a="1"/>
  <c r="AI38" i="12" a="1"/>
  <c r="AI135" i="12" a="1"/>
  <c r="AH94" i="12" a="1"/>
  <c r="AL131" i="12" a="1"/>
  <c r="J69" i="12" a="1"/>
  <c r="U12" i="12" a="1"/>
  <c r="AE83" i="12" a="1"/>
  <c r="V138" i="12" a="1"/>
  <c r="T103" i="12" a="1"/>
  <c r="AL38" i="12" a="1"/>
  <c r="Q75" i="12" a="1"/>
  <c r="Y85" i="12" a="1"/>
  <c r="S100" i="12" a="1"/>
  <c r="AC190" i="12" a="1"/>
  <c r="U29" i="12" a="1"/>
  <c r="Z154" i="12" a="1"/>
  <c r="L52" i="12" a="1"/>
  <c r="R20" i="12" a="1"/>
  <c r="AP30" i="12" a="1"/>
  <c r="AE26" i="12" a="1"/>
  <c r="N112" i="12" a="1"/>
  <c r="M109" i="12" a="1"/>
  <c r="AP63" i="12" a="1"/>
  <c r="O139" i="12" a="1"/>
  <c r="AD146" i="12" a="1"/>
  <c r="AN137" i="12" a="1"/>
  <c r="AL140" i="12" a="1"/>
  <c r="Z18" i="12" a="1"/>
  <c r="X164" i="12" a="1"/>
  <c r="N14" i="12" a="1"/>
  <c r="AN109" i="12" a="1"/>
  <c r="H178" i="12" a="1"/>
  <c r="X57" i="12" a="1"/>
  <c r="AD158" i="12" a="1"/>
  <c r="K63" i="12" a="1"/>
  <c r="N34" i="12" a="1"/>
  <c r="W130" i="12" a="1"/>
  <c r="AN113" i="12" a="1"/>
  <c r="R121" i="12" a="1"/>
  <c r="AH90" i="12" a="1"/>
  <c r="N29" i="12" a="1"/>
  <c r="AI163" i="12" a="1"/>
  <c r="Q94" i="12" a="1"/>
  <c r="Y151" i="12" a="1"/>
  <c r="AL31" i="12" a="1"/>
  <c r="AM190" i="12" a="1"/>
  <c r="K145" i="12" a="1"/>
  <c r="J110" i="12" a="1"/>
  <c r="AJ113" i="12" a="1"/>
  <c r="AH163" i="12" a="1"/>
  <c r="W124" i="12" a="1"/>
  <c r="AL61" i="12" a="1"/>
  <c r="AH179" i="12" a="1"/>
  <c r="S174" i="12" a="1"/>
  <c r="AI183" i="12" a="1"/>
  <c r="AD161" i="12" a="1"/>
  <c r="AI46" i="12" a="1"/>
  <c r="N184" i="12" a="1"/>
  <c r="AD104" i="12" a="1"/>
  <c r="N167" i="12" a="1"/>
  <c r="AA89" i="12" a="1"/>
  <c r="X105" i="12" a="1"/>
  <c r="AD66" i="12" a="1"/>
  <c r="T23" i="12" a="1"/>
  <c r="N19" i="12" a="1"/>
  <c r="L55" i="12" a="1"/>
  <c r="AK72" i="12" a="1"/>
  <c r="L140" i="12" a="1"/>
  <c r="J41" i="12" a="1"/>
  <c r="AD78" i="12" a="1"/>
  <c r="Y161" i="12" a="1"/>
  <c r="AL67" i="12" a="1"/>
  <c r="J108" i="12" a="1"/>
  <c r="AO72" i="12" a="1"/>
  <c r="S167" i="12" a="1"/>
  <c r="J62" i="12" a="1"/>
  <c r="AB60" i="12" a="1"/>
  <c r="N47" i="12" a="1"/>
  <c r="AF7" i="12" a="1"/>
  <c r="I185" i="12" a="1"/>
  <c r="S69" i="12" a="1"/>
  <c r="V68" i="12" a="1"/>
  <c r="AO16" i="12" a="1"/>
  <c r="AF79" i="12" a="1"/>
  <c r="W21" i="12" a="1"/>
  <c r="W110" i="12" a="1"/>
  <c r="AC97" i="12" a="1"/>
  <c r="AC151" i="12" a="1"/>
  <c r="AL34" i="12" a="1"/>
  <c r="AA25" i="12" a="1"/>
  <c r="V37" i="12" a="1"/>
  <c r="AL5" i="12" a="1"/>
  <c r="X186" i="12" a="1"/>
  <c r="M184" i="12" a="1"/>
  <c r="I151" i="12" a="1"/>
  <c r="P192" i="12" a="1"/>
  <c r="W98" i="12" a="1"/>
  <c r="J162" i="12" a="1"/>
  <c r="AE91" i="12" a="1"/>
  <c r="O25" i="12" a="1"/>
  <c r="AA35" i="12" a="1"/>
  <c r="Q187" i="12" a="1"/>
  <c r="Z84" i="12" a="1"/>
  <c r="J125" i="12" a="1"/>
  <c r="AD132" i="12" a="1"/>
  <c r="J42" i="12" a="1"/>
  <c r="AI168" i="12" a="1"/>
  <c r="W14" i="12" a="1"/>
  <c r="AK151" i="12" a="1"/>
  <c r="AC29" i="12" a="1"/>
  <c r="O149" i="12" a="1"/>
  <c r="W168" i="12" a="1"/>
  <c r="X38" i="12" a="1"/>
  <c r="W193" i="12" a="1"/>
  <c r="AO159" i="12" a="1"/>
  <c r="K30" i="12" a="1"/>
  <c r="AC92" i="12" a="1"/>
  <c r="J68" i="12" a="1"/>
  <c r="AJ57" i="12" a="1"/>
  <c r="AL124" i="12" a="1"/>
  <c r="AP36" i="12" a="1"/>
  <c r="N151" i="12" a="1"/>
  <c r="AL136" i="12" a="1"/>
  <c r="AQ121" i="12" a="1"/>
  <c r="AQ63" i="12" a="1"/>
  <c r="V177" i="12" a="1"/>
  <c r="AL138" i="12" a="1"/>
  <c r="H38" i="12" a="1"/>
  <c r="J138" i="12" a="1"/>
  <c r="AM76" i="12" a="1"/>
  <c r="S84" i="12" a="1"/>
  <c r="X185" i="12" a="1"/>
  <c r="P106" i="12" a="1"/>
  <c r="I31" i="12" a="1"/>
  <c r="T25" i="12" a="1"/>
  <c r="W144" i="12" a="1"/>
  <c r="AO156" i="12" a="1"/>
  <c r="M138" i="12" a="1"/>
  <c r="AA154" i="12" a="1"/>
  <c r="K167" i="12" a="1"/>
  <c r="M32" i="12" a="1"/>
  <c r="J83" i="12" a="1"/>
  <c r="AF15" i="12" a="1"/>
  <c r="I10" i="12" a="1"/>
  <c r="I167" i="12" a="1"/>
  <c r="S25" i="12" a="1"/>
  <c r="AM8" i="12" a="1"/>
  <c r="AF188" i="12" a="1"/>
  <c r="P77" i="12" a="1"/>
  <c r="AA158" i="12" a="1"/>
  <c r="AC93" i="12" a="1"/>
  <c r="N115" i="12" a="1"/>
  <c r="K147" i="12" a="1"/>
  <c r="O87" i="12" a="1"/>
  <c r="AD32" i="12" a="1"/>
  <c r="S60" i="12" a="1"/>
  <c r="V135" i="12" a="1"/>
  <c r="AK50" i="12" a="1"/>
  <c r="L172" i="12" a="1"/>
  <c r="W11" i="12" a="1"/>
  <c r="O18" i="12" a="1"/>
  <c r="R11" i="12" a="1"/>
  <c r="AM39" i="12" a="1"/>
  <c r="AQ70" i="12" a="1"/>
  <c r="I45" i="12" a="1"/>
  <c r="AD133" i="12" a="1"/>
  <c r="AJ64" i="12" a="1"/>
  <c r="AJ30" i="12" a="1"/>
  <c r="W48" i="12" a="1"/>
  <c r="AE168" i="12" a="1"/>
  <c r="AJ179" i="12" a="1"/>
  <c r="AK29" i="12" a="1"/>
  <c r="AF170" i="12" a="1"/>
  <c r="AD106" i="12" a="1"/>
  <c r="L27" i="12" a="1"/>
  <c r="I22" i="12" a="1"/>
  <c r="K32" i="12" a="1"/>
  <c r="AB10" i="12" a="1"/>
  <c r="AE146" i="12" a="1"/>
  <c r="V35" i="12" a="1"/>
  <c r="X139" i="12" a="1"/>
  <c r="AJ5" i="12" a="1"/>
  <c r="N15" i="12" a="1"/>
  <c r="H86" i="12" a="1"/>
  <c r="L98" i="12" a="1"/>
  <c r="V166" i="12" a="1"/>
  <c r="AN117" i="12" a="1"/>
  <c r="U45" i="12" a="1"/>
  <c r="O179" i="12" a="1"/>
  <c r="Y87" i="12" a="1"/>
  <c r="H168" i="12" a="1"/>
  <c r="L109" i="12" a="1"/>
  <c r="W13" i="12" a="1"/>
  <c r="P82" i="12" a="1"/>
  <c r="AP165" i="12" a="1"/>
  <c r="Q44" i="12" a="1"/>
  <c r="O186" i="12" a="1"/>
  <c r="R54" i="12" a="1"/>
  <c r="I161" i="12" a="1"/>
  <c r="AL60" i="12" a="1"/>
  <c r="I9" i="12" a="1"/>
  <c r="X81" i="12" a="1"/>
  <c r="AH40" i="12" a="1"/>
  <c r="X170" i="12" a="1"/>
  <c r="T130" i="12" a="1"/>
  <c r="K133" i="12" a="1"/>
  <c r="AA78" i="12" a="1"/>
  <c r="AN136" i="12" a="1"/>
  <c r="AM10" i="12" a="1"/>
  <c r="AQ147" i="12" a="1"/>
  <c r="AH50" i="12" a="1"/>
  <c r="M56" i="12" a="1"/>
  <c r="V7" i="12" a="1"/>
  <c r="AE158" i="12" a="1"/>
  <c r="AQ178" i="12" a="1"/>
  <c r="Z172" i="12" a="1"/>
  <c r="Y145" i="12" a="1"/>
  <c r="AD100" i="12" a="1"/>
  <c r="J172" i="12" a="1"/>
  <c r="W151" i="12" a="1"/>
  <c r="U130" i="12" a="1"/>
  <c r="V97" i="12" a="1"/>
  <c r="AC47" i="12" a="1"/>
  <c r="K161" i="12" a="1"/>
  <c r="L79" i="12" a="1"/>
  <c r="AP4" i="12" a="1"/>
  <c r="AJ185" i="12" a="1"/>
  <c r="AE127" i="12" a="1"/>
  <c r="Q62" i="12" a="1"/>
  <c r="Y44" i="12" a="1"/>
  <c r="AK110" i="12" a="1"/>
  <c r="K138" i="12" a="1"/>
  <c r="AN103" i="12" a="1"/>
  <c r="AA159" i="12" a="1"/>
  <c r="S170" i="12" a="1"/>
  <c r="AQ14" i="12" a="1"/>
  <c r="AI90" i="12" a="1"/>
  <c r="K42" i="12" a="1"/>
  <c r="AE52" i="12" a="1"/>
  <c r="I110" i="12" a="1"/>
  <c r="U157" i="12" a="1"/>
  <c r="Z159" i="12" a="1"/>
  <c r="AG112" i="12" a="1"/>
  <c r="O7" i="12" a="1"/>
  <c r="AE191" i="12" a="1"/>
  <c r="AG31" i="12" a="1"/>
  <c r="AB193" i="12" a="1"/>
  <c r="T170" i="12" a="1"/>
  <c r="AP160" i="12" a="1"/>
  <c r="K162" i="12" a="1"/>
  <c r="AN155" i="12" a="1"/>
  <c r="P66" i="12" a="1"/>
  <c r="P73" i="12" a="1"/>
  <c r="X94" i="12" a="1"/>
  <c r="X96" i="12" a="1"/>
  <c r="O164" i="12" a="1"/>
  <c r="S148" i="12" a="1"/>
  <c r="AJ180" i="12" a="1"/>
  <c r="AD9" i="12" a="1"/>
  <c r="U17" i="12" a="1"/>
  <c r="AQ156" i="12" a="1"/>
  <c r="J192" i="12" a="1"/>
  <c r="O184" i="12" a="1"/>
  <c r="J11" i="12" a="1"/>
  <c r="AF74" i="12" a="1"/>
  <c r="AA136" i="12" a="1"/>
  <c r="N81" i="12" a="1"/>
  <c r="V152" i="12" a="1"/>
  <c r="AE119" i="12" a="1"/>
  <c r="AL165" i="12" a="1"/>
  <c r="Z103" i="12" a="1"/>
  <c r="V89" i="12" a="1"/>
  <c r="AO58" i="12" a="1"/>
  <c r="AI138" i="12" a="1"/>
  <c r="K47" i="12" a="1"/>
  <c r="AD69" i="12" a="1"/>
  <c r="Y141" i="12" a="1"/>
  <c r="AD110" i="12" a="1"/>
  <c r="AH116" i="12" a="1"/>
  <c r="AI68" i="12" a="1"/>
  <c r="AM63" i="12" a="1"/>
  <c r="AN78" i="12" a="1"/>
  <c r="AL151" i="12" a="1"/>
  <c r="AI156" i="12" a="1"/>
  <c r="AP60" i="12" a="1"/>
  <c r="AG70" i="12" a="1"/>
  <c r="R144" i="12" a="1"/>
  <c r="Z15" i="12" a="1"/>
  <c r="W23" i="12" a="1"/>
  <c r="AA83" i="12" a="1"/>
  <c r="N142" i="12" a="1"/>
  <c r="AG27" i="12" a="1"/>
  <c r="AE148" i="12" a="1"/>
  <c r="Q18" i="12" a="1"/>
  <c r="N144" i="12" a="1"/>
  <c r="AF68" i="12" a="1"/>
  <c r="AF92" i="12" a="1"/>
  <c r="AI30" i="12" a="1"/>
  <c r="O22" i="12" a="1"/>
  <c r="O190" i="12" a="1"/>
  <c r="U54" i="12" a="1"/>
  <c r="K65" i="12" a="1"/>
  <c r="W59" i="12" a="1"/>
  <c r="AJ49" i="12" a="1"/>
  <c r="R46" i="12" a="1"/>
  <c r="V172" i="12" a="1"/>
  <c r="AJ182" i="12" a="1"/>
  <c r="M72" i="12" a="1"/>
  <c r="AF80" i="12" a="1"/>
  <c r="AH84" i="12" a="1"/>
  <c r="AP15" i="12" a="1"/>
  <c r="Q174" i="12" a="1"/>
  <c r="M58" i="12" a="1"/>
  <c r="J146" i="12" a="1"/>
  <c r="AQ127" i="12" a="1"/>
  <c r="Q87" i="12" a="1"/>
  <c r="N161" i="12" a="1"/>
  <c r="R118" i="12" a="1"/>
  <c r="R53" i="12" a="1"/>
  <c r="AG65" i="12" a="1"/>
  <c r="AM145" i="12" a="1"/>
  <c r="AL26" i="12" a="1"/>
  <c r="AG57" i="12" a="1"/>
  <c r="AN76" i="12" a="1"/>
  <c r="O166" i="12" a="1"/>
  <c r="AP168" i="12" a="1"/>
  <c r="AB41" i="12" a="1"/>
  <c r="M171" i="12" a="1"/>
  <c r="AB117" i="12" a="1"/>
  <c r="K24" i="12" a="1"/>
  <c r="K44" i="12" a="1"/>
  <c r="AF14" i="12" a="1"/>
  <c r="AF166" i="12" a="1"/>
  <c r="R96" i="12" a="1"/>
  <c r="Q114" i="12" a="1"/>
  <c r="X165" i="12" a="1"/>
  <c r="U20" i="12" a="1"/>
  <c r="L45" i="12" a="1"/>
  <c r="AA38" i="12" a="1"/>
  <c r="Q126" i="12" a="1"/>
  <c r="U191" i="12" a="1"/>
  <c r="AB103" i="12" a="1"/>
  <c r="AK175" i="12" a="1"/>
  <c r="J124" i="12" a="1"/>
  <c r="T58" i="12" a="1"/>
  <c r="N110" i="12" a="1"/>
  <c r="AM67" i="12" a="1"/>
  <c r="Y156" i="12" a="1"/>
  <c r="V143" i="12" a="1"/>
  <c r="V129" i="12" a="1"/>
  <c r="AE108" i="12" a="1"/>
  <c r="AD67" i="12" a="1"/>
  <c r="K79" i="12" a="1"/>
  <c r="AB98" i="12" a="1"/>
  <c r="N13" i="12" a="1"/>
  <c r="Y180" i="12" a="1"/>
  <c r="Y189" i="12" a="1"/>
  <c r="AO59" i="12" a="1"/>
  <c r="V125" i="12" a="1"/>
  <c r="AN169" i="12" a="1"/>
  <c r="AO85" i="12" a="1"/>
  <c r="K26" i="12" a="1"/>
  <c r="AK101" i="12" a="1"/>
  <c r="S162" i="12" a="1"/>
  <c r="AO28" i="12" a="1"/>
  <c r="K91" i="12" a="1"/>
  <c r="AH168" i="12" a="1"/>
  <c r="T56" i="12" a="1"/>
  <c r="I158" i="12" a="1"/>
  <c r="AO64" i="12" a="1"/>
  <c r="I97" i="12" a="1"/>
  <c r="W71" i="12" a="1"/>
  <c r="K111" i="12" a="1"/>
  <c r="W96" i="12" a="1"/>
  <c r="AM104" i="12" a="1"/>
  <c r="AC105" i="12" a="1"/>
  <c r="AM129" i="12" a="1"/>
  <c r="AC137" i="12" a="1"/>
  <c r="P86" i="12" a="1"/>
  <c r="Q67" i="12" a="1"/>
  <c r="S33" i="12" a="1"/>
  <c r="T149" i="12" a="1"/>
  <c r="H131" i="12" a="1"/>
  <c r="V165" i="12" a="1"/>
  <c r="AA57" i="12" a="1"/>
  <c r="AN40" i="12" a="1"/>
  <c r="AJ87" i="12" a="1"/>
  <c r="I16" i="12" a="1"/>
  <c r="AQ157" i="12" a="1"/>
  <c r="S138" i="12" a="1"/>
  <c r="AK40" i="12" a="1"/>
  <c r="T69" i="12" a="1"/>
  <c r="V168" i="12" a="1"/>
  <c r="I64" i="12" a="1"/>
  <c r="AA171" i="12" a="1"/>
  <c r="AC52" i="12" a="1"/>
  <c r="I46" i="12" a="1"/>
  <c r="U133" i="12" a="1"/>
  <c r="O154" i="12" a="1"/>
  <c r="M77" i="12" a="1"/>
  <c r="P170" i="12" a="1"/>
  <c r="Q95" i="12" a="1"/>
  <c r="L62" i="12" a="1"/>
  <c r="AD150" i="12" a="1"/>
  <c r="Q5" i="12" a="1"/>
  <c r="AP89" i="12" a="1"/>
  <c r="AM91" i="12" a="1"/>
  <c r="Z117" i="12" a="1"/>
  <c r="H117" i="12" a="1"/>
  <c r="X159" i="12" a="1"/>
  <c r="AJ35" i="12" a="1"/>
  <c r="AD149" i="12" a="1"/>
  <c r="S144" i="12" a="1"/>
  <c r="Q111" i="12" a="1"/>
  <c r="J23" i="12" a="1"/>
  <c r="R31" i="12" a="1"/>
  <c r="Q71" i="12" a="1"/>
  <c r="AK35" i="12" a="1"/>
  <c r="AJ74" i="12" a="1"/>
  <c r="AP34" i="12" a="1"/>
  <c r="W185" i="12" a="1"/>
  <c r="AD145" i="12" a="1"/>
  <c r="AH135" i="12" a="1"/>
  <c r="M133" i="12" a="1"/>
  <c r="N190" i="12" a="1"/>
  <c r="H106" i="12" a="1"/>
  <c r="AE147" i="12" a="1"/>
  <c r="I133" i="12" a="1"/>
  <c r="O108" i="12" a="1"/>
  <c r="Z59" i="12" a="1"/>
  <c r="AD138" i="12" a="1"/>
  <c r="Z57" i="12" a="1"/>
  <c r="P171" i="12" a="1"/>
  <c r="Z98" i="12" a="1"/>
  <c r="X104" i="12" a="1"/>
  <c r="AF54" i="12" a="1"/>
  <c r="AI171" i="12" a="1"/>
  <c r="AP154" i="12" a="1"/>
  <c r="AL171" i="12" a="1"/>
  <c r="L87" i="12" a="1"/>
  <c r="W180" i="12" a="1"/>
  <c r="S109" i="12" a="1"/>
  <c r="AI14" i="12" a="1"/>
  <c r="AD120" i="12" a="1"/>
  <c r="R88" i="12" a="1"/>
  <c r="AB76" i="12" a="1"/>
  <c r="L115" i="12" a="1"/>
  <c r="AO102" i="12" a="1"/>
  <c r="M190" i="12" a="1"/>
  <c r="AE68" i="12" a="1"/>
  <c r="AO149" i="12" a="1"/>
  <c r="L80" i="12" a="1"/>
  <c r="X157" i="12" a="1"/>
  <c r="T172" i="12" a="1"/>
  <c r="Z56" i="12" a="1"/>
  <c r="AJ48" i="12" a="1"/>
  <c r="AM52" i="12" a="1"/>
  <c r="AD139" i="12" a="1"/>
  <c r="T77" i="12" a="1"/>
  <c r="AD101" i="12" a="1"/>
  <c r="V80" i="12" a="1"/>
  <c r="N76" i="12" a="1"/>
  <c r="AE174" i="12" a="1"/>
  <c r="AN45" i="12" a="1"/>
  <c r="V43" i="12" a="1"/>
  <c r="P31" i="12" a="1"/>
  <c r="AL156" i="12" a="1"/>
  <c r="AE160" i="12" a="1"/>
  <c r="U188" i="12" a="1"/>
  <c r="N134" i="12" a="1"/>
  <c r="I183" i="12" a="1"/>
  <c r="L92" i="12" a="1"/>
  <c r="N40" i="12" a="1"/>
  <c r="O10" i="12" a="1"/>
  <c r="L89" i="12" a="1"/>
  <c r="X181" i="12" a="1"/>
  <c r="X67" i="12" a="1"/>
  <c r="AO169" i="12" a="1"/>
  <c r="AE35" i="12" a="1"/>
  <c r="O159" i="12" a="1"/>
  <c r="AH162" i="12" a="1"/>
  <c r="AI128" i="12" a="1"/>
  <c r="AG8" i="12" a="1"/>
  <c r="Q177" i="12" a="1"/>
  <c r="AE65" i="12" a="1"/>
  <c r="M43" i="12" a="1"/>
  <c r="K101" i="12" a="1"/>
  <c r="AD143" i="12" a="1"/>
  <c r="V128" i="12" a="1"/>
  <c r="R86" i="12" a="1"/>
  <c r="L152" i="12" a="1"/>
  <c r="V61" i="12" a="1"/>
  <c r="I145" i="12" a="1"/>
  <c r="AD169" i="12" a="1"/>
  <c r="P65" i="12" a="1"/>
  <c r="AG25" i="12" a="1"/>
  <c r="AN83" i="12" a="1"/>
  <c r="O122" i="12" a="1"/>
  <c r="AM182" i="12" a="1"/>
  <c r="AI8" i="12" a="1"/>
  <c r="AE19" i="12" a="1"/>
  <c r="L190" i="12" a="1"/>
  <c r="I70" i="12" a="1"/>
  <c r="Z107" i="12" a="1"/>
  <c r="P167" i="12" a="1"/>
  <c r="S10" i="12" a="1"/>
  <c r="M61" i="12" a="1"/>
  <c r="AC80" i="12" a="1"/>
  <c r="J56" i="12" a="1"/>
  <c r="AA20" i="12" a="1"/>
  <c r="I166" i="12" a="1"/>
  <c r="W143" i="12" a="1"/>
  <c r="L10" i="12" a="1"/>
  <c r="AL4" i="12" a="1"/>
  <c r="S127" i="12" a="1"/>
  <c r="H91" i="12" a="1"/>
  <c r="AL134" i="12" a="1"/>
  <c r="U125" i="12" a="1"/>
  <c r="AG81" i="12" a="1"/>
  <c r="O54" i="12" a="1"/>
  <c r="AA92" i="12" a="1"/>
  <c r="AM47" i="12" a="1"/>
  <c r="X22" i="12" a="1"/>
  <c r="Q37" i="12" a="1"/>
  <c r="AN139" i="12" a="1"/>
  <c r="M180" i="12" a="1"/>
  <c r="AN97" i="12" a="1"/>
  <c r="AJ173" i="12" a="1"/>
  <c r="R18" i="12" a="1"/>
  <c r="P184" i="12" a="1"/>
  <c r="AG141" i="12" a="1"/>
  <c r="AF115" i="12" a="1"/>
  <c r="Q101" i="12" a="1"/>
  <c r="AA10" i="12" a="1"/>
  <c r="M21" i="12" a="1"/>
  <c r="AK44" i="12" a="1"/>
  <c r="T191" i="12" a="1"/>
  <c r="K160" i="12" a="1"/>
  <c r="AK61" i="12" a="1"/>
  <c r="Y7" i="12" a="1"/>
  <c r="Z62" i="12" a="1"/>
  <c r="R22" i="12" a="1"/>
  <c r="Y111" i="12" a="1"/>
  <c r="AJ55" i="12" a="1"/>
  <c r="AC57" i="12" a="1"/>
  <c r="L60" i="12" a="1"/>
  <c r="T82" i="12" a="1"/>
  <c r="AF37" i="12" a="1"/>
  <c r="AB72" i="12" a="1"/>
  <c r="Y22" i="12" a="1"/>
  <c r="AE188" i="12" a="1"/>
  <c r="V64" i="12" a="1"/>
  <c r="Z175" i="12" a="1"/>
  <c r="Y41" i="12" a="1"/>
  <c r="H155" i="12" a="1"/>
  <c r="Q38" i="12" a="1"/>
  <c r="AF42" i="12" a="1"/>
  <c r="H152" i="12" a="1"/>
  <c r="K17" i="12" a="1"/>
  <c r="AQ93" i="12" a="1"/>
  <c r="AA60" i="12" a="1"/>
  <c r="M189" i="12" a="1"/>
  <c r="Q156" i="12" a="1"/>
  <c r="I117" i="12" a="1"/>
  <c r="N82" i="12" a="1"/>
  <c r="T6" i="12" a="1"/>
  <c r="M158" i="12" a="1"/>
  <c r="AE50" i="12" a="1"/>
  <c r="K121" i="12" a="1"/>
  <c r="X35" i="12" a="1"/>
  <c r="Z29" i="12" a="1"/>
  <c r="X18" i="12" a="1"/>
  <c r="O103" i="12" a="1"/>
  <c r="AP101" i="12" a="1"/>
  <c r="I95" i="12" a="1"/>
  <c r="Q27" i="12" a="1"/>
  <c r="AP144" i="12" a="1"/>
  <c r="T17" i="12" a="1"/>
  <c r="L136" i="12" a="1"/>
  <c r="R95" i="12" a="1"/>
  <c r="AJ98" i="12" a="1"/>
  <c r="AD140" i="12" a="1"/>
  <c r="AQ35" i="12" a="1"/>
  <c r="AJ170" i="12" a="1"/>
  <c r="Q19" i="12" a="1"/>
  <c r="AD151" i="12" a="1"/>
  <c r="AG96" i="12" a="1"/>
  <c r="X134" i="12" a="1"/>
  <c r="AQ95" i="12" a="1"/>
  <c r="AB87" i="12" a="1"/>
  <c r="AK130" i="12" a="1"/>
  <c r="N121" i="12" a="1"/>
  <c r="H85" i="12" a="1"/>
  <c r="AD28" i="12" a="1"/>
  <c r="R64" i="12" a="1"/>
  <c r="M96" i="12" a="1"/>
  <c r="J169" i="12" a="1"/>
  <c r="AP62" i="12" a="1"/>
  <c r="O114" i="12" a="1"/>
  <c r="AG174" i="12" a="1"/>
  <c r="AD193" i="12" a="1"/>
  <c r="H157" i="12" a="1"/>
  <c r="H76" i="12" a="1"/>
  <c r="AC174" i="12" a="1"/>
  <c r="M46" i="12" a="1"/>
  <c r="M18" i="12" a="1"/>
  <c r="AH89" i="12" a="1"/>
  <c r="R185" i="12" a="1"/>
  <c r="K180" i="12" a="1"/>
  <c r="T156" i="12" a="1"/>
  <c r="V175" i="12" a="1"/>
  <c r="S111" i="12" a="1"/>
  <c r="V188" i="12" a="1"/>
  <c r="L178" i="12" a="1"/>
  <c r="L138" i="12" a="1"/>
  <c r="AM123" i="12" a="1"/>
  <c r="AC103" i="12" a="1"/>
  <c r="J30" i="12" a="1"/>
  <c r="AL166" i="12" a="1"/>
  <c r="Z86" i="12" a="1"/>
  <c r="AE51" i="12" a="1"/>
  <c r="AM70" i="12" a="1"/>
  <c r="V110" i="12" a="1"/>
  <c r="AL78" i="12" a="1"/>
  <c r="AB106" i="12" a="1"/>
  <c r="V148" i="12" a="1"/>
  <c r="AQ60" i="12" a="1"/>
  <c r="AA128" i="12" a="1"/>
  <c r="AE76" i="12" a="1"/>
  <c r="S166" i="12" a="1"/>
  <c r="K37" i="12" a="1"/>
  <c r="AK55" i="12" a="1"/>
  <c r="AG153" i="12" a="1"/>
  <c r="O185" i="12" a="1"/>
  <c r="AO130" i="12" a="1"/>
  <c r="AI27" i="12" a="1"/>
  <c r="Y126" i="12" a="1"/>
  <c r="AP126" i="12" a="1"/>
  <c r="AN53" i="12" a="1"/>
  <c r="S180" i="12" a="1"/>
  <c r="AN181" i="12" a="1"/>
  <c r="AI10" i="12" a="1"/>
  <c r="AE60" i="12" a="1"/>
  <c r="M166" i="12" a="1"/>
  <c r="AD27" i="12" a="1"/>
  <c r="AI157" i="12" a="1"/>
  <c r="AE114" i="12" a="1"/>
  <c r="AL59" i="12" a="1"/>
  <c r="AC61" i="12" a="1"/>
  <c r="AB61" i="12" a="1"/>
  <c r="H58" i="12" a="1"/>
  <c r="AP186" i="12" a="1"/>
  <c r="M169" i="12" a="1"/>
  <c r="AM135" i="12" a="1"/>
  <c r="AP187" i="12" a="1"/>
  <c r="AG113" i="12" a="1"/>
  <c r="AA37" i="12" a="1"/>
  <c r="V31" i="12" a="1"/>
  <c r="J6" i="12" a="1"/>
  <c r="AF193" i="12" a="1"/>
  <c r="AQ29" i="12" a="1"/>
  <c r="AH171" i="12" a="1"/>
  <c r="AP128" i="12" a="1"/>
  <c r="AE17" i="12" a="1"/>
  <c r="AH123" i="12" a="1"/>
  <c r="N162" i="12" a="1"/>
  <c r="AA139" i="12" a="1"/>
  <c r="AE117" i="12" a="1"/>
  <c r="AB26" i="12" a="1"/>
  <c r="AD93" i="12" a="1"/>
  <c r="AN153" i="12" a="1"/>
  <c r="S115" i="12" a="1"/>
  <c r="AC159" i="12" a="1"/>
  <c r="Y176" i="12" a="1"/>
  <c r="J19" i="12" a="1"/>
  <c r="N6" i="12" a="1"/>
  <c r="X184" i="12" a="1"/>
  <c r="AB44" i="12" a="1"/>
  <c r="I68" i="12" a="1"/>
  <c r="AE74" i="12" a="1"/>
  <c r="Z149" i="12" a="1"/>
  <c r="AK117" i="12" a="1"/>
  <c r="AB191" i="12" a="1"/>
  <c r="P83" i="12" a="1"/>
  <c r="AF38" i="12" a="1"/>
  <c r="W129" i="12" a="1"/>
  <c r="I13" i="12" a="1"/>
  <c r="AL159" i="12" a="1"/>
  <c r="AQ174" i="12" a="1"/>
  <c r="Z89" i="12" a="1"/>
  <c r="N155" i="12" a="1"/>
  <c r="AA74" i="12" a="1"/>
  <c r="AN46" i="12" a="1"/>
  <c r="AN9" i="12" a="1"/>
  <c r="AA173" i="12" a="1"/>
  <c r="X110" i="12" a="1"/>
  <c r="AC175" i="12" a="1"/>
  <c r="AM15" i="12" a="1"/>
  <c r="AH21" i="12" a="1"/>
  <c r="R13" i="12" a="1"/>
  <c r="Y135" i="12" a="1"/>
  <c r="S73" i="12" a="1"/>
  <c r="AH128" i="12" a="1"/>
  <c r="V95" i="12" a="1"/>
  <c r="AN12" i="12" a="1"/>
  <c r="P47" i="12" a="1"/>
  <c r="AK160" i="12" a="1"/>
  <c r="AC171" i="12" a="1"/>
  <c r="Q33" i="12" a="1"/>
  <c r="AK48" i="12" a="1"/>
  <c r="AC23" i="12" a="1"/>
  <c r="W141" i="12" a="1"/>
  <c r="AN143" i="12" a="1"/>
  <c r="X129" i="12" a="1"/>
  <c r="AI167" i="12" a="1"/>
  <c r="N178" i="12" a="1"/>
  <c r="AQ166" i="12" a="1"/>
  <c r="O147" i="12" a="1"/>
  <c r="X62" i="12" a="1"/>
  <c r="AP51" i="12" a="1"/>
  <c r="H144" i="12" a="1"/>
  <c r="AO190" i="12" a="1"/>
  <c r="P169" i="12" a="1"/>
  <c r="J147" i="12" a="1"/>
  <c r="I159" i="12" a="1"/>
  <c r="AA44" i="12" a="1"/>
  <c r="AG167" i="12" a="1"/>
  <c r="Q6" i="12" a="1"/>
  <c r="AO26" i="12" a="1"/>
  <c r="H32" i="12" a="1"/>
  <c r="AL30" i="12" a="1"/>
  <c r="U187" i="12" a="1"/>
  <c r="I177" i="12" a="1"/>
  <c r="AG115" i="12" a="1"/>
  <c r="H149" i="12" a="1"/>
  <c r="AM66" i="12" a="1"/>
  <c r="AG26" i="12" a="1"/>
  <c r="R33" i="12" a="1"/>
  <c r="V132" i="12" a="1"/>
  <c r="H5" i="12" a="1"/>
  <c r="AM43" i="12" a="1"/>
  <c r="T67" i="12" a="1"/>
  <c r="AO132" i="12" a="1"/>
  <c r="L31" i="12" a="1"/>
  <c r="AK153" i="12" a="1"/>
  <c r="Z152" i="12" a="1"/>
  <c r="M47" i="12" a="1"/>
  <c r="K126" i="12" a="1"/>
  <c r="X168" i="12" a="1"/>
  <c r="AA65" i="12" a="1"/>
  <c r="O97" i="12" a="1"/>
  <c r="S193" i="12" a="1"/>
  <c r="AE187" i="12" a="1"/>
  <c r="H64" i="12" a="1"/>
  <c r="Z30" i="12" a="1"/>
  <c r="AJ32" i="12" a="1"/>
  <c r="Q146" i="12" a="1"/>
  <c r="AB108" i="12" a="1"/>
  <c r="AJ13" i="12" a="1"/>
  <c r="AM154" i="12" a="1"/>
  <c r="AF9" i="12" a="1"/>
  <c r="P27" i="12" a="1"/>
  <c r="X34" i="12" a="1"/>
  <c r="AD42" i="12" a="1"/>
  <c r="W18" i="12" a="1"/>
  <c r="U129" i="12" a="1"/>
  <c r="AF87" i="12" a="1"/>
  <c r="N31" i="12" a="1"/>
  <c r="L86" i="12" a="1"/>
  <c r="AB69" i="12" a="1"/>
  <c r="X66" i="12" a="1"/>
  <c r="AD94" i="12" a="1"/>
  <c r="S88" i="12" a="1"/>
  <c r="T134" i="12" a="1"/>
  <c r="AO73" i="12" a="1"/>
  <c r="N99" i="12" a="1"/>
  <c r="AB112" i="12" a="1"/>
  <c r="AP19" i="12" a="1"/>
  <c r="R23" i="12" a="1"/>
  <c r="AN173" i="12" a="1"/>
  <c r="AD192" i="12" a="1"/>
  <c r="AD155" i="12" a="1"/>
  <c r="AQ175" i="12" a="1"/>
  <c r="AK39" i="12" a="1"/>
  <c r="AD152" i="12" a="1"/>
  <c r="AM94" i="12" a="1"/>
  <c r="AG77" i="12" a="1"/>
  <c r="AJ76" i="12" a="1"/>
  <c r="K89" i="12" a="1"/>
  <c r="N176" i="12" a="1"/>
  <c r="AD178" i="12" a="1"/>
  <c r="AP184" i="12" a="1"/>
  <c r="H8" i="12" a="1"/>
  <c r="AI53" i="12" a="1"/>
  <c r="AL48" i="12" a="1"/>
  <c r="V46" i="12" a="1"/>
  <c r="R42" i="12" a="1"/>
  <c r="AO145" i="12" a="1"/>
  <c r="R125" i="12" a="1"/>
  <c r="AG82" i="12" a="1"/>
  <c r="AH105" i="12" a="1"/>
  <c r="J103" i="12" a="1"/>
  <c r="AE163" i="12" a="1"/>
  <c r="U44" i="12" a="1"/>
  <c r="AK159" i="12" a="1"/>
  <c r="V88" i="12" a="1"/>
  <c r="AH85" i="12" a="1"/>
  <c r="AP71" i="12" a="1"/>
  <c r="R139" i="12" a="1"/>
  <c r="R17" i="12" a="1"/>
  <c r="X167" i="12" a="1"/>
  <c r="M125" i="12" a="1"/>
  <c r="AM81" i="12" a="1"/>
  <c r="T125" i="12" a="1"/>
  <c r="P153" i="12" a="1"/>
  <c r="K130" i="12" a="1"/>
  <c r="AO57" i="12" a="1"/>
  <c r="U83" i="12" a="1"/>
  <c r="Q182" i="12" a="1"/>
  <c r="K142" i="12" a="1"/>
  <c r="AC89" i="12" a="1"/>
  <c r="J139" i="12" a="1"/>
  <c r="AH108" i="12" a="1"/>
  <c r="AL92" i="12" a="1"/>
  <c r="AC15" i="12" a="1"/>
  <c r="R173" i="12" a="1"/>
  <c r="AN28" i="12" a="1"/>
  <c r="P187" i="12" a="1"/>
  <c r="AG42" i="12" a="1"/>
  <c r="U26" i="12" a="1"/>
  <c r="AG63" i="12" a="1"/>
  <c r="R92" i="12" a="1"/>
  <c r="AQ185" i="12" a="1"/>
  <c r="AH129" i="12" a="1"/>
  <c r="Z100" i="12" a="1"/>
  <c r="AL79" i="12" a="1"/>
  <c r="I104" i="12" a="1"/>
  <c r="AB151" i="12" a="1"/>
  <c r="T88" i="12" a="1"/>
  <c r="AJ16" i="12" a="1"/>
  <c r="J156" i="12" a="1"/>
  <c r="AO33" i="12" a="1"/>
  <c r="AC58" i="12" a="1"/>
  <c r="AH88" i="12" a="1"/>
  <c r="J22" i="12" a="1"/>
  <c r="I8" i="12" a="1"/>
  <c r="AM13" i="12" a="1"/>
  <c r="V193" i="12" a="1"/>
  <c r="AA176" i="12" a="1"/>
  <c r="U137" i="12" a="1"/>
  <c r="I53" i="12" a="1"/>
  <c r="AC79" i="12" a="1"/>
  <c r="H12" i="12" a="1"/>
  <c r="AK158" i="12" a="1"/>
  <c r="AF19" i="12" a="1"/>
  <c r="U113" i="12" a="1"/>
  <c r="AH154" i="12" a="1"/>
  <c r="AN66" i="12" a="1"/>
  <c r="AE43" i="12" a="1"/>
  <c r="AD79" i="12" a="1"/>
  <c r="AA174" i="12" a="1"/>
  <c r="AM65" i="12" a="1"/>
  <c r="AN61" i="12" a="1"/>
  <c r="P15" i="12" a="1"/>
  <c r="P180" i="12" a="1"/>
  <c r="AF131" i="12" a="1"/>
  <c r="V112" i="12" a="1"/>
  <c r="AH29" i="12" a="1"/>
  <c r="AB49" i="12" a="1"/>
  <c r="R74" i="12" a="1"/>
  <c r="V59" i="12" a="1"/>
  <c r="U103" i="12" a="1"/>
  <c r="AQ160" i="12" a="1"/>
  <c r="H56" i="12" a="1"/>
  <c r="AA114" i="12" a="1"/>
  <c r="AC12" i="12" a="1"/>
  <c r="Q172" i="12" a="1"/>
  <c r="AJ96" i="12" a="1"/>
  <c r="AJ149" i="12" a="1"/>
  <c r="S36" i="12" a="1"/>
  <c r="Q183" i="12" a="1"/>
  <c r="V67" i="12" a="1"/>
  <c r="AF154" i="12" a="1"/>
  <c r="T78" i="12" a="1"/>
  <c r="N147" i="12" a="1"/>
  <c r="W50" i="12" a="1"/>
  <c r="K152" i="12" a="1"/>
  <c r="H188" i="12" a="1"/>
  <c r="V181" i="12" a="1"/>
  <c r="H10" i="12" a="1"/>
  <c r="O115" i="12" a="1"/>
  <c r="M30" i="12" a="1"/>
  <c r="AE32" i="12" a="1"/>
  <c r="AL191" i="12" a="1"/>
  <c r="AL91" i="12" a="1"/>
  <c r="AB171" i="12" a="1"/>
  <c r="AI145" i="12" a="1"/>
  <c r="AK161" i="12" a="1"/>
  <c r="L46" i="12" a="1"/>
  <c r="AI125" i="12" a="1"/>
  <c r="N48" i="12" a="1"/>
  <c r="AL193" i="12" a="1"/>
  <c r="V53" i="12" a="1"/>
  <c r="P98" i="12" a="1"/>
  <c r="M151" i="12" a="1"/>
  <c r="AE136" i="12" a="1"/>
  <c r="L39" i="12" a="1"/>
  <c r="M19" i="12" a="1"/>
  <c r="Y152" i="12" a="1"/>
  <c r="AI19" i="12" a="1"/>
  <c r="Y17" i="12" a="1"/>
  <c r="AQ96" i="12" a="1"/>
  <c r="P151" i="12" a="1"/>
  <c r="P24" i="12" a="1"/>
  <c r="X73" i="12" a="1"/>
  <c r="AL183" i="12" a="1"/>
  <c r="M76" i="12" a="1"/>
  <c r="R186" i="12" a="1"/>
  <c r="J127" i="12" a="1"/>
  <c r="AP5" i="12" a="1"/>
  <c r="AF55" i="12" a="1"/>
  <c r="Z108" i="12" a="1"/>
  <c r="N33" i="12" a="1"/>
  <c r="W37" i="12" a="1"/>
  <c r="P49" i="12" a="1"/>
  <c r="AQ82" i="12" a="1"/>
  <c r="R26" i="12" a="1"/>
  <c r="AD134" i="12" a="1"/>
  <c r="H81" i="12" a="1"/>
  <c r="AC6" i="12" a="1"/>
  <c r="H180" i="12" a="1"/>
  <c r="V164" i="12" a="1"/>
  <c r="N26" i="12" a="1"/>
  <c r="T151" i="12" a="1"/>
  <c r="L77" i="12" a="1"/>
  <c r="AI170" i="12" a="1"/>
  <c r="AF157" i="12" a="1"/>
  <c r="J93" i="12" a="1"/>
  <c r="T143" i="12" a="1"/>
  <c r="AH62" i="12" a="1"/>
  <c r="AP39" i="12" a="1"/>
  <c r="L186" i="12" a="1"/>
  <c r="W73" i="12" a="1"/>
  <c r="AK8" i="12" a="1"/>
  <c r="Q137" i="12" a="1"/>
  <c r="L66" i="12" a="1"/>
  <c r="AI77" i="12" a="1"/>
  <c r="U155" i="12" a="1"/>
  <c r="O41" i="12" a="1"/>
  <c r="L91" i="12" a="1"/>
  <c r="AO146" i="12" a="1"/>
  <c r="O90" i="12" a="1"/>
  <c r="AJ92" i="12" a="1"/>
  <c r="AK6" i="12" a="1"/>
  <c r="X74" i="12" a="1"/>
  <c r="W58" i="12" a="1"/>
  <c r="R153" i="12" a="1"/>
  <c r="O39" i="12" a="1"/>
  <c r="R189" i="12" a="1"/>
  <c r="AP125" i="12" a="1"/>
  <c r="R132" i="12" a="1"/>
  <c r="AL192" i="12" a="1"/>
  <c r="AK129" i="12" a="1"/>
  <c r="S139" i="12" a="1"/>
  <c r="P10" i="12" a="1"/>
  <c r="AC9" i="12" a="1"/>
  <c r="AD89" i="12" a="1"/>
  <c r="J14" i="12" a="1"/>
  <c r="N163" i="12" a="1"/>
  <c r="AC74" i="12" a="1"/>
  <c r="AF173" i="12" a="1"/>
  <c r="AL10" i="12" a="1"/>
  <c r="AL119" i="12" a="1"/>
  <c r="AN164" i="12" a="1"/>
  <c r="P35" i="12" a="1"/>
  <c r="L51" i="12" a="1"/>
  <c r="N172" i="12" a="1"/>
  <c r="W135" i="12" a="1"/>
  <c r="S123" i="12" a="1"/>
  <c r="I7" i="12" a="1"/>
  <c r="W155" i="12" a="1"/>
  <c r="AB83" i="12" a="1"/>
  <c r="AL126" i="12" a="1"/>
  <c r="Z17" i="12" a="1"/>
  <c r="O16" i="12" a="1"/>
  <c r="AP16" i="12" a="1"/>
  <c r="AH143" i="12" a="1"/>
  <c r="S132" i="12" a="1"/>
  <c r="M161" i="12" a="1"/>
  <c r="AH39" i="12" a="1"/>
  <c r="N4" i="12" a="1"/>
  <c r="L40" i="12" a="1"/>
  <c r="AQ16" i="12" a="1"/>
  <c r="I175" i="12" a="1"/>
  <c r="W157" i="12" a="1"/>
  <c r="N102" i="12" a="1"/>
  <c r="AB55" i="12" a="1"/>
  <c r="AL180" i="12" a="1"/>
  <c r="R104" i="12" a="1"/>
  <c r="AK141" i="12" a="1"/>
  <c r="AG117" i="12" a="1"/>
  <c r="X112" i="12" a="1"/>
  <c r="AP55" i="12" a="1"/>
  <c r="N27" i="12" a="1"/>
  <c r="AM22" i="12" a="1"/>
  <c r="AG80" i="12" a="1"/>
  <c r="K192" i="12" a="1"/>
  <c r="K118" i="12" a="1"/>
  <c r="W12" i="12" a="1"/>
  <c r="O86" i="12" a="1"/>
  <c r="AI154" i="12" a="1"/>
  <c r="AE63" i="12" a="1"/>
  <c r="AQ171" i="12" a="1"/>
  <c r="S49" i="12" a="1"/>
  <c r="AC155" i="12" a="1"/>
  <c r="V185" i="12" a="1"/>
  <c r="AQ68" i="12" a="1"/>
  <c r="K120" i="12" a="1"/>
  <c r="AN162" i="12" a="1"/>
  <c r="S171" i="12" a="1"/>
  <c r="AD45" i="12" a="1"/>
  <c r="AI131" i="12" a="1"/>
  <c r="AL148" i="12" a="1"/>
  <c r="W60" i="12" a="1"/>
  <c r="AH188" i="12" a="1"/>
  <c r="AG22" i="12" a="1"/>
  <c r="AM14" i="12" a="1"/>
  <c r="H49" i="12" a="1"/>
  <c r="AQ19" i="12" a="1"/>
  <c r="S145" i="12" a="1"/>
  <c r="N169" i="12" a="1"/>
  <c r="T73" i="12" a="1"/>
  <c r="AQ153" i="12" a="1"/>
  <c r="X90" i="12" a="1"/>
  <c r="S110" i="12" a="1"/>
  <c r="AH167" i="12" a="1"/>
  <c r="P68" i="12" a="1"/>
  <c r="R28" i="12" a="1"/>
  <c r="I193" i="12" a="1"/>
  <c r="P164" i="12" a="1"/>
  <c r="X178" i="12" a="1"/>
  <c r="O192" i="12" a="1"/>
  <c r="R62" i="12" a="1"/>
  <c r="I23" i="12" a="1"/>
  <c r="H154" i="12" a="1"/>
  <c r="AM29" i="12" a="1"/>
  <c r="AK49" i="12" a="1"/>
  <c r="M25" i="12" a="1"/>
  <c r="AL105" i="12" a="1"/>
  <c r="AL77" i="12" a="1"/>
  <c r="Z185" i="12" a="1"/>
  <c r="U93" i="12" a="1"/>
  <c r="L156" i="12" a="1"/>
  <c r="AM6" i="12" a="1"/>
  <c r="AO154" i="12" a="1"/>
  <c r="AF83" i="12" a="1"/>
  <c r="H108" i="12" a="1"/>
  <c r="U74" i="12" a="1"/>
  <c r="AM162" i="12" a="1"/>
  <c r="U5" i="12" a="1"/>
  <c r="AI61" i="12" a="1"/>
  <c r="AF130" i="12" a="1"/>
  <c r="U164" i="12" a="1"/>
  <c r="AO34" i="12" a="1"/>
  <c r="M146" i="12" a="1"/>
  <c r="R105" i="12" a="1"/>
  <c r="P69" i="12" a="1"/>
  <c r="AA157" i="12" a="1"/>
  <c r="AM153" i="12" a="1"/>
  <c r="Q70" i="12" a="1"/>
  <c r="P60" i="12" a="1"/>
  <c r="Q78" i="12" a="1"/>
  <c r="H92" i="12" a="1"/>
  <c r="Z147" i="12" a="1"/>
  <c r="L159" i="12" a="1"/>
  <c r="AH63" i="12" a="1"/>
  <c r="Y107" i="12" a="1"/>
  <c r="AB31" i="12" a="1"/>
  <c r="X125" i="12" a="1"/>
  <c r="AI83" i="12" a="1"/>
  <c r="Q125" i="12" a="1"/>
  <c r="AL175" i="12" a="1"/>
  <c r="AJ38" i="12" a="1"/>
  <c r="AB166" i="12" a="1"/>
  <c r="AE139" i="12" a="1"/>
  <c r="O76" i="12" a="1"/>
  <c r="J107" i="12" a="1"/>
  <c r="T104" i="12" a="1"/>
  <c r="AP192" i="12" a="1"/>
  <c r="N78" i="12" a="1"/>
  <c r="AQ58" i="12" a="1"/>
  <c r="AO96" i="12" a="1"/>
  <c r="AA88" i="12" a="1"/>
  <c r="AL46" i="12" a="1"/>
  <c r="AM142" i="12" a="1"/>
  <c r="AI93" i="12" a="1"/>
  <c r="AQ33" i="12" a="1"/>
  <c r="R98" i="12" a="1"/>
  <c r="AF186" i="12" a="1"/>
  <c r="AI110" i="12" a="1"/>
  <c r="AF5" i="12" a="1"/>
  <c r="R49" i="12" a="1"/>
  <c r="M173" i="12" a="1"/>
  <c r="AD20" i="12" a="1"/>
  <c r="L154" i="12" a="1"/>
  <c r="AQ104" i="12" a="1"/>
  <c r="U32" i="12" a="1"/>
  <c r="AH152" i="12" a="1"/>
  <c r="AQ144" i="12" a="1"/>
  <c r="AO63" i="12" a="1"/>
  <c r="U192" i="12" a="1"/>
  <c r="T66" i="12" a="1"/>
  <c r="AK21" i="12" a="1"/>
  <c r="AE122" i="12" a="1"/>
  <c r="AO71" i="12" a="1"/>
  <c r="N32" i="12" a="1"/>
  <c r="H59" i="12" a="1"/>
  <c r="W47" i="12" a="1"/>
  <c r="N165" i="12" a="1"/>
  <c r="L102" i="12" a="1"/>
  <c r="AQ56" i="12" a="1"/>
  <c r="W103" i="12" a="1"/>
  <c r="S188" i="12" a="1"/>
  <c r="AM105" i="12" a="1"/>
  <c r="K170" i="12" a="1"/>
  <c r="AP143" i="12" a="1"/>
  <c r="N21" i="12" a="1"/>
  <c r="P53" i="12" a="1"/>
  <c r="AP106" i="12" a="1"/>
  <c r="V40" i="12" a="1"/>
  <c r="Q58" i="12" a="1"/>
  <c r="H53" i="12" a="1"/>
  <c r="I87" i="12" a="1"/>
  <c r="K163" i="12" a="1"/>
  <c r="Y192" i="12" a="1"/>
  <c r="N187" i="12" a="1"/>
  <c r="T157" i="12" a="1"/>
  <c r="O117" i="12" a="1"/>
  <c r="AG21" i="12" a="1"/>
  <c r="V145" i="12" a="1"/>
  <c r="AI132" i="12" a="1"/>
  <c r="N188" i="12" a="1"/>
  <c r="AL169" i="12" a="1"/>
  <c r="AQ165" i="12" a="1"/>
  <c r="AQ26" i="12" a="1"/>
  <c r="AO97" i="12" a="1"/>
  <c r="AI25" i="12" a="1"/>
  <c r="P138" i="12" a="1"/>
  <c r="H7" i="12" a="1"/>
  <c r="W121" i="12" a="1"/>
  <c r="Y56" i="12" a="1"/>
  <c r="AB8" i="12" a="1"/>
  <c r="O116" i="12" a="1"/>
  <c r="AM30" i="12" a="1"/>
  <c r="AP188" i="12" a="1"/>
  <c r="H43" i="12" a="1"/>
  <c r="T51" i="12" a="1"/>
  <c r="AE28" i="12" a="1"/>
  <c r="AF85" i="12" a="1"/>
  <c r="AG149" i="12" a="1"/>
  <c r="J187" i="12" a="1"/>
  <c r="S72" i="12" a="1"/>
  <c r="AK114" i="12" a="1"/>
  <c r="AA186" i="12" a="1"/>
  <c r="AM149" i="12" a="1"/>
  <c r="R159" i="12" a="1"/>
  <c r="AG13" i="12" a="1"/>
  <c r="AF44" i="12" a="1"/>
  <c r="Y74" i="12" a="1"/>
  <c r="P54" i="12" a="1"/>
  <c r="Z83" i="12" a="1"/>
  <c r="AB9" i="12" a="1"/>
  <c r="AQ83" i="12" a="1"/>
  <c r="Y158" i="12" a="1"/>
  <c r="J164" i="12" a="1"/>
  <c r="AF191" i="12" a="1"/>
  <c r="J128" i="12" a="1"/>
  <c r="Z133" i="12" a="1"/>
  <c r="U62" i="12" a="1"/>
  <c r="U117" i="12" a="1"/>
  <c r="AH185" i="12" a="1"/>
  <c r="AQ110" i="12" a="1"/>
  <c r="O56" i="12" a="1"/>
  <c r="O36" i="12" a="1"/>
  <c r="AI16" i="12" a="1"/>
  <c r="AH76" i="12" a="1"/>
  <c r="K176" i="12" a="1"/>
  <c r="Z92" i="12" a="1"/>
  <c r="AD90" i="12" a="1"/>
  <c r="N122" i="12" a="1"/>
  <c r="AJ59" i="12" a="1"/>
  <c r="H104" i="12" a="1"/>
  <c r="AM57" i="12" a="1"/>
  <c r="AM42" i="12" a="1"/>
  <c r="I155" i="12" a="1"/>
  <c r="N140" i="12" a="1"/>
  <c r="Y36" i="12" a="1"/>
  <c r="AO193" i="12" a="1"/>
  <c r="M67" i="12" a="1"/>
  <c r="W56" i="12" a="1"/>
  <c r="K175" i="12" a="1"/>
  <c r="AG104" i="12" a="1"/>
  <c r="U69" i="12" a="1"/>
  <c r="AL113" i="12" a="1"/>
  <c r="Y98" i="12" a="1"/>
  <c r="H107" i="12" a="1"/>
  <c r="P144" i="12" a="1"/>
  <c r="AG97" i="12" a="1"/>
  <c r="AE166" i="12" a="1"/>
  <c r="Z23" i="12" a="1"/>
  <c r="P189" i="12" a="1"/>
  <c r="AL44" i="12" a="1"/>
  <c r="AE167" i="12" a="1"/>
  <c r="S117" i="12" a="1"/>
  <c r="AQ122" i="12" a="1"/>
  <c r="Z21" i="12" a="1"/>
  <c r="N159" i="12" a="1"/>
  <c r="AN71" i="12" a="1"/>
  <c r="AA120" i="12" a="1"/>
  <c r="AF10" i="12" a="1"/>
  <c r="AQ43" i="12" a="1"/>
  <c r="AB136" i="12" a="1"/>
  <c r="H129" i="12" a="1"/>
  <c r="U68" i="12" a="1"/>
  <c r="AD19" i="12" a="1"/>
  <c r="U189" i="12" a="1"/>
  <c r="AF125" i="12" a="1"/>
  <c r="N191" i="12" a="1"/>
  <c r="AL158" i="12" a="1"/>
  <c r="N125" i="12" a="1"/>
  <c r="H151" i="12" a="1"/>
  <c r="Y42" i="12" a="1"/>
  <c r="Z97" i="12" a="1"/>
  <c r="AM109" i="12" a="1"/>
  <c r="AD10" i="12" a="1"/>
  <c r="AQ86" i="12" a="1"/>
  <c r="S184" i="12" a="1"/>
  <c r="W51" i="12" a="1"/>
  <c r="Y55" i="12" a="1"/>
  <c r="AM89" i="12" a="1"/>
  <c r="X87" i="12" a="1"/>
  <c r="T90" i="12" a="1"/>
  <c r="J126" i="12" a="1"/>
  <c r="U182" i="12" a="1"/>
  <c r="AD14" i="12" a="1"/>
  <c r="Z66" i="12" a="1"/>
  <c r="AC63" i="12" a="1"/>
  <c r="AL107" i="12" a="1"/>
  <c r="Q72" i="12" a="1"/>
  <c r="Y91" i="12" a="1"/>
  <c r="AK51" i="12" a="1"/>
  <c r="J161" i="12" a="1"/>
  <c r="R127" i="12" a="1"/>
  <c r="M68" i="12" a="1"/>
  <c r="Y103" i="12" a="1"/>
  <c r="Q189" i="12" a="1"/>
  <c r="AA147" i="12" a="1"/>
  <c r="Y24" i="12" a="1"/>
  <c r="S38" i="12" a="1"/>
  <c r="AC42" i="12" a="1"/>
  <c r="M6" i="12" a="1"/>
  <c r="Z87" i="12" a="1"/>
  <c r="P45" i="12" a="1"/>
  <c r="AJ91" i="12" a="1"/>
  <c r="Y46" i="12" a="1"/>
  <c r="AN105" i="12" a="1"/>
  <c r="Q8" i="12" a="1"/>
  <c r="W134" i="12" a="1"/>
  <c r="Q4" i="12" a="1"/>
  <c r="U49" i="12" a="1"/>
  <c r="AQ107" i="12" a="1"/>
  <c r="AP103" i="12" a="1"/>
  <c r="AK107" i="12" a="1"/>
  <c r="AI104" i="12" a="1"/>
  <c r="P50" i="12" a="1"/>
  <c r="R113" i="12" a="1"/>
  <c r="AK145" i="12" a="1"/>
  <c r="V33" i="12" a="1"/>
  <c r="AI82" i="12" a="1"/>
  <c r="AM139" i="12" a="1"/>
  <c r="AB37" i="12" a="1"/>
  <c r="AB48" i="12" a="1"/>
  <c r="N23" i="12" a="1"/>
  <c r="AF60" i="12" a="1"/>
  <c r="W63" i="12" a="1"/>
  <c r="P62" i="12" a="1"/>
  <c r="H134" i="12" a="1"/>
  <c r="L50" i="12" a="1"/>
  <c r="J193" i="12" a="1"/>
  <c r="Q60" i="12" a="1"/>
  <c r="AO141" i="12" a="1"/>
  <c r="AI66" i="12" a="1"/>
  <c r="AJ41" i="12" a="1"/>
  <c r="J160" i="12" a="1"/>
  <c r="AP76" i="12" a="1"/>
  <c r="H113" i="12" a="1"/>
  <c r="AM126" i="12" a="1"/>
  <c r="W53" i="12" a="1"/>
  <c r="AC60" i="12" a="1"/>
  <c r="AL144" i="12" a="1"/>
  <c r="AF52" i="12" a="1"/>
  <c r="AO75" i="12" a="1"/>
  <c r="S192" i="12" a="1"/>
  <c r="N11" i="12" a="1"/>
  <c r="AD37" i="12" a="1"/>
  <c r="U42" i="12" a="1"/>
  <c r="I55" i="12" a="1"/>
  <c r="W169" i="12" a="1"/>
  <c r="K60" i="12" a="1"/>
  <c r="K148" i="12" a="1"/>
  <c r="J129" i="12" a="1"/>
  <c r="H164" i="12" a="1"/>
  <c r="AK138" i="12" a="1"/>
  <c r="AK109" i="12" a="1"/>
  <c r="AM50" i="12" a="1"/>
  <c r="T30" i="12" a="1"/>
  <c r="AF6" i="12" a="1"/>
  <c r="H163" i="12" a="1"/>
  <c r="Y51" i="12" a="1"/>
  <c r="K166" i="12" a="1"/>
  <c r="U90" i="12" a="1"/>
  <c r="P159" i="12" a="1"/>
  <c r="R115" i="12" a="1"/>
  <c r="J4" i="12" a="1"/>
  <c r="S156" i="12" a="1"/>
  <c r="AE71" i="12" a="1"/>
  <c r="AO89" i="12" a="1"/>
  <c r="Z122" i="12" a="1"/>
  <c r="P61" i="12" a="1"/>
  <c r="X63" i="12" a="1"/>
  <c r="Z191" i="12" a="1"/>
  <c r="AN165" i="12" a="1"/>
  <c r="AP25" i="12" a="1"/>
  <c r="H72" i="12" a="1"/>
  <c r="AD113" i="12" a="1"/>
  <c r="AP116" i="12" a="1"/>
  <c r="AN67" i="12" a="1"/>
  <c r="AD137" i="12" a="1"/>
  <c r="AO150" i="12" a="1"/>
  <c r="AM164" i="12" a="1"/>
  <c r="AJ95" i="12" a="1"/>
  <c r="AM44" i="12" a="1"/>
  <c r="R60" i="12" a="1"/>
  <c r="N9" i="12" a="1"/>
  <c r="K40" i="12" a="1"/>
  <c r="AJ131" i="12" a="1"/>
  <c r="AH28" i="12" a="1"/>
  <c r="AE85" i="12" a="1"/>
  <c r="K16" i="12" a="1"/>
  <c r="K139" i="12" a="1"/>
  <c r="Z163" i="12" a="1"/>
  <c r="T185" i="12" a="1"/>
  <c r="L61" i="12" a="1"/>
  <c r="AD47" i="12" a="1"/>
  <c r="Y169" i="12" a="1"/>
  <c r="K115" i="12" a="1"/>
  <c r="AE84" i="12" a="1"/>
  <c r="AC85" i="12" a="1"/>
  <c r="Y193" i="12" a="1"/>
  <c r="AB82" i="12" a="1"/>
  <c r="Q51" i="12" a="1"/>
  <c r="J106" i="12" a="1"/>
  <c r="W38" i="12" a="1"/>
  <c r="K49" i="12" a="1"/>
  <c r="AA63" i="12" a="1"/>
  <c r="AO168" i="12" a="1"/>
  <c r="AN131" i="12" a="1"/>
  <c r="AD54" i="12" a="1"/>
  <c r="J52" i="12" a="1"/>
  <c r="O172" i="12" a="1"/>
  <c r="AL141" i="12" a="1"/>
  <c r="O72" i="12" a="1"/>
  <c r="AP185" i="12" a="1"/>
  <c r="V103" i="12" a="1"/>
  <c r="AE81" i="12" a="1"/>
  <c r="AB66" i="12" a="1"/>
  <c r="AQ53" i="12" a="1"/>
  <c r="N177" i="12" a="1"/>
  <c r="K146" i="12" a="1"/>
  <c r="M5" i="12" a="1"/>
  <c r="AE6" i="12" a="1"/>
  <c r="AQ124" i="12" a="1"/>
  <c r="AB158" i="12" a="1"/>
  <c r="AA94" i="12" a="1"/>
  <c r="AI179" i="12" a="1"/>
  <c r="AI143" i="12" a="1"/>
  <c r="AD41" i="12" a="1"/>
  <c r="AG52" i="12" a="1"/>
  <c r="AC166" i="12" a="1"/>
  <c r="R6" i="12" a="1"/>
  <c r="K15" i="12" a="1"/>
  <c r="O21" i="12" a="1"/>
  <c r="W192" i="12" a="1"/>
  <c r="AG152" i="12" a="1"/>
  <c r="AC182" i="12" a="1"/>
  <c r="AL14" i="12" a="1"/>
  <c r="AL19" i="12" a="1"/>
  <c r="AC113" i="12" a="1"/>
  <c r="V157" i="12" a="1"/>
  <c r="S185" i="12" a="1"/>
  <c r="Z179" i="12" a="1"/>
  <c r="Z118" i="12" a="1"/>
  <c r="H24" i="12" a="1"/>
  <c r="AJ143" i="12" a="1"/>
  <c r="AB78" i="12" a="1"/>
  <c r="AH33" i="12" a="1"/>
  <c r="AF108" i="12" a="1"/>
  <c r="AH75" i="12" a="1"/>
  <c r="AH80" i="12" a="1"/>
  <c r="Y185" i="12" a="1"/>
  <c r="AQ179" i="12" a="1"/>
  <c r="AL69" i="12" a="1"/>
  <c r="I174" i="12" a="1"/>
  <c r="AK176" i="12" a="1"/>
  <c r="AQ77" i="12" a="1"/>
  <c r="K23" i="12" a="1"/>
  <c r="X156" i="12" a="1"/>
  <c r="AD33" i="12" a="1"/>
  <c r="AE29" i="12" a="1"/>
  <c r="P37" i="12" a="1"/>
  <c r="AK96" i="12" a="1"/>
  <c r="H135" i="12" a="1"/>
  <c r="I78" i="12" a="1"/>
  <c r="AE151" i="12" a="1"/>
  <c r="AE142" i="12" a="1"/>
  <c r="V187" i="12" a="1"/>
  <c r="AC108" i="12" a="1"/>
  <c r="AQ113" i="12" a="1"/>
  <c r="X27" i="12" a="1"/>
  <c r="O8" i="12" a="1"/>
  <c r="K4" i="12" a="1"/>
  <c r="AJ164" i="12" a="1"/>
  <c r="AH150" i="12" a="1"/>
  <c r="W119" i="12" a="1"/>
  <c r="S179" i="12" a="1"/>
  <c r="N146" i="12" a="1"/>
  <c r="O70" i="12" a="1"/>
  <c r="AQ54" i="12" a="1"/>
  <c r="H69" i="12" a="1"/>
  <c r="AG173" i="12" a="1"/>
  <c r="V12" i="12" a="1"/>
  <c r="U71" i="12" a="1"/>
  <c r="AM82" i="12" a="1"/>
  <c r="AN25" i="12" a="1"/>
  <c r="AG29" i="12" a="1"/>
  <c r="AC78" i="12" a="1"/>
  <c r="P9" i="12" a="1"/>
  <c r="Y94" i="12" a="1"/>
  <c r="AM31" i="12" a="1"/>
  <c r="K20" i="12" a="1"/>
  <c r="AG18" i="12" a="1"/>
  <c r="Q132" i="12" a="1"/>
  <c r="AB157" i="12" a="1"/>
  <c r="AL185" i="12" a="1"/>
  <c r="AF185" i="12" a="1"/>
  <c r="AJ31" i="12" a="1"/>
  <c r="S106" i="12" a="1"/>
  <c r="AA170" i="12" a="1"/>
  <c r="AN140" i="12" a="1"/>
  <c r="S5" i="12" a="1"/>
  <c r="Y82" i="12" a="1"/>
  <c r="Q98" i="12" a="1"/>
  <c r="T15" i="12" a="1"/>
  <c r="T163" i="12" a="1"/>
  <c r="P163" i="12" a="1"/>
  <c r="AM180" i="12" a="1"/>
  <c r="W153" i="12" a="1"/>
  <c r="AL28" i="12" a="1"/>
  <c r="AO91" i="12" a="1"/>
  <c r="U64" i="12" a="1"/>
  <c r="T98" i="12" a="1"/>
  <c r="H57" i="12" a="1"/>
  <c r="R14" i="12" a="1"/>
  <c r="X71" i="12" a="1"/>
  <c r="V122" i="12" a="1"/>
  <c r="AD76" i="12" a="1"/>
  <c r="X153" i="12" a="1"/>
  <c r="N50" i="12" a="1"/>
  <c r="P46" i="12" a="1"/>
  <c r="AI146" i="12" a="1"/>
  <c r="AG83" i="12" a="1"/>
  <c r="AB25" i="12" a="1"/>
  <c r="AC160" i="12" a="1"/>
  <c r="U81" i="12" a="1"/>
  <c r="R47" i="12" a="1"/>
  <c r="AQ106" i="12" a="1"/>
  <c r="T109" i="12" a="1"/>
  <c r="M36" i="12" a="1"/>
  <c r="AG193" i="12" a="1"/>
  <c r="Z136" i="12" a="1"/>
  <c r="L37" i="12" a="1"/>
  <c r="AN94" i="12" a="1"/>
  <c r="Y166" i="12" a="1"/>
  <c r="AA86" i="12" a="1"/>
  <c r="AB45" i="12" a="1"/>
  <c r="P140" i="12" a="1"/>
  <c r="N186" i="12" a="1"/>
  <c r="AQ169" i="12" a="1"/>
  <c r="AQ116" i="12" a="1"/>
  <c r="AP193" i="12" a="1"/>
  <c r="J77" i="12" a="1"/>
  <c r="Q190" i="12" a="1"/>
  <c r="AI64" i="12" a="1"/>
  <c r="AJ171" i="12" a="1"/>
  <c r="AQ133" i="12" a="1"/>
  <c r="AE150" i="12" a="1"/>
  <c r="AF11" i="12" a="1"/>
  <c r="AG178" i="12" a="1"/>
  <c r="AO44" i="12" a="1"/>
  <c r="R39" i="12" a="1"/>
  <c r="AH160" i="12" a="1"/>
  <c r="J99" i="12" a="1"/>
  <c r="H139" i="12" a="1"/>
  <c r="AJ174" i="12" a="1"/>
  <c r="X140" i="12" a="1"/>
  <c r="AM116" i="12" a="1"/>
  <c r="AK78" i="12" a="1"/>
  <c r="AC27" i="12" a="1"/>
  <c r="R136" i="12" a="1"/>
  <c r="AK87" i="12" a="1"/>
  <c r="P81" i="12" a="1"/>
  <c r="Z124" i="12" a="1"/>
  <c r="R103" i="12" a="1"/>
  <c r="R141" i="12" a="1"/>
  <c r="V142" i="12" a="1"/>
  <c r="AC62" i="12" a="1"/>
  <c r="O52" i="12" a="1"/>
  <c r="AD62" i="12" a="1"/>
  <c r="T5" i="12" a="1"/>
  <c r="U6" i="12" a="1"/>
  <c r="AM86" i="12" a="1"/>
  <c r="Z162" i="12" a="1"/>
  <c r="T182" i="12" a="1"/>
  <c r="AO157" i="12" a="1"/>
  <c r="AF172" i="12" a="1"/>
  <c r="I17" i="12" a="1"/>
  <c r="AJ9" i="12" a="1"/>
  <c r="AJ26" i="12" a="1"/>
  <c r="AM120" i="12" a="1"/>
  <c r="AK165" i="12" a="1"/>
  <c r="AC104" i="12" a="1"/>
  <c r="AE88" i="12" a="1"/>
  <c r="AK64" i="12" a="1"/>
  <c r="O57" i="12" a="1"/>
  <c r="H52" i="12" a="1"/>
  <c r="I85" i="12" a="1"/>
  <c r="S66" i="12" a="1"/>
  <c r="R181" i="12" a="1"/>
  <c r="Y50" i="12" a="1"/>
  <c r="AA167" i="12" a="1"/>
  <c r="AD185" i="12" a="1"/>
  <c r="AI35" i="12" a="1"/>
  <c r="T35" i="12" a="1"/>
  <c r="K48" i="12" a="1"/>
  <c r="AO108" i="12" a="1"/>
  <c r="AA145" i="12" a="1"/>
  <c r="J44" i="12" a="1"/>
  <c r="AK45" i="12" a="1"/>
  <c r="AP47" i="12" a="1"/>
  <c r="P92" i="12" a="1"/>
  <c r="AQ111" i="12" a="1"/>
  <c r="AA56" i="12" a="1"/>
  <c r="AK43" i="12" a="1"/>
  <c r="AG109" i="12" a="1"/>
  <c r="W74" i="12" a="1"/>
  <c r="S187" i="12" a="1"/>
  <c r="AJ27" i="12" a="1"/>
  <c r="AO5" i="12" a="1"/>
  <c r="AB165" i="12" a="1"/>
  <c r="M130" i="12" a="1"/>
  <c r="H63" i="12" a="1"/>
  <c r="Q80" i="12" a="1"/>
  <c r="N171" i="12" a="1"/>
  <c r="AL41" i="12" a="1"/>
  <c r="I169" i="12" a="1"/>
  <c r="AC8" i="12" a="1"/>
  <c r="AJ140" i="12" a="1"/>
  <c r="Q39" i="12" a="1"/>
  <c r="I156" i="12" a="1"/>
  <c r="AE101" i="12" a="1"/>
  <c r="L65" i="12" a="1"/>
  <c r="AM150" i="12" a="1"/>
  <c r="AP139" i="12" a="1"/>
  <c r="S129" i="12" a="1"/>
  <c r="U85" i="12" a="1"/>
  <c r="AL87" i="12" a="1"/>
  <c r="R174" i="12" a="1"/>
  <c r="O148" i="12" a="1"/>
  <c r="AI88" i="12" a="1"/>
  <c r="Q74" i="12" a="1"/>
  <c r="AL117" i="12" a="1"/>
  <c r="AP179" i="12" a="1"/>
  <c r="AM108" i="12" a="1"/>
  <c r="V32" i="12" a="1"/>
  <c r="AC149" i="12" a="1"/>
  <c r="AN157" i="12" a="1"/>
  <c r="AE140" i="12" a="1"/>
  <c r="AA180" i="12" a="1"/>
  <c r="J123" i="12" a="1"/>
  <c r="S75" i="12" a="1"/>
  <c r="Q15" i="12" a="1"/>
  <c r="K149" i="12" a="1"/>
  <c r="J43" i="12" a="1"/>
  <c r="AG171" i="12" a="1"/>
  <c r="V189" i="12" a="1"/>
  <c r="W174" i="12" a="1"/>
  <c r="S19" i="12" a="1"/>
  <c r="V146" i="12" a="1"/>
  <c r="T179" i="12" a="1"/>
  <c r="AI103" i="12" a="1"/>
  <c r="R55" i="12" a="1"/>
  <c r="K108" i="12" a="1"/>
  <c r="AJ58" i="12" a="1"/>
  <c r="AN86" i="12" a="1"/>
  <c r="H191" i="12" a="1"/>
  <c r="J189" i="12" a="1"/>
  <c r="AG75" i="12" a="1"/>
  <c r="AH115" i="12" a="1"/>
  <c r="U50" i="12" a="1"/>
  <c r="Q77" i="12" a="1"/>
  <c r="O153" i="12" a="1"/>
  <c r="AB129" i="12" a="1"/>
  <c r="H68" i="12" a="1"/>
  <c r="P102" i="12" a="1"/>
  <c r="AF59" i="12" a="1"/>
  <c r="T162" i="12" a="1"/>
  <c r="AK106" i="12" a="1"/>
  <c r="AC117" i="12" a="1"/>
  <c r="V160" i="12" a="1"/>
  <c r="U104" i="12" a="1"/>
  <c r="AC136" i="12" a="1"/>
  <c r="S44" i="12" a="1"/>
  <c r="AA116" i="12" a="1"/>
  <c r="AM170" i="12" a="1"/>
  <c r="AB168" i="12" a="1"/>
  <c r="AL95" i="12" a="1"/>
  <c r="S86" i="12" a="1"/>
  <c r="AC44" i="12" a="1"/>
  <c r="AN29" i="12" a="1"/>
  <c r="AB176" i="12" a="1"/>
  <c r="U40" i="12" a="1"/>
  <c r="O32" i="12" a="1"/>
  <c r="R101" i="12" a="1"/>
  <c r="AC67" i="12" a="1"/>
  <c r="L8" i="12" a="1"/>
  <c r="AL103" i="12" a="1"/>
  <c r="X13" i="12" a="1"/>
  <c r="AI99" i="12" a="1"/>
  <c r="K61" i="12" a="1"/>
  <c r="Q17" i="12" a="1"/>
  <c r="H158" i="12" a="1"/>
  <c r="J115" i="12" a="1"/>
  <c r="Z54" i="12" a="1"/>
  <c r="M64" i="12" a="1"/>
  <c r="AP134" i="12" a="1"/>
  <c r="S91" i="12" a="1"/>
  <c r="AQ191" i="12" a="1"/>
  <c r="AF91" i="12" a="1"/>
  <c r="I44" i="12" a="1"/>
  <c r="R150" i="12" a="1"/>
  <c r="AH156" i="12" a="1"/>
  <c r="AM56" i="12" a="1"/>
  <c r="N65" i="12" a="1"/>
  <c r="AK90" i="12" a="1"/>
  <c r="AJ11" i="12" a="1"/>
  <c r="AK63" i="12" a="1"/>
  <c r="Y149" i="12" a="1"/>
  <c r="S45" i="12" a="1"/>
  <c r="AE171" i="12" a="1"/>
  <c r="R123" i="12" a="1"/>
  <c r="U18" i="12" a="1"/>
  <c r="H169" i="12" a="1"/>
  <c r="AI108" i="12" a="1"/>
  <c r="X69" i="12" a="1"/>
  <c r="K55" i="12" a="1"/>
  <c r="V60" i="12" a="1"/>
  <c r="R109" i="12" a="1"/>
  <c r="V147" i="12" a="1"/>
  <c r="O106" i="12" a="1"/>
  <c r="AF106" i="12" a="1"/>
  <c r="AJ169" i="12" a="1"/>
  <c r="J150" i="12" a="1"/>
  <c r="V161" i="12" a="1"/>
  <c r="M15" i="12" a="1"/>
  <c r="P33" i="12" a="1"/>
  <c r="AJ86" i="12" a="1"/>
  <c r="AQ128" i="12" a="1"/>
  <c r="W140" i="12" a="1"/>
  <c r="K35" i="12" a="1"/>
  <c r="AG145" i="12" a="1"/>
  <c r="O173" i="12" a="1"/>
  <c r="L167" i="12" a="1"/>
  <c r="N185" i="12" a="1"/>
  <c r="AH41" i="12" a="1"/>
  <c r="Z115" i="12" a="1"/>
  <c r="U115" i="12" a="1"/>
  <c r="O131" i="12" a="1"/>
  <c r="Z178" i="12" a="1"/>
  <c r="AG106" i="12" a="1"/>
  <c r="AN185" i="12" a="1"/>
  <c r="AP95" i="12" a="1"/>
  <c r="S124" i="12" a="1"/>
  <c r="AD48" i="12" a="1"/>
  <c r="AB178" i="12" a="1"/>
  <c r="U178" i="12" a="1"/>
  <c r="W22" i="12" a="1"/>
  <c r="AO55" i="12" a="1"/>
  <c r="AM128" i="12" a="1"/>
  <c r="AC186" i="12" a="1"/>
  <c r="O132" i="12" a="1"/>
  <c r="W67" i="12" a="1"/>
  <c r="AI21" i="12" a="1"/>
  <c r="AD64" i="12" a="1"/>
  <c r="Y8" i="12" a="1"/>
  <c r="I60" i="12" a="1"/>
  <c r="AP49" i="12" a="1"/>
  <c r="N124" i="12" a="1"/>
  <c r="X114" i="12" a="1"/>
  <c r="AQ115" i="12" a="1"/>
  <c r="O151" i="12" a="1"/>
  <c r="AI144" i="12" a="1"/>
  <c r="Y29" i="12" a="1"/>
  <c r="AA123" i="12" a="1"/>
  <c r="AP64" i="12" a="1"/>
  <c r="AD95" i="12" a="1"/>
  <c r="U75" i="12" a="1"/>
  <c r="U105" i="12" a="1"/>
  <c r="N132" i="12" a="1"/>
  <c r="AP38" i="12" a="1"/>
  <c r="H90" i="12" a="1"/>
  <c r="R137" i="12" a="1"/>
  <c r="AH122" i="12" a="1"/>
  <c r="AN65" i="12" a="1"/>
  <c r="T137" i="12" a="1"/>
  <c r="V69" i="12" a="1"/>
  <c r="AJ6" i="12" a="1"/>
  <c r="P190" i="12" a="1"/>
  <c r="AM97" i="12" a="1"/>
  <c r="AL115" i="12" a="1"/>
  <c r="Z131" i="12" a="1"/>
  <c r="AK85" i="12" a="1"/>
  <c r="V84" i="12" a="1"/>
  <c r="AK132" i="12" a="1"/>
  <c r="V63" i="12" a="1"/>
  <c r="AF34" i="12" a="1"/>
  <c r="AE72" i="12" a="1"/>
  <c r="W104" i="12" a="1"/>
  <c r="AL108" i="12" a="1"/>
  <c r="I168" i="12" a="1"/>
  <c r="L184" i="12" a="1"/>
  <c r="AN52" i="12" a="1"/>
  <c r="AQ69" i="12" a="1"/>
  <c r="H162" i="12" a="1"/>
  <c r="U47" i="12" a="1"/>
  <c r="AH172" i="12" a="1"/>
  <c r="V44" i="12" a="1"/>
  <c r="AD191" i="12" a="1"/>
  <c r="V70" i="12" a="1"/>
  <c r="AP156" i="12" a="1"/>
  <c r="AF8" i="12" a="1"/>
  <c r="R108" i="12" a="1"/>
  <c r="Z52" i="12" a="1"/>
  <c r="K157" i="12" a="1"/>
  <c r="H20" i="12" a="1"/>
  <c r="X97" i="12" a="1"/>
  <c r="W19" i="12" a="1"/>
  <c r="AF67" i="12" a="1"/>
  <c r="Q13" i="12" a="1"/>
  <c r="AI139" i="12" a="1"/>
  <c r="AM72" i="12" a="1"/>
  <c r="AK65" i="12" a="1"/>
  <c r="Z6" i="12" a="1"/>
  <c r="K27" i="12" a="1"/>
  <c r="M52" i="12" a="1"/>
  <c r="AE13" i="12" a="1"/>
  <c r="AG158" i="12" a="1"/>
  <c r="H87" i="12" a="1"/>
  <c r="J73" i="12" a="1"/>
  <c r="AI126" i="12" a="1"/>
  <c r="I36" i="12" a="1"/>
  <c r="AA84" i="12" a="1"/>
  <c r="AC75" i="12" a="1"/>
  <c r="AP66" i="12" a="1"/>
  <c r="R63" i="12" a="1"/>
  <c r="J136" i="12" a="1"/>
  <c r="Y69" i="12" a="1"/>
  <c r="L106" i="12" a="1"/>
  <c r="R40" i="12" a="1"/>
  <c r="V155" i="12" a="1"/>
  <c r="AH174" i="12" a="1"/>
  <c r="O110" i="12" a="1"/>
  <c r="N7" i="12" a="1"/>
  <c r="AA140" i="12" a="1"/>
  <c r="AC43" i="12" a="1"/>
  <c r="AM23" i="12" a="1"/>
  <c r="AC82" i="12" a="1"/>
  <c r="O35" i="12" a="1"/>
  <c r="AE54" i="12" a="1"/>
  <c r="AQ134" i="12" a="1"/>
  <c r="AK103" i="12" a="1"/>
  <c r="V28" i="12" a="1"/>
  <c r="AP105" i="12" a="1"/>
  <c r="AJ137" i="12" a="1"/>
  <c r="J35" i="12" a="1"/>
  <c r="AO101" i="12" a="1"/>
  <c r="X78" i="12" a="1"/>
  <c r="Y32" i="12" a="1"/>
  <c r="V51" i="12" a="1"/>
  <c r="Z42" i="12" a="1"/>
  <c r="AI160" i="12" a="1"/>
  <c r="W6" i="12" a="1"/>
  <c r="AI28" i="12" a="1"/>
  <c r="N18" i="12" a="1"/>
  <c r="S67" i="12" a="1"/>
  <c r="K141" i="12" a="1"/>
  <c r="R160" i="12" a="1"/>
  <c r="W88" i="12" a="1"/>
  <c r="T45" i="12" a="1"/>
  <c r="K52" i="12" a="1"/>
  <c r="Z9" i="12" a="1"/>
  <c r="N117" i="12" a="1"/>
  <c r="V144" i="12" a="1"/>
  <c r="AJ47" i="12" a="1"/>
  <c r="AP52" i="12" a="1"/>
  <c r="T31" i="12" a="1"/>
  <c r="AH35" i="12" a="1"/>
  <c r="L164" i="12" a="1"/>
  <c r="AM99" i="12" a="1"/>
  <c r="AG159" i="12" a="1"/>
  <c r="AA172" i="12" a="1"/>
  <c r="O158" i="12" a="1"/>
  <c r="AB67" i="12" a="1"/>
  <c r="AA24" i="12" a="1"/>
  <c r="Q193" i="12" a="1"/>
  <c r="W10" i="12" a="1"/>
  <c r="N70" i="12" a="1"/>
  <c r="H31" i="12" a="1"/>
  <c r="AP20" i="12" a="1"/>
  <c r="L144" i="12" a="1"/>
  <c r="AE102" i="12" a="1"/>
  <c r="AF97" i="12" a="1"/>
  <c r="AG169" i="12" a="1"/>
  <c r="AQ141" i="12" a="1"/>
  <c r="Q61" i="12" a="1"/>
  <c r="AI57" i="12" a="1"/>
  <c r="AN5" i="12" a="1"/>
  <c r="AI12" i="12" a="1"/>
  <c r="W20" i="12" a="1"/>
  <c r="Y160" i="12" a="1"/>
  <c r="K85" i="12" a="1"/>
  <c r="AG15" i="12" a="1"/>
  <c r="AD160" i="12" a="1"/>
  <c r="AB143" i="12" a="1"/>
  <c r="AK190" i="12" a="1"/>
  <c r="AC193" i="12" a="1"/>
  <c r="Y60" i="12" a="1"/>
  <c r="T49" i="12" a="1"/>
  <c r="AQ66" i="12" a="1"/>
  <c r="Q24" i="12" a="1"/>
  <c r="AH70" i="12" a="1"/>
  <c r="P72" i="12" a="1"/>
  <c r="N145" i="12" a="1"/>
  <c r="T24" i="12" a="1"/>
  <c r="O124" i="12" a="1"/>
  <c r="J63" i="12" a="1"/>
  <c r="U171" i="12" a="1"/>
  <c r="U82" i="12" a="1"/>
  <c r="AI184" i="12" a="1"/>
  <c r="AN34" i="12" a="1"/>
  <c r="AM169" i="12" a="1"/>
  <c r="T113" i="12" a="1"/>
  <c r="W150" i="12" a="1"/>
  <c r="AC145" i="12" a="1"/>
  <c r="AD171" i="12" a="1"/>
  <c r="P7" i="12" a="1"/>
  <c r="T129" i="12" a="1"/>
  <c r="L28" i="12" a="1"/>
  <c r="AD25" i="12" a="1"/>
  <c r="J112" i="12" a="1"/>
  <c r="AN174" i="12" a="1"/>
  <c r="X37" i="12" a="1"/>
  <c r="AD170" i="12" a="1"/>
  <c r="AO167" i="12" a="1"/>
  <c r="T140" i="12" a="1"/>
  <c r="AC133" i="12" a="1"/>
  <c r="AB192" i="12" a="1"/>
  <c r="P156" i="12" a="1"/>
  <c r="AA148" i="12" a="1"/>
  <c r="AH24" i="12" a="1"/>
  <c r="AL33" i="12" a="1"/>
  <c r="AL135" i="12" a="1"/>
  <c r="Y165" i="12" a="1"/>
  <c r="Z148" i="12" a="1"/>
  <c r="W112" i="12" a="1"/>
  <c r="I84" i="12" a="1"/>
  <c r="AL9" i="12" a="1"/>
  <c r="AB56" i="12" a="1"/>
  <c r="AI23" i="12" a="1"/>
  <c r="J46" i="12" a="1"/>
  <c r="V36" i="12" a="1"/>
  <c r="N129" i="12" a="1"/>
  <c r="Q171" i="12" a="1"/>
  <c r="AM111" i="12" a="1"/>
  <c r="AH101" i="12" a="1"/>
  <c r="AN163" i="12" a="1"/>
  <c r="AQ109" i="12" a="1"/>
  <c r="N75" i="12" a="1"/>
  <c r="AM26" i="12" a="1"/>
  <c r="O88" i="12" a="1"/>
  <c r="L19" i="12" a="1"/>
  <c r="N12" i="12" a="1"/>
  <c r="AN186" i="12" a="1"/>
  <c r="AC95" i="12" a="1"/>
  <c r="AN182" i="12" a="1"/>
  <c r="K82" i="12" a="1"/>
  <c r="W46" i="12" a="1"/>
  <c r="AH103" i="12" a="1"/>
  <c r="AD183" i="12" a="1"/>
  <c r="AN24" i="12" a="1"/>
  <c r="AE55" i="12" a="1"/>
  <c r="W52" i="12" a="1"/>
  <c r="V169" i="12" a="1"/>
  <c r="AH22" i="12" a="1"/>
  <c r="W55" i="12" a="1"/>
  <c r="AD129" i="12" a="1"/>
  <c r="R171" i="12" a="1"/>
  <c r="AK24" i="12" a="1"/>
  <c r="AA131" i="12" a="1"/>
  <c r="N39" i="12" a="1"/>
  <c r="AH147" i="12" a="1"/>
  <c r="W84" i="12" a="1"/>
  <c r="AF114" i="12" a="1"/>
  <c r="Z155" i="12" a="1"/>
  <c r="AJ7" i="12" a="1"/>
  <c r="AP75" i="12" a="1"/>
  <c r="I107" i="12" a="1"/>
  <c r="V102" i="12" a="1"/>
  <c r="W82" i="12" a="1"/>
  <c r="U60" i="12" a="1"/>
  <c r="J155" i="12" a="1"/>
  <c r="AJ45" i="12" a="1"/>
  <c r="AM5" i="12" a="1"/>
  <c r="AM191" i="12" a="1"/>
  <c r="T135" i="12" a="1"/>
  <c r="AH19" i="12" a="1"/>
  <c r="AA69" i="12" a="1"/>
  <c r="AO160" i="12" a="1"/>
  <c r="N119" i="12" a="1"/>
  <c r="AA110" i="12" a="1"/>
  <c r="Q86" i="12" a="1"/>
  <c r="U112" i="12" a="1"/>
  <c r="AH91" i="12" a="1"/>
  <c r="I47" i="12" a="1"/>
  <c r="M75" i="12" a="1"/>
  <c r="AO137" i="12" a="1"/>
  <c r="N55" i="12" a="1"/>
  <c r="M101" i="12" a="1"/>
  <c r="L157" i="12" a="1"/>
  <c r="AA91" i="12" a="1"/>
  <c r="AN129" i="12" a="1"/>
  <c r="AG20" i="12" a="1"/>
  <c r="K36" i="12" a="1"/>
  <c r="AF36" i="12" a="1"/>
  <c r="T44" i="12" a="1"/>
  <c r="J134" i="12" a="1"/>
  <c r="O40" i="12" a="1"/>
  <c r="I93" i="12" a="1"/>
  <c r="AD70" i="12" a="1"/>
  <c r="AE5" i="12" a="1"/>
  <c r="AJ138" i="12" a="1"/>
  <c r="AJ90" i="12" a="1"/>
  <c r="AB134" i="12" a="1"/>
  <c r="AC125" i="12" a="1"/>
  <c r="AD190" i="12" a="1"/>
  <c r="AC4" i="12" a="1"/>
  <c r="AP177" i="12" a="1"/>
  <c r="AO69" i="12" a="1"/>
  <c r="Z156" i="12" a="1"/>
  <c r="L181" i="12" a="1"/>
  <c r="V176" i="12" a="1"/>
  <c r="AN102" i="12" a="1"/>
  <c r="R182" i="12" a="1"/>
  <c r="AA108" i="12" a="1"/>
  <c r="AD60" i="12" a="1"/>
  <c r="S107" i="12" a="1"/>
  <c r="K38" i="12" a="1"/>
  <c r="AA107" i="12" a="1"/>
  <c r="M22" i="12" a="1"/>
  <c r="AD96" i="12" a="1"/>
  <c r="AK54" i="12" a="1"/>
  <c r="AK20" i="12" a="1"/>
  <c r="AD186" i="12" a="1"/>
  <c r="U151" i="12" a="1"/>
  <c r="O93" i="12" a="1"/>
  <c r="AF27" i="12" a="1"/>
  <c r="AO32" i="12" a="1"/>
  <c r="I58" i="12" a="1"/>
  <c r="AJ94" i="12" a="1"/>
  <c r="X16" i="12" a="1"/>
  <c r="S71" i="12" a="1"/>
  <c r="AG98" i="12" a="1"/>
  <c r="AB27" i="12" a="1"/>
  <c r="AJ184" i="12" a="1"/>
  <c r="N51" i="12" a="1"/>
  <c r="AC66" i="12" a="1"/>
  <c r="AL153" i="12" a="1"/>
  <c r="AA189" i="12" a="1"/>
  <c r="AM131" i="12" a="1"/>
  <c r="AN27" i="12" a="1"/>
  <c r="AE89" i="12" a="1"/>
  <c r="AI85" i="12" a="1"/>
  <c r="L169" i="12" a="1"/>
  <c r="Y188" i="12" a="1"/>
  <c r="AK112" i="12" a="1"/>
  <c r="J47" i="12" a="1"/>
  <c r="AI142" i="12" a="1"/>
  <c r="S181" i="12" a="1"/>
  <c r="AA168" i="12" a="1"/>
  <c r="M39" i="12" a="1"/>
  <c r="AG107" i="12" a="1"/>
  <c r="AA193" i="12" a="1"/>
  <c r="S6" i="12" a="1"/>
  <c r="H111" i="12" a="1"/>
  <c r="H71" i="12" a="1"/>
  <c r="U186" i="12" a="1"/>
  <c r="AP163" i="12" a="1"/>
  <c r="AL49" i="12" a="1"/>
  <c r="H37" i="12" a="1"/>
  <c r="U135" i="12" a="1"/>
  <c r="W94" i="12" a="1"/>
  <c r="AO40" i="12" a="1"/>
  <c r="AP28" i="12" a="1"/>
  <c r="J80" i="12" a="1"/>
  <c r="AQ52" i="12" a="1"/>
  <c r="AF32" i="12" a="1"/>
  <c r="AO136" i="12" a="1"/>
  <c r="Z63" i="12" a="1"/>
  <c r="Z7" i="12" a="1"/>
  <c r="AC32" i="12" a="1"/>
  <c r="M53" i="12" a="1"/>
  <c r="AC154" i="12" a="1"/>
  <c r="AK74" i="12" a="1"/>
  <c r="Z181" i="12" a="1"/>
  <c r="AP77" i="12" a="1"/>
  <c r="AM78" i="12" a="1"/>
  <c r="Z102" i="12" a="1"/>
  <c r="AJ37" i="12" a="1"/>
  <c r="K57" i="12" a="1"/>
  <c r="U13" i="12" a="1"/>
  <c r="AQ6" i="12" a="1"/>
  <c r="S183" i="12" a="1"/>
  <c r="AB42" i="12" a="1"/>
  <c r="Y146" i="12" a="1"/>
  <c r="AG64" i="12" a="1"/>
  <c r="AK166" i="12" a="1"/>
  <c r="AA40" i="12" a="1"/>
  <c r="AA177" i="12" a="1"/>
  <c r="AD12" i="12" a="1"/>
  <c r="Q11" i="12" a="1"/>
  <c r="AI159" i="12" a="1"/>
  <c r="R66" i="12" a="1"/>
  <c r="AG6" i="12" a="1"/>
  <c r="Y10" i="12" a="1"/>
  <c r="M172" i="12" a="1"/>
  <c r="AH137" i="12" a="1"/>
  <c r="AL178" i="12" a="1"/>
  <c r="AK10" i="12" a="1"/>
  <c r="H94" i="12" a="1"/>
  <c r="N170" i="12" a="1"/>
  <c r="U65" i="12" a="1"/>
  <c r="V154" i="12" a="1"/>
  <c r="AD167" i="12" a="1"/>
  <c r="H156" i="12" a="1"/>
  <c r="AN77" i="12" a="1"/>
  <c r="K179" i="12" a="1"/>
  <c r="AK18" i="12" a="1"/>
  <c r="K69" i="12" a="1"/>
  <c r="AD29" i="12" a="1"/>
  <c r="AP50" i="12" a="1"/>
  <c r="K34" i="12" a="1"/>
  <c r="Y96" i="12" a="1"/>
  <c r="AF136" i="12" a="1"/>
  <c r="H45" i="12" a="1"/>
  <c r="Z72" i="12" a="1"/>
  <c r="X191" i="12" a="1"/>
  <c r="N28" i="12" a="1"/>
  <c r="N137" i="12" a="1"/>
  <c r="AO11" i="12" a="1"/>
  <c r="U174" i="12" a="1"/>
  <c r="J12" i="12" a="1"/>
  <c r="H125" i="12" a="1"/>
  <c r="AP98" i="12" a="1"/>
  <c r="AL176" i="12" a="1"/>
  <c r="AL64" i="12" a="1"/>
  <c r="AO83" i="12" a="1"/>
  <c r="AO67" i="12" a="1"/>
  <c r="M115" i="12" a="1"/>
  <c r="K80" i="12" a="1"/>
  <c r="AG30" i="12" a="1"/>
  <c r="AH48" i="12" a="1"/>
  <c r="AP107" i="12" a="1"/>
  <c r="T65" i="12" a="1"/>
  <c r="AE18" i="12" a="1"/>
  <c r="AC165" i="12" a="1"/>
  <c r="Z76" i="12" a="1"/>
  <c r="T94" i="12" a="1"/>
  <c r="K74" i="12" a="1"/>
  <c r="R52" i="12" a="1"/>
  <c r="S177" i="12" a="1"/>
  <c r="AK171" i="12" a="1"/>
  <c r="AP135" i="12" a="1"/>
  <c r="AQ4" i="12" a="1"/>
  <c r="AL147" i="12" a="1"/>
  <c r="Z151" i="12" a="1"/>
  <c r="O64" i="12" a="1"/>
  <c r="V191" i="12" a="1"/>
  <c r="T96" i="12" a="1"/>
  <c r="J24" i="12" a="1"/>
  <c r="AD97" i="12" a="1"/>
  <c r="AE129" i="12" a="1"/>
  <c r="X51" i="12" a="1"/>
  <c r="AB14" i="12" a="1"/>
  <c r="AH121" i="12" a="1"/>
  <c r="AD40" i="12" a="1"/>
  <c r="Z40" i="12" a="1"/>
  <c r="AO51" i="12" a="1"/>
  <c r="O31" i="12" a="1"/>
  <c r="W163" i="12" a="1"/>
  <c r="AE69" i="12" a="1"/>
  <c r="AQ34" i="12" a="1"/>
  <c r="AF184" i="12" a="1"/>
  <c r="AH45" i="12" a="1"/>
  <c r="Z125" i="12" a="1"/>
  <c r="W35" i="12" a="1"/>
  <c r="AH182" i="12" a="1"/>
  <c r="AN69" i="12" a="1"/>
  <c r="AC35" i="12" a="1"/>
  <c r="AQ101" i="12" a="1"/>
  <c r="N46" i="12" a="1"/>
  <c r="AH180" i="12" a="1"/>
  <c r="AM106" i="12" a="1"/>
  <c r="AH71" i="12" a="1"/>
  <c r="AB184" i="12" a="1"/>
  <c r="L26" i="12" a="1"/>
  <c r="P155" i="12" a="1"/>
  <c r="H101" i="12" a="1"/>
  <c r="AI123" i="12" a="1"/>
  <c r="AF88" i="12" a="1"/>
  <c r="I160" i="12" a="1"/>
  <c r="Z88" i="12" a="1"/>
  <c r="AD184" i="12" a="1"/>
  <c r="J167" i="12" a="1"/>
  <c r="Y108" i="12" a="1"/>
  <c r="AN31" i="12" a="1"/>
  <c r="AO87" i="12" a="1"/>
  <c r="AL106" i="12" a="1"/>
  <c r="R36" i="12" a="1"/>
  <c r="AE157" i="12" a="1"/>
  <c r="AN134" i="12" a="1"/>
  <c r="AO30" i="12" a="1"/>
  <c r="O140" i="12" a="1"/>
  <c r="Z171" i="12" a="1"/>
  <c r="AK94" i="12" a="1"/>
  <c r="AO62" i="12" a="1"/>
  <c r="AP10" i="12" a="1"/>
  <c r="AD84" i="12" a="1"/>
  <c r="X45" i="12" a="1"/>
  <c r="H102" i="12" a="1"/>
  <c r="AE61" i="12" a="1"/>
  <c r="V141" i="12" a="1"/>
  <c r="AP150" i="12" a="1"/>
  <c r="AP162" i="12" a="1"/>
  <c r="U80" i="12" a="1"/>
  <c r="P40" i="12" a="1"/>
  <c r="AA15" i="12" a="1"/>
  <c r="P97" i="12" a="1"/>
  <c r="Z143" i="12" a="1"/>
  <c r="O89" i="12" a="1"/>
  <c r="Z127" i="12" a="1"/>
  <c r="AL90" i="12" a="1"/>
  <c r="X143" i="12" a="1"/>
  <c r="Z168" i="12" a="1"/>
  <c r="AB18" i="12" a="1"/>
  <c r="M141" i="12" a="1"/>
  <c r="T60" i="12" a="1"/>
  <c r="AH190" i="12" a="1"/>
  <c r="O170" i="12" a="1"/>
  <c r="AQ10" i="12" a="1"/>
  <c r="V90" i="12" a="1"/>
  <c r="L13" i="12" a="1"/>
  <c r="R65" i="12" a="1"/>
  <c r="AB107" i="12" a="1"/>
  <c r="AL127" i="12" a="1"/>
  <c r="AP183" i="12" a="1"/>
  <c r="O107" i="12" a="1"/>
  <c r="V26" i="12" a="1"/>
  <c r="W166" i="12" a="1"/>
  <c r="H6" i="12" a="1"/>
  <c r="X179" i="12" a="1"/>
  <c r="N42" i="12" a="1"/>
  <c r="K172" i="12" a="1"/>
  <c r="T11" i="12" a="1"/>
  <c r="M137" i="12" a="1"/>
  <c r="J178" i="12" a="1"/>
  <c r="N88" i="12" a="1"/>
  <c r="I18" i="12" a="1"/>
  <c r="AM125" i="12" a="1"/>
  <c r="AB156" i="12" a="1"/>
  <c r="AM21" i="12" a="1"/>
  <c r="AA95" i="12" a="1"/>
  <c r="AH157" i="12" a="1"/>
  <c r="I82" i="12" a="1"/>
  <c r="AG136" i="12" a="1"/>
  <c r="AN44" i="12" a="1"/>
  <c r="H66" i="12" a="1"/>
  <c r="V124" i="12" a="1"/>
  <c r="X47" i="12" a="1"/>
  <c r="AJ66" i="12" a="1"/>
  <c r="O34" i="12" a="1"/>
  <c r="AJ151" i="12" a="1"/>
  <c r="AH136" i="12" a="1"/>
  <c r="AC46" i="12" a="1"/>
  <c r="U101" i="12" a="1"/>
  <c r="AI29" i="12" a="1"/>
  <c r="Z75" i="12" a="1"/>
  <c r="AJ112" i="12" a="1"/>
  <c r="Z43" i="12" a="1"/>
  <c r="AA71" i="12" a="1"/>
  <c r="K97" i="12" a="1"/>
  <c r="AK53" i="12" a="1"/>
  <c r="L189" i="12" a="1"/>
  <c r="H181" i="12" a="1"/>
  <c r="T63" i="12" a="1"/>
  <c r="AQ42" i="12" a="1"/>
  <c r="AM46" i="12" a="1"/>
  <c r="AF77" i="12" a="1"/>
  <c r="P112" i="12" a="1"/>
  <c r="U19" i="12" a="1"/>
  <c r="U111" i="12" a="1"/>
  <c r="L150" i="12" a="1"/>
  <c r="U16" i="12" a="1"/>
  <c r="AI166" i="12" a="1"/>
  <c r="N111" i="12" a="1"/>
  <c r="AG172" i="12" a="1"/>
  <c r="AC187" i="12" a="1"/>
  <c r="L49" i="12" a="1"/>
  <c r="AF126" i="12" a="1"/>
  <c r="AJ17" i="12" a="1"/>
  <c r="AK126" i="12" a="1"/>
  <c r="K125" i="12" a="1"/>
  <c r="P158" i="12" a="1"/>
  <c r="J118" i="12" a="1"/>
  <c r="AM49" i="12" a="1"/>
  <c r="AI141" i="12" a="1"/>
  <c r="AQ57" i="12" a="1"/>
  <c r="S92" i="12" a="1"/>
  <c r="I184" i="12" a="1"/>
  <c r="AP137" i="12" a="1"/>
  <c r="W158" i="12" a="1"/>
  <c r="Q175" i="12" a="1"/>
  <c r="Q68" i="12" a="1"/>
  <c r="W139" i="12" a="1"/>
  <c r="AO78" i="12" a="1"/>
  <c r="AH79" i="12" a="1"/>
  <c r="AP46" i="12" a="1"/>
  <c r="I63" i="12" a="1"/>
  <c r="AQ137" i="12" a="1"/>
  <c r="I180" i="12" a="1"/>
  <c r="AQ67" i="12" a="1"/>
  <c r="AA81" i="12" a="1"/>
  <c r="AA118" i="12" a="1"/>
  <c r="L11" i="12" a="1"/>
  <c r="AB30" i="12" a="1"/>
  <c r="J168" i="12" a="1"/>
  <c r="AM103" i="12" a="1"/>
  <c r="Q65" i="12" a="1"/>
  <c r="N175" i="12" a="1"/>
  <c r="Y6" i="12" a="1"/>
  <c r="AD118" i="12" a="1"/>
  <c r="AQ64" i="12" a="1"/>
  <c r="AF151" i="12" a="1"/>
  <c r="AJ46" i="12" a="1"/>
  <c r="I24" i="12" a="1"/>
  <c r="K66" i="12" a="1"/>
  <c r="AP118" i="12" a="1"/>
  <c r="U22" i="12" a="1"/>
  <c r="Y38" i="12" a="1"/>
  <c r="S20" i="12" a="1"/>
  <c r="N193" i="12" a="1"/>
  <c r="Q105" i="12" a="1"/>
  <c r="N148" i="12" a="1"/>
  <c r="AP56" i="12" a="1"/>
  <c r="R106" i="12" a="1"/>
  <c r="P8" i="12" a="1"/>
  <c r="AM163" i="12" a="1"/>
  <c r="I76" i="12" a="1"/>
  <c r="I19" i="12" a="1"/>
  <c r="O51" i="12" a="1"/>
  <c r="AN92" i="12" a="1"/>
  <c r="AO177" i="12" a="1"/>
  <c r="AK136" i="12" a="1"/>
  <c r="Z189" i="12" a="1"/>
  <c r="AL93" i="12" a="1"/>
  <c r="AO174" i="12" a="1"/>
  <c r="AP133" i="12" a="1"/>
  <c r="V52" i="12" a="1"/>
  <c r="AE175" i="12" a="1"/>
  <c r="L83" i="12" a="1"/>
  <c r="M153" i="12" a="1"/>
  <c r="J10" i="12" a="1"/>
  <c r="H140" i="12" a="1"/>
  <c r="O128" i="12" a="1"/>
  <c r="V77" i="12" a="1"/>
  <c r="M91" i="12" a="1"/>
  <c r="AK186" i="12" a="1"/>
  <c r="W68" i="12" a="1"/>
  <c r="T184" i="12" a="1"/>
  <c r="AA33" i="12" a="1"/>
  <c r="AB164" i="12" a="1"/>
  <c r="U150" i="12" a="1"/>
  <c r="K151" i="12" a="1"/>
  <c r="J135" i="12" a="1"/>
  <c r="M129" i="12" a="1"/>
  <c r="AF153" i="12" a="1"/>
  <c r="Q56" i="12" a="1"/>
  <c r="AL101" i="12" a="1"/>
  <c r="M50" i="12" a="1"/>
  <c r="T68" i="12" a="1"/>
  <c r="Z85" i="12" a="1"/>
  <c r="S131" i="12" a="1"/>
  <c r="AM53" i="12" a="1"/>
  <c r="AE169" i="12" a="1"/>
  <c r="Y4" i="12" a="1"/>
  <c r="AC167" i="12" a="1"/>
  <c r="L162" i="12" a="1"/>
  <c r="AN166" i="12" a="1"/>
  <c r="X189" i="12" a="1"/>
  <c r="Y52" i="12" a="1"/>
  <c r="AL84" i="12" a="1"/>
  <c r="AF109" i="12" a="1"/>
  <c r="O13" i="12" a="1"/>
  <c r="AB163" i="12" a="1"/>
  <c r="I38" i="12" a="1"/>
  <c r="S121" i="12" a="1"/>
  <c r="W100" i="12" a="1"/>
  <c r="AO165" i="12" a="1"/>
  <c r="S78" i="12" a="1"/>
  <c r="N49" i="12" a="1"/>
  <c r="O74" i="12" a="1"/>
  <c r="AF189" i="12" a="1"/>
  <c r="R178" i="12" a="1"/>
  <c r="Z13" i="12" a="1"/>
  <c r="T33" i="12" a="1"/>
  <c r="AI105" i="12" a="1"/>
  <c r="W49" i="12" a="1"/>
  <c r="T14" i="12" a="1"/>
  <c r="AQ36" i="12" a="1"/>
  <c r="S70" i="12" a="1"/>
  <c r="AM74" i="12" a="1"/>
  <c r="AQ108" i="12" a="1"/>
  <c r="R147" i="12" a="1"/>
  <c r="AO48" i="12" a="1"/>
  <c r="T92" i="12" a="1"/>
  <c r="AE162" i="12" a="1"/>
  <c r="R116" i="12" a="1"/>
  <c r="AL139" i="12" a="1"/>
  <c r="N116" i="12" a="1"/>
  <c r="AH59" i="12" a="1"/>
  <c r="AM171" i="12" a="1"/>
  <c r="AA109" i="12" a="1"/>
  <c r="Z180" i="12" a="1"/>
  <c r="AJ101" i="12" a="1"/>
  <c r="U33" i="12" a="1"/>
  <c r="AD73" i="12" a="1"/>
  <c r="AI129" i="12" a="1"/>
  <c r="AG67" i="12" a="1"/>
  <c r="AC84" i="12" a="1"/>
  <c r="AB19" i="12" a="1"/>
  <c r="J176" i="12" a="1"/>
  <c r="H17" i="12" a="1"/>
  <c r="AK52" i="12" a="1"/>
  <c r="S42" i="12" a="1"/>
  <c r="Y80" i="12" a="1"/>
  <c r="AF25" i="12" a="1"/>
  <c r="AQ21" i="12" a="1"/>
  <c r="AL50" i="12" a="1"/>
  <c r="AH69" i="12" a="1"/>
  <c r="Q16" i="12" a="1"/>
  <c r="J157" i="12" a="1"/>
  <c r="AN115" i="12" a="1"/>
  <c r="AJ153" i="12" a="1"/>
  <c r="X154" i="12" a="1"/>
  <c r="Y137" i="12" a="1"/>
  <c r="J88" i="12" a="1"/>
  <c r="AB144" i="12" a="1"/>
  <c r="S143" i="12" a="1"/>
  <c r="Q96" i="12" a="1"/>
  <c r="AA52" i="12" a="1"/>
  <c r="AA53" i="12" a="1"/>
  <c r="T173" i="12" a="1"/>
  <c r="AI74" i="12" a="1"/>
  <c r="AK170" i="12" a="1"/>
  <c r="AK168" i="12" a="1"/>
  <c r="AO43" i="12" a="1"/>
  <c r="AJ157" i="12" a="1"/>
  <c r="K122" i="12" a="1"/>
  <c r="AQ15" i="12" a="1"/>
  <c r="O85" i="12" a="1"/>
  <c r="X20" i="12" a="1"/>
  <c r="AF61" i="12" a="1"/>
  <c r="AE123" i="12" a="1"/>
  <c r="AJ83" i="12" a="1"/>
  <c r="R184" i="12" a="1"/>
  <c r="AQ62" i="12" a="1"/>
  <c r="T112" i="12" a="1"/>
  <c r="AH184" i="12" a="1"/>
  <c r="Y133" i="12" a="1"/>
  <c r="M135" i="12" a="1"/>
  <c r="AE64" i="12" a="1"/>
  <c r="AP65" i="12" a="1"/>
  <c r="L126" i="12" a="1"/>
  <c r="AC14" i="12" a="1"/>
  <c r="X61" i="12" a="1"/>
  <c r="X39" i="12" a="1"/>
  <c r="S61" i="12" a="1"/>
  <c r="AJ165" i="12" a="1"/>
  <c r="U52" i="12" a="1"/>
  <c r="AE49" i="12" a="1"/>
  <c r="H137" i="12" a="1"/>
  <c r="Q104" i="12" a="1"/>
  <c r="AF192" i="12" a="1"/>
  <c r="AH30" i="12" a="1"/>
  <c r="Y113" i="12" a="1"/>
  <c r="Y54" i="12" a="1"/>
  <c r="AM119" i="12" a="1"/>
  <c r="Q48" i="12" a="1"/>
  <c r="M113" i="12" a="1"/>
  <c r="AA50" i="12" a="1"/>
  <c r="AL190" i="12" a="1"/>
  <c r="AQ24" i="12" a="1"/>
  <c r="AQ151" i="12" a="1"/>
  <c r="AO192" i="12" a="1"/>
  <c r="AQ190" i="12" a="1"/>
  <c r="AJ162" i="12" a="1"/>
  <c r="AK135" i="12" a="1"/>
  <c r="I50" i="12" a="1"/>
  <c r="Z95" i="12" a="1"/>
  <c r="R140" i="12" a="1"/>
  <c r="I80" i="12" a="1"/>
  <c r="AA90" i="12" a="1"/>
  <c r="O38" i="12" a="1"/>
  <c r="AG24" i="12" a="1"/>
  <c r="AL71" i="12" a="1"/>
  <c r="O123" i="12" a="1"/>
  <c r="Z192" i="12" a="1"/>
  <c r="AF53" i="12" a="1"/>
  <c r="AH61" i="12" a="1"/>
  <c r="AF165" i="12" a="1"/>
  <c r="J105" i="12" a="1"/>
  <c r="Y25" i="12" a="1"/>
  <c r="AN159" i="12" a="1"/>
  <c r="X24" i="12" a="1"/>
  <c r="AK149" i="12" a="1"/>
  <c r="J53" i="12" a="1"/>
  <c r="K6" i="12" a="1"/>
  <c r="AJ18" i="12" a="1"/>
  <c r="S119" i="12" a="1"/>
  <c r="AM143" i="12" a="1"/>
  <c r="AL142" i="12" a="1"/>
  <c r="R80" i="12" a="1"/>
  <c r="P17" i="12" a="1"/>
  <c r="AL189" i="12" a="1"/>
  <c r="Q184" i="12" a="1"/>
  <c r="V15" i="12" a="1"/>
  <c r="L143" i="12" a="1"/>
  <c r="K109" i="12" a="1"/>
  <c r="Z99" i="12" a="1"/>
  <c r="AD23" i="12" a="1"/>
  <c r="V66" i="12" a="1"/>
  <c r="H54" i="12" a="1"/>
  <c r="AA179" i="12" a="1"/>
  <c r="AA49" i="12" a="1"/>
  <c r="AB159" i="12" a="1"/>
  <c r="L53" i="12" a="1"/>
  <c r="R72" i="12" a="1"/>
  <c r="AJ19" i="12" a="1"/>
  <c r="AG72" i="12" a="1"/>
  <c r="J49" i="12" a="1"/>
  <c r="AA117" i="12" a="1"/>
  <c r="AG102" i="12" a="1"/>
  <c r="AB79" i="12" a="1"/>
  <c r="AE159" i="12" a="1"/>
  <c r="X6" i="12" a="1"/>
  <c r="AL62" i="12" a="1"/>
  <c r="AI92" i="12" a="1"/>
  <c r="L94" i="12" a="1"/>
  <c r="AQ47" i="12" a="1"/>
  <c r="L47" i="12" a="1"/>
  <c r="Z134" i="12" a="1"/>
  <c r="N5" i="12" a="1"/>
  <c r="P30" i="12" a="1"/>
  <c r="AG125" i="12" a="1"/>
  <c r="AD144" i="12" a="1"/>
  <c r="P150" i="12" a="1"/>
  <c r="AO42" i="12" a="1"/>
  <c r="AA192" i="12" a="1"/>
  <c r="AD173" i="12" a="1"/>
  <c r="Q107" i="12" a="1"/>
  <c r="AJ175" i="12" a="1"/>
  <c r="W89" i="12" a="1"/>
  <c r="AQ142" i="12" a="1"/>
  <c r="I37" i="12" a="1"/>
  <c r="M157" i="12" a="1"/>
  <c r="R163" i="12" a="1"/>
  <c r="AA133" i="12" a="1"/>
  <c r="AL29" i="12" a="1"/>
  <c r="AL167" i="12" a="1"/>
  <c r="AK104" i="12" a="1"/>
  <c r="AM17" i="12" a="1"/>
  <c r="J94" i="12" a="1"/>
  <c r="AC50" i="12" a="1"/>
  <c r="AN37" i="12" a="1"/>
  <c r="P129" i="12" a="1"/>
  <c r="AG39" i="12" a="1"/>
  <c r="K54" i="12" a="1"/>
  <c r="AL173" i="12" a="1"/>
  <c r="M63" i="12" a="1"/>
  <c r="L76" i="12" a="1"/>
  <c r="Z123" i="12" a="1"/>
  <c r="AE99" i="12" a="1"/>
  <c r="Z110" i="12" a="1"/>
  <c r="AH173" i="12" a="1"/>
  <c r="AE143" i="12" a="1"/>
  <c r="AA5" i="12" a="1"/>
  <c r="AF50" i="12" a="1"/>
  <c r="AA67" i="12" a="1"/>
  <c r="N105" i="12" a="1"/>
  <c r="T50" i="12" a="1"/>
  <c r="AK76" i="12" a="1"/>
  <c r="AE12" i="12" a="1"/>
  <c r="Y175" i="12" a="1"/>
  <c r="AO66" i="12" a="1"/>
  <c r="R4" i="12" a="1"/>
  <c r="AF94" i="12" a="1"/>
  <c r="AL22" i="12" a="1"/>
  <c r="AA21" i="12" a="1"/>
  <c r="T16" i="12" a="1"/>
  <c r="AF57" i="12" a="1"/>
  <c r="V120" i="12" a="1"/>
  <c r="Q149" i="12" a="1"/>
  <c r="M188" i="12" a="1"/>
  <c r="T36" i="12" a="1"/>
  <c r="AH6" i="12" a="1"/>
  <c r="AG78" i="12" a="1"/>
  <c r="AF143" i="12" a="1"/>
  <c r="AB12" i="12" a="1"/>
  <c r="AG156" i="12" a="1"/>
  <c r="R84" i="12" a="1"/>
  <c r="W33" i="12" a="1"/>
  <c r="AM172" i="12" a="1"/>
  <c r="AM133" i="12" a="1"/>
  <c r="AP132" i="12" a="1"/>
  <c r="AH142" i="12" a="1"/>
  <c r="AQ159" i="12" a="1"/>
  <c r="AI95" i="12" a="1"/>
  <c r="I135" i="12" a="1"/>
  <c r="AC135" i="12" a="1"/>
  <c r="K95" i="12" a="1"/>
  <c r="H9" i="12" a="1"/>
  <c r="I146" i="12" a="1"/>
  <c r="AI121" i="12" a="1"/>
  <c r="AN62" i="12" a="1"/>
  <c r="I72" i="12" a="1"/>
  <c r="AJ166" i="12" a="1"/>
  <c r="L139" i="12" a="1"/>
  <c r="H41" i="12" a="1"/>
  <c r="AE179" i="12" a="1"/>
  <c r="O136" i="12" a="1"/>
  <c r="AI118" i="12" a="1"/>
  <c r="K191" i="12" a="1"/>
  <c r="AC59" i="12" a="1"/>
  <c r="AK86" i="12" a="1"/>
  <c r="AM20" i="12" a="1"/>
  <c r="Q82" i="12" a="1"/>
  <c r="W92" i="12" a="1"/>
  <c r="U41" i="12" a="1"/>
  <c r="N67" i="12" a="1"/>
  <c r="X9" i="12" a="1"/>
  <c r="AD105" i="12" a="1"/>
  <c r="P131" i="12" a="1"/>
  <c r="W131" i="12" a="1"/>
  <c r="AO138" i="12" a="1"/>
  <c r="L105" i="12" a="1"/>
  <c r="Y67" i="12" a="1"/>
  <c r="M176" i="12" a="1"/>
  <c r="N98" i="12" a="1"/>
  <c r="AE31" i="12" a="1"/>
  <c r="AP136" i="12" a="1"/>
  <c r="I138" i="12" a="1"/>
  <c r="X5" i="12" a="1"/>
  <c r="S46" i="12" a="1"/>
  <c r="Q153" i="12" a="1"/>
  <c r="S17" i="12" a="1"/>
  <c r="AP70" i="12" a="1"/>
  <c r="AG12" i="12" a="1"/>
  <c r="S159" i="12" a="1"/>
  <c r="L58" i="12" a="1"/>
  <c r="M60" i="12" a="1"/>
  <c r="T95" i="12" a="1"/>
  <c r="AK11" i="12" a="1"/>
  <c r="AO38" i="12" a="1"/>
  <c r="Z27" i="12" a="1"/>
  <c r="R85" i="12" a="1"/>
  <c r="W65" i="12" a="1"/>
  <c r="K98" i="12" a="1"/>
  <c r="AD177" i="12" a="1"/>
  <c r="R151" i="12" a="1"/>
  <c r="AB20" i="12" a="1"/>
  <c r="AJ189" i="12" a="1"/>
  <c r="AN41" i="12" a="1"/>
  <c r="H77" i="12" a="1"/>
  <c r="AH44" i="12" a="1"/>
  <c r="R77" i="12" a="1"/>
  <c r="P149" i="12" a="1"/>
  <c r="N154" i="12" a="1"/>
  <c r="AE14" i="12" a="1"/>
  <c r="AJ56" i="12" a="1"/>
  <c r="R27" i="12" a="1"/>
  <c r="AF78" i="12" a="1"/>
  <c r="R10" i="12" a="1"/>
  <c r="O24" i="12" a="1"/>
  <c r="O33" i="12" a="1"/>
  <c r="AN60" i="12" a="1"/>
  <c r="AO54" i="12" a="1"/>
  <c r="P25" i="12" a="1"/>
  <c r="J141" i="12" a="1"/>
  <c r="AD142" i="12" a="1"/>
  <c r="J66" i="12" a="1"/>
  <c r="AA7" i="12" a="1"/>
  <c r="L188" i="12" a="1"/>
  <c r="S147" i="12" a="1"/>
  <c r="AQ55" i="12" a="1"/>
  <c r="J163" i="12" a="1"/>
  <c r="AC83" i="12" a="1"/>
  <c r="T86" i="12" a="1"/>
  <c r="S108" i="12" a="1"/>
  <c r="AQ23" i="12" a="1"/>
  <c r="AI162" i="12" a="1"/>
  <c r="AD68" i="12" a="1"/>
  <c r="Y65" i="12" a="1"/>
  <c r="AC49" i="12" a="1"/>
  <c r="L85" i="12" a="1"/>
  <c r="AE128" i="12" a="1"/>
  <c r="S137" i="12" a="1"/>
  <c r="AO15" i="12" a="1"/>
  <c r="H153" i="12" a="1"/>
  <c r="Y39" i="12" a="1"/>
  <c r="W184" i="12" a="1"/>
  <c r="AN49" i="12" a="1"/>
  <c r="AL128" i="12" a="1"/>
  <c r="AA169" i="12" a="1"/>
  <c r="AL55" i="12" a="1"/>
  <c r="X91" i="12" a="1"/>
  <c r="Q138" i="12" a="1"/>
  <c r="AP14" i="12" a="1"/>
  <c r="O63" i="12" a="1"/>
  <c r="K117" i="12" a="1"/>
  <c r="AI107" i="12" a="1"/>
  <c r="AJ139" i="12" a="1"/>
  <c r="AC71" i="12" a="1"/>
  <c r="AP85" i="12" a="1"/>
  <c r="AH100" i="12" a="1"/>
  <c r="S153" i="12" a="1"/>
  <c r="AL85" i="12" a="1"/>
  <c r="W111" i="12" a="1"/>
  <c r="S22" i="12" a="1"/>
  <c r="AP42" i="12" a="1"/>
  <c r="AL43" i="12" a="1"/>
  <c r="AL152" i="12" a="1"/>
  <c r="U55" i="12" a="1"/>
  <c r="H193" i="12" a="1"/>
  <c r="Z161" i="12" a="1"/>
  <c r="H18" i="12" a="1"/>
  <c r="AA160" i="12" a="1"/>
  <c r="I71" i="12" a="1"/>
  <c r="W36" i="12" a="1"/>
  <c r="M82" i="12" a="1"/>
  <c r="K10" i="12" a="1"/>
  <c r="K153" i="12" a="1"/>
  <c r="H109" i="12" a="1"/>
  <c r="AA184" i="12" a="1"/>
  <c r="AK178" i="12" a="1"/>
  <c r="AG68" i="12" a="1"/>
  <c r="AQ99" i="12" a="1"/>
  <c r="V117" i="12" a="1"/>
  <c r="M13" i="12" a="1"/>
  <c r="AJ191" i="12" a="1"/>
  <c r="N36" i="12" a="1"/>
  <c r="M8" i="12" a="1"/>
  <c r="Q135" i="12" a="1"/>
  <c r="AP72" i="12" a="1"/>
  <c r="L165" i="12" a="1"/>
  <c r="Q54" i="12" a="1"/>
  <c r="T190" i="12" a="1"/>
  <c r="AL162" i="12" a="1"/>
  <c r="AH138" i="12" a="1"/>
  <c r="J50" i="12" a="1"/>
  <c r="X42" i="12" a="1"/>
  <c r="J17" i="12" a="1"/>
  <c r="Q117" i="12" a="1"/>
  <c r="Z20" i="12" a="1"/>
  <c r="N126" i="12" a="1"/>
  <c r="V131" i="12" a="1"/>
  <c r="S140" i="12" a="1"/>
  <c r="AN93" i="12" a="1"/>
  <c r="AB77" i="12" a="1"/>
  <c r="AH124" i="12" a="1"/>
  <c r="S102" i="12" a="1"/>
  <c r="Y35" i="12" a="1"/>
  <c r="AC65" i="12" a="1"/>
  <c r="AA6" i="12" a="1"/>
  <c r="AI181" i="12" a="1"/>
  <c r="O84" i="12" a="1"/>
  <c r="M45" i="12" a="1"/>
  <c r="AD30" i="12" a="1"/>
  <c r="AH161" i="12" a="1"/>
  <c r="AM28" i="12" a="1"/>
  <c r="Z60" i="12" a="1"/>
  <c r="O92" i="12" a="1"/>
  <c r="Z44" i="12" a="1"/>
  <c r="AK169" i="12" a="1"/>
  <c r="AK25" i="12" a="1"/>
  <c r="AI24" i="12" a="1"/>
  <c r="N141" i="12" a="1"/>
  <c r="P36" i="12" a="1"/>
  <c r="H184" i="12" a="1"/>
  <c r="AI52" i="12" a="1"/>
  <c r="AE23" i="12" a="1"/>
  <c r="AE25" i="12" a="1"/>
  <c r="M14" i="12" a="1"/>
  <c r="AO74" i="12" a="1"/>
  <c r="AN112" i="12" a="1"/>
  <c r="Q83" i="12" a="1"/>
  <c r="AD109" i="12" a="1"/>
  <c r="AE21" i="12" a="1"/>
  <c r="S64" i="12" a="1"/>
  <c r="AA163" i="12" a="1"/>
  <c r="J185" i="12" a="1"/>
  <c r="AN35" i="12" a="1"/>
  <c r="S165" i="12" a="1"/>
  <c r="AC20" i="12" a="1"/>
  <c r="K14" i="12" a="1"/>
  <c r="W32" i="12" a="1"/>
  <c r="AP74" i="12" a="1"/>
  <c r="T91" i="12" a="1"/>
  <c r="U109" i="12" a="1"/>
  <c r="AB17" i="12" a="1"/>
  <c r="X53" i="12" a="1"/>
  <c r="U96" i="12" a="1"/>
  <c r="AF62" i="12" a="1"/>
  <c r="AK73" i="12" a="1"/>
  <c r="M193" i="12" a="1"/>
  <c r="AQ38" i="12" a="1"/>
  <c r="L129" i="12" a="1"/>
  <c r="AA141" i="12" a="1"/>
  <c r="AG56" i="12" a="1"/>
  <c r="Q188" i="12" a="1"/>
  <c r="AL98" i="12" a="1"/>
  <c r="AI13" i="12" a="1"/>
  <c r="J114" i="12" a="1"/>
  <c r="AL80" i="12" a="1"/>
  <c r="AL40" i="12" a="1"/>
  <c r="AO13" i="12" a="1"/>
  <c r="M42" i="12" a="1"/>
  <c r="P13" i="12" a="1"/>
  <c r="T27" i="12" a="1"/>
  <c r="AP53" i="12" a="1"/>
  <c r="AQ187" i="12" a="1"/>
  <c r="I109" i="12" a="1"/>
  <c r="X108" i="12" a="1"/>
  <c r="W162" i="12" a="1"/>
  <c r="S189" i="12" a="1"/>
  <c r="AE192" i="12" a="1"/>
  <c r="AI75" i="12" a="1"/>
  <c r="K94" i="12" a="1"/>
  <c r="AI7" i="12" a="1"/>
  <c r="M41" i="12" a="1"/>
  <c r="AE180" i="12" a="1"/>
  <c r="Q34" i="12" a="1"/>
  <c r="AA161" i="12" a="1"/>
  <c r="T144" i="12" a="1"/>
  <c r="H95" i="12" a="1"/>
  <c r="N38" i="12" a="1"/>
  <c r="U37" i="12" a="1"/>
  <c r="AA166" i="12" a="1"/>
  <c r="AQ8" i="12" a="1"/>
  <c r="M132" i="12" a="1"/>
  <c r="L174" i="12" a="1"/>
  <c r="AG93" i="12" a="1"/>
  <c r="AF45" i="12" a="1"/>
  <c r="X76" i="12" a="1"/>
  <c r="N139" i="12" a="1"/>
  <c r="AJ136" i="12" a="1"/>
  <c r="I61" i="12" a="1"/>
  <c r="AO107" i="12" a="1"/>
  <c r="AO31" i="12" a="1"/>
  <c r="AE87" i="12" a="1"/>
  <c r="L176" i="12" a="1"/>
  <c r="W136" i="12" a="1"/>
  <c r="S34" i="12" a="1"/>
  <c r="AQ105" i="12" a="1"/>
  <c r="Q109" i="12" a="1"/>
  <c r="AC138" i="12" a="1"/>
  <c r="U7" i="12" a="1"/>
  <c r="AB80" i="12" a="1"/>
  <c r="AD103" i="12" a="1"/>
  <c r="AE92" i="12" a="1"/>
  <c r="H60" i="12" a="1"/>
  <c r="Y178" i="12" a="1"/>
  <c r="AA26" i="12" a="1"/>
  <c r="P166" i="12" a="1"/>
  <c r="AH111" i="12" a="1"/>
  <c r="Y16" i="12" a="1"/>
  <c r="J9" i="12" a="1"/>
  <c r="Z82" i="12" a="1"/>
  <c r="U36" i="12" a="1"/>
  <c r="AE27" i="12" a="1"/>
  <c r="N87" i="12" a="1"/>
  <c r="AI87" i="12" a="1"/>
  <c r="H13" i="12" a="1"/>
  <c r="P56" i="12" a="1"/>
  <c r="N52" i="12" a="1"/>
  <c r="AG180" i="12" a="1"/>
  <c r="P126" i="12" a="1"/>
  <c r="J159" i="12" a="1"/>
  <c r="AL170" i="12" a="1"/>
  <c r="M80" i="12" a="1"/>
  <c r="AI191" i="12" a="1"/>
  <c r="AM19" i="12" a="1"/>
  <c r="AB73" i="12" a="1"/>
  <c r="M20" i="12" a="1"/>
  <c r="AK71" i="12" a="1"/>
  <c r="AM16" i="12" a="1"/>
  <c r="T20" i="12" a="1"/>
  <c r="Z38" i="12" a="1"/>
  <c r="P76" i="12" a="1"/>
  <c r="AN38" i="12" a="1"/>
  <c r="K104" i="12" a="1"/>
  <c r="AL36" i="12" a="1"/>
  <c r="AP44" i="12" a="1"/>
  <c r="U141" i="12" a="1"/>
  <c r="N106" i="12" a="1"/>
  <c r="Z28" i="12" a="1"/>
  <c r="AO20" i="12" a="1"/>
  <c r="T169" i="12" a="1"/>
  <c r="AK17" i="12" a="1"/>
  <c r="AI55" i="12" a="1"/>
  <c r="T42" i="12" a="1"/>
  <c r="J87" i="12" a="1"/>
  <c r="R73" i="12" a="1"/>
  <c r="H55" i="12" a="1"/>
  <c r="N77" i="12" a="1"/>
  <c r="AM4" i="12" a="1"/>
  <c r="X46" i="12" a="1"/>
  <c r="X30" i="12" a="1"/>
  <c r="AP40" i="12" a="1"/>
  <c r="AJ167" i="12" a="1"/>
  <c r="L182" i="12" a="1"/>
  <c r="AG185" i="12" a="1"/>
  <c r="AP127" i="12" a="1"/>
  <c r="Z78" i="12" a="1"/>
  <c r="AI17" i="12" a="1"/>
  <c r="AO166" i="12" a="1"/>
  <c r="AA105" i="12" a="1"/>
  <c r="X158" i="12" a="1"/>
  <c r="W178" i="12" a="1"/>
  <c r="W102" i="12" a="1"/>
  <c r="AK105" i="12" a="1"/>
  <c r="V137" i="12" a="1"/>
  <c r="Z48" i="12" a="1"/>
  <c r="M111" i="12" a="1"/>
  <c r="O180" i="12" a="1"/>
  <c r="AE100" i="12" a="1"/>
  <c r="W5" i="12" a="1"/>
  <c r="H50" i="12" a="1"/>
  <c r="AB96" i="12" a="1"/>
  <c r="AH126" i="12" a="1"/>
  <c r="R149" i="12" a="1"/>
  <c r="U166" i="12" a="1"/>
  <c r="J64" i="12" a="1"/>
  <c r="AJ36" i="12" a="1"/>
  <c r="O156" i="12" a="1"/>
  <c r="K45" i="12" a="1"/>
  <c r="Z184" i="12" a="1"/>
  <c r="AG90" i="12" a="1"/>
  <c r="AM34" i="12" a="1"/>
  <c r="O187" i="12" a="1"/>
  <c r="AJ25" i="12" a="1"/>
  <c r="AE59" i="12" a="1"/>
  <c r="AC172" i="12" a="1"/>
  <c r="AD166" i="12" a="1"/>
  <c r="S82" i="12" a="1"/>
  <c r="AP94" i="12" a="1"/>
  <c r="S142" i="12" a="1"/>
  <c r="AG160" i="12" a="1"/>
  <c r="AA188" i="12" a="1"/>
  <c r="AL116" i="12" a="1"/>
  <c r="R124" i="12" a="1"/>
  <c r="AK193" i="12" a="1"/>
  <c r="Z10" i="12" a="1"/>
  <c r="AP131" i="12" a="1"/>
  <c r="AN6" i="12" a="1"/>
  <c r="K56" i="12" a="1"/>
  <c r="W86" i="12" a="1"/>
  <c r="L20" i="12" a="1"/>
  <c r="N130" i="12" a="1"/>
  <c r="U106" i="12" a="1"/>
  <c r="AI89" i="12" a="1"/>
  <c r="AO35" i="12" a="1"/>
  <c r="U39" i="12" a="1"/>
  <c r="AB140" i="12" a="1"/>
  <c r="X19" i="12" a="1"/>
  <c r="V134" i="12" a="1"/>
  <c r="I192" i="12" a="1"/>
  <c r="Z160" i="12" a="1"/>
  <c r="AB64" i="12" a="1"/>
  <c r="AN125" i="12" a="1"/>
  <c r="AA23" i="12" a="1"/>
  <c r="AG188" i="12" a="1"/>
  <c r="W31" i="12" a="1"/>
  <c r="AC24" i="12" a="1"/>
  <c r="AL23" i="12" a="1"/>
  <c r="AP88" i="12" a="1"/>
  <c r="Y75" i="12" a="1"/>
  <c r="Z26" i="12" a="1"/>
  <c r="AJ129" i="12" a="1"/>
  <c r="AG94" i="12" a="1"/>
  <c r="AN8" i="12" a="1"/>
  <c r="Q180" i="12" a="1"/>
  <c r="H138" i="12" a="1"/>
  <c r="X182" i="12" a="1"/>
  <c r="AI176" i="12" a="1"/>
  <c r="I39" i="12" a="1"/>
  <c r="K105" i="12" a="1"/>
  <c r="M23" i="12" a="1"/>
  <c r="P52" i="12" a="1"/>
  <c r="O118" i="12" a="1"/>
  <c r="Q52" i="12" a="1"/>
  <c r="AL20" i="12" a="1"/>
  <c r="AK191" i="12" a="1"/>
  <c r="Y30" i="12" a="1"/>
  <c r="AF169" i="12" a="1"/>
  <c r="I49" i="12" a="1"/>
  <c r="AB13" i="12" a="1"/>
  <c r="P181" i="12" a="1"/>
  <c r="Z130" i="12" a="1"/>
  <c r="S114" i="12" a="1"/>
  <c r="AE141" i="12" a="1"/>
  <c r="AA72" i="12" a="1"/>
  <c r="AQ20" i="12" a="1"/>
  <c r="AG87" i="12" a="1"/>
  <c r="AH153" i="12" a="1"/>
  <c r="AN74" i="12" a="1"/>
  <c r="AE98" i="12" a="1"/>
  <c r="R165" i="12" a="1"/>
  <c r="U25" i="12" a="1"/>
  <c r="AM127" i="12" a="1"/>
  <c r="O65" i="12" a="1"/>
  <c r="AB113" i="12" a="1"/>
  <c r="AL182" i="12" a="1"/>
  <c r="N152" i="12" a="1"/>
  <c r="X52" i="12" a="1"/>
  <c r="J173" i="12" a="1"/>
  <c r="V173" i="12" a="1"/>
  <c r="AB46" i="12" a="1"/>
  <c r="AG53" i="12" a="1"/>
  <c r="I113" i="12" a="1"/>
  <c r="AL7" i="12" a="1"/>
  <c r="V5" i="12" a="1"/>
  <c r="AD43" i="12" a="1"/>
  <c r="AM166" i="12" a="1"/>
  <c r="AH177" i="12" a="1"/>
  <c r="AL94" i="12" a="1"/>
  <c r="S150" i="12" a="1"/>
  <c r="L163" i="12" a="1"/>
  <c r="M168" i="12" a="1"/>
  <c r="I132" i="12" a="1"/>
  <c r="V116" i="12" a="1"/>
  <c r="AP80" i="12" a="1"/>
  <c r="AH81" i="12" a="1"/>
  <c r="AA164" i="12" a="1"/>
  <c r="AK192" i="12" a="1"/>
  <c r="J182" i="12" a="1"/>
  <c r="AE161" i="12" a="1"/>
  <c r="O73" i="12" a="1"/>
  <c r="AB92" i="12" a="1"/>
  <c r="AD176" i="12" a="1"/>
  <c r="AM64" i="12" a="1"/>
  <c r="U8" i="12" a="1"/>
  <c r="W101" i="12" a="1"/>
  <c r="AF43" i="12" a="1"/>
  <c r="P89" i="12" a="1"/>
  <c r="AF105" i="12" a="1"/>
  <c r="M182" i="12" a="1"/>
  <c r="I149" i="12" a="1"/>
  <c r="AG51" i="12" a="1"/>
  <c r="I83" i="12" a="1"/>
  <c r="AI101" i="12" a="1"/>
  <c r="L81" i="12" a="1"/>
  <c r="AF175" i="12" a="1"/>
  <c r="X44" i="12" a="1"/>
  <c r="AB180" i="12" a="1"/>
  <c r="AI26" i="12" a="1"/>
  <c r="AB28" i="12" a="1"/>
  <c r="AJ135" i="12" a="1"/>
  <c r="O4" i="12" a="1"/>
  <c r="Y95" i="12" a="1"/>
  <c r="M159" i="12" a="1"/>
  <c r="U145" i="12" a="1"/>
  <c r="T174" i="12" a="1"/>
  <c r="Z167" i="12" a="1"/>
  <c r="AN64" i="12" a="1"/>
  <c r="J51" i="12" a="1"/>
  <c r="J95" i="12" a="1"/>
  <c r="AD49" i="12" a="1"/>
  <c r="U167" i="12" a="1"/>
  <c r="N66" i="12" a="1"/>
  <c r="T81" i="12" a="1"/>
  <c r="AK155" i="12" a="1"/>
  <c r="AG138" i="12" a="1"/>
  <c r="AF16" i="12" a="1"/>
  <c r="X49" i="12" a="1"/>
  <c r="R91" i="12" a="1"/>
  <c r="L173" i="12" a="1"/>
  <c r="I98" i="12" a="1"/>
  <c r="AH186" i="12" a="1"/>
  <c r="AF176" i="12" a="1"/>
  <c r="AB135" i="12" a="1"/>
  <c r="AM173" i="12" a="1"/>
  <c r="O91" i="12" a="1"/>
  <c r="P48" i="12" a="1"/>
  <c r="X29" i="12" a="1"/>
  <c r="Z25" i="12" a="1"/>
  <c r="R164" i="12" a="1"/>
  <c r="AJ53" i="12" a="1"/>
  <c r="O12" i="12" a="1"/>
  <c r="M79" i="12" a="1"/>
  <c r="P5" i="12" a="1"/>
  <c r="AD59" i="12" a="1"/>
  <c r="Y171" i="12" a="1"/>
  <c r="AL184" i="12" a="1"/>
  <c r="AB102" i="12" a="1"/>
  <c r="P88" i="12" a="1"/>
  <c r="AP181" i="12" a="1"/>
  <c r="I190" i="12" a="1"/>
  <c r="AI63" i="12" a="1"/>
  <c r="I20" i="12" a="1"/>
  <c r="AE181" i="12" a="1"/>
  <c r="N95" i="12" a="1"/>
  <c r="AD115" i="12" a="1"/>
  <c r="M55" i="12" a="1"/>
  <c r="AM189" i="12" a="1"/>
  <c r="AN171" i="12" a="1"/>
  <c r="S13" i="12" a="1"/>
  <c r="AE8" i="12" a="1"/>
  <c r="AL161" i="12" a="1"/>
  <c r="W64" i="12" a="1"/>
  <c r="Q63" i="12" a="1"/>
  <c r="V73" i="12" a="1"/>
  <c r="M108" i="12" a="1"/>
  <c r="AB39" i="12" a="1"/>
  <c r="Q141" i="12" a="1"/>
  <c r="N136" i="12" a="1"/>
  <c r="R25" i="12" a="1"/>
  <c r="AE24" i="12" a="1"/>
  <c r="AE173" i="12" a="1"/>
  <c r="I81" i="12" a="1"/>
  <c r="V41" i="12" a="1"/>
  <c r="AN63" i="12" a="1"/>
  <c r="AD181" i="12" a="1"/>
  <c r="X77" i="12" a="1"/>
  <c r="Z67" i="12" a="1"/>
  <c r="AI91" i="12" a="1"/>
  <c r="W16" i="12" a="1"/>
  <c r="AL37" i="12" a="1"/>
  <c r="AI180" i="12" a="1"/>
  <c r="H11" i="12" a="1"/>
  <c r="AO4" i="12" a="1"/>
  <c r="AH51" i="12" a="1"/>
  <c r="AH16" i="12" a="1"/>
  <c r="AL68" i="12" a="1"/>
  <c r="AM69" i="12" a="1"/>
  <c r="AD148" i="12" a="1"/>
  <c r="AB90" i="12" a="1"/>
  <c r="AE66" i="12" a="1"/>
  <c r="N62" i="12" a="1"/>
  <c r="W91" i="12" a="1"/>
  <c r="L155" i="12" a="1"/>
  <c r="O30" i="12" a="1"/>
  <c r="AJ28" i="12" a="1"/>
  <c r="S83" i="12" a="1"/>
  <c r="AM18" i="12" a="1"/>
  <c r="AJ156" i="12" a="1"/>
  <c r="P157" i="12" a="1"/>
  <c r="S21" i="12" a="1"/>
  <c r="J111" i="12" a="1"/>
  <c r="M24" i="12" a="1"/>
  <c r="AL125" i="12" a="1"/>
  <c r="AQ180" i="12" a="1"/>
  <c r="Z144" i="12" a="1"/>
  <c r="AM75" i="12" a="1"/>
  <c r="Q69" i="12" a="1"/>
  <c r="AC13" i="12" a="1"/>
  <c r="Y71" i="12" a="1"/>
  <c r="AL177" i="12" a="1"/>
  <c r="AE111" i="12" a="1"/>
  <c r="AA36" i="12" a="1"/>
  <c r="W128" i="12" a="1"/>
  <c r="L12" i="12" a="1"/>
  <c r="V121" i="12" a="1"/>
  <c r="AF102" i="12" a="1"/>
  <c r="AQ88" i="12" a="1"/>
  <c r="AL187" i="12" a="1"/>
  <c r="AC45" i="12" a="1"/>
  <c r="AN14" i="12" a="1"/>
  <c r="O5" i="12" a="1"/>
  <c r="O162" i="12" a="1"/>
  <c r="AQ73" i="12" a="1"/>
  <c r="X103" i="12" a="1"/>
  <c r="R15" i="12" a="1"/>
  <c r="R111" i="12" a="1"/>
  <c r="AC185" i="12" a="1"/>
  <c r="I89" i="12" a="1"/>
  <c r="AH65" i="12" a="1"/>
  <c r="M11" i="12" a="1"/>
  <c r="P174" i="12" a="1"/>
  <c r="S141" i="12" a="1"/>
  <c r="Q73" i="12" a="1"/>
  <c r="S116" i="12" a="1"/>
  <c r="AC141" i="12" a="1"/>
  <c r="O141" i="12" a="1"/>
  <c r="AP59" i="12" a="1"/>
  <c r="AP17" i="12" a="1"/>
  <c r="AC168" i="12" a="1"/>
  <c r="U15" i="12" a="1"/>
  <c r="AG41" i="12" a="1"/>
  <c r="I66" i="12" a="1"/>
  <c r="U161" i="12" a="1"/>
  <c r="Y191" i="12" a="1"/>
  <c r="AA34" i="12" a="1"/>
  <c r="T83" i="12" a="1"/>
  <c r="U51" i="12" a="1"/>
  <c r="H42" i="12" a="1"/>
  <c r="K5" i="12" a="1"/>
  <c r="AQ138" i="12" a="1"/>
  <c r="Z190" i="12" a="1"/>
  <c r="AP69" i="12" a="1"/>
  <c r="Y117" i="12" a="1"/>
  <c r="V62" i="12" a="1"/>
  <c r="P58" i="12" a="1"/>
  <c r="L151" i="12" a="1"/>
  <c r="Z101" i="12" a="1"/>
  <c r="U185" i="12" a="1"/>
  <c r="AH52" i="12" a="1"/>
  <c r="AH77" i="12" a="1"/>
  <c r="AL181" i="12" a="1"/>
  <c r="I111" i="12" a="1"/>
  <c r="AP174" i="12" a="1"/>
  <c r="M167" i="12" a="1"/>
  <c r="M87" i="12" a="1"/>
  <c r="P91" i="12" a="1"/>
  <c r="AD72" i="12" a="1"/>
  <c r="U102" i="12" a="1"/>
  <c r="R90" i="12" a="1"/>
  <c r="AF24" i="12" a="1"/>
  <c r="AL163" i="12" a="1"/>
  <c r="AI48" i="12" a="1"/>
  <c r="AM100" i="12" a="1"/>
  <c r="AO17" i="12" a="1"/>
  <c r="T165" i="12" a="1"/>
  <c r="V127" i="12" a="1"/>
  <c r="K184" i="12" a="1"/>
  <c r="M160" i="12" a="1"/>
  <c r="AM159" i="12" a="1"/>
  <c r="Q43" i="12" a="1"/>
  <c r="AE62" i="12" a="1"/>
  <c r="N10" i="12" a="1"/>
  <c r="X83" i="12" a="1"/>
  <c r="AH155" i="12" a="1"/>
  <c r="L166" i="12" a="1"/>
  <c r="O171" i="12" a="1"/>
  <c r="U183" i="12" a="1"/>
  <c r="AE15" i="12" a="1"/>
  <c r="S175" i="12" a="1"/>
  <c r="N174" i="12" a="1"/>
  <c r="Y159" i="12" a="1"/>
  <c r="AC38" i="12" a="1"/>
  <c r="V25" i="12" a="1"/>
  <c r="V163" i="12" a="1"/>
  <c r="AP78" i="12" a="1"/>
  <c r="J60" i="12" a="1"/>
  <c r="R126" i="12" a="1"/>
  <c r="Y190" i="12" a="1"/>
  <c r="T38" i="12" a="1"/>
  <c r="AG36" i="12" a="1"/>
  <c r="J81" i="12" a="1"/>
  <c r="S81" i="12" a="1"/>
  <c r="AJ63" i="12" a="1"/>
  <c r="Z77" i="12" a="1"/>
  <c r="W187" i="12" a="1"/>
  <c r="O82" i="12" a="1"/>
  <c r="W15" i="12" a="1"/>
  <c r="Q55" i="12" a="1"/>
  <c r="J40" i="12" a="1"/>
  <c r="O134" i="12" a="1"/>
  <c r="AG101" i="12" a="1"/>
  <c r="AD6" i="12" a="1"/>
  <c r="J92" i="12" a="1"/>
  <c r="AB179" i="12" a="1"/>
  <c r="O100" i="12" a="1"/>
  <c r="AB162" i="12" a="1"/>
  <c r="AO93" i="12" a="1"/>
  <c r="AJ125" i="12" a="1"/>
  <c r="Y174" i="12" a="1"/>
  <c r="S7" i="12" a="1"/>
  <c r="L18" i="12" a="1"/>
  <c r="H22" i="12" a="1"/>
  <c r="AO129" i="12" a="1"/>
  <c r="U66" i="12" a="1"/>
  <c r="X23" i="12" a="1"/>
  <c r="T39" i="12" a="1"/>
  <c r="AL86" i="12" a="1"/>
  <c r="AO153" i="12" a="1"/>
  <c r="P176" i="12" a="1"/>
  <c r="AN108" i="12" a="1"/>
  <c r="M44" i="12" a="1"/>
  <c r="J191" i="12" a="1"/>
  <c r="AE178" i="12" a="1"/>
  <c r="AP159" i="12" a="1"/>
  <c r="V123" i="12" a="1"/>
  <c r="Z138" i="12" a="1"/>
  <c r="L96" i="12" a="1"/>
  <c r="AB11" i="12" a="1"/>
  <c r="AE183" i="12" a="1"/>
  <c r="AC156" i="12" a="1"/>
  <c r="S18" i="12" a="1"/>
  <c r="AL121" i="12" a="1"/>
  <c r="AF182" i="12" a="1"/>
  <c r="L63" i="12" a="1"/>
  <c r="AO49" i="12" a="1"/>
  <c r="S118" i="12" a="1"/>
  <c r="AP84" i="12" a="1"/>
  <c r="AE57" i="12" a="1"/>
  <c r="I25" i="12" a="1"/>
  <c r="H115" i="12" a="1"/>
  <c r="AD91" i="12" a="1"/>
  <c r="U168" i="12" a="1"/>
  <c r="AD92" i="12" a="1"/>
  <c r="AO50" i="12" a="1"/>
  <c r="Q57" i="12" a="1"/>
  <c r="R156" i="12" a="1"/>
  <c r="W159" i="12" a="1"/>
  <c r="W99" i="12" a="1"/>
  <c r="K64" i="12" a="1"/>
  <c r="O125" i="12" a="1"/>
  <c r="I42" i="12" a="1"/>
  <c r="P113" i="12" a="1"/>
  <c r="AI116" i="12" a="1"/>
  <c r="AI49" i="12" a="1"/>
  <c r="T62" i="12" a="1"/>
  <c r="AB153" i="12" a="1"/>
  <c r="AK26" i="12" a="1"/>
  <c r="T89" i="12" a="1"/>
  <c r="AG135" i="12" a="1"/>
  <c r="AM77" i="12" a="1"/>
  <c r="AL65" i="12" a="1"/>
  <c r="Y57" i="12" a="1"/>
  <c r="S190" i="12" a="1"/>
  <c r="AG186" i="12" a="1"/>
  <c r="S62" i="12" a="1"/>
  <c r="AJ134" i="12" a="1"/>
  <c r="M103" i="12" a="1"/>
  <c r="O142" i="12" a="1"/>
  <c r="W125" i="12" a="1"/>
  <c r="AF90" i="12" a="1"/>
  <c r="M186" i="12" a="1"/>
  <c r="Q89" i="12" a="1"/>
  <c r="U89" i="12" a="1"/>
  <c r="K140" i="12" a="1"/>
  <c r="T150" i="12" a="1"/>
  <c r="AG45" i="12" a="1"/>
  <c r="AP82" i="12" a="1"/>
  <c r="AK133" i="12" a="1"/>
  <c r="J90" i="12" a="1"/>
  <c r="AQ118" i="12" a="1"/>
  <c r="I52" i="12" a="1"/>
  <c r="O121" i="12" a="1"/>
  <c r="J65" i="12" a="1"/>
  <c r="AH83" i="12" a="1"/>
  <c r="R32" i="12" a="1"/>
  <c r="M104" i="12" a="1"/>
  <c r="Q113" i="12" a="1"/>
  <c r="AF30" i="12" a="1"/>
  <c r="K131" i="12" a="1"/>
  <c r="AC101" i="12" a="1"/>
  <c r="K144" i="12" a="1"/>
  <c r="AN156" i="12" a="1"/>
  <c r="W177" i="12" a="1"/>
  <c r="V49" i="12" a="1"/>
  <c r="AM24" i="12" a="1"/>
  <c r="U30" i="12" a="1"/>
  <c r="I157" i="12" a="1"/>
  <c r="X187" i="12" a="1"/>
  <c r="AF135" i="12" a="1"/>
  <c r="AF162" i="12" a="1"/>
  <c r="AP121" i="12" a="1"/>
  <c r="AB181" i="12" a="1"/>
  <c r="AM110" i="12" a="1"/>
  <c r="AL75" i="12" a="1"/>
  <c r="M117" i="12" a="1"/>
  <c r="X79" i="12" a="1"/>
  <c r="AO104" i="12" a="1"/>
  <c r="AI185" i="12" a="1"/>
  <c r="S74" i="12" a="1"/>
  <c r="U138" i="12" a="1"/>
  <c r="AI71" i="12" a="1"/>
  <c r="L108" i="12" a="1"/>
  <c r="AO68" i="12" a="1"/>
  <c r="AG166" i="12" a="1"/>
  <c r="U14" i="12" a="1"/>
  <c r="J116" i="12" a="1"/>
  <c r="V83" i="12" a="1"/>
  <c r="AI137" i="12" a="1"/>
  <c r="AC18" i="12" a="1"/>
  <c r="AI70" i="12" a="1"/>
  <c r="AB53" i="12" a="1"/>
  <c r="L90" i="12" a="1"/>
  <c r="AN184" i="12" a="1"/>
  <c r="R134" i="12" a="1"/>
  <c r="T26" i="12" a="1"/>
  <c r="I141" i="12" a="1"/>
  <c r="AL110" i="12" a="1"/>
  <c r="V178" i="12" a="1"/>
  <c r="Y92" i="12" a="1"/>
  <c r="Y5" i="12" a="1"/>
  <c r="Q169" i="12" a="1"/>
  <c r="S95" i="12" a="1"/>
  <c r="AG14" i="12" a="1"/>
  <c r="AH139" i="12" a="1"/>
  <c r="AL74" i="12" a="1"/>
  <c r="N84" i="12" a="1"/>
  <c r="Y43" i="12" a="1"/>
  <c r="AB5" i="12" a="1"/>
  <c r="X85" i="12" a="1"/>
  <c r="O120" i="12" a="1"/>
  <c r="L6" i="12" a="1"/>
  <c r="AP73" i="12" a="1"/>
  <c r="AA156" i="12" a="1"/>
  <c r="AJ150" i="12" a="1"/>
  <c r="T187" i="12" a="1"/>
  <c r="J25" i="12" a="1"/>
  <c r="R82" i="12" a="1"/>
  <c r="L134" i="12" a="1"/>
  <c r="AL6" i="12" a="1"/>
  <c r="K110" i="12" a="1"/>
  <c r="S28" i="12" a="1"/>
  <c r="P19" i="12" a="1"/>
  <c r="K156" i="12" a="1"/>
  <c r="AJ72" i="12" a="1"/>
  <c r="AJ108" i="12" a="1"/>
  <c r="AP130" i="12" a="1"/>
  <c r="AO117" i="12" a="1"/>
  <c r="Y172" i="12" a="1"/>
  <c r="AM12" i="12" a="1"/>
  <c r="AI59" i="12" a="1"/>
  <c r="S37" i="12" a="1"/>
  <c r="AF93" i="12" a="1"/>
  <c r="AP189" i="12" a="1"/>
  <c r="AA85" i="12" a="1"/>
  <c r="AD21" i="12" a="1"/>
  <c r="O191" i="12" a="1"/>
  <c r="M98" i="12" a="1"/>
  <c r="V118" i="12" a="1"/>
  <c r="H89" i="12" a="1"/>
  <c r="Z32" i="12" a="1"/>
  <c r="AM71" i="12" a="1"/>
  <c r="S59" i="12" a="1"/>
  <c r="AK188" i="12" a="1"/>
  <c r="Q166" i="12" a="1"/>
  <c r="X89" i="12" a="1"/>
  <c r="K181" i="12" a="1"/>
  <c r="P64" i="12" a="1"/>
  <c r="K103" i="12" a="1"/>
  <c r="AB63" i="12" a="1"/>
  <c r="P125" i="12" a="1"/>
  <c r="AJ39" i="12" a="1"/>
  <c r="AD147" i="12" a="1"/>
  <c r="I106" i="12" a="1"/>
  <c r="M136" i="12" a="1"/>
  <c r="AQ103" i="12" a="1"/>
  <c r="W183" i="12" a="1"/>
  <c r="W17" i="12" a="1"/>
  <c r="Q158" i="12" a="1"/>
  <c r="AF46" i="12" a="1"/>
  <c r="AG32" i="12" a="1"/>
  <c r="L103" i="12" a="1"/>
  <c r="AG164" i="12" a="1"/>
  <c r="AI33" i="12" a="1"/>
  <c r="W107" i="12" a="1"/>
  <c r="T166" i="12" a="1"/>
  <c r="AQ192" i="12" a="1"/>
  <c r="H105" i="12" a="1"/>
  <c r="W70" i="12" a="1"/>
  <c r="V85" i="12" a="1"/>
  <c r="AH17" i="12" a="1"/>
  <c r="AL130" i="12" a="1"/>
  <c r="W120" i="12" a="1"/>
  <c r="N53" i="12" a="1"/>
  <c r="AB62" i="12" a="1"/>
  <c r="O62" i="12" a="1"/>
  <c r="AK82" i="12" a="1"/>
  <c r="AG183" i="12" a="1"/>
  <c r="S55" i="12" a="1"/>
  <c r="AB131" i="12" a="1"/>
  <c r="Y125" i="12" a="1"/>
  <c r="K31" i="12" a="1"/>
  <c r="V100" i="12" a="1"/>
  <c r="K106" i="12" a="1"/>
  <c r="S133" i="12" a="1"/>
  <c r="AO161" i="12" a="1"/>
  <c r="N22" i="12" a="1"/>
  <c r="AE132" i="12" a="1"/>
  <c r="AK57" i="12" a="1"/>
  <c r="P44" i="12" a="1"/>
  <c r="AO24" i="12" a="1"/>
  <c r="AQ150" i="12" a="1"/>
  <c r="Y86" i="12" a="1"/>
  <c r="AE56" i="12" a="1"/>
  <c r="M86" i="12" a="1"/>
  <c r="AK46" i="12" a="1"/>
  <c r="J102" i="12" a="1"/>
  <c r="X113" i="12" a="1"/>
  <c r="H182" i="12" a="1"/>
  <c r="X106" i="12" a="1"/>
  <c r="AO27" i="12" a="1"/>
  <c r="AI177" i="12" a="1"/>
  <c r="L131" i="12" a="1"/>
  <c r="AM157" i="12" a="1"/>
  <c r="T19" i="12" a="1"/>
  <c r="T53" i="12" a="1"/>
  <c r="R87" i="12" a="1"/>
  <c r="R130" i="12" a="1"/>
  <c r="N73" i="12" a="1"/>
  <c r="AC53" i="12" a="1"/>
  <c r="AE16" i="12" a="1"/>
  <c r="P28" i="12" a="1"/>
  <c r="N30" i="12" a="1"/>
  <c r="AE121" i="12" a="1"/>
  <c r="H189" i="12" a="1"/>
  <c r="W57" i="12" a="1"/>
  <c r="AQ125" i="12" a="1"/>
  <c r="AB115" i="12" a="1"/>
  <c r="T59" i="12" a="1"/>
  <c r="K177" i="12" a="1"/>
  <c r="AA17" i="12" a="1"/>
  <c r="AA187" i="12" a="1"/>
  <c r="AD52" i="12" a="1"/>
  <c r="AP129" i="12" a="1"/>
  <c r="I136" i="12" a="1"/>
  <c r="AB35" i="12" a="1"/>
  <c r="R59" i="12" a="1"/>
  <c r="AA106" i="12" a="1"/>
  <c r="AA150" i="12" a="1"/>
  <c r="W24" i="12" a="1"/>
  <c r="X93" i="12" a="1"/>
  <c r="I125" i="12" a="1"/>
  <c r="J55" i="12" a="1"/>
  <c r="AH176" i="12" a="1"/>
  <c r="AQ172" i="12" a="1"/>
  <c r="AI42" i="12" a="1"/>
  <c r="AQ13" i="12" a="1"/>
  <c r="L112" i="12" a="1"/>
  <c r="U79" i="12" a="1"/>
  <c r="L16" i="12" a="1"/>
  <c r="AP6" i="12" a="1"/>
  <c r="Y77" i="12" a="1"/>
  <c r="AK84" i="12" a="1"/>
  <c r="T115" i="12" a="1"/>
  <c r="Y182" i="12" a="1"/>
  <c r="AE86" i="12" a="1"/>
  <c r="AP191" i="12" a="1"/>
  <c r="AC17" i="12" a="1"/>
  <c r="AD112" i="12" a="1"/>
  <c r="AE67" i="12" a="1"/>
  <c r="N101" i="12" a="1"/>
  <c r="Z94" i="12" a="1"/>
  <c r="Y18" i="12" a="1"/>
  <c r="AQ85" i="12" a="1"/>
  <c r="Y164" i="12" a="1"/>
  <c r="I27" i="12" a="1"/>
  <c r="AH7" i="12" a="1"/>
  <c r="J175" i="12" a="1"/>
  <c r="AE131" i="12" a="1"/>
  <c r="AP87" i="12" a="1"/>
  <c r="AA103" i="12" a="1"/>
  <c r="AF187" i="12" a="1"/>
  <c r="S160" i="12" a="1"/>
  <c r="AE36" i="12" a="1"/>
  <c r="AL47" i="12" a="1"/>
  <c r="O55" i="12" a="1"/>
  <c r="AL24" i="12" a="1"/>
  <c r="AG176" i="12" a="1"/>
  <c r="T110" i="12" a="1"/>
  <c r="S8" i="12" a="1"/>
  <c r="AJ82" i="12" a="1"/>
  <c r="R162" i="12" a="1"/>
  <c r="J67" i="12" a="1"/>
  <c r="P108" i="12" a="1"/>
  <c r="K88" i="12" a="1"/>
  <c r="AJ168" i="12" a="1"/>
  <c r="N127" i="12" a="1"/>
  <c r="AH95" i="12" a="1"/>
  <c r="K119" i="12" a="1"/>
  <c r="AD4" i="12" a="1"/>
  <c r="Y186" i="12" a="1"/>
  <c r="AL164" i="12" a="1"/>
  <c r="X166" i="12" a="1"/>
  <c r="Z12" i="12" a="1"/>
  <c r="U136" i="12" a="1"/>
  <c r="X151" i="12" a="1"/>
  <c r="V13" i="12" a="1"/>
  <c r="S128" i="12" a="1"/>
  <c r="Y11" i="12" a="1"/>
  <c r="J149" i="12" a="1"/>
  <c r="AJ50" i="12" a="1"/>
  <c r="K93" i="12" a="1"/>
  <c r="R146" i="12" a="1"/>
  <c r="AJ126" i="12" a="1"/>
  <c r="I11" i="12" a="1"/>
  <c r="L35" i="12" a="1"/>
  <c r="J165" i="12" a="1"/>
  <c r="AI50" i="12" a="1"/>
  <c r="K72" i="12" a="1"/>
  <c r="W109" i="12" a="1"/>
  <c r="K21" i="12" a="1"/>
  <c r="AG71" i="12" a="1"/>
  <c r="AC183" i="12" a="1"/>
  <c r="J59" i="12" a="1"/>
  <c r="AM136" i="12" a="1"/>
  <c r="K173" i="12" a="1"/>
  <c r="R120" i="12" a="1"/>
  <c r="AO65" i="12" a="1"/>
  <c r="AQ182" i="12" a="1"/>
  <c r="P11" i="12" a="1"/>
  <c r="J28" i="12" a="1"/>
  <c r="AG182" i="12" a="1"/>
  <c r="AE109" i="12" a="1"/>
  <c r="AN189" i="12" a="1"/>
  <c r="O98" i="12" a="1"/>
  <c r="AA104" i="12" a="1"/>
  <c r="O109" i="12" a="1"/>
  <c r="X109" i="12" a="1"/>
  <c r="T46" i="12" a="1"/>
  <c r="AQ186" i="12" a="1"/>
  <c r="AO186" i="12" a="1"/>
  <c r="AP145" i="12" a="1"/>
  <c r="P165" i="12" a="1"/>
  <c r="Z111" i="12" a="1"/>
  <c r="AO10" i="12" a="1"/>
  <c r="AQ39" i="12" a="1"/>
  <c r="P16" i="12" a="1"/>
  <c r="P55" i="12" a="1"/>
  <c r="AB54" i="12" a="1"/>
  <c r="I75" i="12" a="1"/>
  <c r="AM95" i="12" a="1"/>
  <c r="AN80" i="12" a="1"/>
  <c r="W30" i="12" a="1"/>
  <c r="AC189" i="12" a="1"/>
  <c r="AL118" i="12" a="1"/>
  <c r="P71" i="12" a="1"/>
  <c r="L180" i="12" a="1"/>
  <c r="AH164" i="12" a="1"/>
  <c r="AJ102" i="12" a="1"/>
  <c r="AH25" i="12" a="1"/>
  <c r="S87" i="12" a="1"/>
  <c r="O143" i="12" a="1"/>
  <c r="V81" i="12" a="1"/>
  <c r="AO88" i="12" a="1"/>
  <c r="V140" i="12" a="1"/>
  <c r="J48" i="12" a="1"/>
  <c r="O130" i="12" a="1"/>
  <c r="AF81" i="12" a="1"/>
  <c r="AJ155" i="12" a="1"/>
  <c r="Q40" i="12" a="1"/>
  <c r="S89" i="12" a="1"/>
  <c r="AE9" i="12" a="1"/>
  <c r="AL25" i="12" a="1"/>
  <c r="K190" i="12" a="1"/>
  <c r="AM187" i="12" a="1"/>
  <c r="Q14" i="12" a="1"/>
  <c r="W142" i="12" a="1"/>
  <c r="AK58" i="12" a="1"/>
  <c r="W106" i="12" a="1"/>
  <c r="Z116" i="12" a="1"/>
  <c r="AI120" i="12" a="1"/>
  <c r="AB15" i="12" a="1"/>
  <c r="J72" i="12" a="1"/>
  <c r="AN87" i="12" a="1"/>
  <c r="AA137" i="12" a="1"/>
  <c r="AI111" i="12" a="1"/>
  <c r="Q97" i="12" a="1"/>
  <c r="O23" i="12" a="1"/>
  <c r="AG85" i="12" a="1"/>
  <c r="H16" i="12" a="1"/>
  <c r="P109" i="12" a="1"/>
  <c r="S136" i="12" a="1"/>
  <c r="AL72" i="12" a="1"/>
  <c r="AB149" i="12" a="1"/>
  <c r="AI9" i="12" a="1"/>
  <c r="Z177" i="12" a="1"/>
  <c r="X169" i="12" a="1"/>
  <c r="AH73" i="12" a="1"/>
  <c r="AB182" i="12" a="1"/>
  <c r="AG58" i="12" a="1"/>
  <c r="AH193" i="12" a="1"/>
  <c r="AO6" i="12" a="1"/>
  <c r="L33" i="12" a="1"/>
  <c r="AC11" i="12" a="1"/>
  <c r="AG55" i="12" a="1"/>
  <c r="R83" i="12" a="1"/>
  <c r="J151" i="12" a="1"/>
  <c r="AK83" i="12" a="1"/>
  <c r="AF174" i="12" a="1"/>
  <c r="AH60" i="12" a="1"/>
  <c r="AN178" i="12" a="1"/>
  <c r="AG126" i="12" a="1"/>
  <c r="AM192" i="12" a="1"/>
  <c r="M26" i="12" a="1"/>
  <c r="AP79" i="12" a="1"/>
  <c r="U177" i="12" a="1"/>
  <c r="AA101" i="12" a="1"/>
  <c r="J152" i="12" a="1"/>
  <c r="AH113" i="12" a="1"/>
  <c r="V16" i="12" a="1"/>
  <c r="O193" i="12" a="1"/>
  <c r="T136" i="12" a="1"/>
  <c r="AI72" i="12" a="1"/>
  <c r="Y28" i="12" a="1"/>
  <c r="AQ51" i="12" a="1"/>
  <c r="AI192" i="12" a="1"/>
  <c r="Z109" i="12" a="1"/>
  <c r="I101" i="12" a="1"/>
  <c r="T61" i="12" a="1"/>
  <c r="AM33" i="12" a="1"/>
  <c r="R41" i="12" a="1"/>
  <c r="AQ27" i="12" a="1"/>
  <c r="T48" i="12" a="1"/>
  <c r="Y47" i="12" a="1"/>
  <c r="AA32" i="12" a="1"/>
  <c r="S169" i="12" a="1"/>
  <c r="AD156" i="12" a="1"/>
  <c r="N80" i="12" a="1"/>
  <c r="AA82" i="12" a="1"/>
  <c r="AB125" i="12" a="1"/>
  <c r="AI69" i="12" a="1"/>
  <c r="AB6" i="12" a="1"/>
  <c r="AO86" i="12" a="1"/>
  <c r="AN54" i="12" a="1"/>
  <c r="Y68" i="12" a="1"/>
  <c r="K132" i="12" a="1"/>
  <c r="P114" i="12" a="1"/>
  <c r="V93" i="12" a="1"/>
  <c r="AQ129" i="12" a="1"/>
  <c r="M149" i="12" a="1"/>
  <c r="K134" i="12" a="1"/>
  <c r="X135" i="12" a="1"/>
  <c r="J131" i="12" a="1"/>
  <c r="W167" i="12" a="1"/>
  <c r="AH98" i="12" a="1"/>
  <c r="AB86" i="12" a="1"/>
  <c r="T108" i="12" a="1"/>
  <c r="AQ132" i="12" a="1"/>
  <c r="AA79" i="12" a="1"/>
  <c r="AG7" i="12" a="1"/>
  <c r="AO52" i="12" a="1"/>
  <c r="M107" i="12" a="1"/>
  <c r="AI158" i="12" a="1"/>
  <c r="AH86" i="12" a="1"/>
  <c r="S99" i="12" a="1"/>
  <c r="AJ159" i="12" a="1"/>
  <c r="U35" i="12" a="1"/>
  <c r="W80" i="12" a="1"/>
  <c r="Z105" i="12" a="1"/>
  <c r="N157" i="12" a="1"/>
  <c r="AD80" i="12" a="1"/>
  <c r="K92" i="12" a="1"/>
  <c r="T164" i="12" a="1"/>
  <c r="AB189" i="12" a="1"/>
  <c r="AF159" i="12" a="1"/>
  <c r="AP111" i="12" a="1"/>
  <c r="AE95" i="12" a="1"/>
  <c r="M7" i="12" a="1"/>
  <c r="AP29" i="12" a="1"/>
  <c r="U77" i="12" a="1"/>
  <c r="AJ62" i="12" a="1"/>
  <c r="AA143" i="12" a="1"/>
  <c r="M10" i="12" a="1"/>
  <c r="T76" i="12" a="1"/>
  <c r="O20" i="12" a="1"/>
  <c r="M191" i="12" a="1"/>
  <c r="M71" i="12" a="1"/>
  <c r="Q93" i="12" a="1"/>
  <c r="K169" i="12" a="1"/>
  <c r="H185" i="12" a="1"/>
  <c r="R152" i="12" a="1"/>
  <c r="AA51" i="12" a="1"/>
  <c r="U160" i="12" a="1"/>
  <c r="N79" i="12" a="1"/>
  <c r="AJ80" i="12" a="1"/>
  <c r="AP138" i="12" a="1"/>
  <c r="AK60" i="12" a="1"/>
  <c r="W108" i="12" a="1"/>
  <c r="P143" i="12" a="1"/>
  <c r="AP108" i="12" a="1"/>
  <c r="S105" i="12" a="1"/>
  <c r="P6" i="12" a="1"/>
  <c r="AN176" i="12" a="1"/>
  <c r="I170" i="12" a="1"/>
  <c r="K143" i="12" a="1"/>
  <c r="AI188" i="12" a="1"/>
  <c r="AK42" i="12" a="1"/>
  <c r="P63" i="12" a="1"/>
  <c r="AC76" i="12" a="1"/>
  <c r="AM160" i="12" a="1"/>
  <c r="AP180" i="12" a="1"/>
  <c r="W164" i="12" a="1"/>
  <c r="AG89" i="12" a="1"/>
  <c r="AB185" i="12" a="1"/>
  <c r="AL186" i="12" a="1"/>
  <c r="AC130" i="12" a="1"/>
  <c r="AJ24" i="12" a="1"/>
  <c r="W28" i="12" a="1"/>
  <c r="X56" i="12" a="1"/>
  <c r="AC129" i="12" a="1"/>
  <c r="Q192" i="12" a="1"/>
  <c r="AQ74" i="12" a="1"/>
  <c r="R176" i="12" a="1"/>
  <c r="AC33" i="12" a="1"/>
  <c r="X138" i="12" a="1"/>
  <c r="Z126" i="12" a="1"/>
  <c r="AK47" i="12" a="1"/>
  <c r="T111" i="12" a="1"/>
  <c r="M93" i="12" a="1"/>
  <c r="AI151" i="12" a="1"/>
  <c r="X115" i="12" a="1"/>
  <c r="AH72" i="12" a="1"/>
  <c r="M81" i="12" a="1"/>
  <c r="M94" i="12" a="1"/>
  <c r="AN81" i="12" a="1"/>
  <c r="AH49" i="12" a="1"/>
  <c r="N160" i="12" a="1"/>
  <c r="X55" i="12" a="1"/>
  <c r="J188" i="12" a="1"/>
  <c r="AJ176" i="12" a="1"/>
  <c r="AN180" i="12" a="1"/>
  <c r="AN107" i="12" a="1"/>
  <c r="AC55" i="12" a="1"/>
  <c r="I108" i="12" a="1"/>
  <c r="R193" i="12" a="1"/>
  <c r="AI174" i="12" a="1"/>
  <c r="H90" i="12" l="1"/>
  <c r="L90" i="12"/>
  <c r="AN90" i="12"/>
  <c r="P90" i="12"/>
  <c r="AB90" i="12"/>
  <c r="AJ90" i="12"/>
  <c r="X90" i="12"/>
  <c r="T90" i="12"/>
  <c r="AF90" i="12"/>
  <c r="AM145" i="12"/>
  <c r="K145" i="12"/>
  <c r="S145" i="12"/>
  <c r="O145" i="12"/>
  <c r="AA145" i="12"/>
  <c r="AE145" i="12"/>
  <c r="AI145" i="12"/>
  <c r="AQ145" i="12"/>
  <c r="W145" i="12"/>
  <c r="AH127" i="12"/>
  <c r="AL127" i="12"/>
  <c r="V127" i="12"/>
  <c r="AP127" i="12"/>
  <c r="N127" i="12"/>
  <c r="J127" i="12"/>
  <c r="R127" i="12"/>
  <c r="AD127" i="12"/>
  <c r="Z127" i="12"/>
  <c r="J137" i="12"/>
  <c r="V137" i="12"/>
  <c r="AH137" i="12"/>
  <c r="R137" i="12"/>
  <c r="AD137" i="12"/>
  <c r="AP137" i="12"/>
  <c r="N137" i="12"/>
  <c r="Z137" i="12"/>
  <c r="AL137" i="12"/>
  <c r="I17" i="12"/>
  <c r="U17" i="12"/>
  <c r="AG17" i="12"/>
  <c r="Q17" i="12"/>
  <c r="AO17" i="12"/>
  <c r="AC17" i="12"/>
  <c r="Y17" i="12"/>
  <c r="AK17" i="12"/>
  <c r="M17" i="12"/>
  <c r="I71" i="12"/>
  <c r="AG71" i="12"/>
  <c r="U71" i="12"/>
  <c r="AC71" i="12"/>
  <c r="AO71" i="12"/>
  <c r="Y71" i="12"/>
  <c r="Q71" i="12"/>
  <c r="M71" i="12"/>
  <c r="AK71" i="12"/>
  <c r="I67" i="12"/>
  <c r="U67" i="12"/>
  <c r="AC67" i="12"/>
  <c r="AK67" i="12"/>
  <c r="AG67" i="12"/>
  <c r="M67" i="12"/>
  <c r="Y67" i="12"/>
  <c r="Q67" i="12"/>
  <c r="AO67" i="12"/>
  <c r="I58" i="12"/>
  <c r="U58" i="12"/>
  <c r="AG58" i="12"/>
  <c r="AK58" i="12"/>
  <c r="Q58" i="12"/>
  <c r="AO58" i="12"/>
  <c r="M58" i="12"/>
  <c r="AC58" i="12"/>
  <c r="Y58" i="12"/>
  <c r="H163" i="12"/>
  <c r="AJ163" i="12"/>
  <c r="T163" i="12"/>
  <c r="P163" i="12"/>
  <c r="X163" i="12"/>
  <c r="AF163" i="12"/>
  <c r="AB163" i="12"/>
  <c r="AN163" i="12"/>
  <c r="L163" i="12"/>
  <c r="AD129" i="12"/>
  <c r="V129" i="12"/>
  <c r="AL129" i="12"/>
  <c r="J129" i="12"/>
  <c r="AH129" i="12"/>
  <c r="R129" i="12"/>
  <c r="Z129" i="12"/>
  <c r="AP129" i="12"/>
  <c r="N129" i="12"/>
  <c r="I138" i="12"/>
  <c r="AG138" i="12"/>
  <c r="AC138" i="12"/>
  <c r="U138" i="12"/>
  <c r="Y138" i="12"/>
  <c r="AK138" i="12"/>
  <c r="Q138" i="12"/>
  <c r="AO138" i="12"/>
  <c r="M138" i="12"/>
  <c r="O180" i="12"/>
  <c r="AA180" i="12"/>
  <c r="AM180" i="12"/>
  <c r="W180" i="12"/>
  <c r="S180" i="12"/>
  <c r="AE180" i="12"/>
  <c r="K180" i="12"/>
  <c r="AI180" i="12"/>
  <c r="AQ180" i="12"/>
  <c r="AH177" i="12"/>
  <c r="AP177" i="12"/>
  <c r="N177" i="12"/>
  <c r="R177" i="12"/>
  <c r="Z177" i="12"/>
  <c r="J177" i="12"/>
  <c r="V177" i="12"/>
  <c r="AD177" i="12"/>
  <c r="AL177" i="12"/>
  <c r="I192" i="12"/>
  <c r="U192" i="12"/>
  <c r="AG192" i="12"/>
  <c r="Q192" i="12"/>
  <c r="AO192" i="12"/>
  <c r="M192" i="12"/>
  <c r="AK192" i="12"/>
  <c r="Y192" i="12"/>
  <c r="AC192" i="12"/>
  <c r="I174" i="12"/>
  <c r="U174" i="12"/>
  <c r="AG174" i="12"/>
  <c r="Y174" i="12"/>
  <c r="Q174" i="12"/>
  <c r="AO174" i="12"/>
  <c r="M174" i="12"/>
  <c r="AC174" i="12"/>
  <c r="AK174" i="12"/>
  <c r="H189" i="12"/>
  <c r="P189" i="12"/>
  <c r="AB189" i="12"/>
  <c r="X189" i="12"/>
  <c r="T189" i="12"/>
  <c r="L189" i="12"/>
  <c r="AN189" i="12"/>
  <c r="AF189" i="12"/>
  <c r="AJ189" i="12"/>
  <c r="H165" i="12"/>
  <c r="AB165" i="12"/>
  <c r="L165" i="12"/>
  <c r="AN165" i="12"/>
  <c r="T165" i="12"/>
  <c r="P165" i="12"/>
  <c r="AJ165" i="12"/>
  <c r="X165" i="12"/>
  <c r="AF165" i="12"/>
  <c r="O179" i="12"/>
  <c r="AA179" i="12"/>
  <c r="AM179" i="12"/>
  <c r="K179" i="12"/>
  <c r="W179" i="12"/>
  <c r="AI179" i="12"/>
  <c r="S179" i="12"/>
  <c r="AE179" i="12"/>
  <c r="AQ179" i="12"/>
  <c r="H157" i="12"/>
  <c r="AB157" i="12"/>
  <c r="X157" i="12"/>
  <c r="AN157" i="12"/>
  <c r="T157" i="12"/>
  <c r="L157" i="12"/>
  <c r="P157" i="12"/>
  <c r="AF157" i="12"/>
  <c r="AJ157" i="12"/>
  <c r="H115" i="12"/>
  <c r="L115" i="12"/>
  <c r="T115" i="12"/>
  <c r="AB115" i="12"/>
  <c r="AN115" i="12"/>
  <c r="X115" i="12"/>
  <c r="P115" i="12"/>
  <c r="AJ115" i="12"/>
  <c r="AF115" i="12"/>
  <c r="H94" i="12"/>
  <c r="AB94" i="12"/>
  <c r="P94" i="12"/>
  <c r="AN94" i="12"/>
  <c r="L94" i="12"/>
  <c r="X94" i="12"/>
  <c r="AF94" i="12"/>
  <c r="AJ94" i="12"/>
  <c r="T94" i="12"/>
  <c r="H76" i="12"/>
  <c r="X76" i="12"/>
  <c r="L76" i="12"/>
  <c r="T76" i="12"/>
  <c r="AB76" i="12"/>
  <c r="P76" i="12"/>
  <c r="AN76" i="12"/>
  <c r="AF76" i="12"/>
  <c r="AJ76" i="12"/>
  <c r="H55" i="12"/>
  <c r="P55" i="12"/>
  <c r="AN55" i="12"/>
  <c r="AB55" i="12"/>
  <c r="L55" i="12"/>
  <c r="AJ55" i="12"/>
  <c r="AF55" i="12"/>
  <c r="X55" i="12"/>
  <c r="T55" i="12"/>
  <c r="H37" i="12"/>
  <c r="AB37" i="12"/>
  <c r="AJ37" i="12"/>
  <c r="AN37" i="12"/>
  <c r="X37" i="12"/>
  <c r="AF37" i="12"/>
  <c r="P37" i="12"/>
  <c r="L37" i="12"/>
  <c r="T37" i="12"/>
  <c r="H19" i="12"/>
  <c r="L19" i="12"/>
  <c r="AB19" i="12"/>
  <c r="AN19" i="12"/>
  <c r="P19" i="12"/>
  <c r="X19" i="12"/>
  <c r="T19" i="12"/>
  <c r="AF19" i="12"/>
  <c r="AJ19" i="12"/>
  <c r="AH191" i="12"/>
  <c r="AP191" i="12"/>
  <c r="R191" i="12"/>
  <c r="AL191" i="12"/>
  <c r="J191" i="12"/>
  <c r="V191" i="12"/>
  <c r="AD191" i="12"/>
  <c r="Z191" i="12"/>
  <c r="N191" i="12"/>
  <c r="V173" i="12"/>
  <c r="AH173" i="12"/>
  <c r="AD173" i="12"/>
  <c r="N173" i="12"/>
  <c r="AP173" i="12"/>
  <c r="Z173" i="12"/>
  <c r="J173" i="12"/>
  <c r="R173" i="12"/>
  <c r="AL173" i="12"/>
  <c r="I188" i="12"/>
  <c r="AG188" i="12"/>
  <c r="AC188" i="12"/>
  <c r="U188" i="12"/>
  <c r="Y188" i="12"/>
  <c r="Q188" i="12"/>
  <c r="AO188" i="12"/>
  <c r="M188" i="12"/>
  <c r="AK188" i="12"/>
  <c r="I167" i="12"/>
  <c r="U167" i="12"/>
  <c r="AG167" i="12"/>
  <c r="AO167" i="12"/>
  <c r="AK167" i="12"/>
  <c r="AC167" i="12"/>
  <c r="Y167" i="12"/>
  <c r="Q167" i="12"/>
  <c r="M167" i="12"/>
  <c r="H182" i="12"/>
  <c r="L182" i="12"/>
  <c r="AJ182" i="12"/>
  <c r="P182" i="12"/>
  <c r="AB182" i="12"/>
  <c r="X182" i="12"/>
  <c r="AN182" i="12"/>
  <c r="T182" i="12"/>
  <c r="AF182" i="12"/>
  <c r="H164" i="12"/>
  <c r="X164" i="12"/>
  <c r="P164" i="12"/>
  <c r="AB164" i="12"/>
  <c r="L164" i="12"/>
  <c r="T164" i="12"/>
  <c r="AN164" i="12"/>
  <c r="AJ164" i="12"/>
  <c r="AF164" i="12"/>
  <c r="I141" i="12"/>
  <c r="U141" i="12"/>
  <c r="AG141" i="12"/>
  <c r="Q141" i="12"/>
  <c r="AC141" i="12"/>
  <c r="AO141" i="12"/>
  <c r="Y141" i="12"/>
  <c r="AK141" i="12"/>
  <c r="M141" i="12"/>
  <c r="I117" i="12"/>
  <c r="AG117" i="12"/>
  <c r="U117" i="12"/>
  <c r="Y117" i="12"/>
  <c r="AO117" i="12"/>
  <c r="AK117" i="12"/>
  <c r="Q117" i="12"/>
  <c r="M117" i="12"/>
  <c r="AC117" i="12"/>
  <c r="I96" i="12"/>
  <c r="Q96" i="12"/>
  <c r="U96" i="12"/>
  <c r="AG96" i="12"/>
  <c r="AO96" i="12"/>
  <c r="AC96" i="12"/>
  <c r="Y96" i="12"/>
  <c r="M96" i="12"/>
  <c r="AK96" i="12"/>
  <c r="I78" i="12"/>
  <c r="U78" i="12"/>
  <c r="AO78" i="12"/>
  <c r="AK78" i="12"/>
  <c r="AG78" i="12"/>
  <c r="Q78" i="12"/>
  <c r="AC78" i="12"/>
  <c r="Y78" i="12"/>
  <c r="M78" i="12"/>
  <c r="I60" i="12"/>
  <c r="U60" i="12"/>
  <c r="Q60" i="12"/>
  <c r="M60" i="12"/>
  <c r="AG60" i="12"/>
  <c r="Y60" i="12"/>
  <c r="AO60" i="12"/>
  <c r="AC60" i="12"/>
  <c r="AK60" i="12"/>
  <c r="I42" i="12"/>
  <c r="U42" i="12"/>
  <c r="AO42" i="12"/>
  <c r="AK42" i="12"/>
  <c r="AG42" i="12"/>
  <c r="Q42" i="12"/>
  <c r="M42" i="12"/>
  <c r="AC42" i="12"/>
  <c r="Y42" i="12"/>
  <c r="I24" i="12"/>
  <c r="AG24" i="12"/>
  <c r="U24" i="12"/>
  <c r="Q24" i="12"/>
  <c r="AO24" i="12"/>
  <c r="AC24" i="12"/>
  <c r="AK24" i="12"/>
  <c r="M24" i="12"/>
  <c r="Y24" i="12"/>
  <c r="I6" i="12"/>
  <c r="AO6" i="12"/>
  <c r="Y6" i="12"/>
  <c r="AK6" i="12"/>
  <c r="Q6" i="12"/>
  <c r="AC6" i="12"/>
  <c r="U6" i="12"/>
  <c r="M6" i="12"/>
  <c r="AG6" i="12"/>
  <c r="H9" i="12"/>
  <c r="AB9" i="12"/>
  <c r="AF9" i="12"/>
  <c r="P9" i="12"/>
  <c r="AN9" i="12"/>
  <c r="X9" i="12"/>
  <c r="L9" i="12"/>
  <c r="AJ9" i="12"/>
  <c r="T9" i="12"/>
  <c r="W5" i="12"/>
  <c r="AQ5" i="12"/>
  <c r="AM5" i="12"/>
  <c r="K5" i="12"/>
  <c r="AI5" i="12"/>
  <c r="O5" i="12"/>
  <c r="S5" i="12"/>
  <c r="AE5" i="12"/>
  <c r="AA5" i="12"/>
  <c r="AI55" i="12"/>
  <c r="AE55" i="12"/>
  <c r="O55" i="12"/>
  <c r="AA55" i="12"/>
  <c r="AM55" i="12"/>
  <c r="W55" i="12"/>
  <c r="AQ55" i="12"/>
  <c r="K55" i="12"/>
  <c r="S55" i="12"/>
  <c r="AH73" i="12"/>
  <c r="R73" i="12"/>
  <c r="AP73" i="12"/>
  <c r="Z73" i="12"/>
  <c r="V73" i="12"/>
  <c r="J73" i="12"/>
  <c r="AD73" i="12"/>
  <c r="N73" i="12"/>
  <c r="AL73" i="12"/>
  <c r="AD155" i="12"/>
  <c r="AP155" i="12"/>
  <c r="N155" i="12"/>
  <c r="Z155" i="12"/>
  <c r="J155" i="12"/>
  <c r="V155" i="12"/>
  <c r="AH155" i="12"/>
  <c r="R155" i="12"/>
  <c r="AL155" i="12"/>
  <c r="AH29" i="12"/>
  <c r="Z29" i="12"/>
  <c r="V29" i="12"/>
  <c r="AD29" i="12"/>
  <c r="N29" i="12"/>
  <c r="J29" i="12"/>
  <c r="R29" i="12"/>
  <c r="AP29" i="12"/>
  <c r="AL29" i="12"/>
  <c r="I149" i="12"/>
  <c r="U149" i="12"/>
  <c r="Q149" i="12"/>
  <c r="AO149" i="12"/>
  <c r="Y149" i="12"/>
  <c r="AG149" i="12"/>
  <c r="AC149" i="12"/>
  <c r="AK149" i="12"/>
  <c r="M149" i="12"/>
  <c r="H53" i="12"/>
  <c r="AF53" i="12"/>
  <c r="P53" i="12"/>
  <c r="AB53" i="12"/>
  <c r="AN53" i="12"/>
  <c r="X53" i="12"/>
  <c r="L53" i="12"/>
  <c r="AJ53" i="12"/>
  <c r="T53" i="12"/>
  <c r="V40" i="12"/>
  <c r="Z40" i="12"/>
  <c r="AH40" i="12"/>
  <c r="AP40" i="12"/>
  <c r="J40" i="12"/>
  <c r="AD40" i="12"/>
  <c r="AL40" i="12"/>
  <c r="R40" i="12"/>
  <c r="N40" i="12"/>
  <c r="J6" i="12"/>
  <c r="AP6" i="12"/>
  <c r="Z6" i="12"/>
  <c r="AL6" i="12"/>
  <c r="V6" i="12"/>
  <c r="AH6" i="12"/>
  <c r="R6" i="12"/>
  <c r="AD6" i="12"/>
  <c r="N6" i="12"/>
  <c r="V147" i="12"/>
  <c r="Z147" i="12"/>
  <c r="J147" i="12"/>
  <c r="AH147" i="12"/>
  <c r="AD147" i="12"/>
  <c r="R147" i="12"/>
  <c r="AP147" i="12"/>
  <c r="N147" i="12"/>
  <c r="AL147" i="12"/>
  <c r="H112" i="12"/>
  <c r="T112" i="12"/>
  <c r="AF112" i="12"/>
  <c r="P112" i="12"/>
  <c r="AB112" i="12"/>
  <c r="AN112" i="12"/>
  <c r="L112" i="12"/>
  <c r="X112" i="12"/>
  <c r="AJ112" i="12"/>
  <c r="H16" i="12"/>
  <c r="P16" i="12"/>
  <c r="AF16" i="12"/>
  <c r="AB16" i="12"/>
  <c r="AJ16" i="12"/>
  <c r="T16" i="12"/>
  <c r="AN16" i="12"/>
  <c r="X16" i="12"/>
  <c r="L16" i="12"/>
  <c r="I93" i="12"/>
  <c r="U93" i="12"/>
  <c r="AG93" i="12"/>
  <c r="M93" i="12"/>
  <c r="Q93" i="12"/>
  <c r="Y93" i="12"/>
  <c r="AC93" i="12"/>
  <c r="AO93" i="12"/>
  <c r="AK93" i="12"/>
  <c r="H159" i="12"/>
  <c r="AN159" i="12"/>
  <c r="L159" i="12"/>
  <c r="T159" i="12"/>
  <c r="P159" i="12"/>
  <c r="AB159" i="12"/>
  <c r="X159" i="12"/>
  <c r="AF159" i="12"/>
  <c r="AJ159" i="12"/>
  <c r="H108" i="12"/>
  <c r="P108" i="12"/>
  <c r="AB108" i="12"/>
  <c r="L108" i="12"/>
  <c r="T108" i="12"/>
  <c r="AN108" i="12"/>
  <c r="AJ108" i="12"/>
  <c r="X108" i="12"/>
  <c r="AF108" i="12"/>
  <c r="H63" i="12"/>
  <c r="L63" i="12"/>
  <c r="P63" i="12"/>
  <c r="AB63" i="12"/>
  <c r="AN63" i="12"/>
  <c r="X63" i="12"/>
  <c r="AJ63" i="12"/>
  <c r="T63" i="12"/>
  <c r="AF63" i="12"/>
  <c r="H45" i="12"/>
  <c r="P45" i="12"/>
  <c r="AB45" i="12"/>
  <c r="AN45" i="12"/>
  <c r="L45" i="12"/>
  <c r="T45" i="12"/>
  <c r="AJ45" i="12"/>
  <c r="AF45" i="12"/>
  <c r="X45" i="12"/>
  <c r="H27" i="12"/>
  <c r="AN27" i="12"/>
  <c r="AB27" i="12"/>
  <c r="X27" i="12"/>
  <c r="AJ27" i="12"/>
  <c r="AF27" i="12"/>
  <c r="P27" i="12"/>
  <c r="L27" i="12"/>
  <c r="T27" i="12"/>
  <c r="H6" i="12"/>
  <c r="P6" i="12"/>
  <c r="AN6" i="12"/>
  <c r="AJ6" i="12"/>
  <c r="T6" i="12"/>
  <c r="L6" i="12"/>
  <c r="X6" i="12"/>
  <c r="AF6" i="12"/>
  <c r="AB6" i="12"/>
  <c r="AM146" i="12"/>
  <c r="AE146" i="12"/>
  <c r="O146" i="12"/>
  <c r="AA146" i="12"/>
  <c r="AQ146" i="12"/>
  <c r="S146" i="12"/>
  <c r="K146" i="12"/>
  <c r="W146" i="12"/>
  <c r="AI146" i="12"/>
  <c r="O128" i="12"/>
  <c r="AA128" i="12"/>
  <c r="AM128" i="12"/>
  <c r="W128" i="12"/>
  <c r="AE128" i="12"/>
  <c r="AQ128" i="12"/>
  <c r="K128" i="12"/>
  <c r="AI128" i="12"/>
  <c r="S128" i="12"/>
  <c r="O92" i="12"/>
  <c r="AA92" i="12"/>
  <c r="AM92" i="12"/>
  <c r="K92" i="12"/>
  <c r="AE92" i="12"/>
  <c r="W92" i="12"/>
  <c r="AI92" i="12"/>
  <c r="S92" i="12"/>
  <c r="AQ92" i="12"/>
  <c r="O74" i="12"/>
  <c r="AA74" i="12"/>
  <c r="AM74" i="12"/>
  <c r="AI74" i="12"/>
  <c r="W74" i="12"/>
  <c r="AQ74" i="12"/>
  <c r="S74" i="12"/>
  <c r="AE74" i="12"/>
  <c r="K74" i="12"/>
  <c r="AA56" i="12"/>
  <c r="AM56" i="12"/>
  <c r="S56" i="12"/>
  <c r="AQ56" i="12"/>
  <c r="O56" i="12"/>
  <c r="AI56" i="12"/>
  <c r="AE56" i="12"/>
  <c r="K56" i="12"/>
  <c r="W56" i="12"/>
  <c r="O38" i="12"/>
  <c r="AA38" i="12"/>
  <c r="AM38" i="12"/>
  <c r="W38" i="12"/>
  <c r="AI38" i="12"/>
  <c r="AE38" i="12"/>
  <c r="AQ38" i="12"/>
  <c r="S38" i="12"/>
  <c r="K38" i="12"/>
  <c r="AA20" i="12"/>
  <c r="AE20" i="12"/>
  <c r="O20" i="12"/>
  <c r="AM20" i="12"/>
  <c r="K20" i="12"/>
  <c r="W20" i="12"/>
  <c r="S20" i="12"/>
  <c r="AQ20" i="12"/>
  <c r="AI20" i="12"/>
  <c r="AA160" i="12"/>
  <c r="O160" i="12"/>
  <c r="AM160" i="12"/>
  <c r="W160" i="12"/>
  <c r="AQ160" i="12"/>
  <c r="S160" i="12"/>
  <c r="AI160" i="12"/>
  <c r="AE160" i="12"/>
  <c r="K160" i="12"/>
  <c r="K142" i="12"/>
  <c r="W142" i="12"/>
  <c r="AI142" i="12"/>
  <c r="S142" i="12"/>
  <c r="AE142" i="12"/>
  <c r="AQ142" i="12"/>
  <c r="O142" i="12"/>
  <c r="AA142" i="12"/>
  <c r="AM142" i="12"/>
  <c r="AM124" i="12"/>
  <c r="O124" i="12"/>
  <c r="AA124" i="12"/>
  <c r="W124" i="12"/>
  <c r="AE124" i="12"/>
  <c r="AI124" i="12"/>
  <c r="S124" i="12"/>
  <c r="K124" i="12"/>
  <c r="AQ124" i="12"/>
  <c r="O106" i="12"/>
  <c r="K106" i="12"/>
  <c r="W106" i="12"/>
  <c r="AI106" i="12"/>
  <c r="S106" i="12"/>
  <c r="AE106" i="12"/>
  <c r="AA106" i="12"/>
  <c r="AM106" i="12"/>
  <c r="AQ106" i="12"/>
  <c r="K88" i="12"/>
  <c r="W88" i="12"/>
  <c r="AQ88" i="12"/>
  <c r="O88" i="12"/>
  <c r="AA88" i="12"/>
  <c r="AM88" i="12"/>
  <c r="AI88" i="12"/>
  <c r="S88" i="12"/>
  <c r="AE88" i="12"/>
  <c r="O70" i="12"/>
  <c r="AA70" i="12"/>
  <c r="AM70" i="12"/>
  <c r="S70" i="12"/>
  <c r="AQ70" i="12"/>
  <c r="W70" i="12"/>
  <c r="AI70" i="12"/>
  <c r="K70" i="12"/>
  <c r="AE70" i="12"/>
  <c r="O52" i="12"/>
  <c r="AA52" i="12"/>
  <c r="AM52" i="12"/>
  <c r="W52" i="12"/>
  <c r="AI52" i="12"/>
  <c r="AE52" i="12"/>
  <c r="AQ52" i="12"/>
  <c r="S52" i="12"/>
  <c r="K52" i="12"/>
  <c r="O34" i="12"/>
  <c r="AA34" i="12"/>
  <c r="AM34" i="12"/>
  <c r="K34" i="12"/>
  <c r="AE34" i="12"/>
  <c r="W34" i="12"/>
  <c r="AQ34" i="12"/>
  <c r="S34" i="12"/>
  <c r="AI34" i="12"/>
  <c r="AQ16" i="12"/>
  <c r="O16" i="12"/>
  <c r="AA16" i="12"/>
  <c r="AM16" i="12"/>
  <c r="AI16" i="12"/>
  <c r="AE16" i="12"/>
  <c r="S16" i="12"/>
  <c r="K16" i="12"/>
  <c r="W16" i="12"/>
  <c r="AL160" i="12"/>
  <c r="AD160" i="12"/>
  <c r="V160" i="12"/>
  <c r="J160" i="12"/>
  <c r="AH160" i="12"/>
  <c r="R160" i="12"/>
  <c r="Z160" i="12"/>
  <c r="N160" i="12"/>
  <c r="AP160" i="12"/>
  <c r="J142" i="12"/>
  <c r="V142" i="12"/>
  <c r="AH142" i="12"/>
  <c r="AD142" i="12"/>
  <c r="R142" i="12"/>
  <c r="AP142" i="12"/>
  <c r="N142" i="12"/>
  <c r="Z142" i="12"/>
  <c r="AL142" i="12"/>
  <c r="AH124" i="12"/>
  <c r="R124" i="12"/>
  <c r="N124" i="12"/>
  <c r="J124" i="12"/>
  <c r="V124" i="12"/>
  <c r="AP124" i="12"/>
  <c r="AD124" i="12"/>
  <c r="Z124" i="12"/>
  <c r="AL124" i="12"/>
  <c r="V106" i="12"/>
  <c r="AH106" i="12"/>
  <c r="AP106" i="12"/>
  <c r="R106" i="12"/>
  <c r="N106" i="12"/>
  <c r="Z106" i="12"/>
  <c r="AL106" i="12"/>
  <c r="J106" i="12"/>
  <c r="AD106" i="12"/>
  <c r="V88" i="12"/>
  <c r="AL88" i="12"/>
  <c r="AD88" i="12"/>
  <c r="Z88" i="12"/>
  <c r="J88" i="12"/>
  <c r="AH88" i="12"/>
  <c r="R88" i="12"/>
  <c r="AP88" i="12"/>
  <c r="N88" i="12"/>
  <c r="AD70" i="12"/>
  <c r="J70" i="12"/>
  <c r="V70" i="12"/>
  <c r="AH70" i="12"/>
  <c r="N70" i="12"/>
  <c r="R70" i="12"/>
  <c r="AP70" i="12"/>
  <c r="Z70" i="12"/>
  <c r="AL70" i="12"/>
  <c r="V52" i="12"/>
  <c r="AD52" i="12"/>
  <c r="N52" i="12"/>
  <c r="J52" i="12"/>
  <c r="AH52" i="12"/>
  <c r="R52" i="12"/>
  <c r="AP52" i="12"/>
  <c r="Z52" i="12"/>
  <c r="AL52" i="12"/>
  <c r="AM187" i="12"/>
  <c r="W187" i="12"/>
  <c r="AE187" i="12"/>
  <c r="AQ187" i="12"/>
  <c r="O187" i="12"/>
  <c r="AA187" i="12"/>
  <c r="AI187" i="12"/>
  <c r="K187" i="12"/>
  <c r="S187" i="12"/>
  <c r="AM169" i="12"/>
  <c r="K169" i="12"/>
  <c r="AI169" i="12"/>
  <c r="AQ169" i="12"/>
  <c r="O169" i="12"/>
  <c r="AA169" i="12"/>
  <c r="W169" i="12"/>
  <c r="S169" i="12"/>
  <c r="AE169" i="12"/>
  <c r="V181" i="12"/>
  <c r="AP181" i="12"/>
  <c r="Z181" i="12"/>
  <c r="N181" i="12"/>
  <c r="J181" i="12"/>
  <c r="AH181" i="12"/>
  <c r="R181" i="12"/>
  <c r="AD181" i="12"/>
  <c r="AL181" i="12"/>
  <c r="I193" i="12"/>
  <c r="U193" i="12"/>
  <c r="AG193" i="12"/>
  <c r="Q193" i="12"/>
  <c r="AC193" i="12"/>
  <c r="AO193" i="12"/>
  <c r="M193" i="12"/>
  <c r="Y193" i="12"/>
  <c r="AK193" i="12"/>
  <c r="I172" i="12"/>
  <c r="U172" i="12"/>
  <c r="AG172" i="12"/>
  <c r="AO172" i="12"/>
  <c r="AC172" i="12"/>
  <c r="Y172" i="12"/>
  <c r="M172" i="12"/>
  <c r="Q172" i="12"/>
  <c r="AK172" i="12"/>
  <c r="AP152" i="12"/>
  <c r="Z152" i="12"/>
  <c r="R152" i="12"/>
  <c r="V152" i="12"/>
  <c r="J152" i="12"/>
  <c r="AH152" i="12"/>
  <c r="AL152" i="12"/>
  <c r="AD152" i="12"/>
  <c r="N152" i="12"/>
  <c r="AH134" i="12"/>
  <c r="V134" i="12"/>
  <c r="AP134" i="12"/>
  <c r="AL134" i="12"/>
  <c r="J134" i="12"/>
  <c r="AD134" i="12"/>
  <c r="Z134" i="12"/>
  <c r="R134" i="12"/>
  <c r="N134" i="12"/>
  <c r="AH116" i="12"/>
  <c r="AD116" i="12"/>
  <c r="V116" i="12"/>
  <c r="Z116" i="12"/>
  <c r="J116" i="12"/>
  <c r="AP116" i="12"/>
  <c r="N116" i="12"/>
  <c r="R116" i="12"/>
  <c r="AL116" i="12"/>
  <c r="AD98" i="12"/>
  <c r="AL98" i="12"/>
  <c r="AP98" i="12"/>
  <c r="N98" i="12"/>
  <c r="J98" i="12"/>
  <c r="V98" i="12"/>
  <c r="AH98" i="12"/>
  <c r="R98" i="12"/>
  <c r="Z98" i="12"/>
  <c r="AH80" i="12"/>
  <c r="AL80" i="12"/>
  <c r="AD80" i="12"/>
  <c r="Z80" i="12"/>
  <c r="J80" i="12"/>
  <c r="V80" i="12"/>
  <c r="R80" i="12"/>
  <c r="N80" i="12"/>
  <c r="AP80" i="12"/>
  <c r="J62" i="12"/>
  <c r="V62" i="12"/>
  <c r="AH62" i="12"/>
  <c r="AL62" i="12"/>
  <c r="R62" i="12"/>
  <c r="AD62" i="12"/>
  <c r="AP62" i="12"/>
  <c r="N62" i="12"/>
  <c r="Z62" i="12"/>
  <c r="AH44" i="12"/>
  <c r="AP44" i="12"/>
  <c r="AL44" i="12"/>
  <c r="Z44" i="12"/>
  <c r="J44" i="12"/>
  <c r="V44" i="12"/>
  <c r="R44" i="12"/>
  <c r="AD44" i="12"/>
  <c r="N44" i="12"/>
  <c r="AH26" i="12"/>
  <c r="J26" i="12"/>
  <c r="V26" i="12"/>
  <c r="R26" i="12"/>
  <c r="AL26" i="12"/>
  <c r="AD26" i="12"/>
  <c r="Z26" i="12"/>
  <c r="AP26" i="12"/>
  <c r="N26" i="12"/>
  <c r="J5" i="12"/>
  <c r="AP5" i="12"/>
  <c r="AL5" i="12"/>
  <c r="Z5" i="12"/>
  <c r="R5" i="12"/>
  <c r="AD5" i="12"/>
  <c r="N5" i="12"/>
  <c r="V5" i="12"/>
  <c r="AH5" i="12"/>
  <c r="I11" i="12"/>
  <c r="U11" i="12"/>
  <c r="Y11" i="12"/>
  <c r="AG11" i="12"/>
  <c r="AO11" i="12"/>
  <c r="AC11" i="12"/>
  <c r="AK11" i="12"/>
  <c r="M11" i="12"/>
  <c r="Q11" i="12"/>
  <c r="H143" i="12"/>
  <c r="AB143" i="12"/>
  <c r="AF143" i="12"/>
  <c r="L143" i="12"/>
  <c r="AJ143" i="12"/>
  <c r="T143" i="12"/>
  <c r="P143" i="12"/>
  <c r="AN143" i="12"/>
  <c r="X143" i="12"/>
  <c r="H92" i="12"/>
  <c r="AJ92" i="12"/>
  <c r="AB92" i="12"/>
  <c r="L92" i="12"/>
  <c r="AF92" i="12"/>
  <c r="P92" i="12"/>
  <c r="AN92" i="12"/>
  <c r="X92" i="12"/>
  <c r="T92" i="12"/>
  <c r="H56" i="12"/>
  <c r="AN56" i="12"/>
  <c r="T56" i="12"/>
  <c r="P56" i="12"/>
  <c r="AB56" i="12"/>
  <c r="L56" i="12"/>
  <c r="AJ56" i="12"/>
  <c r="AF56" i="12"/>
  <c r="X56" i="12"/>
  <c r="H17" i="12"/>
  <c r="AB17" i="12"/>
  <c r="AJ17" i="12"/>
  <c r="AF17" i="12"/>
  <c r="AN17" i="12"/>
  <c r="T17" i="12"/>
  <c r="P17" i="12"/>
  <c r="L17" i="12"/>
  <c r="X17" i="12"/>
  <c r="H184" i="12"/>
  <c r="AB184" i="12"/>
  <c r="X184" i="12"/>
  <c r="T184" i="12"/>
  <c r="AN184" i="12"/>
  <c r="AJ184" i="12"/>
  <c r="P184" i="12"/>
  <c r="L184" i="12"/>
  <c r="AF184" i="12"/>
  <c r="H166" i="12"/>
  <c r="L166" i="12"/>
  <c r="AN166" i="12"/>
  <c r="X166" i="12"/>
  <c r="AF166" i="12"/>
  <c r="P166" i="12"/>
  <c r="AB166" i="12"/>
  <c r="AJ166" i="12"/>
  <c r="T166" i="12"/>
  <c r="I146" i="12"/>
  <c r="U146" i="12"/>
  <c r="AG146" i="12"/>
  <c r="Q146" i="12"/>
  <c r="AC146" i="12"/>
  <c r="M146" i="12"/>
  <c r="AO146" i="12"/>
  <c r="AK146" i="12"/>
  <c r="Y146" i="12"/>
  <c r="I104" i="12"/>
  <c r="U104" i="12"/>
  <c r="AC104" i="12"/>
  <c r="M104" i="12"/>
  <c r="AG104" i="12"/>
  <c r="Q104" i="12"/>
  <c r="AO104" i="12"/>
  <c r="Y104" i="12"/>
  <c r="AK104" i="12"/>
  <c r="I86" i="12"/>
  <c r="U86" i="12"/>
  <c r="AG86" i="12"/>
  <c r="Q86" i="12"/>
  <c r="AC86" i="12"/>
  <c r="Y86" i="12"/>
  <c r="AO86" i="12"/>
  <c r="AK86" i="12"/>
  <c r="M86" i="12"/>
  <c r="I68" i="12"/>
  <c r="AC68" i="12"/>
  <c r="AK68" i="12"/>
  <c r="U68" i="12"/>
  <c r="AG68" i="12"/>
  <c r="M68" i="12"/>
  <c r="AO68" i="12"/>
  <c r="Q68" i="12"/>
  <c r="Y68" i="12"/>
  <c r="I50" i="12"/>
  <c r="U50" i="12"/>
  <c r="Q50" i="12"/>
  <c r="AG50" i="12"/>
  <c r="M50" i="12"/>
  <c r="AK50" i="12"/>
  <c r="AO50" i="12"/>
  <c r="AC50" i="12"/>
  <c r="Y50" i="12"/>
  <c r="I20" i="12"/>
  <c r="U20" i="12"/>
  <c r="AC20" i="12"/>
  <c r="AG20" i="12"/>
  <c r="AK20" i="12"/>
  <c r="Q20" i="12"/>
  <c r="AO20" i="12"/>
  <c r="Y20" i="12"/>
  <c r="M20" i="12"/>
  <c r="H125" i="12"/>
  <c r="AB125" i="12"/>
  <c r="L125" i="12"/>
  <c r="AN125" i="12"/>
  <c r="P125" i="12"/>
  <c r="X125" i="12"/>
  <c r="T125" i="12"/>
  <c r="AJ125" i="12"/>
  <c r="AF125" i="12"/>
  <c r="H83" i="12"/>
  <c r="T83" i="12"/>
  <c r="P83" i="12"/>
  <c r="X83" i="12"/>
  <c r="AB83" i="12"/>
  <c r="AN83" i="12"/>
  <c r="L83" i="12"/>
  <c r="AJ83" i="12"/>
  <c r="AF83" i="12"/>
  <c r="H47" i="12"/>
  <c r="P47" i="12"/>
  <c r="X47" i="12"/>
  <c r="T47" i="12"/>
  <c r="AB47" i="12"/>
  <c r="AN47" i="12"/>
  <c r="L47" i="12"/>
  <c r="AJ47" i="12"/>
  <c r="AF47" i="12"/>
  <c r="H14" i="12"/>
  <c r="P14" i="12"/>
  <c r="AB14" i="12"/>
  <c r="AF14" i="12"/>
  <c r="AN14" i="12"/>
  <c r="X14" i="12"/>
  <c r="AJ14" i="12"/>
  <c r="T14" i="12"/>
  <c r="L14" i="12"/>
  <c r="V28" i="12"/>
  <c r="AH28" i="12"/>
  <c r="R28" i="12"/>
  <c r="N28" i="12"/>
  <c r="AP28" i="12"/>
  <c r="AD28" i="12"/>
  <c r="J28" i="12"/>
  <c r="Z28" i="12"/>
  <c r="AL28" i="12"/>
  <c r="V10" i="12"/>
  <c r="AH10" i="12"/>
  <c r="AD10" i="12"/>
  <c r="R10" i="12"/>
  <c r="AP10" i="12"/>
  <c r="Z10" i="12"/>
  <c r="J10" i="12"/>
  <c r="AL10" i="12"/>
  <c r="N10" i="12"/>
  <c r="I61" i="12"/>
  <c r="U61" i="12"/>
  <c r="AG61" i="12"/>
  <c r="AC61" i="12"/>
  <c r="Y61" i="12"/>
  <c r="AO61" i="12"/>
  <c r="Q61" i="12"/>
  <c r="M61" i="12"/>
  <c r="AK61" i="12"/>
  <c r="I25" i="12"/>
  <c r="AG25" i="12"/>
  <c r="AC25" i="12"/>
  <c r="U25" i="12"/>
  <c r="AO25" i="12"/>
  <c r="M25" i="12"/>
  <c r="AK25" i="12"/>
  <c r="Q25" i="12"/>
  <c r="Y25" i="12"/>
  <c r="O24" i="12"/>
  <c r="AA24" i="12"/>
  <c r="AI24" i="12"/>
  <c r="AQ24" i="12"/>
  <c r="AM24" i="12"/>
  <c r="AE24" i="12"/>
  <c r="W24" i="12"/>
  <c r="S24" i="12"/>
  <c r="K24" i="12"/>
  <c r="N163" i="12"/>
  <c r="AH163" i="12"/>
  <c r="AD163" i="12"/>
  <c r="AP163" i="12"/>
  <c r="J163" i="12"/>
  <c r="V163" i="12"/>
  <c r="R163" i="12"/>
  <c r="Z163" i="12"/>
  <c r="AL163" i="12"/>
  <c r="I136" i="12"/>
  <c r="U136" i="12"/>
  <c r="AG136" i="12"/>
  <c r="Q136" i="12"/>
  <c r="Y136" i="12"/>
  <c r="AO136" i="12"/>
  <c r="AK136" i="12"/>
  <c r="AC136" i="12"/>
  <c r="M136" i="12"/>
  <c r="I106" i="12"/>
  <c r="AG106" i="12"/>
  <c r="U106" i="12"/>
  <c r="Q106" i="12"/>
  <c r="AO106" i="12"/>
  <c r="Y106" i="12"/>
  <c r="AC106" i="12"/>
  <c r="M106" i="12"/>
  <c r="AK106" i="12"/>
  <c r="I82" i="12"/>
  <c r="AG82" i="12"/>
  <c r="Q82" i="12"/>
  <c r="Y82" i="12"/>
  <c r="U82" i="12"/>
  <c r="M82" i="12"/>
  <c r="AC82" i="12"/>
  <c r="AO82" i="12"/>
  <c r="AK82" i="12"/>
  <c r="I52" i="12"/>
  <c r="AG52" i="12"/>
  <c r="M52" i="12"/>
  <c r="U52" i="12"/>
  <c r="Q52" i="12"/>
  <c r="AO52" i="12"/>
  <c r="Y52" i="12"/>
  <c r="AC52" i="12"/>
  <c r="AK52" i="12"/>
  <c r="I16" i="12"/>
  <c r="U16" i="12"/>
  <c r="AC16" i="12"/>
  <c r="AG16" i="12"/>
  <c r="Q16" i="12"/>
  <c r="AK16" i="12"/>
  <c r="AO16" i="12"/>
  <c r="Y16" i="12"/>
  <c r="M16" i="12"/>
  <c r="W6" i="12"/>
  <c r="AI6" i="12"/>
  <c r="AA6" i="12"/>
  <c r="K6" i="12"/>
  <c r="S6" i="12"/>
  <c r="AQ6" i="12"/>
  <c r="AE6" i="12"/>
  <c r="O6" i="12"/>
  <c r="AM6" i="12"/>
  <c r="O159" i="12"/>
  <c r="AA159" i="12"/>
  <c r="AM159" i="12"/>
  <c r="AE159" i="12"/>
  <c r="AI159" i="12"/>
  <c r="AQ159" i="12"/>
  <c r="S159" i="12"/>
  <c r="K159" i="12"/>
  <c r="W159" i="12"/>
  <c r="AA132" i="12"/>
  <c r="AI132" i="12"/>
  <c r="O132" i="12"/>
  <c r="AM132" i="12"/>
  <c r="AQ132" i="12"/>
  <c r="W132" i="12"/>
  <c r="AE132" i="12"/>
  <c r="S132" i="12"/>
  <c r="K132" i="12"/>
  <c r="AM102" i="12"/>
  <c r="K102" i="12"/>
  <c r="S102" i="12"/>
  <c r="O102" i="12"/>
  <c r="AA102" i="12"/>
  <c r="AI102" i="12"/>
  <c r="AE102" i="12"/>
  <c r="AQ102" i="12"/>
  <c r="W102" i="12"/>
  <c r="O57" i="12"/>
  <c r="AM57" i="12"/>
  <c r="W57" i="12"/>
  <c r="AA57" i="12"/>
  <c r="K57" i="12"/>
  <c r="AE57" i="12"/>
  <c r="AI57" i="12"/>
  <c r="S57" i="12"/>
  <c r="AQ57" i="12"/>
  <c r="V66" i="12"/>
  <c r="AD66" i="12"/>
  <c r="Z66" i="12"/>
  <c r="AL66" i="12"/>
  <c r="AH66" i="12"/>
  <c r="J66" i="12"/>
  <c r="AP66" i="12"/>
  <c r="R66" i="12"/>
  <c r="N66" i="12"/>
  <c r="S150" i="12"/>
  <c r="O150" i="12"/>
  <c r="AA150" i="12"/>
  <c r="AM150" i="12"/>
  <c r="AQ150" i="12"/>
  <c r="AI150" i="12"/>
  <c r="W150" i="12"/>
  <c r="K150" i="12"/>
  <c r="AE150" i="12"/>
  <c r="O105" i="12"/>
  <c r="AA105" i="12"/>
  <c r="W105" i="12"/>
  <c r="AE105" i="12"/>
  <c r="AM105" i="12"/>
  <c r="K105" i="12"/>
  <c r="AI105" i="12"/>
  <c r="AQ105" i="12"/>
  <c r="S105" i="12"/>
  <c r="AA72" i="12"/>
  <c r="K72" i="12"/>
  <c r="O72" i="12"/>
  <c r="AM72" i="12"/>
  <c r="W72" i="12"/>
  <c r="S72" i="12"/>
  <c r="AI72" i="12"/>
  <c r="AE72" i="12"/>
  <c r="AQ72" i="12"/>
  <c r="AA33" i="12"/>
  <c r="AM33" i="12"/>
  <c r="AE33" i="12"/>
  <c r="O33" i="12"/>
  <c r="W33" i="12"/>
  <c r="S33" i="12"/>
  <c r="AI33" i="12"/>
  <c r="K33" i="12"/>
  <c r="AQ33" i="12"/>
  <c r="AM162" i="12"/>
  <c r="K162" i="12"/>
  <c r="AI162" i="12"/>
  <c r="O162" i="12"/>
  <c r="AA162" i="12"/>
  <c r="W162" i="12"/>
  <c r="AQ162" i="12"/>
  <c r="AE162" i="12"/>
  <c r="S162" i="12"/>
  <c r="N144" i="12"/>
  <c r="R144" i="12"/>
  <c r="AP144" i="12"/>
  <c r="V144" i="12"/>
  <c r="AD144" i="12"/>
  <c r="J144" i="12"/>
  <c r="AH144" i="12"/>
  <c r="Z144" i="12"/>
  <c r="AL144" i="12"/>
  <c r="AH126" i="12"/>
  <c r="AL126" i="12"/>
  <c r="AP126" i="12"/>
  <c r="V126" i="12"/>
  <c r="R126" i="12"/>
  <c r="J126" i="12"/>
  <c r="Z126" i="12"/>
  <c r="AD126" i="12"/>
  <c r="N126" i="12"/>
  <c r="AP108" i="12"/>
  <c r="AD108" i="12"/>
  <c r="Z108" i="12"/>
  <c r="J108" i="12"/>
  <c r="V108" i="12"/>
  <c r="AH108" i="12"/>
  <c r="R108" i="12"/>
  <c r="AL108" i="12"/>
  <c r="N108" i="12"/>
  <c r="V90" i="12"/>
  <c r="N90" i="12"/>
  <c r="AD90" i="12"/>
  <c r="Z90" i="12"/>
  <c r="J90" i="12"/>
  <c r="AH90" i="12"/>
  <c r="R90" i="12"/>
  <c r="AP90" i="12"/>
  <c r="AL90" i="12"/>
  <c r="AL72" i="12"/>
  <c r="AH72" i="12"/>
  <c r="V72" i="12"/>
  <c r="AP72" i="12"/>
  <c r="N72" i="12"/>
  <c r="J72" i="12"/>
  <c r="R72" i="12"/>
  <c r="AD72" i="12"/>
  <c r="Z72" i="12"/>
  <c r="AA131" i="12"/>
  <c r="O131" i="12"/>
  <c r="AM131" i="12"/>
  <c r="AI131" i="12"/>
  <c r="S131" i="12"/>
  <c r="AQ131" i="12"/>
  <c r="K131" i="12"/>
  <c r="W131" i="12"/>
  <c r="AE131" i="12"/>
  <c r="O109" i="12"/>
  <c r="AA109" i="12"/>
  <c r="AM109" i="12"/>
  <c r="AI109" i="12"/>
  <c r="S109" i="12"/>
  <c r="AE109" i="12"/>
  <c r="K109" i="12"/>
  <c r="W109" i="12"/>
  <c r="AQ109" i="12"/>
  <c r="O190" i="12"/>
  <c r="AA190" i="12"/>
  <c r="AM190" i="12"/>
  <c r="W190" i="12"/>
  <c r="S190" i="12"/>
  <c r="K190" i="12"/>
  <c r="AI190" i="12"/>
  <c r="AE190" i="12"/>
  <c r="AQ190" i="12"/>
  <c r="AH65" i="12"/>
  <c r="R65" i="12"/>
  <c r="Z65" i="12"/>
  <c r="V65" i="12"/>
  <c r="AD65" i="12"/>
  <c r="J65" i="12"/>
  <c r="AP65" i="12"/>
  <c r="AL65" i="12"/>
  <c r="N65" i="12"/>
  <c r="I89" i="12"/>
  <c r="U89" i="12"/>
  <c r="AG89" i="12"/>
  <c r="Q89" i="12"/>
  <c r="AO89" i="12"/>
  <c r="AK89" i="12"/>
  <c r="M89" i="12"/>
  <c r="AC89" i="12"/>
  <c r="Y89" i="12"/>
  <c r="O36" i="12"/>
  <c r="AA36" i="12"/>
  <c r="W36" i="12"/>
  <c r="S36" i="12"/>
  <c r="AM36" i="12"/>
  <c r="AE36" i="12"/>
  <c r="AQ36" i="12"/>
  <c r="K36" i="12"/>
  <c r="AI36" i="12"/>
  <c r="W108" i="12"/>
  <c r="AE108" i="12"/>
  <c r="O108" i="12"/>
  <c r="AA108" i="12"/>
  <c r="AM108" i="12"/>
  <c r="AI108" i="12"/>
  <c r="S108" i="12"/>
  <c r="AQ108" i="12"/>
  <c r="K108" i="12"/>
  <c r="AM42" i="12"/>
  <c r="W42" i="12"/>
  <c r="AE42" i="12"/>
  <c r="O42" i="12"/>
  <c r="AA42" i="12"/>
  <c r="AI42" i="12"/>
  <c r="S42" i="12"/>
  <c r="K42" i="12"/>
  <c r="AQ42" i="12"/>
  <c r="V111" i="12"/>
  <c r="R111" i="12"/>
  <c r="N111" i="12"/>
  <c r="AH111" i="12"/>
  <c r="AL111" i="12"/>
  <c r="J111" i="12"/>
  <c r="AD111" i="12"/>
  <c r="AP111" i="12"/>
  <c r="Z111" i="12"/>
  <c r="I189" i="12"/>
  <c r="AG189" i="12"/>
  <c r="AO189" i="12"/>
  <c r="U189" i="12"/>
  <c r="Y189" i="12"/>
  <c r="M189" i="12"/>
  <c r="Q189" i="12"/>
  <c r="AK189" i="12"/>
  <c r="AC189" i="12"/>
  <c r="I75" i="12"/>
  <c r="U75" i="12"/>
  <c r="AG75" i="12"/>
  <c r="AK75" i="12"/>
  <c r="AO75" i="12"/>
  <c r="M75" i="12"/>
  <c r="AC75" i="12"/>
  <c r="Y75" i="12"/>
  <c r="Q75" i="12"/>
  <c r="H135" i="12"/>
  <c r="AN135" i="12"/>
  <c r="X135" i="12"/>
  <c r="P135" i="12"/>
  <c r="AB135" i="12"/>
  <c r="L135" i="12"/>
  <c r="T135" i="12"/>
  <c r="AJ135" i="12"/>
  <c r="AF135" i="12"/>
  <c r="H87" i="12"/>
  <c r="X87" i="12"/>
  <c r="P87" i="12"/>
  <c r="AB87" i="12"/>
  <c r="L87" i="12"/>
  <c r="AN87" i="12"/>
  <c r="AJ87" i="12"/>
  <c r="T87" i="12"/>
  <c r="AF87" i="12"/>
  <c r="O110" i="12"/>
  <c r="AA110" i="12"/>
  <c r="AM110" i="12"/>
  <c r="AI110" i="12"/>
  <c r="AQ110" i="12"/>
  <c r="AE110" i="12"/>
  <c r="K110" i="12"/>
  <c r="W110" i="12"/>
  <c r="S110" i="12"/>
  <c r="AE192" i="12"/>
  <c r="O192" i="12"/>
  <c r="AA192" i="12"/>
  <c r="AM192" i="12"/>
  <c r="AI192" i="12"/>
  <c r="AQ192" i="12"/>
  <c r="W192" i="12"/>
  <c r="K192" i="12"/>
  <c r="S192" i="12"/>
  <c r="K174" i="12"/>
  <c r="W174" i="12"/>
  <c r="O174" i="12"/>
  <c r="AA174" i="12"/>
  <c r="AM174" i="12"/>
  <c r="S174" i="12"/>
  <c r="AQ174" i="12"/>
  <c r="AI174" i="12"/>
  <c r="AE174" i="12"/>
  <c r="N189" i="12"/>
  <c r="V189" i="12"/>
  <c r="AH189" i="12"/>
  <c r="R189" i="12"/>
  <c r="J189" i="12"/>
  <c r="AL189" i="12"/>
  <c r="AD189" i="12"/>
  <c r="AP189" i="12"/>
  <c r="Z189" i="12"/>
  <c r="J171" i="12"/>
  <c r="V171" i="12"/>
  <c r="N171" i="12"/>
  <c r="AH171" i="12"/>
  <c r="Z171" i="12"/>
  <c r="R171" i="12"/>
  <c r="AD171" i="12"/>
  <c r="AP171" i="12"/>
  <c r="AL171" i="12"/>
  <c r="I186" i="12"/>
  <c r="U186" i="12"/>
  <c r="AG186" i="12"/>
  <c r="AK186" i="12"/>
  <c r="AO186" i="12"/>
  <c r="M186" i="12"/>
  <c r="Q186" i="12"/>
  <c r="AC186" i="12"/>
  <c r="Y186" i="12"/>
  <c r="I168" i="12"/>
  <c r="U168" i="12"/>
  <c r="AG168" i="12"/>
  <c r="Q168" i="12"/>
  <c r="AC168" i="12"/>
  <c r="AK168" i="12"/>
  <c r="AO168" i="12"/>
  <c r="Y168" i="12"/>
  <c r="M168" i="12"/>
  <c r="H180" i="12"/>
  <c r="AB180" i="12"/>
  <c r="AN180" i="12"/>
  <c r="L180" i="12"/>
  <c r="AF180" i="12"/>
  <c r="P180" i="12"/>
  <c r="X180" i="12"/>
  <c r="AJ180" i="12"/>
  <c r="T180" i="12"/>
  <c r="O191" i="12"/>
  <c r="AA191" i="12"/>
  <c r="AM191" i="12"/>
  <c r="W191" i="12"/>
  <c r="AQ191" i="12"/>
  <c r="AE191" i="12"/>
  <c r="S191" i="12"/>
  <c r="AI191" i="12"/>
  <c r="K191" i="12"/>
  <c r="O173" i="12"/>
  <c r="AA173" i="12"/>
  <c r="AM173" i="12"/>
  <c r="W173" i="12"/>
  <c r="AE173" i="12"/>
  <c r="S173" i="12"/>
  <c r="K173" i="12"/>
  <c r="AI173" i="12"/>
  <c r="AQ173" i="12"/>
  <c r="H151" i="12"/>
  <c r="AN151" i="12"/>
  <c r="T151" i="12"/>
  <c r="AB151" i="12"/>
  <c r="X151" i="12"/>
  <c r="AF151" i="12"/>
  <c r="P151" i="12"/>
  <c r="L151" i="12"/>
  <c r="AJ151" i="12"/>
  <c r="H109" i="12"/>
  <c r="P109" i="12"/>
  <c r="AN109" i="12"/>
  <c r="X109" i="12"/>
  <c r="AF109" i="12"/>
  <c r="AB109" i="12"/>
  <c r="T109" i="12"/>
  <c r="L109" i="12"/>
  <c r="AJ109" i="12"/>
  <c r="H88" i="12"/>
  <c r="L88" i="12"/>
  <c r="AB88" i="12"/>
  <c r="AN88" i="12"/>
  <c r="AF88" i="12"/>
  <c r="P88" i="12"/>
  <c r="X88" i="12"/>
  <c r="AJ88" i="12"/>
  <c r="T88" i="12"/>
  <c r="H67" i="12"/>
  <c r="P67" i="12"/>
  <c r="X67" i="12"/>
  <c r="AF67" i="12"/>
  <c r="AN67" i="12"/>
  <c r="L67" i="12"/>
  <c r="T67" i="12"/>
  <c r="AB67" i="12"/>
  <c r="AJ67" i="12"/>
  <c r="H49" i="12"/>
  <c r="P49" i="12"/>
  <c r="AB49" i="12"/>
  <c r="AJ49" i="12"/>
  <c r="AF49" i="12"/>
  <c r="AN49" i="12"/>
  <c r="L49" i="12"/>
  <c r="T49" i="12"/>
  <c r="X49" i="12"/>
  <c r="H31" i="12"/>
  <c r="AN31" i="12"/>
  <c r="L31" i="12"/>
  <c r="AF31" i="12"/>
  <c r="X31" i="12"/>
  <c r="AB31" i="12"/>
  <c r="P31" i="12"/>
  <c r="T31" i="12"/>
  <c r="AJ31" i="12"/>
  <c r="H13" i="12"/>
  <c r="P13" i="12"/>
  <c r="AB13" i="12"/>
  <c r="AN13" i="12"/>
  <c r="AF13" i="12"/>
  <c r="L13" i="12"/>
  <c r="AJ13" i="12"/>
  <c r="T13" i="12"/>
  <c r="X13" i="12"/>
  <c r="R185" i="12"/>
  <c r="AP185" i="12"/>
  <c r="Z185" i="12"/>
  <c r="J185" i="12"/>
  <c r="V185" i="12"/>
  <c r="AH185" i="12"/>
  <c r="AD185" i="12"/>
  <c r="N185" i="12"/>
  <c r="AL185" i="12"/>
  <c r="AH167" i="12"/>
  <c r="AD167" i="12"/>
  <c r="R167" i="12"/>
  <c r="AL167" i="12"/>
  <c r="V167" i="12"/>
  <c r="N167" i="12"/>
  <c r="J167" i="12"/>
  <c r="Z167" i="12"/>
  <c r="AP167" i="12"/>
  <c r="I182" i="12"/>
  <c r="U182" i="12"/>
  <c r="AC182" i="12"/>
  <c r="AK182" i="12"/>
  <c r="AG182" i="12"/>
  <c r="Q182" i="12"/>
  <c r="AO182" i="12"/>
  <c r="Y182" i="12"/>
  <c r="M182" i="12"/>
  <c r="H176" i="12"/>
  <c r="P176" i="12"/>
  <c r="AB176" i="12"/>
  <c r="AN176" i="12"/>
  <c r="L176" i="12"/>
  <c r="X176" i="12"/>
  <c r="AJ176" i="12"/>
  <c r="T176" i="12"/>
  <c r="AF176" i="12"/>
  <c r="I159" i="12"/>
  <c r="U159" i="12"/>
  <c r="AC159" i="12"/>
  <c r="AG159" i="12"/>
  <c r="AO159" i="12"/>
  <c r="M159" i="12"/>
  <c r="Q159" i="12"/>
  <c r="Y159" i="12"/>
  <c r="AK159" i="12"/>
  <c r="I135" i="12"/>
  <c r="U135" i="12"/>
  <c r="AG135" i="12"/>
  <c r="Y135" i="12"/>
  <c r="AO135" i="12"/>
  <c r="Q135" i="12"/>
  <c r="AC135" i="12"/>
  <c r="M135" i="12"/>
  <c r="AK135" i="12"/>
  <c r="I111" i="12"/>
  <c r="U111" i="12"/>
  <c r="AO111" i="12"/>
  <c r="Y111" i="12"/>
  <c r="AG111" i="12"/>
  <c r="Q111" i="12"/>
  <c r="AC111" i="12"/>
  <c r="AK111" i="12"/>
  <c r="M111" i="12"/>
  <c r="I90" i="12"/>
  <c r="U90" i="12"/>
  <c r="AG90" i="12"/>
  <c r="Q90" i="12"/>
  <c r="AK90" i="12"/>
  <c r="AC90" i="12"/>
  <c r="AO90" i="12"/>
  <c r="M90" i="12"/>
  <c r="Y90" i="12"/>
  <c r="I72" i="12"/>
  <c r="Y72" i="12"/>
  <c r="U72" i="12"/>
  <c r="AG72" i="12"/>
  <c r="M72" i="12"/>
  <c r="Q72" i="12"/>
  <c r="AO72" i="12"/>
  <c r="AK72" i="12"/>
  <c r="AC72" i="12"/>
  <c r="I54" i="12"/>
  <c r="U54" i="12"/>
  <c r="AG54" i="12"/>
  <c r="Q54" i="12"/>
  <c r="AC54" i="12"/>
  <c r="AO54" i="12"/>
  <c r="M54" i="12"/>
  <c r="AK54" i="12"/>
  <c r="Y54" i="12"/>
  <c r="I36" i="12"/>
  <c r="AG36" i="12"/>
  <c r="U36" i="12"/>
  <c r="AO36" i="12"/>
  <c r="AK36" i="12"/>
  <c r="AC36" i="12"/>
  <c r="Y36" i="12"/>
  <c r="Q36" i="12"/>
  <c r="M36" i="12"/>
  <c r="I18" i="12"/>
  <c r="AG18" i="12"/>
  <c r="AC18" i="12"/>
  <c r="AK18" i="12"/>
  <c r="U18" i="12"/>
  <c r="Q18" i="12"/>
  <c r="AO18" i="12"/>
  <c r="Y18" i="12"/>
  <c r="M18" i="12"/>
  <c r="H66" i="12"/>
  <c r="P66" i="12"/>
  <c r="AN66" i="12"/>
  <c r="X66" i="12"/>
  <c r="L66" i="12"/>
  <c r="AF66" i="12"/>
  <c r="AB66" i="12"/>
  <c r="AJ66" i="12"/>
  <c r="T66" i="12"/>
  <c r="AM95" i="12"/>
  <c r="K95" i="12"/>
  <c r="AE95" i="12"/>
  <c r="O95" i="12"/>
  <c r="AA95" i="12"/>
  <c r="AI95" i="12"/>
  <c r="AQ95" i="12"/>
  <c r="W95" i="12"/>
  <c r="S95" i="12"/>
  <c r="AI91" i="12"/>
  <c r="O91" i="12"/>
  <c r="AA91" i="12"/>
  <c r="AM91" i="12"/>
  <c r="W91" i="12"/>
  <c r="S91" i="12"/>
  <c r="K91" i="12"/>
  <c r="AE91" i="12"/>
  <c r="AQ91" i="12"/>
  <c r="J55" i="12"/>
  <c r="AH55" i="12"/>
  <c r="R55" i="12"/>
  <c r="AP55" i="12"/>
  <c r="N55" i="12"/>
  <c r="AL55" i="12"/>
  <c r="Z55" i="12"/>
  <c r="V55" i="12"/>
  <c r="AD55" i="12"/>
  <c r="AL101" i="12"/>
  <c r="J101" i="12"/>
  <c r="V101" i="12"/>
  <c r="AH101" i="12"/>
  <c r="AD101" i="12"/>
  <c r="AP101" i="12"/>
  <c r="Z101" i="12"/>
  <c r="R101" i="12"/>
  <c r="N101" i="12"/>
  <c r="H62" i="12"/>
  <c r="P62" i="12"/>
  <c r="AB62" i="12"/>
  <c r="AN62" i="12"/>
  <c r="X62" i="12"/>
  <c r="AJ62" i="12"/>
  <c r="T62" i="12"/>
  <c r="AF62" i="12"/>
  <c r="L62" i="12"/>
  <c r="H131" i="12"/>
  <c r="AJ131" i="12"/>
  <c r="AB131" i="12"/>
  <c r="L131" i="12"/>
  <c r="P131" i="12"/>
  <c r="AN131" i="12"/>
  <c r="X131" i="12"/>
  <c r="AF131" i="12"/>
  <c r="T131" i="12"/>
  <c r="I145" i="12"/>
  <c r="U145" i="12"/>
  <c r="AG145" i="12"/>
  <c r="AO145" i="12"/>
  <c r="AK145" i="12"/>
  <c r="Q145" i="12"/>
  <c r="AC145" i="12"/>
  <c r="Y145" i="12"/>
  <c r="M145" i="12"/>
  <c r="AA66" i="12"/>
  <c r="AM66" i="12"/>
  <c r="O66" i="12"/>
  <c r="K66" i="12"/>
  <c r="W66" i="12"/>
  <c r="AQ66" i="12"/>
  <c r="AI66" i="12"/>
  <c r="S66" i="12"/>
  <c r="AE66" i="12"/>
  <c r="I171" i="12"/>
  <c r="U171" i="12"/>
  <c r="AG171" i="12"/>
  <c r="AK171" i="12"/>
  <c r="AC171" i="12"/>
  <c r="AO171" i="12"/>
  <c r="Y171" i="12"/>
  <c r="Q171" i="12"/>
  <c r="M171" i="12"/>
  <c r="H52" i="12"/>
  <c r="AB52" i="12"/>
  <c r="X52" i="12"/>
  <c r="AF52" i="12"/>
  <c r="P52" i="12"/>
  <c r="AN52" i="12"/>
  <c r="AJ52" i="12"/>
  <c r="T52" i="12"/>
  <c r="L52" i="12"/>
  <c r="AL162" i="12"/>
  <c r="AP162" i="12"/>
  <c r="N162" i="12"/>
  <c r="J162" i="12"/>
  <c r="V162" i="12"/>
  <c r="AH162" i="12"/>
  <c r="R162" i="12"/>
  <c r="Z162" i="12"/>
  <c r="AD162" i="12"/>
  <c r="H156" i="12"/>
  <c r="P156" i="12"/>
  <c r="AN156" i="12"/>
  <c r="L156" i="12"/>
  <c r="AJ156" i="12"/>
  <c r="AF156" i="12"/>
  <c r="AB156" i="12"/>
  <c r="T156" i="12"/>
  <c r="X156" i="12"/>
  <c r="H129" i="12"/>
  <c r="AB129" i="12"/>
  <c r="AN129" i="12"/>
  <c r="AJ129" i="12"/>
  <c r="AF129" i="12"/>
  <c r="X129" i="12"/>
  <c r="P129" i="12"/>
  <c r="T129" i="12"/>
  <c r="L129" i="12"/>
  <c r="H105" i="12"/>
  <c r="X105" i="12"/>
  <c r="P105" i="12"/>
  <c r="AJ105" i="12"/>
  <c r="AB105" i="12"/>
  <c r="AN105" i="12"/>
  <c r="L105" i="12"/>
  <c r="T105" i="12"/>
  <c r="AF105" i="12"/>
  <c r="H81" i="12"/>
  <c r="AJ81" i="12"/>
  <c r="AB81" i="12"/>
  <c r="P81" i="12"/>
  <c r="AN81" i="12"/>
  <c r="L81" i="12"/>
  <c r="T81" i="12"/>
  <c r="X81" i="12"/>
  <c r="AF81" i="12"/>
  <c r="H60" i="12"/>
  <c r="P60" i="12"/>
  <c r="L60" i="12"/>
  <c r="AJ60" i="12"/>
  <c r="T60" i="12"/>
  <c r="AN60" i="12"/>
  <c r="X60" i="12"/>
  <c r="AF60" i="12"/>
  <c r="AB60" i="12"/>
  <c r="H42" i="12"/>
  <c r="P42" i="12"/>
  <c r="AB42" i="12"/>
  <c r="AN42" i="12"/>
  <c r="L42" i="12"/>
  <c r="AJ42" i="12"/>
  <c r="T42" i="12"/>
  <c r="X42" i="12"/>
  <c r="AF42" i="12"/>
  <c r="H24" i="12"/>
  <c r="AN24" i="12"/>
  <c r="AJ24" i="12"/>
  <c r="P24" i="12"/>
  <c r="AB24" i="12"/>
  <c r="L24" i="12"/>
  <c r="AF24" i="12"/>
  <c r="X24" i="12"/>
  <c r="T24" i="12"/>
  <c r="H162" i="12"/>
  <c r="AJ162" i="12"/>
  <c r="AN162" i="12"/>
  <c r="AB162" i="12"/>
  <c r="L162" i="12"/>
  <c r="P162" i="12"/>
  <c r="X162" i="12"/>
  <c r="AF162" i="12"/>
  <c r="T162" i="12"/>
  <c r="AA143" i="12"/>
  <c r="AM143" i="12"/>
  <c r="O143" i="12"/>
  <c r="AI143" i="12"/>
  <c r="W143" i="12"/>
  <c r="S143" i="12"/>
  <c r="K143" i="12"/>
  <c r="AE143" i="12"/>
  <c r="AQ143" i="12"/>
  <c r="W125" i="12"/>
  <c r="O125" i="12"/>
  <c r="AA125" i="12"/>
  <c r="AM125" i="12"/>
  <c r="AE125" i="12"/>
  <c r="AQ125" i="12"/>
  <c r="AI125" i="12"/>
  <c r="K125" i="12"/>
  <c r="S125" i="12"/>
  <c r="O107" i="12"/>
  <c r="AM107" i="12"/>
  <c r="S107" i="12"/>
  <c r="AQ107" i="12"/>
  <c r="AA107" i="12"/>
  <c r="AE107" i="12"/>
  <c r="K107" i="12"/>
  <c r="W107" i="12"/>
  <c r="AI107" i="12"/>
  <c r="AM89" i="12"/>
  <c r="AE89" i="12"/>
  <c r="O89" i="12"/>
  <c r="AA89" i="12"/>
  <c r="K89" i="12"/>
  <c r="S89" i="12"/>
  <c r="W89" i="12"/>
  <c r="AI89" i="12"/>
  <c r="AQ89" i="12"/>
  <c r="O71" i="12"/>
  <c r="AA71" i="12"/>
  <c r="AM71" i="12"/>
  <c r="W71" i="12"/>
  <c r="AI71" i="12"/>
  <c r="AE71" i="12"/>
  <c r="K71" i="12"/>
  <c r="S71" i="12"/>
  <c r="AQ71" i="12"/>
  <c r="AA53" i="12"/>
  <c r="AM53" i="12"/>
  <c r="O53" i="12"/>
  <c r="W53" i="12"/>
  <c r="AE53" i="12"/>
  <c r="K53" i="12"/>
  <c r="AI53" i="12"/>
  <c r="S53" i="12"/>
  <c r="AQ53" i="12"/>
  <c r="O35" i="12"/>
  <c r="AA35" i="12"/>
  <c r="AM35" i="12"/>
  <c r="AQ35" i="12"/>
  <c r="W35" i="12"/>
  <c r="AE35" i="12"/>
  <c r="AI35" i="12"/>
  <c r="S35" i="12"/>
  <c r="K35" i="12"/>
  <c r="AE17" i="12"/>
  <c r="O17" i="12"/>
  <c r="AA17" i="12"/>
  <c r="AM17" i="12"/>
  <c r="K17" i="12"/>
  <c r="W17" i="12"/>
  <c r="AI17" i="12"/>
  <c r="S17" i="12"/>
  <c r="AQ17" i="12"/>
  <c r="W157" i="12"/>
  <c r="S157" i="12"/>
  <c r="O157" i="12"/>
  <c r="AA157" i="12"/>
  <c r="AM157" i="12"/>
  <c r="K157" i="12"/>
  <c r="AI157" i="12"/>
  <c r="AQ157" i="12"/>
  <c r="AE157" i="12"/>
  <c r="AA139" i="12"/>
  <c r="AQ139" i="12"/>
  <c r="O139" i="12"/>
  <c r="AM139" i="12"/>
  <c r="K139" i="12"/>
  <c r="W139" i="12"/>
  <c r="AI139" i="12"/>
  <c r="S139" i="12"/>
  <c r="AE139" i="12"/>
  <c r="AA121" i="12"/>
  <c r="AM121" i="12"/>
  <c r="O121" i="12"/>
  <c r="AI121" i="12"/>
  <c r="AE121" i="12"/>
  <c r="AQ121" i="12"/>
  <c r="K121" i="12"/>
  <c r="W121" i="12"/>
  <c r="S121" i="12"/>
  <c r="K103" i="12"/>
  <c r="AI103" i="12"/>
  <c r="S103" i="12"/>
  <c r="O103" i="12"/>
  <c r="AA103" i="12"/>
  <c r="AM103" i="12"/>
  <c r="W103" i="12"/>
  <c r="AE103" i="12"/>
  <c r="AQ103" i="12"/>
  <c r="AM85" i="12"/>
  <c r="W85" i="12"/>
  <c r="O85" i="12"/>
  <c r="AA85" i="12"/>
  <c r="AI85" i="12"/>
  <c r="AE85" i="12"/>
  <c r="AQ85" i="12"/>
  <c r="K85" i="12"/>
  <c r="S85" i="12"/>
  <c r="AA67" i="12"/>
  <c r="AM67" i="12"/>
  <c r="O67" i="12"/>
  <c r="AE67" i="12"/>
  <c r="AI67" i="12"/>
  <c r="AQ67" i="12"/>
  <c r="K67" i="12"/>
  <c r="W67" i="12"/>
  <c r="S67" i="12"/>
  <c r="AA49" i="12"/>
  <c r="AM49" i="12"/>
  <c r="W49" i="12"/>
  <c r="AQ49" i="12"/>
  <c r="O49" i="12"/>
  <c r="AI49" i="12"/>
  <c r="S49" i="12"/>
  <c r="AE49" i="12"/>
  <c r="K49" i="12"/>
  <c r="O31" i="12"/>
  <c r="AA31" i="12"/>
  <c r="AI31" i="12"/>
  <c r="AM31" i="12"/>
  <c r="S31" i="12"/>
  <c r="W31" i="12"/>
  <c r="AE31" i="12"/>
  <c r="K31" i="12"/>
  <c r="AQ31" i="12"/>
  <c r="AM13" i="12"/>
  <c r="AI13" i="12"/>
  <c r="O13" i="12"/>
  <c r="AA13" i="12"/>
  <c r="AE13" i="12"/>
  <c r="K13" i="12"/>
  <c r="W13" i="12"/>
  <c r="S13" i="12"/>
  <c r="AQ13" i="12"/>
  <c r="Z157" i="12"/>
  <c r="V157" i="12"/>
  <c r="R157" i="12"/>
  <c r="AP157" i="12"/>
  <c r="J157" i="12"/>
  <c r="AH157" i="12"/>
  <c r="N157" i="12"/>
  <c r="AD157" i="12"/>
  <c r="AL157" i="12"/>
  <c r="R139" i="12"/>
  <c r="AH139" i="12"/>
  <c r="AD139" i="12"/>
  <c r="AP139" i="12"/>
  <c r="Z139" i="12"/>
  <c r="J139" i="12"/>
  <c r="V139" i="12"/>
  <c r="AL139" i="12"/>
  <c r="N139" i="12"/>
  <c r="AH121" i="12"/>
  <c r="R121" i="12"/>
  <c r="N121" i="12"/>
  <c r="V121" i="12"/>
  <c r="AP121" i="12"/>
  <c r="J121" i="12"/>
  <c r="AD121" i="12"/>
  <c r="AL121" i="12"/>
  <c r="Z121" i="12"/>
  <c r="V103" i="12"/>
  <c r="Z103" i="12"/>
  <c r="N103" i="12"/>
  <c r="AH103" i="12"/>
  <c r="R103" i="12"/>
  <c r="AP103" i="12"/>
  <c r="AL103" i="12"/>
  <c r="J103" i="12"/>
  <c r="AD103" i="12"/>
  <c r="AD85" i="12"/>
  <c r="N85" i="12"/>
  <c r="J85" i="12"/>
  <c r="V85" i="12"/>
  <c r="AH85" i="12"/>
  <c r="R85" i="12"/>
  <c r="AP85" i="12"/>
  <c r="Z85" i="12"/>
  <c r="AL85" i="12"/>
  <c r="AH67" i="12"/>
  <c r="AP67" i="12"/>
  <c r="V67" i="12"/>
  <c r="J67" i="12"/>
  <c r="AL67" i="12"/>
  <c r="R67" i="12"/>
  <c r="N67" i="12"/>
  <c r="AD67" i="12"/>
  <c r="Z67" i="12"/>
  <c r="R49" i="12"/>
  <c r="AL49" i="12"/>
  <c r="AH49" i="12"/>
  <c r="AD49" i="12"/>
  <c r="N49" i="12"/>
  <c r="J49" i="12"/>
  <c r="V49" i="12"/>
  <c r="AP49" i="12"/>
  <c r="Z49" i="12"/>
  <c r="AI184" i="12"/>
  <c r="O184" i="12"/>
  <c r="AA184" i="12"/>
  <c r="AM184" i="12"/>
  <c r="W184" i="12"/>
  <c r="K184" i="12"/>
  <c r="AE184" i="12"/>
  <c r="S184" i="12"/>
  <c r="AQ184" i="12"/>
  <c r="AQ166" i="12"/>
  <c r="O166" i="12"/>
  <c r="AA166" i="12"/>
  <c r="AM166" i="12"/>
  <c r="W166" i="12"/>
  <c r="AE166" i="12"/>
  <c r="K166" i="12"/>
  <c r="AI166" i="12"/>
  <c r="S166" i="12"/>
  <c r="AD178" i="12"/>
  <c r="AL178" i="12"/>
  <c r="V178" i="12"/>
  <c r="N178" i="12"/>
  <c r="J178" i="12"/>
  <c r="AH178" i="12"/>
  <c r="R178" i="12"/>
  <c r="AP178" i="12"/>
  <c r="Z178" i="12"/>
  <c r="I190" i="12"/>
  <c r="U190" i="12"/>
  <c r="AG190" i="12"/>
  <c r="AO190" i="12"/>
  <c r="Q190" i="12"/>
  <c r="Y190" i="12"/>
  <c r="M190" i="12"/>
  <c r="AC190" i="12"/>
  <c r="AK190" i="12"/>
  <c r="I169" i="12"/>
  <c r="U169" i="12"/>
  <c r="AG169" i="12"/>
  <c r="AK169" i="12"/>
  <c r="Q169" i="12"/>
  <c r="AO169" i="12"/>
  <c r="Y169" i="12"/>
  <c r="AC169" i="12"/>
  <c r="M169" i="12"/>
  <c r="AP149" i="12"/>
  <c r="AD149" i="12"/>
  <c r="AL149" i="12"/>
  <c r="V149" i="12"/>
  <c r="N149" i="12"/>
  <c r="J149" i="12"/>
  <c r="AH149" i="12"/>
  <c r="R149" i="12"/>
  <c r="Z149" i="12"/>
  <c r="N131" i="12"/>
  <c r="J131" i="12"/>
  <c r="V131" i="12"/>
  <c r="AH131" i="12"/>
  <c r="AD131" i="12"/>
  <c r="AP131" i="12"/>
  <c r="AL131" i="12"/>
  <c r="R131" i="12"/>
  <c r="Z131" i="12"/>
  <c r="AD113" i="12"/>
  <c r="V113" i="12"/>
  <c r="AH113" i="12"/>
  <c r="R113" i="12"/>
  <c r="AP113" i="12"/>
  <c r="AL113" i="12"/>
  <c r="J113" i="12"/>
  <c r="Z113" i="12"/>
  <c r="N113" i="12"/>
  <c r="AD95" i="12"/>
  <c r="AP95" i="12"/>
  <c r="J95" i="12"/>
  <c r="V95" i="12"/>
  <c r="AH95" i="12"/>
  <c r="R95" i="12"/>
  <c r="N95" i="12"/>
  <c r="Z95" i="12"/>
  <c r="AL95" i="12"/>
  <c r="AH77" i="12"/>
  <c r="N77" i="12"/>
  <c r="V77" i="12"/>
  <c r="R77" i="12"/>
  <c r="AP77" i="12"/>
  <c r="AL77" i="12"/>
  <c r="J77" i="12"/>
  <c r="AD77" i="12"/>
  <c r="Z77" i="12"/>
  <c r="J59" i="12"/>
  <c r="V59" i="12"/>
  <c r="AH59" i="12"/>
  <c r="AD59" i="12"/>
  <c r="Z59" i="12"/>
  <c r="AP59" i="12"/>
  <c r="N59" i="12"/>
  <c r="AL59" i="12"/>
  <c r="R59" i="12"/>
  <c r="J41" i="12"/>
  <c r="V41" i="12"/>
  <c r="AH41" i="12"/>
  <c r="AD41" i="12"/>
  <c r="AP41" i="12"/>
  <c r="N41" i="12"/>
  <c r="AL41" i="12"/>
  <c r="R41" i="12"/>
  <c r="Z41" i="12"/>
  <c r="AH23" i="12"/>
  <c r="R23" i="12"/>
  <c r="V23" i="12"/>
  <c r="J23" i="12"/>
  <c r="Z23" i="12"/>
  <c r="AP23" i="12"/>
  <c r="N23" i="12"/>
  <c r="AD23" i="12"/>
  <c r="AL23" i="12"/>
  <c r="I38" i="12"/>
  <c r="AG38" i="12"/>
  <c r="M38" i="12"/>
  <c r="U38" i="12"/>
  <c r="AK38" i="12"/>
  <c r="AC38" i="12"/>
  <c r="AO38" i="12"/>
  <c r="Q38" i="12"/>
  <c r="Y38" i="12"/>
  <c r="I8" i="12"/>
  <c r="U8" i="12"/>
  <c r="Q8" i="12"/>
  <c r="AO8" i="12"/>
  <c r="AG8" i="12"/>
  <c r="M8" i="12"/>
  <c r="Y8" i="12"/>
  <c r="AC8" i="12"/>
  <c r="AK8" i="12"/>
  <c r="H140" i="12"/>
  <c r="L140" i="12"/>
  <c r="AJ140" i="12"/>
  <c r="T140" i="12"/>
  <c r="P140" i="12"/>
  <c r="AB140" i="12"/>
  <c r="AN140" i="12"/>
  <c r="X140" i="12"/>
  <c r="AF140" i="12"/>
  <c r="H86" i="12"/>
  <c r="X86" i="12"/>
  <c r="AB86" i="12"/>
  <c r="T86" i="12"/>
  <c r="P86" i="12"/>
  <c r="AN86" i="12"/>
  <c r="L86" i="12"/>
  <c r="AF86" i="12"/>
  <c r="AJ86" i="12"/>
  <c r="H50" i="12"/>
  <c r="AJ50" i="12"/>
  <c r="P50" i="12"/>
  <c r="AB50" i="12"/>
  <c r="AN50" i="12"/>
  <c r="L50" i="12"/>
  <c r="X50" i="12"/>
  <c r="AF50" i="12"/>
  <c r="T50" i="12"/>
  <c r="H11" i="12"/>
  <c r="AJ11" i="12"/>
  <c r="T11" i="12"/>
  <c r="AN11" i="12"/>
  <c r="P11" i="12"/>
  <c r="AB11" i="12"/>
  <c r="X11" i="12"/>
  <c r="L11" i="12"/>
  <c r="AF11" i="12"/>
  <c r="H181" i="12"/>
  <c r="AN181" i="12"/>
  <c r="L181" i="12"/>
  <c r="P181" i="12"/>
  <c r="AB181" i="12"/>
  <c r="X181" i="12"/>
  <c r="AJ181" i="12"/>
  <c r="AF181" i="12"/>
  <c r="T181" i="12"/>
  <c r="AH161" i="12"/>
  <c r="R161" i="12"/>
  <c r="AL161" i="12"/>
  <c r="AP161" i="12"/>
  <c r="J161" i="12"/>
  <c r="V161" i="12"/>
  <c r="AD161" i="12"/>
  <c r="Z161" i="12"/>
  <c r="N161" i="12"/>
  <c r="I137" i="12"/>
  <c r="M137" i="12"/>
  <c r="Y137" i="12"/>
  <c r="AK137" i="12"/>
  <c r="Q137" i="12"/>
  <c r="AC137" i="12"/>
  <c r="AO137" i="12"/>
  <c r="U137" i="12"/>
  <c r="AG137" i="12"/>
  <c r="I101" i="12"/>
  <c r="AK101" i="12"/>
  <c r="U101" i="12"/>
  <c r="AG101" i="12"/>
  <c r="Y101" i="12"/>
  <c r="Q101" i="12"/>
  <c r="AO101" i="12"/>
  <c r="AC101" i="12"/>
  <c r="M101" i="12"/>
  <c r="I83" i="12"/>
  <c r="U83" i="12"/>
  <c r="AG83" i="12"/>
  <c r="AK83" i="12"/>
  <c r="Y83" i="12"/>
  <c r="AO83" i="12"/>
  <c r="Q83" i="12"/>
  <c r="AC83" i="12"/>
  <c r="M83" i="12"/>
  <c r="I65" i="12"/>
  <c r="U65" i="12"/>
  <c r="AC65" i="12"/>
  <c r="Y65" i="12"/>
  <c r="AG65" i="12"/>
  <c r="M65" i="12"/>
  <c r="Q65" i="12"/>
  <c r="AO65" i="12"/>
  <c r="AK65" i="12"/>
  <c r="I47" i="12"/>
  <c r="U47" i="12"/>
  <c r="Y47" i="12"/>
  <c r="AG47" i="12"/>
  <c r="Q47" i="12"/>
  <c r="AC47" i="12"/>
  <c r="M47" i="12"/>
  <c r="AO47" i="12"/>
  <c r="AK47" i="12"/>
  <c r="I14" i="12"/>
  <c r="U14" i="12"/>
  <c r="AG14" i="12"/>
  <c r="Q14" i="12"/>
  <c r="Y14" i="12"/>
  <c r="AK14" i="12"/>
  <c r="AO14" i="12"/>
  <c r="AC14" i="12"/>
  <c r="M14" i="12"/>
  <c r="H113" i="12"/>
  <c r="AN113" i="12"/>
  <c r="T113" i="12"/>
  <c r="X113" i="12"/>
  <c r="AF113" i="12"/>
  <c r="P113" i="12"/>
  <c r="AB113" i="12"/>
  <c r="L113" i="12"/>
  <c r="AJ113" i="12"/>
  <c r="H77" i="12"/>
  <c r="P77" i="12"/>
  <c r="L77" i="12"/>
  <c r="AN77" i="12"/>
  <c r="AB77" i="12"/>
  <c r="X77" i="12"/>
  <c r="T77" i="12"/>
  <c r="AJ77" i="12"/>
  <c r="AF77" i="12"/>
  <c r="H44" i="12"/>
  <c r="AB44" i="12"/>
  <c r="X44" i="12"/>
  <c r="L44" i="12"/>
  <c r="AJ44" i="12"/>
  <c r="P44" i="12"/>
  <c r="AN44" i="12"/>
  <c r="T44" i="12"/>
  <c r="AF44" i="12"/>
  <c r="H5" i="12"/>
  <c r="P5" i="12"/>
  <c r="AF5" i="12"/>
  <c r="AB5" i="12"/>
  <c r="L5" i="12"/>
  <c r="X5" i="12"/>
  <c r="AJ5" i="12"/>
  <c r="AN5" i="12"/>
  <c r="T5" i="12"/>
  <c r="AH25" i="12"/>
  <c r="AD25" i="12"/>
  <c r="V25" i="12"/>
  <c r="J25" i="12"/>
  <c r="R25" i="12"/>
  <c r="Z25" i="12"/>
  <c r="N25" i="12"/>
  <c r="AP25" i="12"/>
  <c r="AL25" i="12"/>
  <c r="AH7" i="12"/>
  <c r="R7" i="12"/>
  <c r="AL7" i="12"/>
  <c r="AP7" i="12"/>
  <c r="N7" i="12"/>
  <c r="J7" i="12"/>
  <c r="V7" i="12"/>
  <c r="AD7" i="12"/>
  <c r="Z7" i="12"/>
  <c r="I55" i="12"/>
  <c r="U55" i="12"/>
  <c r="AG55" i="12"/>
  <c r="AK55" i="12"/>
  <c r="AO55" i="12"/>
  <c r="Y55" i="12"/>
  <c r="M55" i="12"/>
  <c r="Q55" i="12"/>
  <c r="AC55" i="12"/>
  <c r="I19" i="12"/>
  <c r="U19" i="12"/>
  <c r="AG19" i="12"/>
  <c r="M19" i="12"/>
  <c r="AC19" i="12"/>
  <c r="Q19" i="12"/>
  <c r="AO19" i="12"/>
  <c r="Y19" i="12"/>
  <c r="AK19" i="12"/>
  <c r="AA12" i="12"/>
  <c r="AM12" i="12"/>
  <c r="W12" i="12"/>
  <c r="AE12" i="12"/>
  <c r="O12" i="12"/>
  <c r="AI12" i="12"/>
  <c r="S12" i="12"/>
  <c r="AQ12" i="12"/>
  <c r="K12" i="12"/>
  <c r="I160" i="12"/>
  <c r="AC160" i="12"/>
  <c r="AK160" i="12"/>
  <c r="U160" i="12"/>
  <c r="AG160" i="12"/>
  <c r="AO160" i="12"/>
  <c r="Q160" i="12"/>
  <c r="M160" i="12"/>
  <c r="Y160" i="12"/>
  <c r="I133" i="12"/>
  <c r="AG133" i="12"/>
  <c r="U133" i="12"/>
  <c r="AO133" i="12"/>
  <c r="M133" i="12"/>
  <c r="AC133" i="12"/>
  <c r="AK133" i="12"/>
  <c r="Q133" i="12"/>
  <c r="Y133" i="12"/>
  <c r="I103" i="12"/>
  <c r="U103" i="12"/>
  <c r="AG103" i="12"/>
  <c r="AO103" i="12"/>
  <c r="AC103" i="12"/>
  <c r="AK103" i="12"/>
  <c r="Q103" i="12"/>
  <c r="M103" i="12"/>
  <c r="Y103" i="12"/>
  <c r="I79" i="12"/>
  <c r="U79" i="12"/>
  <c r="AG79" i="12"/>
  <c r="AO79" i="12"/>
  <c r="AK79" i="12"/>
  <c r="AC79" i="12"/>
  <c r="Q79" i="12"/>
  <c r="Y79" i="12"/>
  <c r="M79" i="12"/>
  <c r="I46" i="12"/>
  <c r="U46" i="12"/>
  <c r="AO46" i="12"/>
  <c r="Y46" i="12"/>
  <c r="AG46" i="12"/>
  <c r="AC46" i="12"/>
  <c r="M46" i="12"/>
  <c r="AK46" i="12"/>
  <c r="Q46" i="12"/>
  <c r="I10" i="12"/>
  <c r="AG10" i="12"/>
  <c r="Q10" i="12"/>
  <c r="M10" i="12"/>
  <c r="U10" i="12"/>
  <c r="AC10" i="12"/>
  <c r="Y10" i="12"/>
  <c r="AO10" i="12"/>
  <c r="AK10" i="12"/>
  <c r="AH60" i="12"/>
  <c r="V60" i="12"/>
  <c r="J60" i="12"/>
  <c r="AD60" i="12"/>
  <c r="N60" i="12"/>
  <c r="AL60" i="12"/>
  <c r="R60" i="12"/>
  <c r="AP60" i="12"/>
  <c r="Z60" i="12"/>
  <c r="AM156" i="12"/>
  <c r="O156" i="12"/>
  <c r="AA156" i="12"/>
  <c r="W156" i="12"/>
  <c r="AE156" i="12"/>
  <c r="K156" i="12"/>
  <c r="S156" i="12"/>
  <c r="AQ156" i="12"/>
  <c r="AI156" i="12"/>
  <c r="AA129" i="12"/>
  <c r="O129" i="12"/>
  <c r="AM129" i="12"/>
  <c r="AE129" i="12"/>
  <c r="AI129" i="12"/>
  <c r="K129" i="12"/>
  <c r="W129" i="12"/>
  <c r="AQ129" i="12"/>
  <c r="S129" i="12"/>
  <c r="O96" i="12"/>
  <c r="AM96" i="12"/>
  <c r="S96" i="12"/>
  <c r="AA96" i="12"/>
  <c r="K96" i="12"/>
  <c r="AQ96" i="12"/>
  <c r="AE96" i="12"/>
  <c r="W96" i="12"/>
  <c r="AI96" i="12"/>
  <c r="AA51" i="12"/>
  <c r="AM51" i="12"/>
  <c r="S51" i="12"/>
  <c r="O51" i="12"/>
  <c r="W51" i="12"/>
  <c r="AI51" i="12"/>
  <c r="K51" i="12"/>
  <c r="AE51" i="12"/>
  <c r="AQ51" i="12"/>
  <c r="AD48" i="12"/>
  <c r="AH48" i="12"/>
  <c r="J48" i="12"/>
  <c r="V48" i="12"/>
  <c r="R48" i="12"/>
  <c r="AP48" i="12"/>
  <c r="N48" i="12"/>
  <c r="Z48" i="12"/>
  <c r="AL48" i="12"/>
  <c r="AQ141" i="12"/>
  <c r="O141" i="12"/>
  <c r="AA141" i="12"/>
  <c r="AM141" i="12"/>
  <c r="AE141" i="12"/>
  <c r="W141" i="12"/>
  <c r="AI141" i="12"/>
  <c r="K141" i="12"/>
  <c r="S141" i="12"/>
  <c r="K99" i="12"/>
  <c r="AE99" i="12"/>
  <c r="O99" i="12"/>
  <c r="AA99" i="12"/>
  <c r="AM99" i="12"/>
  <c r="W99" i="12"/>
  <c r="S99" i="12"/>
  <c r="AI99" i="12"/>
  <c r="AQ99" i="12"/>
  <c r="AA69" i="12"/>
  <c r="AM69" i="12"/>
  <c r="K69" i="12"/>
  <c r="AQ69" i="12"/>
  <c r="O69" i="12"/>
  <c r="W69" i="12"/>
  <c r="S69" i="12"/>
  <c r="AE69" i="12"/>
  <c r="AI69" i="12"/>
  <c r="AI21" i="12"/>
  <c r="O21" i="12"/>
  <c r="AA21" i="12"/>
  <c r="AM21" i="12"/>
  <c r="K21" i="12"/>
  <c r="AQ21" i="12"/>
  <c r="AE21" i="12"/>
  <c r="W21" i="12"/>
  <c r="S21" i="12"/>
  <c r="AP159" i="12"/>
  <c r="R159" i="12"/>
  <c r="AL159" i="12"/>
  <c r="V159" i="12"/>
  <c r="J159" i="12"/>
  <c r="AH159" i="12"/>
  <c r="AD159" i="12"/>
  <c r="Z159" i="12"/>
  <c r="N159" i="12"/>
  <c r="V141" i="12"/>
  <c r="AP141" i="12"/>
  <c r="J141" i="12"/>
  <c r="AH141" i="12"/>
  <c r="AD141" i="12"/>
  <c r="Z141" i="12"/>
  <c r="R141" i="12"/>
  <c r="N141" i="12"/>
  <c r="AL141" i="12"/>
  <c r="V123" i="12"/>
  <c r="AH123" i="12"/>
  <c r="N123" i="12"/>
  <c r="R123" i="12"/>
  <c r="AP123" i="12"/>
  <c r="J123" i="12"/>
  <c r="AD123" i="12"/>
  <c r="AL123" i="12"/>
  <c r="Z123" i="12"/>
  <c r="V105" i="12"/>
  <c r="AH105" i="12"/>
  <c r="AD105" i="12"/>
  <c r="Z105" i="12"/>
  <c r="AP105" i="12"/>
  <c r="N105" i="12"/>
  <c r="J105" i="12"/>
  <c r="R105" i="12"/>
  <c r="AL105" i="12"/>
  <c r="V87" i="12"/>
  <c r="AH87" i="12"/>
  <c r="AP87" i="12"/>
  <c r="AD87" i="12"/>
  <c r="J87" i="12"/>
  <c r="R87" i="12"/>
  <c r="N87" i="12"/>
  <c r="Z87" i="12"/>
  <c r="AL87" i="12"/>
  <c r="J63" i="12"/>
  <c r="V63" i="12"/>
  <c r="AH63" i="12"/>
  <c r="AD63" i="12"/>
  <c r="AP63" i="12"/>
  <c r="N63" i="12"/>
  <c r="AL63" i="12"/>
  <c r="R63" i="12"/>
  <c r="Z63" i="12"/>
  <c r="H48" i="12"/>
  <c r="AN48" i="12"/>
  <c r="L48" i="12"/>
  <c r="T48" i="12"/>
  <c r="P48" i="12"/>
  <c r="AB48" i="12"/>
  <c r="X48" i="12"/>
  <c r="AF48" i="12"/>
  <c r="AJ48" i="12"/>
  <c r="O23" i="12"/>
  <c r="AA23" i="12"/>
  <c r="AM23" i="12"/>
  <c r="AQ23" i="12"/>
  <c r="AI23" i="12"/>
  <c r="W23" i="12"/>
  <c r="AE23" i="12"/>
  <c r="K23" i="12"/>
  <c r="S23" i="12"/>
  <c r="K19" i="12"/>
  <c r="AI19" i="12"/>
  <c r="AQ19" i="12"/>
  <c r="O19" i="12"/>
  <c r="AA19" i="12"/>
  <c r="AM19" i="12"/>
  <c r="W19" i="12"/>
  <c r="AE19" i="12"/>
  <c r="S19" i="12"/>
  <c r="Z184" i="12"/>
  <c r="AP184" i="12"/>
  <c r="N184" i="12"/>
  <c r="J184" i="12"/>
  <c r="V184" i="12"/>
  <c r="AH184" i="12"/>
  <c r="R184" i="12"/>
  <c r="AD184" i="12"/>
  <c r="AL184" i="12"/>
  <c r="V47" i="12"/>
  <c r="AH47" i="12"/>
  <c r="R47" i="12"/>
  <c r="AP47" i="12"/>
  <c r="J47" i="12"/>
  <c r="AD47" i="12"/>
  <c r="Z47" i="12"/>
  <c r="AL47" i="12"/>
  <c r="N47" i="12"/>
  <c r="H169" i="12"/>
  <c r="AJ169" i="12"/>
  <c r="AF169" i="12"/>
  <c r="X169" i="12"/>
  <c r="AB169" i="12"/>
  <c r="P169" i="12"/>
  <c r="AN169" i="12"/>
  <c r="T169" i="12"/>
  <c r="L169" i="12"/>
  <c r="I53" i="12"/>
  <c r="U53" i="12"/>
  <c r="AO53" i="12"/>
  <c r="M53" i="12"/>
  <c r="AK53" i="12"/>
  <c r="AG53" i="12"/>
  <c r="AC53" i="12"/>
  <c r="Y53" i="12"/>
  <c r="Q53" i="12"/>
  <c r="H20" i="12"/>
  <c r="L20" i="12"/>
  <c r="AF20" i="12"/>
  <c r="AB20" i="12"/>
  <c r="P20" i="12"/>
  <c r="AN20" i="12"/>
  <c r="AJ20" i="12"/>
  <c r="T20" i="12"/>
  <c r="X20" i="12"/>
  <c r="I109" i="12"/>
  <c r="AG109" i="12"/>
  <c r="AK109" i="12"/>
  <c r="U109" i="12"/>
  <c r="AC109" i="12"/>
  <c r="Y109" i="12"/>
  <c r="Q109" i="12"/>
  <c r="AO109" i="12"/>
  <c r="M109" i="12"/>
  <c r="AM9" i="12"/>
  <c r="AQ9" i="12"/>
  <c r="O9" i="12"/>
  <c r="AA9" i="12"/>
  <c r="K9" i="12"/>
  <c r="W9" i="12"/>
  <c r="AI9" i="12"/>
  <c r="S9" i="12"/>
  <c r="AE9" i="12"/>
  <c r="AA177" i="12"/>
  <c r="AM177" i="12"/>
  <c r="O177" i="12"/>
  <c r="AI177" i="12"/>
  <c r="AQ177" i="12"/>
  <c r="K177" i="12"/>
  <c r="W177" i="12"/>
  <c r="S177" i="12"/>
  <c r="AE177" i="12"/>
  <c r="H91" i="12"/>
  <c r="AN91" i="12"/>
  <c r="T91" i="12"/>
  <c r="P91" i="12"/>
  <c r="X91" i="12"/>
  <c r="AB91" i="12"/>
  <c r="AJ91" i="12"/>
  <c r="AF91" i="12"/>
  <c r="L91" i="12"/>
  <c r="R170" i="12"/>
  <c r="AL170" i="12"/>
  <c r="Z170" i="12"/>
  <c r="V170" i="12"/>
  <c r="J170" i="12"/>
  <c r="AH170" i="12"/>
  <c r="N170" i="12"/>
  <c r="AP170" i="12"/>
  <c r="AD170" i="12"/>
  <c r="I39" i="12"/>
  <c r="AG39" i="12"/>
  <c r="U39" i="12"/>
  <c r="M39" i="12"/>
  <c r="AO39" i="12"/>
  <c r="Y39" i="12"/>
  <c r="Q39" i="12"/>
  <c r="AC39" i="12"/>
  <c r="AK39" i="12"/>
  <c r="O189" i="12"/>
  <c r="W189" i="12"/>
  <c r="AQ189" i="12"/>
  <c r="AA189" i="12"/>
  <c r="AM189" i="12"/>
  <c r="AI189" i="12"/>
  <c r="S189" i="12"/>
  <c r="K189" i="12"/>
  <c r="AE189" i="12"/>
  <c r="O171" i="12"/>
  <c r="AA171" i="12"/>
  <c r="AM171" i="12"/>
  <c r="S171" i="12"/>
  <c r="K171" i="12"/>
  <c r="W171" i="12"/>
  <c r="AI171" i="12"/>
  <c r="AQ171" i="12"/>
  <c r="AE171" i="12"/>
  <c r="AD186" i="12"/>
  <c r="J186" i="12"/>
  <c r="V186" i="12"/>
  <c r="AH186" i="12"/>
  <c r="Z186" i="12"/>
  <c r="N186" i="12"/>
  <c r="R186" i="12"/>
  <c r="AP186" i="12"/>
  <c r="AL186" i="12"/>
  <c r="AH168" i="12"/>
  <c r="N168" i="12"/>
  <c r="AP168" i="12"/>
  <c r="AL168" i="12"/>
  <c r="V168" i="12"/>
  <c r="AD168" i="12"/>
  <c r="J168" i="12"/>
  <c r="R168" i="12"/>
  <c r="Z168" i="12"/>
  <c r="I183" i="12"/>
  <c r="Q183" i="12"/>
  <c r="U183" i="12"/>
  <c r="AG183" i="12"/>
  <c r="AO183" i="12"/>
  <c r="AC183" i="12"/>
  <c r="AK183" i="12"/>
  <c r="M183" i="12"/>
  <c r="Y183" i="12"/>
  <c r="I165" i="12"/>
  <c r="U165" i="12"/>
  <c r="AG165" i="12"/>
  <c r="Q165" i="12"/>
  <c r="AC165" i="12"/>
  <c r="Y165" i="12"/>
  <c r="AO165" i="12"/>
  <c r="AK165" i="12"/>
  <c r="M165" i="12"/>
  <c r="H174" i="12"/>
  <c r="AB174" i="12"/>
  <c r="AF174" i="12"/>
  <c r="AJ174" i="12"/>
  <c r="P174" i="12"/>
  <c r="AN174" i="12"/>
  <c r="L174" i="12"/>
  <c r="T174" i="12"/>
  <c r="X174" i="12"/>
  <c r="O188" i="12"/>
  <c r="AA188" i="12"/>
  <c r="AM188" i="12"/>
  <c r="AE188" i="12"/>
  <c r="AI188" i="12"/>
  <c r="S188" i="12"/>
  <c r="AQ188" i="12"/>
  <c r="W188" i="12"/>
  <c r="K188" i="12"/>
  <c r="AI170" i="12"/>
  <c r="O170" i="12"/>
  <c r="AA170" i="12"/>
  <c r="AM170" i="12"/>
  <c r="K170" i="12"/>
  <c r="AQ170" i="12"/>
  <c r="W170" i="12"/>
  <c r="AE170" i="12"/>
  <c r="S170" i="12"/>
  <c r="H139" i="12"/>
  <c r="AB139" i="12"/>
  <c r="T139" i="12"/>
  <c r="P139" i="12"/>
  <c r="AN139" i="12"/>
  <c r="X139" i="12"/>
  <c r="L139" i="12"/>
  <c r="AJ139" i="12"/>
  <c r="AF139" i="12"/>
  <c r="H106" i="12"/>
  <c r="X106" i="12"/>
  <c r="AB106" i="12"/>
  <c r="AN106" i="12"/>
  <c r="AJ106" i="12"/>
  <c r="L106" i="12"/>
  <c r="T106" i="12"/>
  <c r="AF106" i="12"/>
  <c r="P106" i="12"/>
  <c r="H85" i="12"/>
  <c r="AN85" i="12"/>
  <c r="T85" i="12"/>
  <c r="AB85" i="12"/>
  <c r="X85" i="12"/>
  <c r="AF85" i="12"/>
  <c r="P85" i="12"/>
  <c r="L85" i="12"/>
  <c r="AJ85" i="12"/>
  <c r="H64" i="12"/>
  <c r="P64" i="12"/>
  <c r="AN64" i="12"/>
  <c r="AB64" i="12"/>
  <c r="AF64" i="12"/>
  <c r="L64" i="12"/>
  <c r="AJ64" i="12"/>
  <c r="T64" i="12"/>
  <c r="X64" i="12"/>
  <c r="H46" i="12"/>
  <c r="AN46" i="12"/>
  <c r="X46" i="12"/>
  <c r="AJ46" i="12"/>
  <c r="T46" i="12"/>
  <c r="AF46" i="12"/>
  <c r="P46" i="12"/>
  <c r="AB46" i="12"/>
  <c r="L46" i="12"/>
  <c r="H28" i="12"/>
  <c r="AB28" i="12"/>
  <c r="T28" i="12"/>
  <c r="P28" i="12"/>
  <c r="AN28" i="12"/>
  <c r="AJ28" i="12"/>
  <c r="X28" i="12"/>
  <c r="L28" i="12"/>
  <c r="AF28" i="12"/>
  <c r="H10" i="12"/>
  <c r="AF10" i="12"/>
  <c r="AB10" i="12"/>
  <c r="AN10" i="12"/>
  <c r="T10" i="12"/>
  <c r="P10" i="12"/>
  <c r="L10" i="12"/>
  <c r="X10" i="12"/>
  <c r="AJ10" i="12"/>
  <c r="AH182" i="12"/>
  <c r="AD182" i="12"/>
  <c r="AP182" i="12"/>
  <c r="V182" i="12"/>
  <c r="AL182" i="12"/>
  <c r="J182" i="12"/>
  <c r="N182" i="12"/>
  <c r="R182" i="12"/>
  <c r="Z182" i="12"/>
  <c r="AH164" i="12"/>
  <c r="N164" i="12"/>
  <c r="R164" i="12"/>
  <c r="AL164" i="12"/>
  <c r="J164" i="12"/>
  <c r="V164" i="12"/>
  <c r="AP164" i="12"/>
  <c r="AD164" i="12"/>
  <c r="Z164" i="12"/>
  <c r="I176" i="12"/>
  <c r="U176" i="12"/>
  <c r="AG176" i="12"/>
  <c r="Q176" i="12"/>
  <c r="AC176" i="12"/>
  <c r="AO176" i="12"/>
  <c r="M176" i="12"/>
  <c r="Y176" i="12"/>
  <c r="AK176" i="12"/>
  <c r="H191" i="12"/>
  <c r="AB191" i="12"/>
  <c r="X191" i="12"/>
  <c r="AF191" i="12"/>
  <c r="P191" i="12"/>
  <c r="AN191" i="12"/>
  <c r="T191" i="12"/>
  <c r="L191" i="12"/>
  <c r="AJ191" i="12"/>
  <c r="H173" i="12"/>
  <c r="AN173" i="12"/>
  <c r="X173" i="12"/>
  <c r="P173" i="12"/>
  <c r="AB173" i="12"/>
  <c r="AF173" i="12"/>
  <c r="L173" i="12"/>
  <c r="AJ173" i="12"/>
  <c r="T173" i="12"/>
  <c r="I156" i="12"/>
  <c r="U156" i="12"/>
  <c r="Q156" i="12"/>
  <c r="AK156" i="12"/>
  <c r="AG156" i="12"/>
  <c r="AO156" i="12"/>
  <c r="AC156" i="12"/>
  <c r="Y156" i="12"/>
  <c r="M156" i="12"/>
  <c r="I132" i="12"/>
  <c r="U132" i="12"/>
  <c r="AG132" i="12"/>
  <c r="Q132" i="12"/>
  <c r="AO132" i="12"/>
  <c r="AK132" i="12"/>
  <c r="AC132" i="12"/>
  <c r="Y132" i="12"/>
  <c r="M132" i="12"/>
  <c r="I108" i="12"/>
  <c r="U108" i="12"/>
  <c r="AG108" i="12"/>
  <c r="AO108" i="12"/>
  <c r="AC108" i="12"/>
  <c r="M108" i="12"/>
  <c r="AK108" i="12"/>
  <c r="Q108" i="12"/>
  <c r="Y108" i="12"/>
  <c r="I87" i="12"/>
  <c r="U87" i="12"/>
  <c r="AG87" i="12"/>
  <c r="Q87" i="12"/>
  <c r="Y87" i="12"/>
  <c r="AC87" i="12"/>
  <c r="AO87" i="12"/>
  <c r="AK87" i="12"/>
  <c r="M87" i="12"/>
  <c r="I69" i="12"/>
  <c r="U69" i="12"/>
  <c r="AG69" i="12"/>
  <c r="AC69" i="12"/>
  <c r="Y69" i="12"/>
  <c r="AO69" i="12"/>
  <c r="Q69" i="12"/>
  <c r="M69" i="12"/>
  <c r="AK69" i="12"/>
  <c r="I51" i="12"/>
  <c r="U51" i="12"/>
  <c r="AG51" i="12"/>
  <c r="Q51" i="12"/>
  <c r="AO51" i="12"/>
  <c r="Y51" i="12"/>
  <c r="M51" i="12"/>
  <c r="AK51" i="12"/>
  <c r="AC51" i="12"/>
  <c r="I33" i="12"/>
  <c r="U33" i="12"/>
  <c r="Q33" i="12"/>
  <c r="AG33" i="12"/>
  <c r="M33" i="12"/>
  <c r="AO33" i="12"/>
  <c r="Y33" i="12"/>
  <c r="AC33" i="12"/>
  <c r="AK33" i="12"/>
  <c r="I15" i="12"/>
  <c r="M15" i="12"/>
  <c r="U15" i="12"/>
  <c r="AG15" i="12"/>
  <c r="AO15" i="12"/>
  <c r="Q15" i="12"/>
  <c r="AC15" i="12"/>
  <c r="AK15" i="12"/>
  <c r="Y15" i="12"/>
  <c r="AA113" i="12"/>
  <c r="AM113" i="12"/>
  <c r="K113" i="12"/>
  <c r="AI113" i="12"/>
  <c r="O113" i="12"/>
  <c r="AQ113" i="12"/>
  <c r="W113" i="12"/>
  <c r="S113" i="12"/>
  <c r="AE113" i="12"/>
  <c r="O73" i="12"/>
  <c r="AA73" i="12"/>
  <c r="AM73" i="12"/>
  <c r="S73" i="12"/>
  <c r="AI73" i="12"/>
  <c r="K73" i="12"/>
  <c r="W73" i="12"/>
  <c r="AQ73" i="12"/>
  <c r="AE73" i="12"/>
  <c r="I175" i="12"/>
  <c r="U175" i="12"/>
  <c r="Q175" i="12"/>
  <c r="AO175" i="12"/>
  <c r="AK175" i="12"/>
  <c r="AG175" i="12"/>
  <c r="M175" i="12"/>
  <c r="Y175" i="12"/>
  <c r="AC175" i="12"/>
  <c r="H98" i="12"/>
  <c r="AB98" i="12"/>
  <c r="AF98" i="12"/>
  <c r="AJ98" i="12"/>
  <c r="P98" i="12"/>
  <c r="AN98" i="12"/>
  <c r="X98" i="12"/>
  <c r="L98" i="12"/>
  <c r="T98" i="12"/>
  <c r="H89" i="12"/>
  <c r="X89" i="12"/>
  <c r="T89" i="12"/>
  <c r="P89" i="12"/>
  <c r="AB89" i="12"/>
  <c r="AJ89" i="12"/>
  <c r="AN89" i="12"/>
  <c r="L89" i="12"/>
  <c r="AF89" i="12"/>
  <c r="I85" i="12"/>
  <c r="U85" i="12"/>
  <c r="AO85" i="12"/>
  <c r="M85" i="12"/>
  <c r="AG85" i="12"/>
  <c r="AC85" i="12"/>
  <c r="Y85" i="12"/>
  <c r="AK85" i="12"/>
  <c r="Q85" i="12"/>
  <c r="AM111" i="12"/>
  <c r="K111" i="12"/>
  <c r="O111" i="12"/>
  <c r="AA111" i="12"/>
  <c r="W111" i="12"/>
  <c r="AE111" i="12"/>
  <c r="AQ111" i="12"/>
  <c r="S111" i="12"/>
  <c r="AI111" i="12"/>
  <c r="AD75" i="12"/>
  <c r="N75" i="12"/>
  <c r="V75" i="12"/>
  <c r="AP75" i="12"/>
  <c r="AL75" i="12"/>
  <c r="J75" i="12"/>
  <c r="AH75" i="12"/>
  <c r="R75" i="12"/>
  <c r="Z75" i="12"/>
  <c r="R174" i="12"/>
  <c r="Z174" i="12"/>
  <c r="AD174" i="12"/>
  <c r="N174" i="12"/>
  <c r="J174" i="12"/>
  <c r="V174" i="12"/>
  <c r="AH174" i="12"/>
  <c r="AP174" i="12"/>
  <c r="AL174" i="12"/>
  <c r="H179" i="12"/>
  <c r="AN179" i="12"/>
  <c r="P179" i="12"/>
  <c r="AB179" i="12"/>
  <c r="L179" i="12"/>
  <c r="X179" i="12"/>
  <c r="AJ179" i="12"/>
  <c r="T179" i="12"/>
  <c r="AF179" i="12"/>
  <c r="H153" i="12"/>
  <c r="X153" i="12"/>
  <c r="AN153" i="12"/>
  <c r="L153" i="12"/>
  <c r="P153" i="12"/>
  <c r="AB153" i="12"/>
  <c r="T153" i="12"/>
  <c r="AJ153" i="12"/>
  <c r="AF153" i="12"/>
  <c r="H126" i="12"/>
  <c r="L126" i="12"/>
  <c r="AB126" i="12"/>
  <c r="P126" i="12"/>
  <c r="AN126" i="12"/>
  <c r="X126" i="12"/>
  <c r="AJ126" i="12"/>
  <c r="AF126" i="12"/>
  <c r="T126" i="12"/>
  <c r="H102" i="12"/>
  <c r="X102" i="12"/>
  <c r="AF102" i="12"/>
  <c r="T102" i="12"/>
  <c r="P102" i="12"/>
  <c r="AN102" i="12"/>
  <c r="AB102" i="12"/>
  <c r="L102" i="12"/>
  <c r="AJ102" i="12"/>
  <c r="H78" i="12"/>
  <c r="AB78" i="12"/>
  <c r="X78" i="12"/>
  <c r="AJ78" i="12"/>
  <c r="T78" i="12"/>
  <c r="P78" i="12"/>
  <c r="AN78" i="12"/>
  <c r="L78" i="12"/>
  <c r="AF78" i="12"/>
  <c r="H57" i="12"/>
  <c r="AB57" i="12"/>
  <c r="L57" i="12"/>
  <c r="AJ57" i="12"/>
  <c r="AN57" i="12"/>
  <c r="AF57" i="12"/>
  <c r="P57" i="12"/>
  <c r="X57" i="12"/>
  <c r="T57" i="12"/>
  <c r="H39" i="12"/>
  <c r="AF39" i="12"/>
  <c r="L39" i="12"/>
  <c r="P39" i="12"/>
  <c r="AB39" i="12"/>
  <c r="AJ39" i="12"/>
  <c r="T39" i="12"/>
  <c r="AN39" i="12"/>
  <c r="X39" i="12"/>
  <c r="H18" i="12"/>
  <c r="AB18" i="12"/>
  <c r="AN18" i="12"/>
  <c r="L18" i="12"/>
  <c r="AF18" i="12"/>
  <c r="P18" i="12"/>
  <c r="X18" i="12"/>
  <c r="T18" i="12"/>
  <c r="AJ18" i="12"/>
  <c r="AE158" i="12"/>
  <c r="O158" i="12"/>
  <c r="AA158" i="12"/>
  <c r="AM158" i="12"/>
  <c r="AI158" i="12"/>
  <c r="S158" i="12"/>
  <c r="AQ158" i="12"/>
  <c r="W158" i="12"/>
  <c r="K158" i="12"/>
  <c r="AQ140" i="12"/>
  <c r="O140" i="12"/>
  <c r="AA140" i="12"/>
  <c r="AM140" i="12"/>
  <c r="S140" i="12"/>
  <c r="K140" i="12"/>
  <c r="W140" i="12"/>
  <c r="AI140" i="12"/>
  <c r="AE140" i="12"/>
  <c r="AI122" i="12"/>
  <c r="O122" i="12"/>
  <c r="AA122" i="12"/>
  <c r="AM122" i="12"/>
  <c r="W122" i="12"/>
  <c r="AQ122" i="12"/>
  <c r="K122" i="12"/>
  <c r="AE122" i="12"/>
  <c r="S122" i="12"/>
  <c r="AM104" i="12"/>
  <c r="K104" i="12"/>
  <c r="O104" i="12"/>
  <c r="AA104" i="12"/>
  <c r="W104" i="12"/>
  <c r="AQ104" i="12"/>
  <c r="AE104" i="12"/>
  <c r="AI104" i="12"/>
  <c r="S104" i="12"/>
  <c r="AA86" i="12"/>
  <c r="K86" i="12"/>
  <c r="W86" i="12"/>
  <c r="AE86" i="12"/>
  <c r="O86" i="12"/>
  <c r="AM86" i="12"/>
  <c r="S86" i="12"/>
  <c r="AI86" i="12"/>
  <c r="AQ86" i="12"/>
  <c r="O68" i="12"/>
  <c r="AA68" i="12"/>
  <c r="AM68" i="12"/>
  <c r="W68" i="12"/>
  <c r="AI68" i="12"/>
  <c r="AE68" i="12"/>
  <c r="S68" i="12"/>
  <c r="AQ68" i="12"/>
  <c r="K68" i="12"/>
  <c r="AA50" i="12"/>
  <c r="AM50" i="12"/>
  <c r="AI50" i="12"/>
  <c r="S50" i="12"/>
  <c r="AQ50" i="12"/>
  <c r="O50" i="12"/>
  <c r="W50" i="12"/>
  <c r="K50" i="12"/>
  <c r="AE50" i="12"/>
  <c r="AA32" i="12"/>
  <c r="AM32" i="12"/>
  <c r="AI32" i="12"/>
  <c r="O32" i="12"/>
  <c r="W32" i="12"/>
  <c r="S32" i="12"/>
  <c r="AE32" i="12"/>
  <c r="K32" i="12"/>
  <c r="AQ32" i="12"/>
  <c r="AA14" i="12"/>
  <c r="AI14" i="12"/>
  <c r="O14" i="12"/>
  <c r="AM14" i="12"/>
  <c r="K14" i="12"/>
  <c r="W14" i="12"/>
  <c r="S14" i="12"/>
  <c r="AE14" i="12"/>
  <c r="AQ14" i="12"/>
  <c r="O154" i="12"/>
  <c r="AA154" i="12"/>
  <c r="AM154" i="12"/>
  <c r="AE154" i="12"/>
  <c r="W154" i="12"/>
  <c r="AQ154" i="12"/>
  <c r="K154" i="12"/>
  <c r="AI154" i="12"/>
  <c r="S154" i="12"/>
  <c r="AA136" i="12"/>
  <c r="AM136" i="12"/>
  <c r="W136" i="12"/>
  <c r="AE136" i="12"/>
  <c r="O136" i="12"/>
  <c r="AI136" i="12"/>
  <c r="S136" i="12"/>
  <c r="K136" i="12"/>
  <c r="AQ136" i="12"/>
  <c r="AA118" i="12"/>
  <c r="AM118" i="12"/>
  <c r="W118" i="12"/>
  <c r="S118" i="12"/>
  <c r="O118" i="12"/>
  <c r="AI118" i="12"/>
  <c r="AE118" i="12"/>
  <c r="AQ118" i="12"/>
  <c r="K118" i="12"/>
  <c r="W100" i="12"/>
  <c r="S100" i="12"/>
  <c r="O100" i="12"/>
  <c r="AA100" i="12"/>
  <c r="AM100" i="12"/>
  <c r="AI100" i="12"/>
  <c r="K100" i="12"/>
  <c r="AE100" i="12"/>
  <c r="AQ100" i="12"/>
  <c r="O82" i="12"/>
  <c r="AA82" i="12"/>
  <c r="AQ82" i="12"/>
  <c r="AM82" i="12"/>
  <c r="AI82" i="12"/>
  <c r="AE82" i="12"/>
  <c r="W82" i="12"/>
  <c r="S82" i="12"/>
  <c r="K82" i="12"/>
  <c r="AA64" i="12"/>
  <c r="AI64" i="12"/>
  <c r="O64" i="12"/>
  <c r="AM64" i="12"/>
  <c r="K64" i="12"/>
  <c r="AQ64" i="12"/>
  <c r="W64" i="12"/>
  <c r="S64" i="12"/>
  <c r="AE64" i="12"/>
  <c r="AA46" i="12"/>
  <c r="W46" i="12"/>
  <c r="AQ46" i="12"/>
  <c r="O46" i="12"/>
  <c r="AM46" i="12"/>
  <c r="K46" i="12"/>
  <c r="AI46" i="12"/>
  <c r="S46" i="12"/>
  <c r="AE46" i="12"/>
  <c r="AA28" i="12"/>
  <c r="O28" i="12"/>
  <c r="AM28" i="12"/>
  <c r="S28" i="12"/>
  <c r="AI28" i="12"/>
  <c r="AE28" i="12"/>
  <c r="K28" i="12"/>
  <c r="W28" i="12"/>
  <c r="AQ28" i="12"/>
  <c r="O10" i="12"/>
  <c r="AA10" i="12"/>
  <c r="AM10" i="12"/>
  <c r="W10" i="12"/>
  <c r="S10" i="12"/>
  <c r="AQ10" i="12"/>
  <c r="K10" i="12"/>
  <c r="AI10" i="12"/>
  <c r="AE10" i="12"/>
  <c r="R154" i="12"/>
  <c r="N154" i="12"/>
  <c r="V154" i="12"/>
  <c r="AH154" i="12"/>
  <c r="J154" i="12"/>
  <c r="Z154" i="12"/>
  <c r="AD154" i="12"/>
  <c r="AP154" i="12"/>
  <c r="AL154" i="12"/>
  <c r="V136" i="12"/>
  <c r="AH136" i="12"/>
  <c r="Z136" i="12"/>
  <c r="R136" i="12"/>
  <c r="J136" i="12"/>
  <c r="N136" i="12"/>
  <c r="AL136" i="12"/>
  <c r="AD136" i="12"/>
  <c r="AP136" i="12"/>
  <c r="J118" i="12"/>
  <c r="AH118" i="12"/>
  <c r="R118" i="12"/>
  <c r="AL118" i="12"/>
  <c r="V118" i="12"/>
  <c r="AD118" i="12"/>
  <c r="Z118" i="12"/>
  <c r="AP118" i="12"/>
  <c r="N118" i="12"/>
  <c r="V100" i="12"/>
  <c r="Z100" i="12"/>
  <c r="AH100" i="12"/>
  <c r="AD100" i="12"/>
  <c r="N100" i="12"/>
  <c r="J100" i="12"/>
  <c r="R100" i="12"/>
  <c r="AP100" i="12"/>
  <c r="AL100" i="12"/>
  <c r="Z82" i="12"/>
  <c r="AD82" i="12"/>
  <c r="AL82" i="12"/>
  <c r="AP82" i="12"/>
  <c r="J82" i="12"/>
  <c r="V82" i="12"/>
  <c r="AH82" i="12"/>
  <c r="R82" i="12"/>
  <c r="N82" i="12"/>
  <c r="V64" i="12"/>
  <c r="AD64" i="12"/>
  <c r="N64" i="12"/>
  <c r="J64" i="12"/>
  <c r="R64" i="12"/>
  <c r="AP64" i="12"/>
  <c r="AH64" i="12"/>
  <c r="AL64" i="12"/>
  <c r="Z64" i="12"/>
  <c r="AH46" i="12"/>
  <c r="R46" i="12"/>
  <c r="AP46" i="12"/>
  <c r="N46" i="12"/>
  <c r="AL46" i="12"/>
  <c r="J46" i="12"/>
  <c r="V46" i="12"/>
  <c r="AD46" i="12"/>
  <c r="Z46" i="12"/>
  <c r="AA181" i="12"/>
  <c r="W181" i="12"/>
  <c r="AE181" i="12"/>
  <c r="O181" i="12"/>
  <c r="AM181" i="12"/>
  <c r="AQ181" i="12"/>
  <c r="K181" i="12"/>
  <c r="AI181" i="12"/>
  <c r="S181" i="12"/>
  <c r="J193" i="12"/>
  <c r="V193" i="12"/>
  <c r="AH193" i="12"/>
  <c r="R193" i="12"/>
  <c r="AD193" i="12"/>
  <c r="AP193" i="12"/>
  <c r="N193" i="12"/>
  <c r="Z193" i="12"/>
  <c r="AL193" i="12"/>
  <c r="AH175" i="12"/>
  <c r="AL175" i="12"/>
  <c r="R175" i="12"/>
  <c r="AD175" i="12"/>
  <c r="N175" i="12"/>
  <c r="J175" i="12"/>
  <c r="V175" i="12"/>
  <c r="AP175" i="12"/>
  <c r="Z175" i="12"/>
  <c r="I187" i="12"/>
  <c r="U187" i="12"/>
  <c r="AG187" i="12"/>
  <c r="M187" i="12"/>
  <c r="Q187" i="12"/>
  <c r="AK187" i="12"/>
  <c r="AC187" i="12"/>
  <c r="Y187" i="12"/>
  <c r="AO187" i="12"/>
  <c r="I166" i="12"/>
  <c r="U166" i="12"/>
  <c r="AG166" i="12"/>
  <c r="AC166" i="12"/>
  <c r="Q166" i="12"/>
  <c r="Y166" i="12"/>
  <c r="M166" i="12"/>
  <c r="AO166" i="12"/>
  <c r="AK166" i="12"/>
  <c r="V146" i="12"/>
  <c r="AH146" i="12"/>
  <c r="AL146" i="12"/>
  <c r="AD146" i="12"/>
  <c r="J146" i="12"/>
  <c r="AP146" i="12"/>
  <c r="Z146" i="12"/>
  <c r="R146" i="12"/>
  <c r="N146" i="12"/>
  <c r="R128" i="12"/>
  <c r="AL128" i="12"/>
  <c r="V128" i="12"/>
  <c r="AH128" i="12"/>
  <c r="AP128" i="12"/>
  <c r="J128" i="12"/>
  <c r="AD128" i="12"/>
  <c r="N128" i="12"/>
  <c r="Z128" i="12"/>
  <c r="R110" i="12"/>
  <c r="AP110" i="12"/>
  <c r="J110" i="12"/>
  <c r="V110" i="12"/>
  <c r="AH110" i="12"/>
  <c r="Z110" i="12"/>
  <c r="AD110" i="12"/>
  <c r="N110" i="12"/>
  <c r="AL110" i="12"/>
  <c r="AH92" i="12"/>
  <c r="N92" i="12"/>
  <c r="AL92" i="12"/>
  <c r="J92" i="12"/>
  <c r="V92" i="12"/>
  <c r="R92" i="12"/>
  <c r="AP92" i="12"/>
  <c r="Z92" i="12"/>
  <c r="AD92" i="12"/>
  <c r="AD74" i="12"/>
  <c r="Z74" i="12"/>
  <c r="AH74" i="12"/>
  <c r="AL74" i="12"/>
  <c r="J74" i="12"/>
  <c r="V74" i="12"/>
  <c r="R74" i="12"/>
  <c r="AP74" i="12"/>
  <c r="N74" i="12"/>
  <c r="J56" i="12"/>
  <c r="V56" i="12"/>
  <c r="R56" i="12"/>
  <c r="AD56" i="12"/>
  <c r="N56" i="12"/>
  <c r="AH56" i="12"/>
  <c r="AP56" i="12"/>
  <c r="Z56" i="12"/>
  <c r="AL56" i="12"/>
  <c r="AH38" i="12"/>
  <c r="R38" i="12"/>
  <c r="N38" i="12"/>
  <c r="AD38" i="12"/>
  <c r="J38" i="12"/>
  <c r="V38" i="12"/>
  <c r="AP38" i="12"/>
  <c r="Z38" i="12"/>
  <c r="AL38" i="12"/>
  <c r="V20" i="12"/>
  <c r="AD20" i="12"/>
  <c r="AP20" i="12"/>
  <c r="Z20" i="12"/>
  <c r="AH20" i="12"/>
  <c r="R20" i="12"/>
  <c r="AL20" i="12"/>
  <c r="J20" i="12"/>
  <c r="N20" i="12"/>
  <c r="I32" i="12"/>
  <c r="U32" i="12"/>
  <c r="AG32" i="12"/>
  <c r="M32" i="12"/>
  <c r="AO32" i="12"/>
  <c r="AC32" i="12"/>
  <c r="Q32" i="12"/>
  <c r="AK32" i="12"/>
  <c r="Y32" i="12"/>
  <c r="I161" i="12"/>
  <c r="U161" i="12"/>
  <c r="AG161" i="12"/>
  <c r="AC161" i="12"/>
  <c r="M161" i="12"/>
  <c r="AK161" i="12"/>
  <c r="Q161" i="12"/>
  <c r="Y161" i="12"/>
  <c r="AO161" i="12"/>
  <c r="H134" i="12"/>
  <c r="AB134" i="12"/>
  <c r="AN134" i="12"/>
  <c r="P134" i="12"/>
  <c r="AJ134" i="12"/>
  <c r="L134" i="12"/>
  <c r="T134" i="12"/>
  <c r="X134" i="12"/>
  <c r="AF134" i="12"/>
  <c r="H80" i="12"/>
  <c r="AJ80" i="12"/>
  <c r="X80" i="12"/>
  <c r="P80" i="12"/>
  <c r="AB80" i="12"/>
  <c r="AN80" i="12"/>
  <c r="L80" i="12"/>
  <c r="T80" i="12"/>
  <c r="AF80" i="12"/>
  <c r="H41" i="12"/>
  <c r="P41" i="12"/>
  <c r="AB41" i="12"/>
  <c r="AN41" i="12"/>
  <c r="X41" i="12"/>
  <c r="L41" i="12"/>
  <c r="AJ41" i="12"/>
  <c r="T41" i="12"/>
  <c r="AF41" i="12"/>
  <c r="H8" i="12"/>
  <c r="AB8" i="12"/>
  <c r="AN8" i="12"/>
  <c r="X8" i="12"/>
  <c r="T8" i="12"/>
  <c r="L8" i="12"/>
  <c r="AF8" i="12"/>
  <c r="P8" i="12"/>
  <c r="AJ8" i="12"/>
  <c r="H178" i="12"/>
  <c r="AB178" i="12"/>
  <c r="AN178" i="12"/>
  <c r="X178" i="12"/>
  <c r="P178" i="12"/>
  <c r="L178" i="12"/>
  <c r="AJ178" i="12"/>
  <c r="AF178" i="12"/>
  <c r="T178" i="12"/>
  <c r="I158" i="12"/>
  <c r="U158" i="12"/>
  <c r="Q158" i="12"/>
  <c r="AG158" i="12"/>
  <c r="AO158" i="12"/>
  <c r="Y158" i="12"/>
  <c r="AC158" i="12"/>
  <c r="M158" i="12"/>
  <c r="AK158" i="12"/>
  <c r="I125" i="12"/>
  <c r="U125" i="12"/>
  <c r="AG125" i="12"/>
  <c r="M125" i="12"/>
  <c r="AC125" i="12"/>
  <c r="AK125" i="12"/>
  <c r="Y125" i="12"/>
  <c r="Q125" i="12"/>
  <c r="AO125" i="12"/>
  <c r="I98" i="12"/>
  <c r="U98" i="12"/>
  <c r="AG98" i="12"/>
  <c r="Q98" i="12"/>
  <c r="AO98" i="12"/>
  <c r="Y98" i="12"/>
  <c r="AC98" i="12"/>
  <c r="AK98" i="12"/>
  <c r="M98" i="12"/>
  <c r="I80" i="12"/>
  <c r="U80" i="12"/>
  <c r="AG80" i="12"/>
  <c r="AO80" i="12"/>
  <c r="Q80" i="12"/>
  <c r="M80" i="12"/>
  <c r="AC80" i="12"/>
  <c r="Y80" i="12"/>
  <c r="AK80" i="12"/>
  <c r="I62" i="12"/>
  <c r="M62" i="12"/>
  <c r="Y62" i="12"/>
  <c r="AK62" i="12"/>
  <c r="U62" i="12"/>
  <c r="AG62" i="12"/>
  <c r="Q62" i="12"/>
  <c r="AC62" i="12"/>
  <c r="AO62" i="12"/>
  <c r="I44" i="12"/>
  <c r="U44" i="12"/>
  <c r="AG44" i="12"/>
  <c r="AC44" i="12"/>
  <c r="AO44" i="12"/>
  <c r="Y44" i="12"/>
  <c r="Q44" i="12"/>
  <c r="M44" i="12"/>
  <c r="AK44" i="12"/>
  <c r="I5" i="12"/>
  <c r="AC5" i="12"/>
  <c r="AO5" i="12"/>
  <c r="Y5" i="12"/>
  <c r="Q5" i="12"/>
  <c r="M5" i="12"/>
  <c r="U5" i="12"/>
  <c r="AG5" i="12"/>
  <c r="AK5" i="12"/>
  <c r="H107" i="12"/>
  <c r="T107" i="12"/>
  <c r="AB107" i="12"/>
  <c r="L107" i="12"/>
  <c r="AJ107" i="12"/>
  <c r="P107" i="12"/>
  <c r="AN107" i="12"/>
  <c r="X107" i="12"/>
  <c r="AF107" i="12"/>
  <c r="H71" i="12"/>
  <c r="P71" i="12"/>
  <c r="AB71" i="12"/>
  <c r="AN71" i="12"/>
  <c r="L71" i="12"/>
  <c r="AF71" i="12"/>
  <c r="AJ71" i="12"/>
  <c r="T71" i="12"/>
  <c r="X71" i="12"/>
  <c r="H38" i="12"/>
  <c r="AB38" i="12"/>
  <c r="AJ38" i="12"/>
  <c r="AN38" i="12"/>
  <c r="P38" i="12"/>
  <c r="T38" i="12"/>
  <c r="L38" i="12"/>
  <c r="X38" i="12"/>
  <c r="AF38" i="12"/>
  <c r="J43" i="12"/>
  <c r="V43" i="12"/>
  <c r="AP43" i="12"/>
  <c r="R43" i="12"/>
  <c r="Z43" i="12"/>
  <c r="AH43" i="12"/>
  <c r="AD43" i="12"/>
  <c r="N43" i="12"/>
  <c r="AL43" i="12"/>
  <c r="AL22" i="12"/>
  <c r="V22" i="12"/>
  <c r="AD22" i="12"/>
  <c r="J22" i="12"/>
  <c r="AH22" i="12"/>
  <c r="R22" i="12"/>
  <c r="Z22" i="12"/>
  <c r="N22" i="12"/>
  <c r="AP22" i="12"/>
  <c r="J4" i="12"/>
  <c r="AD4" i="12"/>
  <c r="N4" i="12"/>
  <c r="AL4" i="12"/>
  <c r="R4" i="12"/>
  <c r="AP4" i="12"/>
  <c r="Z4" i="12"/>
  <c r="V4" i="12"/>
  <c r="AH4" i="12"/>
  <c r="I49" i="12"/>
  <c r="U49" i="12"/>
  <c r="AO49" i="12"/>
  <c r="Y49" i="12"/>
  <c r="AG49" i="12"/>
  <c r="Q49" i="12"/>
  <c r="AC49" i="12"/>
  <c r="M49" i="12"/>
  <c r="AK49" i="12"/>
  <c r="I13" i="12"/>
  <c r="U13" i="12"/>
  <c r="Q13" i="12"/>
  <c r="Y13" i="12"/>
  <c r="AG13" i="12"/>
  <c r="AC13" i="12"/>
  <c r="M13" i="12"/>
  <c r="AK13" i="12"/>
  <c r="AO13" i="12"/>
  <c r="V69" i="12"/>
  <c r="AH69" i="12"/>
  <c r="AP69" i="12"/>
  <c r="N69" i="12"/>
  <c r="AL69" i="12"/>
  <c r="J69" i="12"/>
  <c r="R69" i="12"/>
  <c r="Z69" i="12"/>
  <c r="AD69" i="12"/>
  <c r="I157" i="12"/>
  <c r="U157" i="12"/>
  <c r="AG157" i="12"/>
  <c r="AO157" i="12"/>
  <c r="AC157" i="12"/>
  <c r="M157" i="12"/>
  <c r="Y157" i="12"/>
  <c r="Q157" i="12"/>
  <c r="AK157" i="12"/>
  <c r="I130" i="12"/>
  <c r="U130" i="12"/>
  <c r="AG130" i="12"/>
  <c r="AO130" i="12"/>
  <c r="Y130" i="12"/>
  <c r="AC130" i="12"/>
  <c r="M130" i="12"/>
  <c r="Q130" i="12"/>
  <c r="AK130" i="12"/>
  <c r="I97" i="12"/>
  <c r="U97" i="12"/>
  <c r="AG97" i="12"/>
  <c r="Q97" i="12"/>
  <c r="AO97" i="12"/>
  <c r="AC97" i="12"/>
  <c r="M97" i="12"/>
  <c r="Y97" i="12"/>
  <c r="AK97" i="12"/>
  <c r="I76" i="12"/>
  <c r="U76" i="12"/>
  <c r="AG76" i="12"/>
  <c r="Q76" i="12"/>
  <c r="M76" i="12"/>
  <c r="AC76" i="12"/>
  <c r="AO76" i="12"/>
  <c r="AK76" i="12"/>
  <c r="Y76" i="12"/>
  <c r="I40" i="12"/>
  <c r="U40" i="12"/>
  <c r="AG40" i="12"/>
  <c r="AO40" i="12"/>
  <c r="Y40" i="12"/>
  <c r="AK40" i="12"/>
  <c r="M40" i="12"/>
  <c r="Q40" i="12"/>
  <c r="AC40" i="12"/>
  <c r="I4" i="12"/>
  <c r="AC4" i="12"/>
  <c r="Y4" i="12"/>
  <c r="Q4" i="12"/>
  <c r="AO4" i="12"/>
  <c r="AK4" i="12"/>
  <c r="U4" i="12"/>
  <c r="AG4" i="12"/>
  <c r="M4" i="12"/>
  <c r="AH51" i="12"/>
  <c r="R51" i="12"/>
  <c r="Z51" i="12"/>
  <c r="AD51" i="12"/>
  <c r="N51" i="12"/>
  <c r="J51" i="12"/>
  <c r="V51" i="12"/>
  <c r="AL51" i="12"/>
  <c r="AP51" i="12"/>
  <c r="AE153" i="12"/>
  <c r="O153" i="12"/>
  <c r="AA153" i="12"/>
  <c r="AM153" i="12"/>
  <c r="AI153" i="12"/>
  <c r="AQ153" i="12"/>
  <c r="W153" i="12"/>
  <c r="K153" i="12"/>
  <c r="S153" i="12"/>
  <c r="O123" i="12"/>
  <c r="W123" i="12"/>
  <c r="AA123" i="12"/>
  <c r="AM123" i="12"/>
  <c r="AE123" i="12"/>
  <c r="AI123" i="12"/>
  <c r="AQ123" i="12"/>
  <c r="S123" i="12"/>
  <c r="K123" i="12"/>
  <c r="AM90" i="12"/>
  <c r="O90" i="12"/>
  <c r="AA90" i="12"/>
  <c r="AE90" i="12"/>
  <c r="K90" i="12"/>
  <c r="AI90" i="12"/>
  <c r="W90" i="12"/>
  <c r="S90" i="12"/>
  <c r="AQ90" i="12"/>
  <c r="O39" i="12"/>
  <c r="AA39" i="12"/>
  <c r="S39" i="12"/>
  <c r="AM39" i="12"/>
  <c r="AQ39" i="12"/>
  <c r="AE39" i="12"/>
  <c r="K39" i="12"/>
  <c r="W39" i="12"/>
  <c r="AI39" i="12"/>
  <c r="V36" i="12"/>
  <c r="Z36" i="12"/>
  <c r="AD36" i="12"/>
  <c r="J36" i="12"/>
  <c r="AH36" i="12"/>
  <c r="R36" i="12"/>
  <c r="AL36" i="12"/>
  <c r="N36" i="12"/>
  <c r="AP36" i="12"/>
  <c r="O135" i="12"/>
  <c r="AE135" i="12"/>
  <c r="AA135" i="12"/>
  <c r="AM135" i="12"/>
  <c r="AI135" i="12"/>
  <c r="K135" i="12"/>
  <c r="W135" i="12"/>
  <c r="AQ135" i="12"/>
  <c r="S135" i="12"/>
  <c r="AA93" i="12"/>
  <c r="AM93" i="12"/>
  <c r="W93" i="12"/>
  <c r="AE93" i="12"/>
  <c r="O93" i="12"/>
  <c r="K93" i="12"/>
  <c r="AQ93" i="12"/>
  <c r="S93" i="12"/>
  <c r="AI93" i="12"/>
  <c r="AA63" i="12"/>
  <c r="AM63" i="12"/>
  <c r="W63" i="12"/>
  <c r="AI63" i="12"/>
  <c r="AE63" i="12"/>
  <c r="O63" i="12"/>
  <c r="K63" i="12"/>
  <c r="S63" i="12"/>
  <c r="AQ63" i="12"/>
  <c r="AD54" i="12"/>
  <c r="J54" i="12"/>
  <c r="V54" i="12"/>
  <c r="AH54" i="12"/>
  <c r="R54" i="12"/>
  <c r="AP54" i="12"/>
  <c r="N54" i="12"/>
  <c r="AL54" i="12"/>
  <c r="Z54" i="12"/>
  <c r="V156" i="12"/>
  <c r="AH156" i="12"/>
  <c r="R156" i="12"/>
  <c r="AP156" i="12"/>
  <c r="AL156" i="12"/>
  <c r="J156" i="12"/>
  <c r="AD156" i="12"/>
  <c r="N156" i="12"/>
  <c r="Z156" i="12"/>
  <c r="AH138" i="12"/>
  <c r="R138" i="12"/>
  <c r="AP138" i="12"/>
  <c r="N138" i="12"/>
  <c r="AL138" i="12"/>
  <c r="V138" i="12"/>
  <c r="J138" i="12"/>
  <c r="AD138" i="12"/>
  <c r="Z138" i="12"/>
  <c r="AD120" i="12"/>
  <c r="AP120" i="12"/>
  <c r="V120" i="12"/>
  <c r="Z120" i="12"/>
  <c r="J120" i="12"/>
  <c r="AH120" i="12"/>
  <c r="R120" i="12"/>
  <c r="N120" i="12"/>
  <c r="AL120" i="12"/>
  <c r="AH102" i="12"/>
  <c r="R102" i="12"/>
  <c r="V102" i="12"/>
  <c r="AD102" i="12"/>
  <c r="AL102" i="12"/>
  <c r="J102" i="12"/>
  <c r="AP102" i="12"/>
  <c r="Z102" i="12"/>
  <c r="N102" i="12"/>
  <c r="AD84" i="12"/>
  <c r="AH84" i="12"/>
  <c r="AL84" i="12"/>
  <c r="J84" i="12"/>
  <c r="V84" i="12"/>
  <c r="R84" i="12"/>
  <c r="AP84" i="12"/>
  <c r="Z84" i="12"/>
  <c r="N84" i="12"/>
  <c r="J57" i="12"/>
  <c r="V57" i="12"/>
  <c r="Z57" i="12"/>
  <c r="AL57" i="12"/>
  <c r="R57" i="12"/>
  <c r="AD57" i="12"/>
  <c r="N57" i="12"/>
  <c r="AH57" i="12"/>
  <c r="AP57" i="12"/>
  <c r="H138" i="12"/>
  <c r="P138" i="12"/>
  <c r="AN138" i="12"/>
  <c r="X138" i="12"/>
  <c r="AJ138" i="12"/>
  <c r="T138" i="12"/>
  <c r="AB138" i="12"/>
  <c r="AF138" i="12"/>
  <c r="L138" i="12"/>
  <c r="H30" i="12"/>
  <c r="AJ30" i="12"/>
  <c r="AN30" i="12"/>
  <c r="P30" i="12"/>
  <c r="X30" i="12"/>
  <c r="AB30" i="12"/>
  <c r="L30" i="12"/>
  <c r="T30" i="12"/>
  <c r="AF30" i="12"/>
  <c r="AA59" i="12"/>
  <c r="AM59" i="12"/>
  <c r="S59" i="12"/>
  <c r="AQ59" i="12"/>
  <c r="O59" i="12"/>
  <c r="K59" i="12"/>
  <c r="W59" i="12"/>
  <c r="AI59" i="12"/>
  <c r="AE59" i="12"/>
  <c r="O37" i="12"/>
  <c r="AA37" i="12"/>
  <c r="AE37" i="12"/>
  <c r="AM37" i="12"/>
  <c r="AI37" i="12"/>
  <c r="S37" i="12"/>
  <c r="W37" i="12"/>
  <c r="K37" i="12"/>
  <c r="AQ37" i="12"/>
  <c r="V91" i="12"/>
  <c r="AH91" i="12"/>
  <c r="AD91" i="12"/>
  <c r="R91" i="12"/>
  <c r="AL91" i="12"/>
  <c r="J91" i="12"/>
  <c r="N91" i="12"/>
  <c r="AP91" i="12"/>
  <c r="Z91" i="12"/>
  <c r="AH166" i="12"/>
  <c r="AL166" i="12"/>
  <c r="N166" i="12"/>
  <c r="V166" i="12"/>
  <c r="R166" i="12"/>
  <c r="J166" i="12"/>
  <c r="AD166" i="12"/>
  <c r="Z166" i="12"/>
  <c r="AP166" i="12"/>
  <c r="AP83" i="12"/>
  <c r="AD83" i="12"/>
  <c r="AH83" i="12"/>
  <c r="Z83" i="12"/>
  <c r="J83" i="12"/>
  <c r="V83" i="12"/>
  <c r="R83" i="12"/>
  <c r="AL83" i="12"/>
  <c r="N83" i="12"/>
  <c r="H23" i="12"/>
  <c r="T23" i="12"/>
  <c r="AN23" i="12"/>
  <c r="AJ23" i="12"/>
  <c r="X23" i="12"/>
  <c r="P23" i="12"/>
  <c r="AB23" i="12"/>
  <c r="L23" i="12"/>
  <c r="AF23" i="12"/>
  <c r="I29" i="12"/>
  <c r="Q29" i="12"/>
  <c r="M29" i="12"/>
  <c r="U29" i="12"/>
  <c r="AG29" i="12"/>
  <c r="AO29" i="12"/>
  <c r="Y29" i="12"/>
  <c r="AK29" i="12"/>
  <c r="AC29" i="12"/>
  <c r="I31" i="12"/>
  <c r="AG31" i="12"/>
  <c r="AK31" i="12"/>
  <c r="U31" i="12"/>
  <c r="Q31" i="12"/>
  <c r="Y31" i="12"/>
  <c r="AO31" i="12"/>
  <c r="M31" i="12"/>
  <c r="AC31" i="12"/>
  <c r="O138" i="12"/>
  <c r="AA138" i="12"/>
  <c r="AE138" i="12"/>
  <c r="AM138" i="12"/>
  <c r="AI138" i="12"/>
  <c r="S138" i="12"/>
  <c r="K138" i="12"/>
  <c r="W138" i="12"/>
  <c r="AQ138" i="12"/>
  <c r="AP192" i="12"/>
  <c r="Z192" i="12"/>
  <c r="AH192" i="12"/>
  <c r="AD192" i="12"/>
  <c r="R192" i="12"/>
  <c r="J192" i="12"/>
  <c r="V192" i="12"/>
  <c r="N192" i="12"/>
  <c r="AL192" i="12"/>
  <c r="H73" i="12"/>
  <c r="T73" i="12"/>
  <c r="AJ73" i="12"/>
  <c r="P73" i="12"/>
  <c r="AB73" i="12"/>
  <c r="AN73" i="12"/>
  <c r="AF73" i="12"/>
  <c r="X73" i="12"/>
  <c r="L73" i="12"/>
  <c r="I164" i="12"/>
  <c r="U164" i="12"/>
  <c r="AG164" i="12"/>
  <c r="M164" i="12"/>
  <c r="AC164" i="12"/>
  <c r="AK164" i="12"/>
  <c r="Y164" i="12"/>
  <c r="Q164" i="12"/>
  <c r="AO164" i="12"/>
  <c r="I21" i="12"/>
  <c r="U21" i="12"/>
  <c r="AG21" i="12"/>
  <c r="Y21" i="12"/>
  <c r="AC21" i="12"/>
  <c r="M21" i="12"/>
  <c r="Q21" i="12"/>
  <c r="AO21" i="12"/>
  <c r="AK21" i="12"/>
  <c r="W167" i="12"/>
  <c r="O167" i="12"/>
  <c r="AA167" i="12"/>
  <c r="AM167" i="12"/>
  <c r="K167" i="12"/>
  <c r="AI167" i="12"/>
  <c r="AQ167" i="12"/>
  <c r="AE167" i="12"/>
  <c r="S167" i="12"/>
  <c r="H61" i="12"/>
  <c r="X61" i="12"/>
  <c r="T61" i="12"/>
  <c r="P61" i="12"/>
  <c r="AB61" i="12"/>
  <c r="AN61" i="12"/>
  <c r="L61" i="12"/>
  <c r="AJ61" i="12"/>
  <c r="AF61" i="12"/>
  <c r="R179" i="12"/>
  <c r="AD179" i="12"/>
  <c r="AL179" i="12"/>
  <c r="J179" i="12"/>
  <c r="V179" i="12"/>
  <c r="AH179" i="12"/>
  <c r="AP179" i="12"/>
  <c r="N179" i="12"/>
  <c r="Z179" i="12"/>
  <c r="I173" i="12"/>
  <c r="U173" i="12"/>
  <c r="AG173" i="12"/>
  <c r="AK173" i="12"/>
  <c r="Y173" i="12"/>
  <c r="Q173" i="12"/>
  <c r="AO173" i="12"/>
  <c r="AC173" i="12"/>
  <c r="M173" i="12"/>
  <c r="H188" i="12"/>
  <c r="X188" i="12"/>
  <c r="AN188" i="12"/>
  <c r="AJ188" i="12"/>
  <c r="AF188" i="12"/>
  <c r="AB188" i="12"/>
  <c r="L188" i="12"/>
  <c r="P188" i="12"/>
  <c r="T188" i="12"/>
  <c r="H170" i="12"/>
  <c r="AB170" i="12"/>
  <c r="AN170" i="12"/>
  <c r="X170" i="12"/>
  <c r="AJ170" i="12"/>
  <c r="AF170" i="12"/>
  <c r="P170" i="12"/>
  <c r="L170" i="12"/>
  <c r="T170" i="12"/>
  <c r="I129" i="12"/>
  <c r="Y129" i="12"/>
  <c r="U129" i="12"/>
  <c r="AG129" i="12"/>
  <c r="Q129" i="12"/>
  <c r="AK129" i="12"/>
  <c r="AC129" i="12"/>
  <c r="AO129" i="12"/>
  <c r="M129" i="12"/>
  <c r="I66" i="12"/>
  <c r="U66" i="12"/>
  <c r="AC66" i="12"/>
  <c r="Y66" i="12"/>
  <c r="AG66" i="12"/>
  <c r="M66" i="12"/>
  <c r="Q66" i="12"/>
  <c r="AO66" i="12"/>
  <c r="AK66" i="12"/>
  <c r="I48" i="12"/>
  <c r="U48" i="12"/>
  <c r="AG48" i="12"/>
  <c r="Q48" i="12"/>
  <c r="AK48" i="12"/>
  <c r="AC48" i="12"/>
  <c r="AO48" i="12"/>
  <c r="M48" i="12"/>
  <c r="Y48" i="12"/>
  <c r="I30" i="12"/>
  <c r="U30" i="12"/>
  <c r="Q30" i="12"/>
  <c r="AO30" i="12"/>
  <c r="Y30" i="12"/>
  <c r="AG30" i="12"/>
  <c r="AK30" i="12"/>
  <c r="AC30" i="12"/>
  <c r="M30" i="12"/>
  <c r="I12" i="12"/>
  <c r="U12" i="12"/>
  <c r="AO12" i="12"/>
  <c r="AG12" i="12"/>
  <c r="Y12" i="12"/>
  <c r="Q12" i="12"/>
  <c r="AC12" i="12"/>
  <c r="M12" i="12"/>
  <c r="AK12" i="12"/>
  <c r="AM149" i="12"/>
  <c r="O149" i="12"/>
  <c r="AA149" i="12"/>
  <c r="K149" i="12"/>
  <c r="AI149" i="12"/>
  <c r="S149" i="12"/>
  <c r="AE149" i="12"/>
  <c r="W149" i="12"/>
  <c r="AQ149" i="12"/>
  <c r="AM127" i="12"/>
  <c r="W127" i="12"/>
  <c r="O127" i="12"/>
  <c r="AA127" i="12"/>
  <c r="AQ127" i="12"/>
  <c r="AE127" i="12"/>
  <c r="AI127" i="12"/>
  <c r="K127" i="12"/>
  <c r="S127" i="12"/>
  <c r="O163" i="12"/>
  <c r="AA163" i="12"/>
  <c r="AM163" i="12"/>
  <c r="AE163" i="12"/>
  <c r="W163" i="12"/>
  <c r="AQ163" i="12"/>
  <c r="S163" i="12"/>
  <c r="K163" i="12"/>
  <c r="AI163" i="12"/>
  <c r="W172" i="12"/>
  <c r="S172" i="12"/>
  <c r="O172" i="12"/>
  <c r="AA172" i="12"/>
  <c r="AM172" i="12"/>
  <c r="K172" i="12"/>
  <c r="AE172" i="12"/>
  <c r="AQ172" i="12"/>
  <c r="AI172" i="12"/>
  <c r="R11" i="12"/>
  <c r="N11" i="12"/>
  <c r="V11" i="12"/>
  <c r="AP11" i="12"/>
  <c r="J11" i="12"/>
  <c r="AH11" i="12"/>
  <c r="Z11" i="12"/>
  <c r="AD11" i="12"/>
  <c r="AL11" i="12"/>
  <c r="I107" i="12"/>
  <c r="U107" i="12"/>
  <c r="AG107" i="12"/>
  <c r="Y107" i="12"/>
  <c r="Q107" i="12"/>
  <c r="AC107" i="12"/>
  <c r="AO107" i="12"/>
  <c r="M107" i="12"/>
  <c r="AK107" i="12"/>
  <c r="R13" i="12"/>
  <c r="AD13" i="12"/>
  <c r="N13" i="12"/>
  <c r="J13" i="12"/>
  <c r="AH13" i="12"/>
  <c r="V13" i="12"/>
  <c r="AP13" i="12"/>
  <c r="Z13" i="12"/>
  <c r="AL13" i="12"/>
  <c r="AA15" i="12"/>
  <c r="AQ15" i="12"/>
  <c r="O15" i="12"/>
  <c r="AM15" i="12"/>
  <c r="W15" i="12"/>
  <c r="S15" i="12"/>
  <c r="AE15" i="12"/>
  <c r="AI15" i="12"/>
  <c r="K15" i="12"/>
  <c r="J15" i="12"/>
  <c r="V15" i="12"/>
  <c r="R15" i="12"/>
  <c r="N15" i="12"/>
  <c r="AD15" i="12"/>
  <c r="AH15" i="12"/>
  <c r="Z15" i="12"/>
  <c r="AP15" i="12"/>
  <c r="AL15" i="12"/>
  <c r="H154" i="12"/>
  <c r="P154" i="12"/>
  <c r="AB154" i="12"/>
  <c r="X154" i="12"/>
  <c r="AF154" i="12"/>
  <c r="AN154" i="12"/>
  <c r="L154" i="12"/>
  <c r="AJ154" i="12"/>
  <c r="T154" i="12"/>
  <c r="AH188" i="12"/>
  <c r="Z188" i="12"/>
  <c r="V188" i="12"/>
  <c r="J188" i="12"/>
  <c r="AP188" i="12"/>
  <c r="AL188" i="12"/>
  <c r="AD188" i="12"/>
  <c r="R188" i="12"/>
  <c r="N188" i="12"/>
  <c r="I57" i="12"/>
  <c r="U57" i="12"/>
  <c r="AG57" i="12"/>
  <c r="M57" i="12"/>
  <c r="AK57" i="12"/>
  <c r="AC57" i="12"/>
  <c r="AO57" i="12"/>
  <c r="Q57" i="12"/>
  <c r="Y57" i="12"/>
  <c r="AM168" i="12"/>
  <c r="O168" i="12"/>
  <c r="AA168" i="12"/>
  <c r="AQ168" i="12"/>
  <c r="W168" i="12"/>
  <c r="AE168" i="12"/>
  <c r="K168" i="12"/>
  <c r="AI168" i="12"/>
  <c r="S168" i="12"/>
  <c r="V165" i="12"/>
  <c r="AD165" i="12"/>
  <c r="AH165" i="12"/>
  <c r="AL165" i="12"/>
  <c r="J165" i="12"/>
  <c r="AP165" i="12"/>
  <c r="N165" i="12"/>
  <c r="R165" i="12"/>
  <c r="Z165" i="12"/>
  <c r="AA185" i="12"/>
  <c r="AM185" i="12"/>
  <c r="AQ185" i="12"/>
  <c r="O185" i="12"/>
  <c r="AI185" i="12"/>
  <c r="S185" i="12"/>
  <c r="K185" i="12"/>
  <c r="W185" i="12"/>
  <c r="AE185" i="12"/>
  <c r="H82" i="12"/>
  <c r="AB82" i="12"/>
  <c r="AN82" i="12"/>
  <c r="L82" i="12"/>
  <c r="P82" i="12"/>
  <c r="X82" i="12"/>
  <c r="AF82" i="12"/>
  <c r="AJ82" i="12"/>
  <c r="T82" i="12"/>
  <c r="H43" i="12"/>
  <c r="AN43" i="12"/>
  <c r="X43" i="12"/>
  <c r="T43" i="12"/>
  <c r="P43" i="12"/>
  <c r="AB43" i="12"/>
  <c r="AJ43" i="12"/>
  <c r="L43" i="12"/>
  <c r="AF43" i="12"/>
  <c r="I153" i="12"/>
  <c r="U153" i="12"/>
  <c r="AG153" i="12"/>
  <c r="AC153" i="12"/>
  <c r="AK153" i="12"/>
  <c r="M153" i="12"/>
  <c r="Q153" i="12"/>
  <c r="AO153" i="12"/>
  <c r="Y153" i="12"/>
  <c r="H150" i="12"/>
  <c r="AN150" i="12"/>
  <c r="X150" i="12"/>
  <c r="AF150" i="12"/>
  <c r="L150" i="12"/>
  <c r="P150" i="12"/>
  <c r="AB150" i="12"/>
  <c r="AJ150" i="12"/>
  <c r="T150" i="12"/>
  <c r="H117" i="12"/>
  <c r="X117" i="12"/>
  <c r="L117" i="12"/>
  <c r="P117" i="12"/>
  <c r="AN117" i="12"/>
  <c r="AB117" i="12"/>
  <c r="AJ117" i="12"/>
  <c r="T117" i="12"/>
  <c r="AF117" i="12"/>
  <c r="H96" i="12"/>
  <c r="AF96" i="12"/>
  <c r="AJ96" i="12"/>
  <c r="P96" i="12"/>
  <c r="AB96" i="12"/>
  <c r="AN96" i="12"/>
  <c r="X96" i="12"/>
  <c r="T96" i="12"/>
  <c r="L96" i="12"/>
  <c r="H72" i="12"/>
  <c r="AJ72" i="12"/>
  <c r="L72" i="12"/>
  <c r="AF72" i="12"/>
  <c r="P72" i="12"/>
  <c r="AB72" i="12"/>
  <c r="AN72" i="12"/>
  <c r="X72" i="12"/>
  <c r="T72" i="12"/>
  <c r="H54" i="12"/>
  <c r="AN54" i="12"/>
  <c r="L54" i="12"/>
  <c r="T54" i="12"/>
  <c r="AF54" i="12"/>
  <c r="P54" i="12"/>
  <c r="AB54" i="12"/>
  <c r="AJ54" i="12"/>
  <c r="X54" i="12"/>
  <c r="H36" i="12"/>
  <c r="L36" i="12"/>
  <c r="AN36" i="12"/>
  <c r="X36" i="12"/>
  <c r="AB36" i="12"/>
  <c r="T36" i="12"/>
  <c r="P36" i="12"/>
  <c r="AJ36" i="12"/>
  <c r="AF36" i="12"/>
  <c r="H15" i="12"/>
  <c r="AN15" i="12"/>
  <c r="X15" i="12"/>
  <c r="P15" i="12"/>
  <c r="AB15" i="12"/>
  <c r="AF15" i="12"/>
  <c r="L15" i="12"/>
  <c r="AJ15" i="12"/>
  <c r="T15" i="12"/>
  <c r="AM155" i="12"/>
  <c r="AI155" i="12"/>
  <c r="AE155" i="12"/>
  <c r="O155" i="12"/>
  <c r="AA155" i="12"/>
  <c r="W155" i="12"/>
  <c r="AQ155" i="12"/>
  <c r="K155" i="12"/>
  <c r="S155" i="12"/>
  <c r="AA137" i="12"/>
  <c r="AM137" i="12"/>
  <c r="K137" i="12"/>
  <c r="W137" i="12"/>
  <c r="AI137" i="12"/>
  <c r="S137" i="12"/>
  <c r="AE137" i="12"/>
  <c r="AQ137" i="12"/>
  <c r="O137" i="12"/>
  <c r="AA119" i="12"/>
  <c r="O119" i="12"/>
  <c r="AM119" i="12"/>
  <c r="W119" i="12"/>
  <c r="S119" i="12"/>
  <c r="AQ119" i="12"/>
  <c r="AI119" i="12"/>
  <c r="K119" i="12"/>
  <c r="AE119" i="12"/>
  <c r="O101" i="12"/>
  <c r="AA101" i="12"/>
  <c r="AM101" i="12"/>
  <c r="AI101" i="12"/>
  <c r="W101" i="12"/>
  <c r="AE101" i="12"/>
  <c r="S101" i="12"/>
  <c r="K101" i="12"/>
  <c r="AQ101" i="12"/>
  <c r="W83" i="12"/>
  <c r="O83" i="12"/>
  <c r="AA83" i="12"/>
  <c r="AM83" i="12"/>
  <c r="AI83" i="12"/>
  <c r="S83" i="12"/>
  <c r="AE83" i="12"/>
  <c r="AQ83" i="12"/>
  <c r="K83" i="12"/>
  <c r="AA65" i="12"/>
  <c r="K65" i="12"/>
  <c r="S65" i="12"/>
  <c r="AQ65" i="12"/>
  <c r="O65" i="12"/>
  <c r="AM65" i="12"/>
  <c r="W65" i="12"/>
  <c r="AE65" i="12"/>
  <c r="AI65" i="12"/>
  <c r="AA47" i="12"/>
  <c r="AM47" i="12"/>
  <c r="W47" i="12"/>
  <c r="AI47" i="12"/>
  <c r="AQ47" i="12"/>
  <c r="O47" i="12"/>
  <c r="K47" i="12"/>
  <c r="AE47" i="12"/>
  <c r="S47" i="12"/>
  <c r="O29" i="12"/>
  <c r="AA29" i="12"/>
  <c r="AM29" i="12"/>
  <c r="K29" i="12"/>
  <c r="AE29" i="12"/>
  <c r="AI29" i="12"/>
  <c r="W29" i="12"/>
  <c r="AQ29" i="12"/>
  <c r="S29" i="12"/>
  <c r="AI11" i="12"/>
  <c r="O11" i="12"/>
  <c r="AA11" i="12"/>
  <c r="AM11" i="12"/>
  <c r="S11" i="12"/>
  <c r="AQ11" i="12"/>
  <c r="K11" i="12"/>
  <c r="W11" i="12"/>
  <c r="AE11" i="12"/>
  <c r="AA151" i="12"/>
  <c r="O151" i="12"/>
  <c r="AM151" i="12"/>
  <c r="W151" i="12"/>
  <c r="S151" i="12"/>
  <c r="AQ151" i="12"/>
  <c r="K151" i="12"/>
  <c r="AI151" i="12"/>
  <c r="AE151" i="12"/>
  <c r="O133" i="12"/>
  <c r="AA133" i="12"/>
  <c r="AI133" i="12"/>
  <c r="AE133" i="12"/>
  <c r="AM133" i="12"/>
  <c r="AQ133" i="12"/>
  <c r="W133" i="12"/>
  <c r="S133" i="12"/>
  <c r="K133" i="12"/>
  <c r="O115" i="12"/>
  <c r="AA115" i="12"/>
  <c r="AM115" i="12"/>
  <c r="W115" i="12"/>
  <c r="AE115" i="12"/>
  <c r="S115" i="12"/>
  <c r="AQ115" i="12"/>
  <c r="AI115" i="12"/>
  <c r="K115" i="12"/>
  <c r="AE97" i="12"/>
  <c r="O97" i="12"/>
  <c r="AA97" i="12"/>
  <c r="AM97" i="12"/>
  <c r="K97" i="12"/>
  <c r="W97" i="12"/>
  <c r="S97" i="12"/>
  <c r="AI97" i="12"/>
  <c r="AQ97" i="12"/>
  <c r="AA79" i="12"/>
  <c r="K79" i="12"/>
  <c r="AI79" i="12"/>
  <c r="AQ79" i="12"/>
  <c r="O79" i="12"/>
  <c r="AM79" i="12"/>
  <c r="W79" i="12"/>
  <c r="AE79" i="12"/>
  <c r="S79" i="12"/>
  <c r="O61" i="12"/>
  <c r="AA61" i="12"/>
  <c r="AM61" i="12"/>
  <c r="AQ61" i="12"/>
  <c r="S61" i="12"/>
  <c r="AE61" i="12"/>
  <c r="K61" i="12"/>
  <c r="W61" i="12"/>
  <c r="AI61" i="12"/>
  <c r="AI43" i="12"/>
  <c r="AE43" i="12"/>
  <c r="O43" i="12"/>
  <c r="AA43" i="12"/>
  <c r="AM43" i="12"/>
  <c r="S43" i="12"/>
  <c r="AQ43" i="12"/>
  <c r="K43" i="12"/>
  <c r="W43" i="12"/>
  <c r="O25" i="12"/>
  <c r="AA25" i="12"/>
  <c r="AM25" i="12"/>
  <c r="AQ25" i="12"/>
  <c r="AI25" i="12"/>
  <c r="AE25" i="12"/>
  <c r="K25" i="12"/>
  <c r="W25" i="12"/>
  <c r="S25" i="12"/>
  <c r="AA7" i="12"/>
  <c r="O7" i="12"/>
  <c r="AM7" i="12"/>
  <c r="W7" i="12"/>
  <c r="AQ7" i="12"/>
  <c r="AI7" i="12"/>
  <c r="AE7" i="12"/>
  <c r="K7" i="12"/>
  <c r="S7" i="12"/>
  <c r="R151" i="12"/>
  <c r="V151" i="12"/>
  <c r="AD151" i="12"/>
  <c r="AL151" i="12"/>
  <c r="J151" i="12"/>
  <c r="AH151" i="12"/>
  <c r="N151" i="12"/>
  <c r="Z151" i="12"/>
  <c r="AP151" i="12"/>
  <c r="V133" i="12"/>
  <c r="AH133" i="12"/>
  <c r="N133" i="12"/>
  <c r="J133" i="12"/>
  <c r="Z133" i="12"/>
  <c r="R133" i="12"/>
  <c r="AD133" i="12"/>
  <c r="AL133" i="12"/>
  <c r="AP133" i="12"/>
  <c r="V115" i="12"/>
  <c r="AH115" i="12"/>
  <c r="AD115" i="12"/>
  <c r="AP115" i="12"/>
  <c r="Z115" i="12"/>
  <c r="R115" i="12"/>
  <c r="AL115" i="12"/>
  <c r="J115" i="12"/>
  <c r="N115" i="12"/>
  <c r="AD97" i="12"/>
  <c r="Z97" i="12"/>
  <c r="R97" i="12"/>
  <c r="AP97" i="12"/>
  <c r="J97" i="12"/>
  <c r="V97" i="12"/>
  <c r="AH97" i="12"/>
  <c r="N97" i="12"/>
  <c r="AL97" i="12"/>
  <c r="AP79" i="12"/>
  <c r="N79" i="12"/>
  <c r="AH79" i="12"/>
  <c r="Z79" i="12"/>
  <c r="J79" i="12"/>
  <c r="V79" i="12"/>
  <c r="R79" i="12"/>
  <c r="AD79" i="12"/>
  <c r="AL79" i="12"/>
  <c r="V61" i="12"/>
  <c r="AH61" i="12"/>
  <c r="AP61" i="12"/>
  <c r="Z61" i="12"/>
  <c r="J61" i="12"/>
  <c r="R61" i="12"/>
  <c r="AD61" i="12"/>
  <c r="N61" i="12"/>
  <c r="AL61" i="12"/>
  <c r="O178" i="12"/>
  <c r="AA178" i="12"/>
  <c r="AI178" i="12"/>
  <c r="AQ178" i="12"/>
  <c r="AM178" i="12"/>
  <c r="K178" i="12"/>
  <c r="W178" i="12"/>
  <c r="S178" i="12"/>
  <c r="AE178" i="12"/>
  <c r="V190" i="12"/>
  <c r="AP190" i="12"/>
  <c r="N190" i="12"/>
  <c r="Z190" i="12"/>
  <c r="J190" i="12"/>
  <c r="AH190" i="12"/>
  <c r="AD190" i="12"/>
  <c r="AL190" i="12"/>
  <c r="R190" i="12"/>
  <c r="V172" i="12"/>
  <c r="AH172" i="12"/>
  <c r="Z172" i="12"/>
  <c r="AL172" i="12"/>
  <c r="J172" i="12"/>
  <c r="AD172" i="12"/>
  <c r="R172" i="12"/>
  <c r="AP172" i="12"/>
  <c r="N172" i="12"/>
  <c r="I184" i="12"/>
  <c r="U184" i="12"/>
  <c r="Y184" i="12"/>
  <c r="AG184" i="12"/>
  <c r="M184" i="12"/>
  <c r="AC184" i="12"/>
  <c r="Q184" i="12"/>
  <c r="AO184" i="12"/>
  <c r="AK184" i="12"/>
  <c r="AM161" i="12"/>
  <c r="K161" i="12"/>
  <c r="S161" i="12"/>
  <c r="O161" i="12"/>
  <c r="AA161" i="12"/>
  <c r="W161" i="12"/>
  <c r="AQ161" i="12"/>
  <c r="AI161" i="12"/>
  <c r="AE161" i="12"/>
  <c r="R143" i="12"/>
  <c r="V143" i="12"/>
  <c r="AP143" i="12"/>
  <c r="AL143" i="12"/>
  <c r="J143" i="12"/>
  <c r="AH143" i="12"/>
  <c r="N143" i="12"/>
  <c r="AD143" i="12"/>
  <c r="Z143" i="12"/>
  <c r="R125" i="12"/>
  <c r="Z125" i="12"/>
  <c r="AD125" i="12"/>
  <c r="J125" i="12"/>
  <c r="V125" i="12"/>
  <c r="AH125" i="12"/>
  <c r="AP125" i="12"/>
  <c r="N125" i="12"/>
  <c r="AL125" i="12"/>
  <c r="AH107" i="12"/>
  <c r="AD107" i="12"/>
  <c r="Z107" i="12"/>
  <c r="J107" i="12"/>
  <c r="V107" i="12"/>
  <c r="AP107" i="12"/>
  <c r="R107" i="12"/>
  <c r="N107" i="12"/>
  <c r="AL107" i="12"/>
  <c r="AH89" i="12"/>
  <c r="AD89" i="12"/>
  <c r="N89" i="12"/>
  <c r="Z89" i="12"/>
  <c r="J89" i="12"/>
  <c r="V89" i="12"/>
  <c r="AL89" i="12"/>
  <c r="R89" i="12"/>
  <c r="AP89" i="12"/>
  <c r="J71" i="12"/>
  <c r="AD71" i="12"/>
  <c r="AP71" i="12"/>
  <c r="V71" i="12"/>
  <c r="R71" i="12"/>
  <c r="Z71" i="12"/>
  <c r="AH71" i="12"/>
  <c r="N71" i="12"/>
  <c r="AL71" i="12"/>
  <c r="V53" i="12"/>
  <c r="AH53" i="12"/>
  <c r="R53" i="12"/>
  <c r="AP53" i="12"/>
  <c r="N53" i="12"/>
  <c r="J53" i="12"/>
  <c r="Z53" i="12"/>
  <c r="AL53" i="12"/>
  <c r="AD53" i="12"/>
  <c r="V35" i="12"/>
  <c r="AL35" i="12"/>
  <c r="AH35" i="12"/>
  <c r="J35" i="12"/>
  <c r="R35" i="12"/>
  <c r="AD35" i="12"/>
  <c r="N35" i="12"/>
  <c r="AP35" i="12"/>
  <c r="Z35" i="12"/>
  <c r="V17" i="12"/>
  <c r="AD17" i="12"/>
  <c r="AL17" i="12"/>
  <c r="J17" i="12"/>
  <c r="AH17" i="12"/>
  <c r="AP17" i="12"/>
  <c r="Z17" i="12"/>
  <c r="R17" i="12"/>
  <c r="N17" i="12"/>
  <c r="I26" i="12"/>
  <c r="U26" i="12"/>
  <c r="AC26" i="12"/>
  <c r="AG26" i="12"/>
  <c r="AO26" i="12"/>
  <c r="M26" i="12"/>
  <c r="Q26" i="12"/>
  <c r="Y26" i="12"/>
  <c r="AK26" i="12"/>
  <c r="H158" i="12"/>
  <c r="X158" i="12"/>
  <c r="T158" i="12"/>
  <c r="AN158" i="12"/>
  <c r="P158" i="12"/>
  <c r="AB158" i="12"/>
  <c r="AJ158" i="12"/>
  <c r="AF158" i="12"/>
  <c r="L158" i="12"/>
  <c r="H110" i="12"/>
  <c r="L110" i="12"/>
  <c r="T110" i="12"/>
  <c r="AB110" i="12"/>
  <c r="AN110" i="12"/>
  <c r="AF110" i="12"/>
  <c r="P110" i="12"/>
  <c r="X110" i="12"/>
  <c r="AJ110" i="12"/>
  <c r="H74" i="12"/>
  <c r="AN74" i="12"/>
  <c r="X74" i="12"/>
  <c r="AB74" i="12"/>
  <c r="AJ74" i="12"/>
  <c r="P74" i="12"/>
  <c r="L74" i="12"/>
  <c r="T74" i="12"/>
  <c r="AF74" i="12"/>
  <c r="H35" i="12"/>
  <c r="L35" i="12"/>
  <c r="AN35" i="12"/>
  <c r="AJ35" i="12"/>
  <c r="AF35" i="12"/>
  <c r="P35" i="12"/>
  <c r="X35" i="12"/>
  <c r="AB35" i="12"/>
  <c r="T35" i="12"/>
  <c r="H193" i="12"/>
  <c r="P193" i="12"/>
  <c r="AB193" i="12"/>
  <c r="AN193" i="12"/>
  <c r="L193" i="12"/>
  <c r="X193" i="12"/>
  <c r="AJ193" i="12"/>
  <c r="T193" i="12"/>
  <c r="AF193" i="12"/>
  <c r="H175" i="12"/>
  <c r="X175" i="12"/>
  <c r="AB175" i="12"/>
  <c r="T175" i="12"/>
  <c r="P175" i="12"/>
  <c r="AN175" i="12"/>
  <c r="L175" i="12"/>
  <c r="AF175" i="12"/>
  <c r="AJ175" i="12"/>
  <c r="I155" i="12"/>
  <c r="U155" i="12"/>
  <c r="AG155" i="12"/>
  <c r="AK155" i="12"/>
  <c r="Y155" i="12"/>
  <c r="AC155" i="12"/>
  <c r="M155" i="12"/>
  <c r="Q155" i="12"/>
  <c r="AO155" i="12"/>
  <c r="I113" i="12"/>
  <c r="U113" i="12"/>
  <c r="AG113" i="12"/>
  <c r="AK113" i="12"/>
  <c r="AC113" i="12"/>
  <c r="Y113" i="12"/>
  <c r="Q113" i="12"/>
  <c r="M113" i="12"/>
  <c r="AO113" i="12"/>
  <c r="I95" i="12"/>
  <c r="U95" i="12"/>
  <c r="AO95" i="12"/>
  <c r="AG95" i="12"/>
  <c r="Q95" i="12"/>
  <c r="M95" i="12"/>
  <c r="AK95" i="12"/>
  <c r="AC95" i="12"/>
  <c r="Y95" i="12"/>
  <c r="I77" i="12"/>
  <c r="U77" i="12"/>
  <c r="AC77" i="12"/>
  <c r="AG77" i="12"/>
  <c r="AK77" i="12"/>
  <c r="Q77" i="12"/>
  <c r="Y77" i="12"/>
  <c r="AO77" i="12"/>
  <c r="M77" i="12"/>
  <c r="I59" i="12"/>
  <c r="U59" i="12"/>
  <c r="Q59" i="12"/>
  <c r="AC59" i="12"/>
  <c r="AG59" i="12"/>
  <c r="M59" i="12"/>
  <c r="AK59" i="12"/>
  <c r="AO59" i="12"/>
  <c r="Y59" i="12"/>
  <c r="I41" i="12"/>
  <c r="U41" i="12"/>
  <c r="AG41" i="12"/>
  <c r="Q41" i="12"/>
  <c r="AC41" i="12"/>
  <c r="AO41" i="12"/>
  <c r="M41" i="12"/>
  <c r="Y41" i="12"/>
  <c r="AK41" i="12"/>
  <c r="H155" i="12"/>
  <c r="T155" i="12"/>
  <c r="AB155" i="12"/>
  <c r="AN155" i="12"/>
  <c r="L155" i="12"/>
  <c r="P155" i="12"/>
  <c r="AJ155" i="12"/>
  <c r="X155" i="12"/>
  <c r="AF155" i="12"/>
  <c r="H101" i="12"/>
  <c r="AN101" i="12"/>
  <c r="L101" i="12"/>
  <c r="AF101" i="12"/>
  <c r="AB101" i="12"/>
  <c r="X101" i="12"/>
  <c r="P101" i="12"/>
  <c r="AJ101" i="12"/>
  <c r="T101" i="12"/>
  <c r="H65" i="12"/>
  <c r="P65" i="12"/>
  <c r="AB65" i="12"/>
  <c r="AJ65" i="12"/>
  <c r="AN65" i="12"/>
  <c r="L65" i="12"/>
  <c r="AF65" i="12"/>
  <c r="X65" i="12"/>
  <c r="T65" i="12"/>
  <c r="H32" i="12"/>
  <c r="AN32" i="12"/>
  <c r="AB32" i="12"/>
  <c r="AJ32" i="12"/>
  <c r="P32" i="12"/>
  <c r="X32" i="12"/>
  <c r="L32" i="12"/>
  <c r="T32" i="12"/>
  <c r="AF32" i="12"/>
  <c r="R37" i="12"/>
  <c r="Z37" i="12"/>
  <c r="AH37" i="12"/>
  <c r="J37" i="12"/>
  <c r="V37" i="12"/>
  <c r="N37" i="12"/>
  <c r="AD37" i="12"/>
  <c r="AP37" i="12"/>
  <c r="AL37" i="12"/>
  <c r="V19" i="12"/>
  <c r="AP19" i="12"/>
  <c r="N19" i="12"/>
  <c r="R19" i="12"/>
  <c r="Z19" i="12"/>
  <c r="J19" i="12"/>
  <c r="AH19" i="12"/>
  <c r="AD19" i="12"/>
  <c r="AL19" i="12"/>
  <c r="I88" i="12"/>
  <c r="U88" i="12"/>
  <c r="AG88" i="12"/>
  <c r="Q88" i="12"/>
  <c r="M88" i="12"/>
  <c r="AC88" i="12"/>
  <c r="Y88" i="12"/>
  <c r="AO88" i="12"/>
  <c r="AK88" i="12"/>
  <c r="I43" i="12"/>
  <c r="U43" i="12"/>
  <c r="AG43" i="12"/>
  <c r="Q43" i="12"/>
  <c r="AC43" i="12"/>
  <c r="Y43" i="12"/>
  <c r="AO43" i="12"/>
  <c r="M43" i="12"/>
  <c r="AK43" i="12"/>
  <c r="I7" i="12"/>
  <c r="U7" i="12"/>
  <c r="AG7" i="12"/>
  <c r="AC7" i="12"/>
  <c r="Y7" i="12"/>
  <c r="AO7" i="12"/>
  <c r="Q7" i="12"/>
  <c r="AK7" i="12"/>
  <c r="M7" i="12"/>
  <c r="V42" i="12"/>
  <c r="AH42" i="12"/>
  <c r="AD42" i="12"/>
  <c r="Z42" i="12"/>
  <c r="AL42" i="12"/>
  <c r="J42" i="12"/>
  <c r="R42" i="12"/>
  <c r="AP42" i="12"/>
  <c r="N42" i="12"/>
  <c r="I154" i="12"/>
  <c r="AG154" i="12"/>
  <c r="AO154" i="12"/>
  <c r="AK154" i="12"/>
  <c r="U154" i="12"/>
  <c r="AC154" i="12"/>
  <c r="Y154" i="12"/>
  <c r="M154" i="12"/>
  <c r="Q154" i="12"/>
  <c r="I115" i="12"/>
  <c r="AG115" i="12"/>
  <c r="U115" i="12"/>
  <c r="AC115" i="12"/>
  <c r="M115" i="12"/>
  <c r="AK115" i="12"/>
  <c r="Y115" i="12"/>
  <c r="Q115" i="12"/>
  <c r="AO115" i="12"/>
  <c r="I94" i="12"/>
  <c r="AO94" i="12"/>
  <c r="U94" i="12"/>
  <c r="AG94" i="12"/>
  <c r="AC94" i="12"/>
  <c r="AK94" i="12"/>
  <c r="M94" i="12"/>
  <c r="Q94" i="12"/>
  <c r="Y94" i="12"/>
  <c r="I70" i="12"/>
  <c r="AG70" i="12"/>
  <c r="AC70" i="12"/>
  <c r="U70" i="12"/>
  <c r="Y70" i="12"/>
  <c r="Q70" i="12"/>
  <c r="M70" i="12"/>
  <c r="AK70" i="12"/>
  <c r="AO70" i="12"/>
  <c r="I34" i="12"/>
  <c r="Q34" i="12"/>
  <c r="AO34" i="12"/>
  <c r="M34" i="12"/>
  <c r="U34" i="12"/>
  <c r="AG34" i="12"/>
  <c r="AC34" i="12"/>
  <c r="Y34" i="12"/>
  <c r="AK34" i="12"/>
  <c r="AA45" i="12"/>
  <c r="S45" i="12"/>
  <c r="O45" i="12"/>
  <c r="AM45" i="12"/>
  <c r="AI45" i="12"/>
  <c r="AE45" i="12"/>
  <c r="K45" i="12"/>
  <c r="W45" i="12"/>
  <c r="AQ45" i="12"/>
  <c r="AH39" i="12"/>
  <c r="AD39" i="12"/>
  <c r="J39" i="12"/>
  <c r="V39" i="12"/>
  <c r="Z39" i="12"/>
  <c r="R39" i="12"/>
  <c r="AP39" i="12"/>
  <c r="AL39" i="12"/>
  <c r="N39" i="12"/>
  <c r="O147" i="12"/>
  <c r="AA147" i="12"/>
  <c r="AM147" i="12"/>
  <c r="S147" i="12"/>
  <c r="W147" i="12"/>
  <c r="AQ147" i="12"/>
  <c r="K147" i="12"/>
  <c r="AI147" i="12"/>
  <c r="AE147" i="12"/>
  <c r="O117" i="12"/>
  <c r="AI117" i="12"/>
  <c r="AE117" i="12"/>
  <c r="AA117" i="12"/>
  <c r="AM117" i="12"/>
  <c r="W117" i="12"/>
  <c r="K117" i="12"/>
  <c r="AQ117" i="12"/>
  <c r="S117" i="12"/>
  <c r="O84" i="12"/>
  <c r="AA84" i="12"/>
  <c r="AM84" i="12"/>
  <c r="W84" i="12"/>
  <c r="AQ84" i="12"/>
  <c r="K84" i="12"/>
  <c r="AI84" i="12"/>
  <c r="S84" i="12"/>
  <c r="AE84" i="12"/>
  <c r="AM30" i="12"/>
  <c r="O30" i="12"/>
  <c r="AA30" i="12"/>
  <c r="AI30" i="12"/>
  <c r="AQ30" i="12"/>
  <c r="K30" i="12"/>
  <c r="AE30" i="12"/>
  <c r="W30" i="12"/>
  <c r="S30" i="12"/>
  <c r="AP18" i="12"/>
  <c r="AH18" i="12"/>
  <c r="AL18" i="12"/>
  <c r="J18" i="12"/>
  <c r="V18" i="12"/>
  <c r="AD18" i="12"/>
  <c r="R18" i="12"/>
  <c r="Z18" i="12"/>
  <c r="N18" i="12"/>
  <c r="O126" i="12"/>
  <c r="AA126" i="12"/>
  <c r="AM126" i="12"/>
  <c r="AE126" i="12"/>
  <c r="AI126" i="12"/>
  <c r="S126" i="12"/>
  <c r="K126" i="12"/>
  <c r="W126" i="12"/>
  <c r="AQ126" i="12"/>
  <c r="W87" i="12"/>
  <c r="AQ87" i="12"/>
  <c r="O87" i="12"/>
  <c r="AA87" i="12"/>
  <c r="AM87" i="12"/>
  <c r="AI87" i="12"/>
  <c r="S87" i="12"/>
  <c r="K87" i="12"/>
  <c r="AE87" i="12"/>
  <c r="AA60" i="12"/>
  <c r="AM60" i="12"/>
  <c r="AI60" i="12"/>
  <c r="AQ60" i="12"/>
  <c r="O60" i="12"/>
  <c r="W60" i="12"/>
  <c r="AE60" i="12"/>
  <c r="K60" i="12"/>
  <c r="S60" i="12"/>
  <c r="V33" i="12"/>
  <c r="AP33" i="12"/>
  <c r="Z33" i="12"/>
  <c r="AL33" i="12"/>
  <c r="AH33" i="12"/>
  <c r="AD33" i="12"/>
  <c r="J33" i="12"/>
  <c r="R33" i="12"/>
  <c r="N33" i="12"/>
  <c r="V153" i="12"/>
  <c r="AH153" i="12"/>
  <c r="Z153" i="12"/>
  <c r="AP153" i="12"/>
  <c r="N153" i="12"/>
  <c r="R153" i="12"/>
  <c r="AL153" i="12"/>
  <c r="J153" i="12"/>
  <c r="AD153" i="12"/>
  <c r="V135" i="12"/>
  <c r="AH135" i="12"/>
  <c r="AD135" i="12"/>
  <c r="N135" i="12"/>
  <c r="Z135" i="12"/>
  <c r="J135" i="12"/>
  <c r="AP135" i="12"/>
  <c r="R135" i="12"/>
  <c r="AL135" i="12"/>
  <c r="Z117" i="12"/>
  <c r="AP117" i="12"/>
  <c r="N117" i="12"/>
  <c r="AD117" i="12"/>
  <c r="AL117" i="12"/>
  <c r="J117" i="12"/>
  <c r="V117" i="12"/>
  <c r="AH117" i="12"/>
  <c r="R117" i="12"/>
  <c r="AH99" i="12"/>
  <c r="AP99" i="12"/>
  <c r="N99" i="12"/>
  <c r="V99" i="12"/>
  <c r="AD99" i="12"/>
  <c r="J99" i="12"/>
  <c r="R99" i="12"/>
  <c r="AL99" i="12"/>
  <c r="Z99" i="12"/>
  <c r="AL81" i="12"/>
  <c r="AP81" i="12"/>
  <c r="N81" i="12"/>
  <c r="J81" i="12"/>
  <c r="V81" i="12"/>
  <c r="AH81" i="12"/>
  <c r="R81" i="12"/>
  <c r="Z81" i="12"/>
  <c r="AD81" i="12"/>
  <c r="AH45" i="12"/>
  <c r="R45" i="12"/>
  <c r="Z45" i="12"/>
  <c r="AP45" i="12"/>
  <c r="V45" i="12"/>
  <c r="AD45" i="12"/>
  <c r="N45" i="12"/>
  <c r="J45" i="12"/>
  <c r="AL45" i="12"/>
  <c r="AE77" i="12"/>
  <c r="O77" i="12"/>
  <c r="AA77" i="12"/>
  <c r="AM77" i="12"/>
  <c r="W77" i="12"/>
  <c r="S77" i="12"/>
  <c r="AQ77" i="12"/>
  <c r="K77" i="12"/>
  <c r="AI77" i="12"/>
  <c r="V109" i="12"/>
  <c r="R109" i="12"/>
  <c r="AP109" i="12"/>
  <c r="N109" i="12"/>
  <c r="AL109" i="12"/>
  <c r="J109" i="12"/>
  <c r="AH109" i="12"/>
  <c r="AD109" i="12"/>
  <c r="Z109" i="12"/>
  <c r="H149" i="12"/>
  <c r="AN149" i="12"/>
  <c r="T149" i="12"/>
  <c r="AB149" i="12"/>
  <c r="L149" i="12"/>
  <c r="P149" i="12"/>
  <c r="X149" i="12"/>
  <c r="AF149" i="12"/>
  <c r="AJ149" i="12"/>
  <c r="V12" i="12"/>
  <c r="AP12" i="12"/>
  <c r="J12" i="12"/>
  <c r="N12" i="12"/>
  <c r="AH12" i="12"/>
  <c r="AL12" i="12"/>
  <c r="AD12" i="12"/>
  <c r="R12" i="12"/>
  <c r="Z12" i="12"/>
  <c r="O176" i="12"/>
  <c r="AA176" i="12"/>
  <c r="K176" i="12"/>
  <c r="W176" i="12"/>
  <c r="AI176" i="12"/>
  <c r="S176" i="12"/>
  <c r="AE176" i="12"/>
  <c r="AQ176" i="12"/>
  <c r="AM176" i="12"/>
  <c r="H34" i="12"/>
  <c r="P34" i="12"/>
  <c r="AN34" i="12"/>
  <c r="AJ34" i="12"/>
  <c r="AB34" i="12"/>
  <c r="X34" i="12"/>
  <c r="AF34" i="12"/>
  <c r="L34" i="12"/>
  <c r="T34" i="12"/>
  <c r="I114" i="12"/>
  <c r="U114" i="12"/>
  <c r="AG114" i="12"/>
  <c r="Q114" i="12"/>
  <c r="AO114" i="12"/>
  <c r="Y114" i="12"/>
  <c r="AK114" i="12"/>
  <c r="AC114" i="12"/>
  <c r="M114" i="12"/>
  <c r="R183" i="12"/>
  <c r="N183" i="12"/>
  <c r="AD183" i="12"/>
  <c r="AL183" i="12"/>
  <c r="J183" i="12"/>
  <c r="V183" i="12"/>
  <c r="AH183" i="12"/>
  <c r="Z183" i="12"/>
  <c r="AP183" i="12"/>
  <c r="H171" i="12"/>
  <c r="AF171" i="12"/>
  <c r="AB171" i="12"/>
  <c r="AN171" i="12"/>
  <c r="X171" i="12"/>
  <c r="P171" i="12"/>
  <c r="L171" i="12"/>
  <c r="AJ171" i="12"/>
  <c r="T171" i="12"/>
  <c r="H136" i="12"/>
  <c r="L136" i="12"/>
  <c r="AJ136" i="12"/>
  <c r="AB136" i="12"/>
  <c r="AN136" i="12"/>
  <c r="AF136" i="12"/>
  <c r="P136" i="12"/>
  <c r="X136" i="12"/>
  <c r="T136" i="12"/>
  <c r="H25" i="12"/>
  <c r="L25" i="12"/>
  <c r="T25" i="12"/>
  <c r="AN25" i="12"/>
  <c r="X25" i="12"/>
  <c r="P25" i="12"/>
  <c r="AB25" i="12"/>
  <c r="AJ25" i="12"/>
  <c r="AF25" i="12"/>
  <c r="I84" i="12"/>
  <c r="U84" i="12"/>
  <c r="AG84" i="12"/>
  <c r="AC84" i="12"/>
  <c r="Y84" i="12"/>
  <c r="AK84" i="12"/>
  <c r="Q84" i="12"/>
  <c r="AO84" i="12"/>
  <c r="M84" i="12"/>
  <c r="AA183" i="12"/>
  <c r="AQ183" i="12"/>
  <c r="O183" i="12"/>
  <c r="AM183" i="12"/>
  <c r="W183" i="12"/>
  <c r="S183" i="12"/>
  <c r="AE183" i="12"/>
  <c r="K183" i="12"/>
  <c r="AI183" i="12"/>
  <c r="V180" i="12"/>
  <c r="AD180" i="12"/>
  <c r="N180" i="12"/>
  <c r="J180" i="12"/>
  <c r="AH180" i="12"/>
  <c r="Z180" i="12"/>
  <c r="AL180" i="12"/>
  <c r="R180" i="12"/>
  <c r="AP180" i="12"/>
  <c r="H192" i="12"/>
  <c r="AB192" i="12"/>
  <c r="AN192" i="12"/>
  <c r="P192" i="12"/>
  <c r="L192" i="12"/>
  <c r="AF192" i="12"/>
  <c r="X192" i="12"/>
  <c r="T192" i="12"/>
  <c r="AJ192" i="12"/>
  <c r="AM182" i="12"/>
  <c r="O182" i="12"/>
  <c r="AA182" i="12"/>
  <c r="AQ182" i="12"/>
  <c r="W182" i="12"/>
  <c r="AI182" i="12"/>
  <c r="S182" i="12"/>
  <c r="K182" i="12"/>
  <c r="AE182" i="12"/>
  <c r="AM164" i="12"/>
  <c r="AI164" i="12"/>
  <c r="AE164" i="12"/>
  <c r="O164" i="12"/>
  <c r="AA164" i="12"/>
  <c r="AQ164" i="12"/>
  <c r="K164" i="12"/>
  <c r="W164" i="12"/>
  <c r="S164" i="12"/>
  <c r="H130" i="12"/>
  <c r="AN130" i="12"/>
  <c r="AJ130" i="12"/>
  <c r="P130" i="12"/>
  <c r="L130" i="12"/>
  <c r="AB130" i="12"/>
  <c r="X130" i="12"/>
  <c r="T130" i="12"/>
  <c r="AF130" i="12"/>
  <c r="H97" i="12"/>
  <c r="AB97" i="12"/>
  <c r="X97" i="12"/>
  <c r="T97" i="12"/>
  <c r="P97" i="12"/>
  <c r="AN97" i="12"/>
  <c r="AF97" i="12"/>
  <c r="AJ97" i="12"/>
  <c r="L97" i="12"/>
  <c r="H79" i="12"/>
  <c r="AJ79" i="12"/>
  <c r="AB79" i="12"/>
  <c r="P79" i="12"/>
  <c r="AN79" i="12"/>
  <c r="AF79" i="12"/>
  <c r="L79" i="12"/>
  <c r="T79" i="12"/>
  <c r="X79" i="12"/>
  <c r="H58" i="12"/>
  <c r="P58" i="12"/>
  <c r="AB58" i="12"/>
  <c r="AN58" i="12"/>
  <c r="L58" i="12"/>
  <c r="X58" i="12"/>
  <c r="AJ58" i="12"/>
  <c r="T58" i="12"/>
  <c r="AF58" i="12"/>
  <c r="H40" i="12"/>
  <c r="AJ40" i="12"/>
  <c r="P40" i="12"/>
  <c r="AB40" i="12"/>
  <c r="AN40" i="12"/>
  <c r="L40" i="12"/>
  <c r="T40" i="12"/>
  <c r="AF40" i="12"/>
  <c r="X40" i="12"/>
  <c r="H22" i="12"/>
  <c r="AB22" i="12"/>
  <c r="AN22" i="12"/>
  <c r="L22" i="12"/>
  <c r="AJ22" i="12"/>
  <c r="P22" i="12"/>
  <c r="T22" i="12"/>
  <c r="X22" i="12"/>
  <c r="AF22" i="12"/>
  <c r="J176" i="12"/>
  <c r="V176" i="12"/>
  <c r="AH176" i="12"/>
  <c r="R176" i="12"/>
  <c r="AD176" i="12"/>
  <c r="AP176" i="12"/>
  <c r="N176" i="12"/>
  <c r="Z176" i="12"/>
  <c r="AL176" i="12"/>
  <c r="I191" i="12"/>
  <c r="AO191" i="12"/>
  <c r="M191" i="12"/>
  <c r="U191" i="12"/>
  <c r="AG191" i="12"/>
  <c r="Q191" i="12"/>
  <c r="AC191" i="12"/>
  <c r="AK191" i="12"/>
  <c r="Y191" i="12"/>
  <c r="I170" i="12"/>
  <c r="U170" i="12"/>
  <c r="AG170" i="12"/>
  <c r="AK170" i="12"/>
  <c r="AC170" i="12"/>
  <c r="M170" i="12"/>
  <c r="Q170" i="12"/>
  <c r="AO170" i="12"/>
  <c r="Y170" i="12"/>
  <c r="H185" i="12"/>
  <c r="L185" i="12"/>
  <c r="AJ185" i="12"/>
  <c r="AF185" i="12"/>
  <c r="AB185" i="12"/>
  <c r="AN185" i="12"/>
  <c r="P185" i="12"/>
  <c r="X185" i="12"/>
  <c r="T185" i="12"/>
  <c r="H167" i="12"/>
  <c r="T167" i="12"/>
  <c r="AN167" i="12"/>
  <c r="AJ167" i="12"/>
  <c r="P167" i="12"/>
  <c r="AB167" i="12"/>
  <c r="L167" i="12"/>
  <c r="AF167" i="12"/>
  <c r="X167" i="12"/>
  <c r="I150" i="12"/>
  <c r="U150" i="12"/>
  <c r="AC150" i="12"/>
  <c r="AG150" i="12"/>
  <c r="AO150" i="12"/>
  <c r="AK150" i="12"/>
  <c r="Y150" i="12"/>
  <c r="Q150" i="12"/>
  <c r="M150" i="12"/>
  <c r="I126" i="12"/>
  <c r="AC126" i="12"/>
  <c r="Y126" i="12"/>
  <c r="U126" i="12"/>
  <c r="AG126" i="12"/>
  <c r="Q126" i="12"/>
  <c r="AO126" i="12"/>
  <c r="M126" i="12"/>
  <c r="AK126" i="12"/>
  <c r="I102" i="12"/>
  <c r="U102" i="12"/>
  <c r="AO102" i="12"/>
  <c r="AG102" i="12"/>
  <c r="Q102" i="12"/>
  <c r="M102" i="12"/>
  <c r="AK102" i="12"/>
  <c r="AC102" i="12"/>
  <c r="Y102" i="12"/>
  <c r="I81" i="12"/>
  <c r="U81" i="12"/>
  <c r="AG81" i="12"/>
  <c r="AO81" i="12"/>
  <c r="Y81" i="12"/>
  <c r="Q81" i="12"/>
  <c r="AC81" i="12"/>
  <c r="M81" i="12"/>
  <c r="AK81" i="12"/>
  <c r="I63" i="12"/>
  <c r="U63" i="12"/>
  <c r="M63" i="12"/>
  <c r="AG63" i="12"/>
  <c r="Q63" i="12"/>
  <c r="AC63" i="12"/>
  <c r="AO63" i="12"/>
  <c r="AK63" i="12"/>
  <c r="Y63" i="12"/>
  <c r="I45" i="12"/>
  <c r="U45" i="12"/>
  <c r="AG45" i="12"/>
  <c r="AC45" i="12"/>
  <c r="Q45" i="12"/>
  <c r="AK45" i="12"/>
  <c r="AO45" i="12"/>
  <c r="Y45" i="12"/>
  <c r="M45" i="12"/>
  <c r="I27" i="12"/>
  <c r="AG27" i="12"/>
  <c r="AC27" i="12"/>
  <c r="Y27" i="12"/>
  <c r="U27" i="12"/>
  <c r="AK27" i="12"/>
  <c r="Q27" i="12"/>
  <c r="AO27" i="12"/>
  <c r="M27" i="12"/>
  <c r="I9" i="12"/>
  <c r="U9" i="12"/>
  <c r="AG9" i="12"/>
  <c r="Q9" i="12"/>
  <c r="AO9" i="12"/>
  <c r="AK9" i="12"/>
  <c r="AC9" i="12"/>
  <c r="Y9" i="12"/>
  <c r="M9" i="12"/>
  <c r="H111" i="12"/>
  <c r="P111" i="12"/>
  <c r="X111" i="12"/>
  <c r="AN111" i="12"/>
  <c r="AB111" i="12"/>
  <c r="L111" i="12"/>
  <c r="AF111" i="12"/>
  <c r="AJ111" i="12"/>
  <c r="T111" i="12"/>
  <c r="K41" i="12"/>
  <c r="W41" i="12"/>
  <c r="AI41" i="12"/>
  <c r="AQ41" i="12"/>
  <c r="O41" i="12"/>
  <c r="AM41" i="12"/>
  <c r="S41" i="12"/>
  <c r="AE41" i="12"/>
  <c r="AA41" i="12"/>
  <c r="AD145" i="12"/>
  <c r="N145" i="12"/>
  <c r="AL145" i="12"/>
  <c r="V145" i="12"/>
  <c r="J145" i="12"/>
  <c r="AH145" i="12"/>
  <c r="R145" i="12"/>
  <c r="AP145" i="12"/>
  <c r="Z145" i="12"/>
  <c r="AL119" i="12"/>
  <c r="AH119" i="12"/>
  <c r="V119" i="12"/>
  <c r="AD119" i="12"/>
  <c r="J119" i="12"/>
  <c r="R119" i="12"/>
  <c r="AP119" i="12"/>
  <c r="N119" i="12"/>
  <c r="Z119" i="12"/>
  <c r="H187" i="12"/>
  <c r="P187" i="12"/>
  <c r="AN187" i="12"/>
  <c r="T187" i="12"/>
  <c r="AB187" i="12"/>
  <c r="L187" i="12"/>
  <c r="X187" i="12"/>
  <c r="AJ187" i="12"/>
  <c r="AF187" i="12"/>
  <c r="V31" i="12"/>
  <c r="R31" i="12"/>
  <c r="Z31" i="12"/>
  <c r="J31" i="12"/>
  <c r="AH31" i="12"/>
  <c r="AD31" i="12"/>
  <c r="AP31" i="12"/>
  <c r="AL31" i="12"/>
  <c r="N31" i="12"/>
  <c r="I22" i="12"/>
  <c r="AG22" i="12"/>
  <c r="AO22" i="12"/>
  <c r="U22" i="12"/>
  <c r="Q22" i="12"/>
  <c r="M22" i="12"/>
  <c r="AC22" i="12"/>
  <c r="AK22" i="12"/>
  <c r="Y22" i="12"/>
  <c r="AM78" i="12"/>
  <c r="W78" i="12"/>
  <c r="O78" i="12"/>
  <c r="AA78" i="12"/>
  <c r="S78" i="12"/>
  <c r="AE78" i="12"/>
  <c r="K78" i="12"/>
  <c r="AI78" i="12"/>
  <c r="AQ78" i="12"/>
  <c r="V93" i="12"/>
  <c r="Z93" i="12"/>
  <c r="R93" i="12"/>
  <c r="AH93" i="12"/>
  <c r="AP93" i="12"/>
  <c r="N93" i="12"/>
  <c r="J93" i="12"/>
  <c r="AD93" i="12"/>
  <c r="AL93" i="12"/>
  <c r="H186" i="12"/>
  <c r="AF186" i="12"/>
  <c r="P186" i="12"/>
  <c r="AB186" i="12"/>
  <c r="AN186" i="12"/>
  <c r="L186" i="12"/>
  <c r="AJ186" i="12"/>
  <c r="X186" i="12"/>
  <c r="T186" i="12"/>
  <c r="I185" i="12"/>
  <c r="U185" i="12"/>
  <c r="AC185" i="12"/>
  <c r="M185" i="12"/>
  <c r="AG185" i="12"/>
  <c r="Y185" i="12"/>
  <c r="AK185" i="12"/>
  <c r="Q185" i="12"/>
  <c r="AO185" i="12"/>
  <c r="AI186" i="12"/>
  <c r="O186" i="12"/>
  <c r="AA186" i="12"/>
  <c r="AM186" i="12"/>
  <c r="S186" i="12"/>
  <c r="AE186" i="12"/>
  <c r="AQ186" i="12"/>
  <c r="K186" i="12"/>
  <c r="W186" i="12"/>
  <c r="I180" i="12"/>
  <c r="U180" i="12"/>
  <c r="AG180" i="12"/>
  <c r="AO180" i="12"/>
  <c r="Q180" i="12"/>
  <c r="AC180" i="12"/>
  <c r="M180" i="12"/>
  <c r="AK180" i="12"/>
  <c r="Y180" i="12"/>
  <c r="H103" i="12"/>
  <c r="AB103" i="12"/>
  <c r="L103" i="12"/>
  <c r="AN103" i="12"/>
  <c r="AJ103" i="12"/>
  <c r="P103" i="12"/>
  <c r="AF103" i="12"/>
  <c r="X103" i="12"/>
  <c r="T103" i="12"/>
  <c r="H7" i="12"/>
  <c r="AJ7" i="12"/>
  <c r="X7" i="12"/>
  <c r="P7" i="12"/>
  <c r="AB7" i="12"/>
  <c r="AN7" i="12"/>
  <c r="L7" i="12"/>
  <c r="AF7" i="12"/>
  <c r="T7" i="12"/>
  <c r="I105" i="12"/>
  <c r="AG105" i="12"/>
  <c r="U105" i="12"/>
  <c r="AK105" i="12"/>
  <c r="AO105" i="12"/>
  <c r="M105" i="12"/>
  <c r="AC105" i="12"/>
  <c r="Y105" i="12"/>
  <c r="Q105" i="12"/>
  <c r="W165" i="12"/>
  <c r="AE165" i="12"/>
  <c r="O165" i="12"/>
  <c r="AA165" i="12"/>
  <c r="AM165" i="12"/>
  <c r="AI165" i="12"/>
  <c r="AQ165" i="12"/>
  <c r="K165" i="12"/>
  <c r="S165" i="12"/>
  <c r="I177" i="12"/>
  <c r="U177" i="12"/>
  <c r="AG177" i="12"/>
  <c r="AK177" i="12"/>
  <c r="AC177" i="12"/>
  <c r="Q177" i="12"/>
  <c r="AO177" i="12"/>
  <c r="M177" i="12"/>
  <c r="Y177" i="12"/>
  <c r="H168" i="12"/>
  <c r="X168" i="12"/>
  <c r="L168" i="12"/>
  <c r="AN168" i="12"/>
  <c r="P168" i="12"/>
  <c r="AB168" i="12"/>
  <c r="AJ168" i="12"/>
  <c r="AF168" i="12"/>
  <c r="T168" i="12"/>
  <c r="H144" i="12"/>
  <c r="L144" i="12"/>
  <c r="T144" i="12"/>
  <c r="AN144" i="12"/>
  <c r="P144" i="12"/>
  <c r="AB144" i="12"/>
  <c r="X144" i="12"/>
  <c r="AJ144" i="12"/>
  <c r="AF144" i="12"/>
  <c r="H114" i="12"/>
  <c r="T114" i="12"/>
  <c r="P114" i="12"/>
  <c r="AB114" i="12"/>
  <c r="L114" i="12"/>
  <c r="AN114" i="12"/>
  <c r="AJ114" i="12"/>
  <c r="AF114" i="12"/>
  <c r="X114" i="12"/>
  <c r="H93" i="12"/>
  <c r="AN93" i="12"/>
  <c r="X93" i="12"/>
  <c r="P93" i="12"/>
  <c r="L93" i="12"/>
  <c r="AB93" i="12"/>
  <c r="AJ93" i="12"/>
  <c r="T93" i="12"/>
  <c r="AF93" i="12"/>
  <c r="H69" i="12"/>
  <c r="X69" i="12"/>
  <c r="L69" i="12"/>
  <c r="P69" i="12"/>
  <c r="AN69" i="12"/>
  <c r="AJ69" i="12"/>
  <c r="AB69" i="12"/>
  <c r="T69" i="12"/>
  <c r="AF69" i="12"/>
  <c r="H51" i="12"/>
  <c r="AB51" i="12"/>
  <c r="P51" i="12"/>
  <c r="AN51" i="12"/>
  <c r="L51" i="12"/>
  <c r="AJ51" i="12"/>
  <c r="T51" i="12"/>
  <c r="X51" i="12"/>
  <c r="AF51" i="12"/>
  <c r="H33" i="12"/>
  <c r="AN33" i="12"/>
  <c r="AJ33" i="12"/>
  <c r="P33" i="12"/>
  <c r="AB33" i="12"/>
  <c r="L33" i="12"/>
  <c r="T33" i="12"/>
  <c r="X33" i="12"/>
  <c r="AF33" i="12"/>
  <c r="H12" i="12"/>
  <c r="P12" i="12"/>
  <c r="AN12" i="12"/>
  <c r="L12" i="12"/>
  <c r="AF12" i="12"/>
  <c r="AB12" i="12"/>
  <c r="X12" i="12"/>
  <c r="AJ12" i="12"/>
  <c r="T12" i="12"/>
  <c r="K152" i="12"/>
  <c r="AI152" i="12"/>
  <c r="S152" i="12"/>
  <c r="O152" i="12"/>
  <c r="AA152" i="12"/>
  <c r="AM152" i="12"/>
  <c r="AE152" i="12"/>
  <c r="W152" i="12"/>
  <c r="AQ152" i="12"/>
  <c r="AM134" i="12"/>
  <c r="S134" i="12"/>
  <c r="O134" i="12"/>
  <c r="AA134" i="12"/>
  <c r="W134" i="12"/>
  <c r="AE134" i="12"/>
  <c r="K134" i="12"/>
  <c r="AI134" i="12"/>
  <c r="AQ134" i="12"/>
  <c r="W116" i="12"/>
  <c r="AQ116" i="12"/>
  <c r="O116" i="12"/>
  <c r="AA116" i="12"/>
  <c r="AM116" i="12"/>
  <c r="S116" i="12"/>
  <c r="K116" i="12"/>
  <c r="AI116" i="12"/>
  <c r="AE116" i="12"/>
  <c r="S98" i="12"/>
  <c r="O98" i="12"/>
  <c r="AA98" i="12"/>
  <c r="AM98" i="12"/>
  <c r="K98" i="12"/>
  <c r="W98" i="12"/>
  <c r="AQ98" i="12"/>
  <c r="AI98" i="12"/>
  <c r="AE98" i="12"/>
  <c r="AM80" i="12"/>
  <c r="K80" i="12"/>
  <c r="S80" i="12"/>
  <c r="O80" i="12"/>
  <c r="AA80" i="12"/>
  <c r="AI80" i="12"/>
  <c r="W80" i="12"/>
  <c r="AE80" i="12"/>
  <c r="AQ80" i="12"/>
  <c r="AA62" i="12"/>
  <c r="AM62" i="12"/>
  <c r="K62" i="12"/>
  <c r="W62" i="12"/>
  <c r="AI62" i="12"/>
  <c r="S62" i="12"/>
  <c r="AE62" i="12"/>
  <c r="AQ62" i="12"/>
  <c r="O62" i="12"/>
  <c r="AA44" i="12"/>
  <c r="AM44" i="12"/>
  <c r="AI44" i="12"/>
  <c r="S44" i="12"/>
  <c r="AQ44" i="12"/>
  <c r="O44" i="12"/>
  <c r="AE44" i="12"/>
  <c r="W44" i="12"/>
  <c r="K44" i="12"/>
  <c r="AA26" i="12"/>
  <c r="AM26" i="12"/>
  <c r="S26" i="12"/>
  <c r="O26" i="12"/>
  <c r="W26" i="12"/>
  <c r="AQ26" i="12"/>
  <c r="AE26" i="12"/>
  <c r="K26" i="12"/>
  <c r="AI26" i="12"/>
  <c r="AA8" i="12"/>
  <c r="AM8" i="12"/>
  <c r="S8" i="12"/>
  <c r="O8" i="12"/>
  <c r="K8" i="12"/>
  <c r="AI8" i="12"/>
  <c r="AQ8" i="12"/>
  <c r="AE8" i="12"/>
  <c r="W8" i="12"/>
  <c r="K148" i="12"/>
  <c r="O148" i="12"/>
  <c r="AA148" i="12"/>
  <c r="AM148" i="12"/>
  <c r="AE148" i="12"/>
  <c r="AQ148" i="12"/>
  <c r="W148" i="12"/>
  <c r="S148" i="12"/>
  <c r="AI148" i="12"/>
  <c r="O130" i="12"/>
  <c r="AA130" i="12"/>
  <c r="AM130" i="12"/>
  <c r="W130" i="12"/>
  <c r="AQ130" i="12"/>
  <c r="K130" i="12"/>
  <c r="AI130" i="12"/>
  <c r="S130" i="12"/>
  <c r="AE130" i="12"/>
  <c r="O112" i="12"/>
  <c r="AA112" i="12"/>
  <c r="AM112" i="12"/>
  <c r="AI112" i="12"/>
  <c r="AE112" i="12"/>
  <c r="W112" i="12"/>
  <c r="S112" i="12"/>
  <c r="K112" i="12"/>
  <c r="AQ112" i="12"/>
  <c r="O94" i="12"/>
  <c r="AA94" i="12"/>
  <c r="AM94" i="12"/>
  <c r="W94" i="12"/>
  <c r="S94" i="12"/>
  <c r="K94" i="12"/>
  <c r="AI94" i="12"/>
  <c r="AQ94" i="12"/>
  <c r="AE94" i="12"/>
  <c r="AQ76" i="12"/>
  <c r="O76" i="12"/>
  <c r="AA76" i="12"/>
  <c r="AM76" i="12"/>
  <c r="W76" i="12"/>
  <c r="S76" i="12"/>
  <c r="K76" i="12"/>
  <c r="AI76" i="12"/>
  <c r="AE76" i="12"/>
  <c r="O58" i="12"/>
  <c r="AA58" i="12"/>
  <c r="AM58" i="12"/>
  <c r="W58" i="12"/>
  <c r="S58" i="12"/>
  <c r="K58" i="12"/>
  <c r="AI58" i="12"/>
  <c r="AE58" i="12"/>
  <c r="AQ58" i="12"/>
  <c r="O40" i="12"/>
  <c r="AA40" i="12"/>
  <c r="AM40" i="12"/>
  <c r="AI40" i="12"/>
  <c r="AQ40" i="12"/>
  <c r="W40" i="12"/>
  <c r="AE40" i="12"/>
  <c r="K40" i="12"/>
  <c r="S40" i="12"/>
  <c r="O22" i="12"/>
  <c r="AA22" i="12"/>
  <c r="AM22" i="12"/>
  <c r="AQ22" i="12"/>
  <c r="S22" i="12"/>
  <c r="W22" i="12"/>
  <c r="K22" i="12"/>
  <c r="AI22" i="12"/>
  <c r="AE22" i="12"/>
  <c r="K4" i="12"/>
  <c r="W4" i="12"/>
  <c r="AI4" i="12"/>
  <c r="AM4" i="12"/>
  <c r="AE4" i="12"/>
  <c r="O4" i="12"/>
  <c r="AA4" i="12"/>
  <c r="AQ4" i="12"/>
  <c r="S4" i="12"/>
  <c r="R148" i="12"/>
  <c r="V148" i="12"/>
  <c r="N148" i="12"/>
  <c r="J148" i="12"/>
  <c r="AH148" i="12"/>
  <c r="AD148" i="12"/>
  <c r="AL148" i="12"/>
  <c r="AP148" i="12"/>
  <c r="Z148" i="12"/>
  <c r="R130" i="12"/>
  <c r="N130" i="12"/>
  <c r="AH130" i="12"/>
  <c r="Z130" i="12"/>
  <c r="J130" i="12"/>
  <c r="V130" i="12"/>
  <c r="AD130" i="12"/>
  <c r="AP130" i="12"/>
  <c r="AL130" i="12"/>
  <c r="AH112" i="12"/>
  <c r="R112" i="12"/>
  <c r="AP112" i="12"/>
  <c r="AD112" i="12"/>
  <c r="J112" i="12"/>
  <c r="V112" i="12"/>
  <c r="N112" i="12"/>
  <c r="Z112" i="12"/>
  <c r="AL112" i="12"/>
  <c r="AD94" i="12"/>
  <c r="N94" i="12"/>
  <c r="AH94" i="12"/>
  <c r="R94" i="12"/>
  <c r="AP94" i="12"/>
  <c r="Z94" i="12"/>
  <c r="V94" i="12"/>
  <c r="AL94" i="12"/>
  <c r="J94" i="12"/>
  <c r="V76" i="12"/>
  <c r="Z76" i="12"/>
  <c r="AH76" i="12"/>
  <c r="AP76" i="12"/>
  <c r="J76" i="12"/>
  <c r="AD76" i="12"/>
  <c r="R76" i="12"/>
  <c r="AL76" i="12"/>
  <c r="N76" i="12"/>
  <c r="V58" i="12"/>
  <c r="AH58" i="12"/>
  <c r="Z58" i="12"/>
  <c r="R58" i="12"/>
  <c r="AD58" i="12"/>
  <c r="AP58" i="12"/>
  <c r="J58" i="12"/>
  <c r="AL58" i="12"/>
  <c r="N58" i="12"/>
  <c r="O193" i="12"/>
  <c r="AA193" i="12"/>
  <c r="AM193" i="12"/>
  <c r="K193" i="12"/>
  <c r="W193" i="12"/>
  <c r="AI193" i="12"/>
  <c r="S193" i="12"/>
  <c r="AE193" i="12"/>
  <c r="AQ193" i="12"/>
  <c r="AA175" i="12"/>
  <c r="AM175" i="12"/>
  <c r="O175" i="12"/>
  <c r="W175" i="12"/>
  <c r="S175" i="12"/>
  <c r="K175" i="12"/>
  <c r="AI175" i="12"/>
  <c r="AE175" i="12"/>
  <c r="AQ175" i="12"/>
  <c r="AH187" i="12"/>
  <c r="R187" i="12"/>
  <c r="AP187" i="12"/>
  <c r="AL187" i="12"/>
  <c r="V187" i="12"/>
  <c r="AD187" i="12"/>
  <c r="J187" i="12"/>
  <c r="Z187" i="12"/>
  <c r="N187" i="12"/>
  <c r="AH169" i="12"/>
  <c r="Z169" i="12"/>
  <c r="AP169" i="12"/>
  <c r="AL169" i="12"/>
  <c r="J169" i="12"/>
  <c r="V169" i="12"/>
  <c r="R169" i="12"/>
  <c r="AD169" i="12"/>
  <c r="N169" i="12"/>
  <c r="I178" i="12"/>
  <c r="U178" i="12"/>
  <c r="AG178" i="12"/>
  <c r="AO178" i="12"/>
  <c r="Q178" i="12"/>
  <c r="AC178" i="12"/>
  <c r="M178" i="12"/>
  <c r="Y178" i="12"/>
  <c r="AK178" i="12"/>
  <c r="R158" i="12"/>
  <c r="AH158" i="12"/>
  <c r="V158" i="12"/>
  <c r="AL158" i="12"/>
  <c r="J158" i="12"/>
  <c r="N158" i="12"/>
  <c r="AD158" i="12"/>
  <c r="AP158" i="12"/>
  <c r="Z158" i="12"/>
  <c r="R140" i="12"/>
  <c r="AP140" i="12"/>
  <c r="Z140" i="12"/>
  <c r="AL140" i="12"/>
  <c r="J140" i="12"/>
  <c r="V140" i="12"/>
  <c r="AH140" i="12"/>
  <c r="AD140" i="12"/>
  <c r="N140" i="12"/>
  <c r="AH122" i="12"/>
  <c r="Z122" i="12"/>
  <c r="V122" i="12"/>
  <c r="AD122" i="12"/>
  <c r="J122" i="12"/>
  <c r="R122" i="12"/>
  <c r="AP122" i="12"/>
  <c r="N122" i="12"/>
  <c r="AL122" i="12"/>
  <c r="R104" i="12"/>
  <c r="N104" i="12"/>
  <c r="V104" i="12"/>
  <c r="AP104" i="12"/>
  <c r="AL104" i="12"/>
  <c r="J104" i="12"/>
  <c r="AH104" i="12"/>
  <c r="AD104" i="12"/>
  <c r="Z104" i="12"/>
  <c r="Z86" i="12"/>
  <c r="AP86" i="12"/>
  <c r="AD86" i="12"/>
  <c r="J86" i="12"/>
  <c r="V86" i="12"/>
  <c r="AH86" i="12"/>
  <c r="AL86" i="12"/>
  <c r="R86" i="12"/>
  <c r="N86" i="12"/>
  <c r="J68" i="12"/>
  <c r="AH68" i="12"/>
  <c r="AD68" i="12"/>
  <c r="Z68" i="12"/>
  <c r="V68" i="12"/>
  <c r="R68" i="12"/>
  <c r="AP68" i="12"/>
  <c r="N68" i="12"/>
  <c r="AL68" i="12"/>
  <c r="V50" i="12"/>
  <c r="AH50" i="12"/>
  <c r="R50" i="12"/>
  <c r="Z50" i="12"/>
  <c r="AD50" i="12"/>
  <c r="N50" i="12"/>
  <c r="J50" i="12"/>
  <c r="AP50" i="12"/>
  <c r="AL50" i="12"/>
  <c r="AP32" i="12"/>
  <c r="Z32" i="12"/>
  <c r="V32" i="12"/>
  <c r="AD32" i="12"/>
  <c r="J32" i="12"/>
  <c r="AH32" i="12"/>
  <c r="AL32" i="12"/>
  <c r="R32" i="12"/>
  <c r="N32" i="12"/>
  <c r="R14" i="12"/>
  <c r="AP14" i="12"/>
  <c r="J14" i="12"/>
  <c r="V14" i="12"/>
  <c r="AH14" i="12"/>
  <c r="AD14" i="12"/>
  <c r="N14" i="12"/>
  <c r="AL14" i="12"/>
  <c r="Z14" i="12"/>
  <c r="I23" i="12"/>
  <c r="AC23" i="12"/>
  <c r="U23" i="12"/>
  <c r="AG23" i="12"/>
  <c r="M23" i="12"/>
  <c r="Q23" i="12"/>
  <c r="AO23" i="12"/>
  <c r="AK23" i="12"/>
  <c r="Y23" i="12"/>
  <c r="H152" i="12"/>
  <c r="T152" i="12"/>
  <c r="X152" i="12"/>
  <c r="AF152" i="12"/>
  <c r="P152" i="12"/>
  <c r="AB152" i="12"/>
  <c r="AN152" i="12"/>
  <c r="AJ152" i="12"/>
  <c r="L152" i="12"/>
  <c r="H104" i="12"/>
  <c r="P104" i="12"/>
  <c r="AN104" i="12"/>
  <c r="L104" i="12"/>
  <c r="AF104" i="12"/>
  <c r="AB104" i="12"/>
  <c r="X104" i="12"/>
  <c r="T104" i="12"/>
  <c r="AJ104" i="12"/>
  <c r="H68" i="12"/>
  <c r="AB68" i="12"/>
  <c r="L68" i="12"/>
  <c r="AJ68" i="12"/>
  <c r="T68" i="12"/>
  <c r="P68" i="12"/>
  <c r="AN68" i="12"/>
  <c r="X68" i="12"/>
  <c r="AF68" i="12"/>
  <c r="H29" i="12"/>
  <c r="P29" i="12"/>
  <c r="X29" i="12"/>
  <c r="AB29" i="12"/>
  <c r="AJ29" i="12"/>
  <c r="AN29" i="12"/>
  <c r="T29" i="12"/>
  <c r="L29" i="12"/>
  <c r="AF29" i="12"/>
  <c r="H190" i="12"/>
  <c r="AN190" i="12"/>
  <c r="AB190" i="12"/>
  <c r="X190" i="12"/>
  <c r="P190" i="12"/>
  <c r="AJ190" i="12"/>
  <c r="L190" i="12"/>
  <c r="T190" i="12"/>
  <c r="AF190" i="12"/>
  <c r="H172" i="12"/>
  <c r="L172" i="12"/>
  <c r="AB172" i="12"/>
  <c r="AJ172" i="12"/>
  <c r="P172" i="12"/>
  <c r="X172" i="12"/>
  <c r="AN172" i="12"/>
  <c r="AF172" i="12"/>
  <c r="T172" i="12"/>
  <c r="I152" i="12"/>
  <c r="U152" i="12"/>
  <c r="AG152" i="12"/>
  <c r="Q152" i="12"/>
  <c r="AC152" i="12"/>
  <c r="Y152" i="12"/>
  <c r="AO152" i="12"/>
  <c r="M152" i="12"/>
  <c r="AK152" i="12"/>
  <c r="I110" i="12"/>
  <c r="Y110" i="12"/>
  <c r="U110" i="12"/>
  <c r="AG110" i="12"/>
  <c r="AC110" i="12"/>
  <c r="M110" i="12"/>
  <c r="AO110" i="12"/>
  <c r="AK110" i="12"/>
  <c r="Q110" i="12"/>
  <c r="I92" i="12"/>
  <c r="U92" i="12"/>
  <c r="AG92" i="12"/>
  <c r="Q92" i="12"/>
  <c r="AO92" i="12"/>
  <c r="M92" i="12"/>
  <c r="Y92" i="12"/>
  <c r="AC92" i="12"/>
  <c r="AK92" i="12"/>
  <c r="I74" i="12"/>
  <c r="AG74" i="12"/>
  <c r="Y74" i="12"/>
  <c r="U74" i="12"/>
  <c r="AC74" i="12"/>
  <c r="Q74" i="12"/>
  <c r="AO74" i="12"/>
  <c r="M74" i="12"/>
  <c r="AK74" i="12"/>
  <c r="I56" i="12"/>
  <c r="U56" i="12"/>
  <c r="AC56" i="12"/>
  <c r="AG56" i="12"/>
  <c r="Q56" i="12"/>
  <c r="M56" i="12"/>
  <c r="AO56" i="12"/>
  <c r="Y56" i="12"/>
  <c r="AK56" i="12"/>
  <c r="I35" i="12"/>
  <c r="U35" i="12"/>
  <c r="AG35" i="12"/>
  <c r="Q35" i="12"/>
  <c r="Y35" i="12"/>
  <c r="AO35" i="12"/>
  <c r="M35" i="12"/>
  <c r="AC35" i="12"/>
  <c r="AK35" i="12"/>
  <c r="H137" i="12"/>
  <c r="P137" i="12"/>
  <c r="AB137" i="12"/>
  <c r="AN137" i="12"/>
  <c r="L137" i="12"/>
  <c r="X137" i="12"/>
  <c r="AJ137" i="12"/>
  <c r="T137" i="12"/>
  <c r="AF137" i="12"/>
  <c r="H95" i="12"/>
  <c r="AF95" i="12"/>
  <c r="AJ95" i="12"/>
  <c r="P95" i="12"/>
  <c r="AB95" i="12"/>
  <c r="AN95" i="12"/>
  <c r="L95" i="12"/>
  <c r="T95" i="12"/>
  <c r="X95" i="12"/>
  <c r="H59" i="12"/>
  <c r="L59" i="12"/>
  <c r="AF59" i="12"/>
  <c r="P59" i="12"/>
  <c r="AB59" i="12"/>
  <c r="AN59" i="12"/>
  <c r="X59" i="12"/>
  <c r="AJ59" i="12"/>
  <c r="T59" i="12"/>
  <c r="H26" i="12"/>
  <c r="AB26" i="12"/>
  <c r="X26" i="12"/>
  <c r="AF26" i="12"/>
  <c r="AJ26" i="12"/>
  <c r="L26" i="12"/>
  <c r="P26" i="12"/>
  <c r="AN26" i="12"/>
  <c r="T26" i="12"/>
  <c r="Z34" i="12"/>
  <c r="V34" i="12"/>
  <c r="R34" i="12"/>
  <c r="N34" i="12"/>
  <c r="AD34" i="12"/>
  <c r="J34" i="12"/>
  <c r="AH34" i="12"/>
  <c r="AL34" i="12"/>
  <c r="AP34" i="12"/>
  <c r="AH16" i="12"/>
  <c r="R16" i="12"/>
  <c r="AP16" i="12"/>
  <c r="V16" i="12"/>
  <c r="J16" i="12"/>
  <c r="N16" i="12"/>
  <c r="AL16" i="12"/>
  <c r="AD16" i="12"/>
  <c r="Z16" i="12"/>
  <c r="I73" i="12"/>
  <c r="AG73" i="12"/>
  <c r="AC73" i="12"/>
  <c r="U73" i="12"/>
  <c r="AK73" i="12"/>
  <c r="AO73" i="12"/>
  <c r="Y73" i="12"/>
  <c r="Q73" i="12"/>
  <c r="M73" i="12"/>
  <c r="I37" i="12"/>
  <c r="AG37" i="12"/>
  <c r="AC37" i="12"/>
  <c r="U37" i="12"/>
  <c r="AK37" i="12"/>
  <c r="Q37" i="12"/>
  <c r="Y37" i="12"/>
  <c r="AO37" i="12"/>
  <c r="M37" i="12"/>
  <c r="O48" i="12"/>
  <c r="AM48" i="12"/>
  <c r="AI48" i="12"/>
  <c r="S48" i="12"/>
  <c r="AA48" i="12"/>
  <c r="K48" i="12"/>
  <c r="W48" i="12"/>
  <c r="AE48" i="12"/>
  <c r="AQ48" i="12"/>
  <c r="AL21" i="12"/>
  <c r="AD21" i="12"/>
  <c r="AH21" i="12"/>
  <c r="N21" i="12"/>
  <c r="J21" i="12"/>
  <c r="V21" i="12"/>
  <c r="R21" i="12"/>
  <c r="AP21" i="12"/>
  <c r="Z21" i="12"/>
  <c r="I151" i="12"/>
  <c r="Q151" i="12"/>
  <c r="Y151" i="12"/>
  <c r="U151" i="12"/>
  <c r="AG151" i="12"/>
  <c r="AO151" i="12"/>
  <c r="M151" i="12"/>
  <c r="AK151" i="12"/>
  <c r="AC151" i="12"/>
  <c r="I112" i="12"/>
  <c r="AG112" i="12"/>
  <c r="U112" i="12"/>
  <c r="AO112" i="12"/>
  <c r="AK112" i="12"/>
  <c r="AC112" i="12"/>
  <c r="M112" i="12"/>
  <c r="Q112" i="12"/>
  <c r="Y112" i="12"/>
  <c r="I91" i="12"/>
  <c r="U91" i="12"/>
  <c r="AG91" i="12"/>
  <c r="M91" i="12"/>
  <c r="AC91" i="12"/>
  <c r="Y91" i="12"/>
  <c r="Q91" i="12"/>
  <c r="AO91" i="12"/>
  <c r="AK91" i="12"/>
  <c r="I64" i="12"/>
  <c r="U64" i="12"/>
  <c r="AG64" i="12"/>
  <c r="Q64" i="12"/>
  <c r="M64" i="12"/>
  <c r="AK64" i="12"/>
  <c r="AC64" i="12"/>
  <c r="Y64" i="12"/>
  <c r="AO64" i="12"/>
  <c r="I28" i="12"/>
  <c r="AC28" i="12"/>
  <c r="Y28" i="12"/>
  <c r="U28" i="12"/>
  <c r="AG28" i="12"/>
  <c r="Q28" i="12"/>
  <c r="AO28" i="12"/>
  <c r="AK28" i="12"/>
  <c r="M28" i="12"/>
  <c r="O27" i="12"/>
  <c r="AA27" i="12"/>
  <c r="AM27" i="12"/>
  <c r="W27" i="12"/>
  <c r="AE27" i="12"/>
  <c r="AI27" i="12"/>
  <c r="S27" i="12"/>
  <c r="K27" i="12"/>
  <c r="AQ27" i="12"/>
  <c r="V24" i="12"/>
  <c r="R24" i="12"/>
  <c r="AP24" i="12"/>
  <c r="AH24" i="12"/>
  <c r="AL24" i="12"/>
  <c r="J24" i="12"/>
  <c r="N24" i="12"/>
  <c r="AD24" i="12"/>
  <c r="Z24" i="12"/>
  <c r="AA144" i="12"/>
  <c r="AI144" i="12"/>
  <c r="O144" i="12"/>
  <c r="AM144" i="12"/>
  <c r="S144" i="12"/>
  <c r="K144" i="12"/>
  <c r="W144" i="12"/>
  <c r="AE144" i="12"/>
  <c r="AQ144" i="12"/>
  <c r="O114" i="12"/>
  <c r="AA114" i="12"/>
  <c r="AM114" i="12"/>
  <c r="AE114" i="12"/>
  <c r="W114" i="12"/>
  <c r="K114" i="12"/>
  <c r="AI114" i="12"/>
  <c r="S114" i="12"/>
  <c r="AQ114" i="12"/>
  <c r="W75" i="12"/>
  <c r="O75" i="12"/>
  <c r="AA75" i="12"/>
  <c r="AM75" i="12"/>
  <c r="S75" i="12"/>
  <c r="AQ75" i="12"/>
  <c r="K75" i="12"/>
  <c r="AI75" i="12"/>
  <c r="AE75" i="12"/>
  <c r="O18" i="12"/>
  <c r="AA18" i="12"/>
  <c r="AM18" i="12"/>
  <c r="S18" i="12"/>
  <c r="AE18" i="12"/>
  <c r="K18" i="12"/>
  <c r="AI18" i="12"/>
  <c r="AQ18" i="12"/>
  <c r="W18" i="12"/>
  <c r="V9" i="12"/>
  <c r="R9" i="12"/>
  <c r="AP9" i="12"/>
  <c r="Z9" i="12"/>
  <c r="J9" i="12"/>
  <c r="AH9" i="12"/>
  <c r="AD9" i="12"/>
  <c r="N9" i="12"/>
  <c r="AL9" i="12"/>
  <c r="K120" i="12"/>
  <c r="AI120" i="12"/>
  <c r="O120" i="12"/>
  <c r="AA120" i="12"/>
  <c r="AM120" i="12"/>
  <c r="W120" i="12"/>
  <c r="S120" i="12"/>
  <c r="AE120" i="12"/>
  <c r="AQ120" i="12"/>
  <c r="AA81" i="12"/>
  <c r="AI81" i="12"/>
  <c r="O81" i="12"/>
  <c r="AM81" i="12"/>
  <c r="AE81" i="12"/>
  <c r="AQ81" i="12"/>
  <c r="K81" i="12"/>
  <c r="W81" i="12"/>
  <c r="S81" i="12"/>
  <c r="AA54" i="12"/>
  <c r="AM54" i="12"/>
  <c r="AE54" i="12"/>
  <c r="O54" i="12"/>
  <c r="W54" i="12"/>
  <c r="S54" i="12"/>
  <c r="K54" i="12"/>
  <c r="AI54" i="12"/>
  <c r="AQ54" i="12"/>
  <c r="R27" i="12"/>
  <c r="Z27" i="12"/>
  <c r="AL27" i="12"/>
  <c r="V27" i="12"/>
  <c r="J27" i="12"/>
  <c r="AH27" i="12"/>
  <c r="N27" i="12"/>
  <c r="AD27" i="12"/>
  <c r="AP27" i="12"/>
  <c r="N150" i="12"/>
  <c r="AH150" i="12"/>
  <c r="AD150" i="12"/>
  <c r="J150" i="12"/>
  <c r="V150" i="12"/>
  <c r="AP150" i="12"/>
  <c r="AL150" i="12"/>
  <c r="R150" i="12"/>
  <c r="Z150" i="12"/>
  <c r="R132" i="12"/>
  <c r="AL132" i="12"/>
  <c r="AP132" i="12"/>
  <c r="AD132" i="12"/>
  <c r="J132" i="12"/>
  <c r="V132" i="12"/>
  <c r="AH132" i="12"/>
  <c r="N132" i="12"/>
  <c r="Z132" i="12"/>
  <c r="R114" i="12"/>
  <c r="AP114" i="12"/>
  <c r="J114" i="12"/>
  <c r="V114" i="12"/>
  <c r="AH114" i="12"/>
  <c r="AD114" i="12"/>
  <c r="Z114" i="12"/>
  <c r="N114" i="12"/>
  <c r="AL114" i="12"/>
  <c r="AD96" i="12"/>
  <c r="AL96" i="12"/>
  <c r="AP96" i="12"/>
  <c r="J96" i="12"/>
  <c r="V96" i="12"/>
  <c r="AH96" i="12"/>
  <c r="R96" i="12"/>
  <c r="N96" i="12"/>
  <c r="Z96" i="12"/>
  <c r="V78" i="12"/>
  <c r="AH78" i="12"/>
  <c r="N78" i="12"/>
  <c r="AD78" i="12"/>
  <c r="AP78" i="12"/>
  <c r="Z78" i="12"/>
  <c r="J78" i="12"/>
  <c r="R78" i="12"/>
  <c r="AL78" i="12"/>
  <c r="AH30" i="12"/>
  <c r="N30" i="12"/>
  <c r="V30" i="12"/>
  <c r="R30" i="12"/>
  <c r="AP30" i="12"/>
  <c r="Z30" i="12"/>
  <c r="J30" i="12"/>
  <c r="AD30" i="12"/>
  <c r="AL30" i="12"/>
  <c r="Z11" i="8"/>
  <c r="Y11" i="8"/>
  <c r="W11" i="8"/>
  <c r="X11" i="8"/>
  <c r="S199" i="12" l="1"/>
  <c r="S195" i="12"/>
  <c r="AK195" i="12"/>
  <c r="AK204" i="12"/>
  <c r="N195" i="12"/>
  <c r="N198" i="12"/>
  <c r="AQ195" i="12"/>
  <c r="AQ205" i="12"/>
  <c r="AO195" i="12"/>
  <c r="AO205" i="12"/>
  <c r="AD202" i="12"/>
  <c r="AD195" i="12"/>
  <c r="AA195" i="12"/>
  <c r="AA201" i="12"/>
  <c r="Q195" i="12"/>
  <c r="Q199" i="12"/>
  <c r="J195" i="12"/>
  <c r="J197" i="12"/>
  <c r="AN205" i="12"/>
  <c r="AN195" i="12"/>
  <c r="I197" i="12"/>
  <c r="I195" i="12"/>
  <c r="AJ195" i="12"/>
  <c r="AJ204" i="12"/>
  <c r="X195" i="12"/>
  <c r="X201" i="12"/>
  <c r="T195" i="12"/>
  <c r="T200" i="12"/>
  <c r="AI195" i="12"/>
  <c r="AI203" i="12"/>
  <c r="AH195" i="12"/>
  <c r="AH203" i="12"/>
  <c r="W195" i="12"/>
  <c r="W200" i="12"/>
  <c r="V195" i="12"/>
  <c r="V200" i="12"/>
  <c r="L195" i="12"/>
  <c r="L198" i="12"/>
  <c r="AB202" i="12"/>
  <c r="AB195" i="12"/>
  <c r="Y201" i="12"/>
  <c r="Y195" i="12"/>
  <c r="AC195" i="12"/>
  <c r="AC202" i="12"/>
  <c r="AM195" i="12"/>
  <c r="AM204" i="12"/>
  <c r="K195" i="12"/>
  <c r="K197" i="12"/>
  <c r="Z195" i="12"/>
  <c r="Z201" i="12"/>
  <c r="M195" i="12"/>
  <c r="M198" i="12"/>
  <c r="AP205" i="12"/>
  <c r="AP195" i="12"/>
  <c r="AF195" i="12"/>
  <c r="AF203" i="12"/>
  <c r="R195" i="12"/>
  <c r="R199" i="12"/>
  <c r="P199" i="12"/>
  <c r="P195" i="12"/>
  <c r="O195" i="12"/>
  <c r="O198" i="12"/>
  <c r="AE195" i="12"/>
  <c r="AE202" i="12"/>
  <c r="AG195" i="12"/>
  <c r="AG203" i="12"/>
  <c r="U195" i="12"/>
  <c r="U200" i="12"/>
  <c r="AL195" i="12"/>
  <c r="AL204" i="12"/>
  <c r="H195" i="12"/>
  <c r="H197" i="12"/>
  <c r="B204" i="12" l="1"/>
  <c r="B203" i="12"/>
  <c r="B199" i="12"/>
  <c r="B205" i="12"/>
  <c r="B197" i="12"/>
  <c r="B200" i="12"/>
  <c r="B202" i="12"/>
  <c r="B195" i="12"/>
  <c r="B198" i="12"/>
  <c r="B201" i="12"/>
  <c r="A207" i="12" l="1"/>
  <c r="A209" i="12" s="1"/>
  <c r="W13" i="8" l="1"/>
  <c r="D200" i="8"/>
  <c r="B3" i="8" l="1"/>
  <c r="A3" i="8"/>
  <c r="J3" i="8" s="1"/>
  <c r="E3" i="8"/>
  <c r="N3" i="8" s="1"/>
  <c r="D3" i="8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D201" i="8"/>
  <c r="D197" i="8"/>
  <c r="D202" i="8"/>
  <c r="D193" i="8"/>
  <c r="D163" i="8"/>
  <c r="D164" i="8"/>
  <c r="D199" i="8"/>
  <c r="D165" i="8"/>
  <c r="D194" i="8"/>
  <c r="D162" i="8"/>
  <c r="D196" i="8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D198" i="8" l="1"/>
  <c r="D195" i="8"/>
  <c r="L3" i="8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E195" i="7"/>
  <c r="N195" i="7" s="1"/>
  <c r="E198" i="7"/>
  <c r="N198" i="7" s="1"/>
  <c r="C198" i="8"/>
  <c r="C198" i="7"/>
  <c r="L198" i="7" s="1"/>
  <c r="A198" i="8"/>
  <c r="J198" i="8" s="1"/>
  <c r="P2" i="8" s="1"/>
  <c r="W25" i="8" s="1"/>
  <c r="D195" i="7"/>
  <c r="M195" i="7" s="1"/>
  <c r="B198" i="8"/>
  <c r="B195" i="8"/>
  <c r="A195" i="8"/>
  <c r="J195" i="8" s="1"/>
  <c r="A195" i="7"/>
  <c r="J195" i="7" s="1"/>
  <c r="C195" i="7"/>
  <c r="L195" i="7" s="1"/>
  <c r="D198" i="7"/>
  <c r="M198" i="7" s="1"/>
  <c r="H1" i="7"/>
  <c r="N1" i="7" s="1"/>
  <c r="C195" i="8"/>
  <c r="B198" i="7"/>
  <c r="K198" i="7" s="1"/>
  <c r="B195" i="7"/>
  <c r="K195" i="7" s="1"/>
  <c r="E198" i="8"/>
  <c r="N198" i="8" s="1"/>
  <c r="K4" i="8"/>
  <c r="L4" i="8"/>
  <c r="K34" i="8"/>
  <c r="M4" i="8"/>
  <c r="T2" i="7" l="1"/>
  <c r="T2" i="8"/>
  <c r="W29" i="8" s="1"/>
  <c r="M5" i="8"/>
  <c r="L5" i="8"/>
  <c r="L1" i="7"/>
  <c r="R2" i="7" s="1"/>
  <c r="K1" i="7"/>
  <c r="Q2" i="7" s="1"/>
  <c r="M1" i="7"/>
  <c r="S2" i="7" s="1"/>
  <c r="J1" i="7"/>
  <c r="P2" i="7" s="1"/>
  <c r="L6" i="8"/>
  <c r="M52" i="8"/>
  <c r="K40" i="8" l="1"/>
  <c r="M54" i="8" l="1"/>
  <c r="K41" i="8"/>
  <c r="L7" i="8"/>
  <c r="L12" i="8" l="1"/>
  <c r="K47" i="8"/>
  <c r="M55" i="8"/>
  <c r="L9" i="8" l="1"/>
  <c r="M9" i="8"/>
  <c r="K9" i="8"/>
  <c r="M49" i="8" l="1"/>
  <c r="L11" i="8"/>
  <c r="K49" i="8"/>
  <c r="M50" i="8" l="1"/>
  <c r="L10" i="8"/>
  <c r="K10" i="8"/>
  <c r="K44" i="8" l="1"/>
  <c r="M43" i="8"/>
  <c r="L8" i="8"/>
  <c r="K65" i="8"/>
  <c r="L65" i="8"/>
  <c r="M95" i="8"/>
  <c r="L79" i="8"/>
  <c r="M77" i="8" l="1"/>
  <c r="K26" i="8"/>
  <c r="M31" i="8" l="1"/>
  <c r="L15" i="8"/>
  <c r="K61" i="8"/>
  <c r="L17" i="8"/>
  <c r="K82" i="8"/>
  <c r="M78" i="8"/>
  <c r="M29" i="8" l="1"/>
  <c r="L16" i="8"/>
  <c r="K18" i="8"/>
  <c r="L27" i="8" l="1"/>
  <c r="K78" i="8"/>
  <c r="M82" i="8"/>
  <c r="M19" i="8" l="1"/>
  <c r="L19" i="8"/>
  <c r="K66" i="8"/>
  <c r="L20" i="8" l="1"/>
  <c r="K21" i="8"/>
  <c r="M20" i="8"/>
  <c r="K72" i="8" l="1"/>
  <c r="L22" i="8"/>
  <c r="M84" i="8"/>
  <c r="L21" i="8"/>
  <c r="K20" i="8"/>
  <c r="M21" i="8"/>
  <c r="L23" i="8" l="1"/>
  <c r="K73" i="8"/>
  <c r="M86" i="8"/>
  <c r="M91" i="8" l="1"/>
  <c r="K68" i="8"/>
  <c r="L24" i="8"/>
  <c r="M87" i="8" l="1"/>
  <c r="K79" i="8"/>
  <c r="L26" i="8"/>
  <c r="L25" i="8" l="1"/>
  <c r="K76" i="8"/>
  <c r="M75" i="8"/>
  <c r="K27" i="8" l="1"/>
  <c r="M17" i="8"/>
  <c r="L78" i="8"/>
  <c r="K16" i="8"/>
  <c r="L18" i="8"/>
  <c r="M81" i="8"/>
  <c r="K46" i="8"/>
  <c r="M33" i="8"/>
  <c r="L46" i="8"/>
  <c r="L47" i="8" l="1"/>
  <c r="K12" i="8"/>
  <c r="M45" i="8"/>
  <c r="M15" i="8" l="1"/>
  <c r="K63" i="8"/>
  <c r="L31" i="8"/>
  <c r="M46" i="8" l="1"/>
  <c r="K33" i="8"/>
  <c r="L33" i="8"/>
  <c r="M28" i="8" l="1"/>
  <c r="K28" i="8"/>
  <c r="L32" i="8"/>
  <c r="K5" i="8" l="1"/>
  <c r="M34" i="8"/>
  <c r="L34" i="8"/>
  <c r="L38" i="8" l="1"/>
  <c r="K58" i="8"/>
  <c r="M35" i="8"/>
  <c r="L48" i="8" l="1"/>
  <c r="K59" i="8"/>
  <c r="M36" i="8"/>
  <c r="L60" i="8" l="1"/>
  <c r="K39" i="8"/>
  <c r="M39" i="8"/>
  <c r="L35" i="8" l="1"/>
  <c r="M38" i="8"/>
  <c r="K57" i="8"/>
  <c r="K51" i="8" l="1"/>
  <c r="M37" i="8"/>
  <c r="L51" i="8"/>
  <c r="K52" i="8" l="1"/>
  <c r="M40" i="8"/>
  <c r="L56" i="8"/>
  <c r="K54" i="8" l="1"/>
  <c r="M41" i="8"/>
  <c r="L42" i="8"/>
  <c r="K7" i="8" l="1"/>
  <c r="L41" i="8"/>
  <c r="M42" i="8"/>
  <c r="L55" i="8" l="1"/>
  <c r="M12" i="8"/>
  <c r="K45" i="8"/>
  <c r="K55" i="8" l="1"/>
  <c r="M47" i="8"/>
  <c r="L45" i="8"/>
  <c r="M30" i="8" l="1"/>
  <c r="L44" i="8"/>
  <c r="K8" i="8"/>
  <c r="M32" i="8" l="1"/>
  <c r="K32" i="8"/>
  <c r="L28" i="8"/>
  <c r="L30" i="8" l="1"/>
  <c r="M44" i="8"/>
  <c r="K43" i="8"/>
  <c r="M48" i="8" l="1"/>
  <c r="K64" i="8"/>
  <c r="L36" i="8"/>
  <c r="M10" i="8" l="1"/>
  <c r="K50" i="8"/>
  <c r="L50" i="8"/>
  <c r="M11" i="8" l="1"/>
  <c r="K11" i="8"/>
  <c r="L49" i="8"/>
  <c r="M60" i="8" l="1"/>
  <c r="K60" i="8"/>
  <c r="L39" i="8"/>
  <c r="L52" i="8" l="1"/>
  <c r="K56" i="8"/>
  <c r="M6" i="8"/>
  <c r="L53" i="8" l="1"/>
  <c r="M53" i="8"/>
  <c r="K53" i="8"/>
  <c r="L54" i="8" l="1"/>
  <c r="K42" i="8"/>
  <c r="M7" i="8"/>
  <c r="L43" i="8" l="1"/>
  <c r="K30" i="8"/>
  <c r="M8" i="8"/>
  <c r="K6" i="8" l="1"/>
  <c r="M56" i="8"/>
  <c r="L40" i="8"/>
  <c r="M58" i="8" l="1"/>
  <c r="L57" i="8"/>
  <c r="K35" i="8"/>
  <c r="K38" i="8" l="1"/>
  <c r="M57" i="8"/>
  <c r="L58" i="8"/>
  <c r="K48" i="8" l="1"/>
  <c r="L59" i="8"/>
  <c r="M64" i="8"/>
  <c r="L37" i="8" l="1"/>
  <c r="K37" i="8"/>
  <c r="M51" i="8"/>
  <c r="L63" i="8" l="1"/>
  <c r="K31" i="8"/>
  <c r="M61" i="8"/>
  <c r="M62" i="8" l="1"/>
  <c r="K94" i="8"/>
  <c r="L62" i="8"/>
  <c r="K15" i="8" l="1"/>
  <c r="M63" i="8"/>
  <c r="L61" i="8"/>
  <c r="L64" i="8" l="1"/>
  <c r="M59" i="8"/>
  <c r="K36" i="8"/>
  <c r="K93" i="8" l="1"/>
  <c r="L13" i="8"/>
  <c r="M93" i="8"/>
  <c r="M66" i="8" l="1"/>
  <c r="K19" i="8"/>
  <c r="L66" i="8"/>
  <c r="L70" i="8" l="1"/>
  <c r="M67" i="8"/>
  <c r="K90" i="8"/>
  <c r="M68" i="8" l="1"/>
  <c r="L80" i="8"/>
  <c r="K91" i="8"/>
  <c r="L92" i="8" l="1"/>
  <c r="K71" i="8"/>
  <c r="M71" i="8"/>
  <c r="L67" i="8" l="1"/>
  <c r="M70" i="8"/>
  <c r="K89" i="8"/>
  <c r="L83" i="8" l="1"/>
  <c r="M69" i="8"/>
  <c r="K83" i="8"/>
  <c r="K84" i="8" l="1"/>
  <c r="M72" i="8"/>
  <c r="L88" i="8"/>
  <c r="L74" i="8" l="1"/>
  <c r="M73" i="8"/>
  <c r="K86" i="8"/>
  <c r="K23" i="8" l="1"/>
  <c r="L73" i="8"/>
  <c r="M74" i="8"/>
  <c r="L87" i="8" l="1"/>
  <c r="K77" i="8"/>
  <c r="M26" i="8"/>
  <c r="L77" i="8" l="1"/>
  <c r="M79" i="8"/>
  <c r="K87" i="8"/>
  <c r="M14" i="8" l="1"/>
  <c r="K25" i="8"/>
  <c r="L76" i="8"/>
  <c r="M16" i="8" l="1"/>
  <c r="K81" i="8"/>
  <c r="L29" i="8"/>
  <c r="M76" i="8" l="1"/>
  <c r="K75" i="8"/>
  <c r="L14" i="8"/>
  <c r="K24" i="8" l="1"/>
  <c r="L68" i="8"/>
  <c r="M80" i="8"/>
  <c r="L82" i="8" l="1"/>
  <c r="M27" i="8"/>
  <c r="K17" i="8"/>
  <c r="L81" i="8" l="1"/>
  <c r="K29" i="8"/>
  <c r="M18" i="8"/>
  <c r="L71" i="8" l="1"/>
  <c r="M92" i="8"/>
  <c r="K92" i="8"/>
  <c r="K88" i="8" l="1"/>
  <c r="L84" i="8"/>
  <c r="M22" i="8"/>
  <c r="M85" i="8" l="1"/>
  <c r="L85" i="8"/>
  <c r="K85" i="8"/>
  <c r="K74" i="8" l="1"/>
  <c r="M23" i="8"/>
  <c r="L86" i="8"/>
  <c r="L75" i="8" l="1"/>
  <c r="M25" i="8"/>
  <c r="K14" i="8"/>
  <c r="L72" i="8" l="1"/>
  <c r="K22" i="8"/>
  <c r="M88" i="8"/>
  <c r="L89" i="8" l="1"/>
  <c r="K67" i="8"/>
  <c r="M90" i="8"/>
  <c r="M89" i="8" l="1"/>
  <c r="L90" i="8"/>
  <c r="K70" i="8"/>
  <c r="M24" i="8" l="1"/>
  <c r="K80" i="8"/>
  <c r="L91" i="8"/>
  <c r="L69" i="8" l="1"/>
  <c r="K69" i="8"/>
  <c r="M83" i="8"/>
  <c r="L95" i="8" l="1"/>
  <c r="M65" i="8"/>
  <c r="K95" i="8"/>
  <c r="K62" i="8" l="1"/>
  <c r="M94" i="8"/>
  <c r="L94" i="8"/>
  <c r="M13" i="8" l="1"/>
  <c r="L93" i="8"/>
  <c r="K13" i="8"/>
  <c r="K3" i="8" l="1"/>
  <c r="L96" i="8"/>
  <c r="M96" i="8"/>
  <c r="M97" i="8" l="1"/>
  <c r="L98" i="8"/>
  <c r="K99" i="8"/>
  <c r="K100" i="8" l="1"/>
  <c r="M98" i="8"/>
  <c r="L97" i="8"/>
  <c r="M100" i="8" l="1"/>
  <c r="K98" i="8"/>
  <c r="L99" i="8"/>
  <c r="M99" i="8" l="1"/>
  <c r="L100" i="8"/>
  <c r="K97" i="8"/>
  <c r="L102" i="8" l="1"/>
  <c r="K104" i="8"/>
  <c r="M104" i="8"/>
  <c r="M103" i="8" l="1"/>
  <c r="L101" i="8"/>
  <c r="K101" i="8"/>
  <c r="M102" i="8" l="1"/>
  <c r="K102" i="8"/>
  <c r="L104" i="8"/>
  <c r="K103" i="8" l="1"/>
  <c r="M101" i="8"/>
  <c r="L103" i="8"/>
  <c r="L105" i="8" l="1"/>
  <c r="K108" i="8"/>
  <c r="M107" i="8"/>
  <c r="K105" i="8" l="1"/>
  <c r="M106" i="8"/>
  <c r="L108" i="8"/>
  <c r="L107" i="8" l="1"/>
  <c r="M105" i="8"/>
  <c r="K106" i="8"/>
  <c r="K107" i="8" l="1"/>
  <c r="M108" i="8"/>
  <c r="L106" i="8"/>
  <c r="L112" i="8" l="1"/>
  <c r="M110" i="8"/>
  <c r="K112" i="8"/>
  <c r="L111" i="8" l="1"/>
  <c r="K109" i="8"/>
  <c r="M109" i="8"/>
  <c r="L110" i="8" l="1"/>
  <c r="K110" i="8"/>
  <c r="M112" i="8"/>
  <c r="L109" i="8" l="1"/>
  <c r="M111" i="8"/>
  <c r="K111" i="8"/>
  <c r="K116" i="8" l="1"/>
  <c r="M115" i="8"/>
  <c r="L113" i="8"/>
  <c r="M114" i="8" l="1"/>
  <c r="K113" i="8"/>
  <c r="L116" i="8"/>
  <c r="L115" i="8" l="1"/>
  <c r="M113" i="8"/>
  <c r="K114" i="8"/>
  <c r="K115" i="8" l="1"/>
  <c r="M116" i="8"/>
  <c r="L114" i="8"/>
  <c r="M118" i="8" l="1"/>
  <c r="K120" i="8"/>
  <c r="L120" i="8"/>
  <c r="M117" i="8" l="1"/>
  <c r="L119" i="8"/>
  <c r="K117" i="8"/>
  <c r="K118" i="8" l="1"/>
  <c r="M120" i="8"/>
  <c r="L118" i="8"/>
  <c r="M119" i="8" l="1"/>
  <c r="K119" i="8"/>
  <c r="L117" i="8"/>
  <c r="L122" i="8" l="1"/>
  <c r="K123" i="8"/>
  <c r="M121" i="8"/>
  <c r="L121" i="8" l="1"/>
  <c r="K124" i="8"/>
  <c r="M122" i="8"/>
  <c r="M124" i="8" l="1"/>
  <c r="K122" i="8"/>
  <c r="L123" i="8"/>
  <c r="M123" i="8" l="1"/>
  <c r="L124" i="8"/>
  <c r="K121" i="8"/>
  <c r="L126" i="8" l="1"/>
  <c r="K127" i="8"/>
  <c r="M125" i="8"/>
  <c r="M126" i="8" l="1"/>
  <c r="K128" i="8"/>
  <c r="L125" i="8"/>
  <c r="M128" i="8" l="1"/>
  <c r="K126" i="8"/>
  <c r="L127" i="8"/>
  <c r="K125" i="8" l="1"/>
  <c r="L128" i="8"/>
  <c r="M127" i="8"/>
  <c r="M130" i="8" l="1"/>
  <c r="L132" i="8"/>
  <c r="K132" i="8"/>
  <c r="M129" i="8" l="1"/>
  <c r="L131" i="8"/>
  <c r="K129" i="8"/>
  <c r="K130" i="8" l="1"/>
  <c r="M132" i="8"/>
  <c r="L130" i="8"/>
  <c r="K131" i="8" l="1"/>
  <c r="M131" i="8"/>
  <c r="L129" i="8"/>
  <c r="L133" i="8" l="1"/>
  <c r="M134" i="8"/>
  <c r="K135" i="8"/>
  <c r="M133" i="8" l="1"/>
  <c r="L134" i="8"/>
  <c r="K136" i="8"/>
  <c r="K134" i="8" l="1"/>
  <c r="M135" i="8"/>
  <c r="L136" i="8"/>
  <c r="L135" i="8" l="1"/>
  <c r="M136" i="8"/>
  <c r="K133" i="8"/>
  <c r="L138" i="8" l="1"/>
  <c r="M139" i="8"/>
  <c r="K139" i="8"/>
  <c r="K137" i="8" l="1"/>
  <c r="M140" i="8"/>
  <c r="L137" i="8"/>
  <c r="K140" i="8" l="1"/>
  <c r="M137" i="8"/>
  <c r="L140" i="8"/>
  <c r="K138" i="8" l="1"/>
  <c r="M138" i="8"/>
  <c r="L139" i="8"/>
  <c r="L142" i="8" l="1"/>
  <c r="K143" i="8"/>
  <c r="M143" i="8"/>
  <c r="M144" i="8" l="1"/>
  <c r="L141" i="8"/>
  <c r="K141" i="8"/>
  <c r="L144" i="8" l="1"/>
  <c r="M141" i="8"/>
  <c r="K144" i="8"/>
  <c r="K142" i="8" l="1"/>
  <c r="L143" i="8"/>
  <c r="M142" i="8"/>
  <c r="L146" i="8" l="1"/>
  <c r="K147" i="8"/>
  <c r="M146" i="8"/>
  <c r="K148" i="8" l="1"/>
  <c r="M145" i="8"/>
  <c r="L145" i="8"/>
  <c r="L148" i="8" l="1"/>
  <c r="K145" i="8"/>
  <c r="M148" i="8"/>
  <c r="L147" i="8" l="1"/>
  <c r="K146" i="8"/>
  <c r="M147" i="8"/>
  <c r="L149" i="8" l="1"/>
  <c r="M151" i="8"/>
  <c r="K152" i="8"/>
  <c r="K149" i="8" l="1"/>
  <c r="M150" i="8"/>
  <c r="L152" i="8"/>
  <c r="L151" i="8" l="1"/>
  <c r="M149" i="8"/>
  <c r="K150" i="8"/>
  <c r="K151" i="8" l="1"/>
  <c r="M152" i="8"/>
  <c r="L150" i="8"/>
  <c r="K156" i="8" l="1"/>
  <c r="M155" i="8"/>
  <c r="L153" i="8"/>
  <c r="L156" i="8" l="1"/>
  <c r="M154" i="8"/>
  <c r="K153" i="8"/>
  <c r="M153" i="8" l="1"/>
  <c r="L155" i="8"/>
  <c r="K154" i="8"/>
  <c r="K155" i="8" l="1"/>
  <c r="L154" i="8"/>
  <c r="M156" i="8"/>
  <c r="M157" i="8" l="1"/>
  <c r="L157" i="8"/>
  <c r="K157" i="8"/>
  <c r="L159" i="8" l="1"/>
  <c r="K161" i="8"/>
  <c r="M161" i="8"/>
  <c r="L158" i="8" l="1"/>
  <c r="M160" i="8"/>
  <c r="K158" i="8"/>
  <c r="K159" i="8" l="1"/>
  <c r="M159" i="8"/>
  <c r="L161" i="8"/>
  <c r="L160" i="8" l="1"/>
  <c r="K160" i="8"/>
  <c r="M158" i="8"/>
  <c r="L173" i="8" l="1"/>
  <c r="K175" i="8"/>
  <c r="M174" i="8"/>
  <c r="K176" i="8" l="1"/>
  <c r="L174" i="8"/>
  <c r="M173" i="8"/>
  <c r="K174" i="8" l="1"/>
  <c r="M175" i="8"/>
  <c r="L176" i="8"/>
  <c r="M176" i="8" l="1"/>
  <c r="L175" i="8"/>
  <c r="K173" i="8"/>
  <c r="L178" i="8" l="1"/>
  <c r="K183" i="8"/>
  <c r="M179" i="8"/>
  <c r="K181" i="8" l="1"/>
  <c r="M180" i="8"/>
  <c r="L177" i="8"/>
  <c r="L180" i="8" l="1"/>
  <c r="K184" i="8"/>
  <c r="M177" i="8"/>
  <c r="M178" i="8" l="1"/>
  <c r="L179" i="8"/>
  <c r="K182" i="8"/>
  <c r="K179" i="8" l="1"/>
  <c r="M183" i="8"/>
  <c r="L182" i="8"/>
  <c r="M184" i="8" l="1"/>
  <c r="K177" i="8"/>
  <c r="L181" i="8"/>
  <c r="K180" i="8" l="1"/>
  <c r="L184" i="8"/>
  <c r="M181" i="8"/>
  <c r="K178" i="8" l="1"/>
  <c r="M182" i="8"/>
  <c r="L183" i="8"/>
  <c r="M191" i="8" l="1"/>
  <c r="L189" i="8"/>
  <c r="K188" i="8"/>
  <c r="L192" i="8" l="1"/>
  <c r="M190" i="8"/>
  <c r="K185" i="8"/>
  <c r="K186" i="8" l="1"/>
  <c r="L191" i="8"/>
  <c r="M189" i="8"/>
  <c r="L190" i="8" l="1"/>
  <c r="K187" i="8"/>
  <c r="M192" i="8"/>
  <c r="K192" i="8" l="1"/>
  <c r="L185" i="8"/>
  <c r="M187" i="8"/>
  <c r="L188" i="8" l="1"/>
  <c r="M186" i="8"/>
  <c r="K189" i="8"/>
  <c r="L187" i="8" l="1"/>
  <c r="M185" i="8"/>
  <c r="K190" i="8"/>
  <c r="L186" i="8" l="1"/>
  <c r="M188" i="8"/>
  <c r="K191" i="8"/>
  <c r="K196" i="8" l="1"/>
  <c r="L193" i="8"/>
  <c r="M193" i="8"/>
  <c r="K201" i="8" l="1"/>
  <c r="M194" i="8"/>
  <c r="L202" i="8"/>
  <c r="K194" i="8" l="1"/>
  <c r="L195" i="8"/>
  <c r="M201" i="8"/>
  <c r="L196" i="8" l="1"/>
  <c r="K193" i="8"/>
  <c r="M196" i="8"/>
  <c r="L200" i="8" l="1"/>
  <c r="K198" i="8"/>
  <c r="M198" i="8"/>
  <c r="M197" i="8" l="1"/>
  <c r="L199" i="8"/>
  <c r="K199" i="8"/>
  <c r="M200" i="8"/>
  <c r="K200" i="8" l="1"/>
  <c r="L198" i="8"/>
  <c r="M199" i="8" l="1"/>
  <c r="L197" i="8"/>
  <c r="K197" i="8"/>
  <c r="L201" i="8" l="1"/>
  <c r="M195" i="8"/>
  <c r="K202" i="8"/>
  <c r="L194" i="8" l="1"/>
  <c r="R2" i="8" s="1"/>
  <c r="W27" i="8" s="1"/>
  <c r="K195" i="8"/>
  <c r="Q2" i="8" s="1"/>
  <c r="W26" i="8" s="1"/>
  <c r="M202" i="8"/>
  <c r="S2" i="8" s="1"/>
  <c r="W28" i="8" s="1"/>
  <c r="BD4" i="12"/>
  <c r="BE4" i="12" s="1"/>
  <c r="BI4" i="12"/>
  <c r="BJ4" i="12" s="1"/>
  <c r="BC4" i="12"/>
  <c r="BH4" i="12"/>
  <c r="BD5" i="12"/>
  <c r="BE5" i="12" s="1"/>
  <c r="BK4" i="12" l="1"/>
  <c r="BK199" i="12" s="1"/>
  <c r="BF4" i="12"/>
  <c r="BF198" i="12" s="1"/>
  <c r="AT5" i="12"/>
  <c r="AZ5" i="12"/>
  <c r="AT4" i="12"/>
  <c r="AW4" i="12"/>
  <c r="AW196" i="12" s="1"/>
  <c r="AZ4" i="12"/>
  <c r="AZ197" i="12" s="1"/>
  <c r="AW5" i="12"/>
  <c r="BH5" i="12"/>
  <c r="BC5" i="12"/>
  <c r="BF5" i="12" s="1"/>
  <c r="BI5" i="12"/>
  <c r="BJ5" i="12" s="1"/>
  <c r="BK5" i="12" l="1"/>
  <c r="BD6" i="12"/>
  <c r="BE6" i="12" s="1"/>
  <c r="BH6" i="12"/>
  <c r="BI6" i="12"/>
  <c r="BJ6" i="12" s="1"/>
  <c r="BC6" i="12"/>
  <c r="BK6" i="12" l="1"/>
  <c r="BD7" i="12"/>
  <c r="BE7" i="12" s="1"/>
  <c r="AZ6" i="12"/>
  <c r="AW6" i="12"/>
  <c r="AT6" i="12"/>
  <c r="AT7" i="12"/>
  <c r="AW7" i="12"/>
  <c r="AZ7" i="12"/>
  <c r="BF6" i="12"/>
  <c r="BH7" i="12"/>
  <c r="BI7" i="12"/>
  <c r="BJ7" i="12" s="1"/>
  <c r="BI8" i="12"/>
  <c r="BJ8" i="12" s="1"/>
  <c r="BC7" i="12"/>
  <c r="BH8" i="12"/>
  <c r="BK8" i="12" l="1"/>
  <c r="BK7" i="12"/>
  <c r="BF7" i="12"/>
  <c r="BH9" i="12"/>
  <c r="BC8" i="12"/>
  <c r="BD8" i="12"/>
  <c r="BE8" i="12" s="1"/>
  <c r="BC9" i="12"/>
  <c r="BI9" i="12"/>
  <c r="BJ9" i="12" s="1"/>
  <c r="BI10" i="12"/>
  <c r="BJ10" i="12" s="1"/>
  <c r="BK9" i="12" l="1"/>
  <c r="BC10" i="12"/>
  <c r="BF8" i="12"/>
  <c r="AZ9" i="12"/>
  <c r="AW8" i="12"/>
  <c r="AT8" i="12"/>
  <c r="AW10" i="12"/>
  <c r="AZ8" i="12"/>
  <c r="BH11" i="12"/>
  <c r="BD10" i="12"/>
  <c r="BE10" i="12" s="1"/>
  <c r="BH10" i="12"/>
  <c r="BK10" i="12" s="1"/>
  <c r="BD11" i="12"/>
  <c r="BE11" i="12" s="1"/>
  <c r="AW9" i="12"/>
  <c r="BD9" i="12"/>
  <c r="BE9" i="12" s="1"/>
  <c r="BF9" i="12" s="1"/>
  <c r="AT9" i="12" l="1"/>
  <c r="AZ10" i="12"/>
  <c r="BF10" i="12"/>
  <c r="AT10" i="12"/>
  <c r="BI11" i="12"/>
  <c r="BJ11" i="12" s="1"/>
  <c r="BK11" i="12" s="1"/>
  <c r="BC11" i="12"/>
  <c r="BF11" i="12" s="1"/>
  <c r="AW11" i="12"/>
  <c r="AZ11" i="12" l="1"/>
  <c r="AT11" i="12"/>
  <c r="BH13" i="12"/>
  <c r="BD12" i="12"/>
  <c r="BE12" i="12" s="1"/>
  <c r="BC13" i="12"/>
  <c r="BI13" i="12" l="1"/>
  <c r="BJ13" i="12" s="1"/>
  <c r="BK13" i="12" s="1"/>
  <c r="AZ12" i="12"/>
  <c r="AW12" i="12"/>
  <c r="BD14" i="12"/>
  <c r="BE14" i="12" s="1"/>
  <c r="BD62" i="12" l="1"/>
  <c r="BE62" i="12" s="1"/>
  <c r="BH168" i="12"/>
  <c r="BH103" i="12"/>
  <c r="BC183" i="12"/>
  <c r="BD111" i="12"/>
  <c r="BE111" i="12" s="1"/>
  <c r="BD99" i="12"/>
  <c r="BE99" i="12" s="1"/>
  <c r="BI44" i="12"/>
  <c r="BJ44" i="12" s="1"/>
  <c r="BH158" i="12"/>
  <c r="BC117" i="12"/>
  <c r="BI162" i="12"/>
  <c r="BJ162" i="12" s="1"/>
  <c r="BH58" i="12"/>
  <c r="BH73" i="12"/>
  <c r="BI130" i="12"/>
  <c r="BJ130" i="12" s="1"/>
  <c r="BI165" i="12"/>
  <c r="BJ165" i="12" s="1"/>
  <c r="BI40" i="12"/>
  <c r="BJ40" i="12" s="1"/>
  <c r="BH36" i="12"/>
  <c r="BD134" i="12"/>
  <c r="BE134" i="12" s="1"/>
  <c r="BC36" i="12"/>
  <c r="BC135" i="12"/>
  <c r="BI105" i="12"/>
  <c r="BJ105" i="12" s="1"/>
  <c r="BD13" i="12"/>
  <c r="BE13" i="12" s="1"/>
  <c r="BF13" i="12" s="1"/>
  <c r="BD86" i="12"/>
  <c r="BE86" i="12" s="1"/>
  <c r="BD115" i="12"/>
  <c r="BE115" i="12" s="1"/>
  <c r="BC75" i="12"/>
  <c r="BH46" i="12"/>
  <c r="BI171" i="12"/>
  <c r="BJ171" i="12" s="1"/>
  <c r="BH111" i="12"/>
  <c r="BI151" i="12"/>
  <c r="BJ151" i="12" s="1"/>
  <c r="BD78" i="12"/>
  <c r="BE78" i="12" s="1"/>
  <c r="BD140" i="12"/>
  <c r="BE140" i="12" s="1"/>
  <c r="BH135" i="12"/>
  <c r="BD94" i="12"/>
  <c r="BE94" i="12" s="1"/>
  <c r="BD23" i="12"/>
  <c r="BE23" i="12" s="1"/>
  <c r="BD157" i="12"/>
  <c r="BE157" i="12" s="1"/>
  <c r="BC12" i="12"/>
  <c r="BF12" i="12" s="1"/>
  <c r="BI42" i="12"/>
  <c r="BJ42" i="12" s="1"/>
  <c r="BD26" i="12"/>
  <c r="BE26" i="12" s="1"/>
  <c r="BH28" i="12"/>
  <c r="BD104" i="12"/>
  <c r="BE104" i="12" s="1"/>
  <c r="BC72" i="12"/>
  <c r="BD65" i="12"/>
  <c r="BE65" i="12" s="1"/>
  <c r="BH112" i="12"/>
  <c r="BI59" i="12"/>
  <c r="BJ59" i="12" s="1"/>
  <c r="BD148" i="12"/>
  <c r="BE148" i="12" s="1"/>
  <c r="BC35" i="12"/>
  <c r="BC181" i="12"/>
  <c r="BH39" i="12"/>
  <c r="BC89" i="12"/>
  <c r="BD83" i="12"/>
  <c r="BE83" i="12" s="1"/>
  <c r="BC126" i="12"/>
  <c r="BH43" i="12"/>
  <c r="BH87" i="12"/>
  <c r="BC71" i="12"/>
  <c r="BD136" i="12"/>
  <c r="BE136" i="12" s="1"/>
  <c r="BC154" i="12"/>
  <c r="BD153" i="12"/>
  <c r="BE153" i="12" s="1"/>
  <c r="BC67" i="12"/>
  <c r="BH129" i="12"/>
  <c r="BC173" i="12"/>
  <c r="BD185" i="12"/>
  <c r="BE185" i="12" s="1"/>
  <c r="BH125" i="12"/>
  <c r="BH108" i="12"/>
  <c r="BC41" i="12"/>
  <c r="BI96" i="12"/>
  <c r="BJ96" i="12" s="1"/>
  <c r="BC149" i="12"/>
  <c r="BI147" i="12"/>
  <c r="BJ147" i="12" s="1"/>
  <c r="BH141" i="12"/>
  <c r="BC52" i="12"/>
  <c r="BH90" i="12"/>
  <c r="BH193" i="12"/>
  <c r="BH148" i="12"/>
  <c r="BC144" i="12"/>
  <c r="BH143" i="12"/>
  <c r="BH31" i="12"/>
  <c r="BD108" i="12"/>
  <c r="BE108" i="12" s="1"/>
  <c r="BC82" i="12"/>
  <c r="BC175" i="12"/>
  <c r="BH34" i="12"/>
  <c r="BC112" i="12"/>
  <c r="BD75" i="12"/>
  <c r="BE75" i="12" s="1"/>
  <c r="BC94" i="12"/>
  <c r="BD151" i="12"/>
  <c r="BE151" i="12" s="1"/>
  <c r="BD126" i="12"/>
  <c r="BE126" i="12" s="1"/>
  <c r="BD90" i="12"/>
  <c r="BE90" i="12" s="1"/>
  <c r="BD25" i="12"/>
  <c r="BE25" i="12" s="1"/>
  <c r="BH182" i="12"/>
  <c r="BH166" i="12"/>
  <c r="BD135" i="12"/>
  <c r="BE135" i="12" s="1"/>
  <c r="BC168" i="12"/>
  <c r="BH64" i="12"/>
  <c r="BH82" i="12"/>
  <c r="BD68" i="12"/>
  <c r="BE68" i="12" s="1"/>
  <c r="BH170" i="12"/>
  <c r="BC145" i="12"/>
  <c r="BC120" i="12"/>
  <c r="BC162" i="12"/>
  <c r="BH183" i="12"/>
  <c r="BI153" i="12"/>
  <c r="BJ153" i="12" s="1"/>
  <c r="BH33" i="12"/>
  <c r="BI126" i="12"/>
  <c r="BJ126" i="12" s="1"/>
  <c r="BI64" i="12"/>
  <c r="BJ64" i="12" s="1"/>
  <c r="BD193" i="12"/>
  <c r="BE193" i="12" s="1"/>
  <c r="BH72" i="12"/>
  <c r="BC55" i="12"/>
  <c r="BD58" i="12"/>
  <c r="BE58" i="12" s="1"/>
  <c r="BH171" i="12"/>
  <c r="BI54" i="12"/>
  <c r="BJ54" i="12" s="1"/>
  <c r="BC51" i="12"/>
  <c r="BC165" i="12"/>
  <c r="BH187" i="12"/>
  <c r="BC141" i="12"/>
  <c r="BD16" i="12"/>
  <c r="BE16" i="12" s="1"/>
  <c r="BH12" i="12"/>
  <c r="BI81" i="12"/>
  <c r="BJ81" i="12" s="1"/>
  <c r="BI84" i="12"/>
  <c r="BJ84" i="12" s="1"/>
  <c r="BD38" i="12"/>
  <c r="BE38" i="12" s="1"/>
  <c r="BH92" i="12"/>
  <c r="BC172" i="12"/>
  <c r="BH51" i="12"/>
  <c r="BC70" i="12"/>
  <c r="BC104" i="12"/>
  <c r="BC64" i="12"/>
  <c r="BD47" i="12"/>
  <c r="BE47" i="12" s="1"/>
  <c r="BI51" i="12"/>
  <c r="BJ51" i="12" s="1"/>
  <c r="BD91" i="12"/>
  <c r="BE91" i="12" s="1"/>
  <c r="BD139" i="12"/>
  <c r="BE139" i="12" s="1"/>
  <c r="BC109" i="12"/>
  <c r="BD32" i="12"/>
  <c r="BE32" i="12" s="1"/>
  <c r="BI58" i="12"/>
  <c r="BJ58" i="12" s="1"/>
  <c r="BH117" i="12"/>
  <c r="BC111" i="12"/>
  <c r="BF111" i="12" s="1"/>
  <c r="BI188" i="12"/>
  <c r="BJ188" i="12" s="1"/>
  <c r="BC155" i="12"/>
  <c r="BD70" i="12"/>
  <c r="BE70" i="12" s="1"/>
  <c r="BC21" i="12"/>
  <c r="BD20" i="12"/>
  <c r="BE20" i="12" s="1"/>
  <c r="BH122" i="12"/>
  <c r="BH114" i="12"/>
  <c r="BD102" i="12"/>
  <c r="BE102" i="12" s="1"/>
  <c r="BI23" i="12"/>
  <c r="BJ23" i="12" s="1"/>
  <c r="BC76" i="12"/>
  <c r="BI127" i="12"/>
  <c r="BJ127" i="12" s="1"/>
  <c r="BH15" i="12"/>
  <c r="BC37" i="12"/>
  <c r="BC16" i="12"/>
  <c r="BC174" i="12"/>
  <c r="BC18" i="12"/>
  <c r="BI191" i="12"/>
  <c r="BJ191" i="12" s="1"/>
  <c r="BH98" i="12"/>
  <c r="BH146" i="12"/>
  <c r="BH186" i="12"/>
  <c r="BC176" i="12"/>
  <c r="BD110" i="12"/>
  <c r="BE110" i="12" s="1"/>
  <c r="BD28" i="12"/>
  <c r="BE28" i="12" s="1"/>
  <c r="BC147" i="12"/>
  <c r="BC122" i="12"/>
  <c r="BH167" i="12"/>
  <c r="BD172" i="12"/>
  <c r="BE172" i="12" s="1"/>
  <c r="BH192" i="12"/>
  <c r="BH24" i="12"/>
  <c r="BD131" i="12"/>
  <c r="BE131" i="12" s="1"/>
  <c r="BC137" i="12"/>
  <c r="BH106" i="12"/>
  <c r="BD21" i="12"/>
  <c r="BE21" i="12" s="1"/>
  <c r="BD67" i="12"/>
  <c r="BE67" i="12" s="1"/>
  <c r="BH86" i="12"/>
  <c r="BH25" i="12"/>
  <c r="BH35" i="12"/>
  <c r="BC157" i="12"/>
  <c r="BI113" i="12"/>
  <c r="BJ113" i="12" s="1"/>
  <c r="BI101" i="12"/>
  <c r="BJ101" i="12" s="1"/>
  <c r="BC185" i="12"/>
  <c r="BC123" i="12"/>
  <c r="BI146" i="12"/>
  <c r="BJ146" i="12" s="1"/>
  <c r="BH155" i="12"/>
  <c r="BH18" i="12"/>
  <c r="BD132" i="12"/>
  <c r="BE132" i="12" s="1"/>
  <c r="BD97" i="12"/>
  <c r="BE97" i="12" s="1"/>
  <c r="BC134" i="12"/>
  <c r="BI39" i="12"/>
  <c r="BJ39" i="12" s="1"/>
  <c r="BI78" i="12"/>
  <c r="BJ78" i="12" s="1"/>
  <c r="BI21" i="12"/>
  <c r="BJ21" i="12" s="1"/>
  <c r="BI12" i="12"/>
  <c r="BJ12" i="12" s="1"/>
  <c r="BD93" i="12"/>
  <c r="BE93" i="12" s="1"/>
  <c r="BH131" i="12"/>
  <c r="BI134" i="12"/>
  <c r="BJ134" i="12" s="1"/>
  <c r="BH60" i="12"/>
  <c r="BC169" i="12"/>
  <c r="BD112" i="12"/>
  <c r="BE112" i="12" s="1"/>
  <c r="BH179" i="12"/>
  <c r="BH134" i="12"/>
  <c r="BC60" i="12"/>
  <c r="BD117" i="12"/>
  <c r="BE117" i="12" s="1"/>
  <c r="BC115" i="12"/>
  <c r="BC44" i="12"/>
  <c r="BH77" i="12"/>
  <c r="BC40" i="12"/>
  <c r="BC23" i="12"/>
  <c r="BH20" i="12"/>
  <c r="BC97" i="12"/>
  <c r="BC66" i="12"/>
  <c r="BI115" i="12"/>
  <c r="BJ115" i="12" s="1"/>
  <c r="BI35" i="12"/>
  <c r="BJ35" i="12" s="1"/>
  <c r="BD49" i="12"/>
  <c r="BE49" i="12" s="1"/>
  <c r="BD54" i="12"/>
  <c r="BE54" i="12" s="1"/>
  <c r="BD33" i="12"/>
  <c r="BE33" i="12" s="1"/>
  <c r="BD127" i="12"/>
  <c r="BE127" i="12" s="1"/>
  <c r="BC92" i="12"/>
  <c r="BC148" i="12"/>
  <c r="BI85" i="12"/>
  <c r="BJ85" i="12" s="1"/>
  <c r="BC171" i="12"/>
  <c r="BH29" i="12"/>
  <c r="BC90" i="12"/>
  <c r="BI17" i="12"/>
  <c r="BJ17" i="12" s="1"/>
  <c r="BH69" i="12"/>
  <c r="BH144" i="12"/>
  <c r="BI99" i="12"/>
  <c r="BJ99" i="12" s="1"/>
  <c r="BC124" i="12"/>
  <c r="BH22" i="12"/>
  <c r="BI76" i="12"/>
  <c r="BJ76" i="12" s="1"/>
  <c r="BD79" i="12"/>
  <c r="BE79" i="12" s="1"/>
  <c r="BH70" i="12"/>
  <c r="BI192" i="12"/>
  <c r="BJ192" i="12" s="1"/>
  <c r="BC74" i="12"/>
  <c r="BI114" i="12"/>
  <c r="BJ114" i="12" s="1"/>
  <c r="BI122" i="12"/>
  <c r="BJ122" i="12" s="1"/>
  <c r="BI117" i="12"/>
  <c r="BJ117" i="12" s="1"/>
  <c r="BD128" i="12"/>
  <c r="BE128" i="12" s="1"/>
  <c r="BI88" i="12"/>
  <c r="BJ88" i="12" s="1"/>
  <c r="BC96" i="12"/>
  <c r="BD43" i="12"/>
  <c r="BE43" i="12" s="1"/>
  <c r="BH136" i="12"/>
  <c r="BD56" i="12"/>
  <c r="BE56" i="12" s="1"/>
  <c r="BD44" i="12"/>
  <c r="BE44" i="12" s="1"/>
  <c r="BI163" i="12"/>
  <c r="BJ163" i="12" s="1"/>
  <c r="BD154" i="12"/>
  <c r="BE154" i="12" s="1"/>
  <c r="BH49" i="12"/>
  <c r="BH91" i="12"/>
  <c r="BC136" i="12"/>
  <c r="BC22" i="12"/>
  <c r="BH156" i="12"/>
  <c r="BD74" i="12"/>
  <c r="BE74" i="12" s="1"/>
  <c r="BI145" i="12"/>
  <c r="BJ145" i="12" s="1"/>
  <c r="BI131" i="12"/>
  <c r="BJ131" i="12" s="1"/>
  <c r="BC119" i="12"/>
  <c r="BH38" i="12"/>
  <c r="BI66" i="12"/>
  <c r="BJ66" i="12" s="1"/>
  <c r="BI167" i="12"/>
  <c r="BJ167" i="12" s="1"/>
  <c r="BI91" i="12"/>
  <c r="BJ91" i="12" s="1"/>
  <c r="BH163" i="12"/>
  <c r="BD53" i="12"/>
  <c r="BE53" i="12" s="1"/>
  <c r="BD73" i="12"/>
  <c r="BE73" i="12" s="1"/>
  <c r="BD57" i="12"/>
  <c r="BE57" i="12" s="1"/>
  <c r="BH19" i="12"/>
  <c r="BD51" i="12"/>
  <c r="BE51" i="12" s="1"/>
  <c r="BC139" i="12"/>
  <c r="BI100" i="12"/>
  <c r="BJ100" i="12" s="1"/>
  <c r="BC65" i="12"/>
  <c r="BD138" i="12"/>
  <c r="BE138" i="12" s="1"/>
  <c r="BD29" i="12"/>
  <c r="BE29" i="12" s="1"/>
  <c r="BI142" i="12"/>
  <c r="BJ142" i="12" s="1"/>
  <c r="BH178" i="12"/>
  <c r="BI172" i="12"/>
  <c r="BJ172" i="12" s="1"/>
  <c r="BI49" i="12"/>
  <c r="BJ49" i="12" s="1"/>
  <c r="BI48" i="12"/>
  <c r="BJ48" i="12" s="1"/>
  <c r="BH139" i="12"/>
  <c r="BH145" i="12"/>
  <c r="BH115" i="12"/>
  <c r="BI120" i="12"/>
  <c r="BJ120" i="12" s="1"/>
  <c r="BI189" i="12"/>
  <c r="BJ189" i="12" s="1"/>
  <c r="BD92" i="12"/>
  <c r="BE92" i="12" s="1"/>
  <c r="BH127" i="12"/>
  <c r="BH52" i="12"/>
  <c r="BH68" i="12"/>
  <c r="BD116" i="12"/>
  <c r="BE116" i="12" s="1"/>
  <c r="BH176" i="12"/>
  <c r="BC163" i="12"/>
  <c r="BC152" i="12"/>
  <c r="BC121" i="12"/>
  <c r="BC77" i="12"/>
  <c r="BI181" i="12"/>
  <c r="BJ181" i="12" s="1"/>
  <c r="BI37" i="12"/>
  <c r="BJ37" i="12" s="1"/>
  <c r="BH78" i="12"/>
  <c r="BC182" i="12"/>
  <c r="BI184" i="12"/>
  <c r="BJ184" i="12" s="1"/>
  <c r="BD85" i="12"/>
  <c r="BE85" i="12" s="1"/>
  <c r="BD188" i="12"/>
  <c r="BE188" i="12" s="1"/>
  <c r="BH119" i="12"/>
  <c r="BC39" i="12"/>
  <c r="BH142" i="12"/>
  <c r="BD121" i="12"/>
  <c r="BE121" i="12" s="1"/>
  <c r="BC142" i="12"/>
  <c r="BC105" i="12"/>
  <c r="BI94" i="12"/>
  <c r="BJ94" i="12" s="1"/>
  <c r="BH85" i="12"/>
  <c r="BC184" i="12"/>
  <c r="BI118" i="12"/>
  <c r="BJ118" i="12" s="1"/>
  <c r="BI170" i="12"/>
  <c r="BJ170" i="12" s="1"/>
  <c r="BD147" i="12"/>
  <c r="BE147" i="12" s="1"/>
  <c r="BH189" i="12"/>
  <c r="BI29" i="12"/>
  <c r="BJ29" i="12" s="1"/>
  <c r="BD76" i="12"/>
  <c r="BE76" i="12" s="1"/>
  <c r="BH59" i="12"/>
  <c r="BI80" i="12"/>
  <c r="BJ80" i="12" s="1"/>
  <c r="BC80" i="12"/>
  <c r="BC191" i="12"/>
  <c r="BC43" i="12"/>
  <c r="BD189" i="12"/>
  <c r="BE189" i="12" s="1"/>
  <c r="BC177" i="12"/>
  <c r="BC178" i="12"/>
  <c r="BD80" i="12"/>
  <c r="BE80" i="12" s="1"/>
  <c r="BI152" i="12"/>
  <c r="BJ152" i="12" s="1"/>
  <c r="BH56" i="12"/>
  <c r="BH110" i="12"/>
  <c r="BH79" i="12"/>
  <c r="BH104" i="12"/>
  <c r="BH132" i="12"/>
  <c r="BH96" i="12"/>
  <c r="BC170" i="12"/>
  <c r="BC78" i="12"/>
  <c r="BD192" i="12"/>
  <c r="BE192" i="12" s="1"/>
  <c r="BC53" i="12"/>
  <c r="BI70" i="12"/>
  <c r="BJ70" i="12" s="1"/>
  <c r="BH80" i="12"/>
  <c r="BH109" i="12"/>
  <c r="BD81" i="12"/>
  <c r="BE81" i="12" s="1"/>
  <c r="BC38" i="12"/>
  <c r="BC27" i="12"/>
  <c r="BI83" i="12"/>
  <c r="BJ83" i="12" s="1"/>
  <c r="BH40" i="12"/>
  <c r="BK40" i="12" s="1"/>
  <c r="BI102" i="12"/>
  <c r="BJ102" i="12" s="1"/>
  <c r="BH32" i="12"/>
  <c r="BH188" i="12"/>
  <c r="BC29" i="12"/>
  <c r="BI176" i="12"/>
  <c r="BJ176" i="12" s="1"/>
  <c r="BD72" i="12"/>
  <c r="BE72" i="12" s="1"/>
  <c r="BD55" i="12"/>
  <c r="BE55" i="12" s="1"/>
  <c r="BH157" i="12"/>
  <c r="BI193" i="12"/>
  <c r="BJ193" i="12" s="1"/>
  <c r="BI156" i="12"/>
  <c r="BJ156" i="12" s="1"/>
  <c r="BD118" i="12"/>
  <c r="BE118" i="12" s="1"/>
  <c r="BI123" i="12"/>
  <c r="BJ123" i="12" s="1"/>
  <c r="BC49" i="12"/>
  <c r="BD45" i="12"/>
  <c r="BE45" i="12" s="1"/>
  <c r="BD40" i="12"/>
  <c r="BE40" i="12" s="1"/>
  <c r="BC56" i="12"/>
  <c r="BC19" i="12"/>
  <c r="BD186" i="12"/>
  <c r="BE186" i="12" s="1"/>
  <c r="BI180" i="12"/>
  <c r="BJ180" i="12" s="1"/>
  <c r="BH174" i="12"/>
  <c r="BC110" i="12"/>
  <c r="BH191" i="12"/>
  <c r="BD180" i="12"/>
  <c r="BE180" i="12" s="1"/>
  <c r="BD107" i="12"/>
  <c r="BE107" i="12" s="1"/>
  <c r="BH84" i="12"/>
  <c r="BD181" i="12"/>
  <c r="BE181" i="12" s="1"/>
  <c r="BI108" i="12"/>
  <c r="BJ108" i="12" s="1"/>
  <c r="BC85" i="12"/>
  <c r="BI32" i="12"/>
  <c r="BJ32" i="12" s="1"/>
  <c r="BI106" i="12"/>
  <c r="BJ106" i="12" s="1"/>
  <c r="BH76" i="12"/>
  <c r="BD184" i="12"/>
  <c r="BE184" i="12" s="1"/>
  <c r="BH21" i="12"/>
  <c r="BH123" i="12"/>
  <c r="BC59" i="12"/>
  <c r="BC73" i="12"/>
  <c r="BD77" i="12"/>
  <c r="BE77" i="12" s="1"/>
  <c r="BC14" i="12"/>
  <c r="BF14" i="12" s="1"/>
  <c r="BC156" i="12"/>
  <c r="BI79" i="12"/>
  <c r="BJ79" i="12" s="1"/>
  <c r="BC31" i="12"/>
  <c r="BC45" i="12"/>
  <c r="BC153" i="12"/>
  <c r="BH75" i="12"/>
  <c r="BD100" i="12"/>
  <c r="BE100" i="12" s="1"/>
  <c r="BD50" i="12"/>
  <c r="BE50" i="12" s="1"/>
  <c r="BH67" i="12"/>
  <c r="BI186" i="12"/>
  <c r="BJ186" i="12" s="1"/>
  <c r="BI97" i="12"/>
  <c r="BJ97" i="12" s="1"/>
  <c r="BH126" i="12"/>
  <c r="BI175" i="12"/>
  <c r="BJ175" i="12" s="1"/>
  <c r="BC57" i="12"/>
  <c r="BC164" i="12"/>
  <c r="BD163" i="12"/>
  <c r="BE163" i="12" s="1"/>
  <c r="BD88" i="12"/>
  <c r="BE88" i="12" s="1"/>
  <c r="BH30" i="12"/>
  <c r="BH173" i="12"/>
  <c r="BC50" i="12"/>
  <c r="BD22" i="12"/>
  <c r="BE22" i="12" s="1"/>
  <c r="BH105" i="12"/>
  <c r="BC151" i="12"/>
  <c r="BD183" i="12"/>
  <c r="BE183" i="12" s="1"/>
  <c r="BH164" i="12"/>
  <c r="BI86" i="12"/>
  <c r="BJ86" i="12" s="1"/>
  <c r="BI124" i="12"/>
  <c r="BJ124" i="12" s="1"/>
  <c r="BI185" i="12"/>
  <c r="BJ185" i="12" s="1"/>
  <c r="BC146" i="12"/>
  <c r="BC130" i="12"/>
  <c r="BH88" i="12"/>
  <c r="BD165" i="12"/>
  <c r="BE165" i="12" s="1"/>
  <c r="BI22" i="12"/>
  <c r="BJ22" i="12" s="1"/>
  <c r="BH89" i="12"/>
  <c r="BH181" i="12"/>
  <c r="BI119" i="12"/>
  <c r="BJ119" i="12" s="1"/>
  <c r="BD174" i="12"/>
  <c r="BE174" i="12" s="1"/>
  <c r="BI67" i="12"/>
  <c r="BJ67" i="12" s="1"/>
  <c r="BH138" i="12"/>
  <c r="BD175" i="12"/>
  <c r="BE175" i="12" s="1"/>
  <c r="BH165" i="12"/>
  <c r="BC25" i="12"/>
  <c r="BH45" i="12"/>
  <c r="BI109" i="12"/>
  <c r="BJ109" i="12" s="1"/>
  <c r="BD122" i="12"/>
  <c r="BE122" i="12" s="1"/>
  <c r="BC161" i="12"/>
  <c r="BH48" i="12"/>
  <c r="BH128" i="12"/>
  <c r="BI60" i="12"/>
  <c r="BJ60" i="12" s="1"/>
  <c r="BC107" i="12"/>
  <c r="BI26" i="12"/>
  <c r="BJ26" i="12" s="1"/>
  <c r="BI53" i="12"/>
  <c r="BJ53" i="12" s="1"/>
  <c r="BD177" i="12"/>
  <c r="BE177" i="12" s="1"/>
  <c r="BD35" i="12"/>
  <c r="BE35" i="12" s="1"/>
  <c r="BI90" i="12"/>
  <c r="BJ90" i="12" s="1"/>
  <c r="BC114" i="12"/>
  <c r="BC99" i="12"/>
  <c r="BH150" i="12"/>
  <c r="BH16" i="12"/>
  <c r="BC159" i="12"/>
  <c r="BI34" i="12"/>
  <c r="BJ34" i="12" s="1"/>
  <c r="BC46" i="12"/>
  <c r="BD36" i="12"/>
  <c r="BE36" i="12" s="1"/>
  <c r="BI28" i="12"/>
  <c r="BJ28" i="12" s="1"/>
  <c r="BD59" i="12"/>
  <c r="BE59" i="12" s="1"/>
  <c r="BH184" i="12"/>
  <c r="BI174" i="12"/>
  <c r="BJ174" i="12" s="1"/>
  <c r="BD17" i="12"/>
  <c r="BE17" i="12" s="1"/>
  <c r="BC54" i="12"/>
  <c r="BH61" i="12"/>
  <c r="BC131" i="12"/>
  <c r="BC108" i="12"/>
  <c r="BH66" i="12"/>
  <c r="BC15" i="12"/>
  <c r="BH107" i="12"/>
  <c r="BD178" i="12"/>
  <c r="BE178" i="12" s="1"/>
  <c r="BI161" i="12"/>
  <c r="BJ161" i="12" s="1"/>
  <c r="BD46" i="12"/>
  <c r="BE46" i="12" s="1"/>
  <c r="BD190" i="12"/>
  <c r="BE190" i="12" s="1"/>
  <c r="BC61" i="12"/>
  <c r="BD34" i="12"/>
  <c r="BE34" i="12" s="1"/>
  <c r="BD146" i="12"/>
  <c r="BE146" i="12" s="1"/>
  <c r="BC167" i="12"/>
  <c r="BI47" i="12"/>
  <c r="BJ47" i="12" s="1"/>
  <c r="BI125" i="12"/>
  <c r="BJ125" i="12" s="1"/>
  <c r="BD166" i="12"/>
  <c r="BE166" i="12" s="1"/>
  <c r="BI63" i="12"/>
  <c r="BJ63" i="12" s="1"/>
  <c r="BI82" i="12"/>
  <c r="BJ82" i="12" s="1"/>
  <c r="BD182" i="12"/>
  <c r="BE182" i="12" s="1"/>
  <c r="BI177" i="12"/>
  <c r="BJ177" i="12" s="1"/>
  <c r="BI150" i="12"/>
  <c r="BJ150" i="12" s="1"/>
  <c r="BI112" i="12"/>
  <c r="BJ112" i="12" s="1"/>
  <c r="BH101" i="12"/>
  <c r="BI136" i="12"/>
  <c r="BJ136" i="12" s="1"/>
  <c r="BC87" i="12"/>
  <c r="BD173" i="12"/>
  <c r="BE173" i="12" s="1"/>
  <c r="BH53" i="12"/>
  <c r="BD41" i="12"/>
  <c r="BE41" i="12" s="1"/>
  <c r="BH120" i="12"/>
  <c r="BD171" i="12"/>
  <c r="BE171" i="12" s="1"/>
  <c r="BC98" i="12"/>
  <c r="BD123" i="12"/>
  <c r="BE123" i="12" s="1"/>
  <c r="BH17" i="12"/>
  <c r="BI50" i="12"/>
  <c r="BJ50" i="12" s="1"/>
  <c r="BD96" i="12"/>
  <c r="BE96" i="12" s="1"/>
  <c r="BH161" i="12"/>
  <c r="BC113" i="12"/>
  <c r="BD52" i="12"/>
  <c r="BE52" i="12" s="1"/>
  <c r="BI73" i="12"/>
  <c r="BJ73" i="12" s="1"/>
  <c r="BI46" i="12"/>
  <c r="BJ46" i="12" s="1"/>
  <c r="BH147" i="12"/>
  <c r="BI65" i="12"/>
  <c r="BJ65" i="12" s="1"/>
  <c r="BC192" i="12"/>
  <c r="BI95" i="12"/>
  <c r="BJ95" i="12" s="1"/>
  <c r="BI158" i="12"/>
  <c r="BJ158" i="12" s="1"/>
  <c r="BD149" i="12"/>
  <c r="BE149" i="12" s="1"/>
  <c r="BC127" i="12"/>
  <c r="BC143" i="12"/>
  <c r="BH44" i="12"/>
  <c r="BI135" i="12"/>
  <c r="BJ135" i="12" s="1"/>
  <c r="BH190" i="12"/>
  <c r="BH71" i="12"/>
  <c r="BH121" i="12"/>
  <c r="BC95" i="12"/>
  <c r="BI77" i="12"/>
  <c r="BJ77" i="12" s="1"/>
  <c r="BC17" i="12"/>
  <c r="BC193" i="12"/>
  <c r="BI107" i="12"/>
  <c r="BJ107" i="12" s="1"/>
  <c r="BD37" i="12"/>
  <c r="BE37" i="12" s="1"/>
  <c r="BI69" i="12"/>
  <c r="BJ69" i="12" s="1"/>
  <c r="BD191" i="12"/>
  <c r="BE191" i="12" s="1"/>
  <c r="BH102" i="12"/>
  <c r="BD159" i="12"/>
  <c r="BE159" i="12" s="1"/>
  <c r="BH14" i="12"/>
  <c r="BH26" i="12"/>
  <c r="BI14" i="12"/>
  <c r="BJ14" i="12" s="1"/>
  <c r="BD162" i="12"/>
  <c r="BE162" i="12" s="1"/>
  <c r="BI144" i="12"/>
  <c r="BJ144" i="12" s="1"/>
  <c r="BD63" i="12"/>
  <c r="BE63" i="12" s="1"/>
  <c r="BI138" i="12"/>
  <c r="BJ138" i="12" s="1"/>
  <c r="BH159" i="12"/>
  <c r="BD160" i="12"/>
  <c r="BE160" i="12" s="1"/>
  <c r="BI166" i="12"/>
  <c r="BJ166" i="12" s="1"/>
  <c r="BI57" i="12"/>
  <c r="BJ57" i="12" s="1"/>
  <c r="BI190" i="12"/>
  <c r="BJ190" i="12" s="1"/>
  <c r="BD179" i="12"/>
  <c r="BE179" i="12" s="1"/>
  <c r="BD69" i="12"/>
  <c r="BE69" i="12" s="1"/>
  <c r="BH65" i="12"/>
  <c r="BI56" i="12"/>
  <c r="BJ56" i="12" s="1"/>
  <c r="BI183" i="12"/>
  <c r="BJ183" i="12" s="1"/>
  <c r="BI15" i="12"/>
  <c r="BJ15" i="12" s="1"/>
  <c r="BD64" i="12"/>
  <c r="BE64" i="12" s="1"/>
  <c r="BH152" i="12"/>
  <c r="BC132" i="12"/>
  <c r="BH175" i="12"/>
  <c r="BH83" i="12"/>
  <c r="BC179" i="12"/>
  <c r="BC69" i="12"/>
  <c r="BD42" i="12"/>
  <c r="BE42" i="12" s="1"/>
  <c r="BC91" i="12"/>
  <c r="BD103" i="12"/>
  <c r="BE103" i="12" s="1"/>
  <c r="BD145" i="12"/>
  <c r="BE145" i="12" s="1"/>
  <c r="BI173" i="12"/>
  <c r="BJ173" i="12" s="1"/>
  <c r="BD109" i="12"/>
  <c r="BE109" i="12" s="1"/>
  <c r="BH180" i="12"/>
  <c r="BH81" i="12"/>
  <c r="BH185" i="12"/>
  <c r="BH149" i="12"/>
  <c r="BH154" i="12"/>
  <c r="BI75" i="12"/>
  <c r="BJ75" i="12" s="1"/>
  <c r="BH37" i="12"/>
  <c r="BH42" i="12"/>
  <c r="BC102" i="12"/>
  <c r="BC138" i="12"/>
  <c r="BH74" i="12"/>
  <c r="BH118" i="12"/>
  <c r="BI68" i="12"/>
  <c r="BJ68" i="12" s="1"/>
  <c r="BC48" i="12"/>
  <c r="BH27" i="12"/>
  <c r="BD119" i="12"/>
  <c r="BE119" i="12" s="1"/>
  <c r="BC166" i="12"/>
  <c r="BC190" i="12"/>
  <c r="BD168" i="12"/>
  <c r="BE168" i="12" s="1"/>
  <c r="BI74" i="12"/>
  <c r="BJ74" i="12" s="1"/>
  <c r="BI141" i="12"/>
  <c r="BJ141" i="12" s="1"/>
  <c r="BI111" i="12"/>
  <c r="BJ111" i="12" s="1"/>
  <c r="BI103" i="12"/>
  <c r="BJ103" i="12" s="1"/>
  <c r="BI38" i="12"/>
  <c r="BJ38" i="12" s="1"/>
  <c r="BC106" i="12"/>
  <c r="BI139" i="12"/>
  <c r="BJ139" i="12" s="1"/>
  <c r="BD106" i="12"/>
  <c r="BE106" i="12" s="1"/>
  <c r="BC93" i="12"/>
  <c r="BD114" i="12"/>
  <c r="BE114" i="12" s="1"/>
  <c r="BH162" i="12"/>
  <c r="BH55" i="12"/>
  <c r="BH130" i="12"/>
  <c r="BH124" i="12"/>
  <c r="BI155" i="12"/>
  <c r="BJ155" i="12" s="1"/>
  <c r="BC42" i="12"/>
  <c r="BD143" i="12"/>
  <c r="BE143" i="12" s="1"/>
  <c r="BC34" i="12"/>
  <c r="BH137" i="12"/>
  <c r="BI169" i="12"/>
  <c r="BJ169" i="12" s="1"/>
  <c r="BI25" i="12"/>
  <c r="BJ25" i="12" s="1"/>
  <c r="BD129" i="12"/>
  <c r="BE129" i="12" s="1"/>
  <c r="BI33" i="12"/>
  <c r="BJ33" i="12" s="1"/>
  <c r="BC129" i="12"/>
  <c r="BC186" i="12"/>
  <c r="BF186" i="12" s="1"/>
  <c r="BH172" i="12"/>
  <c r="BI140" i="12"/>
  <c r="BJ140" i="12" s="1"/>
  <c r="BD144" i="12"/>
  <c r="BE144" i="12" s="1"/>
  <c r="BI24" i="12"/>
  <c r="BJ24" i="12" s="1"/>
  <c r="BD48" i="12"/>
  <c r="BE48" i="12" s="1"/>
  <c r="BD150" i="12"/>
  <c r="BE150" i="12" s="1"/>
  <c r="BD18" i="12"/>
  <c r="BE18" i="12" s="1"/>
  <c r="BD155" i="12"/>
  <c r="BE155" i="12" s="1"/>
  <c r="BD19" i="12"/>
  <c r="BE19" i="12" s="1"/>
  <c r="BC30" i="12"/>
  <c r="BC118" i="12"/>
  <c r="BD27" i="12"/>
  <c r="BE27" i="12" s="1"/>
  <c r="BC125" i="12"/>
  <c r="BH47" i="12"/>
  <c r="BC133" i="12"/>
  <c r="BH116" i="12"/>
  <c r="BI92" i="12"/>
  <c r="BJ92" i="12" s="1"/>
  <c r="BI52" i="12"/>
  <c r="BJ52" i="12" s="1"/>
  <c r="BC140" i="12"/>
  <c r="BC63" i="12"/>
  <c r="BD142" i="12"/>
  <c r="BE142" i="12" s="1"/>
  <c r="BC158" i="12"/>
  <c r="BI160" i="12"/>
  <c r="BJ160" i="12" s="1"/>
  <c r="BC128" i="12"/>
  <c r="BD24" i="12"/>
  <c r="BE24" i="12" s="1"/>
  <c r="BI27" i="12"/>
  <c r="BJ27" i="12" s="1"/>
  <c r="BC58" i="12"/>
  <c r="BD167" i="12"/>
  <c r="BE167" i="12" s="1"/>
  <c r="BC79" i="12"/>
  <c r="BF79" i="12" s="1"/>
  <c r="BC100" i="12"/>
  <c r="BD39" i="12"/>
  <c r="BE39" i="12" s="1"/>
  <c r="BI164" i="12"/>
  <c r="BJ164" i="12" s="1"/>
  <c r="BI36" i="12"/>
  <c r="BJ36" i="12" s="1"/>
  <c r="BH133" i="12"/>
  <c r="BH97" i="12"/>
  <c r="BI98" i="12"/>
  <c r="BJ98" i="12" s="1"/>
  <c r="BH93" i="12"/>
  <c r="BC24" i="12"/>
  <c r="BC33" i="12"/>
  <c r="BI149" i="12"/>
  <c r="BJ149" i="12" s="1"/>
  <c r="BI55" i="12"/>
  <c r="BJ55" i="12" s="1"/>
  <c r="BC81" i="12"/>
  <c r="BC188" i="12"/>
  <c r="BH169" i="12"/>
  <c r="BH50" i="12"/>
  <c r="BI129" i="12"/>
  <c r="BJ129" i="12" s="1"/>
  <c r="BD137" i="12"/>
  <c r="BE137" i="12" s="1"/>
  <c r="BC88" i="12"/>
  <c r="BI168" i="12"/>
  <c r="BJ168" i="12" s="1"/>
  <c r="BI43" i="12"/>
  <c r="BJ43" i="12" s="1"/>
  <c r="BC150" i="12"/>
  <c r="BC116" i="12"/>
  <c r="BC20" i="12"/>
  <c r="BD120" i="12"/>
  <c r="BE120" i="12" s="1"/>
  <c r="BI179" i="12"/>
  <c r="BJ179" i="12" s="1"/>
  <c r="BI182" i="12"/>
  <c r="BJ182" i="12" s="1"/>
  <c r="BC28" i="12"/>
  <c r="BD170" i="12"/>
  <c r="BE170" i="12" s="1"/>
  <c r="BI93" i="12"/>
  <c r="BJ93" i="12" s="1"/>
  <c r="BH95" i="12"/>
  <c r="BC62" i="12"/>
  <c r="BF62" i="12" s="1"/>
  <c r="BC83" i="12"/>
  <c r="BH62" i="12"/>
  <c r="BC189" i="12"/>
  <c r="BH140" i="12"/>
  <c r="BD161" i="12"/>
  <c r="BE161" i="12" s="1"/>
  <c r="BI72" i="12"/>
  <c r="BJ72" i="12" s="1"/>
  <c r="BI148" i="12"/>
  <c r="BJ148" i="12" s="1"/>
  <c r="BC187" i="12"/>
  <c r="BH177" i="12"/>
  <c r="BI157" i="12"/>
  <c r="BJ157" i="12" s="1"/>
  <c r="BD124" i="12"/>
  <c r="BE124" i="12" s="1"/>
  <c r="BD125" i="12"/>
  <c r="BE125" i="12" s="1"/>
  <c r="BC47" i="12"/>
  <c r="BH113" i="12"/>
  <c r="BI18" i="12"/>
  <c r="BJ18" i="12" s="1"/>
  <c r="BH160" i="12"/>
  <c r="BI45" i="12"/>
  <c r="BJ45" i="12" s="1"/>
  <c r="BD169" i="12"/>
  <c r="BE169" i="12" s="1"/>
  <c r="BI30" i="12"/>
  <c r="BJ30" i="12" s="1"/>
  <c r="BI178" i="12"/>
  <c r="BJ178" i="12" s="1"/>
  <c r="BD152" i="12"/>
  <c r="BE152" i="12" s="1"/>
  <c r="BH153" i="12"/>
  <c r="BI137" i="12"/>
  <c r="BJ137" i="12" s="1"/>
  <c r="BH54" i="12"/>
  <c r="BC101" i="12"/>
  <c r="BH63" i="12"/>
  <c r="BD30" i="12"/>
  <c r="BE30" i="12" s="1"/>
  <c r="BI71" i="12"/>
  <c r="BJ71" i="12" s="1"/>
  <c r="BI132" i="12"/>
  <c r="BJ132" i="12" s="1"/>
  <c r="BC160" i="12"/>
  <c r="BH94" i="12"/>
  <c r="BD71" i="12"/>
  <c r="BE71" i="12" s="1"/>
  <c r="BI187" i="12"/>
  <c r="BJ187" i="12" s="1"/>
  <c r="BI41" i="12"/>
  <c r="BJ41" i="12" s="1"/>
  <c r="BD15" i="12"/>
  <c r="BE15" i="12" s="1"/>
  <c r="BD87" i="12"/>
  <c r="BE87" i="12" s="1"/>
  <c r="BD164" i="12"/>
  <c r="BE164" i="12" s="1"/>
  <c r="BI143" i="12"/>
  <c r="BJ143" i="12" s="1"/>
  <c r="BD113" i="12"/>
  <c r="BE113" i="12" s="1"/>
  <c r="BI110" i="12"/>
  <c r="BJ110" i="12" s="1"/>
  <c r="BI16" i="12"/>
  <c r="BJ16" i="12" s="1"/>
  <c r="BD133" i="12"/>
  <c r="BE133" i="12" s="1"/>
  <c r="BH100" i="12"/>
  <c r="BD61" i="12"/>
  <c r="BE61" i="12" s="1"/>
  <c r="BI62" i="12"/>
  <c r="BJ62" i="12" s="1"/>
  <c r="BD130" i="12"/>
  <c r="BE130" i="12" s="1"/>
  <c r="BI128" i="12"/>
  <c r="BJ128" i="12" s="1"/>
  <c r="BI159" i="12"/>
  <c r="BJ159" i="12" s="1"/>
  <c r="BD156" i="12"/>
  <c r="BE156" i="12" s="1"/>
  <c r="BD176" i="12"/>
  <c r="BE176" i="12" s="1"/>
  <c r="BC103" i="12"/>
  <c r="BI116" i="12"/>
  <c r="BJ116" i="12" s="1"/>
  <c r="BC68" i="12"/>
  <c r="BC32" i="12"/>
  <c r="BD60" i="12"/>
  <c r="BE60" i="12" s="1"/>
  <c r="BD84" i="12"/>
  <c r="BE84" i="12" s="1"/>
  <c r="BI133" i="12"/>
  <c r="BJ133" i="12" s="1"/>
  <c r="BD89" i="12"/>
  <c r="BE89" i="12" s="1"/>
  <c r="BI19" i="12"/>
  <c r="BJ19" i="12" s="1"/>
  <c r="BD66" i="12"/>
  <c r="BE66" i="12" s="1"/>
  <c r="BI87" i="12"/>
  <c r="BJ87" i="12" s="1"/>
  <c r="BC26" i="12"/>
  <c r="BF26" i="12" s="1"/>
  <c r="BD105" i="12"/>
  <c r="BE105" i="12" s="1"/>
  <c r="BC180" i="12"/>
  <c r="BD95" i="12"/>
  <c r="BE95" i="12" s="1"/>
  <c r="BD31" i="12"/>
  <c r="BE31" i="12" s="1"/>
  <c r="BI121" i="12"/>
  <c r="BJ121" i="12" s="1"/>
  <c r="BI89" i="12"/>
  <c r="BJ89" i="12" s="1"/>
  <c r="BD158" i="12"/>
  <c r="BE158" i="12" s="1"/>
  <c r="BI31" i="12"/>
  <c r="BJ31" i="12" s="1"/>
  <c r="BD141" i="12"/>
  <c r="BE141" i="12" s="1"/>
  <c r="BC84" i="12"/>
  <c r="BI61" i="12"/>
  <c r="BJ61" i="12" s="1"/>
  <c r="BI104" i="12"/>
  <c r="BJ104" i="12" s="1"/>
  <c r="BD187" i="12"/>
  <c r="BE187" i="12" s="1"/>
  <c r="BH99" i="12"/>
  <c r="BH151" i="12"/>
  <c r="BH41" i="12"/>
  <c r="BD82" i="12"/>
  <c r="BE82" i="12" s="1"/>
  <c r="BH57" i="12"/>
  <c r="BI20" i="12"/>
  <c r="BJ20" i="12" s="1"/>
  <c r="BD98" i="12"/>
  <c r="BE98" i="12" s="1"/>
  <c r="BH23" i="12"/>
  <c r="BC86" i="12"/>
  <c r="BI154" i="12"/>
  <c r="BJ154" i="12" s="1"/>
  <c r="BD101" i="12"/>
  <c r="BE101" i="12" s="1"/>
  <c r="BF128" i="12" l="1"/>
  <c r="BK44" i="12"/>
  <c r="BF34" i="12"/>
  <c r="BK153" i="12"/>
  <c r="BK120" i="12"/>
  <c r="BF118" i="12"/>
  <c r="BF57" i="12"/>
  <c r="BK48" i="12"/>
  <c r="BK42" i="12"/>
  <c r="BK78" i="12"/>
  <c r="BK177" i="12"/>
  <c r="BF190" i="12"/>
  <c r="BF56" i="12"/>
  <c r="BF131" i="12"/>
  <c r="BF81" i="12"/>
  <c r="BK65" i="12"/>
  <c r="BK81" i="12"/>
  <c r="BK171" i="12"/>
  <c r="BF90" i="12"/>
  <c r="BF134" i="12"/>
  <c r="BK162" i="12"/>
  <c r="BF180" i="12"/>
  <c r="BK181" i="12"/>
  <c r="BK191" i="12"/>
  <c r="BK113" i="12"/>
  <c r="BF33" i="12"/>
  <c r="BK145" i="12"/>
  <c r="BK100" i="12"/>
  <c r="BK83" i="12"/>
  <c r="BF78" i="12"/>
  <c r="BK50" i="12"/>
  <c r="BF100" i="12"/>
  <c r="BK163" i="12"/>
  <c r="BF43" i="12"/>
  <c r="BF29" i="12"/>
  <c r="BF65" i="12"/>
  <c r="BK71" i="12"/>
  <c r="BF46" i="12"/>
  <c r="BF172" i="12"/>
  <c r="BK57" i="12"/>
  <c r="BK188" i="12"/>
  <c r="BF49" i="12"/>
  <c r="BK14" i="12"/>
  <c r="BK49" i="12"/>
  <c r="BK185" i="12"/>
  <c r="BK53" i="12"/>
  <c r="BF185" i="12"/>
  <c r="BK152" i="12"/>
  <c r="BF73" i="12"/>
  <c r="BK84" i="12"/>
  <c r="BK66" i="12"/>
  <c r="BK97" i="12"/>
  <c r="BK55" i="12"/>
  <c r="BK51" i="12"/>
  <c r="BK88" i="12"/>
  <c r="BF187" i="12"/>
  <c r="BF63" i="12"/>
  <c r="BF93" i="12"/>
  <c r="BF108" i="12"/>
  <c r="BK126" i="12"/>
  <c r="BF94" i="12"/>
  <c r="BK165" i="12"/>
  <c r="BK26" i="12"/>
  <c r="BK21" i="12"/>
  <c r="BF104" i="12"/>
  <c r="BK151" i="12"/>
  <c r="BK161" i="12"/>
  <c r="BK96" i="12"/>
  <c r="BK99" i="12"/>
  <c r="BK180" i="12"/>
  <c r="BF127" i="12"/>
  <c r="BK101" i="12"/>
  <c r="BF54" i="12"/>
  <c r="BF47" i="12"/>
  <c r="BF83" i="12"/>
  <c r="BF25" i="12"/>
  <c r="BF88" i="12"/>
  <c r="BK130" i="12"/>
  <c r="BF103" i="12"/>
  <c r="BF129" i="12"/>
  <c r="BK37" i="12"/>
  <c r="BK121" i="12"/>
  <c r="BK147" i="12"/>
  <c r="BK107" i="12"/>
  <c r="BK138" i="12"/>
  <c r="BF164" i="12"/>
  <c r="BF31" i="12"/>
  <c r="BF19" i="12"/>
  <c r="BF136" i="12"/>
  <c r="BK69" i="12"/>
  <c r="BK134" i="12"/>
  <c r="BK25" i="12"/>
  <c r="BK15" i="12"/>
  <c r="BF120" i="12"/>
  <c r="BK148" i="12"/>
  <c r="BF173" i="12"/>
  <c r="BK39" i="12"/>
  <c r="BK58" i="12"/>
  <c r="BF30" i="12"/>
  <c r="BF15" i="12"/>
  <c r="BF107" i="12"/>
  <c r="BF178" i="12"/>
  <c r="BK68" i="12"/>
  <c r="BK178" i="12"/>
  <c r="BK91" i="12"/>
  <c r="BK179" i="12"/>
  <c r="BF145" i="12"/>
  <c r="BK193" i="12"/>
  <c r="BF181" i="12"/>
  <c r="BK94" i="12"/>
  <c r="BF160" i="12"/>
  <c r="BF140" i="12"/>
  <c r="BK27" i="12"/>
  <c r="BF167" i="12"/>
  <c r="BK85" i="12"/>
  <c r="BK154" i="12"/>
  <c r="BK164" i="12"/>
  <c r="BF156" i="12"/>
  <c r="BF177" i="12"/>
  <c r="BK52" i="12"/>
  <c r="BF66" i="12"/>
  <c r="BF76" i="12"/>
  <c r="BK92" i="12"/>
  <c r="BK90" i="12"/>
  <c r="BF35" i="12"/>
  <c r="BF117" i="12"/>
  <c r="BF184" i="12"/>
  <c r="BF74" i="12"/>
  <c r="BF113" i="12"/>
  <c r="BF87" i="12"/>
  <c r="BK140" i="12"/>
  <c r="BK16" i="12"/>
  <c r="BF171" i="12"/>
  <c r="BK155" i="12"/>
  <c r="BK106" i="12"/>
  <c r="BF109" i="12"/>
  <c r="BK82" i="12"/>
  <c r="BK141" i="12"/>
  <c r="BF135" i="12"/>
  <c r="BK95" i="12"/>
  <c r="BF20" i="12"/>
  <c r="BK186" i="12"/>
  <c r="BF50" i="12"/>
  <c r="BF17" i="12"/>
  <c r="BK76" i="12"/>
  <c r="BF16" i="12"/>
  <c r="BF91" i="12"/>
  <c r="BK169" i="12"/>
  <c r="BK149" i="12"/>
  <c r="BK102" i="12"/>
  <c r="BK128" i="12"/>
  <c r="BF182" i="12"/>
  <c r="BK29" i="12"/>
  <c r="BF169" i="12"/>
  <c r="BK18" i="12"/>
  <c r="BF176" i="12"/>
  <c r="BF55" i="12"/>
  <c r="BK158" i="12"/>
  <c r="BK137" i="12"/>
  <c r="BF48" i="12"/>
  <c r="BF143" i="12"/>
  <c r="BK61" i="12"/>
  <c r="BK150" i="12"/>
  <c r="BK38" i="12"/>
  <c r="BK64" i="12"/>
  <c r="BK112" i="12"/>
  <c r="BF85" i="12"/>
  <c r="BF53" i="12"/>
  <c r="BK190" i="12"/>
  <c r="BK170" i="12"/>
  <c r="BF67" i="12"/>
  <c r="BF159" i="12"/>
  <c r="BK127" i="12"/>
  <c r="BF170" i="12"/>
  <c r="BK105" i="12"/>
  <c r="BK160" i="12"/>
  <c r="BF106" i="12"/>
  <c r="BK159" i="12"/>
  <c r="BF99" i="12"/>
  <c r="BK67" i="12"/>
  <c r="BF59" i="12"/>
  <c r="BK132" i="12"/>
  <c r="BF80" i="12"/>
  <c r="BF105" i="12"/>
  <c r="BF119" i="12"/>
  <c r="BF148" i="12"/>
  <c r="BF40" i="12"/>
  <c r="BK131" i="12"/>
  <c r="BF123" i="12"/>
  <c r="BK98" i="12"/>
  <c r="BK122" i="12"/>
  <c r="BK12" i="12"/>
  <c r="BF168" i="12"/>
  <c r="BF175" i="12"/>
  <c r="BF149" i="12"/>
  <c r="BF71" i="12"/>
  <c r="BK133" i="12"/>
  <c r="BK129" i="12"/>
  <c r="BF166" i="12"/>
  <c r="BF52" i="12"/>
  <c r="BF188" i="12"/>
  <c r="BF112" i="12"/>
  <c r="BK70" i="12"/>
  <c r="BF23" i="12"/>
  <c r="BF137" i="12"/>
  <c r="BF189" i="12"/>
  <c r="BF116" i="12"/>
  <c r="BK116" i="12"/>
  <c r="BK118" i="12"/>
  <c r="BF61" i="12"/>
  <c r="BF114" i="12"/>
  <c r="BK123" i="12"/>
  <c r="BF27" i="12"/>
  <c r="BK104" i="12"/>
  <c r="BF142" i="12"/>
  <c r="BF77" i="12"/>
  <c r="BK115" i="12"/>
  <c r="BF139" i="12"/>
  <c r="BK136" i="12"/>
  <c r="BF92" i="12"/>
  <c r="BK77" i="12"/>
  <c r="BK24" i="12"/>
  <c r="BF82" i="12"/>
  <c r="BK87" i="12"/>
  <c r="BF72" i="12"/>
  <c r="BK36" i="12"/>
  <c r="BF183" i="12"/>
  <c r="BF158" i="12"/>
  <c r="BF69" i="12"/>
  <c r="BF28" i="12"/>
  <c r="BF151" i="12"/>
  <c r="BK135" i="12"/>
  <c r="BK89" i="12"/>
  <c r="BK114" i="12"/>
  <c r="BF36" i="12"/>
  <c r="BK63" i="12"/>
  <c r="BK62" i="12"/>
  <c r="BF150" i="12"/>
  <c r="BF58" i="12"/>
  <c r="BF133" i="12"/>
  <c r="BF42" i="12"/>
  <c r="BK74" i="12"/>
  <c r="BF193" i="12"/>
  <c r="BK17" i="12"/>
  <c r="BK45" i="12"/>
  <c r="BK173" i="12"/>
  <c r="BF110" i="12"/>
  <c r="BF38" i="12"/>
  <c r="BK79" i="12"/>
  <c r="BK59" i="12"/>
  <c r="BF121" i="12"/>
  <c r="BK22" i="12"/>
  <c r="BF44" i="12"/>
  <c r="BK192" i="12"/>
  <c r="BF18" i="12"/>
  <c r="BF21" i="12"/>
  <c r="BF141" i="12"/>
  <c r="BK33" i="12"/>
  <c r="BK166" i="12"/>
  <c r="BF41" i="12"/>
  <c r="BK43" i="12"/>
  <c r="BK111" i="12"/>
  <c r="BK103" i="12"/>
  <c r="BF147" i="12"/>
  <c r="BF179" i="12"/>
  <c r="BF97" i="12"/>
  <c r="BK175" i="12"/>
  <c r="BK60" i="12"/>
  <c r="BF161" i="12"/>
  <c r="BF101" i="12"/>
  <c r="BF24" i="12"/>
  <c r="BK47" i="12"/>
  <c r="BF138" i="12"/>
  <c r="BK184" i="12"/>
  <c r="BF130" i="12"/>
  <c r="BK30" i="12"/>
  <c r="BK75" i="12"/>
  <c r="BK174" i="12"/>
  <c r="BK157" i="12"/>
  <c r="BK110" i="12"/>
  <c r="BK142" i="12"/>
  <c r="BF152" i="12"/>
  <c r="BK139" i="12"/>
  <c r="BK19" i="12"/>
  <c r="BF96" i="12"/>
  <c r="BF124" i="12"/>
  <c r="BF115" i="12"/>
  <c r="BF174" i="12"/>
  <c r="BF64" i="12"/>
  <c r="BK187" i="12"/>
  <c r="BK182" i="12"/>
  <c r="BK31" i="12"/>
  <c r="BK108" i="12"/>
  <c r="BF126" i="12"/>
  <c r="BK28" i="12"/>
  <c r="BK168" i="12"/>
  <c r="BK117" i="12"/>
  <c r="BK32" i="12"/>
  <c r="BK41" i="12"/>
  <c r="BF32" i="12"/>
  <c r="BK72" i="12"/>
  <c r="BF154" i="12"/>
  <c r="BF132" i="12"/>
  <c r="BK34" i="12"/>
  <c r="BK54" i="12"/>
  <c r="BK93" i="12"/>
  <c r="BF125" i="12"/>
  <c r="BK172" i="12"/>
  <c r="BK124" i="12"/>
  <c r="BF102" i="12"/>
  <c r="BF192" i="12"/>
  <c r="BF98" i="12"/>
  <c r="BF146" i="12"/>
  <c r="BF153" i="12"/>
  <c r="BK109" i="12"/>
  <c r="BK56" i="12"/>
  <c r="BF39" i="12"/>
  <c r="BF163" i="12"/>
  <c r="BK156" i="12"/>
  <c r="BF157" i="12"/>
  <c r="BK167" i="12"/>
  <c r="BF155" i="12"/>
  <c r="BF165" i="12"/>
  <c r="BK183" i="12"/>
  <c r="BK143" i="12"/>
  <c r="BK125" i="12"/>
  <c r="BK46" i="12"/>
  <c r="BK86" i="12"/>
  <c r="BK20" i="12"/>
  <c r="BF68" i="12"/>
  <c r="BF191" i="12"/>
  <c r="BK146" i="12"/>
  <c r="BF86" i="12"/>
  <c r="BF84" i="12"/>
  <c r="BK23" i="12"/>
  <c r="BF95" i="12"/>
  <c r="BF45" i="12"/>
  <c r="BK80" i="12"/>
  <c r="BK189" i="12"/>
  <c r="BK119" i="12"/>
  <c r="BK176" i="12"/>
  <c r="BF22" i="12"/>
  <c r="BK144" i="12"/>
  <c r="BF60" i="12"/>
  <c r="BK35" i="12"/>
  <c r="BF122" i="12"/>
  <c r="BF37" i="12"/>
  <c r="BF70" i="12"/>
  <c r="BF51" i="12"/>
  <c r="BF162" i="12"/>
  <c r="BF144" i="12"/>
  <c r="BF89" i="12"/>
  <c r="BF75" i="12"/>
  <c r="BK73" i="12"/>
  <c r="AW120" i="12"/>
  <c r="AT39" i="12"/>
  <c r="AZ56" i="12"/>
  <c r="AZ128" i="12"/>
  <c r="AW34" i="12"/>
  <c r="AZ157" i="12"/>
  <c r="AW101" i="12"/>
  <c r="AT121" i="12"/>
  <c r="AW137" i="12"/>
  <c r="AT61" i="12"/>
  <c r="AW107" i="12"/>
  <c r="AT71" i="12"/>
  <c r="AT172" i="12"/>
  <c r="AW149" i="12"/>
  <c r="AW115" i="12"/>
  <c r="AZ42" i="12"/>
  <c r="AZ140" i="12"/>
  <c r="AT19" i="12"/>
  <c r="AT164" i="12"/>
  <c r="AZ104" i="12"/>
  <c r="AT153" i="12"/>
  <c r="AT175" i="12"/>
  <c r="AT149" i="12"/>
  <c r="AW63" i="12"/>
  <c r="AT132" i="12"/>
  <c r="AW138" i="12"/>
  <c r="AT48" i="12"/>
  <c r="AW93" i="12"/>
  <c r="AT35" i="12"/>
  <c r="AZ143" i="12"/>
  <c r="AW57" i="12"/>
  <c r="AW139" i="12"/>
  <c r="AT102" i="12"/>
  <c r="AW71" i="12"/>
  <c r="AT117" i="12"/>
  <c r="AW170" i="12"/>
  <c r="AT187" i="12"/>
  <c r="AT180" i="12"/>
  <c r="AT62" i="12"/>
  <c r="AT155" i="12"/>
  <c r="AT93" i="12"/>
  <c r="AT25" i="12"/>
  <c r="AZ66" i="12"/>
  <c r="AZ145" i="12"/>
  <c r="AT66" i="12"/>
  <c r="AW86" i="12"/>
  <c r="AT118" i="12"/>
  <c r="AW43" i="12"/>
  <c r="AT174" i="12"/>
  <c r="AT163" i="12"/>
  <c r="AZ120" i="12"/>
  <c r="AW84" i="12"/>
  <c r="AT55" i="12"/>
  <c r="AZ112" i="12"/>
  <c r="AZ44" i="12"/>
  <c r="AT59" i="12"/>
  <c r="AZ116" i="12"/>
  <c r="AW72" i="12"/>
  <c r="AT26" i="12"/>
  <c r="AZ88" i="12"/>
  <c r="AZ100" i="12"/>
  <c r="AW183" i="12"/>
  <c r="AT67" i="12"/>
  <c r="AT34" i="12"/>
  <c r="AT27" i="12"/>
  <c r="AW134" i="12"/>
  <c r="AZ93" i="12"/>
  <c r="AW53" i="12"/>
  <c r="AW87" i="12"/>
  <c r="AZ17" i="12"/>
  <c r="AW125" i="12"/>
  <c r="AZ27" i="12"/>
  <c r="AT41" i="12"/>
  <c r="AZ168" i="12"/>
  <c r="AW26" i="12"/>
  <c r="AZ63" i="12"/>
  <c r="AZ176" i="12"/>
  <c r="AW37" i="12"/>
  <c r="AZ78" i="12"/>
  <c r="AT104" i="12"/>
  <c r="AW94" i="12"/>
  <c r="AW76" i="12"/>
  <c r="AW132" i="12"/>
  <c r="AZ33" i="12"/>
  <c r="AW103" i="12"/>
  <c r="AZ148" i="12"/>
  <c r="AT12" i="12"/>
  <c r="AW177" i="12"/>
  <c r="AZ138" i="12"/>
  <c r="AT161" i="12"/>
  <c r="AT84" i="12"/>
  <c r="AZ133" i="12"/>
  <c r="AT135" i="12"/>
  <c r="AW108" i="12"/>
  <c r="AT148" i="12"/>
  <c r="AT188" i="12"/>
  <c r="AW99" i="12"/>
  <c r="AZ188" i="12"/>
  <c r="AW146" i="12"/>
  <c r="AW110" i="12"/>
  <c r="AW142" i="12"/>
  <c r="AT13" i="12"/>
  <c r="AW97" i="12"/>
  <c r="AT176" i="12"/>
  <c r="AW67" i="12"/>
  <c r="AZ39" i="12"/>
  <c r="AT30" i="12"/>
  <c r="AW176" i="12"/>
  <c r="AZ132" i="12"/>
  <c r="AT122" i="12"/>
  <c r="AT38" i="12"/>
  <c r="AW145" i="12"/>
  <c r="AT141" i="12"/>
  <c r="AW192" i="12"/>
  <c r="AT112" i="12"/>
  <c r="AW171" i="12"/>
  <c r="AZ144" i="12"/>
  <c r="AZ179" i="12"/>
  <c r="AZ38" i="12"/>
  <c r="AW79" i="12"/>
  <c r="AT178" i="12"/>
  <c r="AW88" i="12"/>
  <c r="AZ97" i="12"/>
  <c r="AT140" i="12"/>
  <c r="AT82" i="12"/>
  <c r="AW64" i="12"/>
  <c r="AW148" i="12"/>
  <c r="AZ151" i="12"/>
  <c r="AW49" i="12"/>
  <c r="AZ61" i="12"/>
  <c r="AT115" i="12"/>
  <c r="AZ20" i="12"/>
  <c r="AW74" i="12"/>
  <c r="AT24" i="12"/>
  <c r="AW75" i="12"/>
  <c r="AW60" i="12"/>
  <c r="AT83" i="12"/>
  <c r="AW16" i="12"/>
  <c r="AZ40" i="12"/>
  <c r="AT92" i="12"/>
  <c r="AZ146" i="12"/>
  <c r="AZ115" i="12"/>
  <c r="AW187" i="12"/>
  <c r="AZ174" i="12"/>
  <c r="AW105" i="12"/>
  <c r="AT29" i="12"/>
  <c r="AT31" i="12"/>
  <c r="AZ86" i="12"/>
  <c r="AZ171" i="12"/>
  <c r="AT70" i="12"/>
  <c r="AZ169" i="12"/>
  <c r="AZ152" i="12"/>
  <c r="AW144" i="12"/>
  <c r="AZ13" i="12"/>
  <c r="AW69" i="12"/>
  <c r="AZ137" i="12"/>
  <c r="AW104" i="12"/>
  <c r="AT169" i="12"/>
  <c r="AW157" i="12"/>
  <c r="AW91" i="12"/>
  <c r="AT160" i="12"/>
  <c r="AZ46" i="12"/>
  <c r="AW188" i="12"/>
  <c r="AT170" i="12"/>
  <c r="AT53" i="12"/>
  <c r="AW153" i="12"/>
  <c r="AW193" i="12"/>
  <c r="AW126" i="12"/>
  <c r="AZ71" i="12"/>
  <c r="AT173" i="12"/>
  <c r="AW30" i="12"/>
  <c r="AT40" i="12"/>
  <c r="AT78" i="12"/>
  <c r="AW95" i="12"/>
  <c r="AZ122" i="12"/>
  <c r="AT74" i="12"/>
  <c r="AZ114" i="12"/>
  <c r="AW114" i="12"/>
  <c r="AW178" i="12"/>
  <c r="AT80" i="12"/>
  <c r="AT182" i="12"/>
  <c r="AZ73" i="12"/>
  <c r="AZ154" i="12"/>
  <c r="AT96" i="12"/>
  <c r="AZ142" i="12"/>
  <c r="AZ48" i="12"/>
  <c r="AZ23" i="12"/>
  <c r="AT171" i="12"/>
  <c r="AZ181" i="12"/>
  <c r="AT64" i="12"/>
  <c r="AZ173" i="12"/>
  <c r="AZ64" i="12"/>
  <c r="AZ183" i="12"/>
  <c r="AW186" i="12"/>
  <c r="AT189" i="12"/>
  <c r="AZ35" i="12"/>
  <c r="AW89" i="12"/>
  <c r="AZ117" i="12"/>
  <c r="AT99" i="12"/>
  <c r="AZ119" i="12"/>
  <c r="AZ135" i="12"/>
  <c r="AT56" i="12"/>
  <c r="AW158" i="12"/>
  <c r="AZ160" i="12"/>
  <c r="AT21" i="12"/>
  <c r="AT165" i="12"/>
  <c r="AW162" i="12"/>
  <c r="AZ139" i="12"/>
  <c r="AW82" i="12"/>
  <c r="AT68" i="12"/>
  <c r="AZ81" i="12"/>
  <c r="AT123" i="12"/>
  <c r="AZ99" i="12"/>
  <c r="AZ106" i="12"/>
  <c r="AT98" i="12"/>
  <c r="AW24" i="12"/>
  <c r="AZ108" i="12"/>
  <c r="AZ103" i="12"/>
  <c r="AW175" i="12"/>
  <c r="AZ95" i="12"/>
  <c r="AZ184" i="12"/>
  <c r="AZ87" i="12"/>
  <c r="AT94" i="12"/>
  <c r="AT20" i="12"/>
  <c r="AT146" i="12"/>
  <c r="AT69" i="12"/>
  <c r="AZ125" i="12"/>
  <c r="AT181" i="12"/>
  <c r="AZ149" i="12"/>
  <c r="AT105" i="12"/>
  <c r="AZ172" i="12"/>
  <c r="AZ82" i="12"/>
  <c r="AW44" i="12"/>
  <c r="AZ113" i="12"/>
  <c r="AW31" i="12"/>
  <c r="AW56" i="12"/>
  <c r="AW19" i="12"/>
  <c r="AZ166" i="12"/>
  <c r="AT90" i="12"/>
  <c r="AW27" i="12"/>
  <c r="AZ26" i="12"/>
  <c r="AW113" i="12"/>
  <c r="AW109" i="12"/>
  <c r="AT154" i="12"/>
  <c r="AW129" i="12"/>
  <c r="AW100" i="12"/>
  <c r="AZ101" i="12"/>
  <c r="AZ51" i="12"/>
  <c r="AW17" i="12"/>
  <c r="AZ161" i="12"/>
  <c r="AT158" i="12"/>
  <c r="AW111" i="12"/>
  <c r="AW80" i="12"/>
  <c r="AZ22" i="12"/>
  <c r="AT142" i="12"/>
  <c r="AZ147" i="12"/>
  <c r="AZ37" i="12"/>
  <c r="AT166" i="12"/>
  <c r="AT150" i="12"/>
  <c r="AT119" i="12"/>
  <c r="AZ109" i="12"/>
  <c r="AW38" i="12"/>
  <c r="AW59" i="12"/>
  <c r="AZ163" i="12"/>
  <c r="AZ131" i="12"/>
  <c r="AW112" i="12"/>
  <c r="AW32" i="12"/>
  <c r="AZ53" i="12"/>
  <c r="AT45" i="12"/>
  <c r="AT162" i="12"/>
  <c r="AT138" i="12"/>
  <c r="AZ49" i="12"/>
  <c r="AZ193" i="12"/>
  <c r="AW185" i="12"/>
  <c r="AZ45" i="12"/>
  <c r="AT37" i="12"/>
  <c r="AW121" i="12"/>
  <c r="AZ62" i="12"/>
  <c r="AZ57" i="12"/>
  <c r="AZ153" i="12"/>
  <c r="AW173" i="12"/>
  <c r="AZ18" i="12"/>
  <c r="AT44" i="12"/>
  <c r="AZ191" i="12"/>
  <c r="AT65" i="12"/>
  <c r="AZ15" i="12"/>
  <c r="AW133" i="12"/>
  <c r="AZ24" i="12"/>
  <c r="AW83" i="12"/>
  <c r="AT125" i="12"/>
  <c r="AT186" i="12"/>
  <c r="AW18" i="12"/>
  <c r="AT101" i="12"/>
  <c r="AT95" i="12"/>
  <c r="AW102" i="12"/>
  <c r="AW77" i="12"/>
  <c r="AT183" i="12"/>
  <c r="AW39" i="12"/>
  <c r="AZ31" i="12"/>
  <c r="AZ127" i="12"/>
  <c r="AW70" i="12"/>
  <c r="AW14" i="12"/>
  <c r="AZ16" i="12"/>
  <c r="AT191" i="12"/>
  <c r="AZ94" i="12"/>
  <c r="AW65" i="12"/>
  <c r="AT106" i="12"/>
  <c r="AW90" i="12"/>
  <c r="AT110" i="12"/>
  <c r="AW122" i="12"/>
  <c r="AZ72" i="12"/>
  <c r="AT134" i="12"/>
  <c r="AT184" i="12"/>
  <c r="AZ70" i="12"/>
  <c r="AW116" i="12"/>
  <c r="AT42" i="12"/>
  <c r="AZ36" i="12"/>
  <c r="AT72" i="12"/>
  <c r="AT73" i="12"/>
  <c r="AZ141" i="12"/>
  <c r="AW62" i="12"/>
  <c r="AT152" i="12"/>
  <c r="AW52" i="12"/>
  <c r="AW81" i="12"/>
  <c r="AZ69" i="12"/>
  <c r="AW36" i="12"/>
  <c r="AT86" i="12"/>
  <c r="AT145" i="12"/>
  <c r="AT156" i="12"/>
  <c r="AW29" i="12"/>
  <c r="AW117" i="12"/>
  <c r="AW135" i="12"/>
  <c r="AW165" i="12"/>
  <c r="AW50" i="12"/>
  <c r="AZ136" i="12"/>
  <c r="AW127" i="12"/>
  <c r="AW174" i="12"/>
  <c r="AT89" i="12"/>
  <c r="AZ50" i="12"/>
  <c r="AT151" i="12"/>
  <c r="AZ98" i="12"/>
  <c r="AW46" i="12"/>
  <c r="AZ21" i="12"/>
  <c r="AZ156" i="12"/>
  <c r="AW13" i="12"/>
  <c r="AZ182" i="12"/>
  <c r="AW163" i="12"/>
  <c r="AT87" i="12"/>
  <c r="AW172" i="12"/>
  <c r="AW191" i="12"/>
  <c r="AZ41" i="12"/>
  <c r="AT18" i="12"/>
  <c r="AZ96" i="12"/>
  <c r="AZ14" i="12"/>
  <c r="AT15" i="12"/>
  <c r="AW166" i="12"/>
  <c r="AT143" i="12"/>
  <c r="AW54" i="12"/>
  <c r="AW181" i="12"/>
  <c r="AW22" i="12"/>
  <c r="AT91" i="12"/>
  <c r="AZ155" i="12"/>
  <c r="AT109" i="12"/>
  <c r="AZ192" i="12"/>
  <c r="AT120" i="12"/>
  <c r="AT126" i="12"/>
  <c r="AW41" i="12"/>
  <c r="AT60" i="12"/>
  <c r="AW167" i="12"/>
  <c r="AZ102" i="12"/>
  <c r="AZ187" i="12"/>
  <c r="AT190" i="12"/>
  <c r="AZ28" i="12"/>
  <c r="AT136" i="12"/>
  <c r="AZ129" i="12"/>
  <c r="AT57" i="12"/>
  <c r="AZ19" i="12"/>
  <c r="AW189" i="12"/>
  <c r="AT116" i="12"/>
  <c r="AT192" i="12"/>
  <c r="AW152" i="12"/>
  <c r="AZ43" i="12"/>
  <c r="AZ126" i="12"/>
  <c r="AZ65" i="12"/>
  <c r="AW51" i="12"/>
  <c r="AZ190" i="12"/>
  <c r="AT63" i="12"/>
  <c r="AW68" i="12"/>
  <c r="AW98" i="12"/>
  <c r="AZ91" i="12"/>
  <c r="AZ123" i="12"/>
  <c r="AZ25" i="12"/>
  <c r="AT179" i="12"/>
  <c r="AW28" i="12"/>
  <c r="AT22" i="12"/>
  <c r="AZ68" i="12"/>
  <c r="AW42" i="12"/>
  <c r="AW131" i="12"/>
  <c r="AT113" i="12"/>
  <c r="AW73" i="12"/>
  <c r="AT167" i="12"/>
  <c r="AZ67" i="12"/>
  <c r="AT47" i="12"/>
  <c r="AZ134" i="12"/>
  <c r="AW182" i="12"/>
  <c r="AT131" i="12"/>
  <c r="AT51" i="12"/>
  <c r="AW128" i="12"/>
  <c r="AW40" i="12"/>
  <c r="AW118" i="12"/>
  <c r="AW155" i="12"/>
  <c r="AZ175" i="12"/>
  <c r="AW160" i="12"/>
  <c r="AW124" i="12"/>
  <c r="AZ75" i="12"/>
  <c r="AW48" i="12"/>
  <c r="AW143" i="12"/>
  <c r="AZ90" i="12"/>
  <c r="AW184" i="12"/>
  <c r="AW147" i="12"/>
  <c r="AT108" i="12"/>
  <c r="AT79" i="12"/>
  <c r="AW106" i="12"/>
  <c r="AW15" i="12"/>
  <c r="AT107" i="12"/>
  <c r="AT100" i="12"/>
  <c r="AW78" i="12"/>
  <c r="AT168" i="12"/>
  <c r="AZ105" i="12"/>
  <c r="AT137" i="12"/>
  <c r="AZ92" i="12"/>
  <c r="AT54" i="12"/>
  <c r="AZ130" i="12"/>
  <c r="AT185" i="12"/>
  <c r="AW61" i="12"/>
  <c r="AW47" i="12"/>
  <c r="AZ47" i="12"/>
  <c r="AW179" i="12"/>
  <c r="AZ32" i="12"/>
  <c r="AW85" i="12"/>
  <c r="AW55" i="12"/>
  <c r="AT77" i="12"/>
  <c r="AZ58" i="12"/>
  <c r="AZ159" i="12"/>
  <c r="AT46" i="12"/>
  <c r="AW150" i="12"/>
  <c r="AW23" i="12"/>
  <c r="AT111" i="12"/>
  <c r="AW123" i="12"/>
  <c r="AT127" i="12"/>
  <c r="AT147" i="12"/>
  <c r="AW66" i="12"/>
  <c r="AT75" i="12"/>
  <c r="AW35" i="12"/>
  <c r="AT159" i="12"/>
  <c r="AZ164" i="12"/>
  <c r="AW136" i="12"/>
  <c r="AT103" i="12"/>
  <c r="AZ124" i="12"/>
  <c r="AZ165" i="12"/>
  <c r="AZ150" i="12"/>
  <c r="AW151" i="12"/>
  <c r="AW168" i="12"/>
  <c r="AT36" i="12"/>
  <c r="AZ52" i="12"/>
  <c r="AW58" i="12"/>
  <c r="AZ79" i="12"/>
  <c r="AW92" i="12"/>
  <c r="AT43" i="12"/>
  <c r="AZ111" i="12"/>
  <c r="AZ162" i="12"/>
  <c r="AW190" i="12"/>
  <c r="AT114" i="12"/>
  <c r="AZ76" i="12"/>
  <c r="AZ59" i="12"/>
  <c r="AT58" i="12"/>
  <c r="AZ83" i="12"/>
  <c r="AT128" i="12"/>
  <c r="AT32" i="12"/>
  <c r="AW21" i="12"/>
  <c r="AZ110" i="12"/>
  <c r="AW156" i="12"/>
  <c r="AZ34" i="12"/>
  <c r="AZ85" i="12"/>
  <c r="AT33" i="12"/>
  <c r="AT85" i="12"/>
  <c r="AT23" i="12"/>
  <c r="AT88" i="12"/>
  <c r="AW169" i="12"/>
  <c r="AW141" i="12"/>
  <c r="AT129" i="12"/>
  <c r="AZ167" i="12"/>
  <c r="AT76" i="12"/>
  <c r="AW33" i="12"/>
  <c r="AZ189" i="12"/>
  <c r="AW20" i="12"/>
  <c r="AZ170" i="12"/>
  <c r="AZ118" i="12"/>
  <c r="AT177" i="12"/>
  <c r="AZ54" i="12"/>
  <c r="AZ60" i="12"/>
  <c r="AZ107" i="12"/>
  <c r="AW164" i="12"/>
  <c r="AT16" i="12"/>
  <c r="AZ180" i="12"/>
  <c r="AT124" i="12"/>
  <c r="AT17" i="12"/>
  <c r="AZ178" i="12"/>
  <c r="AZ77" i="12"/>
  <c r="AW25" i="12"/>
  <c r="AZ121" i="12"/>
  <c r="AT50" i="12"/>
  <c r="AT133" i="12"/>
  <c r="AW180" i="12"/>
  <c r="AT130" i="12"/>
  <c r="AT28" i="12"/>
  <c r="AW140" i="12"/>
  <c r="AT81" i="12"/>
  <c r="AW45" i="12"/>
  <c r="AZ29" i="12"/>
  <c r="AT144" i="12"/>
  <c r="AW119" i="12"/>
  <c r="AW96" i="12"/>
  <c r="AZ30" i="12"/>
  <c r="AT14" i="12"/>
  <c r="AT193" i="12"/>
  <c r="AW159" i="12"/>
  <c r="AZ89" i="12"/>
  <c r="AZ185" i="12"/>
  <c r="AW130" i="12"/>
  <c r="AZ186" i="12"/>
  <c r="AZ177" i="12"/>
  <c r="AW154" i="12"/>
  <c r="AZ84" i="12"/>
  <c r="AT52" i="12"/>
  <c r="AT49" i="12"/>
  <c r="AZ74" i="12"/>
  <c r="AZ80" i="12"/>
  <c r="AT97" i="12"/>
  <c r="AT139" i="12"/>
  <c r="AW161" i="12"/>
  <c r="AZ55" i="12"/>
  <c r="AZ158" i="12"/>
  <c r="AT157" i="12"/>
  <c r="AT19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<sst xmlns="http://schemas.openxmlformats.org/spreadsheetml/2006/main" count="868" uniqueCount="262">
  <si>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</si>
  <si>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</si>
  <si>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</si>
  <si>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</si>
  <si>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</si>
  <si>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</si>
  <si>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</si>
  <si>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</si>
  <si>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</si>
  <si>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</si>
  <si>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</si>
  <si>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</si>
  <si>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</si>
  <si>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</si>
  <si>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</si>
  <si>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</si>
  <si>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</si>
  <si>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</si>
  <si>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</si>
  <si>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</si>
  <si>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</si>
  <si>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</si>
  <si>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</si>
  <si>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</si>
  <si>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</si>
  <si>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</si>
  <si>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</si>
  <si>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</si>
  <si>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</si>
  <si>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</si>
  <si>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</si>
  <si>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</si>
  <si>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</si>
  <si>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</si>
  <si>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</si>
  <si>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</si>
  <si>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</si>
  <si>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</si>
  <si>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</si>
  <si>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</si>
  <si>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</si>
  <si>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</si>
  <si>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</si>
  <si>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</si>
  <si>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</si>
  <si>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</si>
  <si>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</si>
  <si>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</si>
  <si>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</si>
  <si>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</si>
  <si>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</si>
  <si>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</si>
  <si>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</si>
  <si>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</si>
  <si>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</si>
  <si>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</si>
  <si>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</si>
  <si>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</si>
  <si>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</si>
  <si>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</si>
  <si>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</si>
  <si>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</si>
  <si>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</si>
  <si>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</si>
  <si>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</si>
  <si>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</si>
  <si>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</si>
  <si>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</si>
  <si>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</si>
  <si>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</si>
  <si>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</si>
  <si>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</si>
  <si>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</si>
  <si>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</si>
  <si>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</si>
  <si>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</si>
  <si>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</si>
  <si>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</si>
  <si>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</si>
  <si>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</si>
  <si>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</si>
  <si>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</si>
  <si>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</si>
  <si>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</si>
  <si>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</si>
  <si>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</si>
  <si>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</si>
  <si>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</si>
  <si>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</si>
  <si>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</si>
  <si>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</si>
  <si>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</si>
  <si>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</si>
  <si>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</si>
  <si>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</si>
  <si>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</si>
  <si>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</si>
  <si>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</si>
  <si>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</si>
  <si>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</si>
  <si>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</si>
  <si>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</si>
  <si>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</si>
  <si>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</si>
  <si>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</si>
  <si>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</si>
  <si>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</si>
  <si>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</si>
  <si>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</si>
  <si>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</si>
  <si>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</si>
  <si>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</si>
  <si>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</si>
  <si>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</si>
  <si>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</si>
  <si>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</si>
  <si>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</si>
  <si>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</si>
  <si>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</si>
  <si>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</si>
  <si>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</si>
  <si>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</si>
  <si>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</si>
  <si>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</si>
  <si>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</si>
  <si>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</si>
  <si>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</si>
  <si>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</si>
  <si>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</si>
  <si>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</si>
  <si>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</si>
  <si>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</si>
  <si>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</si>
  <si>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</si>
  <si>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</si>
  <si>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</si>
  <si>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</si>
  <si>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</si>
  <si>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</si>
  <si>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</si>
  <si>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</si>
  <si>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</si>
  <si>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</si>
  <si>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</si>
  <si>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</si>
  <si>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</si>
  <si>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</si>
  <si>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</si>
  <si>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</si>
  <si>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</si>
  <si>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</si>
  <si>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</si>
  <si>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</si>
  <si>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</si>
  <si>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</si>
  <si>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</si>
  <si>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</si>
  <si>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</si>
  <si>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</si>
  <si>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</si>
  <si>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</si>
  <si>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</si>
  <si>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</si>
  <si>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</si>
  <si>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</si>
  <si>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</si>
  <si>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</si>
  <si>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</si>
  <si>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</si>
  <si>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</si>
  <si>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</si>
  <si>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</si>
  <si>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</si>
  <si>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</si>
  <si>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</si>
  <si>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</si>
  <si>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</si>
  <si>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</si>
  <si>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</si>
  <si>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</si>
  <si>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</si>
  <si>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</si>
  <si>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</si>
  <si>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</si>
  <si>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</si>
  <si>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</si>
  <si>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</si>
  <si>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</si>
  <si>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</si>
  <si>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</si>
  <si>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</si>
  <si>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</si>
  <si>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</si>
  <si>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</si>
  <si>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</si>
  <si>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</si>
  <si>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</si>
  <si>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</si>
  <si>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</si>
  <si>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</si>
  <si>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</si>
  <si>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</si>
  <si>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</si>
  <si>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</si>
  <si>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</si>
  <si>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</si>
  <si>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</si>
  <si>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</si>
  <si>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</si>
  <si>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</si>
  <si>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</si>
  <si>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</si>
  <si>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</si>
  <si>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</si>
  <si>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</si>
  <si>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</si>
  <si>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</si>
  <si>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</si>
  <si>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</si>
  <si>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</si>
  <si>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</si>
  <si>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</si>
  <si>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</si>
  <si>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</si>
  <si>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</si>
  <si>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</si>
  <si>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</si>
  <si>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</si>
  <si>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</si>
  <si>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</si>
  <si>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</si>
  <si>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</si>
  <si>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</si>
  <si>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</si>
  <si>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</si>
  <si>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</si>
  <si>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</si>
  <si>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</si>
  <si>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</si>
  <si>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</si>
  <si>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</si>
  <si>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</si>
  <si>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</si>
  <si>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</si>
  <si>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</si>
  <si>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</si>
  <si>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</si>
  <si>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</si>
  <si>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</si>
  <si>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</si>
  <si>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</si>
  <si>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</si>
  <si>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</si>
  <si>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Glyph initializations</t>
  </si>
  <si>
    <t>EMPTY</t>
  </si>
  <si>
    <t>Mirror X</t>
  </si>
  <si>
    <t>Mirror Y</t>
  </si>
  <si>
    <t>Connection::</t>
  </si>
  <si>
    <t>Enum Class name</t>
  </si>
  <si>
    <t>SA_ROT</t>
  </si>
  <si>
    <t>SA_MIRX</t>
  </si>
  <si>
    <t>SA_MIRY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</si>
</sst>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3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/>
    <xf numFmtId="0" fontId="0" fillId="0" borderId="13" xfId="0" applyBorder="1"/>
    <xf numFmtId="0" fontId="0" fillId="0" borderId="18" xfId="0" applyBorder="1"/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15" xfId="0" applyBorder="1"/>
    <xf numFmtId="0" fontId="0" fillId="0" borderId="1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49" fontId="0" fillId="0" borderId="19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20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0" fillId="0" borderId="21" xfId="0" applyNumberFormat="1" applyBorder="1"/>
    <xf numFmtId="0" fontId="1" fillId="0" borderId="22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4" borderId="0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4" borderId="4" xfId="0" quotePrefix="1" applyFont="1" applyFill="1" applyBorder="1" applyAlignment="1">
      <alignment horizontal="left" vertical="center"/>
    </xf>
    <xf numFmtId="0" fontId="6" fillId="4" borderId="0" xfId="0" quotePrefix="1" applyFont="1" applyFill="1" applyAlignment="1">
      <alignment horizontal="left" vertical="center" wrapText="1"/>
    </xf>
    <xf numFmtId="0" fontId="6" fillId="4" borderId="0" xfId="0" applyFont="1" applyFill="1" applyAlignment="1">
      <alignment horizontal="left" vertical="center" wrapText="1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1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R206"/>
  <sheetViews>
    <sheetView tabSelected="1" topLeftCell="U1" zoomScaleNormal="100" workbookViewId="0">
      <pane ySplit="1" topLeftCell="A11" activePane="bottomLeft" state="frozen"/>
      <selection pane="bottomLeft" activeCell="Z12" sqref="Z12:AE85"/>
    </sheetView>
  </sheetViews>
  <sheetFormatPr defaultRowHeight="31.5" x14ac:dyDescent="0.4"/>
  <cols>
    <col min="1" max="1" width="7.5703125" style="46" bestFit="1" customWidth="1"/>
    <col min="2" max="2" width="10" style="11" customWidth="1"/>
    <col min="3" max="3" width="9" style="72" customWidth="1"/>
    <col min="4" max="4" width="10" style="64" customWidth="1"/>
    <col min="5" max="5" width="10" style="71" customWidth="1"/>
    <col min="6" max="6" width="10" style="64" customWidth="1"/>
    <col min="7" max="7" width="10" style="71" customWidth="1"/>
    <col min="8" max="8" width="10" style="64" customWidth="1"/>
    <col min="9" max="9" width="10" style="75" customWidth="1"/>
    <col min="10" max="10" width="10" style="10" customWidth="1"/>
    <col min="11" max="11" width="13.85546875" style="67" customWidth="1"/>
    <col min="12" max="12" width="11.85546875" style="41" hidden="1" customWidth="1"/>
    <col min="13" max="13" width="11.85546875" style="43" customWidth="1"/>
    <col min="14" max="14" width="10" style="10" customWidth="1"/>
    <col min="15" max="15" width="16.42578125" style="44" bestFit="1" customWidth="1"/>
    <col min="16" max="16" width="9.140625" style="45" customWidth="1"/>
    <col min="17" max="17" width="13.7109375" style="41" bestFit="1" customWidth="1"/>
    <col min="18" max="18" width="14" style="47" bestFit="1" customWidth="1"/>
    <col min="19" max="19" width="14.42578125" style="47" bestFit="1" customWidth="1"/>
    <col min="20" max="20" width="14.42578125" style="44" bestFit="1" customWidth="1"/>
    <col min="22" max="22" width="12.42578125" bestFit="1" customWidth="1"/>
    <col min="23" max="24" width="13.5703125" bestFit="1" customWidth="1"/>
    <col min="26" max="26" width="16.140625" bestFit="1" customWidth="1"/>
    <col min="27" max="27" width="30.42578125" bestFit="1" customWidth="1"/>
    <col min="28" max="31" width="28.28515625" customWidth="1"/>
    <col min="33" max="33" width="13.140625" style="41" customWidth="1"/>
    <col min="34" max="43" width="13.140625" style="47" customWidth="1"/>
    <col min="44" max="44" width="13.140625" style="44" customWidth="1"/>
  </cols>
  <sheetData>
    <row r="1" spans="1:44" ht="17.25" thickBot="1" x14ac:dyDescent="0.3">
      <c r="A1" s="59" t="s">
        <v>245</v>
      </c>
      <c r="B1" s="12" t="s">
        <v>160</v>
      </c>
      <c r="C1" s="73" t="s">
        <v>252</v>
      </c>
      <c r="D1" s="68" t="s">
        <v>178</v>
      </c>
      <c r="E1" s="73" t="s">
        <v>252</v>
      </c>
      <c r="F1" s="68" t="s">
        <v>255</v>
      </c>
      <c r="G1" s="73" t="s">
        <v>252</v>
      </c>
      <c r="H1" s="68" t="s">
        <v>256</v>
      </c>
      <c r="I1" s="74" t="s">
        <v>252</v>
      </c>
      <c r="J1" s="4"/>
      <c r="K1" s="65"/>
      <c r="L1" s="39" t="s">
        <v>199</v>
      </c>
      <c r="M1" s="40" t="s">
        <v>206</v>
      </c>
      <c r="N1" s="4" t="s">
        <v>160</v>
      </c>
      <c r="O1" s="5" t="s">
        <v>197</v>
      </c>
      <c r="Q1" s="2" t="s">
        <v>248</v>
      </c>
      <c r="R1" s="3" t="s">
        <v>249</v>
      </c>
      <c r="S1" s="3" t="s">
        <v>250</v>
      </c>
      <c r="T1" s="52" t="s">
        <v>251</v>
      </c>
      <c r="V1" s="76" t="s">
        <v>259</v>
      </c>
      <c r="W1" s="76" t="s">
        <v>260</v>
      </c>
      <c r="X1" s="76" t="s">
        <v>261</v>
      </c>
      <c r="AC1" t="s">
        <v>258</v>
      </c>
      <c r="AG1" s="77" t="s">
        <v>253</v>
      </c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9"/>
    </row>
    <row r="2" spans="1:44" x14ac:dyDescent="0.4">
      <c r="A2" s="7" t="s">
        <v>198</v>
      </c>
      <c r="B2" s="6" t="str">
        <f t="shared" ref="B2:B65" si="0">A2</f>
        <v xml:space="preserve"> </v>
      </c>
      <c r="C2" s="71" cm="1">
        <f t="array" ref="C2">IF($M2&lt;&gt;"",INDEX($M:$M,MATCH(TRUE,EXACT(B2,$A:$A),0)),"")</f>
        <v>0</v>
      </c>
      <c r="D2" s="60" t="s">
        <v>198</v>
      </c>
      <c r="E2" s="71" cm="1">
        <f t="array" ref="E2">IF($M2&lt;&gt;"",INDEX($M:$M,MATCH(TRUE,EXACT(D2,$A:$A),0)),"")</f>
        <v>0</v>
      </c>
      <c r="F2" s="60" t="s">
        <v>198</v>
      </c>
      <c r="G2" s="71" cm="1">
        <f t="array" ref="G2">IF($M2&lt;&gt;"",INDEX($M:$M,MATCH(TRUE,EXACT(F2,$A:$A),0)),"")</f>
        <v>0</v>
      </c>
      <c r="H2" s="60" t="s">
        <v>198</v>
      </c>
      <c r="I2" s="75" cm="1">
        <f t="array" ref="I2">IF($M2&lt;&gt;"",INDEX($M:$M,MATCH(TRUE,EXACT(H2,$A:$A),0)),"")</f>
        <v>0</v>
      </c>
      <c r="J2" s="7"/>
      <c r="K2" s="66"/>
      <c r="L2" s="41" t="b">
        <f t="shared" ref="L2:L65" si="1">AND(B2&lt;&gt;"", AND(D2&lt;&gt;"", AND(H2&lt;&gt;"", F2&lt;&gt;"")))</f>
        <v>1</v>
      </c>
      <c r="M2" s="42">
        <v>0</v>
      </c>
      <c r="N2" s="46" t="str">
        <f t="shared" ref="N2:N65" si="2">A2</f>
        <v xml:space="preserve"> </v>
      </c>
      <c r="O2" s="8" t="str" cm="1">
        <f t="array" ref="O2">CharToUTF8(A2)</f>
        <v>\x20</v>
      </c>
      <c r="Q2" s="41" t="str">
        <f>$Z$2</f>
        <v>EMPTY</v>
      </c>
      <c r="R2" s="47" t="str">
        <f>$Z$2</f>
        <v>EMPTY</v>
      </c>
      <c r="S2" s="47" t="str">
        <f>$Z$2</f>
        <v>EMPTY</v>
      </c>
      <c r="T2" s="44" t="str">
        <f>$Z$2</f>
        <v>EMPTY</v>
      </c>
      <c r="V2" s="54" t="b">
        <f>IF($L2,C2=E2,"")</f>
        <v>1</v>
      </c>
      <c r="W2" t="b">
        <f>IF($L2,C2=G2,"")</f>
        <v>1</v>
      </c>
      <c r="X2" t="b">
        <f>IF($L2,C2=I2,"")</f>
        <v>1</v>
      </c>
      <c r="Z2" s="48" t="s">
        <v>254</v>
      </c>
      <c r="AA2" s="49" t="s">
        <v>173</v>
      </c>
      <c r="AC2" s="54" t="s">
        <v>257</v>
      </c>
      <c r="AG2" s="82" t="str">
        <f>IF($L2,"    { " &amp; _xlfn.TEXTJOIN(", ", TRUE, $C2,$E2,$G2,$I2) &amp; ", wxString::FromUTF8(""" &amp; $O2 &amp; """), " &amp; $AC$2 &amp; _xlfn.TEXTJOIN(", " &amp; $AC$2, TRUE, $Q2:$T2) &amp; " }", "")</f>
        <v xml:space="preserve">    { 0, 0, 0, 0, wxString::FromUTF8("\x20"), Connection::EMPTY, Connection::EMPTY, Connection::EMPTY, Connection::EMPTY }</v>
      </c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1"/>
    </row>
    <row r="3" spans="1:44" x14ac:dyDescent="0.4">
      <c r="A3" s="7" t="s">
        <v>52</v>
      </c>
      <c r="B3" s="6" t="str">
        <f t="shared" si="0"/>
        <v>!</v>
      </c>
      <c r="C3" s="71" cm="1">
        <f t="array" ref="C3">IF($M3&lt;&gt;"",INDEX($M:$M,MATCH(TRUE,EXACT(B3,$A:$A),0)),"")</f>
        <v>1</v>
      </c>
      <c r="D3" s="61" t="s">
        <v>62</v>
      </c>
      <c r="E3" s="71" cm="1">
        <f t="array" ref="E3">IF($M3&lt;&gt;"",INDEX($M:$M,MATCH(TRUE,EXACT(D3,$A:$A),0)),"")</f>
        <v>94</v>
      </c>
      <c r="F3" s="61" t="s">
        <v>52</v>
      </c>
      <c r="G3" s="71" cm="1">
        <f t="array" ref="G3">IF($M3&lt;&gt;"",INDEX($M:$M,MATCH(TRUE,EXACT(F3,$A:$A),0)),"")</f>
        <v>1</v>
      </c>
      <c r="H3" s="61" t="s">
        <v>52</v>
      </c>
      <c r="I3" s="75" cm="1">
        <f t="array" ref="I3">IF($M3&lt;&gt;"",INDEX($M:$M,MATCH(TRUE,EXACT(H3,$A:$A),0)),"")</f>
        <v>1</v>
      </c>
      <c r="J3" s="46"/>
      <c r="K3" s="56"/>
      <c r="L3" s="41" t="b">
        <f t="shared" si="1"/>
        <v>1</v>
      </c>
      <c r="M3" s="42">
        <f>IF(L3, MAX(M$2:M2)+1,"")</f>
        <v>1</v>
      </c>
      <c r="N3" s="46" t="str">
        <f t="shared" si="2"/>
        <v>!</v>
      </c>
      <c r="O3" s="8" t="str" cm="1">
        <f t="array" ref="O3">CharToUTF8(A3)</f>
        <v>\x21</v>
      </c>
      <c r="Q3" s="41" t="str">
        <f>$Z$2</f>
        <v>EMPTY</v>
      </c>
      <c r="R3" s="47" t="str">
        <f>$Z$2</f>
        <v>EMPTY</v>
      </c>
      <c r="S3" s="47" t="str">
        <f t="shared" ref="S3:T5" si="3">$Z$4</f>
        <v>ORTHO_BOTH</v>
      </c>
      <c r="T3" s="44" t="str">
        <f t="shared" si="3"/>
        <v>ORTHO_BOTH</v>
      </c>
      <c r="V3" s="54" t="b">
        <f t="shared" ref="V3:V66" si="4">IF($L3,C3=E3,"")</f>
        <v>0</v>
      </c>
      <c r="W3" t="b">
        <f t="shared" ref="W3:W66" si="5">IF($L3,C3=G3,"")</f>
        <v>1</v>
      </c>
      <c r="X3" t="b">
        <f t="shared" ref="X3:X66" si="6">IF($L3,C3=I3,"")</f>
        <v>1</v>
      </c>
      <c r="Z3" s="41" t="s">
        <v>217</v>
      </c>
      <c r="AA3" s="44" t="s">
        <v>174</v>
      </c>
      <c r="AG3" s="82" t="str">
        <f t="shared" ref="AG3:AG66" si="7">IF($L3,"    { " &amp; _xlfn.TEXTJOIN(", ", TRUE, $C3,$E3,$G3,$I3) &amp; ", wxString::FromUTF8(""" &amp; $O3 &amp; """), " &amp; $AC$2 &amp; _xlfn.TEXTJOIN(", " &amp; $AC$2, TRUE, $Q3:$T3) &amp; " }", "")</f>
        <v xml:space="preserve">    { 1, 94, 1, 1, wxString::FromUTF8("\x21"), Connection::EMPTY, Connection::EMPTY, Connection::ORTHO_BOTH, Connection::ORTHO_BOTH }</v>
      </c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1"/>
    </row>
    <row r="4" spans="1:44" x14ac:dyDescent="0.4">
      <c r="A4" s="7" t="s">
        <v>63</v>
      </c>
      <c r="B4" s="6" t="str">
        <f t="shared" si="0"/>
        <v>"</v>
      </c>
      <c r="C4" s="71" cm="1">
        <f t="array" ref="C4">IF($M4&lt;&gt;"",INDEX($M:$M,MATCH(TRUE,EXACT(B4,$A:$A),0)),"")</f>
        <v>2</v>
      </c>
      <c r="D4" s="61" t="s">
        <v>63</v>
      </c>
      <c r="E4" s="71" cm="1">
        <f t="array" ref="E4">IF($M4&lt;&gt;"",INDEX($M:$M,MATCH(TRUE,EXACT(D4,$A:$A),0)),"")</f>
        <v>2</v>
      </c>
      <c r="F4" s="61" t="s">
        <v>63</v>
      </c>
      <c r="G4" s="71" cm="1">
        <f t="array" ref="G4">IF($M4&lt;&gt;"",INDEX($M:$M,MATCH(TRUE,EXACT(F4,$A:$A),0)),"")</f>
        <v>2</v>
      </c>
      <c r="H4" s="61" t="s">
        <v>63</v>
      </c>
      <c r="I4" s="75" cm="1">
        <f t="array" ref="I4">IF($M4&lt;&gt;"",INDEX($M:$M,MATCH(TRUE,EXACT(H4,$A:$A),0)),"")</f>
        <v>2</v>
      </c>
      <c r="J4" s="46"/>
      <c r="K4" s="56"/>
      <c r="L4" s="41" t="b">
        <f t="shared" si="1"/>
        <v>1</v>
      </c>
      <c r="M4" s="42">
        <f>IF(L4, MAX(M$2:M3)+1,"")</f>
        <v>2</v>
      </c>
      <c r="N4" s="46" t="str">
        <f t="shared" si="2"/>
        <v>"</v>
      </c>
      <c r="O4" s="8" t="str" cm="1">
        <f t="array" ref="O4">CharToUTF8(A4)</f>
        <v>\x22</v>
      </c>
      <c r="Q4" s="41" t="str">
        <f>$Z$4</f>
        <v>ORTHO_BOTH</v>
      </c>
      <c r="R4" s="47" t="str">
        <f>$Z$4</f>
        <v>ORTHO_BOTH</v>
      </c>
      <c r="S4" s="47" t="str">
        <f t="shared" si="3"/>
        <v>ORTHO_BOTH</v>
      </c>
      <c r="T4" s="44" t="str">
        <f t="shared" si="3"/>
        <v>ORTHO_BOTH</v>
      </c>
      <c r="V4" s="54" t="b">
        <f t="shared" si="4"/>
        <v>1</v>
      </c>
      <c r="W4" t="b">
        <f t="shared" si="5"/>
        <v>1</v>
      </c>
      <c r="X4" t="b">
        <f t="shared" si="6"/>
        <v>1</v>
      </c>
      <c r="Z4" s="41" t="s">
        <v>218</v>
      </c>
      <c r="AA4" s="44" t="s">
        <v>175</v>
      </c>
      <c r="AG4" s="82" t="str">
        <f t="shared" si="7"/>
        <v xml:space="preserve">    { 2, 2, 2, 2, wxString::FromUTF8("\x22"), Connection::ORTHO_BOTH, Connection::ORTHO_BOTH, Connection::ORTHO_BOTH, Connection::ORTHO_BOTH }</v>
      </c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1"/>
    </row>
    <row r="5" spans="1:44" ht="33" customHeight="1" x14ac:dyDescent="0.4">
      <c r="A5" s="7" t="s">
        <v>54</v>
      </c>
      <c r="B5" s="6" t="str">
        <f t="shared" si="0"/>
        <v>#</v>
      </c>
      <c r="C5" s="71" cm="1">
        <f t="array" ref="C5">IF($M5&lt;&gt;"",INDEX($M:$M,MATCH(TRUE,EXACT(B5,$A:$A),0)),"")</f>
        <v>3</v>
      </c>
      <c r="D5" s="61" t="s">
        <v>53</v>
      </c>
      <c r="E5" s="71" cm="1">
        <f t="array" ref="E5">IF($M5&lt;&gt;"",INDEX($M:$M,MATCH(TRUE,EXACT(D5,$A:$A),0)),"")</f>
        <v>32</v>
      </c>
      <c r="F5" s="61" t="s">
        <v>54</v>
      </c>
      <c r="G5" s="71" cm="1">
        <f t="array" ref="G5">IF($M5&lt;&gt;"",INDEX($M:$M,MATCH(TRUE,EXACT(F5,$A:$A),0)),"")</f>
        <v>3</v>
      </c>
      <c r="H5" s="61" t="s">
        <v>54</v>
      </c>
      <c r="I5" s="75" cm="1">
        <f t="array" ref="I5">IF($M5&lt;&gt;"",INDEX($M:$M,MATCH(TRUE,EXACT(H5,$A:$A),0)),"")</f>
        <v>3</v>
      </c>
      <c r="J5" s="46"/>
      <c r="K5" s="56"/>
      <c r="L5" s="41" t="b">
        <f t="shared" si="1"/>
        <v>1</v>
      </c>
      <c r="M5" s="42">
        <f>IF(L5, MAX(M$2:M4)+1,"")</f>
        <v>3</v>
      </c>
      <c r="N5" s="46" t="str">
        <f t="shared" si="2"/>
        <v>#</v>
      </c>
      <c r="O5" s="8" t="str" cm="1">
        <f t="array" ref="O5">CharToUTF8(A5)</f>
        <v>\x23</v>
      </c>
      <c r="Q5" s="41" t="str">
        <f>$Z$2</f>
        <v>EMPTY</v>
      </c>
      <c r="R5" s="47" t="str">
        <f>$Z$2</f>
        <v>EMPTY</v>
      </c>
      <c r="S5" s="47" t="str">
        <f t="shared" si="3"/>
        <v>ORTHO_BOTH</v>
      </c>
      <c r="T5" s="44" t="str">
        <f t="shared" si="3"/>
        <v>ORTHO_BOTH</v>
      </c>
      <c r="V5" s="54" t="b">
        <f t="shared" si="4"/>
        <v>0</v>
      </c>
      <c r="W5" t="b">
        <f t="shared" si="5"/>
        <v>1</v>
      </c>
      <c r="X5" t="b">
        <f t="shared" si="6"/>
        <v>1</v>
      </c>
      <c r="Z5" s="41" t="s">
        <v>219</v>
      </c>
      <c r="AA5" s="44" t="s">
        <v>176</v>
      </c>
      <c r="AG5" s="82" t="str">
        <f t="shared" si="7"/>
        <v xml:space="preserve">    { 3, 32, 3, 3, wxString::FromUTF8("\x23"), Connection::EMPTY, Connection::EMPTY, Connection::ORTHO_BOTH, Connection::ORTHO_BOTH }</v>
      </c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1"/>
    </row>
    <row r="6" spans="1:44" x14ac:dyDescent="0.4">
      <c r="A6" s="7" t="s">
        <v>55</v>
      </c>
      <c r="B6" s="6" t="str">
        <f t="shared" si="0"/>
        <v>$</v>
      </c>
      <c r="C6" s="71" cm="1">
        <f t="array" ref="C6">IF($M6&lt;&gt;"",INDEX($M:$M,MATCH(TRUE,EXACT(B6,$A:$A),0)),"")</f>
        <v>4</v>
      </c>
      <c r="D6" s="61" t="s">
        <v>48</v>
      </c>
      <c r="E6" s="71" cm="1">
        <f t="array" ref="E6">IF($M6&lt;&gt;"",INDEX($M:$M,MATCH(TRUE,EXACT(D6,$A:$A),0)),"")</f>
        <v>54</v>
      </c>
      <c r="F6" s="61" t="s">
        <v>29</v>
      </c>
      <c r="G6" s="71" cm="1">
        <f t="array" ref="G6">IF($M6&lt;&gt;"",INDEX($M:$M,MATCH(TRUE,EXACT(F6,$A:$A),0)),"")</f>
        <v>50</v>
      </c>
      <c r="H6" s="61" t="s">
        <v>55</v>
      </c>
      <c r="I6" s="75" cm="1">
        <f t="array" ref="I6">IF($M6&lt;&gt;"",INDEX($M:$M,MATCH(TRUE,EXACT(H6,$A:$A),0)),"")</f>
        <v>4</v>
      </c>
      <c r="J6" s="46"/>
      <c r="K6" s="56"/>
      <c r="L6" s="41" t="b">
        <f t="shared" si="1"/>
        <v>1</v>
      </c>
      <c r="M6" s="42">
        <f>IF(L6, MAX(M$2:M5)+1,"")</f>
        <v>4</v>
      </c>
      <c r="N6" s="46" t="str">
        <f t="shared" si="2"/>
        <v>$</v>
      </c>
      <c r="O6" s="8" t="str" cm="1">
        <f t="array" ref="O6">CharToUTF8(A6)</f>
        <v>\x24</v>
      </c>
      <c r="Q6" s="41" t="str">
        <f>$Z$2</f>
        <v>EMPTY</v>
      </c>
      <c r="R6" s="47" t="str">
        <f>$Z$4</f>
        <v>ORTHO_BOTH</v>
      </c>
      <c r="S6" s="47" t="str">
        <f>$Z$2</f>
        <v>EMPTY</v>
      </c>
      <c r="T6" s="44" t="str">
        <f>$Z$2</f>
        <v>EMPTY</v>
      </c>
      <c r="V6" s="54" t="b">
        <f t="shared" si="4"/>
        <v>0</v>
      </c>
      <c r="W6" t="b">
        <f t="shared" si="5"/>
        <v>0</v>
      </c>
      <c r="X6" t="b">
        <f t="shared" si="6"/>
        <v>1</v>
      </c>
      <c r="Z6" s="41" t="s">
        <v>220</v>
      </c>
      <c r="AA6" s="44" t="s">
        <v>177</v>
      </c>
      <c r="AG6" s="82" t="str">
        <f t="shared" si="7"/>
        <v xml:space="preserve">    { 4, 54, 50, 4, wxString::FromUTF8("\x24"), Connection::EMPTY, Connection::ORTHO_BOTH, Connection::EMPTY, Connection::EMPTY }</v>
      </c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1"/>
    </row>
    <row r="7" spans="1:44" x14ac:dyDescent="0.4">
      <c r="A7" s="7" t="s">
        <v>56</v>
      </c>
      <c r="B7" s="6" t="str">
        <f t="shared" si="0"/>
        <v>%</v>
      </c>
      <c r="C7" s="71" cm="1">
        <f t="array" ref="C7">IF($M7&lt;&gt;"",INDEX($M:$M,MATCH(TRUE,EXACT(B7,$A:$A),0)),"")</f>
        <v>5</v>
      </c>
      <c r="D7" s="61" t="s">
        <v>41</v>
      </c>
      <c r="E7" s="71" cm="1">
        <f t="array" ref="E7">IF($M7&lt;&gt;"",INDEX($M:$M,MATCH(TRUE,EXACT(D7,$A:$A),0)),"")</f>
        <v>40</v>
      </c>
      <c r="F7" s="61" t="s">
        <v>30</v>
      </c>
      <c r="G7" s="71" cm="1">
        <f t="array" ref="G7">IF($M7&lt;&gt;"",INDEX($M:$M,MATCH(TRUE,EXACT(F7,$A:$A),0)),"")</f>
        <v>52</v>
      </c>
      <c r="H7" s="61" t="s">
        <v>56</v>
      </c>
      <c r="I7" s="75" cm="1">
        <f t="array" ref="I7">IF($M7&lt;&gt;"",INDEX($M:$M,MATCH(TRUE,EXACT(H7,$A:$A),0)),"")</f>
        <v>5</v>
      </c>
      <c r="J7" s="46"/>
      <c r="K7" s="56"/>
      <c r="L7" s="41" t="b">
        <f t="shared" si="1"/>
        <v>1</v>
      </c>
      <c r="M7" s="42">
        <f>IF(L7, MAX(M$2:M6)+1,"")</f>
        <v>5</v>
      </c>
      <c r="N7" s="46" t="str">
        <f t="shared" si="2"/>
        <v>%</v>
      </c>
      <c r="O7" s="8" t="str" cm="1">
        <f t="array" ref="O7">CharToUTF8(A7)</f>
        <v>\x25</v>
      </c>
      <c r="Q7" s="41" t="str">
        <f>$Z$2</f>
        <v>EMPTY</v>
      </c>
      <c r="R7" s="47" t="str">
        <f>$Z$3</f>
        <v>DIAG_BOTH</v>
      </c>
      <c r="S7" s="47" t="str">
        <f>$Z$4</f>
        <v>ORTHO_BOTH</v>
      </c>
      <c r="T7" s="44" t="str">
        <f>$Z$4</f>
        <v>ORTHO_BOTH</v>
      </c>
      <c r="V7" s="54" t="b">
        <f t="shared" si="4"/>
        <v>0</v>
      </c>
      <c r="W7" t="b">
        <f t="shared" si="5"/>
        <v>0</v>
      </c>
      <c r="X7" t="b">
        <f t="shared" si="6"/>
        <v>1</v>
      </c>
      <c r="Z7" s="41" t="s">
        <v>246</v>
      </c>
      <c r="AA7" s="44" t="s">
        <v>214</v>
      </c>
      <c r="AG7" s="82" t="str">
        <f t="shared" si="7"/>
        <v xml:space="preserve">    { 5, 40, 52, 5, wxString::FromUTF8("\x25"), Connection::EMPTY, Connection::DIAG_BOTH, Connection::ORTHO_BOTH, Connection::ORTHO_BOTH }</v>
      </c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1"/>
    </row>
    <row r="8" spans="1:44" x14ac:dyDescent="0.4">
      <c r="A8" s="7" t="s">
        <v>58</v>
      </c>
      <c r="B8" s="6" t="str">
        <f t="shared" si="0"/>
        <v>&amp;</v>
      </c>
      <c r="C8" s="71" cm="1">
        <f t="array" ref="C8">IF($M8&lt;&gt;"",INDEX($M:$M,MATCH(TRUE,EXACT(B8,$A:$A),0)),"")</f>
        <v>6</v>
      </c>
      <c r="D8" s="61" t="s">
        <v>43</v>
      </c>
      <c r="E8" s="71" cm="1">
        <f t="array" ref="E8">IF($M8&lt;&gt;"",INDEX($M:$M,MATCH(TRUE,EXACT(D8,$A:$A),0)),"")</f>
        <v>43</v>
      </c>
      <c r="F8" s="61" t="s">
        <v>32</v>
      </c>
      <c r="G8" s="71" cm="1">
        <f t="array" ref="G8">IF($M8&lt;&gt;"",INDEX($M:$M,MATCH(TRUE,EXACT(F8,$A:$A),0)),"")</f>
        <v>53</v>
      </c>
      <c r="H8" s="61" t="s">
        <v>59</v>
      </c>
      <c r="I8" s="75" cm="1">
        <f t="array" ref="I8">IF($M8&lt;&gt;"",INDEX($M:$M,MATCH(TRUE,EXACT(H8,$A:$A),0)),"")</f>
        <v>10</v>
      </c>
      <c r="J8" s="46"/>
      <c r="K8" s="56"/>
      <c r="L8" s="41" t="b">
        <f t="shared" si="1"/>
        <v>1</v>
      </c>
      <c r="M8" s="42">
        <f>IF(L8, MAX(M$2:M7)+1,"")</f>
        <v>6</v>
      </c>
      <c r="N8" s="46" t="str">
        <f t="shared" si="2"/>
        <v>&amp;</v>
      </c>
      <c r="O8" s="8" t="str" cm="1">
        <f t="array" ref="O8">CharToUTF8(A8)</f>
        <v>\x26</v>
      </c>
      <c r="Q8" s="41" t="str">
        <f>$Z$3</f>
        <v>DIAG_BOTH</v>
      </c>
      <c r="R8" s="47" t="str">
        <f>$Z$4</f>
        <v>ORTHO_BOTH</v>
      </c>
      <c r="S8" s="47" t="str">
        <f>$Z$2</f>
        <v>EMPTY</v>
      </c>
      <c r="T8" s="44" t="str">
        <f>$Z$4</f>
        <v>ORTHO_BOTH</v>
      </c>
      <c r="V8" s="54" t="b">
        <f t="shared" si="4"/>
        <v>0</v>
      </c>
      <c r="W8" t="b">
        <f t="shared" si="5"/>
        <v>0</v>
      </c>
      <c r="X8" t="b">
        <f t="shared" si="6"/>
        <v>0</v>
      </c>
      <c r="Z8" s="41" t="s">
        <v>247</v>
      </c>
      <c r="AA8" s="44" t="s">
        <v>215</v>
      </c>
      <c r="AG8" s="82" t="str">
        <f t="shared" si="7"/>
        <v xml:space="preserve">    { 6, 43, 53, 10, wxString::FromUTF8("\x26"), Connection::DIAG_BOTH, Connection::ORTHO_BOTH, Connection::EMPTY, Connection::ORTHO_BOTH }</v>
      </c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1"/>
    </row>
    <row r="9" spans="1:44" x14ac:dyDescent="0.4">
      <c r="A9" s="7" t="s">
        <v>78</v>
      </c>
      <c r="B9" s="9" t="str">
        <f t="shared" si="0"/>
        <v>'</v>
      </c>
      <c r="C9" s="71" cm="1">
        <f t="array" ref="C9">IF($M9&lt;&gt;"",INDEX($M:$M,MATCH(TRUE,EXACT(B9,$A:$A),0)),"")</f>
        <v>7</v>
      </c>
      <c r="D9" s="62" t="s">
        <v>78</v>
      </c>
      <c r="E9" s="71" cm="1">
        <f t="array" ref="E9">IF($M9&lt;&gt;"",INDEX($M:$M,MATCH(TRUE,EXACT(D9,$A:$A),0)),"")</f>
        <v>7</v>
      </c>
      <c r="F9" s="62" t="s">
        <v>78</v>
      </c>
      <c r="G9" s="71" cm="1">
        <f t="array" ref="G9">IF($M9&lt;&gt;"",INDEX($M:$M,MATCH(TRUE,EXACT(F9,$A:$A),0)),"")</f>
        <v>7</v>
      </c>
      <c r="H9" s="62" t="s">
        <v>78</v>
      </c>
      <c r="I9" s="75" cm="1">
        <f t="array" ref="I9">IF($M9&lt;&gt;"",INDEX($M:$M,MATCH(TRUE,EXACT(H9,$A:$A),0)),"")</f>
        <v>7</v>
      </c>
      <c r="J9" s="46"/>
      <c r="K9" s="56"/>
      <c r="L9" s="41" t="b">
        <f t="shared" si="1"/>
        <v>1</v>
      </c>
      <c r="M9" s="42">
        <f>IF(L9, MAX(M$2:M8)+1,"")</f>
        <v>7</v>
      </c>
      <c r="N9" s="46" t="str">
        <f t="shared" si="2"/>
        <v>'</v>
      </c>
      <c r="O9" s="8" t="str" cm="1">
        <f t="array" ref="O9">CharToUTF8(A9)</f>
        <v>\x27</v>
      </c>
      <c r="Q9" s="41" t="str">
        <f>$Z$3</f>
        <v>DIAG_BOTH</v>
      </c>
      <c r="R9" s="47" t="str">
        <f>$Z$3</f>
        <v>DIAG_BOTH</v>
      </c>
      <c r="S9" s="47" t="str">
        <f>$Z$3</f>
        <v>DIAG_BOTH</v>
      </c>
      <c r="T9" s="44" t="str">
        <f>$Z$3</f>
        <v>DIAG_BOTH</v>
      </c>
      <c r="V9" s="54" t="b">
        <f t="shared" si="4"/>
        <v>1</v>
      </c>
      <c r="W9" t="b">
        <f t="shared" si="5"/>
        <v>1</v>
      </c>
      <c r="X9" t="b">
        <f t="shared" si="6"/>
        <v>1</v>
      </c>
      <c r="Z9" s="41" t="s">
        <v>223</v>
      </c>
      <c r="AA9" s="44" t="s">
        <v>212</v>
      </c>
      <c r="AG9" s="82" t="str">
        <f t="shared" si="7"/>
        <v xml:space="preserve">    { 7, 7, 7, 7, wxString::FromUTF8("\x27"), Connection::DIAG_BOTH, Connection::DIAG_BOTH, Connection::DIAG_BOTH, Connection::DIAG_BOTH }</v>
      </c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1"/>
    </row>
    <row r="10" spans="1:44" ht="32.25" thickBot="1" x14ac:dyDescent="0.45">
      <c r="A10" s="7" t="s">
        <v>60</v>
      </c>
      <c r="B10" s="6" t="str">
        <f t="shared" si="0"/>
        <v>(</v>
      </c>
      <c r="C10" s="71" cm="1">
        <f t="array" ref="C10">IF($M10&lt;&gt;"",INDEX($M:$M,MATCH(TRUE,EXACT(B10,$A:$A),0)),"")</f>
        <v>8</v>
      </c>
      <c r="D10" s="61" t="s">
        <v>61</v>
      </c>
      <c r="E10" s="71" cm="1">
        <f t="array" ref="E10">IF($M10&lt;&gt;"",INDEX($M:$M,MATCH(TRUE,EXACT(D10,$A:$A),0)),"")</f>
        <v>9</v>
      </c>
      <c r="F10" s="61" t="s">
        <v>34</v>
      </c>
      <c r="G10" s="71" cm="1">
        <f t="array" ref="G10">IF($M10&lt;&gt;"",INDEX($M:$M,MATCH(TRUE,EXACT(F10,$A:$A),0)),"")</f>
        <v>47</v>
      </c>
      <c r="H10" s="61" t="s">
        <v>61</v>
      </c>
      <c r="I10" s="75" cm="1">
        <f t="array" ref="I10">IF($M10&lt;&gt;"",INDEX($M:$M,MATCH(TRUE,EXACT(H10,$A:$A),0)),"")</f>
        <v>9</v>
      </c>
      <c r="J10" s="46"/>
      <c r="K10" s="56"/>
      <c r="L10" s="41" t="b">
        <f t="shared" si="1"/>
        <v>1</v>
      </c>
      <c r="M10" s="42">
        <f>IF(L10, MAX(M$2:M9)+1,"")</f>
        <v>8</v>
      </c>
      <c r="N10" s="46" t="str">
        <f t="shared" si="2"/>
        <v>(</v>
      </c>
      <c r="O10" s="8" t="str" cm="1">
        <f t="array" ref="O10">CharToUTF8(A10)</f>
        <v>\x28</v>
      </c>
      <c r="Q10" s="41" t="str">
        <f>$Z$2</f>
        <v>EMPTY</v>
      </c>
      <c r="R10" s="47" t="str">
        <f>$Z$4</f>
        <v>ORTHO_BOTH</v>
      </c>
      <c r="S10" s="47" t="str">
        <f>$Z$2</f>
        <v>EMPTY</v>
      </c>
      <c r="T10" s="44" t="str">
        <f>$Z$4</f>
        <v>ORTHO_BOTH</v>
      </c>
      <c r="V10" s="54" t="b">
        <f t="shared" si="4"/>
        <v>0</v>
      </c>
      <c r="W10" t="b">
        <f t="shared" si="5"/>
        <v>0</v>
      </c>
      <c r="X10" t="b">
        <f t="shared" si="6"/>
        <v>0</v>
      </c>
      <c r="Z10" s="50" t="s">
        <v>224</v>
      </c>
      <c r="AA10" s="51" t="s">
        <v>213</v>
      </c>
      <c r="AG10" s="82" t="str">
        <f t="shared" si="7"/>
        <v xml:space="preserve">    { 8, 9, 47, 9, wxString::FromUTF8("\x28"), Connection::EMPTY, Connection::ORTHO_BOTH, Connection::EMPTY, Connection::ORTHO_BOTH }</v>
      </c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1"/>
    </row>
    <row r="11" spans="1:44" x14ac:dyDescent="0.4">
      <c r="A11" s="7" t="s">
        <v>61</v>
      </c>
      <c r="B11" s="6" t="str">
        <f t="shared" si="0"/>
        <v>)</v>
      </c>
      <c r="C11" s="71" cm="1">
        <f t="array" ref="C11">IF($M11&lt;&gt;"",INDEX($M:$M,MATCH(TRUE,EXACT(B11,$A:$A),0)),"")</f>
        <v>9</v>
      </c>
      <c r="D11" s="61" t="s">
        <v>35</v>
      </c>
      <c r="E11" s="71" cm="1">
        <f t="array" ref="E11">IF($M11&lt;&gt;"",INDEX($M:$M,MATCH(TRUE,EXACT(D11,$A:$A),0)),"")</f>
        <v>48</v>
      </c>
      <c r="F11" s="61" t="s">
        <v>35</v>
      </c>
      <c r="G11" s="71" cm="1">
        <f t="array" ref="G11">IF($M11&lt;&gt;"",INDEX($M:$M,MATCH(TRUE,EXACT(F11,$A:$A),0)),"")</f>
        <v>48</v>
      </c>
      <c r="H11" s="61" t="s">
        <v>60</v>
      </c>
      <c r="I11" s="75" cm="1">
        <f t="array" ref="I11">IF($M11&lt;&gt;"",INDEX($M:$M,MATCH(TRUE,EXACT(H11,$A:$A),0)),"")</f>
        <v>8</v>
      </c>
      <c r="J11" s="46"/>
      <c r="K11" s="56"/>
      <c r="L11" s="41" t="b">
        <f t="shared" si="1"/>
        <v>1</v>
      </c>
      <c r="M11" s="42">
        <f>IF(L11, MAX(M$2:M10)+1,"")</f>
        <v>9</v>
      </c>
      <c r="N11" s="46" t="str">
        <f t="shared" si="2"/>
        <v>)</v>
      </c>
      <c r="O11" s="8" t="str" cm="1">
        <f t="array" ref="O11">CharToUTF8(A11)</f>
        <v>\x29</v>
      </c>
      <c r="Q11" s="41" t="str">
        <f>$Z$2</f>
        <v>EMPTY</v>
      </c>
      <c r="R11" s="47" t="str">
        <f>$Z$4</f>
        <v>ORTHO_BOTH</v>
      </c>
      <c r="S11" s="47" t="str">
        <f>$Z$4</f>
        <v>ORTHO_BOTH</v>
      </c>
      <c r="T11" s="44" t="str">
        <f>$Z$2</f>
        <v>EMPTY</v>
      </c>
      <c r="V11" s="54" t="b">
        <f t="shared" si="4"/>
        <v>0</v>
      </c>
      <c r="W11" t="b">
        <f t="shared" si="5"/>
        <v>0</v>
      </c>
      <c r="X11" t="b">
        <f t="shared" si="6"/>
        <v>0</v>
      </c>
      <c r="AG11" s="82" t="str">
        <f t="shared" si="7"/>
        <v xml:space="preserve">    { 9, 48, 48, 8, wxString::FromUTF8("\x29"), Connection::EMPTY, Connection::ORTHO_BOTH, Connection::ORTHO_BOTH, Connection::EMPTY }</v>
      </c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1"/>
    </row>
    <row r="12" spans="1:44" ht="31.5" customHeight="1" x14ac:dyDescent="0.4">
      <c r="A12" s="7" t="s">
        <v>59</v>
      </c>
      <c r="B12" s="6" t="str">
        <f t="shared" si="0"/>
        <v>*</v>
      </c>
      <c r="C12" s="71" cm="1">
        <f t="array" ref="C12">IF($M12&lt;&gt;"",INDEX($M:$M,MATCH(TRUE,EXACT(B12,$A:$A),0)),"")</f>
        <v>10</v>
      </c>
      <c r="D12" s="61" t="s">
        <v>165</v>
      </c>
      <c r="E12" s="71" cm="1">
        <f t="array" ref="E12">IF($M12&lt;&gt;"",INDEX($M:$M,MATCH(TRUE,EXACT(D12,$A:$A),0)),"")</f>
        <v>28</v>
      </c>
      <c r="F12" s="61" t="s">
        <v>33</v>
      </c>
      <c r="G12" s="71" cm="1">
        <f t="array" ref="G12">IF($M12&lt;&gt;"",INDEX($M:$M,MATCH(TRUE,EXACT(F12,$A:$A),0)),"")</f>
        <v>41</v>
      </c>
      <c r="H12" s="61" t="s">
        <v>58</v>
      </c>
      <c r="I12" s="75" cm="1">
        <f t="array" ref="I12">IF($M12&lt;&gt;"",INDEX($M:$M,MATCH(TRUE,EXACT(H12,$A:$A),0)),"")</f>
        <v>6</v>
      </c>
      <c r="J12" s="46"/>
      <c r="K12" s="56"/>
      <c r="L12" s="41" t="b">
        <f t="shared" si="1"/>
        <v>1</v>
      </c>
      <c r="M12" s="42">
        <f>IF(L12, MAX(M$2:M11)+1,"")</f>
        <v>10</v>
      </c>
      <c r="N12" s="46" t="str">
        <f t="shared" si="2"/>
        <v>*</v>
      </c>
      <c r="O12" s="8" t="str" cm="1">
        <f t="array" ref="O12">CharToUTF8(A12)</f>
        <v>\x2A</v>
      </c>
      <c r="Q12" s="41" t="str">
        <f t="shared" ref="Q12:Q17" si="8">$Z$3</f>
        <v>DIAG_BOTH</v>
      </c>
      <c r="R12" s="47" t="str">
        <f>$Z$4</f>
        <v>ORTHO_BOTH</v>
      </c>
      <c r="S12" s="47" t="str">
        <f>$Z$4</f>
        <v>ORTHO_BOTH</v>
      </c>
      <c r="T12" s="44" t="str">
        <f>$Z$2</f>
        <v>EMPTY</v>
      </c>
      <c r="V12" s="54" t="b">
        <f t="shared" si="4"/>
        <v>0</v>
      </c>
      <c r="W12" t="b">
        <f t="shared" si="5"/>
        <v>0</v>
      </c>
      <c r="X12" t="b">
        <f t="shared" si="6"/>
        <v>0</v>
      </c>
      <c r="Z12" s="83" t="str">
        <f>"const inline std::array&lt;Glyph, Glyph::TOTAL&gt; AllGlyphs{ { // This is generated in Excel" &amp; CHAR(10) &amp; _xlfn.TEXTJOIN("," &amp; CHAR(10), TRUE, $AG$2:$AR$202) &amp; CHAR(10) &amp; "} };"</f>
        <v>const inline std::array&lt;Glyph, Glyph::TOTAL&gt; AllGlyphs{ { // This is generated in Excel
    { 0, 0, 0, 0, wxString::FromUTF8("\x20"), Connection::EMPTY, Connection::EMPTY, Connection::EMPTY, Connection::EMPTY },
    { 1, 94, 1, 1, wxString::FromUTF8("\x21"), Connection::EMPTY, Connection::EMPTY, Connection::ORTHO_BOTH, Connection::ORTHO_BOTH },
    { 2, 2, 2, 2, wxString::FromUTF8("\x22"), Connection::ORTHO_BOTH, Connection::ORTHO_BOTH, Connection::ORTHO_BOTH, Connection::ORTHO_BOTH },
    { 3, 32, 3, 3, wxString::FromUTF8("\x23"), Connection::EMPTY, Connection::EMPTY, Connection::ORTHO_BOTH, Connection::ORTHO_BOTH },
    { 4, 54, 50, 4, wxString::FromUTF8("\x24"), Connection::EMPTY, Connection::ORTHO_BOTH, Connection::EMPTY, Connection::EMPTY },
    { 5, 40, 52, 5, wxString::FromUTF8("\x25"), Connection::EMPTY, Connection::DIAG_BOTH, Connection::ORTHO_BOTH, Connection::ORTHO_BOTH },
    { 6, 43, 53, 10, wxString::FromUTF8("\x26"), Connection::DIAG_BOTH, Connection::ORTHO_BOTH, Connection::EMPTY, Connection::ORTHO_BOTH },
    { 7, 7, 7, 7, wxString::FromUTF8("\x27"), Connection::DIAG_BOTH, Connection::DIAG_BOTH, Connection::DIAG_BOTH, Connection::DIAG_BOTH },
    { 8, 9, 47, 9, wxString::FromUTF8("\x28"), Connection::EMPTY, Connection::ORTHO_BOTH, Connection::EMPTY, Connection::ORTHO_BOTH },
    { 9, 48, 48, 8, wxString::FromUTF8("\x29"), Connection::EMPTY, Connection::ORTHO_BOTH, Connection::ORTHO_BOTH, Connection::EMPTY },
    { 10, 28, 41, 6, wxString::FromUTF8("\x2A"), Connection::DIAG_BOTH, Connection::ORTHO_BOTH, Connection::ORTHO_BOTH, Connection::EMPTY },
    { 11, 93, 93, 63, wxString::FromUTF8("\x2B"), Connection::DIAG_BOTH, Connection::ORTHO_BOTH, Connection::ORTHO_BOTH, Connection::DIAG_BOTH },
    { 12, 85, 75, 77, wxString::FromUTF8("\x2C"), Connection::DIAG_BOTH, Connection::EMPTY, Connection::ORTHO_BOTH, Connection::DIAG_BOTH },
    { 13, 61, 29, 13, wxString::FromUTF8("\x2D"), Connection::DIAG_BOTH, Connection::ORTHO_BOTH, Connection::EMPTY, Connection::EMPTY },
    { 14, 25, 76, 15, wxString::FromUTF8("\x2E"), Connection::DIAG_BOTH, Connection::EMPTY, Connection::EMPTY, Connection::ORTHO_BOTH },
    { 15, 79, 27, 14, wxString::FromUTF8("\x2F"), Connection::DIAG_BOTH, Connection::EMPTY, Connection::ORTHO_BOTH, Connection::EMPTY },
    { 16, 15, 80, 25, wxString::FromUTF8("\x30"), Connection::EMPTY, Connection::ORTHO_BOTH, Connection::DIAG_BOTH, Connection::EMPTY },
    { 17, 64, 17, 17, wxString::FromUTF8("\x31"), Connection::EMPTY, Connection::EMPTY, Connection::DIAG_BOTH, Connection::DIAG_BOTH },
    { 18, 19, 18, 18, wxString::FromUTF8("\x32"), Connection::ORTHO_BOTH, Connection::ORTHO_BOTH, Connection::DIAG_BOTH, Connection::DIAG_BOTH },
    { 19, 18, 19, 19, wxString::FromUTF8("\x33"), Connection::DIAG_BOTH, Connection::DIAG_BOTH, Connection::ORTHO_BOTH, Connection::ORTHO_BOTH },
    { 20, 86, 82, 20, wxString::FromUTF8("\x34"), Connection::EMPTY, Connection::DIAG_BOTH, Connection::EMPTY, Connection::EMPTY },
    { 21, 72, 84, 21, wxString::FromUTF8("\x35"), Connection::DIAG_BOTH, Connection::ORTHO_BOTH, Connection::DIAG_BOTH, Connection::DIAG_BOTH },
    { 22, 78, 89, 22, wxString::FromUTF8("\x36"), Connection::EMPTY, Connection::ORTHO_BOTH, Connection::DIAG_BOTH, Connection::DIAG_BOTH },
    { 23, 75, 85, 24, wxString::FromUTF8("\x37"), Connection::DIAG_BOTH, Connection::ORTHO_BOTH, Connection::EMPTY, Connection::DIAG_BOTH },
    { 24, 12, 73, 23, wxString::FromUTF8("\x38"), Connection::DIAG_BOTH, Connection::ORTHO_BOTH, Connection::DIAG_BOTH, Connection::EMPTY },
    { 25, 27, 79, 16, wxString::FromUTF8("\x39"), Connection::EMPTY, Connection::ORTHO_BOTH, Connection::EMPTY, Connection::DIAG_BOTH },
    { 26, 31, 31, 44, wxString::FromUTF8("\x3A"), Connection::EMPTY, Connection::ORTHO_BOTH, Connection::ORTHO_BOTH, Connection::EMPTY },
    { 27, 80, 15, 76, wxString::FromUTF8("\x3B"), Connection::EMPTY, Connection::DIAG_BOTH, Connection::ORTHO_BOTH, Connection::EMPTY },
    { 28, 53, 43, 45, wxString::FromUTF8("\x3C"), Connection::ORTHO_BOTH, Connection::EMPTY, Connection::ORTHO_BOTH, Connection::DIAG_BOTH },
    { 29, 59, 13, 29, wxString::FromUTF8("\x3D"), Connection::ORTHO_BOTH, Connection::DIAG_BOTH, Connection::EMPTY, Connection::EMPTY },
    { 30, 44, 44, 31, wxString::FromUTF8("\x3E"), Connection::ORTHO_BOTH, Connection::EMPTY, Connection::EMPTY, Connection::ORTHO_BOTH },
    { 31, 30, 26, 30, wxString::FromUTF8("\x3F"), Connection::ORTHO_BOTH, Connection::EMPTY, Connection::ORTHO_BOTH, Connection::EMPTY },
    { 32, 3, 32, 32, wxString::FromUTF8("\x40"), Connection::ORTHO_BOTH, Connection::ORTHO_BOTH, Connection::EMPTY, Connection::EMPTY },
    { 33, 55, 33, 36, wxString::FromUTF8("\x41"), Connection::ORTHO_BOTH, Connection::ORTHO_BOTH, Connection::EMPTY, Connection::ORTHO_BOTH },
    { 34, 62, 34, 46, wxString::FromUTF8("\x42"), Connection::ORTHO_BOTH, Connection::ORTHO_BOTH, Connection::ORTHO_BOTH, Connection::DIAG_BOTH },
    { 35, 58, 37, 58, wxString::FromUTF8("\x43"), Connection::ORTHO_BOTH, Connection::EMPTY, Connection::ORTHO_BOTH, Connection::EMPTY },
    { 36, 56, 36, 33, wxString::FromUTF8("\x44"), Connection::ORTHO_BOTH, Connection::ORTHO_BOTH, Connection::ORTHO_BOTH, Connection::EMPTY },
    { 37, 35, 35, 49, wxString::FromUTF8("\x45"), Connection::EMPTY, Connection::ORTHO_BOTH, Connection::ORTHO_BOTH, Connection::EMPTY },
    { 38, 4, 38, 54, wxString::FromUTF8("\x46"), Connection::EMPTY, Connection::EMPTY, Connection::EMPTY, Connection::ORTHO_BOTH },
    { 39, 5, 39, 40, wxString::FromUTF8("\x47"), Connection::ORTHO_BOTH, Connection::ORTHO_BOTH, Connection::EMPTY, Connection::DIAG_BOTH },
    { 40, 52, 40, 39, wxString::FromUTF8("\x48"), Connection::ORTHO_BOTH, Connection::ORTHO_BOTH, Connection::DIAG_BOTH, Connection::EMPTY },
    { 41, 45, 10, 53, wxString::FromUTF8("\x49"), Connection::ORTHO_BOTH, Connection::DIAG_BOTH, Connection::ORTHO_BOTH, Connection::EMPTY },
    { 42, 10, 45, 43, wxString::FromUTF8("\x4A"), Connection::EMPTY, Connection::ORTHO_BOTH, Connection::DIAG_BOTH, Connection::ORTHO_BOTH },
    { 43, 41, 28, 42, wxString::FromUTF8("\x4B"), Connection::EMPTY, Connection::ORTHO_BOTH, Connection::ORTHO_BOTH, Connection::DIAG_BOTH },
    { 44, 26, 30, 26, wxString::FromUTF8("\x4C"), Connection::EMPTY, Connection::ORTHO_BOTH, Connection::EMPTY, Connection::ORTHO_BOTH },
    { 45, 6, 42, 28, wxString::FromUTF8("\x4D"), Connection::ORTHO_BOTH, Connection::EMPTY, Connection::DIAG_BOTH, Connection::ORTHO_BOTH },
    { 46, 57, 46, 34, wxString::FromUTF8("\x4E"), Connection::ORTHO_BOTH, Connection::ORTHO_BOTH, Connection::DIAG_BOTH, Connection::ORTHO_BOTH },
    { 47, 8, 8, 48, wxString::FromUTF8("\x4F"), Connection::ORTHO_BOTH, Connection::EMPTY, Connection::EMPTY, Connection::ORTHO_BOTH },
    { 48, 47, 9, 47, wxString::FromUTF8("\x50"), Connection::ORTHO_BOTH, Connection::EMPTY, Connection::ORTHO_BOTH, Connection::EMPTY },
    { 49, 37, 58, 37, wxString::FromUTF8("\x51"), Connection::EMPTY, Connection::ORTHO_BOTH, Connection::EMPTY, Connection::ORTHO_BOTH },
    { 50, 38, 4, 50, wxString::FromUTF8("\x52"), Connection::ORTHO_BOTH, Connection::EMPTY, Connection::EMPTY, Connection::EMPTY },
    { 51, 51, 51, 51, wxString::FromUTF8("\x53"), Connection::ORTHO_BOTH, Connection::ORTHO_BOTH, Connection::ORTHO_BOTH, Connection::ORTHO_BOTH },
    { 52, 39, 5, 52, wxString::FromUTF8("\x54"), Connection::DIAG_BOTH, Connection::EMPTY, Connection::ORTHO_BOTH, Connection::ORTHO_BOTH },
    { 53, 42, 6, 41, wxString::FromUTF8("\x55"), Connection::ORTHO_BOTH, Connection::DIAG_BOTH, Connection::EMPTY, Connection::ORTHO_BOTH },
    { 54, 50, 54, 38, wxString::FromUTF8("\x56"), Connection::EMPTY, Connection::EMPTY, Connection::ORTHO_BOTH, Connection::EMPTY },
    { 55, 36, 56, 55, wxString::FromUTF8("\x57"), Connection::EMPTY, Connection::ORTHO_BOTH, Connection::ORTHO_BOTH, Connection::ORTHO_BOTH },
    { 56, 33, 55, 56, wxString::FromUTF8("\x58"), Connection::ORTHO_BOTH, Connection::EMPTY, Connection::ORTHO_BOTH, Connection::ORTHO_BOTH },
    { 57, 34, 62, 57, wxString::FromUTF8("\x59"), Connection::DIAG_BOTH, Connection::ORTHO_BOTH, Connection::ORTHO_BOTH, Connection::ORTHO_BOTH },
    { 58, 49, 49, 35, wxString::FromUTF8("\x5A"), Connection::ORTHO_BOTH, Connection::EMPTY, Connection::EMPTY, Connection::ORTHO_BOTH },
    { 59, 13, 59, 61, wxString::FromUTF8("\x5B"), Connection::EMPTY, Connection::EMPTY, Connection::DIAG_BOTH, Connection::ORTHO_BOTH },
    { 60, 92, 60, 60, wxString::FromUTF8("\x5C"), Connection::ORTHO_BOTH, Connection::ORTHO_BOTH, Connection::EMPTY, Connection::EMPTY },
    { 61, 29, 61, 59, wxString::FromUTF8("\x5D"), Connection::EMPTY, Connection::EMPTY, Connection::ORTHO_BOTH, Connection::DIAG_BOTH },
    { 62, 46, 57, 62, wxString::FromUTF8("\x5E"), Connection::ORTHO_BOTH, Connection::DIAG_BOTH, Connection::ORTHO_BOTH, Connection::ORTHO_BOTH },
    { 63, 11, 91, 11, wxString::FromUTF8("\x5F"), Connection::DIAG_BOTH, Connection::ORTHO_BOTH, Connection::DIAG_BOTH, Connection::ORTHO_BOTH },
    { 64, 17, 64, 64, wxString::FromUTF8("\x60"), Connection::DIAG_BOTH, Connection::DIAG_BOTH, Connection::EMPTY, Connection::EMPTY },
    { 65, 87, 65, 68, wxString::FromUTF8("\x61"), Connection::DIAG_BOTH, Connection::DIAG_BOTH, Connection::EMPTY, Connection::DIAG_BOTH },
    { 66, 22, 66, 78, wxString::FromUTF8("\x62"), Connection::DIAG_BOTH, Connection::DIAG_BOTH, Connection::EMPTY, Connection::ORTHO_BOTH },
    { 67, 90, 69, 90, wxString::FromUTF8("\x63"), Connection::DIAG_BOTH, Connection::EMPTY, Connection::DIAG_BOTH, Connection::EMPTY },
    { 68, 88, 68, 65, wxString::FromUTF8("\x64"), Connection::DIAG_BOTH, Connection::DIAG_BOTH, Connection::DIAG_BOTH, Connection::EMPTY },
    { 69, 67, 67, 81, wxString::FromUTF8("\x65"), Connection::EMPTY, Connection::DIAG_BOTH, Connection::DIAG_BOTH, Connection::EMPTY },
    { 70, 20, 70, 86, wxString::FromUTF8("\x66"), Connection::EMPTY, Connection::EMPTY, Connection::EMPTY, Connection::DIAG_BOTH },
    { 71, 21, 71, 72, wxString::FromUTF8("\x67"), Connection::DIAG_BOTH, Connection::DIAG_BOTH, Connection::DIAG_BOTH, Connection::ORTHO_BOTH },
    { 72, 84, 72, 71, wxString::FromUTF8("\x68"), Connection::DIAG_BOTH, Connection::DIAG_BOTH, Connection::ORTHO_BOTH, Connection::DIAG_BOTH },
    { 73, 77, 24, 85, wxString::FromUTF8("\x69"), Connection::ORTHO_BOTH, Connection::DIAG_BOTH, Connection::DIAG_BOTH, Connection::EMPTY },
    { 74, 24, 77, 75, wxString::FromUTF8("\x6A"), Connection::EMPTY, Connection::DIAG_BOTH, Connection::DIAG_BOTH, Connection::ORTHO_BOTH },
    { 75, 73, 12, 74, wxString::FromUTF8("\x6B"), Connection::EMPTY, Connection::DIAG_BOTH, Connection::ORTHO_BOTH, Connection::DIAG_BOTH },
    { 76, 16, 14, 27, wxString::FromUTF8("\x6C"), Connection::EMPTY, Connection::DIAG_BOTH, Connection::EMPTY, Connection::ORTHO_BOTH },
    { 77, 23, 74, 12, wxString::FromUTF8("\x6D"), Connection::DIAG_BOTH, Connection::EMPTY, Connection::DIAG_BOTH, Connection::ORTHO_BOTH },
    { 78, 89, 78, 66, wxString::FromUTF8("\x6E"), Connection::DIAG_BOTH, Connection::DIAG_BOTH, Connection::ORTHO_BOTH, Connection::EMPTY },
    { 79, 76, 25, 80, wxString::FromUTF8("\x6F"), Connection::ORTHO_BOTH, Connection::EMPTY, Connection::EMPTY, Connection::DIAG_BOTH },
    { 80, 14, 16, 79, wxString::FromUTF8("\x70"), Connection::ORTHO_BOTH, Connection::EMPTY, Connection::DIAG_BOTH, Connection::EMPTY },
    { 81, 69, 90, 69, wxString::FromUTF8("\x71"), Connection::EMPTY, Connection::DIAG_BOTH, Connection::EMPTY, Connection::DIAG_BOTH },
    { 82, 70, 20, 82, wxString::FromUTF8("\x72"), Connection::DIAG_BOTH, Connection::EMPTY, Connection::EMPTY, Connection::EMPTY },
    { 83, 83, 83, 83, wxString::FromUTF8("\x73"), Connection::DIAG_BOTH, Connection::DIAG_BOTH, Connection::DIAG_BOTH, Connection::DIAG_BOTH },
    { 84, 71, 21, 84, wxString::FromUTF8("\x74"), Connection::ORTHO_BOTH, Connection::DIAG_BOTH, Connection::DIAG_BOTH, Connection::DIAG_BOTH },
    { 85, 74, 23, 73, wxString::FromUTF8("\x75"), Connection::ORTHO_BOTH, Connection::DIAG_BOTH, Connection::EMPTY, Connection::DIAG_BOTH },
    { 86, 82, 86, 70, wxString::FromUTF8("\x76"), Connection::EMPTY, Connection::EMPTY, Connection::DIAG_BOTH, Connection::EMPTY },
    { 87, 68, 88, 87, wxString::FromUTF8("\x77"), Connection::EMPTY, Connection::DIAG_BOTH, Connection::DIAG_BOTH, Connection::DIAG_BOTH },
    { 88, 65, 87, 88, wxString::FromUTF8("\x78"), Connection::DIAG_BOTH, Connection::EMPTY, Connection::DIAG_BOTH, Connection::DIAG_BOTH },
    { 89, 66, 22, 89, wxString::FromUTF8("\x79"), Connection::ORTHO_BOTH, Connection::EMPTY, Connection::DIAG_BOTH, Connection::DIAG_BOTH },
    { 90, 81, 81, 67, wxString::FromUTF8("\x7A"), Connection::DIAG_BOTH, Connection::EMPTY, Connection::EMPTY, Connection::DIAG_BOTH },
    { 91, 63, 63, 93, wxString::FromUTF8("\x7B"), Connection::ORTHO_BOTH, Connection::DIAG_BOTH, Connection::DIAG_BOTH, Connection::ORTHO_BOTH },
    { 92, 60, 92, 92, wxString::FromUTF8("\x7C"), Connection::EMPTY, Connection::EMPTY, Connection::ORTHO_BOTH, Connection::ORTHO_BOTH },
    { 93, 91, 11, 91, wxString::FromUTF8("\x7D"), Connection::ORTHO_BOTH, Connection::DIAG_BOTH, Connection::ORTHO_BOTH, Connection::DIAG_BOTH },
    { 94, 1, 94, 94, wxString::FromUTF8("\x7E"), Connection::ORTHO_BOTH, Connection::ORTHO_BOTH, Connection::EMPTY, Connection::EMPTY },
    { 95, 98, 95, 96, wxString::FromUTF8("\xC2\xA1"), Connection::ORTHO_RIGHT, Connection::ORTHO_RIGHT, Connection::EMPTY, Connection::EMPTY },
    { 96, 97, 96, 95, wxString::FromUTF8("\xC2\xA2"), Connection::ORTHO_LEFT, Connection::ORTHO_LEFT, Connection::EMPTY, Connection::EMPTY },
    { 97, 95, 98, 97, wxString::FromUTF8("\xC2\xA3"), Connection::EMPTY, Connection::EMPTY, Connection::ORTHO_UP, Connection::ORTHO_UP },
    { 98, 96, 97, 98, wxString::FromUTF8("\xC2\xA4"), Connection::EMPTY, Connection::EMPTY, Connection::ORTHO_DOWN, Connection::ORTHO_DOWN },
    { 99, 100, 102, 100, wxString::FromUTF8("\xC2\xA5"), Connection::DIAG_FRONT, Connection::DIAG_BOTH, Connection::DIAG_BACK, Connection::DIAG_BOTH },
    { 100, 101, 101, 99, wxString::FromUTF8("\xC2\xA6"), Connection::DIAG_BACK, Connection::DIAG_BOTH, Connection::DIAG_BOTH, Connection::DIAG_FRONT },
    { 101, 102, 100, 102, wxString::FromUTF8("\xC2\xA7"), Connection::DIAG_BOTH, Connection::DIAG_FRONT, Connection::DIAG_BOTH, Connection::DIAG_BACK },
    { 102, 99, 99, 101, wxString::FromUTF8("\xC2\xA8"), Connection::DIAG_BOTH, Connection::DIAG_BACK, Connection::DIAG_FRONT, Connection::DIAG_BOTH },
    { 103, 104, 105, 103, wxString::FromUTF8("\xC2\xA9"), Connection::EMPTY, Connection::DIAG_BOTH, Connection::DIAG_BACK, Connection::DIAG_FRONT },
    { 104, 105, 104, 106, wxString::FromUTF8("\xC2\xAA"), Connection::DIAG_BACK, Connection::DIAG_FRONT, Connection::DIAG_BOTH, Connection::EMPTY },
    { 105, 106, 103, 105, wxString::FromUTF8("\xC2\xAB"), Connection::DIAG_BOTH, Connection::EMPTY, Connection::DIAG_FRONT, Connection::DIAG_BACK },
    { 106, 103, 106, 104, wxString::FromUTF8("\xC2\xAC"), Connection::DIAG_FRONT, Connection::DIAG_BACK, Connection::EMPTY, Connection::DIAG_BOTH },
    { 107, 108, 108, 110, wxString::FromUTF8("\xC2\xAE"), Connection::EMPTY, Connection::DIAG_FRONT, Connection::DIAG_BACK, Connection::EMPTY },
    { 108, 109, 107, 109, wxString::FromUTF8("\xC2\xAF"), Connection::DIAG_BACK, Connection::EMPTY, Connection::DIAG_FRONT, Connection::EMPTY },
    { 109, 110, 110, 108, wxString::FromUTF8("\xC2\xB0"), Connection::DIAG_FRONT, Connection::EMPTY, Connection::EMPTY, Connection::DIAG_BACK },
    { 110, 107, 109, 107, wxString::FromUTF8("\xC2\xB1"), Connection::EMPTY, Connection::DIAG_BACK, Connection::EMPTY, Connection::DIAG_FRONT },
    { 111, 112, 113, 111, wxString::FromUTF8("\xC2\xB2"), Connection::ORTHO_BOTH, Connection::ORTHO_BOTH, Connection::ORTHO_DOWN, Connection::ORTHO_DOWN },
    { 112, 113, 112, 114, wxString::FromUTF8("\xC2\xB3"), Connection::ORTHO_LEFT, Connection::ORTHO_LEFT, Connection::ORTHO_BOTH, Connection::ORTHO_BOTH },
    { 113, 114, 111, 113, wxString::FromUTF8("\xC2\xB4"), Connection::ORTHO_BOTH, Connection::ORTHO_BOTH, Connection::ORTHO_UP, Connection::ORTHO_UP },
    { 114, 111, 114, 112, wxString::FromUTF8("\xC2\xB5"), Connection::ORTHO_RIGHT, Connection::ORTHO_RIGHT, Connection::ORTHO_BOTH, Connection::ORTHO_BOTH },
    { 115, 116, 116, 118, wxString::FromUTF8("\xC2\xB6"), Connection::ORTHO_LEFT, Connection::ORTHO_LEFT, Connection::ORTHO_DOWN, Connection::ORTHO_DOWN },
    { 116, 117, 115, 117, wxString::FromUTF8("\xC2\xB8"), Connection::ORTHO_LEFT, Connection::ORTHO_LEFT, Connection::ORTHO_UP, Connection::ORTHO_UP },
    { 117, 118, 118, 116, wxString::FromUTF8("\xC2\xB9"), Connection::ORTHO_RIGHT, Connection::ORTHO_RIGHT, Connection::ORTHO_UP, Connection::ORTHO_UP },
    { 118, 115, 117, 115, wxString::FromUTF8("\xC2\xBA"), Connection::ORTHO_RIGHT, Connection::ORTHO_RIGHT, Connection::ORTHO_DOWN, Connection::ORTHO_DOWN },
    { 119, 122, 119, 120, wxString::FromUTF8("\xC2\xBB"), Connection::ORTHO_RIGHT, Connection::ORTHO_RIGHT, Connection::EMPTY, Connection::DIAG_BOTH },
    { 120, 121, 120, 119, wxString::FromUTF8("\xC2\xBC"), Connection::ORTHO_LEFT, Connection::ORTHO_LEFT, Connection::DIAG_BOTH, Connection::EMPTY },
    { 121, 119, 122, 121, wxString::FromUTF8("\xC2\xBD"), Connection::DIAG_BOTH, Connection::EMPTY, Connection::ORTHO_UP, Connection::ORTHO_UP },
    { 122, 120, 121, 122, wxString::FromUTF8("\xC2\xBE"), Connection::EMPTY, Connection::DIAG_BOTH, Connection::ORTHO_DOWN, Connection::ORTHO_DOWN },
    { 123, 126, 123, 124, wxString::FromUTF8("\xC2\xBF"), Connection::ORTHO_RIGHT, Connection::ORTHO_RIGHT, Connection::EMPTY, Connection::ORTHO_BOTH },
    { 124, 125, 124, 123, wxString::FromUTF8("\xC3\x80"), Connection::ORTHO_LEFT, Connection::ORTHO_LEFT, Connection::ORTHO_BOTH, Connection::EMPTY },
    { 125, 123, 126, 125, wxString::FromUTF8("\xC3\x81"), Connection::ORTHO_BOTH, Connection::EMPTY, Connection::ORTHO_UP, Connection::ORTHO_UP },
    { 126, 124, 125, 126, wxString::FromUTF8("\xC3\x82"), Connection::EMPTY, Connection::ORTHO_BOTH, Connection::ORTHO_DOWN, Connection::ORTHO_DOWN },
    { 127, 128, 128, 130, wxString::FromUTF8("\xC3\x83"), Connection::EMPTY, Connection::ORTHO_LEFT, Connection::ORTHO_DOWN, Connection::EMPTY },
    { 128, 129, 127, 129, wxString::FromUTF8("\xC3\x84"), Connection::ORTHO_LEFT, Connection::EMPTY, Connection::ORTHO_UP, Connection::EMPTY },
    { 129, 130, 130, 128, wxString::FromUTF8("\xC3\x85"), Connection::ORTHO_RIGHT, Connection::EMPTY, Connection::EMPTY, Connection::ORTHO_UP },
    { 130, 127, 129, 127, wxString::FromUTF8("\xC3\x86"), Connection::EMPTY, Connection::ORTHO_RIGHT, Connection::EMPTY, Connection::ORTHO_DOWN },
    { 131, 134, 132, 131, wxString::FromUTF8("\xC3\x87"), Connection::ORTHO_BOTH, Connection::EMPTY, Connection::EMPTY, Connection::EMPTY },
    { 132, 133, 131, 132, wxString::FromUTF8("\xC3\x88"), Connection::EMPTY, Connection::ORTHO_BOTH, Connection::EMPTY, Connection::EMPTY },
    { 133, 131, 133, 134, wxString::FromUTF8("\xC3\x89"), Connection::EMPTY, Connection::EMPTY, Connection::ORTHO_BOTH, Connection::EMPTY },
    { 134, 132, 134, 133, wxString::FromUTF8("\xC3\x8A"), Connection::EMPTY, Connection::EMPTY, Connection::EMPTY, Connection::ORTHO_BOTH },
    { 135, 136, 137, 136, wxString::FromUTF8("\xC3\x8B"), Connection::EMPTY, Connection::ORTHO_LEFT, Connection::EMPTY, Connection::ORTHO_UP },
    { 136, 138, 138, 135, wxString::FromUTF8("\xC3\x8C"), Connection::EMPTY, Connection::ORTHO_RIGHT, Connection::ORTHO_UP, Connection::EMPTY },
    { 137, 135, 135, 138, wxString::FromUTF8("\xC3\x8D"), Connection::ORTHO_LEFT, Connection::EMPTY, Connection::EMPTY, Connection::ORTHO_DOWN },
    { 138, 137, 136, 137, wxString::FromUTF8("\xC3\x8E"), Connection::ORTHO_RIGHT, Connection::EMPTY, Connection::ORTHO_DOWN, Connection::EMPTY },
    { 139, 140, 141, 140, wxString::FromUTF8("\xC3\x8F"), Connection::EMPTY, Connection::ORTHO_RIGHT, Connection::EMPTY, Connection::ORTHO_DOWN },
    { 140, 142, 142, 139, wxString::FromUTF8("\xC3\x90"), Connection::EMPTY, Connection::ORTHO_LEFT, Connection::ORTHO_DOWN, Connection::EMPTY },
    { 141, 139, 139, 142, wxString::FromUTF8("\xC3\x91"), Connection::ORTHO_RIGHT, Connection::EMPTY, Connection::EMPTY, Connection::ORTHO_UP },
    { 142, 141, 140, 141, wxString::FromUTF8("\xC3\x92"), Connection::ORTHO_LEFT, Connection::EMPTY, Connection::ORTHO_UP, Connection::EMPTY },
    { 143, 145, 144, 144, wxString::FromUTF8("\xC3\x93"), Connection::ORTHO_LEFT, Connection::ORTHO_RIGHT, Connection::EMPTY, Connection::EMPTY },
    { 144, 146, 143, 143, wxString::FromUTF8("\xC3\x94"), Connection::ORTHO_RIGHT, Connection::ORTHO_LEFT, Connection::EMPTY, Connection::EMPTY },
    { 145, 143, 146, 146, wxString::FromUTF8("\xC3\x95"), Connection::EMPTY, Connection::EMPTY, Connection::ORTHO_DOWN, Connection::ORTHO_UP },
    { 146, 144, 145, 145, wxString::FromUTF8("\xC3\x96"), Connection::EMPTY, Connection::EMPTY, Connection::ORTHO_UP, Connection::ORTHO_DOWN },
    { 147, 148, 149, 147, wxString::FromUTF8("\xC3\x97"), Connection::EMPTY, Connection::ORTHO_BOTH, Connection::ORTHO_BOTH, Connection::ORTHO_BOTH },
    { 148, 149, 148, 150, wxString::FromUTF8("\xC3\x98"), Connection::ORTHO_BOTH, Connection::ORTHO_BOTH, Connection::ORTHO_BOTH, Connection::EMPTY },
    { 149, 150, 147, 149, wxString::FromUTF8("\xC3\x99"), Connection::ORTHO_BOTH, Connection::EMPTY, Connection::ORTHO_BOTH, Connection::ORTHO_BOTH },
    { 150, 147, 150, 148, wxString::FromUTF8("\xC3\x9A"), Connection::ORTHO_BOTH, Connection::ORTHO_BOTH, Connection::EMPTY, Connection::ORTHO_BOTH },
    { 151, 152, 153, 151, wxString::FromUTF8("\xC3\x9B"), Connection::EMPTY, Connection::ORTHO_BOTH, Connection::ORTHO_BOTH, Connection::ORTHO_BOTH },
    { 152, 153, 152, 154, wxString::FromUTF8("\xC3\x9C"), Connection::ORTHO_BOTH, Connection::ORTHO_BOTH, Connection::ORTHO_BOTH, Connection::EMPTY },
    { 153, 154, 151, 153, wxString::FromUTF8("\xC3\x9D"), Connection::ORTHO_BOTH, Connection::EMPTY, Connection::ORTHO_BOTH, Connection::ORTHO_BOTH },
    { 154, 151, 154, 152, wxString::FromUTF8("\xC3\x9E"), Connection::ORTHO_BOTH, Connection::ORTHO_BOTH, Connection::EMPTY, Connection::ORTHO_BOTH },
    { 155, 155, 155, 155, wxString::FromUTF8("\xC3\x9F"), Connection::ORTHO_BOTH, Connection::ORTHO_BOTH, Connection::ORTHO_BOTH, Connection::ORTHO_BOTH },
    { 156, 157, 159, 157, wxString::FromUTF8("\xC3\xA0"), Connection::ORTHO_RIGHT, Connection::ORTHO_BOTH, Connection::ORTHO_DOWN, Connection::ORTHO_BOTH },
    { 157, 158, 158, 156, wxString::FromUTF8("\xC3\xA1"), Connection::ORTHO_LEFT, Connection::ORTHO_BOTH, Connection::ORTHO_BOTH, Connection::ORTHO_DOWN },
    { 158, 159, 157, 159, wxString::FromUTF8("\xC3\xA2"), Connection::ORTHO_BOTH, Connection::ORTHO_LEFT, Connection::ORTHO_BOTH, Connection::ORTHO_UP },
    { 159, 156, 156, 158, wxString::FromUTF8("\xC3\xA3"), Connection::ORTHO_BOTH, Connection::ORTHO_RIGHT, Connection::ORTHO_UP, Connection::ORTHO_BOTH },
    { 160, 163, 161, 160, wxString::FromUTF8("\xC3\xB0"), Connection::EMPTY, Connection::EMPTY, Connection::DIAG_FRONT, Connection::DIAG_BACK },
    { 161, 162, 160, 161, wxString::FromUTF8("\xC3\xB1"), Connection::EMPTY, Connection::EMPTY, Connection::DIAG_BACK, Connection::DIAG_FRONT },
    { 162, 160, 162, 163, wxString::FromUTF8("\xC3\xB2"), Connection::DIAG_BACK, Connection::DIAG_FRONT, Connection::EMPTY, Connection::EMPTY },
    { 163, 161, 163, 162, wxString::FromUTF8("\xC3\xB3"), Connection::DIAG_FRONT, Connection::DIAG_BACK, Connection::EMPTY, Connection::EMPTY },
    { 164, 169, 166, 165, wxString::FromUTF8("\xC3\xB4"), Connection::EMPTY, Connection::DIAG_BOTH, Connection::EMPTY, Connection::ORTHO_BOTH },
    { 165, 171, 167, 164, wxString::FromUTF8("\xC3\xB5"), Connection::EMPTY, Connection::DIAG_BOTH, Connection::ORTHO_BOTH, Connection::EMPTY },
    { 166, 168, 164, 167, wxString::FromUTF8("\xC3\xB6"), Connection::DIAG_BOTH, Connection::EMPTY, Connection::EMPTY, Connection::ORTHO_BOTH },
    { 167, 170, 165, 166, wxString::FromUTF8("\xC3\xB7"), Connection::DIAG_BOTH, Connection::EMPTY, Connection::ORTHO_BOTH, Connection::EMPTY },
    { 168, 165, 170, 169, wxString::FromUTF8("\xC3\xB8"), Connection::EMPTY, Connection::ORTHO_BOTH, Connection::EMPTY, Connection::DIAG_BOTH },
    { 169, 167, 171, 168, wxString::FromUTF8("\xC3\xB9"), Connection::EMPTY, Connection::ORTHO_BOTH, Connection::DIAG_BOTH, Connection::EMPTY },
    { 170, 164, 168, 171, wxString::FromUTF8("\xC3\xBB"), Connection::ORTHO_BOTH, Connection::EMPTY, Connection::EMPTY, Connection::DIAG_BOTH },
    { 171, 166, 169, 170, wxString::FromUTF8("\xC3\xBC"), Connection::ORTHO_BOTH, Connection::EMPTY, Connection::DIAG_BOTH, Connection::EMPTY },
    { 172, 173, 178, 176, wxString::FromUTF8("\xC4\xA3"), Connection::EMPTY, Connection::DIAG_FRONT, Connection::ORTHO_DOWN, Connection::EMPTY },
    { 173, 174, 177, 179, wxString::FromUTF8("\xC4\xA4"), Connection::ORTHO_LEFT, Connection::EMPTY, Connection::DIAG_FRONT, Connection::EMPTY },
    { 174, 175, 176, 178, wxString::FromUTF8("\xC4\xA5"), Connection::DIAG_FRONT, Connection::EMPTY, Connection::EMPTY, Connection::ORTHO_UP },
    { 175, 172, 179, 177, wxString::FromUTF8("\xC4\xA6"), Connection::EMPTY, Connection::ORTHO_RIGHT, Connection::EMPTY, Connection::DIAG_FRONT },
    { 176, 177, 174, 172, wxString::FromUTF8("\xC4\xA7"), Connection::EMPTY, Connection::DIAG_BACK, Connection::EMPTY, Connection::ORTHO_DOWN },
    { 177, 178, 173, 175, wxString::FromUTF8("\xC4\xA8"), Connection::EMPTY, Connection::ORTHO_LEFT, Connection::DIAG_BACK, Connection::EMPTY },
    { 178, 179, 172, 174, wxString::FromUTF8("\xC4\xA9"), Connection::DIAG_BACK, Connection::EMPTY, Connection::ORTHO_UP, Connection::EMPTY },
    { 179, 176, 175, 173, wxString::FromUTF8("\xC4\xAA"), Connection::ORTHO_RIGHT, Connection::EMPTY, Connection::EMPTY, Connection::DIAG_BACK },
    { 180, 183, 180, 180, wxString::FromUTF8("\xC5\x92"), Connection::EMPTY, Connection::EMPTY, Connection::ORTHO_BOTH, Connection::ORTHO_BOTH },
    { 181, 182, 181, 189, wxString::FromUTF8("\xC5\xA0"), Connection::EMPTY, Connection::EMPTY, Connection::EMPTY, Connection::DIAG_BOTH },
    { 182, 189, 188, 182, wxString::FromUTF8("\xCB\x86"), Connection::EMPTY, Connection::DIAG_BOTH, Connection::EMPTY, Connection::EMPTY },
    { 183, 180, 183, 183, wxString::FromUTF8("\xE2\x80\x9A"), Connection::ORTHO_BOTH, Connection::ORTHO_BOTH, Connection::EMPTY, Connection::EMPTY },
    { 184, 187, 185, 187, wxString::FromUTF8("\xE2\x80\x9E"), Connection::EMPTY, Connection::DIAG_BOTH, Connection::EMPTY, Connection::DIAG_BOTH },
    { 185, 184, 184, 186, wxString::FromUTF8("\xE2\x80\xA0"), Connection::DIAG_BOTH, Connection::EMPTY, Connection::EMPTY, Connection::DIAG_BOTH },
    { 186, 185, 187, 185, wxString::FromUTF8("\xE2\x80\xA1"), Connection::DIAG_BOTH, Connection::EMPTY, Connection::DIAG_BOTH, Connection::EMPTY },
    { 187, 186, 186, 184, wxString::FromUTF8("\xE2\x80\xA6"), Connection::EMPTY, Connection::DIAG_BOTH, Connection::DIAG_BOTH, Connection::EMPTY },
    { 188, 181, 182, 188, wxString::FromUTF8("\xE2\x80\xB0"), Connection::DIAG_BOTH, Connection::EMPTY, Connection::EMPTY, Connection::EMPTY },
    { 189, 188, 189, 181, wxString::FromUTF8("\xE2\x80\xB9"), Connection::EMPTY, Connection::EMPTY, Connection::DIAG_BOTH, Connection::EMPTY }
} };</v>
      </c>
      <c r="AA12" s="84"/>
      <c r="AB12" s="84"/>
      <c r="AC12" s="84"/>
      <c r="AD12" s="84"/>
      <c r="AE12" s="84"/>
      <c r="AG12" s="82" t="str">
        <f t="shared" si="7"/>
        <v xml:space="preserve">    { 10, 28, 41, 6, wxString::FromUTF8("\x2A"), Connection::DIAG_BOTH, Connection::ORTHO_BOTH, Connection::ORTHO_BOTH, Connection::EMPTY }</v>
      </c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1"/>
    </row>
    <row r="13" spans="1:44" x14ac:dyDescent="0.4">
      <c r="A13" s="7" t="s">
        <v>70</v>
      </c>
      <c r="B13" s="6" t="str">
        <f t="shared" si="0"/>
        <v>+</v>
      </c>
      <c r="C13" s="71" cm="1">
        <f t="array" ref="C13">IF($M13&lt;&gt;"",INDEX($M:$M,MATCH(TRUE,EXACT(B13,$A:$A),0)),"")</f>
        <v>11</v>
      </c>
      <c r="D13" s="61" t="s">
        <v>77</v>
      </c>
      <c r="E13" s="71" cm="1">
        <f t="array" ref="E13">IF($M13&lt;&gt;"",INDEX($M:$M,MATCH(TRUE,EXACT(D13,$A:$A),0)),"")</f>
        <v>93</v>
      </c>
      <c r="F13" s="61" t="s">
        <v>77</v>
      </c>
      <c r="G13" s="71" cm="1">
        <f t="array" ref="G13">IF($M13&lt;&gt;"",INDEX($M:$M,MATCH(TRUE,EXACT(F13,$A:$A),0)),"")</f>
        <v>93</v>
      </c>
      <c r="H13" s="61" t="s">
        <v>75</v>
      </c>
      <c r="I13" s="75" cm="1">
        <f t="array" ref="I13">IF($M13&lt;&gt;"",INDEX($M:$M,MATCH(TRUE,EXACT(H13,$A:$A),0)),"")</f>
        <v>63</v>
      </c>
      <c r="J13" s="46"/>
      <c r="K13" s="56"/>
      <c r="L13" s="41" t="b">
        <f t="shared" si="1"/>
        <v>1</v>
      </c>
      <c r="M13" s="42">
        <f>IF(L13, MAX(M$2:M12)+1,"")</f>
        <v>11</v>
      </c>
      <c r="N13" s="46" t="str">
        <f t="shared" si="2"/>
        <v>+</v>
      </c>
      <c r="O13" s="8" t="str" cm="1">
        <f t="array" ref="O13">CharToUTF8(A13)</f>
        <v>\x2B</v>
      </c>
      <c r="Q13" s="41" t="str">
        <f t="shared" si="8"/>
        <v>DIAG_BOTH</v>
      </c>
      <c r="R13" s="47" t="str">
        <f>$Z$4</f>
        <v>ORTHO_BOTH</v>
      </c>
      <c r="S13" s="47" t="str">
        <f>$Z$4</f>
        <v>ORTHO_BOTH</v>
      </c>
      <c r="T13" s="44" t="str">
        <f>$Z$3</f>
        <v>DIAG_BOTH</v>
      </c>
      <c r="V13" s="54" t="b">
        <f t="shared" si="4"/>
        <v>0</v>
      </c>
      <c r="W13" t="b">
        <f t="shared" si="5"/>
        <v>0</v>
      </c>
      <c r="X13" t="b">
        <f t="shared" si="6"/>
        <v>0</v>
      </c>
      <c r="Z13" s="84"/>
      <c r="AA13" s="84"/>
      <c r="AB13" s="84"/>
      <c r="AC13" s="84"/>
      <c r="AD13" s="84"/>
      <c r="AE13" s="84"/>
      <c r="AG13" s="82" t="str">
        <f t="shared" si="7"/>
        <v xml:space="preserve">    { 11, 93, 93, 63, wxString::FromUTF8("\x2B"), Connection::DIAG_BOTH, Connection::ORTHO_BOTH, Connection::ORTHO_BOTH, Connection::DIAG_BOTH }</v>
      </c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1"/>
    </row>
    <row r="14" spans="1:44" x14ac:dyDescent="0.4">
      <c r="A14" s="7" t="s">
        <v>64</v>
      </c>
      <c r="B14" s="6" t="str">
        <f t="shared" si="0"/>
        <v>,</v>
      </c>
      <c r="C14" s="71" cm="1">
        <f t="array" ref="C14">IF($M14&lt;&gt;"",INDEX($M:$M,MATCH(TRUE,EXACT(B14,$A:$A),0)),"")</f>
        <v>12</v>
      </c>
      <c r="D14" s="61" t="s">
        <v>6</v>
      </c>
      <c r="E14" s="71" cm="1">
        <f t="array" ref="E14">IF($M14&lt;&gt;"",INDEX($M:$M,MATCH(TRUE,EXACT(D14,$A:$A),0)),"")</f>
        <v>85</v>
      </c>
      <c r="F14" s="61" t="s">
        <v>17</v>
      </c>
      <c r="G14" s="71" cm="1">
        <f t="array" ref="G14">IF($M14&lt;&gt;"",INDEX($M:$M,MATCH(TRUE,EXACT(F14,$A:$A),0)),"")</f>
        <v>75</v>
      </c>
      <c r="H14" s="61" t="s">
        <v>25</v>
      </c>
      <c r="I14" s="75" cm="1">
        <f t="array" ref="I14">IF($M14&lt;&gt;"",INDEX($M:$M,MATCH(TRUE,EXACT(H14,$A:$A),0)),"")</f>
        <v>77</v>
      </c>
      <c r="J14" s="46"/>
      <c r="K14" s="56"/>
      <c r="L14" s="41" t="b">
        <f t="shared" si="1"/>
        <v>1</v>
      </c>
      <c r="M14" s="42">
        <f>IF(L14, MAX(M$2:M13)+1,"")</f>
        <v>12</v>
      </c>
      <c r="N14" s="46" t="str">
        <f t="shared" si="2"/>
        <v>,</v>
      </c>
      <c r="O14" s="8" t="str" cm="1">
        <f t="array" ref="O14">CharToUTF8(A14)</f>
        <v>\x2C</v>
      </c>
      <c r="Q14" s="41" t="str">
        <f t="shared" si="8"/>
        <v>DIAG_BOTH</v>
      </c>
      <c r="R14" s="47" t="str">
        <f>$Z$2</f>
        <v>EMPTY</v>
      </c>
      <c r="S14" s="47" t="str">
        <f>$Z$4</f>
        <v>ORTHO_BOTH</v>
      </c>
      <c r="T14" s="44" t="str">
        <f>$Z$3</f>
        <v>DIAG_BOTH</v>
      </c>
      <c r="V14" s="54" t="b">
        <f t="shared" si="4"/>
        <v>0</v>
      </c>
      <c r="W14" t="b">
        <f t="shared" si="5"/>
        <v>0</v>
      </c>
      <c r="X14" t="b">
        <f t="shared" si="6"/>
        <v>0</v>
      </c>
      <c r="Z14" s="84"/>
      <c r="AA14" s="84"/>
      <c r="AB14" s="84"/>
      <c r="AC14" s="84"/>
      <c r="AD14" s="84"/>
      <c r="AE14" s="84"/>
      <c r="AG14" s="82" t="str">
        <f t="shared" si="7"/>
        <v xml:space="preserve">    { 12, 85, 75, 77, wxString::FromUTF8("\x2C"), Connection::DIAG_BOTH, Connection::EMPTY, Connection::ORTHO_BOTH, Connection::DIAG_BOTH }</v>
      </c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1"/>
    </row>
    <row r="15" spans="1:44" ht="31.5" customHeight="1" x14ac:dyDescent="0.4">
      <c r="A15" s="7" t="s">
        <v>74</v>
      </c>
      <c r="B15" s="6" t="str">
        <f t="shared" si="0"/>
        <v>-</v>
      </c>
      <c r="C15" s="71" cm="1">
        <f t="array" ref="C15">IF($M15&lt;&gt;"",INDEX($M:$M,MATCH(TRUE,EXACT(B15,$A:$A),0)),"")</f>
        <v>13</v>
      </c>
      <c r="D15" s="61" t="s">
        <v>72</v>
      </c>
      <c r="E15" s="71" cm="1">
        <f t="array" ref="E15">IF($M15&lt;&gt;"",INDEX($M:$M,MATCH(TRUE,EXACT(D15,$A:$A),0)),"")</f>
        <v>61</v>
      </c>
      <c r="F15" s="61" t="s">
        <v>79</v>
      </c>
      <c r="G15" s="71" cm="1">
        <f t="array" ref="G15">IF($M15&lt;&gt;"",INDEX($M:$M,MATCH(TRUE,EXACT(F15,$A:$A),0)),"")</f>
        <v>29</v>
      </c>
      <c r="H15" s="61" t="s">
        <v>74</v>
      </c>
      <c r="I15" s="75" cm="1">
        <f t="array" ref="I15">IF($M15&lt;&gt;"",INDEX($M:$M,MATCH(TRUE,EXACT(H15,$A:$A),0)),"")</f>
        <v>13</v>
      </c>
      <c r="J15" s="46"/>
      <c r="K15" s="56"/>
      <c r="L15" s="41" t="b">
        <f t="shared" si="1"/>
        <v>1</v>
      </c>
      <c r="M15" s="42">
        <f>IF(L15, MAX(M$2:M14)+1,"")</f>
        <v>13</v>
      </c>
      <c r="N15" s="46" t="str">
        <f t="shared" si="2"/>
        <v>-</v>
      </c>
      <c r="O15" s="8" t="str" cm="1">
        <f t="array" ref="O15">CharToUTF8(A15)</f>
        <v>\x2D</v>
      </c>
      <c r="Q15" s="41" t="str">
        <f t="shared" si="8"/>
        <v>DIAG_BOTH</v>
      </c>
      <c r="R15" s="47" t="str">
        <f>$Z$4</f>
        <v>ORTHO_BOTH</v>
      </c>
      <c r="S15" s="47" t="str">
        <f>$Z$2</f>
        <v>EMPTY</v>
      </c>
      <c r="T15" s="44" t="str">
        <f>$Z$2</f>
        <v>EMPTY</v>
      </c>
      <c r="V15" s="54" t="b">
        <f t="shared" si="4"/>
        <v>0</v>
      </c>
      <c r="W15" t="b">
        <f t="shared" si="5"/>
        <v>0</v>
      </c>
      <c r="X15" t="b">
        <f t="shared" si="6"/>
        <v>1</v>
      </c>
      <c r="Z15" s="84"/>
      <c r="AA15" s="84"/>
      <c r="AB15" s="84"/>
      <c r="AC15" s="84"/>
      <c r="AD15" s="84"/>
      <c r="AE15" s="84"/>
      <c r="AG15" s="82" t="str">
        <f t="shared" si="7"/>
        <v xml:space="preserve">    { 13, 61, 29, 13, wxString::FromUTF8("\x2D"), Connection::DIAG_BOTH, Connection::ORTHO_BOTH, Connection::EMPTY, Connection::EMPTY }</v>
      </c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1"/>
    </row>
    <row r="16" spans="1:44" x14ac:dyDescent="0.4">
      <c r="A16" s="7" t="s">
        <v>73</v>
      </c>
      <c r="B16" s="6" t="str">
        <f t="shared" si="0"/>
        <v>.</v>
      </c>
      <c r="C16" s="71" cm="1">
        <f t="array" ref="C16">IF($M16&lt;&gt;"",INDEX($M:$M,MATCH(TRUE,EXACT(B16,$A:$A),0)),"")</f>
        <v>14</v>
      </c>
      <c r="D16" s="61">
        <v>9</v>
      </c>
      <c r="E16" s="71" cm="1">
        <f t="array" ref="E16">IF($M16&lt;&gt;"",INDEX($M:$M,MATCH(TRUE,EXACT(D16,$A:$A),0)),"")</f>
        <v>25</v>
      </c>
      <c r="F16" s="61" t="s">
        <v>18</v>
      </c>
      <c r="G16" s="71" cm="1">
        <f t="array" ref="G16">IF($M16&lt;&gt;"",INDEX($M:$M,MATCH(TRUE,EXACT(F16,$A:$A),0)),"")</f>
        <v>76</v>
      </c>
      <c r="H16" s="61" t="s">
        <v>65</v>
      </c>
      <c r="I16" s="75" cm="1">
        <f t="array" ref="I16">IF($M16&lt;&gt;"",INDEX($M:$M,MATCH(TRUE,EXACT(H16,$A:$A),0)),"")</f>
        <v>15</v>
      </c>
      <c r="J16" s="46"/>
      <c r="K16" s="56"/>
      <c r="L16" s="41" t="b">
        <f t="shared" si="1"/>
        <v>1</v>
      </c>
      <c r="M16" s="42">
        <f>IF(L16, MAX(M$2:M15)+1,"")</f>
        <v>14</v>
      </c>
      <c r="N16" s="46" t="str">
        <f t="shared" si="2"/>
        <v>.</v>
      </c>
      <c r="O16" s="8" t="str" cm="1">
        <f t="array" ref="O16">CharToUTF8(A16)</f>
        <v>\x2E</v>
      </c>
      <c r="Q16" s="41" t="str">
        <f t="shared" si="8"/>
        <v>DIAG_BOTH</v>
      </c>
      <c r="R16" s="47" t="str">
        <f>$Z$2</f>
        <v>EMPTY</v>
      </c>
      <c r="S16" s="47" t="str">
        <f>$Z$2</f>
        <v>EMPTY</v>
      </c>
      <c r="T16" s="44" t="str">
        <f>$Z$4</f>
        <v>ORTHO_BOTH</v>
      </c>
      <c r="V16" s="54" t="b">
        <f t="shared" si="4"/>
        <v>0</v>
      </c>
      <c r="W16" t="b">
        <f t="shared" si="5"/>
        <v>0</v>
      </c>
      <c r="X16" t="b">
        <f t="shared" si="6"/>
        <v>0</v>
      </c>
      <c r="Z16" s="84"/>
      <c r="AA16" s="84"/>
      <c r="AB16" s="84"/>
      <c r="AC16" s="84"/>
      <c r="AD16" s="84"/>
      <c r="AE16" s="84"/>
      <c r="AG16" s="82" t="str">
        <f t="shared" si="7"/>
        <v xml:space="preserve">    { 14, 25, 76, 15, wxString::FromUTF8("\x2E"), Connection::DIAG_BOTH, Connection::EMPTY, Connection::EMPTY, Connection::ORTHO_BOTH }</v>
      </c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1"/>
    </row>
    <row r="17" spans="1:44" x14ac:dyDescent="0.4">
      <c r="A17" s="7" t="s">
        <v>65</v>
      </c>
      <c r="B17" s="6" t="str">
        <f t="shared" si="0"/>
        <v>/</v>
      </c>
      <c r="C17" s="71" cm="1">
        <f t="array" ref="C17">IF($M17&lt;&gt;"",INDEX($M:$M,MATCH(TRUE,EXACT(B17,$A:$A),0)),"")</f>
        <v>15</v>
      </c>
      <c r="D17" s="61" t="s">
        <v>8</v>
      </c>
      <c r="E17" s="71" cm="1">
        <f t="array" ref="E17">IF($M17&lt;&gt;"",INDEX($M:$M,MATCH(TRUE,EXACT(D17,$A:$A),0)),"")</f>
        <v>79</v>
      </c>
      <c r="F17" s="61" t="s">
        <v>66</v>
      </c>
      <c r="G17" s="71" cm="1">
        <f t="array" ref="G17">IF($M17&lt;&gt;"",INDEX($M:$M,MATCH(TRUE,EXACT(F17,$A:$A),0)),"")</f>
        <v>27</v>
      </c>
      <c r="H17" s="61" t="s">
        <v>73</v>
      </c>
      <c r="I17" s="75" cm="1">
        <f t="array" ref="I17">IF($M17&lt;&gt;"",INDEX($M:$M,MATCH(TRUE,EXACT(H17,$A:$A),0)),"")</f>
        <v>14</v>
      </c>
      <c r="J17" s="46"/>
      <c r="K17" s="56"/>
      <c r="L17" s="41" t="b">
        <f t="shared" si="1"/>
        <v>1</v>
      </c>
      <c r="M17" s="42">
        <f>IF(L17, MAX(M$2:M16)+1,"")</f>
        <v>15</v>
      </c>
      <c r="N17" s="46" t="str">
        <f t="shared" si="2"/>
        <v>/</v>
      </c>
      <c r="O17" s="8" t="str" cm="1">
        <f t="array" ref="O17">CharToUTF8(A17)</f>
        <v>\x2F</v>
      </c>
      <c r="Q17" s="41" t="str">
        <f t="shared" si="8"/>
        <v>DIAG_BOTH</v>
      </c>
      <c r="R17" s="47" t="str">
        <f>$Z$2</f>
        <v>EMPTY</v>
      </c>
      <c r="S17" s="47" t="str">
        <f>$Z$4</f>
        <v>ORTHO_BOTH</v>
      </c>
      <c r="T17" s="44" t="str">
        <f>$Z$2</f>
        <v>EMPTY</v>
      </c>
      <c r="V17" s="54" t="b">
        <f t="shared" si="4"/>
        <v>0</v>
      </c>
      <c r="W17" t="b">
        <f t="shared" si="5"/>
        <v>0</v>
      </c>
      <c r="X17" t="b">
        <f t="shared" si="6"/>
        <v>0</v>
      </c>
      <c r="Z17" s="84"/>
      <c r="AA17" s="84"/>
      <c r="AB17" s="84"/>
      <c r="AC17" s="84"/>
      <c r="AD17" s="84"/>
      <c r="AE17" s="84"/>
      <c r="AG17" s="82" t="str">
        <f t="shared" si="7"/>
        <v xml:space="preserve">    { 15, 79, 27, 14, wxString::FromUTF8("\x2F"), Connection::DIAG_BOTH, Connection::EMPTY, Connection::ORTHO_BOTH, Connection::EMPTY }</v>
      </c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1"/>
    </row>
    <row r="18" spans="1:44" x14ac:dyDescent="0.4">
      <c r="A18" s="7">
        <v>0</v>
      </c>
      <c r="B18" s="6">
        <f t="shared" si="0"/>
        <v>0</v>
      </c>
      <c r="C18" s="71" cm="1">
        <f t="array" ref="C18">IF($M18&lt;&gt;"",INDEX($M:$M,MATCH(TRUE,EXACT(B18,$A:$A),0)),"")</f>
        <v>16</v>
      </c>
      <c r="D18" s="61" t="s">
        <v>65</v>
      </c>
      <c r="E18" s="71" cm="1">
        <f t="array" ref="E18">IF($M18&lt;&gt;"",INDEX($M:$M,MATCH(TRUE,EXACT(D18,$A:$A),0)),"")</f>
        <v>15</v>
      </c>
      <c r="F18" s="61" t="s">
        <v>9</v>
      </c>
      <c r="G18" s="71" cm="1">
        <f t="array" ref="G18">IF($M18&lt;&gt;"",INDEX($M:$M,MATCH(TRUE,EXACT(F18,$A:$A),0)),"")</f>
        <v>80</v>
      </c>
      <c r="H18" s="61">
        <v>9</v>
      </c>
      <c r="I18" s="75" cm="1">
        <f t="array" ref="I18">IF($M18&lt;&gt;"",INDEX($M:$M,MATCH(TRUE,EXACT(H18,$A:$A),0)),"")</f>
        <v>25</v>
      </c>
      <c r="J18" s="46"/>
      <c r="K18" s="56"/>
      <c r="L18" s="41" t="b">
        <f t="shared" si="1"/>
        <v>1</v>
      </c>
      <c r="M18" s="42">
        <f>IF(L18, MAX(M$2:M17)+1,"")</f>
        <v>16</v>
      </c>
      <c r="N18" s="46">
        <f t="shared" si="2"/>
        <v>0</v>
      </c>
      <c r="O18" s="8" t="str" cm="1">
        <f t="array" ref="O18">CharToUTF8(A18)</f>
        <v>\x30</v>
      </c>
      <c r="Q18" s="41" t="str">
        <f>$Z$2</f>
        <v>EMPTY</v>
      </c>
      <c r="R18" s="47" t="str">
        <f>$Z$4</f>
        <v>ORTHO_BOTH</v>
      </c>
      <c r="S18" s="47" t="str">
        <f>$Z$3</f>
        <v>DIAG_BOTH</v>
      </c>
      <c r="T18" s="44" t="str">
        <f>$Z$2</f>
        <v>EMPTY</v>
      </c>
      <c r="V18" s="54" t="b">
        <f t="shared" si="4"/>
        <v>0</v>
      </c>
      <c r="W18" t="b">
        <f t="shared" si="5"/>
        <v>0</v>
      </c>
      <c r="X18" t="b">
        <f t="shared" si="6"/>
        <v>0</v>
      </c>
      <c r="Z18" s="84"/>
      <c r="AA18" s="84"/>
      <c r="AB18" s="84"/>
      <c r="AC18" s="84"/>
      <c r="AD18" s="84"/>
      <c r="AE18" s="84"/>
      <c r="AG18" s="82" t="str">
        <f t="shared" si="7"/>
        <v xml:space="preserve">    { 16, 15, 80, 25, wxString::FromUTF8("\x30"), Connection::EMPTY, Connection::ORTHO_BOTH, Connection::DIAG_BOTH, Connection::EMPTY }</v>
      </c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1"/>
    </row>
    <row r="19" spans="1:44" ht="31.5" customHeight="1" x14ac:dyDescent="0.4">
      <c r="A19" s="7">
        <v>1</v>
      </c>
      <c r="B19" s="6">
        <f t="shared" si="0"/>
        <v>1</v>
      </c>
      <c r="C19" s="71" cm="1">
        <f t="array" ref="C19">IF($M19&lt;&gt;"",INDEX($M:$M,MATCH(TRUE,EXACT(B19,$A:$A),0)),"")</f>
        <v>17</v>
      </c>
      <c r="D19" s="61" t="s">
        <v>168</v>
      </c>
      <c r="E19" s="71" cm="1">
        <f t="array" ref="E19">IF($M19&lt;&gt;"",INDEX($M:$M,MATCH(TRUE,EXACT(D19,$A:$A),0)),"")</f>
        <v>64</v>
      </c>
      <c r="F19" s="61">
        <v>1</v>
      </c>
      <c r="G19" s="71" cm="1">
        <f t="array" ref="G19">IF($M19&lt;&gt;"",INDEX($M:$M,MATCH(TRUE,EXACT(F19,$A:$A),0)),"")</f>
        <v>17</v>
      </c>
      <c r="H19" s="61">
        <v>1</v>
      </c>
      <c r="I19" s="75" cm="1">
        <f t="array" ref="I19">IF($M19&lt;&gt;"",INDEX($M:$M,MATCH(TRUE,EXACT(H19,$A:$A),0)),"")</f>
        <v>17</v>
      </c>
      <c r="J19" s="46"/>
      <c r="K19" s="56"/>
      <c r="L19" s="41" t="b">
        <f t="shared" si="1"/>
        <v>1</v>
      </c>
      <c r="M19" s="42">
        <f>IF(L19, MAX(M$2:M18)+1,"")</f>
        <v>17</v>
      </c>
      <c r="N19" s="46">
        <f t="shared" si="2"/>
        <v>1</v>
      </c>
      <c r="O19" s="8" t="str" cm="1">
        <f t="array" ref="O19">CharToUTF8(A19)</f>
        <v>\x31</v>
      </c>
      <c r="Q19" s="41" t="str">
        <f>$Z$2</f>
        <v>EMPTY</v>
      </c>
      <c r="R19" s="47" t="str">
        <f>$Z$2</f>
        <v>EMPTY</v>
      </c>
      <c r="S19" s="47" t="str">
        <f>$Z$3</f>
        <v>DIAG_BOTH</v>
      </c>
      <c r="T19" s="44" t="str">
        <f>$Z$3</f>
        <v>DIAG_BOTH</v>
      </c>
      <c r="V19" s="54" t="b">
        <f t="shared" si="4"/>
        <v>0</v>
      </c>
      <c r="W19" t="b">
        <f t="shared" si="5"/>
        <v>1</v>
      </c>
      <c r="X19" t="b">
        <f t="shared" si="6"/>
        <v>1</v>
      </c>
      <c r="Z19" s="84"/>
      <c r="AA19" s="84"/>
      <c r="AB19" s="84"/>
      <c r="AC19" s="84"/>
      <c r="AD19" s="84"/>
      <c r="AE19" s="84"/>
      <c r="AG19" s="82" t="str">
        <f t="shared" si="7"/>
        <v xml:space="preserve">    { 17, 64, 17, 17, wxString::FromUTF8("\x31"), Connection::EMPTY, Connection::EMPTY, Connection::DIAG_BOTH, Connection::DIAG_BOTH }</v>
      </c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1"/>
    </row>
    <row r="20" spans="1:44" x14ac:dyDescent="0.4">
      <c r="A20" s="7">
        <v>2</v>
      </c>
      <c r="B20" s="6">
        <f t="shared" si="0"/>
        <v>2</v>
      </c>
      <c r="C20" s="71" cm="1">
        <f t="array" ref="C20">IF($M20&lt;&gt;"",INDEX($M:$M,MATCH(TRUE,EXACT(B20,$A:$A),0)),"")</f>
        <v>18</v>
      </c>
      <c r="D20" s="61">
        <v>3</v>
      </c>
      <c r="E20" s="71" cm="1">
        <f t="array" ref="E20">IF($M20&lt;&gt;"",INDEX($M:$M,MATCH(TRUE,EXACT(D20,$A:$A),0)),"")</f>
        <v>19</v>
      </c>
      <c r="F20" s="61">
        <v>2</v>
      </c>
      <c r="G20" s="71" cm="1">
        <f t="array" ref="G20">IF($M20&lt;&gt;"",INDEX($M:$M,MATCH(TRUE,EXACT(F20,$A:$A),0)),"")</f>
        <v>18</v>
      </c>
      <c r="H20" s="61">
        <v>2</v>
      </c>
      <c r="I20" s="75" cm="1">
        <f t="array" ref="I20">IF($M20&lt;&gt;"",INDEX($M:$M,MATCH(TRUE,EXACT(H20,$A:$A),0)),"")</f>
        <v>18</v>
      </c>
      <c r="J20" s="46"/>
      <c r="K20" s="56"/>
      <c r="L20" s="41" t="b">
        <f t="shared" si="1"/>
        <v>1</v>
      </c>
      <c r="M20" s="42">
        <f>IF(L20, MAX(M$2:M19)+1,"")</f>
        <v>18</v>
      </c>
      <c r="N20" s="46">
        <f t="shared" si="2"/>
        <v>2</v>
      </c>
      <c r="O20" s="8" t="str" cm="1">
        <f t="array" ref="O20">CharToUTF8(A20)</f>
        <v>\x32</v>
      </c>
      <c r="Q20" s="41" t="str">
        <f>$Z$4</f>
        <v>ORTHO_BOTH</v>
      </c>
      <c r="R20" s="47" t="str">
        <f>$Z$4</f>
        <v>ORTHO_BOTH</v>
      </c>
      <c r="S20" s="47" t="str">
        <f>$Z$3</f>
        <v>DIAG_BOTH</v>
      </c>
      <c r="T20" s="44" t="str">
        <f>$Z$3</f>
        <v>DIAG_BOTH</v>
      </c>
      <c r="V20" s="54" t="b">
        <f t="shared" si="4"/>
        <v>0</v>
      </c>
      <c r="W20" t="b">
        <f t="shared" si="5"/>
        <v>1</v>
      </c>
      <c r="X20" t="b">
        <f t="shared" si="6"/>
        <v>1</v>
      </c>
      <c r="Z20" s="84"/>
      <c r="AA20" s="84"/>
      <c r="AB20" s="84"/>
      <c r="AC20" s="84"/>
      <c r="AD20" s="84"/>
      <c r="AE20" s="84"/>
      <c r="AG20" s="82" t="str">
        <f t="shared" si="7"/>
        <v xml:space="preserve">    { 18, 19, 18, 18, wxString::FromUTF8("\x32"), Connection::ORTHO_BOTH, Connection::ORTHO_BOTH, Connection::DIAG_BOTH, Connection::DIAG_BOTH }</v>
      </c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1"/>
    </row>
    <row r="21" spans="1:44" x14ac:dyDescent="0.4">
      <c r="A21" s="7">
        <v>3</v>
      </c>
      <c r="B21" s="6">
        <f t="shared" si="0"/>
        <v>3</v>
      </c>
      <c r="C21" s="71" cm="1">
        <f t="array" ref="C21">IF($M21&lt;&gt;"",INDEX($M:$M,MATCH(TRUE,EXACT(B21,$A:$A),0)),"")</f>
        <v>19</v>
      </c>
      <c r="D21" s="61">
        <v>2</v>
      </c>
      <c r="E21" s="71" cm="1">
        <f t="array" ref="E21">IF($M21&lt;&gt;"",INDEX($M:$M,MATCH(TRUE,EXACT(D21,$A:$A),0)),"")</f>
        <v>18</v>
      </c>
      <c r="F21" s="61">
        <v>3</v>
      </c>
      <c r="G21" s="71" cm="1">
        <f t="array" ref="G21">IF($M21&lt;&gt;"",INDEX($M:$M,MATCH(TRUE,EXACT(F21,$A:$A),0)),"")</f>
        <v>19</v>
      </c>
      <c r="H21" s="61">
        <v>3</v>
      </c>
      <c r="I21" s="75" cm="1">
        <f t="array" ref="I21">IF($M21&lt;&gt;"",INDEX($M:$M,MATCH(TRUE,EXACT(H21,$A:$A),0)),"")</f>
        <v>19</v>
      </c>
      <c r="J21" s="46"/>
      <c r="K21" s="56"/>
      <c r="L21" s="41" t="b">
        <f t="shared" si="1"/>
        <v>1</v>
      </c>
      <c r="M21" s="42">
        <f>IF(L21, MAX(M$2:M20)+1,"")</f>
        <v>19</v>
      </c>
      <c r="N21" s="46">
        <f t="shared" si="2"/>
        <v>3</v>
      </c>
      <c r="O21" s="8" t="str" cm="1">
        <f t="array" ref="O21">CharToUTF8(A21)</f>
        <v>\x33</v>
      </c>
      <c r="Q21" s="41" t="str">
        <f>$Z$3</f>
        <v>DIAG_BOTH</v>
      </c>
      <c r="R21" s="47" t="str">
        <f>$Z$3</f>
        <v>DIAG_BOTH</v>
      </c>
      <c r="S21" s="47" t="str">
        <f>$Z$4</f>
        <v>ORTHO_BOTH</v>
      </c>
      <c r="T21" s="44" t="str">
        <f>$Z$4</f>
        <v>ORTHO_BOTH</v>
      </c>
      <c r="V21" s="54" t="b">
        <f t="shared" si="4"/>
        <v>0</v>
      </c>
      <c r="W21" t="b">
        <f t="shared" si="5"/>
        <v>1</v>
      </c>
      <c r="X21" t="b">
        <f t="shared" si="6"/>
        <v>1</v>
      </c>
      <c r="Z21" s="84"/>
      <c r="AA21" s="84"/>
      <c r="AB21" s="84"/>
      <c r="AC21" s="84"/>
      <c r="AD21" s="84"/>
      <c r="AE21" s="84"/>
      <c r="AG21" s="82" t="str">
        <f t="shared" si="7"/>
        <v xml:space="preserve">    { 19, 18, 19, 19, wxString::FromUTF8("\x33"), Connection::DIAG_BOTH, Connection::DIAG_BOTH, Connection::ORTHO_BOTH, Connection::ORTHO_BOTH }</v>
      </c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1"/>
    </row>
    <row r="22" spans="1:44" ht="31.5" customHeight="1" x14ac:dyDescent="0.4">
      <c r="A22" s="7">
        <v>4</v>
      </c>
      <c r="B22" s="6">
        <f t="shared" si="0"/>
        <v>4</v>
      </c>
      <c r="C22" s="71" cm="1">
        <f t="array" ref="C22">IF($M22&lt;&gt;"",INDEX($M:$M,MATCH(TRUE,EXACT(B22,$A:$A),0)),"")</f>
        <v>20</v>
      </c>
      <c r="D22" s="61" t="s">
        <v>22</v>
      </c>
      <c r="E22" s="71" cm="1">
        <f t="array" ref="E22">IF($M22&lt;&gt;"",INDEX($M:$M,MATCH(TRUE,EXACT(D22,$A:$A),0)),"")</f>
        <v>86</v>
      </c>
      <c r="F22" s="61" t="s">
        <v>3</v>
      </c>
      <c r="G22" s="71" cm="1">
        <f t="array" ref="G22">IF($M22&lt;&gt;"",INDEX($M:$M,MATCH(TRUE,EXACT(F22,$A:$A),0)),"")</f>
        <v>82</v>
      </c>
      <c r="H22" s="61">
        <v>4</v>
      </c>
      <c r="I22" s="75" cm="1">
        <f t="array" ref="I22">IF($M22&lt;&gt;"",INDEX($M:$M,MATCH(TRUE,EXACT(H22,$A:$A),0)),"")</f>
        <v>20</v>
      </c>
      <c r="J22" s="46"/>
      <c r="K22" s="56"/>
      <c r="L22" s="41" t="b">
        <f t="shared" si="1"/>
        <v>1</v>
      </c>
      <c r="M22" s="42">
        <f>IF(L22, MAX(M$2:M21)+1,"")</f>
        <v>20</v>
      </c>
      <c r="N22" s="46">
        <f t="shared" si="2"/>
        <v>4</v>
      </c>
      <c r="O22" s="8" t="str" cm="1">
        <f t="array" ref="O22">CharToUTF8(A22)</f>
        <v>\x34</v>
      </c>
      <c r="Q22" s="41" t="str">
        <f>$Z$2</f>
        <v>EMPTY</v>
      </c>
      <c r="R22" s="47" t="str">
        <f>$Z$3</f>
        <v>DIAG_BOTH</v>
      </c>
      <c r="S22" s="47" t="str">
        <f>$Z$2</f>
        <v>EMPTY</v>
      </c>
      <c r="T22" s="44" t="str">
        <f>$Z$2</f>
        <v>EMPTY</v>
      </c>
      <c r="V22" s="54" t="b">
        <f t="shared" si="4"/>
        <v>0</v>
      </c>
      <c r="W22" t="b">
        <f t="shared" si="5"/>
        <v>0</v>
      </c>
      <c r="X22" t="b">
        <f t="shared" si="6"/>
        <v>1</v>
      </c>
      <c r="Z22" s="84"/>
      <c r="AA22" s="84"/>
      <c r="AB22" s="84"/>
      <c r="AC22" s="84"/>
      <c r="AD22" s="84"/>
      <c r="AE22" s="84"/>
      <c r="AG22" s="82" t="str">
        <f t="shared" si="7"/>
        <v xml:space="preserve">    { 20, 86, 82, 20, wxString::FromUTF8("\x34"), Connection::EMPTY, Connection::DIAG_BOTH, Connection::EMPTY, Connection::EMPTY }</v>
      </c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1"/>
    </row>
    <row r="23" spans="1:44" x14ac:dyDescent="0.4">
      <c r="A23" s="7">
        <v>5</v>
      </c>
      <c r="B23" s="6">
        <f t="shared" si="0"/>
        <v>5</v>
      </c>
      <c r="C23" s="71" cm="1">
        <f t="array" ref="C23">IF($M23&lt;&gt;"",INDEX($M:$M,MATCH(TRUE,EXACT(B23,$A:$A),0)),"")</f>
        <v>21</v>
      </c>
      <c r="D23" s="61" t="s">
        <v>15</v>
      </c>
      <c r="E23" s="71" cm="1">
        <f t="array" ref="E23">IF($M23&lt;&gt;"",INDEX($M:$M,MATCH(TRUE,EXACT(D23,$A:$A),0)),"")</f>
        <v>72</v>
      </c>
      <c r="F23" s="61" t="s">
        <v>4</v>
      </c>
      <c r="G23" s="71" cm="1">
        <f t="array" ref="G23">IF($M23&lt;&gt;"",INDEX($M:$M,MATCH(TRUE,EXACT(F23,$A:$A),0)),"")</f>
        <v>84</v>
      </c>
      <c r="H23" s="61">
        <v>5</v>
      </c>
      <c r="I23" s="75" cm="1">
        <f t="array" ref="I23">IF($M23&lt;&gt;"",INDEX($M:$M,MATCH(TRUE,EXACT(H23,$A:$A),0)),"")</f>
        <v>21</v>
      </c>
      <c r="J23" s="46"/>
      <c r="K23" s="56"/>
      <c r="L23" s="41" t="b">
        <f t="shared" si="1"/>
        <v>1</v>
      </c>
      <c r="M23" s="42">
        <f>IF(L23, MAX(M$2:M22)+1,"")</f>
        <v>21</v>
      </c>
      <c r="N23" s="46">
        <f t="shared" si="2"/>
        <v>5</v>
      </c>
      <c r="O23" s="8" t="str" cm="1">
        <f t="array" ref="O23">CharToUTF8(A23)</f>
        <v>\x35</v>
      </c>
      <c r="Q23" s="41" t="str">
        <f>$Z$3</f>
        <v>DIAG_BOTH</v>
      </c>
      <c r="R23" s="47" t="str">
        <f t="shared" ref="R23:R28" si="9">$Z$4</f>
        <v>ORTHO_BOTH</v>
      </c>
      <c r="S23" s="47" t="str">
        <f>$Z$3</f>
        <v>DIAG_BOTH</v>
      </c>
      <c r="T23" s="44" t="str">
        <f>$Z$3</f>
        <v>DIAG_BOTH</v>
      </c>
      <c r="V23" s="54" t="b">
        <f t="shared" si="4"/>
        <v>0</v>
      </c>
      <c r="W23" t="b">
        <f t="shared" si="5"/>
        <v>0</v>
      </c>
      <c r="X23" t="b">
        <f t="shared" si="6"/>
        <v>1</v>
      </c>
      <c r="Z23" s="84"/>
      <c r="AA23" s="84"/>
      <c r="AB23" s="84"/>
      <c r="AC23" s="84"/>
      <c r="AD23" s="84"/>
      <c r="AE23" s="84"/>
      <c r="AG23" s="82" t="str">
        <f t="shared" si="7"/>
        <v xml:space="preserve">    { 21, 72, 84, 21, wxString::FromUTF8("\x35"), Connection::DIAG_BOTH, Connection::ORTHO_BOTH, Connection::DIAG_BOTH, Connection::DIAG_BOTH }</v>
      </c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1"/>
    </row>
    <row r="24" spans="1:44" x14ac:dyDescent="0.4">
      <c r="A24" s="7">
        <v>6</v>
      </c>
      <c r="B24" s="6">
        <f t="shared" si="0"/>
        <v>6</v>
      </c>
      <c r="C24" s="71" cm="1">
        <f t="array" ref="C24">IF($M24&lt;&gt;"",INDEX($M:$M,MATCH(TRUE,EXACT(B24,$A:$A),0)),"")</f>
        <v>22</v>
      </c>
      <c r="D24" s="61" t="s">
        <v>24</v>
      </c>
      <c r="E24" s="71" cm="1">
        <f t="array" ref="E24">IF($M24&lt;&gt;"",INDEX($M:$M,MATCH(TRUE,EXACT(D24,$A:$A),0)),"")</f>
        <v>78</v>
      </c>
      <c r="F24" s="61" t="s">
        <v>5</v>
      </c>
      <c r="G24" s="71" cm="1">
        <f t="array" ref="G24">IF($M24&lt;&gt;"",INDEX($M:$M,MATCH(TRUE,EXACT(F24,$A:$A),0)),"")</f>
        <v>89</v>
      </c>
      <c r="H24" s="61">
        <v>6</v>
      </c>
      <c r="I24" s="75" cm="1">
        <f t="array" ref="I24">IF($M24&lt;&gt;"",INDEX($M:$M,MATCH(TRUE,EXACT(H24,$A:$A),0)),"")</f>
        <v>22</v>
      </c>
      <c r="J24" s="46"/>
      <c r="K24" s="56"/>
      <c r="L24" s="41" t="b">
        <f t="shared" si="1"/>
        <v>1</v>
      </c>
      <c r="M24" s="42">
        <f>IF(L24, MAX(M$2:M23)+1,"")</f>
        <v>22</v>
      </c>
      <c r="N24" s="46">
        <f t="shared" si="2"/>
        <v>6</v>
      </c>
      <c r="O24" s="8" t="str" cm="1">
        <f t="array" ref="O24">CharToUTF8(A24)</f>
        <v>\x36</v>
      </c>
      <c r="Q24" s="41" t="str">
        <f>$Z$2</f>
        <v>EMPTY</v>
      </c>
      <c r="R24" s="47" t="str">
        <f t="shared" si="9"/>
        <v>ORTHO_BOTH</v>
      </c>
      <c r="S24" s="47" t="str">
        <f>$Z$3</f>
        <v>DIAG_BOTH</v>
      </c>
      <c r="T24" s="44" t="str">
        <f>$Z$3</f>
        <v>DIAG_BOTH</v>
      </c>
      <c r="V24" s="54" t="b">
        <f t="shared" si="4"/>
        <v>0</v>
      </c>
      <c r="W24" t="b">
        <f t="shared" si="5"/>
        <v>0</v>
      </c>
      <c r="X24" t="b">
        <f t="shared" si="6"/>
        <v>1</v>
      </c>
      <c r="Z24" s="84"/>
      <c r="AA24" s="84"/>
      <c r="AB24" s="84"/>
      <c r="AC24" s="84"/>
      <c r="AD24" s="84"/>
      <c r="AE24" s="84"/>
      <c r="AG24" s="82" t="str">
        <f t="shared" si="7"/>
        <v xml:space="preserve">    { 22, 78, 89, 22, wxString::FromUTF8("\x36"), Connection::EMPTY, Connection::ORTHO_BOTH, Connection::DIAG_BOTH, Connection::DIAG_BOTH }</v>
      </c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1"/>
    </row>
    <row r="25" spans="1:44" x14ac:dyDescent="0.4">
      <c r="A25" s="7">
        <v>7</v>
      </c>
      <c r="B25" s="6">
        <f t="shared" si="0"/>
        <v>7</v>
      </c>
      <c r="C25" s="71" cm="1">
        <f t="array" ref="C25">IF($M25&lt;&gt;"",INDEX($M:$M,MATCH(TRUE,EXACT(B25,$A:$A),0)),"")</f>
        <v>23</v>
      </c>
      <c r="D25" s="61" t="s">
        <v>17</v>
      </c>
      <c r="E25" s="71" cm="1">
        <f t="array" ref="E25">IF($M25&lt;&gt;"",INDEX($M:$M,MATCH(TRUE,EXACT(D25,$A:$A),0)),"")</f>
        <v>75</v>
      </c>
      <c r="F25" s="61" t="s">
        <v>6</v>
      </c>
      <c r="G25" s="71" cm="1">
        <f t="array" ref="G25">IF($M25&lt;&gt;"",INDEX($M:$M,MATCH(TRUE,EXACT(F25,$A:$A),0)),"")</f>
        <v>85</v>
      </c>
      <c r="H25" s="61">
        <v>8</v>
      </c>
      <c r="I25" s="75" cm="1">
        <f t="array" ref="I25">IF($M25&lt;&gt;"",INDEX($M:$M,MATCH(TRUE,EXACT(H25,$A:$A),0)),"")</f>
        <v>24</v>
      </c>
      <c r="J25" s="46"/>
      <c r="K25" s="56"/>
      <c r="L25" s="41" t="b">
        <f t="shared" si="1"/>
        <v>1</v>
      </c>
      <c r="M25" s="42">
        <f>IF(L25, MAX(M$2:M24)+1,"")</f>
        <v>23</v>
      </c>
      <c r="N25" s="46">
        <f t="shared" si="2"/>
        <v>7</v>
      </c>
      <c r="O25" s="8" t="str" cm="1">
        <f t="array" ref="O25">CharToUTF8(A25)</f>
        <v>\x37</v>
      </c>
      <c r="Q25" s="41" t="str">
        <f>$Z$3</f>
        <v>DIAG_BOTH</v>
      </c>
      <c r="R25" s="47" t="str">
        <f t="shared" si="9"/>
        <v>ORTHO_BOTH</v>
      </c>
      <c r="S25" s="47" t="str">
        <f>$Z$2</f>
        <v>EMPTY</v>
      </c>
      <c r="T25" s="44" t="str">
        <f>$Z$3</f>
        <v>DIAG_BOTH</v>
      </c>
      <c r="V25" s="54" t="b">
        <f t="shared" si="4"/>
        <v>0</v>
      </c>
      <c r="W25" t="b">
        <f t="shared" si="5"/>
        <v>0</v>
      </c>
      <c r="X25" t="b">
        <f t="shared" si="6"/>
        <v>0</v>
      </c>
      <c r="Z25" s="84"/>
      <c r="AA25" s="84"/>
      <c r="AB25" s="84"/>
      <c r="AC25" s="84"/>
      <c r="AD25" s="84"/>
      <c r="AE25" s="84"/>
      <c r="AG25" s="82" t="str">
        <f t="shared" si="7"/>
        <v xml:space="preserve">    { 23, 75, 85, 24, wxString::FromUTF8("\x37"), Connection::DIAG_BOTH, Connection::ORTHO_BOTH, Connection::EMPTY, Connection::DIAG_BOTH }</v>
      </c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1"/>
    </row>
    <row r="26" spans="1:44" ht="31.5" customHeight="1" x14ac:dyDescent="0.4">
      <c r="A26" s="7">
        <v>8</v>
      </c>
      <c r="B26" s="6">
        <f t="shared" si="0"/>
        <v>8</v>
      </c>
      <c r="C26" s="71" cm="1">
        <f t="array" ref="C26">IF($M26&lt;&gt;"",INDEX($M:$M,MATCH(TRUE,EXACT(B26,$A:$A),0)),"")</f>
        <v>24</v>
      </c>
      <c r="D26" s="61" t="s">
        <v>64</v>
      </c>
      <c r="E26" s="71" cm="1">
        <f t="array" ref="E26">IF($M26&lt;&gt;"",INDEX($M:$M,MATCH(TRUE,EXACT(D26,$A:$A),0)),"")</f>
        <v>12</v>
      </c>
      <c r="F26" s="61" t="s">
        <v>7</v>
      </c>
      <c r="G26" s="71" cm="1">
        <f t="array" ref="G26">IF($M26&lt;&gt;"",INDEX($M:$M,MATCH(TRUE,EXACT(F26,$A:$A),0)),"")</f>
        <v>73</v>
      </c>
      <c r="H26" s="61">
        <v>7</v>
      </c>
      <c r="I26" s="75" cm="1">
        <f t="array" ref="I26">IF($M26&lt;&gt;"",INDEX($M:$M,MATCH(TRUE,EXACT(H26,$A:$A),0)),"")</f>
        <v>23</v>
      </c>
      <c r="J26" s="46"/>
      <c r="K26" s="56"/>
      <c r="L26" s="41" t="b">
        <f t="shared" si="1"/>
        <v>1</v>
      </c>
      <c r="M26" s="42">
        <f>IF(L26, MAX(M$2:M25)+1,"")</f>
        <v>24</v>
      </c>
      <c r="N26" s="46">
        <f t="shared" si="2"/>
        <v>8</v>
      </c>
      <c r="O26" s="8" t="str" cm="1">
        <f t="array" ref="O26">CharToUTF8(A26)</f>
        <v>\x38</v>
      </c>
      <c r="Q26" s="41" t="str">
        <f>$Z$3</f>
        <v>DIAG_BOTH</v>
      </c>
      <c r="R26" s="47" t="str">
        <f t="shared" si="9"/>
        <v>ORTHO_BOTH</v>
      </c>
      <c r="S26" s="47" t="str">
        <f>$Z$3</f>
        <v>DIAG_BOTH</v>
      </c>
      <c r="T26" s="44" t="str">
        <f>$Z$2</f>
        <v>EMPTY</v>
      </c>
      <c r="V26" s="54" t="b">
        <f t="shared" si="4"/>
        <v>0</v>
      </c>
      <c r="W26" t="b">
        <f t="shared" si="5"/>
        <v>0</v>
      </c>
      <c r="X26" t="b">
        <f t="shared" si="6"/>
        <v>0</v>
      </c>
      <c r="Z26" s="84"/>
      <c r="AA26" s="84"/>
      <c r="AB26" s="84"/>
      <c r="AC26" s="84"/>
      <c r="AD26" s="84"/>
      <c r="AE26" s="84"/>
      <c r="AG26" s="82" t="str">
        <f t="shared" si="7"/>
        <v xml:space="preserve">    { 24, 12, 73, 23, wxString::FromUTF8("\x38"), Connection::DIAG_BOTH, Connection::ORTHO_BOTH, Connection::DIAG_BOTH, Connection::EMPTY }</v>
      </c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1"/>
    </row>
    <row r="27" spans="1:44" x14ac:dyDescent="0.4">
      <c r="A27" s="7">
        <v>9</v>
      </c>
      <c r="B27" s="6">
        <f t="shared" si="0"/>
        <v>9</v>
      </c>
      <c r="C27" s="71" cm="1">
        <f t="array" ref="C27">IF($M27&lt;&gt;"",INDEX($M:$M,MATCH(TRUE,EXACT(B27,$A:$A),0)),"")</f>
        <v>25</v>
      </c>
      <c r="D27" s="61" t="s">
        <v>66</v>
      </c>
      <c r="E27" s="71" cm="1">
        <f t="array" ref="E27">IF($M27&lt;&gt;"",INDEX($M:$M,MATCH(TRUE,EXACT(D27,$A:$A),0)),"")</f>
        <v>27</v>
      </c>
      <c r="F27" s="61" t="s">
        <v>8</v>
      </c>
      <c r="G27" s="71" cm="1">
        <f t="array" ref="G27">IF($M27&lt;&gt;"",INDEX($M:$M,MATCH(TRUE,EXACT(F27,$A:$A),0)),"")</f>
        <v>79</v>
      </c>
      <c r="H27" s="61">
        <v>0</v>
      </c>
      <c r="I27" s="75" cm="1">
        <f t="array" ref="I27">IF($M27&lt;&gt;"",INDEX($M:$M,MATCH(TRUE,EXACT(H27,$A:$A),0)),"")</f>
        <v>16</v>
      </c>
      <c r="J27" s="46"/>
      <c r="K27" s="56"/>
      <c r="L27" s="41" t="b">
        <f t="shared" si="1"/>
        <v>1</v>
      </c>
      <c r="M27" s="42">
        <f>IF(L27, MAX(M$2:M26)+1,"")</f>
        <v>25</v>
      </c>
      <c r="N27" s="46">
        <f t="shared" si="2"/>
        <v>9</v>
      </c>
      <c r="O27" s="8" t="str" cm="1">
        <f t="array" ref="O27">CharToUTF8(A27)</f>
        <v>\x39</v>
      </c>
      <c r="Q27" s="41" t="str">
        <f>$Z$2</f>
        <v>EMPTY</v>
      </c>
      <c r="R27" s="47" t="str">
        <f t="shared" si="9"/>
        <v>ORTHO_BOTH</v>
      </c>
      <c r="S27" s="47" t="str">
        <f>$Z$2</f>
        <v>EMPTY</v>
      </c>
      <c r="T27" s="44" t="str">
        <f>$Z$3</f>
        <v>DIAG_BOTH</v>
      </c>
      <c r="V27" s="54" t="b">
        <f t="shared" si="4"/>
        <v>0</v>
      </c>
      <c r="W27" t="b">
        <f t="shared" si="5"/>
        <v>0</v>
      </c>
      <c r="X27" t="b">
        <f t="shared" si="6"/>
        <v>0</v>
      </c>
      <c r="Z27" s="84"/>
      <c r="AA27" s="84"/>
      <c r="AB27" s="84"/>
      <c r="AC27" s="84"/>
      <c r="AD27" s="84"/>
      <c r="AE27" s="84"/>
      <c r="AG27" s="82" t="str">
        <f t="shared" si="7"/>
        <v xml:space="preserve">    { 25, 27, 79, 16, wxString::FromUTF8("\x39"), Connection::EMPTY, Connection::ORTHO_BOTH, Connection::EMPTY, Connection::DIAG_BOTH }</v>
      </c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1"/>
    </row>
    <row r="28" spans="1:44" x14ac:dyDescent="0.4">
      <c r="A28" s="7" t="s">
        <v>67</v>
      </c>
      <c r="B28" s="9" t="str">
        <f t="shared" si="0"/>
        <v>:</v>
      </c>
      <c r="C28" s="71" cm="1">
        <f t="array" ref="C28">IF($M28&lt;&gt;"",INDEX($M:$M,MATCH(TRUE,EXACT(B28,$A:$A),0)),"")</f>
        <v>26</v>
      </c>
      <c r="D28" s="62" t="s">
        <v>167</v>
      </c>
      <c r="E28" s="71" cm="1">
        <f t="array" ref="E28">IF($M28&lt;&gt;"",INDEX($M:$M,MATCH(TRUE,EXACT(D28,$A:$A),0)),"")</f>
        <v>31</v>
      </c>
      <c r="F28" s="62" t="s">
        <v>167</v>
      </c>
      <c r="G28" s="71" cm="1">
        <f t="array" ref="G28">IF($M28&lt;&gt;"",INDEX($M:$M,MATCH(TRUE,EXACT(F28,$A:$A),0)),"")</f>
        <v>31</v>
      </c>
      <c r="H28" s="62" t="s">
        <v>44</v>
      </c>
      <c r="I28" s="75" cm="1">
        <f t="array" ref="I28">IF($M28&lt;&gt;"",INDEX($M:$M,MATCH(TRUE,EXACT(H28,$A:$A),0)),"")</f>
        <v>44</v>
      </c>
      <c r="J28" s="69"/>
      <c r="K28" s="57"/>
      <c r="L28" s="41" t="b">
        <f t="shared" si="1"/>
        <v>1</v>
      </c>
      <c r="M28" s="42">
        <f>IF(L28, MAX(M$2:M27)+1,"")</f>
        <v>26</v>
      </c>
      <c r="N28" s="46" t="str">
        <f t="shared" si="2"/>
        <v>:</v>
      </c>
      <c r="O28" s="8" t="str" cm="1">
        <f t="array" ref="O28">CharToUTF8(A28)</f>
        <v>\x3A</v>
      </c>
      <c r="Q28" s="41" t="str">
        <f>$Z$2</f>
        <v>EMPTY</v>
      </c>
      <c r="R28" s="47" t="str">
        <f t="shared" si="9"/>
        <v>ORTHO_BOTH</v>
      </c>
      <c r="S28" s="47" t="str">
        <f>$Z$4</f>
        <v>ORTHO_BOTH</v>
      </c>
      <c r="T28" s="44" t="str">
        <f>$Z$2</f>
        <v>EMPTY</v>
      </c>
      <c r="V28" s="54" t="b">
        <f t="shared" si="4"/>
        <v>0</v>
      </c>
      <c r="W28" t="b">
        <f t="shared" si="5"/>
        <v>0</v>
      </c>
      <c r="X28" t="b">
        <f t="shared" si="6"/>
        <v>0</v>
      </c>
      <c r="Z28" s="84"/>
      <c r="AA28" s="84"/>
      <c r="AB28" s="84"/>
      <c r="AC28" s="84"/>
      <c r="AD28" s="84"/>
      <c r="AE28" s="84"/>
      <c r="AG28" s="82" t="str">
        <f t="shared" si="7"/>
        <v xml:space="preserve">    { 26, 31, 31, 44, wxString::FromUTF8("\x3A"), Connection::EMPTY, Connection::ORTHO_BOTH, Connection::ORTHO_BOTH, Connection::EMPTY }</v>
      </c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1"/>
    </row>
    <row r="29" spans="1:44" x14ac:dyDescent="0.4">
      <c r="A29" s="7" t="s">
        <v>66</v>
      </c>
      <c r="B29" s="6" t="str">
        <f t="shared" si="0"/>
        <v>;</v>
      </c>
      <c r="C29" s="71" cm="1">
        <f t="array" ref="C29">IF($M29&lt;&gt;"",INDEX($M:$M,MATCH(TRUE,EXACT(B29,$A:$A),0)),"")</f>
        <v>27</v>
      </c>
      <c r="D29" s="61" t="s">
        <v>9</v>
      </c>
      <c r="E29" s="71" cm="1">
        <f t="array" ref="E29">IF($M29&lt;&gt;"",INDEX($M:$M,MATCH(TRUE,EXACT(D29,$A:$A),0)),"")</f>
        <v>80</v>
      </c>
      <c r="F29" s="61" t="s">
        <v>65</v>
      </c>
      <c r="G29" s="71" cm="1">
        <f t="array" ref="G29">IF($M29&lt;&gt;"",INDEX($M:$M,MATCH(TRUE,EXACT(F29,$A:$A),0)),"")</f>
        <v>15</v>
      </c>
      <c r="H29" s="61" t="s">
        <v>18</v>
      </c>
      <c r="I29" s="75" cm="1">
        <f t="array" ref="I29">IF($M29&lt;&gt;"",INDEX($M:$M,MATCH(TRUE,EXACT(H29,$A:$A),0)),"")</f>
        <v>76</v>
      </c>
      <c r="J29" s="46"/>
      <c r="K29" s="56"/>
      <c r="L29" s="41" t="b">
        <f t="shared" si="1"/>
        <v>1</v>
      </c>
      <c r="M29" s="42">
        <f>IF(L29, MAX(M$2:M28)+1,"")</f>
        <v>27</v>
      </c>
      <c r="N29" s="46" t="str">
        <f t="shared" si="2"/>
        <v>;</v>
      </c>
      <c r="O29" s="8" t="str" cm="1">
        <f t="array" ref="O29">CharToUTF8(A29)</f>
        <v>\x3B</v>
      </c>
      <c r="Q29" s="41" t="str">
        <f>$Z$2</f>
        <v>EMPTY</v>
      </c>
      <c r="R29" s="47" t="str">
        <f>$Z$3</f>
        <v>DIAG_BOTH</v>
      </c>
      <c r="S29" s="47" t="str">
        <f>$Z$4</f>
        <v>ORTHO_BOTH</v>
      </c>
      <c r="T29" s="44" t="str">
        <f>$Z$2</f>
        <v>EMPTY</v>
      </c>
      <c r="V29" s="54" t="b">
        <f t="shared" si="4"/>
        <v>0</v>
      </c>
      <c r="W29" t="b">
        <f t="shared" si="5"/>
        <v>0</v>
      </c>
      <c r="X29" t="b">
        <f t="shared" si="6"/>
        <v>0</v>
      </c>
      <c r="Z29" s="84"/>
      <c r="AA29" s="84"/>
      <c r="AB29" s="84"/>
      <c r="AC29" s="84"/>
      <c r="AD29" s="84"/>
      <c r="AE29" s="84"/>
      <c r="AG29" s="82" t="str">
        <f t="shared" si="7"/>
        <v xml:space="preserve">    { 27, 80, 15, 76, wxString::FromUTF8("\x3B"), Connection::EMPTY, Connection::DIAG_BOTH, Connection::ORTHO_BOTH, Connection::EMPTY }</v>
      </c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1"/>
    </row>
    <row r="30" spans="1:44" x14ac:dyDescent="0.4">
      <c r="A30" s="7" t="s">
        <v>165</v>
      </c>
      <c r="B30" s="6" t="str">
        <f t="shared" si="0"/>
        <v>&lt;</v>
      </c>
      <c r="C30" s="71" cm="1">
        <f t="array" ref="C30">IF($M30&lt;&gt;"",INDEX($M:$M,MATCH(TRUE,EXACT(B30,$A:$A),0)),"")</f>
        <v>28</v>
      </c>
      <c r="D30" s="61" t="s">
        <v>32</v>
      </c>
      <c r="E30" s="71" cm="1">
        <f t="array" ref="E30">IF($M30&lt;&gt;"",INDEX($M:$M,MATCH(TRUE,EXACT(D30,$A:$A),0)),"")</f>
        <v>53</v>
      </c>
      <c r="F30" s="61" t="s">
        <v>43</v>
      </c>
      <c r="G30" s="71" cm="1">
        <f t="array" ref="G30">IF($M30&lt;&gt;"",INDEX($M:$M,MATCH(TRUE,EXACT(F30,$A:$A),0)),"")</f>
        <v>43</v>
      </c>
      <c r="H30" s="61" t="s">
        <v>51</v>
      </c>
      <c r="I30" s="75" cm="1">
        <f t="array" ref="I30">IF($M30&lt;&gt;"",INDEX($M:$M,MATCH(TRUE,EXACT(H30,$A:$A),0)),"")</f>
        <v>45</v>
      </c>
      <c r="J30" s="46"/>
      <c r="K30" s="56"/>
      <c r="L30" s="41" t="b">
        <f t="shared" si="1"/>
        <v>1</v>
      </c>
      <c r="M30" s="42">
        <f>IF(L30, MAX(M$2:M29)+1,"")</f>
        <v>28</v>
      </c>
      <c r="N30" s="46" t="str">
        <f t="shared" si="2"/>
        <v>&lt;</v>
      </c>
      <c r="O30" s="8" t="str" cm="1">
        <f t="array" ref="O30">CharToUTF8(A30)</f>
        <v>\x3C</v>
      </c>
      <c r="Q30" s="41" t="str">
        <f t="shared" ref="Q30:Q38" si="10">$Z$4</f>
        <v>ORTHO_BOTH</v>
      </c>
      <c r="R30" s="47" t="str">
        <f>$Z$2</f>
        <v>EMPTY</v>
      </c>
      <c r="S30" s="47" t="str">
        <f>$Z$4</f>
        <v>ORTHO_BOTH</v>
      </c>
      <c r="T30" s="44" t="str">
        <f>$Z$3</f>
        <v>DIAG_BOTH</v>
      </c>
      <c r="V30" s="54" t="b">
        <f t="shared" si="4"/>
        <v>0</v>
      </c>
      <c r="W30" t="b">
        <f t="shared" si="5"/>
        <v>0</v>
      </c>
      <c r="X30" t="b">
        <f t="shared" si="6"/>
        <v>0</v>
      </c>
      <c r="Z30" s="84"/>
      <c r="AA30" s="84"/>
      <c r="AB30" s="84"/>
      <c r="AC30" s="84"/>
      <c r="AD30" s="84"/>
      <c r="AE30" s="84"/>
      <c r="AG30" s="82" t="str">
        <f t="shared" si="7"/>
        <v xml:space="preserve">    { 28, 53, 43, 45, wxString::FromUTF8("\x3C"), Connection::ORTHO_BOTH, Connection::EMPTY, Connection::ORTHO_BOTH, Connection::DIAG_BOTH }</v>
      </c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1"/>
    </row>
    <row r="31" spans="1:44" ht="31.5" customHeight="1" x14ac:dyDescent="0.4">
      <c r="A31" s="7" t="s">
        <v>79</v>
      </c>
      <c r="B31" s="6" t="str">
        <f t="shared" si="0"/>
        <v>=</v>
      </c>
      <c r="C31" s="71" cm="1">
        <f t="array" ref="C31">IF($M31&lt;&gt;"",INDEX($M:$M,MATCH(TRUE,EXACT(B31,$A:$A),0)),"")</f>
        <v>29</v>
      </c>
      <c r="D31" s="61" t="s">
        <v>71</v>
      </c>
      <c r="E31" s="71" cm="1">
        <f t="array" ref="E31">IF($M31&lt;&gt;"",INDEX($M:$M,MATCH(TRUE,EXACT(D31,$A:$A),0)),"")</f>
        <v>59</v>
      </c>
      <c r="F31" s="61" t="s">
        <v>74</v>
      </c>
      <c r="G31" s="71" cm="1">
        <f t="array" ref="G31">IF($M31&lt;&gt;"",INDEX($M:$M,MATCH(TRUE,EXACT(F31,$A:$A),0)),"")</f>
        <v>13</v>
      </c>
      <c r="H31" s="61" t="s">
        <v>79</v>
      </c>
      <c r="I31" s="75" cm="1">
        <f t="array" ref="I31">IF($M31&lt;&gt;"",INDEX($M:$M,MATCH(TRUE,EXACT(H31,$A:$A),0)),"")</f>
        <v>29</v>
      </c>
      <c r="J31" s="46"/>
      <c r="K31" s="56"/>
      <c r="L31" s="41" t="b">
        <f t="shared" si="1"/>
        <v>1</v>
      </c>
      <c r="M31" s="42">
        <f>IF(L31, MAX(M$2:M30)+1,"")</f>
        <v>29</v>
      </c>
      <c r="N31" s="46" t="str">
        <f t="shared" si="2"/>
        <v>=</v>
      </c>
      <c r="O31" s="8" t="str" cm="1">
        <f t="array" ref="O31">CharToUTF8(A31)</f>
        <v>\x3D</v>
      </c>
      <c r="Q31" s="41" t="str">
        <f t="shared" si="10"/>
        <v>ORTHO_BOTH</v>
      </c>
      <c r="R31" s="47" t="str">
        <f>$Z$3</f>
        <v>DIAG_BOTH</v>
      </c>
      <c r="S31" s="47" t="str">
        <f>$Z$2</f>
        <v>EMPTY</v>
      </c>
      <c r="T31" s="44" t="str">
        <f>$Z$2</f>
        <v>EMPTY</v>
      </c>
      <c r="V31" s="54" t="b">
        <f t="shared" si="4"/>
        <v>0</v>
      </c>
      <c r="W31" t="b">
        <f t="shared" si="5"/>
        <v>0</v>
      </c>
      <c r="X31" t="b">
        <f t="shared" si="6"/>
        <v>1</v>
      </c>
      <c r="Z31" s="84"/>
      <c r="AA31" s="84"/>
      <c r="AB31" s="84"/>
      <c r="AC31" s="84"/>
      <c r="AD31" s="84"/>
      <c r="AE31" s="84"/>
      <c r="AG31" s="82" t="str">
        <f t="shared" si="7"/>
        <v xml:space="preserve">    { 29, 59, 13, 29, wxString::FromUTF8("\x3D"), Connection::ORTHO_BOTH, Connection::DIAG_BOTH, Connection::EMPTY, Connection::EMPTY }</v>
      </c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1"/>
    </row>
    <row r="32" spans="1:44" x14ac:dyDescent="0.4">
      <c r="A32" s="7" t="s">
        <v>166</v>
      </c>
      <c r="B32" s="6" t="str">
        <f t="shared" si="0"/>
        <v>&gt;</v>
      </c>
      <c r="C32" s="71" cm="1">
        <f t="array" ref="C32">IF($M32&lt;&gt;"",INDEX($M:$M,MATCH(TRUE,EXACT(B32,$A:$A),0)),"")</f>
        <v>30</v>
      </c>
      <c r="D32" s="61" t="s">
        <v>44</v>
      </c>
      <c r="E32" s="71" cm="1">
        <f t="array" ref="E32">IF($M32&lt;&gt;"",INDEX($M:$M,MATCH(TRUE,EXACT(D32,$A:$A),0)),"")</f>
        <v>44</v>
      </c>
      <c r="F32" s="61" t="s">
        <v>44</v>
      </c>
      <c r="G32" s="71" cm="1">
        <f t="array" ref="G32">IF($M32&lt;&gt;"",INDEX($M:$M,MATCH(TRUE,EXACT(F32,$A:$A),0)),"")</f>
        <v>44</v>
      </c>
      <c r="H32" s="61" t="s">
        <v>167</v>
      </c>
      <c r="I32" s="75" cm="1">
        <f t="array" ref="I32">IF($M32&lt;&gt;"",INDEX($M:$M,MATCH(TRUE,EXACT(H32,$A:$A),0)),"")</f>
        <v>31</v>
      </c>
      <c r="J32" s="46"/>
      <c r="K32" s="56"/>
      <c r="L32" s="41" t="b">
        <f t="shared" si="1"/>
        <v>1</v>
      </c>
      <c r="M32" s="42">
        <f>IF(L32, MAX(M$2:M31)+1,"")</f>
        <v>30</v>
      </c>
      <c r="N32" s="46" t="str">
        <f t="shared" si="2"/>
        <v>&gt;</v>
      </c>
      <c r="O32" s="8" t="str" cm="1">
        <f t="array" ref="O32">CharToUTF8(A32)</f>
        <v>\x3E</v>
      </c>
      <c r="Q32" s="41" t="str">
        <f t="shared" si="10"/>
        <v>ORTHO_BOTH</v>
      </c>
      <c r="R32" s="47" t="str">
        <f>$Z$2</f>
        <v>EMPTY</v>
      </c>
      <c r="S32" s="47" t="str">
        <f>$Z$2</f>
        <v>EMPTY</v>
      </c>
      <c r="T32" s="44" t="str">
        <f>$Z$4</f>
        <v>ORTHO_BOTH</v>
      </c>
      <c r="V32" s="54" t="b">
        <f t="shared" si="4"/>
        <v>0</v>
      </c>
      <c r="W32" t="b">
        <f t="shared" si="5"/>
        <v>0</v>
      </c>
      <c r="X32" t="b">
        <f t="shared" si="6"/>
        <v>0</v>
      </c>
      <c r="Z32" s="84"/>
      <c r="AA32" s="84"/>
      <c r="AB32" s="84"/>
      <c r="AC32" s="84"/>
      <c r="AD32" s="84"/>
      <c r="AE32" s="84"/>
      <c r="AG32" s="82" t="str">
        <f t="shared" si="7"/>
        <v xml:space="preserve">    { 30, 44, 44, 31, wxString::FromUTF8("\x3E"), Connection::ORTHO_BOTH, Connection::EMPTY, Connection::EMPTY, Connection::ORTHO_BOTH }</v>
      </c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1"/>
    </row>
    <row r="33" spans="1:44" x14ac:dyDescent="0.4">
      <c r="A33" s="7" t="s">
        <v>167</v>
      </c>
      <c r="B33" s="9" t="str">
        <f t="shared" si="0"/>
        <v>?</v>
      </c>
      <c r="C33" s="71" cm="1">
        <f t="array" ref="C33">IF($M33&lt;&gt;"",INDEX($M:$M,MATCH(TRUE,EXACT(B33,$A:$A),0)),"")</f>
        <v>31</v>
      </c>
      <c r="D33" s="62" t="s">
        <v>166</v>
      </c>
      <c r="E33" s="71" cm="1">
        <f t="array" ref="E33">IF($M33&lt;&gt;"",INDEX($M:$M,MATCH(TRUE,EXACT(D33,$A:$A),0)),"")</f>
        <v>30</v>
      </c>
      <c r="F33" s="62" t="s">
        <v>67</v>
      </c>
      <c r="G33" s="71" cm="1">
        <f t="array" ref="G33">IF($M33&lt;&gt;"",INDEX($M:$M,MATCH(TRUE,EXACT(F33,$A:$A),0)),"")</f>
        <v>26</v>
      </c>
      <c r="H33" s="62" t="s">
        <v>166</v>
      </c>
      <c r="I33" s="75" cm="1">
        <f t="array" ref="I33">IF($M33&lt;&gt;"",INDEX($M:$M,MATCH(TRUE,EXACT(H33,$A:$A),0)),"")</f>
        <v>30</v>
      </c>
      <c r="J33" s="69"/>
      <c r="K33" s="57"/>
      <c r="L33" s="41" t="b">
        <f t="shared" si="1"/>
        <v>1</v>
      </c>
      <c r="M33" s="42">
        <f>IF(L33, MAX(M$2:M32)+1,"")</f>
        <v>31</v>
      </c>
      <c r="N33" s="46" t="str">
        <f t="shared" si="2"/>
        <v>?</v>
      </c>
      <c r="O33" s="8" t="str" cm="1">
        <f t="array" ref="O33">CharToUTF8(A33)</f>
        <v>\x3F</v>
      </c>
      <c r="Q33" s="41" t="str">
        <f t="shared" si="10"/>
        <v>ORTHO_BOTH</v>
      </c>
      <c r="R33" s="47" t="str">
        <f>$Z$2</f>
        <v>EMPTY</v>
      </c>
      <c r="S33" s="47" t="str">
        <f>$Z$4</f>
        <v>ORTHO_BOTH</v>
      </c>
      <c r="T33" s="44" t="str">
        <f>$Z$2</f>
        <v>EMPTY</v>
      </c>
      <c r="V33" s="54" t="b">
        <f t="shared" si="4"/>
        <v>0</v>
      </c>
      <c r="W33" t="b">
        <f t="shared" si="5"/>
        <v>0</v>
      </c>
      <c r="X33" t="b">
        <f t="shared" si="6"/>
        <v>0</v>
      </c>
      <c r="Z33" s="84"/>
      <c r="AA33" s="84"/>
      <c r="AB33" s="84"/>
      <c r="AC33" s="84"/>
      <c r="AD33" s="84"/>
      <c r="AE33" s="84"/>
      <c r="AG33" s="82" t="str">
        <f t="shared" si="7"/>
        <v xml:space="preserve">    { 31, 30, 26, 30, wxString::FromUTF8("\x3F"), Connection::ORTHO_BOTH, Connection::EMPTY, Connection::ORTHO_BOTH, Connection::EMPTY }</v>
      </c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1"/>
    </row>
    <row r="34" spans="1:44" x14ac:dyDescent="0.4">
      <c r="A34" s="7" t="s">
        <v>53</v>
      </c>
      <c r="B34" s="6" t="str">
        <f t="shared" si="0"/>
        <v>@</v>
      </c>
      <c r="C34" s="71" cm="1">
        <f t="array" ref="C34">IF($M34&lt;&gt;"",INDEX($M:$M,MATCH(TRUE,EXACT(B34,$A:$A),0)),"")</f>
        <v>32</v>
      </c>
      <c r="D34" s="61" t="s">
        <v>54</v>
      </c>
      <c r="E34" s="71" cm="1">
        <f t="array" ref="E34">IF($M34&lt;&gt;"",INDEX($M:$M,MATCH(TRUE,EXACT(D34,$A:$A),0)),"")</f>
        <v>3</v>
      </c>
      <c r="F34" s="61" t="s">
        <v>53</v>
      </c>
      <c r="G34" s="71" cm="1">
        <f t="array" ref="G34">IF($M34&lt;&gt;"",INDEX($M:$M,MATCH(TRUE,EXACT(F34,$A:$A),0)),"")</f>
        <v>32</v>
      </c>
      <c r="H34" s="61" t="s">
        <v>53</v>
      </c>
      <c r="I34" s="75" cm="1">
        <f t="array" ref="I34">IF($M34&lt;&gt;"",INDEX($M:$M,MATCH(TRUE,EXACT(H34,$A:$A),0)),"")</f>
        <v>32</v>
      </c>
      <c r="J34" s="46"/>
      <c r="K34" s="56"/>
      <c r="L34" s="41" t="b">
        <f t="shared" si="1"/>
        <v>1</v>
      </c>
      <c r="M34" s="42">
        <f>IF(L34, MAX(M$2:M33)+1,"")</f>
        <v>32</v>
      </c>
      <c r="N34" s="46" t="str">
        <f t="shared" si="2"/>
        <v>@</v>
      </c>
      <c r="O34" s="8" t="str" cm="1">
        <f t="array" ref="O34">CharToUTF8(A34)</f>
        <v>\x40</v>
      </c>
      <c r="Q34" s="41" t="str">
        <f t="shared" si="10"/>
        <v>ORTHO_BOTH</v>
      </c>
      <c r="R34" s="47" t="str">
        <f>$Z$4</f>
        <v>ORTHO_BOTH</v>
      </c>
      <c r="S34" s="47" t="str">
        <f>$Z$2</f>
        <v>EMPTY</v>
      </c>
      <c r="T34" s="44" t="str">
        <f>$Z$2</f>
        <v>EMPTY</v>
      </c>
      <c r="V34" s="54" t="b">
        <f t="shared" si="4"/>
        <v>0</v>
      </c>
      <c r="W34" t="b">
        <f t="shared" si="5"/>
        <v>1</v>
      </c>
      <c r="X34" t="b">
        <f t="shared" si="6"/>
        <v>1</v>
      </c>
      <c r="Z34" s="84"/>
      <c r="AA34" s="84"/>
      <c r="AB34" s="84"/>
      <c r="AC34" s="84"/>
      <c r="AD34" s="84"/>
      <c r="AE34" s="84"/>
      <c r="AG34" s="82" t="str">
        <f t="shared" si="7"/>
        <v xml:space="preserve">    { 32, 3, 32, 32, wxString::FromUTF8("\x40"), Connection::ORTHO_BOTH, Connection::ORTHO_BOTH, Connection::EMPTY, Connection::EMPTY }</v>
      </c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1"/>
    </row>
    <row r="35" spans="1:44" x14ac:dyDescent="0.4">
      <c r="A35" s="7" t="s">
        <v>36</v>
      </c>
      <c r="B35" s="6" t="str">
        <f t="shared" si="0"/>
        <v>A</v>
      </c>
      <c r="C35" s="71" cm="1">
        <f t="array" ref="C35">IF($M35&lt;&gt;"",INDEX($M:$M,MATCH(TRUE,EXACT(B35,$A:$A),0)),"")</f>
        <v>33</v>
      </c>
      <c r="D35" s="61" t="s">
        <v>27</v>
      </c>
      <c r="E35" s="71" cm="1">
        <f t="array" ref="E35">IF($M35&lt;&gt;"",INDEX($M:$M,MATCH(TRUE,EXACT(D35,$A:$A),0)),"")</f>
        <v>55</v>
      </c>
      <c r="F35" s="61" t="s">
        <v>36</v>
      </c>
      <c r="G35" s="71" cm="1">
        <f t="array" ref="G35">IF($M35&lt;&gt;"",INDEX($M:$M,MATCH(TRUE,EXACT(F35,$A:$A),0)),"")</f>
        <v>33</v>
      </c>
      <c r="H35" s="61" t="s">
        <v>38</v>
      </c>
      <c r="I35" s="75" cm="1">
        <f t="array" ref="I35">IF($M35&lt;&gt;"",INDEX($M:$M,MATCH(TRUE,EXACT(H35,$A:$A),0)),"")</f>
        <v>36</v>
      </c>
      <c r="J35" s="46"/>
      <c r="K35" s="56"/>
      <c r="L35" s="41" t="b">
        <f t="shared" si="1"/>
        <v>1</v>
      </c>
      <c r="M35" s="42">
        <f>IF(L35, MAX(M$2:M34)+1,"")</f>
        <v>33</v>
      </c>
      <c r="N35" s="46" t="str">
        <f t="shared" si="2"/>
        <v>A</v>
      </c>
      <c r="O35" s="8" t="str" cm="1">
        <f t="array" ref="O35">CharToUTF8(A35)</f>
        <v>\x41</v>
      </c>
      <c r="Q35" s="41" t="str">
        <f t="shared" si="10"/>
        <v>ORTHO_BOTH</v>
      </c>
      <c r="R35" s="47" t="str">
        <f>$Z$4</f>
        <v>ORTHO_BOTH</v>
      </c>
      <c r="S35" s="47" t="str">
        <f>$Z$2</f>
        <v>EMPTY</v>
      </c>
      <c r="T35" s="44" t="str">
        <f>$Z$4</f>
        <v>ORTHO_BOTH</v>
      </c>
      <c r="V35" s="54" t="b">
        <f t="shared" si="4"/>
        <v>0</v>
      </c>
      <c r="W35" t="b">
        <f t="shared" si="5"/>
        <v>1</v>
      </c>
      <c r="X35" t="b">
        <f t="shared" si="6"/>
        <v>0</v>
      </c>
      <c r="Z35" s="84"/>
      <c r="AA35" s="84"/>
      <c r="AB35" s="84"/>
      <c r="AC35" s="84"/>
      <c r="AD35" s="84"/>
      <c r="AE35" s="84"/>
      <c r="AG35" s="82" t="str">
        <f t="shared" si="7"/>
        <v xml:space="preserve">    { 33, 55, 33, 36, wxString::FromUTF8("\x41"), Connection::ORTHO_BOTH, Connection::ORTHO_BOTH, Connection::EMPTY, Connection::ORTHO_BOTH }</v>
      </c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1"/>
    </row>
    <row r="36" spans="1:44" x14ac:dyDescent="0.4">
      <c r="A36" s="7" t="s">
        <v>49</v>
      </c>
      <c r="B36" s="6" t="str">
        <f t="shared" si="0"/>
        <v>B</v>
      </c>
      <c r="C36" s="71" cm="1">
        <f t="array" ref="C36">IF($M36&lt;&gt;"",INDEX($M:$M,MATCH(TRUE,EXACT(B36,$A:$A),0)),"")</f>
        <v>34</v>
      </c>
      <c r="D36" s="61" t="s">
        <v>57</v>
      </c>
      <c r="E36" s="71" cm="1">
        <f t="array" ref="E36">IF($M36&lt;&gt;"",INDEX($M:$M,MATCH(TRUE,EXACT(D36,$A:$A),0)),"")</f>
        <v>62</v>
      </c>
      <c r="F36" s="61" t="s">
        <v>49</v>
      </c>
      <c r="G36" s="71" cm="1">
        <f t="array" ref="G36">IF($M36&lt;&gt;"",INDEX($M:$M,MATCH(TRUE,EXACT(F36,$A:$A),0)),"")</f>
        <v>34</v>
      </c>
      <c r="H36" s="61" t="s">
        <v>50</v>
      </c>
      <c r="I36" s="75" cm="1">
        <f t="array" ref="I36">IF($M36&lt;&gt;"",INDEX($M:$M,MATCH(TRUE,EXACT(H36,$A:$A),0)),"")</f>
        <v>46</v>
      </c>
      <c r="J36" s="46"/>
      <c r="K36" s="56"/>
      <c r="L36" s="41" t="b">
        <f t="shared" si="1"/>
        <v>1</v>
      </c>
      <c r="M36" s="42">
        <f>IF(L36, MAX(M$2:M35)+1,"")</f>
        <v>34</v>
      </c>
      <c r="N36" s="46" t="str">
        <f t="shared" si="2"/>
        <v>B</v>
      </c>
      <c r="O36" s="8" t="str" cm="1">
        <f t="array" ref="O36">CharToUTF8(A36)</f>
        <v>\x42</v>
      </c>
      <c r="Q36" s="41" t="str">
        <f t="shared" si="10"/>
        <v>ORTHO_BOTH</v>
      </c>
      <c r="R36" s="47" t="str">
        <f>$Z$4</f>
        <v>ORTHO_BOTH</v>
      </c>
      <c r="S36" s="47" t="str">
        <f>$Z$4</f>
        <v>ORTHO_BOTH</v>
      </c>
      <c r="T36" s="44" t="str">
        <f>$Z$3</f>
        <v>DIAG_BOTH</v>
      </c>
      <c r="V36" s="54" t="b">
        <f t="shared" si="4"/>
        <v>0</v>
      </c>
      <c r="W36" t="b">
        <f t="shared" si="5"/>
        <v>1</v>
      </c>
      <c r="X36" t="b">
        <f t="shared" si="6"/>
        <v>0</v>
      </c>
      <c r="Z36" s="84"/>
      <c r="AA36" s="84"/>
      <c r="AB36" s="84"/>
      <c r="AC36" s="84"/>
      <c r="AD36" s="84"/>
      <c r="AE36" s="84"/>
      <c r="AG36" s="82" t="str">
        <f t="shared" si="7"/>
        <v xml:space="preserve">    { 34, 62, 34, 46, wxString::FromUTF8("\x42"), Connection::ORTHO_BOTH, Connection::ORTHO_BOTH, Connection::ORTHO_BOTH, Connection::DIAG_BOTH }</v>
      </c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1"/>
    </row>
    <row r="37" spans="1:44" x14ac:dyDescent="0.4">
      <c r="A37" s="7" t="s">
        <v>47</v>
      </c>
      <c r="B37" s="6" t="str">
        <f t="shared" si="0"/>
        <v>C</v>
      </c>
      <c r="C37" s="71" cm="1">
        <f t="array" ref="C37">IF($M37&lt;&gt;"",INDEX($M:$M,MATCH(TRUE,EXACT(B37,$A:$A),0)),"")</f>
        <v>35</v>
      </c>
      <c r="D37" s="61" t="s">
        <v>45</v>
      </c>
      <c r="E37" s="71" cm="1">
        <f t="array" ref="E37">IF($M37&lt;&gt;"",INDEX($M:$M,MATCH(TRUE,EXACT(D37,$A:$A),0)),"")</f>
        <v>58</v>
      </c>
      <c r="F37" s="61" t="s">
        <v>28</v>
      </c>
      <c r="G37" s="71" cm="1">
        <f t="array" ref="G37">IF($M37&lt;&gt;"",INDEX($M:$M,MATCH(TRUE,EXACT(F37,$A:$A),0)),"")</f>
        <v>37</v>
      </c>
      <c r="H37" s="61" t="s">
        <v>45</v>
      </c>
      <c r="I37" s="75" cm="1">
        <f t="array" ref="I37">IF($M37&lt;&gt;"",INDEX($M:$M,MATCH(TRUE,EXACT(H37,$A:$A),0)),"")</f>
        <v>58</v>
      </c>
      <c r="J37" s="46"/>
      <c r="K37" s="56"/>
      <c r="L37" s="41" t="b">
        <f t="shared" si="1"/>
        <v>1</v>
      </c>
      <c r="M37" s="42">
        <f>IF(L37, MAX(M$2:M36)+1,"")</f>
        <v>35</v>
      </c>
      <c r="N37" s="46" t="str">
        <f t="shared" si="2"/>
        <v>C</v>
      </c>
      <c r="O37" s="8" t="str" cm="1">
        <f t="array" ref="O37">CharToUTF8(A37)</f>
        <v>\x43</v>
      </c>
      <c r="Q37" s="41" t="str">
        <f t="shared" si="10"/>
        <v>ORTHO_BOTH</v>
      </c>
      <c r="R37" s="47" t="str">
        <f>$Z$2</f>
        <v>EMPTY</v>
      </c>
      <c r="S37" s="47" t="str">
        <f>$Z$4</f>
        <v>ORTHO_BOTH</v>
      </c>
      <c r="T37" s="44" t="str">
        <f>$Z$2</f>
        <v>EMPTY</v>
      </c>
      <c r="V37" s="54" t="b">
        <f t="shared" si="4"/>
        <v>0</v>
      </c>
      <c r="W37" t="b">
        <f t="shared" si="5"/>
        <v>0</v>
      </c>
      <c r="X37" t="b">
        <f t="shared" si="6"/>
        <v>0</v>
      </c>
      <c r="Z37" s="84"/>
      <c r="AA37" s="84"/>
      <c r="AB37" s="84"/>
      <c r="AC37" s="84"/>
      <c r="AD37" s="84"/>
      <c r="AE37" s="84"/>
      <c r="AG37" s="82" t="str">
        <f t="shared" si="7"/>
        <v xml:space="preserve">    { 35, 58, 37, 58, wxString::FromUTF8("\x43"), Connection::ORTHO_BOTH, Connection::EMPTY, Connection::ORTHO_BOTH, Connection::EMPTY }</v>
      </c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1"/>
    </row>
    <row r="38" spans="1:44" x14ac:dyDescent="0.4">
      <c r="A38" s="7" t="s">
        <v>38</v>
      </c>
      <c r="B38" s="6" t="str">
        <f t="shared" si="0"/>
        <v>D</v>
      </c>
      <c r="C38" s="71" cm="1">
        <f t="array" ref="C38">IF($M38&lt;&gt;"",INDEX($M:$M,MATCH(TRUE,EXACT(B38,$A:$A),0)),"")</f>
        <v>36</v>
      </c>
      <c r="D38" s="61" t="s">
        <v>46</v>
      </c>
      <c r="E38" s="71" cm="1">
        <f t="array" ref="E38">IF($M38&lt;&gt;"",INDEX($M:$M,MATCH(TRUE,EXACT(D38,$A:$A),0)),"")</f>
        <v>56</v>
      </c>
      <c r="F38" s="61" t="s">
        <v>38</v>
      </c>
      <c r="G38" s="71" cm="1">
        <f t="array" ref="G38">IF($M38&lt;&gt;"",INDEX($M:$M,MATCH(TRUE,EXACT(F38,$A:$A),0)),"")</f>
        <v>36</v>
      </c>
      <c r="H38" s="61" t="s">
        <v>36</v>
      </c>
      <c r="I38" s="75" cm="1">
        <f t="array" ref="I38">IF($M38&lt;&gt;"",INDEX($M:$M,MATCH(TRUE,EXACT(H38,$A:$A),0)),"")</f>
        <v>33</v>
      </c>
      <c r="J38" s="46"/>
      <c r="K38" s="56"/>
      <c r="L38" s="41" t="b">
        <f t="shared" si="1"/>
        <v>1</v>
      </c>
      <c r="M38" s="42">
        <f>IF(L38, MAX(M$2:M37)+1,"")</f>
        <v>36</v>
      </c>
      <c r="N38" s="46" t="str">
        <f t="shared" si="2"/>
        <v>D</v>
      </c>
      <c r="O38" s="8" t="str" cm="1">
        <f t="array" ref="O38">CharToUTF8(A38)</f>
        <v>\x44</v>
      </c>
      <c r="Q38" s="41" t="str">
        <f t="shared" si="10"/>
        <v>ORTHO_BOTH</v>
      </c>
      <c r="R38" s="47" t="str">
        <f>$Z$4</f>
        <v>ORTHO_BOTH</v>
      </c>
      <c r="S38" s="47" t="str">
        <f>$Z$4</f>
        <v>ORTHO_BOTH</v>
      </c>
      <c r="T38" s="44" t="str">
        <f>$Z$2</f>
        <v>EMPTY</v>
      </c>
      <c r="V38" s="54" t="b">
        <f t="shared" si="4"/>
        <v>0</v>
      </c>
      <c r="W38" t="b">
        <f t="shared" si="5"/>
        <v>1</v>
      </c>
      <c r="X38" t="b">
        <f t="shared" si="6"/>
        <v>0</v>
      </c>
      <c r="Z38" s="84"/>
      <c r="AA38" s="84"/>
      <c r="AB38" s="84"/>
      <c r="AC38" s="84"/>
      <c r="AD38" s="84"/>
      <c r="AE38" s="84"/>
      <c r="AG38" s="82" t="str">
        <f t="shared" si="7"/>
        <v xml:space="preserve">    { 36, 56, 36, 33, wxString::FromUTF8("\x44"), Connection::ORTHO_BOTH, Connection::ORTHO_BOTH, Connection::ORTHO_BOTH, Connection::EMPTY }</v>
      </c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1"/>
    </row>
    <row r="39" spans="1:44" x14ac:dyDescent="0.4">
      <c r="A39" s="7" t="s">
        <v>28</v>
      </c>
      <c r="B39" s="6" t="str">
        <f t="shared" si="0"/>
        <v>E</v>
      </c>
      <c r="C39" s="71" cm="1">
        <f t="array" ref="C39">IF($M39&lt;&gt;"",INDEX($M:$M,MATCH(TRUE,EXACT(B39,$A:$A),0)),"")</f>
        <v>37</v>
      </c>
      <c r="D39" s="61" t="s">
        <v>47</v>
      </c>
      <c r="E39" s="71" cm="1">
        <f t="array" ref="E39">IF($M39&lt;&gt;"",INDEX($M:$M,MATCH(TRUE,EXACT(D39,$A:$A),0)),"")</f>
        <v>35</v>
      </c>
      <c r="F39" s="61" t="s">
        <v>47</v>
      </c>
      <c r="G39" s="71" cm="1">
        <f t="array" ref="G39">IF($M39&lt;&gt;"",INDEX($M:$M,MATCH(TRUE,EXACT(F39,$A:$A),0)),"")</f>
        <v>35</v>
      </c>
      <c r="H39" s="61" t="s">
        <v>26</v>
      </c>
      <c r="I39" s="75" cm="1">
        <f t="array" ref="I39">IF($M39&lt;&gt;"",INDEX($M:$M,MATCH(TRUE,EXACT(H39,$A:$A),0)),"")</f>
        <v>49</v>
      </c>
      <c r="J39" s="46"/>
      <c r="K39" s="56"/>
      <c r="L39" s="41" t="b">
        <f t="shared" si="1"/>
        <v>1</v>
      </c>
      <c r="M39" s="42">
        <f>IF(L39, MAX(M$2:M38)+1,"")</f>
        <v>37</v>
      </c>
      <c r="N39" s="46" t="str">
        <f t="shared" si="2"/>
        <v>E</v>
      </c>
      <c r="O39" s="8" t="str" cm="1">
        <f t="array" ref="O39">CharToUTF8(A39)</f>
        <v>\x45</v>
      </c>
      <c r="Q39" s="41" t="str">
        <f>$Z$2</f>
        <v>EMPTY</v>
      </c>
      <c r="R39" s="47" t="str">
        <f>$Z$4</f>
        <v>ORTHO_BOTH</v>
      </c>
      <c r="S39" s="47" t="str">
        <f>$Z$4</f>
        <v>ORTHO_BOTH</v>
      </c>
      <c r="T39" s="44" t="str">
        <f>$Z$2</f>
        <v>EMPTY</v>
      </c>
      <c r="V39" s="54" t="b">
        <f t="shared" si="4"/>
        <v>0</v>
      </c>
      <c r="W39" t="b">
        <f t="shared" si="5"/>
        <v>0</v>
      </c>
      <c r="X39" t="b">
        <f t="shared" si="6"/>
        <v>0</v>
      </c>
      <c r="Z39" s="84"/>
      <c r="AA39" s="84"/>
      <c r="AB39" s="84"/>
      <c r="AC39" s="84"/>
      <c r="AD39" s="84"/>
      <c r="AE39" s="84"/>
      <c r="AG39" s="82" t="str">
        <f t="shared" si="7"/>
        <v xml:space="preserve">    { 37, 35, 35, 49, wxString::FromUTF8("\x45"), Connection::EMPTY, Connection::ORTHO_BOTH, Connection::ORTHO_BOTH, Connection::EMPTY }</v>
      </c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1"/>
    </row>
    <row r="40" spans="1:44" x14ac:dyDescent="0.4">
      <c r="A40" s="7" t="s">
        <v>39</v>
      </c>
      <c r="B40" s="6" t="str">
        <f t="shared" si="0"/>
        <v>F</v>
      </c>
      <c r="C40" s="71" cm="1">
        <f t="array" ref="C40">IF($M40&lt;&gt;"",INDEX($M:$M,MATCH(TRUE,EXACT(B40,$A:$A),0)),"")</f>
        <v>38</v>
      </c>
      <c r="D40" s="61" t="s">
        <v>55</v>
      </c>
      <c r="E40" s="71" cm="1">
        <f t="array" ref="E40">IF($M40&lt;&gt;"",INDEX($M:$M,MATCH(TRUE,EXACT(D40,$A:$A),0)),"")</f>
        <v>4</v>
      </c>
      <c r="F40" s="61" t="s">
        <v>39</v>
      </c>
      <c r="G40" s="71" cm="1">
        <f t="array" ref="G40">IF($M40&lt;&gt;"",INDEX($M:$M,MATCH(TRUE,EXACT(F40,$A:$A),0)),"")</f>
        <v>38</v>
      </c>
      <c r="H40" s="61" t="s">
        <v>48</v>
      </c>
      <c r="I40" s="75" cm="1">
        <f t="array" ref="I40">IF($M40&lt;&gt;"",INDEX($M:$M,MATCH(TRUE,EXACT(H40,$A:$A),0)),"")</f>
        <v>54</v>
      </c>
      <c r="J40" s="46"/>
      <c r="K40" s="56"/>
      <c r="L40" s="41" t="b">
        <f t="shared" si="1"/>
        <v>1</v>
      </c>
      <c r="M40" s="42">
        <f>IF(L40, MAX(M$2:M39)+1,"")</f>
        <v>38</v>
      </c>
      <c r="N40" s="46" t="str">
        <f t="shared" si="2"/>
        <v>F</v>
      </c>
      <c r="O40" s="8" t="str" cm="1">
        <f t="array" ref="O40">CharToUTF8(A40)</f>
        <v>\x46</v>
      </c>
      <c r="Q40" s="41" t="str">
        <f>$Z$2</f>
        <v>EMPTY</v>
      </c>
      <c r="R40" s="47" t="str">
        <f>$Z$2</f>
        <v>EMPTY</v>
      </c>
      <c r="S40" s="47" t="str">
        <f>$Z$2</f>
        <v>EMPTY</v>
      </c>
      <c r="T40" s="44" t="str">
        <f>$Z$4</f>
        <v>ORTHO_BOTH</v>
      </c>
      <c r="V40" s="54" t="b">
        <f t="shared" si="4"/>
        <v>0</v>
      </c>
      <c r="W40" t="b">
        <f t="shared" si="5"/>
        <v>1</v>
      </c>
      <c r="X40" t="b">
        <f t="shared" si="6"/>
        <v>0</v>
      </c>
      <c r="Z40" s="84"/>
      <c r="AA40" s="84"/>
      <c r="AB40" s="84"/>
      <c r="AC40" s="84"/>
      <c r="AD40" s="84"/>
      <c r="AE40" s="84"/>
      <c r="AG40" s="82" t="str">
        <f t="shared" si="7"/>
        <v xml:space="preserve">    { 38, 4, 38, 54, wxString::FromUTF8("\x46"), Connection::EMPTY, Connection::EMPTY, Connection::EMPTY, Connection::ORTHO_BOTH }</v>
      </c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1"/>
    </row>
    <row r="41" spans="1:44" x14ac:dyDescent="0.4">
      <c r="A41" s="7" t="s">
        <v>40</v>
      </c>
      <c r="B41" s="6" t="str">
        <f t="shared" si="0"/>
        <v>G</v>
      </c>
      <c r="C41" s="71" cm="1">
        <f t="array" ref="C41">IF($M41&lt;&gt;"",INDEX($M:$M,MATCH(TRUE,EXACT(B41,$A:$A),0)),"")</f>
        <v>39</v>
      </c>
      <c r="D41" s="61" t="s">
        <v>56</v>
      </c>
      <c r="E41" s="71" cm="1">
        <f t="array" ref="E41">IF($M41&lt;&gt;"",INDEX($M:$M,MATCH(TRUE,EXACT(D41,$A:$A),0)),"")</f>
        <v>5</v>
      </c>
      <c r="F41" s="61" t="s">
        <v>40</v>
      </c>
      <c r="G41" s="71" cm="1">
        <f t="array" ref="G41">IF($M41&lt;&gt;"",INDEX($M:$M,MATCH(TRUE,EXACT(F41,$A:$A),0)),"")</f>
        <v>39</v>
      </c>
      <c r="H41" s="61" t="s">
        <v>41</v>
      </c>
      <c r="I41" s="75" cm="1">
        <f t="array" ref="I41">IF($M41&lt;&gt;"",INDEX($M:$M,MATCH(TRUE,EXACT(H41,$A:$A),0)),"")</f>
        <v>40</v>
      </c>
      <c r="J41" s="46"/>
      <c r="K41" s="56"/>
      <c r="L41" s="41" t="b">
        <f t="shared" si="1"/>
        <v>1</v>
      </c>
      <c r="M41" s="42">
        <f>IF(L41, MAX(M$2:M40)+1,"")</f>
        <v>39</v>
      </c>
      <c r="N41" s="46" t="str">
        <f t="shared" si="2"/>
        <v>G</v>
      </c>
      <c r="O41" s="8" t="str" cm="1">
        <f t="array" ref="O41">CharToUTF8(A41)</f>
        <v>\x47</v>
      </c>
      <c r="Q41" s="41" t="str">
        <f>$Z$4</f>
        <v>ORTHO_BOTH</v>
      </c>
      <c r="R41" s="47" t="str">
        <f>$Z$4</f>
        <v>ORTHO_BOTH</v>
      </c>
      <c r="S41" s="47" t="str">
        <f>$Z$2</f>
        <v>EMPTY</v>
      </c>
      <c r="T41" s="44" t="str">
        <f>$Z$3</f>
        <v>DIAG_BOTH</v>
      </c>
      <c r="V41" s="54" t="b">
        <f t="shared" si="4"/>
        <v>0</v>
      </c>
      <c r="W41" t="b">
        <f t="shared" si="5"/>
        <v>1</v>
      </c>
      <c r="X41" t="b">
        <f t="shared" si="6"/>
        <v>0</v>
      </c>
      <c r="Z41" s="84"/>
      <c r="AA41" s="84"/>
      <c r="AB41" s="84"/>
      <c r="AC41" s="84"/>
      <c r="AD41" s="84"/>
      <c r="AE41" s="84"/>
      <c r="AG41" s="82" t="str">
        <f t="shared" si="7"/>
        <v xml:space="preserve">    { 39, 5, 39, 40, wxString::FromUTF8("\x47"), Connection::ORTHO_BOTH, Connection::ORTHO_BOTH, Connection::EMPTY, Connection::DIAG_BOTH }</v>
      </c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1"/>
    </row>
    <row r="42" spans="1:44" x14ac:dyDescent="0.4">
      <c r="A42" s="7" t="s">
        <v>41</v>
      </c>
      <c r="B42" s="6" t="str">
        <f t="shared" si="0"/>
        <v>H</v>
      </c>
      <c r="C42" s="71" cm="1">
        <f t="array" ref="C42">IF($M42&lt;&gt;"",INDEX($M:$M,MATCH(TRUE,EXACT(B42,$A:$A),0)),"")</f>
        <v>40</v>
      </c>
      <c r="D42" s="61" t="s">
        <v>30</v>
      </c>
      <c r="E42" s="71" cm="1">
        <f t="array" ref="E42">IF($M42&lt;&gt;"",INDEX($M:$M,MATCH(TRUE,EXACT(D42,$A:$A),0)),"")</f>
        <v>52</v>
      </c>
      <c r="F42" s="61" t="s">
        <v>41</v>
      </c>
      <c r="G42" s="71" cm="1">
        <f t="array" ref="G42">IF($M42&lt;&gt;"",INDEX($M:$M,MATCH(TRUE,EXACT(F42,$A:$A),0)),"")</f>
        <v>40</v>
      </c>
      <c r="H42" s="61" t="s">
        <v>40</v>
      </c>
      <c r="I42" s="75" cm="1">
        <f t="array" ref="I42">IF($M42&lt;&gt;"",INDEX($M:$M,MATCH(TRUE,EXACT(H42,$A:$A),0)),"")</f>
        <v>39</v>
      </c>
      <c r="J42" s="46"/>
      <c r="K42" s="56"/>
      <c r="L42" s="41" t="b">
        <f t="shared" si="1"/>
        <v>1</v>
      </c>
      <c r="M42" s="42">
        <f>IF(L42, MAX(M$2:M41)+1,"")</f>
        <v>40</v>
      </c>
      <c r="N42" s="46" t="str">
        <f t="shared" si="2"/>
        <v>H</v>
      </c>
      <c r="O42" s="8" t="str" cm="1">
        <f t="array" ref="O42">CharToUTF8(A42)</f>
        <v>\x48</v>
      </c>
      <c r="Q42" s="41" t="str">
        <f>$Z$4</f>
        <v>ORTHO_BOTH</v>
      </c>
      <c r="R42" s="47" t="str">
        <f>$Z$4</f>
        <v>ORTHO_BOTH</v>
      </c>
      <c r="S42" s="47" t="str">
        <f>$Z$3</f>
        <v>DIAG_BOTH</v>
      </c>
      <c r="T42" s="44" t="str">
        <f>$Z$2</f>
        <v>EMPTY</v>
      </c>
      <c r="V42" s="54" t="b">
        <f t="shared" si="4"/>
        <v>0</v>
      </c>
      <c r="W42" t="b">
        <f t="shared" si="5"/>
        <v>1</v>
      </c>
      <c r="X42" t="b">
        <f t="shared" si="6"/>
        <v>0</v>
      </c>
      <c r="Z42" s="84"/>
      <c r="AA42" s="84"/>
      <c r="AB42" s="84"/>
      <c r="AC42" s="84"/>
      <c r="AD42" s="84"/>
      <c r="AE42" s="84"/>
      <c r="AG42" s="82" t="str">
        <f t="shared" si="7"/>
        <v xml:space="preserve">    { 40, 52, 40, 39, wxString::FromUTF8("\x48"), Connection::ORTHO_BOTH, Connection::ORTHO_BOTH, Connection::DIAG_BOTH, Connection::EMPTY }</v>
      </c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1"/>
    </row>
    <row r="43" spans="1:44" x14ac:dyDescent="0.4">
      <c r="A43" s="7" t="s">
        <v>33</v>
      </c>
      <c r="B43" s="6" t="str">
        <f t="shared" si="0"/>
        <v>I</v>
      </c>
      <c r="C43" s="71" cm="1">
        <f t="array" ref="C43">IF($M43&lt;&gt;"",INDEX($M:$M,MATCH(TRUE,EXACT(B43,$A:$A),0)),"")</f>
        <v>41</v>
      </c>
      <c r="D43" s="61" t="s">
        <v>51</v>
      </c>
      <c r="E43" s="71" cm="1">
        <f t="array" ref="E43">IF($M43&lt;&gt;"",INDEX($M:$M,MATCH(TRUE,EXACT(D43,$A:$A),0)),"")</f>
        <v>45</v>
      </c>
      <c r="F43" s="61" t="s">
        <v>59</v>
      </c>
      <c r="G43" s="71" cm="1">
        <f t="array" ref="G43">IF($M43&lt;&gt;"",INDEX($M:$M,MATCH(TRUE,EXACT(F43,$A:$A),0)),"")</f>
        <v>10</v>
      </c>
      <c r="H43" s="61" t="s">
        <v>32</v>
      </c>
      <c r="I43" s="75" cm="1">
        <f t="array" ref="I43">IF($M43&lt;&gt;"",INDEX($M:$M,MATCH(TRUE,EXACT(H43,$A:$A),0)),"")</f>
        <v>53</v>
      </c>
      <c r="J43" s="46"/>
      <c r="K43" s="56"/>
      <c r="L43" s="41" t="b">
        <f t="shared" si="1"/>
        <v>1</v>
      </c>
      <c r="M43" s="42">
        <f>IF(L43, MAX(M$2:M42)+1,"")</f>
        <v>41</v>
      </c>
      <c r="N43" s="46" t="str">
        <f t="shared" si="2"/>
        <v>I</v>
      </c>
      <c r="O43" s="8" t="str" cm="1">
        <f t="array" ref="O43">CharToUTF8(A43)</f>
        <v>\x49</v>
      </c>
      <c r="Q43" s="41" t="str">
        <f>$Z$4</f>
        <v>ORTHO_BOTH</v>
      </c>
      <c r="R43" s="47" t="str">
        <f>$Z$3</f>
        <v>DIAG_BOTH</v>
      </c>
      <c r="S43" s="47" t="str">
        <f>$Z$4</f>
        <v>ORTHO_BOTH</v>
      </c>
      <c r="T43" s="44" t="str">
        <f>$Z$2</f>
        <v>EMPTY</v>
      </c>
      <c r="V43" s="54" t="b">
        <f t="shared" si="4"/>
        <v>0</v>
      </c>
      <c r="W43" t="b">
        <f t="shared" si="5"/>
        <v>0</v>
      </c>
      <c r="X43" t="b">
        <f t="shared" si="6"/>
        <v>0</v>
      </c>
      <c r="Z43" s="84"/>
      <c r="AA43" s="84"/>
      <c r="AB43" s="84"/>
      <c r="AC43" s="84"/>
      <c r="AD43" s="84"/>
      <c r="AE43" s="84"/>
      <c r="AG43" s="82" t="str">
        <f t="shared" si="7"/>
        <v xml:space="preserve">    { 41, 45, 10, 53, wxString::FromUTF8("\x49"), Connection::ORTHO_BOTH, Connection::DIAG_BOTH, Connection::ORTHO_BOTH, Connection::EMPTY }</v>
      </c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1"/>
    </row>
    <row r="44" spans="1:44" x14ac:dyDescent="0.4">
      <c r="A44" s="7" t="s">
        <v>42</v>
      </c>
      <c r="B44" s="6" t="str">
        <f t="shared" si="0"/>
        <v>J</v>
      </c>
      <c r="C44" s="71" cm="1">
        <f t="array" ref="C44">IF($M44&lt;&gt;"",INDEX($M:$M,MATCH(TRUE,EXACT(B44,$A:$A),0)),"")</f>
        <v>42</v>
      </c>
      <c r="D44" s="61" t="s">
        <v>59</v>
      </c>
      <c r="E44" s="71" cm="1">
        <f t="array" ref="E44">IF($M44&lt;&gt;"",INDEX($M:$M,MATCH(TRUE,EXACT(D44,$A:$A),0)),"")</f>
        <v>10</v>
      </c>
      <c r="F44" s="61" t="s">
        <v>51</v>
      </c>
      <c r="G44" s="71" cm="1">
        <f t="array" ref="G44">IF($M44&lt;&gt;"",INDEX($M:$M,MATCH(TRUE,EXACT(F44,$A:$A),0)),"")</f>
        <v>45</v>
      </c>
      <c r="H44" s="61" t="s">
        <v>43</v>
      </c>
      <c r="I44" s="75" cm="1">
        <f t="array" ref="I44">IF($M44&lt;&gt;"",INDEX($M:$M,MATCH(TRUE,EXACT(H44,$A:$A),0)),"")</f>
        <v>43</v>
      </c>
      <c r="J44" s="46"/>
      <c r="K44" s="56"/>
      <c r="L44" s="41" t="b">
        <f t="shared" si="1"/>
        <v>1</v>
      </c>
      <c r="M44" s="42">
        <f>IF(L44, MAX(M$2:M43)+1,"")</f>
        <v>42</v>
      </c>
      <c r="N44" s="46" t="str">
        <f t="shared" si="2"/>
        <v>J</v>
      </c>
      <c r="O44" s="8" t="str" cm="1">
        <f t="array" ref="O44">CharToUTF8(A44)</f>
        <v>\x4A</v>
      </c>
      <c r="Q44" s="41" t="str">
        <f>$Z$2</f>
        <v>EMPTY</v>
      </c>
      <c r="R44" s="47" t="str">
        <f>$Z$4</f>
        <v>ORTHO_BOTH</v>
      </c>
      <c r="S44" s="47" t="str">
        <f>$Z$3</f>
        <v>DIAG_BOTH</v>
      </c>
      <c r="T44" s="44" t="str">
        <f>$Z$4</f>
        <v>ORTHO_BOTH</v>
      </c>
      <c r="V44" s="54" t="b">
        <f t="shared" si="4"/>
        <v>0</v>
      </c>
      <c r="W44" t="b">
        <f t="shared" si="5"/>
        <v>0</v>
      </c>
      <c r="X44" t="b">
        <f t="shared" si="6"/>
        <v>0</v>
      </c>
      <c r="Z44" s="84"/>
      <c r="AA44" s="84"/>
      <c r="AB44" s="84"/>
      <c r="AC44" s="84"/>
      <c r="AD44" s="84"/>
      <c r="AE44" s="84"/>
      <c r="AG44" s="82" t="str">
        <f t="shared" si="7"/>
        <v xml:space="preserve">    { 42, 10, 45, 43, wxString::FromUTF8("\x4A"), Connection::EMPTY, Connection::ORTHO_BOTH, Connection::DIAG_BOTH, Connection::ORTHO_BOTH }</v>
      </c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1"/>
    </row>
    <row r="45" spans="1:44" x14ac:dyDescent="0.4">
      <c r="A45" s="7" t="s">
        <v>43</v>
      </c>
      <c r="B45" s="6" t="str">
        <f t="shared" si="0"/>
        <v>K</v>
      </c>
      <c r="C45" s="71" cm="1">
        <f t="array" ref="C45">IF($M45&lt;&gt;"",INDEX($M:$M,MATCH(TRUE,EXACT(B45,$A:$A),0)),"")</f>
        <v>43</v>
      </c>
      <c r="D45" s="61" t="s">
        <v>33</v>
      </c>
      <c r="E45" s="71" cm="1">
        <f t="array" ref="E45">IF($M45&lt;&gt;"",INDEX($M:$M,MATCH(TRUE,EXACT(D45,$A:$A),0)),"")</f>
        <v>41</v>
      </c>
      <c r="F45" s="61" t="s">
        <v>165</v>
      </c>
      <c r="G45" s="71" cm="1">
        <f t="array" ref="G45">IF($M45&lt;&gt;"",INDEX($M:$M,MATCH(TRUE,EXACT(F45,$A:$A),0)),"")</f>
        <v>28</v>
      </c>
      <c r="H45" s="61" t="s">
        <v>42</v>
      </c>
      <c r="I45" s="75" cm="1">
        <f t="array" ref="I45">IF($M45&lt;&gt;"",INDEX($M:$M,MATCH(TRUE,EXACT(H45,$A:$A),0)),"")</f>
        <v>42</v>
      </c>
      <c r="J45" s="46"/>
      <c r="K45" s="56"/>
      <c r="L45" s="41" t="b">
        <f t="shared" si="1"/>
        <v>1</v>
      </c>
      <c r="M45" s="42">
        <f>IF(L45, MAX(M$2:M44)+1,"")</f>
        <v>43</v>
      </c>
      <c r="N45" s="46" t="str">
        <f t="shared" si="2"/>
        <v>K</v>
      </c>
      <c r="O45" s="8" t="str" cm="1">
        <f t="array" ref="O45">CharToUTF8(A45)</f>
        <v>\x4B</v>
      </c>
      <c r="Q45" s="41" t="str">
        <f>$Z$2</f>
        <v>EMPTY</v>
      </c>
      <c r="R45" s="47" t="str">
        <f>$Z$4</f>
        <v>ORTHO_BOTH</v>
      </c>
      <c r="S45" s="47" t="str">
        <f>$Z$4</f>
        <v>ORTHO_BOTH</v>
      </c>
      <c r="T45" s="44" t="str">
        <f>$Z$3</f>
        <v>DIAG_BOTH</v>
      </c>
      <c r="V45" s="54" t="b">
        <f t="shared" si="4"/>
        <v>0</v>
      </c>
      <c r="W45" t="b">
        <f t="shared" si="5"/>
        <v>0</v>
      </c>
      <c r="X45" t="b">
        <f t="shared" si="6"/>
        <v>0</v>
      </c>
      <c r="Z45" s="84"/>
      <c r="AA45" s="84"/>
      <c r="AB45" s="84"/>
      <c r="AC45" s="84"/>
      <c r="AD45" s="84"/>
      <c r="AE45" s="84"/>
      <c r="AG45" s="82" t="str">
        <f t="shared" si="7"/>
        <v xml:space="preserve">    { 43, 41, 28, 42, wxString::FromUTF8("\x4B"), Connection::EMPTY, Connection::ORTHO_BOTH, Connection::ORTHO_BOTH, Connection::DIAG_BOTH }</v>
      </c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1"/>
    </row>
    <row r="46" spans="1:44" x14ac:dyDescent="0.4">
      <c r="A46" s="7" t="s">
        <v>44</v>
      </c>
      <c r="B46" s="6" t="str">
        <f t="shared" si="0"/>
        <v>L</v>
      </c>
      <c r="C46" s="71" cm="1">
        <f t="array" ref="C46">IF($M46&lt;&gt;"",INDEX($M:$M,MATCH(TRUE,EXACT(B46,$A:$A),0)),"")</f>
        <v>44</v>
      </c>
      <c r="D46" s="61" t="s">
        <v>67</v>
      </c>
      <c r="E46" s="71" cm="1">
        <f t="array" ref="E46">IF($M46&lt;&gt;"",INDEX($M:$M,MATCH(TRUE,EXACT(D46,$A:$A),0)),"")</f>
        <v>26</v>
      </c>
      <c r="F46" s="61" t="s">
        <v>166</v>
      </c>
      <c r="G46" s="71" cm="1">
        <f t="array" ref="G46">IF($M46&lt;&gt;"",INDEX($M:$M,MATCH(TRUE,EXACT(F46,$A:$A),0)),"")</f>
        <v>30</v>
      </c>
      <c r="H46" s="61" t="s">
        <v>67</v>
      </c>
      <c r="I46" s="75" cm="1">
        <f t="array" ref="I46">IF($M46&lt;&gt;"",INDEX($M:$M,MATCH(TRUE,EXACT(H46,$A:$A),0)),"")</f>
        <v>26</v>
      </c>
      <c r="J46" s="46"/>
      <c r="K46" s="56"/>
      <c r="L46" s="41" t="b">
        <f t="shared" si="1"/>
        <v>1</v>
      </c>
      <c r="M46" s="42">
        <f>IF(L46, MAX(M$2:M45)+1,"")</f>
        <v>44</v>
      </c>
      <c r="N46" s="46" t="str">
        <f t="shared" si="2"/>
        <v>L</v>
      </c>
      <c r="O46" s="8" t="str" cm="1">
        <f t="array" ref="O46">CharToUTF8(A46)</f>
        <v>\x4C</v>
      </c>
      <c r="Q46" s="41" t="str">
        <f>$Z$2</f>
        <v>EMPTY</v>
      </c>
      <c r="R46" s="47" t="str">
        <f>$Z$4</f>
        <v>ORTHO_BOTH</v>
      </c>
      <c r="S46" s="47" t="str">
        <f>$Z$2</f>
        <v>EMPTY</v>
      </c>
      <c r="T46" s="44" t="str">
        <f>$Z$4</f>
        <v>ORTHO_BOTH</v>
      </c>
      <c r="V46" s="54" t="b">
        <f t="shared" si="4"/>
        <v>0</v>
      </c>
      <c r="W46" t="b">
        <f t="shared" si="5"/>
        <v>0</v>
      </c>
      <c r="X46" t="b">
        <f t="shared" si="6"/>
        <v>0</v>
      </c>
      <c r="Z46" s="84"/>
      <c r="AA46" s="84"/>
      <c r="AB46" s="84"/>
      <c r="AC46" s="84"/>
      <c r="AD46" s="84"/>
      <c r="AE46" s="84"/>
      <c r="AG46" s="82" t="str">
        <f t="shared" si="7"/>
        <v xml:space="preserve">    { 44, 26, 30, 26, wxString::FromUTF8("\x4C"), Connection::EMPTY, Connection::ORTHO_BOTH, Connection::EMPTY, Connection::ORTHO_BOTH }</v>
      </c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1"/>
    </row>
    <row r="47" spans="1:44" x14ac:dyDescent="0.4">
      <c r="A47" s="7" t="s">
        <v>51</v>
      </c>
      <c r="B47" s="6" t="str">
        <f t="shared" si="0"/>
        <v>M</v>
      </c>
      <c r="C47" s="71" cm="1">
        <f t="array" ref="C47">IF($M47&lt;&gt;"",INDEX($M:$M,MATCH(TRUE,EXACT(B47,$A:$A),0)),"")</f>
        <v>45</v>
      </c>
      <c r="D47" s="61" t="s">
        <v>58</v>
      </c>
      <c r="E47" s="71" cm="1">
        <f t="array" ref="E47">IF($M47&lt;&gt;"",INDEX($M:$M,MATCH(TRUE,EXACT(D47,$A:$A),0)),"")</f>
        <v>6</v>
      </c>
      <c r="F47" s="61" t="s">
        <v>42</v>
      </c>
      <c r="G47" s="71" cm="1">
        <f t="array" ref="G47">IF($M47&lt;&gt;"",INDEX($M:$M,MATCH(TRUE,EXACT(F47,$A:$A),0)),"")</f>
        <v>42</v>
      </c>
      <c r="H47" s="61" t="s">
        <v>165</v>
      </c>
      <c r="I47" s="75" cm="1">
        <f t="array" ref="I47">IF($M47&lt;&gt;"",INDEX($M:$M,MATCH(TRUE,EXACT(H47,$A:$A),0)),"")</f>
        <v>28</v>
      </c>
      <c r="J47" s="46"/>
      <c r="K47" s="56"/>
      <c r="L47" s="41" t="b">
        <f t="shared" si="1"/>
        <v>1</v>
      </c>
      <c r="M47" s="42">
        <f>IF(L47, MAX(M$2:M46)+1,"")</f>
        <v>45</v>
      </c>
      <c r="N47" s="46" t="str">
        <f t="shared" si="2"/>
        <v>M</v>
      </c>
      <c r="O47" s="8" t="str" cm="1">
        <f t="array" ref="O47">CharToUTF8(A47)</f>
        <v>\x4D</v>
      </c>
      <c r="Q47" s="41" t="str">
        <f>$Z$4</f>
        <v>ORTHO_BOTH</v>
      </c>
      <c r="R47" s="47" t="str">
        <f>$Z$2</f>
        <v>EMPTY</v>
      </c>
      <c r="S47" s="47" t="str">
        <f>$Z$3</f>
        <v>DIAG_BOTH</v>
      </c>
      <c r="T47" s="44" t="str">
        <f>$Z$4</f>
        <v>ORTHO_BOTH</v>
      </c>
      <c r="V47" s="54" t="b">
        <f t="shared" si="4"/>
        <v>0</v>
      </c>
      <c r="W47" t="b">
        <f t="shared" si="5"/>
        <v>0</v>
      </c>
      <c r="X47" t="b">
        <f t="shared" si="6"/>
        <v>0</v>
      </c>
      <c r="Z47" s="84"/>
      <c r="AA47" s="84"/>
      <c r="AB47" s="84"/>
      <c r="AC47" s="84"/>
      <c r="AD47" s="84"/>
      <c r="AE47" s="84"/>
      <c r="AG47" s="82" t="str">
        <f t="shared" si="7"/>
        <v xml:space="preserve">    { 45, 6, 42, 28, wxString::FromUTF8("\x4D"), Connection::ORTHO_BOTH, Connection::EMPTY, Connection::DIAG_BOTH, Connection::ORTHO_BOTH }</v>
      </c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1"/>
    </row>
    <row r="48" spans="1:44" x14ac:dyDescent="0.4">
      <c r="A48" s="7" t="s">
        <v>50</v>
      </c>
      <c r="B48" s="6" t="str">
        <f t="shared" si="0"/>
        <v>N</v>
      </c>
      <c r="C48" s="71" cm="1">
        <f t="array" ref="C48">IF($M48&lt;&gt;"",INDEX($M:$M,MATCH(TRUE,EXACT(B48,$A:$A),0)),"")</f>
        <v>46</v>
      </c>
      <c r="D48" s="61" t="s">
        <v>31</v>
      </c>
      <c r="E48" s="71" cm="1">
        <f t="array" ref="E48">IF($M48&lt;&gt;"",INDEX($M:$M,MATCH(TRUE,EXACT(D48,$A:$A),0)),"")</f>
        <v>57</v>
      </c>
      <c r="F48" s="61" t="s">
        <v>50</v>
      </c>
      <c r="G48" s="71" cm="1">
        <f t="array" ref="G48">IF($M48&lt;&gt;"",INDEX($M:$M,MATCH(TRUE,EXACT(F48,$A:$A),0)),"")</f>
        <v>46</v>
      </c>
      <c r="H48" s="61" t="s">
        <v>49</v>
      </c>
      <c r="I48" s="75" cm="1">
        <f t="array" ref="I48">IF($M48&lt;&gt;"",INDEX($M:$M,MATCH(TRUE,EXACT(H48,$A:$A),0)),"")</f>
        <v>34</v>
      </c>
      <c r="J48" s="46"/>
      <c r="K48" s="56"/>
      <c r="L48" s="41" t="b">
        <f t="shared" si="1"/>
        <v>1</v>
      </c>
      <c r="M48" s="42">
        <f>IF(L48, MAX(M$2:M47)+1,"")</f>
        <v>46</v>
      </c>
      <c r="N48" s="46" t="str">
        <f t="shared" si="2"/>
        <v>N</v>
      </c>
      <c r="O48" s="8" t="str" cm="1">
        <f t="array" ref="O48">CharToUTF8(A48)</f>
        <v>\x4E</v>
      </c>
      <c r="Q48" s="41" t="str">
        <f>$Z$4</f>
        <v>ORTHO_BOTH</v>
      </c>
      <c r="R48" s="47" t="str">
        <f>$Z$4</f>
        <v>ORTHO_BOTH</v>
      </c>
      <c r="S48" s="47" t="str">
        <f>$Z$3</f>
        <v>DIAG_BOTH</v>
      </c>
      <c r="T48" s="44" t="str">
        <f>$Z$4</f>
        <v>ORTHO_BOTH</v>
      </c>
      <c r="V48" s="54" t="b">
        <f t="shared" si="4"/>
        <v>0</v>
      </c>
      <c r="W48" t="b">
        <f t="shared" si="5"/>
        <v>1</v>
      </c>
      <c r="X48" t="b">
        <f t="shared" si="6"/>
        <v>0</v>
      </c>
      <c r="Z48" s="84"/>
      <c r="AA48" s="84"/>
      <c r="AB48" s="84"/>
      <c r="AC48" s="84"/>
      <c r="AD48" s="84"/>
      <c r="AE48" s="84"/>
      <c r="AG48" s="82" t="str">
        <f t="shared" si="7"/>
        <v xml:space="preserve">    { 46, 57, 46, 34, wxString::FromUTF8("\x4E"), Connection::ORTHO_BOTH, Connection::ORTHO_BOTH, Connection::DIAG_BOTH, Connection::ORTHO_BOTH }</v>
      </c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1"/>
    </row>
    <row r="49" spans="1:44" x14ac:dyDescent="0.4">
      <c r="A49" s="7" t="s">
        <v>34</v>
      </c>
      <c r="B49" s="6" t="str">
        <f t="shared" si="0"/>
        <v>O</v>
      </c>
      <c r="C49" s="71" cm="1">
        <f t="array" ref="C49">IF($M49&lt;&gt;"",INDEX($M:$M,MATCH(TRUE,EXACT(B49,$A:$A),0)),"")</f>
        <v>47</v>
      </c>
      <c r="D49" s="61" t="s">
        <v>60</v>
      </c>
      <c r="E49" s="71" cm="1">
        <f t="array" ref="E49">IF($M49&lt;&gt;"",INDEX($M:$M,MATCH(TRUE,EXACT(D49,$A:$A),0)),"")</f>
        <v>8</v>
      </c>
      <c r="F49" s="61" t="s">
        <v>60</v>
      </c>
      <c r="G49" s="71" cm="1">
        <f t="array" ref="G49">IF($M49&lt;&gt;"",INDEX($M:$M,MATCH(TRUE,EXACT(F49,$A:$A),0)),"")</f>
        <v>8</v>
      </c>
      <c r="H49" s="61" t="s">
        <v>35</v>
      </c>
      <c r="I49" s="75" cm="1">
        <f t="array" ref="I49">IF($M49&lt;&gt;"",INDEX($M:$M,MATCH(TRUE,EXACT(H49,$A:$A),0)),"")</f>
        <v>48</v>
      </c>
      <c r="J49" s="46"/>
      <c r="K49" s="56"/>
      <c r="L49" s="41" t="b">
        <f t="shared" si="1"/>
        <v>1</v>
      </c>
      <c r="M49" s="42">
        <f>IF(L49, MAX(M$2:M48)+1,"")</f>
        <v>47</v>
      </c>
      <c r="N49" s="46" t="str">
        <f t="shared" si="2"/>
        <v>O</v>
      </c>
      <c r="O49" s="8" t="str" cm="1">
        <f t="array" ref="O49">CharToUTF8(A49)</f>
        <v>\x4F</v>
      </c>
      <c r="Q49" s="41" t="str">
        <f>$Z$4</f>
        <v>ORTHO_BOTH</v>
      </c>
      <c r="R49" s="47" t="str">
        <f>$Z$2</f>
        <v>EMPTY</v>
      </c>
      <c r="S49" s="47" t="str">
        <f>$Z$2</f>
        <v>EMPTY</v>
      </c>
      <c r="T49" s="44" t="str">
        <f>$Z$4</f>
        <v>ORTHO_BOTH</v>
      </c>
      <c r="V49" s="54" t="b">
        <f t="shared" si="4"/>
        <v>0</v>
      </c>
      <c r="W49" t="b">
        <f t="shared" si="5"/>
        <v>0</v>
      </c>
      <c r="X49" t="b">
        <f t="shared" si="6"/>
        <v>0</v>
      </c>
      <c r="Z49" s="84"/>
      <c r="AA49" s="84"/>
      <c r="AB49" s="84"/>
      <c r="AC49" s="84"/>
      <c r="AD49" s="84"/>
      <c r="AE49" s="84"/>
      <c r="AG49" s="82" t="str">
        <f t="shared" si="7"/>
        <v xml:space="preserve">    { 47, 8, 8, 48, wxString::FromUTF8("\x4F"), Connection::ORTHO_BOTH, Connection::EMPTY, Connection::EMPTY, Connection::ORTHO_BOTH }</v>
      </c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1"/>
    </row>
    <row r="50" spans="1:44" x14ac:dyDescent="0.4">
      <c r="A50" s="7" t="s">
        <v>35</v>
      </c>
      <c r="B50" s="6" t="str">
        <f t="shared" si="0"/>
        <v>P</v>
      </c>
      <c r="C50" s="71" cm="1">
        <f t="array" ref="C50">IF($M50&lt;&gt;"",INDEX($M:$M,MATCH(TRUE,EXACT(B50,$A:$A),0)),"")</f>
        <v>48</v>
      </c>
      <c r="D50" s="61" t="s">
        <v>34</v>
      </c>
      <c r="E50" s="71" cm="1">
        <f t="array" ref="E50">IF($M50&lt;&gt;"",INDEX($M:$M,MATCH(TRUE,EXACT(D50,$A:$A),0)),"")</f>
        <v>47</v>
      </c>
      <c r="F50" s="61" t="s">
        <v>61</v>
      </c>
      <c r="G50" s="71" cm="1">
        <f t="array" ref="G50">IF($M50&lt;&gt;"",INDEX($M:$M,MATCH(TRUE,EXACT(F50,$A:$A),0)),"")</f>
        <v>9</v>
      </c>
      <c r="H50" s="61" t="s">
        <v>34</v>
      </c>
      <c r="I50" s="75" cm="1">
        <f t="array" ref="I50">IF($M50&lt;&gt;"",INDEX($M:$M,MATCH(TRUE,EXACT(H50,$A:$A),0)),"")</f>
        <v>47</v>
      </c>
      <c r="J50" s="46"/>
      <c r="K50" s="56"/>
      <c r="L50" s="41" t="b">
        <f t="shared" si="1"/>
        <v>1</v>
      </c>
      <c r="M50" s="42">
        <f>IF(L50, MAX(M$2:M49)+1,"")</f>
        <v>48</v>
      </c>
      <c r="N50" s="46" t="str">
        <f t="shared" si="2"/>
        <v>P</v>
      </c>
      <c r="O50" s="8" t="str" cm="1">
        <f t="array" ref="O50">CharToUTF8(A50)</f>
        <v>\x50</v>
      </c>
      <c r="Q50" s="41" t="str">
        <f>$Z$4</f>
        <v>ORTHO_BOTH</v>
      </c>
      <c r="R50" s="47" t="str">
        <f>$Z$2</f>
        <v>EMPTY</v>
      </c>
      <c r="S50" s="47" t="str">
        <f>$Z$4</f>
        <v>ORTHO_BOTH</v>
      </c>
      <c r="T50" s="44" t="str">
        <f>$Z$2</f>
        <v>EMPTY</v>
      </c>
      <c r="V50" s="54" t="b">
        <f t="shared" si="4"/>
        <v>0</v>
      </c>
      <c r="W50" t="b">
        <f t="shared" si="5"/>
        <v>0</v>
      </c>
      <c r="X50" t="b">
        <f t="shared" si="6"/>
        <v>0</v>
      </c>
      <c r="Z50" s="84"/>
      <c r="AA50" s="84"/>
      <c r="AB50" s="84"/>
      <c r="AC50" s="84"/>
      <c r="AD50" s="84"/>
      <c r="AE50" s="84"/>
      <c r="AG50" s="82" t="str">
        <f t="shared" si="7"/>
        <v xml:space="preserve">    { 48, 47, 9, 47, wxString::FromUTF8("\x50"), Connection::ORTHO_BOTH, Connection::EMPTY, Connection::ORTHO_BOTH, Connection::EMPTY }</v>
      </c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1"/>
    </row>
    <row r="51" spans="1:44" x14ac:dyDescent="0.4">
      <c r="A51" s="7" t="s">
        <v>26</v>
      </c>
      <c r="B51" s="6" t="str">
        <f t="shared" si="0"/>
        <v>Q</v>
      </c>
      <c r="C51" s="71" cm="1">
        <f t="array" ref="C51">IF($M51&lt;&gt;"",INDEX($M:$M,MATCH(TRUE,EXACT(B51,$A:$A),0)),"")</f>
        <v>49</v>
      </c>
      <c r="D51" s="61" t="s">
        <v>28</v>
      </c>
      <c r="E51" s="71" cm="1">
        <f t="array" ref="E51">IF($M51&lt;&gt;"",INDEX($M:$M,MATCH(TRUE,EXACT(D51,$A:$A),0)),"")</f>
        <v>37</v>
      </c>
      <c r="F51" s="61" t="s">
        <v>45</v>
      </c>
      <c r="G51" s="71" cm="1">
        <f t="array" ref="G51">IF($M51&lt;&gt;"",INDEX($M:$M,MATCH(TRUE,EXACT(F51,$A:$A),0)),"")</f>
        <v>58</v>
      </c>
      <c r="H51" s="61" t="s">
        <v>28</v>
      </c>
      <c r="I51" s="75" cm="1">
        <f t="array" ref="I51">IF($M51&lt;&gt;"",INDEX($M:$M,MATCH(TRUE,EXACT(H51,$A:$A),0)),"")</f>
        <v>37</v>
      </c>
      <c r="J51" s="46"/>
      <c r="K51" s="56"/>
      <c r="L51" s="41" t="b">
        <f t="shared" si="1"/>
        <v>1</v>
      </c>
      <c r="M51" s="42">
        <f>IF(L51, MAX(M$2:M50)+1,"")</f>
        <v>49</v>
      </c>
      <c r="N51" s="46" t="str">
        <f t="shared" si="2"/>
        <v>Q</v>
      </c>
      <c r="O51" s="8" t="str" cm="1">
        <f t="array" ref="O51">CharToUTF8(A51)</f>
        <v>\x51</v>
      </c>
      <c r="Q51" s="41" t="str">
        <f>$Z$2</f>
        <v>EMPTY</v>
      </c>
      <c r="R51" s="47" t="str">
        <f>$Z$4</f>
        <v>ORTHO_BOTH</v>
      </c>
      <c r="S51" s="47" t="str">
        <f>$Z$2</f>
        <v>EMPTY</v>
      </c>
      <c r="T51" s="44" t="str">
        <f>$Z$4</f>
        <v>ORTHO_BOTH</v>
      </c>
      <c r="V51" s="54" t="b">
        <f t="shared" si="4"/>
        <v>0</v>
      </c>
      <c r="W51" t="b">
        <f t="shared" si="5"/>
        <v>0</v>
      </c>
      <c r="X51" t="b">
        <f t="shared" si="6"/>
        <v>0</v>
      </c>
      <c r="Z51" s="84"/>
      <c r="AA51" s="84"/>
      <c r="AB51" s="84"/>
      <c r="AC51" s="84"/>
      <c r="AD51" s="84"/>
      <c r="AE51" s="84"/>
      <c r="AG51" s="82" t="str">
        <f t="shared" si="7"/>
        <v xml:space="preserve">    { 49, 37, 58, 37, wxString::FromUTF8("\x51"), Connection::EMPTY, Connection::ORTHO_BOTH, Connection::EMPTY, Connection::ORTHO_BOTH }</v>
      </c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1"/>
    </row>
    <row r="52" spans="1:44" x14ac:dyDescent="0.4">
      <c r="A52" s="7" t="s">
        <v>29</v>
      </c>
      <c r="B52" s="6" t="str">
        <f t="shared" si="0"/>
        <v>R</v>
      </c>
      <c r="C52" s="71" cm="1">
        <f t="array" ref="C52">IF($M52&lt;&gt;"",INDEX($M:$M,MATCH(TRUE,EXACT(B52,$A:$A),0)),"")</f>
        <v>50</v>
      </c>
      <c r="D52" s="61" t="s">
        <v>39</v>
      </c>
      <c r="E52" s="71" cm="1">
        <f t="array" ref="E52">IF($M52&lt;&gt;"",INDEX($M:$M,MATCH(TRUE,EXACT(D52,$A:$A),0)),"")</f>
        <v>38</v>
      </c>
      <c r="F52" s="61" t="s">
        <v>55</v>
      </c>
      <c r="G52" s="71" cm="1">
        <f t="array" ref="G52">IF($M52&lt;&gt;"",INDEX($M:$M,MATCH(TRUE,EXACT(F52,$A:$A),0)),"")</f>
        <v>4</v>
      </c>
      <c r="H52" s="61" t="s">
        <v>29</v>
      </c>
      <c r="I52" s="75" cm="1">
        <f t="array" ref="I52">IF($M52&lt;&gt;"",INDEX($M:$M,MATCH(TRUE,EXACT(H52,$A:$A),0)),"")</f>
        <v>50</v>
      </c>
      <c r="J52" s="46"/>
      <c r="K52" s="56"/>
      <c r="L52" s="41" t="b">
        <f t="shared" si="1"/>
        <v>1</v>
      </c>
      <c r="M52" s="42">
        <f>IF(L52, MAX(M$2:M51)+1,"")</f>
        <v>50</v>
      </c>
      <c r="N52" s="46" t="str">
        <f t="shared" si="2"/>
        <v>R</v>
      </c>
      <c r="O52" s="8" t="str" cm="1">
        <f t="array" ref="O52">CharToUTF8(A52)</f>
        <v>\x52</v>
      </c>
      <c r="Q52" s="41" t="str">
        <f>$Z$4</f>
        <v>ORTHO_BOTH</v>
      </c>
      <c r="R52" s="47" t="str">
        <f>$Z$2</f>
        <v>EMPTY</v>
      </c>
      <c r="S52" s="47" t="str">
        <f>$Z$2</f>
        <v>EMPTY</v>
      </c>
      <c r="T52" s="44" t="str">
        <f>$Z$2</f>
        <v>EMPTY</v>
      </c>
      <c r="V52" s="54" t="b">
        <f t="shared" si="4"/>
        <v>0</v>
      </c>
      <c r="W52" t="b">
        <f t="shared" si="5"/>
        <v>0</v>
      </c>
      <c r="X52" t="b">
        <f t="shared" si="6"/>
        <v>1</v>
      </c>
      <c r="Z52" s="84"/>
      <c r="AA52" s="84"/>
      <c r="AB52" s="84"/>
      <c r="AC52" s="84"/>
      <c r="AD52" s="84"/>
      <c r="AE52" s="84"/>
      <c r="AG52" s="82" t="str">
        <f t="shared" si="7"/>
        <v xml:space="preserve">    { 50, 38, 4, 50, wxString::FromUTF8("\x52"), Connection::ORTHO_BOTH, Connection::EMPTY, Connection::EMPTY, Connection::EMPTY }</v>
      </c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1"/>
    </row>
    <row r="53" spans="1:44" x14ac:dyDescent="0.4">
      <c r="A53" s="7" t="s">
        <v>37</v>
      </c>
      <c r="B53" s="6" t="str">
        <f t="shared" si="0"/>
        <v>S</v>
      </c>
      <c r="C53" s="71" cm="1">
        <f t="array" ref="C53">IF($M53&lt;&gt;"",INDEX($M:$M,MATCH(TRUE,EXACT(B53,$A:$A),0)),"")</f>
        <v>51</v>
      </c>
      <c r="D53" s="61" t="s">
        <v>37</v>
      </c>
      <c r="E53" s="71" cm="1">
        <f t="array" ref="E53">IF($M53&lt;&gt;"",INDEX($M:$M,MATCH(TRUE,EXACT(D53,$A:$A),0)),"")</f>
        <v>51</v>
      </c>
      <c r="F53" s="61" t="s">
        <v>37</v>
      </c>
      <c r="G53" s="71" cm="1">
        <f t="array" ref="G53">IF($M53&lt;&gt;"",INDEX($M:$M,MATCH(TRUE,EXACT(F53,$A:$A),0)),"")</f>
        <v>51</v>
      </c>
      <c r="H53" s="61" t="s">
        <v>37</v>
      </c>
      <c r="I53" s="75" cm="1">
        <f t="array" ref="I53">IF($M53&lt;&gt;"",INDEX($M:$M,MATCH(TRUE,EXACT(H53,$A:$A),0)),"")</f>
        <v>51</v>
      </c>
      <c r="J53" s="46"/>
      <c r="K53" s="56"/>
      <c r="L53" s="41" t="b">
        <f t="shared" si="1"/>
        <v>1</v>
      </c>
      <c r="M53" s="42">
        <f>IF(L53, MAX(M$2:M52)+1,"")</f>
        <v>51</v>
      </c>
      <c r="N53" s="46" t="str">
        <f t="shared" si="2"/>
        <v>S</v>
      </c>
      <c r="O53" s="8" t="str" cm="1">
        <f t="array" ref="O53">CharToUTF8(A53)</f>
        <v>\x53</v>
      </c>
      <c r="Q53" s="41" t="str">
        <f>$Z$4</f>
        <v>ORTHO_BOTH</v>
      </c>
      <c r="R53" s="47" t="str">
        <f>$Z$4</f>
        <v>ORTHO_BOTH</v>
      </c>
      <c r="S53" s="47" t="str">
        <f>$Z$4</f>
        <v>ORTHO_BOTH</v>
      </c>
      <c r="T53" s="44" t="str">
        <f>$Z$4</f>
        <v>ORTHO_BOTH</v>
      </c>
      <c r="V53" s="54" t="b">
        <f t="shared" si="4"/>
        <v>1</v>
      </c>
      <c r="W53" t="b">
        <f t="shared" si="5"/>
        <v>1</v>
      </c>
      <c r="X53" t="b">
        <f t="shared" si="6"/>
        <v>1</v>
      </c>
      <c r="Z53" s="84"/>
      <c r="AA53" s="84"/>
      <c r="AB53" s="84"/>
      <c r="AC53" s="84"/>
      <c r="AD53" s="84"/>
      <c r="AE53" s="84"/>
      <c r="AG53" s="82" t="str">
        <f t="shared" si="7"/>
        <v xml:space="preserve">    { 51, 51, 51, 51, wxString::FromUTF8("\x53"), Connection::ORTHO_BOTH, Connection::ORTHO_BOTH, Connection::ORTHO_BOTH, Connection::ORTHO_BOTH }</v>
      </c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1"/>
    </row>
    <row r="54" spans="1:44" x14ac:dyDescent="0.4">
      <c r="A54" s="7" t="s">
        <v>30</v>
      </c>
      <c r="B54" s="6" t="str">
        <f t="shared" si="0"/>
        <v>T</v>
      </c>
      <c r="C54" s="71" cm="1">
        <f t="array" ref="C54">IF($M54&lt;&gt;"",INDEX($M:$M,MATCH(TRUE,EXACT(B54,$A:$A),0)),"")</f>
        <v>52</v>
      </c>
      <c r="D54" s="61" t="s">
        <v>40</v>
      </c>
      <c r="E54" s="71" cm="1">
        <f t="array" ref="E54">IF($M54&lt;&gt;"",INDEX($M:$M,MATCH(TRUE,EXACT(D54,$A:$A),0)),"")</f>
        <v>39</v>
      </c>
      <c r="F54" s="61" t="s">
        <v>56</v>
      </c>
      <c r="G54" s="71" cm="1">
        <f t="array" ref="G54">IF($M54&lt;&gt;"",INDEX($M:$M,MATCH(TRUE,EXACT(F54,$A:$A),0)),"")</f>
        <v>5</v>
      </c>
      <c r="H54" s="61" t="s">
        <v>30</v>
      </c>
      <c r="I54" s="75" cm="1">
        <f t="array" ref="I54">IF($M54&lt;&gt;"",INDEX($M:$M,MATCH(TRUE,EXACT(H54,$A:$A),0)),"")</f>
        <v>52</v>
      </c>
      <c r="J54" s="46"/>
      <c r="K54" s="56"/>
      <c r="L54" s="41" t="b">
        <f t="shared" si="1"/>
        <v>1</v>
      </c>
      <c r="M54" s="42">
        <f>IF(L54, MAX(M$2:M53)+1,"")</f>
        <v>52</v>
      </c>
      <c r="N54" s="46" t="str">
        <f t="shared" si="2"/>
        <v>T</v>
      </c>
      <c r="O54" s="8" t="str" cm="1">
        <f t="array" ref="O54">CharToUTF8(A54)</f>
        <v>\x54</v>
      </c>
      <c r="Q54" s="41" t="str">
        <f>$Z$3</f>
        <v>DIAG_BOTH</v>
      </c>
      <c r="R54" s="47" t="str">
        <f>$Z$2</f>
        <v>EMPTY</v>
      </c>
      <c r="S54" s="47" t="str">
        <f>$Z$4</f>
        <v>ORTHO_BOTH</v>
      </c>
      <c r="T54" s="44" t="str">
        <f>$Z$4</f>
        <v>ORTHO_BOTH</v>
      </c>
      <c r="V54" s="54" t="b">
        <f t="shared" si="4"/>
        <v>0</v>
      </c>
      <c r="W54" t="b">
        <f t="shared" si="5"/>
        <v>0</v>
      </c>
      <c r="X54" t="b">
        <f t="shared" si="6"/>
        <v>1</v>
      </c>
      <c r="Z54" s="84"/>
      <c r="AA54" s="84"/>
      <c r="AB54" s="84"/>
      <c r="AC54" s="84"/>
      <c r="AD54" s="84"/>
      <c r="AE54" s="84"/>
      <c r="AG54" s="82" t="str">
        <f t="shared" si="7"/>
        <v xml:space="preserve">    { 52, 39, 5, 52, wxString::FromUTF8("\x54"), Connection::DIAG_BOTH, Connection::EMPTY, Connection::ORTHO_BOTH, Connection::ORTHO_BOTH }</v>
      </c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1"/>
    </row>
    <row r="55" spans="1:44" x14ac:dyDescent="0.4">
      <c r="A55" s="7" t="s">
        <v>32</v>
      </c>
      <c r="B55" s="6" t="str">
        <f t="shared" si="0"/>
        <v>U</v>
      </c>
      <c r="C55" s="71" cm="1">
        <f t="array" ref="C55">IF($M55&lt;&gt;"",INDEX($M:$M,MATCH(TRUE,EXACT(B55,$A:$A),0)),"")</f>
        <v>53</v>
      </c>
      <c r="D55" s="61" t="s">
        <v>42</v>
      </c>
      <c r="E55" s="71" cm="1">
        <f t="array" ref="E55">IF($M55&lt;&gt;"",INDEX($M:$M,MATCH(TRUE,EXACT(D55,$A:$A),0)),"")</f>
        <v>42</v>
      </c>
      <c r="F55" s="61" t="s">
        <v>58</v>
      </c>
      <c r="G55" s="71" cm="1">
        <f t="array" ref="G55">IF($M55&lt;&gt;"",INDEX($M:$M,MATCH(TRUE,EXACT(F55,$A:$A),0)),"")</f>
        <v>6</v>
      </c>
      <c r="H55" s="61" t="s">
        <v>33</v>
      </c>
      <c r="I55" s="75" cm="1">
        <f t="array" ref="I55">IF($M55&lt;&gt;"",INDEX($M:$M,MATCH(TRUE,EXACT(H55,$A:$A),0)),"")</f>
        <v>41</v>
      </c>
      <c r="J55" s="46"/>
      <c r="K55" s="56"/>
      <c r="L55" s="41" t="b">
        <f t="shared" si="1"/>
        <v>1</v>
      </c>
      <c r="M55" s="42">
        <f>IF(L55, MAX(M$2:M54)+1,"")</f>
        <v>53</v>
      </c>
      <c r="N55" s="46" t="str">
        <f t="shared" si="2"/>
        <v>U</v>
      </c>
      <c r="O55" s="8" t="str" cm="1">
        <f t="array" ref="O55">CharToUTF8(A55)</f>
        <v>\x55</v>
      </c>
      <c r="Q55" s="41" t="str">
        <f>$Z$4</f>
        <v>ORTHO_BOTH</v>
      </c>
      <c r="R55" s="47" t="str">
        <f>$Z$3</f>
        <v>DIAG_BOTH</v>
      </c>
      <c r="S55" s="47" t="str">
        <f>$Z$2</f>
        <v>EMPTY</v>
      </c>
      <c r="T55" s="44" t="str">
        <f>$Z$4</f>
        <v>ORTHO_BOTH</v>
      </c>
      <c r="V55" s="54" t="b">
        <f t="shared" si="4"/>
        <v>0</v>
      </c>
      <c r="W55" t="b">
        <f t="shared" si="5"/>
        <v>0</v>
      </c>
      <c r="X55" t="b">
        <f t="shared" si="6"/>
        <v>0</v>
      </c>
      <c r="Z55" s="84"/>
      <c r="AA55" s="84"/>
      <c r="AB55" s="84"/>
      <c r="AC55" s="84"/>
      <c r="AD55" s="84"/>
      <c r="AE55" s="84"/>
      <c r="AG55" s="82" t="str">
        <f t="shared" si="7"/>
        <v xml:space="preserve">    { 53, 42, 6, 41, wxString::FromUTF8("\x55"), Connection::ORTHO_BOTH, Connection::DIAG_BOTH, Connection::EMPTY, Connection::ORTHO_BOTH }</v>
      </c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1"/>
    </row>
    <row r="56" spans="1:44" x14ac:dyDescent="0.4">
      <c r="A56" s="7" t="s">
        <v>48</v>
      </c>
      <c r="B56" s="6" t="str">
        <f t="shared" si="0"/>
        <v>V</v>
      </c>
      <c r="C56" s="71" cm="1">
        <f t="array" ref="C56">IF($M56&lt;&gt;"",INDEX($M:$M,MATCH(TRUE,EXACT(B56,$A:$A),0)),"")</f>
        <v>54</v>
      </c>
      <c r="D56" s="61" t="s">
        <v>29</v>
      </c>
      <c r="E56" s="71" cm="1">
        <f t="array" ref="E56">IF($M56&lt;&gt;"",INDEX($M:$M,MATCH(TRUE,EXACT(D56,$A:$A),0)),"")</f>
        <v>50</v>
      </c>
      <c r="F56" s="61" t="s">
        <v>48</v>
      </c>
      <c r="G56" s="71" cm="1">
        <f t="array" ref="G56">IF($M56&lt;&gt;"",INDEX($M:$M,MATCH(TRUE,EXACT(F56,$A:$A),0)),"")</f>
        <v>54</v>
      </c>
      <c r="H56" s="61" t="s">
        <v>39</v>
      </c>
      <c r="I56" s="75" cm="1">
        <f t="array" ref="I56">IF($M56&lt;&gt;"",INDEX($M:$M,MATCH(TRUE,EXACT(H56,$A:$A),0)),"")</f>
        <v>38</v>
      </c>
      <c r="J56" s="46"/>
      <c r="K56" s="56"/>
      <c r="L56" s="41" t="b">
        <f t="shared" si="1"/>
        <v>1</v>
      </c>
      <c r="M56" s="42">
        <f>IF(L56, MAX(M$2:M55)+1,"")</f>
        <v>54</v>
      </c>
      <c r="N56" s="46" t="str">
        <f t="shared" si="2"/>
        <v>V</v>
      </c>
      <c r="O56" s="8" t="str" cm="1">
        <f t="array" ref="O56">CharToUTF8(A56)</f>
        <v>\x56</v>
      </c>
      <c r="Q56" s="41" t="str">
        <f>$Z$2</f>
        <v>EMPTY</v>
      </c>
      <c r="R56" s="47" t="str">
        <f>$Z$2</f>
        <v>EMPTY</v>
      </c>
      <c r="S56" s="47" t="str">
        <f>$Z$4</f>
        <v>ORTHO_BOTH</v>
      </c>
      <c r="T56" s="44" t="str">
        <f>$Z$2</f>
        <v>EMPTY</v>
      </c>
      <c r="V56" s="54" t="b">
        <f t="shared" si="4"/>
        <v>0</v>
      </c>
      <c r="W56" t="b">
        <f t="shared" si="5"/>
        <v>1</v>
      </c>
      <c r="X56" t="b">
        <f t="shared" si="6"/>
        <v>0</v>
      </c>
      <c r="Z56" s="84"/>
      <c r="AA56" s="84"/>
      <c r="AB56" s="84"/>
      <c r="AC56" s="84"/>
      <c r="AD56" s="84"/>
      <c r="AE56" s="84"/>
      <c r="AG56" s="82" t="str">
        <f t="shared" si="7"/>
        <v xml:space="preserve">    { 54, 50, 54, 38, wxString::FromUTF8("\x56"), Connection::EMPTY, Connection::EMPTY, Connection::ORTHO_BOTH, Connection::EMPTY }</v>
      </c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1"/>
    </row>
    <row r="57" spans="1:44" x14ac:dyDescent="0.4">
      <c r="A57" s="7" t="s">
        <v>27</v>
      </c>
      <c r="B57" s="6" t="str">
        <f t="shared" si="0"/>
        <v>W</v>
      </c>
      <c r="C57" s="71" cm="1">
        <f t="array" ref="C57">IF($M57&lt;&gt;"",INDEX($M:$M,MATCH(TRUE,EXACT(B57,$A:$A),0)),"")</f>
        <v>55</v>
      </c>
      <c r="D57" s="61" t="s">
        <v>38</v>
      </c>
      <c r="E57" s="71" cm="1">
        <f t="array" ref="E57">IF($M57&lt;&gt;"",INDEX($M:$M,MATCH(TRUE,EXACT(D57,$A:$A),0)),"")</f>
        <v>36</v>
      </c>
      <c r="F57" s="61" t="s">
        <v>46</v>
      </c>
      <c r="G57" s="71" cm="1">
        <f t="array" ref="G57">IF($M57&lt;&gt;"",INDEX($M:$M,MATCH(TRUE,EXACT(F57,$A:$A),0)),"")</f>
        <v>56</v>
      </c>
      <c r="H57" s="61" t="s">
        <v>27</v>
      </c>
      <c r="I57" s="75" cm="1">
        <f t="array" ref="I57">IF($M57&lt;&gt;"",INDEX($M:$M,MATCH(TRUE,EXACT(H57,$A:$A),0)),"")</f>
        <v>55</v>
      </c>
      <c r="J57" s="46"/>
      <c r="K57" s="56"/>
      <c r="L57" s="41" t="b">
        <f t="shared" si="1"/>
        <v>1</v>
      </c>
      <c r="M57" s="42">
        <f>IF(L57, MAX(M$2:M56)+1,"")</f>
        <v>55</v>
      </c>
      <c r="N57" s="46" t="str">
        <f t="shared" si="2"/>
        <v>W</v>
      </c>
      <c r="O57" s="8" t="str" cm="1">
        <f t="array" ref="O57">CharToUTF8(A57)</f>
        <v>\x57</v>
      </c>
      <c r="Q57" s="41" t="str">
        <f>$Z$2</f>
        <v>EMPTY</v>
      </c>
      <c r="R57" s="47" t="str">
        <f>$Z$4</f>
        <v>ORTHO_BOTH</v>
      </c>
      <c r="S57" s="47" t="str">
        <f>$Z$4</f>
        <v>ORTHO_BOTH</v>
      </c>
      <c r="T57" s="44" t="str">
        <f>$Z$4</f>
        <v>ORTHO_BOTH</v>
      </c>
      <c r="V57" s="54" t="b">
        <f t="shared" si="4"/>
        <v>0</v>
      </c>
      <c r="W57" t="b">
        <f t="shared" si="5"/>
        <v>0</v>
      </c>
      <c r="X57" t="b">
        <f t="shared" si="6"/>
        <v>1</v>
      </c>
      <c r="Z57" s="84"/>
      <c r="AA57" s="84"/>
      <c r="AB57" s="84"/>
      <c r="AC57" s="84"/>
      <c r="AD57" s="84"/>
      <c r="AE57" s="84"/>
      <c r="AG57" s="82" t="str">
        <f t="shared" si="7"/>
        <v xml:space="preserve">    { 55, 36, 56, 55, wxString::FromUTF8("\x57"), Connection::EMPTY, Connection::ORTHO_BOTH, Connection::ORTHO_BOTH, Connection::ORTHO_BOTH }</v>
      </c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1"/>
    </row>
    <row r="58" spans="1:44" x14ac:dyDescent="0.4">
      <c r="A58" s="7" t="s">
        <v>46</v>
      </c>
      <c r="B58" s="6" t="str">
        <f t="shared" si="0"/>
        <v>X</v>
      </c>
      <c r="C58" s="71" cm="1">
        <f t="array" ref="C58">IF($M58&lt;&gt;"",INDEX($M:$M,MATCH(TRUE,EXACT(B58,$A:$A),0)),"")</f>
        <v>56</v>
      </c>
      <c r="D58" s="61" t="s">
        <v>36</v>
      </c>
      <c r="E58" s="71" cm="1">
        <f t="array" ref="E58">IF($M58&lt;&gt;"",INDEX($M:$M,MATCH(TRUE,EXACT(D58,$A:$A),0)),"")</f>
        <v>33</v>
      </c>
      <c r="F58" s="61" t="s">
        <v>27</v>
      </c>
      <c r="G58" s="71" cm="1">
        <f t="array" ref="G58">IF($M58&lt;&gt;"",INDEX($M:$M,MATCH(TRUE,EXACT(F58,$A:$A),0)),"")</f>
        <v>55</v>
      </c>
      <c r="H58" s="61" t="s">
        <v>46</v>
      </c>
      <c r="I58" s="75" cm="1">
        <f t="array" ref="I58">IF($M58&lt;&gt;"",INDEX($M:$M,MATCH(TRUE,EXACT(H58,$A:$A),0)),"")</f>
        <v>56</v>
      </c>
      <c r="J58" s="46"/>
      <c r="K58" s="56"/>
      <c r="L58" s="41" t="b">
        <f t="shared" si="1"/>
        <v>1</v>
      </c>
      <c r="M58" s="42">
        <f>IF(L58, MAX(M$2:M57)+1,"")</f>
        <v>56</v>
      </c>
      <c r="N58" s="46" t="str">
        <f t="shared" si="2"/>
        <v>X</v>
      </c>
      <c r="O58" s="8" t="str" cm="1">
        <f t="array" ref="O58">CharToUTF8(A58)</f>
        <v>\x58</v>
      </c>
      <c r="Q58" s="41" t="str">
        <f>$Z$4</f>
        <v>ORTHO_BOTH</v>
      </c>
      <c r="R58" s="47" t="str">
        <f>$Z$2</f>
        <v>EMPTY</v>
      </c>
      <c r="S58" s="47" t="str">
        <f>$Z$4</f>
        <v>ORTHO_BOTH</v>
      </c>
      <c r="T58" s="44" t="str">
        <f>$Z$4</f>
        <v>ORTHO_BOTH</v>
      </c>
      <c r="V58" s="54" t="b">
        <f t="shared" si="4"/>
        <v>0</v>
      </c>
      <c r="W58" t="b">
        <f t="shared" si="5"/>
        <v>0</v>
      </c>
      <c r="X58" t="b">
        <f t="shared" si="6"/>
        <v>1</v>
      </c>
      <c r="Z58" s="84"/>
      <c r="AA58" s="84"/>
      <c r="AB58" s="84"/>
      <c r="AC58" s="84"/>
      <c r="AD58" s="84"/>
      <c r="AE58" s="84"/>
      <c r="AG58" s="82" t="str">
        <f t="shared" si="7"/>
        <v xml:space="preserve">    { 56, 33, 55, 56, wxString::FromUTF8("\x58"), Connection::ORTHO_BOTH, Connection::EMPTY, Connection::ORTHO_BOTH, Connection::ORTHO_BOTH }</v>
      </c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1"/>
    </row>
    <row r="59" spans="1:44" x14ac:dyDescent="0.4">
      <c r="A59" s="7" t="s">
        <v>31</v>
      </c>
      <c r="B59" s="6" t="str">
        <f t="shared" si="0"/>
        <v>Y</v>
      </c>
      <c r="C59" s="71" cm="1">
        <f t="array" ref="C59">IF($M59&lt;&gt;"",INDEX($M:$M,MATCH(TRUE,EXACT(B59,$A:$A),0)),"")</f>
        <v>57</v>
      </c>
      <c r="D59" s="61" t="s">
        <v>49</v>
      </c>
      <c r="E59" s="71" cm="1">
        <f t="array" ref="E59">IF($M59&lt;&gt;"",INDEX($M:$M,MATCH(TRUE,EXACT(D59,$A:$A),0)),"")</f>
        <v>34</v>
      </c>
      <c r="F59" s="61" t="s">
        <v>57</v>
      </c>
      <c r="G59" s="71" cm="1">
        <f t="array" ref="G59">IF($M59&lt;&gt;"",INDEX($M:$M,MATCH(TRUE,EXACT(F59,$A:$A),0)),"")</f>
        <v>62</v>
      </c>
      <c r="H59" s="61" t="s">
        <v>31</v>
      </c>
      <c r="I59" s="75" cm="1">
        <f t="array" ref="I59">IF($M59&lt;&gt;"",INDEX($M:$M,MATCH(TRUE,EXACT(H59,$A:$A),0)),"")</f>
        <v>57</v>
      </c>
      <c r="J59" s="46"/>
      <c r="K59" s="56"/>
      <c r="L59" s="41" t="b">
        <f t="shared" si="1"/>
        <v>1</v>
      </c>
      <c r="M59" s="42">
        <f>IF(L59, MAX(M$2:M58)+1,"")</f>
        <v>57</v>
      </c>
      <c r="N59" s="46" t="str">
        <f t="shared" si="2"/>
        <v>Y</v>
      </c>
      <c r="O59" s="8" t="str" cm="1">
        <f t="array" ref="O59">CharToUTF8(A59)</f>
        <v>\x59</v>
      </c>
      <c r="Q59" s="41" t="str">
        <f>$Z$3</f>
        <v>DIAG_BOTH</v>
      </c>
      <c r="R59" s="47" t="str">
        <f>$Z$4</f>
        <v>ORTHO_BOTH</v>
      </c>
      <c r="S59" s="47" t="str">
        <f>$Z$4</f>
        <v>ORTHO_BOTH</v>
      </c>
      <c r="T59" s="44" t="str">
        <f>$Z$4</f>
        <v>ORTHO_BOTH</v>
      </c>
      <c r="V59" s="54" t="b">
        <f t="shared" si="4"/>
        <v>0</v>
      </c>
      <c r="W59" t="b">
        <f t="shared" si="5"/>
        <v>0</v>
      </c>
      <c r="X59" t="b">
        <f t="shared" si="6"/>
        <v>1</v>
      </c>
      <c r="Z59" s="84"/>
      <c r="AA59" s="84"/>
      <c r="AB59" s="84"/>
      <c r="AC59" s="84"/>
      <c r="AD59" s="84"/>
      <c r="AE59" s="84"/>
      <c r="AG59" s="82" t="str">
        <f t="shared" si="7"/>
        <v xml:space="preserve">    { 57, 34, 62, 57, wxString::FromUTF8("\x59"), Connection::DIAG_BOTH, Connection::ORTHO_BOTH, Connection::ORTHO_BOTH, Connection::ORTHO_BOTH }</v>
      </c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1"/>
    </row>
    <row r="60" spans="1:44" x14ac:dyDescent="0.4">
      <c r="A60" s="7" t="s">
        <v>45</v>
      </c>
      <c r="B60" s="6" t="str">
        <f t="shared" si="0"/>
        <v>Z</v>
      </c>
      <c r="C60" s="71" cm="1">
        <f t="array" ref="C60">IF($M60&lt;&gt;"",INDEX($M:$M,MATCH(TRUE,EXACT(B60,$A:$A),0)),"")</f>
        <v>58</v>
      </c>
      <c r="D60" s="61" t="s">
        <v>26</v>
      </c>
      <c r="E60" s="71" cm="1">
        <f t="array" ref="E60">IF($M60&lt;&gt;"",INDEX($M:$M,MATCH(TRUE,EXACT(D60,$A:$A),0)),"")</f>
        <v>49</v>
      </c>
      <c r="F60" s="61" t="s">
        <v>26</v>
      </c>
      <c r="G60" s="71" cm="1">
        <f t="array" ref="G60">IF($M60&lt;&gt;"",INDEX($M:$M,MATCH(TRUE,EXACT(F60,$A:$A),0)),"")</f>
        <v>49</v>
      </c>
      <c r="H60" s="61" t="s">
        <v>47</v>
      </c>
      <c r="I60" s="75" cm="1">
        <f t="array" ref="I60">IF($M60&lt;&gt;"",INDEX($M:$M,MATCH(TRUE,EXACT(H60,$A:$A),0)),"")</f>
        <v>35</v>
      </c>
      <c r="J60" s="46"/>
      <c r="K60" s="56"/>
      <c r="L60" s="41" t="b">
        <f t="shared" si="1"/>
        <v>1</v>
      </c>
      <c r="M60" s="42">
        <f>IF(L60, MAX(M$2:M59)+1,"")</f>
        <v>58</v>
      </c>
      <c r="N60" s="46" t="str">
        <f t="shared" si="2"/>
        <v>Z</v>
      </c>
      <c r="O60" s="8" t="str" cm="1">
        <f t="array" ref="O60">CharToUTF8(A60)</f>
        <v>\x5A</v>
      </c>
      <c r="Q60" s="41" t="str">
        <f>$Z$4</f>
        <v>ORTHO_BOTH</v>
      </c>
      <c r="R60" s="47" t="str">
        <f>$Z$2</f>
        <v>EMPTY</v>
      </c>
      <c r="S60" s="47" t="str">
        <f>$Z$2</f>
        <v>EMPTY</v>
      </c>
      <c r="T60" s="44" t="str">
        <f>$Z$4</f>
        <v>ORTHO_BOTH</v>
      </c>
      <c r="V60" s="54" t="b">
        <f t="shared" si="4"/>
        <v>0</v>
      </c>
      <c r="W60" t="b">
        <f t="shared" si="5"/>
        <v>0</v>
      </c>
      <c r="X60" t="b">
        <f t="shared" si="6"/>
        <v>0</v>
      </c>
      <c r="Z60" s="84"/>
      <c r="AA60" s="84"/>
      <c r="AB60" s="84"/>
      <c r="AC60" s="84"/>
      <c r="AD60" s="84"/>
      <c r="AE60" s="84"/>
      <c r="AG60" s="82" t="str">
        <f t="shared" si="7"/>
        <v xml:space="preserve">    { 58, 49, 49, 35, wxString::FromUTF8("\x5A"), Connection::ORTHO_BOTH, Connection::EMPTY, Connection::EMPTY, Connection::ORTHO_BOTH }</v>
      </c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1"/>
    </row>
    <row r="61" spans="1:44" x14ac:dyDescent="0.4">
      <c r="A61" s="7" t="s">
        <v>71</v>
      </c>
      <c r="B61" s="6" t="str">
        <f t="shared" si="0"/>
        <v>[</v>
      </c>
      <c r="C61" s="71" cm="1">
        <f t="array" ref="C61">IF($M61&lt;&gt;"",INDEX($M:$M,MATCH(TRUE,EXACT(B61,$A:$A),0)),"")</f>
        <v>59</v>
      </c>
      <c r="D61" s="61" t="s">
        <v>74</v>
      </c>
      <c r="E61" s="71" cm="1">
        <f t="array" ref="E61">IF($M61&lt;&gt;"",INDEX($M:$M,MATCH(TRUE,EXACT(D61,$A:$A),0)),"")</f>
        <v>13</v>
      </c>
      <c r="F61" s="61" t="s">
        <v>71</v>
      </c>
      <c r="G61" s="71" cm="1">
        <f t="array" ref="G61">IF($M61&lt;&gt;"",INDEX($M:$M,MATCH(TRUE,EXACT(F61,$A:$A),0)),"")</f>
        <v>59</v>
      </c>
      <c r="H61" s="61" t="s">
        <v>72</v>
      </c>
      <c r="I61" s="75" cm="1">
        <f t="array" ref="I61">IF($M61&lt;&gt;"",INDEX($M:$M,MATCH(TRUE,EXACT(H61,$A:$A),0)),"")</f>
        <v>61</v>
      </c>
      <c r="J61" s="46"/>
      <c r="K61" s="56"/>
      <c r="L61" s="41" t="b">
        <f t="shared" si="1"/>
        <v>1</v>
      </c>
      <c r="M61" s="42">
        <f>IF(L61, MAX(M$2:M60)+1,"")</f>
        <v>59</v>
      </c>
      <c r="N61" s="46" t="str">
        <f t="shared" si="2"/>
        <v>[</v>
      </c>
      <c r="O61" s="8" t="str" cm="1">
        <f t="array" ref="O61">CharToUTF8(A61)</f>
        <v>\x5B</v>
      </c>
      <c r="Q61" s="41" t="str">
        <f>$Z$2</f>
        <v>EMPTY</v>
      </c>
      <c r="R61" s="47" t="str">
        <f>$Z$2</f>
        <v>EMPTY</v>
      </c>
      <c r="S61" s="47" t="str">
        <f>$Z$3</f>
        <v>DIAG_BOTH</v>
      </c>
      <c r="T61" s="44" t="str">
        <f>$Z$4</f>
        <v>ORTHO_BOTH</v>
      </c>
      <c r="V61" s="54" t="b">
        <f t="shared" si="4"/>
        <v>0</v>
      </c>
      <c r="W61" t="b">
        <f t="shared" si="5"/>
        <v>1</v>
      </c>
      <c r="X61" t="b">
        <f t="shared" si="6"/>
        <v>0</v>
      </c>
      <c r="Z61" s="84"/>
      <c r="AA61" s="84"/>
      <c r="AB61" s="84"/>
      <c r="AC61" s="84"/>
      <c r="AD61" s="84"/>
      <c r="AE61" s="84"/>
      <c r="AG61" s="82" t="str">
        <f t="shared" si="7"/>
        <v xml:space="preserve">    { 59, 13, 59, 61, wxString::FromUTF8("\x5B"), Connection::EMPTY, Connection::EMPTY, Connection::DIAG_BOTH, Connection::ORTHO_BOTH }</v>
      </c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1"/>
    </row>
    <row r="62" spans="1:44" x14ac:dyDescent="0.4">
      <c r="A62" s="7" t="s">
        <v>68</v>
      </c>
      <c r="B62" s="6" t="str">
        <f t="shared" si="0"/>
        <v>\</v>
      </c>
      <c r="C62" s="71" cm="1">
        <f t="array" ref="C62">IF($M62&lt;&gt;"",INDEX($M:$M,MATCH(TRUE,EXACT(B62,$A:$A),0)),"")</f>
        <v>60</v>
      </c>
      <c r="D62" s="61" t="s">
        <v>69</v>
      </c>
      <c r="E62" s="71" cm="1">
        <f t="array" ref="E62">IF($M62&lt;&gt;"",INDEX($M:$M,MATCH(TRUE,EXACT(D62,$A:$A),0)),"")</f>
        <v>92</v>
      </c>
      <c r="F62" s="61" t="s">
        <v>68</v>
      </c>
      <c r="G62" s="71" cm="1">
        <f t="array" ref="G62">IF($M62&lt;&gt;"",INDEX($M:$M,MATCH(TRUE,EXACT(F62,$A:$A),0)),"")</f>
        <v>60</v>
      </c>
      <c r="H62" s="61" t="s">
        <v>68</v>
      </c>
      <c r="I62" s="75" cm="1">
        <f t="array" ref="I62">IF($M62&lt;&gt;"",INDEX($M:$M,MATCH(TRUE,EXACT(H62,$A:$A),0)),"")</f>
        <v>60</v>
      </c>
      <c r="J62" s="46"/>
      <c r="K62" s="56"/>
      <c r="L62" s="41" t="b">
        <f t="shared" si="1"/>
        <v>1</v>
      </c>
      <c r="M62" s="42">
        <f>IF(L62, MAX(M$2:M61)+1,"")</f>
        <v>60</v>
      </c>
      <c r="N62" s="46" t="str">
        <f t="shared" si="2"/>
        <v>\</v>
      </c>
      <c r="O62" s="8" t="str" cm="1">
        <f t="array" ref="O62">CharToUTF8(A62)</f>
        <v>\x5C</v>
      </c>
      <c r="Q62" s="41" t="str">
        <f>$Z$4</f>
        <v>ORTHO_BOTH</v>
      </c>
      <c r="R62" s="47" t="str">
        <f>$Z$4</f>
        <v>ORTHO_BOTH</v>
      </c>
      <c r="S62" s="47" t="str">
        <f>$Z$2</f>
        <v>EMPTY</v>
      </c>
      <c r="T62" s="44" t="str">
        <f>$Z$2</f>
        <v>EMPTY</v>
      </c>
      <c r="V62" s="54" t="b">
        <f t="shared" si="4"/>
        <v>0</v>
      </c>
      <c r="W62" t="b">
        <f t="shared" si="5"/>
        <v>1</v>
      </c>
      <c r="X62" t="b">
        <f t="shared" si="6"/>
        <v>1</v>
      </c>
      <c r="Z62" s="84"/>
      <c r="AA62" s="84"/>
      <c r="AB62" s="84"/>
      <c r="AC62" s="84"/>
      <c r="AD62" s="84"/>
      <c r="AE62" s="84"/>
      <c r="AG62" s="82" t="str">
        <f t="shared" si="7"/>
        <v xml:space="preserve">    { 60, 92, 60, 60, wxString::FromUTF8("\x5C"), Connection::ORTHO_BOTH, Connection::ORTHO_BOTH, Connection::EMPTY, Connection::EMPTY }</v>
      </c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1"/>
    </row>
    <row r="63" spans="1:44" x14ac:dyDescent="0.4">
      <c r="A63" s="7" t="s">
        <v>72</v>
      </c>
      <c r="B63" s="9" t="str">
        <f t="shared" si="0"/>
        <v>]</v>
      </c>
      <c r="C63" s="71" cm="1">
        <f t="array" ref="C63">IF($M63&lt;&gt;"",INDEX($M:$M,MATCH(TRUE,EXACT(B63,$A:$A),0)),"")</f>
        <v>61</v>
      </c>
      <c r="D63" s="62" t="s">
        <v>79</v>
      </c>
      <c r="E63" s="71" cm="1">
        <f t="array" ref="E63">IF($M63&lt;&gt;"",INDEX($M:$M,MATCH(TRUE,EXACT(D63,$A:$A),0)),"")</f>
        <v>29</v>
      </c>
      <c r="F63" s="62" t="s">
        <v>72</v>
      </c>
      <c r="G63" s="71" cm="1">
        <f t="array" ref="G63">IF($M63&lt;&gt;"",INDEX($M:$M,MATCH(TRUE,EXACT(F63,$A:$A),0)),"")</f>
        <v>61</v>
      </c>
      <c r="H63" s="62" t="s">
        <v>71</v>
      </c>
      <c r="I63" s="75" cm="1">
        <f t="array" ref="I63">IF($M63&lt;&gt;"",INDEX($M:$M,MATCH(TRUE,EXACT(H63,$A:$A),0)),"")</f>
        <v>59</v>
      </c>
      <c r="J63" s="69"/>
      <c r="K63" s="57"/>
      <c r="L63" s="41" t="b">
        <f t="shared" si="1"/>
        <v>1</v>
      </c>
      <c r="M63" s="42">
        <f>IF(L63, MAX(M$2:M62)+1,"")</f>
        <v>61</v>
      </c>
      <c r="N63" s="46" t="str">
        <f t="shared" si="2"/>
        <v>]</v>
      </c>
      <c r="O63" s="8" t="str" cm="1">
        <f t="array" ref="O63">CharToUTF8(A63)</f>
        <v>\x5D</v>
      </c>
      <c r="Q63" s="41" t="str">
        <f>$Z$2</f>
        <v>EMPTY</v>
      </c>
      <c r="R63" s="47" t="str">
        <f>$Z$2</f>
        <v>EMPTY</v>
      </c>
      <c r="S63" s="47" t="str">
        <f>$Z$4</f>
        <v>ORTHO_BOTH</v>
      </c>
      <c r="T63" s="44" t="str">
        <f>$Z$3</f>
        <v>DIAG_BOTH</v>
      </c>
      <c r="V63" s="54" t="b">
        <f t="shared" si="4"/>
        <v>0</v>
      </c>
      <c r="W63" t="b">
        <f t="shared" si="5"/>
        <v>1</v>
      </c>
      <c r="X63" t="b">
        <f t="shared" si="6"/>
        <v>0</v>
      </c>
      <c r="Z63" s="84"/>
      <c r="AA63" s="84"/>
      <c r="AB63" s="84"/>
      <c r="AC63" s="84"/>
      <c r="AD63" s="84"/>
      <c r="AE63" s="84"/>
      <c r="AG63" s="82" t="str">
        <f t="shared" si="7"/>
        <v xml:space="preserve">    { 61, 29, 61, 59, wxString::FromUTF8("\x5D"), Connection::EMPTY, Connection::EMPTY, Connection::ORTHO_BOTH, Connection::DIAG_BOTH }</v>
      </c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1"/>
    </row>
    <row r="64" spans="1:44" x14ac:dyDescent="0.4">
      <c r="A64" s="7" t="s">
        <v>57</v>
      </c>
      <c r="B64" s="6" t="str">
        <f t="shared" si="0"/>
        <v>^</v>
      </c>
      <c r="C64" s="71" cm="1">
        <f t="array" ref="C64">IF($M64&lt;&gt;"",INDEX($M:$M,MATCH(TRUE,EXACT(B64,$A:$A),0)),"")</f>
        <v>62</v>
      </c>
      <c r="D64" s="61" t="s">
        <v>50</v>
      </c>
      <c r="E64" s="71" cm="1">
        <f t="array" ref="E64">IF($M64&lt;&gt;"",INDEX($M:$M,MATCH(TRUE,EXACT(D64,$A:$A),0)),"")</f>
        <v>46</v>
      </c>
      <c r="F64" s="61" t="s">
        <v>31</v>
      </c>
      <c r="G64" s="71" cm="1">
        <f t="array" ref="G64">IF($M64&lt;&gt;"",INDEX($M:$M,MATCH(TRUE,EXACT(F64,$A:$A),0)),"")</f>
        <v>57</v>
      </c>
      <c r="H64" s="61" t="s">
        <v>57</v>
      </c>
      <c r="I64" s="75" cm="1">
        <f t="array" ref="I64">IF($M64&lt;&gt;"",INDEX($M:$M,MATCH(TRUE,EXACT(H64,$A:$A),0)),"")</f>
        <v>62</v>
      </c>
      <c r="J64" s="46"/>
      <c r="K64" s="56"/>
      <c r="L64" s="41" t="b">
        <f t="shared" si="1"/>
        <v>1</v>
      </c>
      <c r="M64" s="42">
        <f>IF(L64, MAX(M$2:M63)+1,"")</f>
        <v>62</v>
      </c>
      <c r="N64" s="46" t="str">
        <f t="shared" si="2"/>
        <v>^</v>
      </c>
      <c r="O64" s="8" t="str" cm="1">
        <f t="array" ref="O64">CharToUTF8(A64)</f>
        <v>\x5E</v>
      </c>
      <c r="Q64" s="41" t="str">
        <f>$Z$4</f>
        <v>ORTHO_BOTH</v>
      </c>
      <c r="R64" s="47" t="str">
        <f>$Z$3</f>
        <v>DIAG_BOTH</v>
      </c>
      <c r="S64" s="47" t="str">
        <f>$Z$4</f>
        <v>ORTHO_BOTH</v>
      </c>
      <c r="T64" s="44" t="str">
        <f>$Z$4</f>
        <v>ORTHO_BOTH</v>
      </c>
      <c r="V64" s="54" t="b">
        <f t="shared" si="4"/>
        <v>0</v>
      </c>
      <c r="W64" t="b">
        <f t="shared" si="5"/>
        <v>0</v>
      </c>
      <c r="X64" t="b">
        <f t="shared" si="6"/>
        <v>1</v>
      </c>
      <c r="Z64" s="84"/>
      <c r="AA64" s="84"/>
      <c r="AB64" s="84"/>
      <c r="AC64" s="84"/>
      <c r="AD64" s="84"/>
      <c r="AE64" s="84"/>
      <c r="AG64" s="82" t="str">
        <f t="shared" si="7"/>
        <v xml:space="preserve">    { 62, 46, 57, 62, wxString::FromUTF8("\x5E"), Connection::ORTHO_BOTH, Connection::DIAG_BOTH, Connection::ORTHO_BOTH, Connection::ORTHO_BOTH }</v>
      </c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1"/>
    </row>
    <row r="65" spans="1:44" x14ac:dyDescent="0.4">
      <c r="A65" s="7" t="s">
        <v>75</v>
      </c>
      <c r="B65" s="6" t="str">
        <f t="shared" si="0"/>
        <v>_</v>
      </c>
      <c r="C65" s="71" cm="1">
        <f t="array" ref="C65">IF($M65&lt;&gt;"",INDEX($M:$M,MATCH(TRUE,EXACT(B65,$A:$A),0)),"")</f>
        <v>63</v>
      </c>
      <c r="D65" s="61" t="s">
        <v>70</v>
      </c>
      <c r="E65" s="71" cm="1">
        <f t="array" ref="E65">IF($M65&lt;&gt;"",INDEX($M:$M,MATCH(TRUE,EXACT(D65,$A:$A),0)),"")</f>
        <v>11</v>
      </c>
      <c r="F65" s="61" t="s">
        <v>76</v>
      </c>
      <c r="G65" s="71" cm="1">
        <f t="array" ref="G65">IF($M65&lt;&gt;"",INDEX($M:$M,MATCH(TRUE,EXACT(F65,$A:$A),0)),"")</f>
        <v>91</v>
      </c>
      <c r="H65" s="61" t="s">
        <v>70</v>
      </c>
      <c r="I65" s="75" cm="1">
        <f t="array" ref="I65">IF($M65&lt;&gt;"",INDEX($M:$M,MATCH(TRUE,EXACT(H65,$A:$A),0)),"")</f>
        <v>11</v>
      </c>
      <c r="J65" s="46"/>
      <c r="K65" s="56"/>
      <c r="L65" s="41" t="b">
        <f t="shared" si="1"/>
        <v>1</v>
      </c>
      <c r="M65" s="42">
        <f>IF(L65, MAX(M$2:M64)+1,"")</f>
        <v>63</v>
      </c>
      <c r="N65" s="46" t="str">
        <f t="shared" si="2"/>
        <v>_</v>
      </c>
      <c r="O65" s="8" t="str" cm="1">
        <f t="array" ref="O65">CharToUTF8(A65)</f>
        <v>\x5F</v>
      </c>
      <c r="Q65" s="41" t="str">
        <f t="shared" ref="Q65:Q70" si="11">$Z$3</f>
        <v>DIAG_BOTH</v>
      </c>
      <c r="R65" s="47" t="str">
        <f>$Z$4</f>
        <v>ORTHO_BOTH</v>
      </c>
      <c r="S65" s="47" t="str">
        <f>$Z$3</f>
        <v>DIAG_BOTH</v>
      </c>
      <c r="T65" s="44" t="str">
        <f>$Z$4</f>
        <v>ORTHO_BOTH</v>
      </c>
      <c r="V65" s="54" t="b">
        <f t="shared" si="4"/>
        <v>0</v>
      </c>
      <c r="W65" t="b">
        <f t="shared" si="5"/>
        <v>0</v>
      </c>
      <c r="X65" t="b">
        <f t="shared" si="6"/>
        <v>0</v>
      </c>
      <c r="Z65" s="84"/>
      <c r="AA65" s="84"/>
      <c r="AB65" s="84"/>
      <c r="AC65" s="84"/>
      <c r="AD65" s="84"/>
      <c r="AE65" s="84"/>
      <c r="AG65" s="82" t="str">
        <f t="shared" si="7"/>
        <v xml:space="preserve">    { 63, 11, 91, 11, wxString::FromUTF8("\x5F"), Connection::DIAG_BOTH, Connection::ORTHO_BOTH, Connection::DIAG_BOTH, Connection::ORTHO_BOTH }</v>
      </c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1"/>
    </row>
    <row r="66" spans="1:44" x14ac:dyDescent="0.4">
      <c r="A66" s="7" t="s">
        <v>168</v>
      </c>
      <c r="B66" s="6" t="str">
        <f t="shared" ref="B66:B129" si="12">A66</f>
        <v>`</v>
      </c>
      <c r="C66" s="71" cm="1">
        <f t="array" ref="C66">IF($M66&lt;&gt;"",INDEX($M:$M,MATCH(TRUE,EXACT(B66,$A:$A),0)),"")</f>
        <v>64</v>
      </c>
      <c r="D66" s="61">
        <v>1</v>
      </c>
      <c r="E66" s="71" cm="1">
        <f t="array" ref="E66">IF($M66&lt;&gt;"",INDEX($M:$M,MATCH(TRUE,EXACT(D66,$A:$A),0)),"")</f>
        <v>17</v>
      </c>
      <c r="F66" s="61" t="s">
        <v>168</v>
      </c>
      <c r="G66" s="71" cm="1">
        <f t="array" ref="G66">IF($M66&lt;&gt;"",INDEX($M:$M,MATCH(TRUE,EXACT(F66,$A:$A),0)),"")</f>
        <v>64</v>
      </c>
      <c r="H66" s="61" t="s">
        <v>168</v>
      </c>
      <c r="I66" s="75" cm="1">
        <f t="array" ref="I66">IF($M66&lt;&gt;"",INDEX($M:$M,MATCH(TRUE,EXACT(H66,$A:$A),0)),"")</f>
        <v>64</v>
      </c>
      <c r="J66" s="46"/>
      <c r="K66" s="56"/>
      <c r="L66" s="41" t="b">
        <f t="shared" ref="L66:L129" si="13">AND(B66&lt;&gt;"", AND(D66&lt;&gt;"", AND(H66&lt;&gt;"", F66&lt;&gt;"")))</f>
        <v>1</v>
      </c>
      <c r="M66" s="42">
        <f>IF(L66, MAX(M$2:M65)+1,"")</f>
        <v>64</v>
      </c>
      <c r="N66" s="46" t="str">
        <f t="shared" ref="N66:N129" si="14">A66</f>
        <v>`</v>
      </c>
      <c r="O66" s="8" t="str" cm="1">
        <f t="array" ref="O66">CharToUTF8(A66)</f>
        <v>\x60</v>
      </c>
      <c r="Q66" s="41" t="str">
        <f t="shared" si="11"/>
        <v>DIAG_BOTH</v>
      </c>
      <c r="R66" s="47" t="str">
        <f>$Z$3</f>
        <v>DIAG_BOTH</v>
      </c>
      <c r="S66" s="47" t="str">
        <f>$Z$2</f>
        <v>EMPTY</v>
      </c>
      <c r="T66" s="44" t="str">
        <f>$Z$2</f>
        <v>EMPTY</v>
      </c>
      <c r="V66" s="54" t="b">
        <f t="shared" si="4"/>
        <v>0</v>
      </c>
      <c r="W66" t="b">
        <f t="shared" si="5"/>
        <v>1</v>
      </c>
      <c r="X66" t="b">
        <f t="shared" si="6"/>
        <v>1</v>
      </c>
      <c r="Z66" s="84"/>
      <c r="AA66" s="84"/>
      <c r="AB66" s="84"/>
      <c r="AC66" s="84"/>
      <c r="AD66" s="84"/>
      <c r="AE66" s="84"/>
      <c r="AG66" s="82" t="str">
        <f t="shared" si="7"/>
        <v xml:space="preserve">    { 64, 17, 64, 64, wxString::FromUTF8("\x60"), Connection::DIAG_BOTH, Connection::DIAG_BOTH, Connection::EMPTY, Connection::EMPTY }</v>
      </c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1"/>
    </row>
    <row r="67" spans="1:44" x14ac:dyDescent="0.4">
      <c r="A67" s="7" t="s">
        <v>10</v>
      </c>
      <c r="B67" s="6" t="str">
        <f t="shared" si="12"/>
        <v>a</v>
      </c>
      <c r="C67" s="71" cm="1">
        <f t="array" ref="C67">IF($M67&lt;&gt;"",INDEX($M:$M,MATCH(TRUE,EXACT(B67,$A:$A),0)),"")</f>
        <v>65</v>
      </c>
      <c r="D67" s="61" t="s">
        <v>1</v>
      </c>
      <c r="E67" s="71" cm="1">
        <f t="array" ref="E67">IF($M67&lt;&gt;"",INDEX($M:$M,MATCH(TRUE,EXACT(D67,$A:$A),0)),"")</f>
        <v>87</v>
      </c>
      <c r="F67" s="61" t="s">
        <v>10</v>
      </c>
      <c r="G67" s="71" cm="1">
        <f t="array" ref="G67">IF($M67&lt;&gt;"",INDEX($M:$M,MATCH(TRUE,EXACT(F67,$A:$A),0)),"")</f>
        <v>65</v>
      </c>
      <c r="H67" s="61" t="s">
        <v>12</v>
      </c>
      <c r="I67" s="75" cm="1">
        <f t="array" ref="I67">IF($M67&lt;&gt;"",INDEX($M:$M,MATCH(TRUE,EXACT(H67,$A:$A),0)),"")</f>
        <v>68</v>
      </c>
      <c r="J67" s="46"/>
      <c r="K67" s="56"/>
      <c r="L67" s="41" t="b">
        <f t="shared" si="13"/>
        <v>1</v>
      </c>
      <c r="M67" s="42">
        <f>IF(L67, MAX(M$2:M66)+1,"")</f>
        <v>65</v>
      </c>
      <c r="N67" s="46" t="str">
        <f t="shared" si="14"/>
        <v>a</v>
      </c>
      <c r="O67" s="8" t="str" cm="1">
        <f t="array" ref="O67">CharToUTF8(A67)</f>
        <v>\x61</v>
      </c>
      <c r="Q67" s="41" t="str">
        <f t="shared" si="11"/>
        <v>DIAG_BOTH</v>
      </c>
      <c r="R67" s="47" t="str">
        <f>$Z$3</f>
        <v>DIAG_BOTH</v>
      </c>
      <c r="S67" s="47" t="str">
        <f>$Z$2</f>
        <v>EMPTY</v>
      </c>
      <c r="T67" s="44" t="str">
        <f>$Z$3</f>
        <v>DIAG_BOTH</v>
      </c>
      <c r="V67" s="54" t="b">
        <f t="shared" ref="V67:V130" si="15">IF($L67,C67=E67,"")</f>
        <v>0</v>
      </c>
      <c r="W67" t="b">
        <f t="shared" ref="W67:W130" si="16">IF($L67,C67=G67,"")</f>
        <v>1</v>
      </c>
      <c r="X67" t="b">
        <f t="shared" ref="X67:X130" si="17">IF($L67,C67=I67,"")</f>
        <v>0</v>
      </c>
      <c r="Z67" s="84"/>
      <c r="AA67" s="84"/>
      <c r="AB67" s="84"/>
      <c r="AC67" s="84"/>
      <c r="AD67" s="84"/>
      <c r="AE67" s="84"/>
      <c r="AG67" s="82" t="str">
        <f t="shared" ref="AG67:AG130" si="18">IF($L67,"    { " &amp; _xlfn.TEXTJOIN(", ", TRUE, $C67,$E67,$G67,$I67) &amp; ", wxString::FromUTF8(""" &amp; $O67 &amp; """), " &amp; $AC$2 &amp; _xlfn.TEXTJOIN(", " &amp; $AC$2, TRUE, $Q67:$T67) &amp; " }", "")</f>
        <v xml:space="preserve">    { 65, 87, 65, 68, wxString::FromUTF8("\x61"), Connection::DIAG_BOTH, Connection::DIAG_BOTH, Connection::EMPTY, Connection::DIAG_BOTH }</v>
      </c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1"/>
    </row>
    <row r="68" spans="1:44" x14ac:dyDescent="0.4">
      <c r="A68" s="7" t="s">
        <v>23</v>
      </c>
      <c r="B68" s="6" t="str">
        <f t="shared" si="12"/>
        <v>b</v>
      </c>
      <c r="C68" s="71" cm="1">
        <f t="array" ref="C68">IF($M68&lt;&gt;"",INDEX($M:$M,MATCH(TRUE,EXACT(B68,$A:$A),0)),"")</f>
        <v>66</v>
      </c>
      <c r="D68" s="61">
        <v>6</v>
      </c>
      <c r="E68" s="71" cm="1">
        <f t="array" ref="E68">IF($M68&lt;&gt;"",INDEX($M:$M,MATCH(TRUE,EXACT(D68,$A:$A),0)),"")</f>
        <v>22</v>
      </c>
      <c r="F68" s="61" t="s">
        <v>23</v>
      </c>
      <c r="G68" s="71" cm="1">
        <f t="array" ref="G68">IF($M68&lt;&gt;"",INDEX($M:$M,MATCH(TRUE,EXACT(F68,$A:$A),0)),"")</f>
        <v>66</v>
      </c>
      <c r="H68" s="61" t="s">
        <v>24</v>
      </c>
      <c r="I68" s="75" cm="1">
        <f t="array" ref="I68">IF($M68&lt;&gt;"",INDEX($M:$M,MATCH(TRUE,EXACT(H68,$A:$A),0)),"")</f>
        <v>78</v>
      </c>
      <c r="J68" s="46"/>
      <c r="K68" s="56"/>
      <c r="L68" s="41" t="b">
        <f t="shared" si="13"/>
        <v>1</v>
      </c>
      <c r="M68" s="42">
        <f>IF(L68, MAX(M$2:M67)+1,"")</f>
        <v>66</v>
      </c>
      <c r="N68" s="46" t="str">
        <f t="shared" si="14"/>
        <v>b</v>
      </c>
      <c r="O68" s="8" t="str" cm="1">
        <f t="array" ref="O68">CharToUTF8(A68)</f>
        <v>\x62</v>
      </c>
      <c r="Q68" s="41" t="str">
        <f t="shared" si="11"/>
        <v>DIAG_BOTH</v>
      </c>
      <c r="R68" s="47" t="str">
        <f>$Z$3</f>
        <v>DIAG_BOTH</v>
      </c>
      <c r="S68" s="47" t="str">
        <f>$Z$2</f>
        <v>EMPTY</v>
      </c>
      <c r="T68" s="44" t="str">
        <f>$Z$4</f>
        <v>ORTHO_BOTH</v>
      </c>
      <c r="V68" s="54" t="b">
        <f t="shared" si="15"/>
        <v>0</v>
      </c>
      <c r="W68" t="b">
        <f t="shared" si="16"/>
        <v>1</v>
      </c>
      <c r="X68" t="b">
        <f t="shared" si="17"/>
        <v>0</v>
      </c>
      <c r="Z68" s="84"/>
      <c r="AA68" s="84"/>
      <c r="AB68" s="84"/>
      <c r="AC68" s="84"/>
      <c r="AD68" s="84"/>
      <c r="AE68" s="84"/>
      <c r="AG68" s="82" t="str">
        <f t="shared" si="18"/>
        <v xml:space="preserve">    { 66, 22, 66, 78, wxString::FromUTF8("\x62"), Connection::DIAG_BOTH, Connection::DIAG_BOTH, Connection::EMPTY, Connection::ORTHO_BOTH }</v>
      </c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1"/>
    </row>
    <row r="69" spans="1:44" x14ac:dyDescent="0.4">
      <c r="A69" s="7" t="s">
        <v>21</v>
      </c>
      <c r="B69" s="6" t="str">
        <f t="shared" si="12"/>
        <v>c</v>
      </c>
      <c r="C69" s="71" cm="1">
        <f t="array" ref="C69">IF($M69&lt;&gt;"",INDEX($M:$M,MATCH(TRUE,EXACT(B69,$A:$A),0)),"")</f>
        <v>67</v>
      </c>
      <c r="D69" s="61" t="s">
        <v>19</v>
      </c>
      <c r="E69" s="71" cm="1">
        <f t="array" ref="E69">IF($M69&lt;&gt;"",INDEX($M:$M,MATCH(TRUE,EXACT(D69,$A:$A),0)),"")</f>
        <v>90</v>
      </c>
      <c r="F69" s="61" t="s">
        <v>2</v>
      </c>
      <c r="G69" s="71" cm="1">
        <f t="array" ref="G69">IF($M69&lt;&gt;"",INDEX($M:$M,MATCH(TRUE,EXACT(F69,$A:$A),0)),"")</f>
        <v>69</v>
      </c>
      <c r="H69" s="61" t="s">
        <v>19</v>
      </c>
      <c r="I69" s="75" cm="1">
        <f t="array" ref="I69">IF($M69&lt;&gt;"",INDEX($M:$M,MATCH(TRUE,EXACT(H69,$A:$A),0)),"")</f>
        <v>90</v>
      </c>
      <c r="J69" s="46"/>
      <c r="K69" s="56"/>
      <c r="L69" s="41" t="b">
        <f t="shared" si="13"/>
        <v>1</v>
      </c>
      <c r="M69" s="42">
        <f>IF(L69, MAX(M$2:M68)+1,"")</f>
        <v>67</v>
      </c>
      <c r="N69" s="46" t="str">
        <f t="shared" si="14"/>
        <v>c</v>
      </c>
      <c r="O69" s="8" t="str" cm="1">
        <f t="array" ref="O69">CharToUTF8(A69)</f>
        <v>\x63</v>
      </c>
      <c r="Q69" s="41" t="str">
        <f t="shared" si="11"/>
        <v>DIAG_BOTH</v>
      </c>
      <c r="R69" s="47" t="str">
        <f>$Z$2</f>
        <v>EMPTY</v>
      </c>
      <c r="S69" s="47" t="str">
        <f>$Z$3</f>
        <v>DIAG_BOTH</v>
      </c>
      <c r="T69" s="44" t="str">
        <f>$Z$2</f>
        <v>EMPTY</v>
      </c>
      <c r="V69" s="54" t="b">
        <f t="shared" si="15"/>
        <v>0</v>
      </c>
      <c r="W69" t="b">
        <f t="shared" si="16"/>
        <v>0</v>
      </c>
      <c r="X69" t="b">
        <f t="shared" si="17"/>
        <v>0</v>
      </c>
      <c r="Z69" s="84"/>
      <c r="AA69" s="84"/>
      <c r="AB69" s="84"/>
      <c r="AC69" s="84"/>
      <c r="AD69" s="84"/>
      <c r="AE69" s="84"/>
      <c r="AG69" s="82" t="str">
        <f t="shared" si="18"/>
        <v xml:space="preserve">    { 67, 90, 69, 90, wxString::FromUTF8("\x63"), Connection::DIAG_BOTH, Connection::EMPTY, Connection::DIAG_BOTH, Connection::EMPTY }</v>
      </c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1"/>
    </row>
    <row r="70" spans="1:44" x14ac:dyDescent="0.4">
      <c r="A70" s="7" t="s">
        <v>12</v>
      </c>
      <c r="B70" s="6" t="str">
        <f t="shared" si="12"/>
        <v>d</v>
      </c>
      <c r="C70" s="71" cm="1">
        <f t="array" ref="C70">IF($M70&lt;&gt;"",INDEX($M:$M,MATCH(TRUE,EXACT(B70,$A:$A),0)),"")</f>
        <v>68</v>
      </c>
      <c r="D70" s="61" t="s">
        <v>20</v>
      </c>
      <c r="E70" s="71" cm="1">
        <f t="array" ref="E70">IF($M70&lt;&gt;"",INDEX($M:$M,MATCH(TRUE,EXACT(D70,$A:$A),0)),"")</f>
        <v>88</v>
      </c>
      <c r="F70" s="61" t="s">
        <v>12</v>
      </c>
      <c r="G70" s="71" cm="1">
        <f t="array" ref="G70">IF($M70&lt;&gt;"",INDEX($M:$M,MATCH(TRUE,EXACT(F70,$A:$A),0)),"")</f>
        <v>68</v>
      </c>
      <c r="H70" s="61" t="s">
        <v>10</v>
      </c>
      <c r="I70" s="75" cm="1">
        <f t="array" ref="I70">IF($M70&lt;&gt;"",INDEX($M:$M,MATCH(TRUE,EXACT(H70,$A:$A),0)),"")</f>
        <v>65</v>
      </c>
      <c r="J70" s="46"/>
      <c r="K70" s="56"/>
      <c r="L70" s="41" t="b">
        <f t="shared" si="13"/>
        <v>1</v>
      </c>
      <c r="M70" s="42">
        <f>IF(L70, MAX(M$2:M69)+1,"")</f>
        <v>68</v>
      </c>
      <c r="N70" s="46" t="str">
        <f t="shared" si="14"/>
        <v>d</v>
      </c>
      <c r="O70" s="8" t="str" cm="1">
        <f t="array" ref="O70">CharToUTF8(A70)</f>
        <v>\x64</v>
      </c>
      <c r="Q70" s="41" t="str">
        <f t="shared" si="11"/>
        <v>DIAG_BOTH</v>
      </c>
      <c r="R70" s="47" t="str">
        <f>$Z$3</f>
        <v>DIAG_BOTH</v>
      </c>
      <c r="S70" s="47" t="str">
        <f>$Z$3</f>
        <v>DIAG_BOTH</v>
      </c>
      <c r="T70" s="44" t="str">
        <f>$Z$2</f>
        <v>EMPTY</v>
      </c>
      <c r="V70" s="54" t="b">
        <f t="shared" si="15"/>
        <v>0</v>
      </c>
      <c r="W70" t="b">
        <f t="shared" si="16"/>
        <v>1</v>
      </c>
      <c r="X70" t="b">
        <f t="shared" si="17"/>
        <v>0</v>
      </c>
      <c r="Z70" s="84"/>
      <c r="AA70" s="84"/>
      <c r="AB70" s="84"/>
      <c r="AC70" s="84"/>
      <c r="AD70" s="84"/>
      <c r="AE70" s="84"/>
      <c r="AG70" s="82" t="str">
        <f t="shared" si="18"/>
        <v xml:space="preserve">    { 68, 88, 68, 65, wxString::FromUTF8("\x64"), Connection::DIAG_BOTH, Connection::DIAG_BOTH, Connection::DIAG_BOTH, Connection::EMPTY }</v>
      </c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1"/>
    </row>
    <row r="71" spans="1:44" x14ac:dyDescent="0.4">
      <c r="A71" s="7" t="s">
        <v>2</v>
      </c>
      <c r="B71" s="6" t="str">
        <f t="shared" si="12"/>
        <v>e</v>
      </c>
      <c r="C71" s="71" cm="1">
        <f t="array" ref="C71">IF($M71&lt;&gt;"",INDEX($M:$M,MATCH(TRUE,EXACT(B71,$A:$A),0)),"")</f>
        <v>69</v>
      </c>
      <c r="D71" s="61" t="s">
        <v>21</v>
      </c>
      <c r="E71" s="71" cm="1">
        <f t="array" ref="E71">IF($M71&lt;&gt;"",INDEX($M:$M,MATCH(TRUE,EXACT(D71,$A:$A),0)),"")</f>
        <v>67</v>
      </c>
      <c r="F71" s="61" t="s">
        <v>21</v>
      </c>
      <c r="G71" s="71" cm="1">
        <f t="array" ref="G71">IF($M71&lt;&gt;"",INDEX($M:$M,MATCH(TRUE,EXACT(F71,$A:$A),0)),"")</f>
        <v>67</v>
      </c>
      <c r="H71" s="61" t="s">
        <v>0</v>
      </c>
      <c r="I71" s="75" cm="1">
        <f t="array" ref="I71">IF($M71&lt;&gt;"",INDEX($M:$M,MATCH(TRUE,EXACT(H71,$A:$A),0)),"")</f>
        <v>81</v>
      </c>
      <c r="J71" s="46"/>
      <c r="K71" s="56"/>
      <c r="L71" s="41" t="b">
        <f t="shared" si="13"/>
        <v>1</v>
      </c>
      <c r="M71" s="42">
        <f>IF(L71, MAX(M$2:M70)+1,"")</f>
        <v>69</v>
      </c>
      <c r="N71" s="46" t="str">
        <f t="shared" si="14"/>
        <v>e</v>
      </c>
      <c r="O71" s="8" t="str" cm="1">
        <f t="array" ref="O71">CharToUTF8(A71)</f>
        <v>\x65</v>
      </c>
      <c r="Q71" s="41" t="str">
        <f>$Z$2</f>
        <v>EMPTY</v>
      </c>
      <c r="R71" s="47" t="str">
        <f>$Z$3</f>
        <v>DIAG_BOTH</v>
      </c>
      <c r="S71" s="47" t="str">
        <f>$Z$3</f>
        <v>DIAG_BOTH</v>
      </c>
      <c r="T71" s="44" t="str">
        <f>$Z$2</f>
        <v>EMPTY</v>
      </c>
      <c r="V71" s="54" t="b">
        <f t="shared" si="15"/>
        <v>0</v>
      </c>
      <c r="W71" t="b">
        <f t="shared" si="16"/>
        <v>0</v>
      </c>
      <c r="X71" t="b">
        <f t="shared" si="17"/>
        <v>0</v>
      </c>
      <c r="Z71" s="84"/>
      <c r="AA71" s="84"/>
      <c r="AB71" s="84"/>
      <c r="AC71" s="84"/>
      <c r="AD71" s="84"/>
      <c r="AE71" s="84"/>
      <c r="AG71" s="82" t="str">
        <f t="shared" si="18"/>
        <v xml:space="preserve">    { 69, 67, 67, 81, wxString::FromUTF8("\x65"), Connection::EMPTY, Connection::DIAG_BOTH, Connection::DIAG_BOTH, Connection::EMPTY }</v>
      </c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1"/>
    </row>
    <row r="72" spans="1:44" x14ac:dyDescent="0.4">
      <c r="A72" s="7" t="s">
        <v>13</v>
      </c>
      <c r="B72" s="6" t="str">
        <f t="shared" si="12"/>
        <v>f</v>
      </c>
      <c r="C72" s="71" cm="1">
        <f t="array" ref="C72">IF($M72&lt;&gt;"",INDEX($M:$M,MATCH(TRUE,EXACT(B72,$A:$A),0)),"")</f>
        <v>70</v>
      </c>
      <c r="D72" s="61">
        <v>4</v>
      </c>
      <c r="E72" s="71" cm="1">
        <f t="array" ref="E72">IF($M72&lt;&gt;"",INDEX($M:$M,MATCH(TRUE,EXACT(D72,$A:$A),0)),"")</f>
        <v>20</v>
      </c>
      <c r="F72" s="61" t="s">
        <v>13</v>
      </c>
      <c r="G72" s="71" cm="1">
        <f t="array" ref="G72">IF($M72&lt;&gt;"",INDEX($M:$M,MATCH(TRUE,EXACT(F72,$A:$A),0)),"")</f>
        <v>70</v>
      </c>
      <c r="H72" s="61" t="s">
        <v>22</v>
      </c>
      <c r="I72" s="75" cm="1">
        <f t="array" ref="I72">IF($M72&lt;&gt;"",INDEX($M:$M,MATCH(TRUE,EXACT(H72,$A:$A),0)),"")</f>
        <v>86</v>
      </c>
      <c r="J72" s="46"/>
      <c r="K72" s="56"/>
      <c r="L72" s="41" t="b">
        <f t="shared" si="13"/>
        <v>1</v>
      </c>
      <c r="M72" s="42">
        <f>IF(L72, MAX(M$2:M71)+1,"")</f>
        <v>70</v>
      </c>
      <c r="N72" s="46" t="str">
        <f t="shared" si="14"/>
        <v>f</v>
      </c>
      <c r="O72" s="8" t="str" cm="1">
        <f t="array" ref="O72">CharToUTF8(A72)</f>
        <v>\x66</v>
      </c>
      <c r="Q72" s="41" t="str">
        <f>$Z$2</f>
        <v>EMPTY</v>
      </c>
      <c r="R72" s="47" t="str">
        <f>$Z$2</f>
        <v>EMPTY</v>
      </c>
      <c r="S72" s="47" t="str">
        <f>$Z$2</f>
        <v>EMPTY</v>
      </c>
      <c r="T72" s="44" t="str">
        <f>$Z$3</f>
        <v>DIAG_BOTH</v>
      </c>
      <c r="V72" s="54" t="b">
        <f t="shared" si="15"/>
        <v>0</v>
      </c>
      <c r="W72" t="b">
        <f t="shared" si="16"/>
        <v>1</v>
      </c>
      <c r="X72" t="b">
        <f t="shared" si="17"/>
        <v>0</v>
      </c>
      <c r="Z72" s="84"/>
      <c r="AA72" s="84"/>
      <c r="AB72" s="84"/>
      <c r="AC72" s="84"/>
      <c r="AD72" s="84"/>
      <c r="AE72" s="84"/>
      <c r="AG72" s="82" t="str">
        <f t="shared" si="18"/>
        <v xml:space="preserve">    { 70, 20, 70, 86, wxString::FromUTF8("\x66"), Connection::EMPTY, Connection::EMPTY, Connection::EMPTY, Connection::DIAG_BOTH }</v>
      </c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1"/>
    </row>
    <row r="73" spans="1:44" x14ac:dyDescent="0.4">
      <c r="A73" s="7" t="s">
        <v>14</v>
      </c>
      <c r="B73" s="6" t="str">
        <f t="shared" si="12"/>
        <v>g</v>
      </c>
      <c r="C73" s="71" cm="1">
        <f t="array" ref="C73">IF($M73&lt;&gt;"",INDEX($M:$M,MATCH(TRUE,EXACT(B73,$A:$A),0)),"")</f>
        <v>71</v>
      </c>
      <c r="D73" s="61">
        <v>5</v>
      </c>
      <c r="E73" s="71" cm="1">
        <f t="array" ref="E73">IF($M73&lt;&gt;"",INDEX($M:$M,MATCH(TRUE,EXACT(D73,$A:$A),0)),"")</f>
        <v>21</v>
      </c>
      <c r="F73" s="61" t="s">
        <v>14</v>
      </c>
      <c r="G73" s="71" cm="1">
        <f t="array" ref="G73">IF($M73&lt;&gt;"",INDEX($M:$M,MATCH(TRUE,EXACT(F73,$A:$A),0)),"")</f>
        <v>71</v>
      </c>
      <c r="H73" s="61" t="s">
        <v>15</v>
      </c>
      <c r="I73" s="75" cm="1">
        <f t="array" ref="I73">IF($M73&lt;&gt;"",INDEX($M:$M,MATCH(TRUE,EXACT(H73,$A:$A),0)),"")</f>
        <v>72</v>
      </c>
      <c r="J73" s="46"/>
      <c r="K73" s="56"/>
      <c r="L73" s="41" t="b">
        <f t="shared" si="13"/>
        <v>1</v>
      </c>
      <c r="M73" s="42">
        <f>IF(L73, MAX(M$2:M72)+1,"")</f>
        <v>71</v>
      </c>
      <c r="N73" s="46" t="str">
        <f t="shared" si="14"/>
        <v>g</v>
      </c>
      <c r="O73" s="8" t="str" cm="1">
        <f t="array" ref="O73">CharToUTF8(A73)</f>
        <v>\x67</v>
      </c>
      <c r="Q73" s="41" t="str">
        <f>$Z$3</f>
        <v>DIAG_BOTH</v>
      </c>
      <c r="R73" s="47" t="str">
        <f>$Z$3</f>
        <v>DIAG_BOTH</v>
      </c>
      <c r="S73" s="47" t="str">
        <f>$Z$3</f>
        <v>DIAG_BOTH</v>
      </c>
      <c r="T73" s="44" t="str">
        <f>$Z$4</f>
        <v>ORTHO_BOTH</v>
      </c>
      <c r="V73" s="54" t="b">
        <f t="shared" si="15"/>
        <v>0</v>
      </c>
      <c r="W73" t="b">
        <f t="shared" si="16"/>
        <v>1</v>
      </c>
      <c r="X73" t="b">
        <f t="shared" si="17"/>
        <v>0</v>
      </c>
      <c r="Z73" s="84"/>
      <c r="AA73" s="84"/>
      <c r="AB73" s="84"/>
      <c r="AC73" s="84"/>
      <c r="AD73" s="84"/>
      <c r="AE73" s="84"/>
      <c r="AG73" s="82" t="str">
        <f t="shared" si="18"/>
        <v xml:space="preserve">    { 71, 21, 71, 72, wxString::FromUTF8("\x67"), Connection::DIAG_BOTH, Connection::DIAG_BOTH, Connection::DIAG_BOTH, Connection::ORTHO_BOTH }</v>
      </c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1"/>
    </row>
    <row r="74" spans="1:44" x14ac:dyDescent="0.4">
      <c r="A74" s="7" t="s">
        <v>15</v>
      </c>
      <c r="B74" s="6" t="str">
        <f t="shared" si="12"/>
        <v>h</v>
      </c>
      <c r="C74" s="71" cm="1">
        <f t="array" ref="C74">IF($M74&lt;&gt;"",INDEX($M:$M,MATCH(TRUE,EXACT(B74,$A:$A),0)),"")</f>
        <v>72</v>
      </c>
      <c r="D74" s="61" t="s">
        <v>4</v>
      </c>
      <c r="E74" s="71" cm="1">
        <f t="array" ref="E74">IF($M74&lt;&gt;"",INDEX($M:$M,MATCH(TRUE,EXACT(D74,$A:$A),0)),"")</f>
        <v>84</v>
      </c>
      <c r="F74" s="61" t="s">
        <v>15</v>
      </c>
      <c r="G74" s="71" cm="1">
        <f t="array" ref="G74">IF($M74&lt;&gt;"",INDEX($M:$M,MATCH(TRUE,EXACT(F74,$A:$A),0)),"")</f>
        <v>72</v>
      </c>
      <c r="H74" s="61" t="s">
        <v>14</v>
      </c>
      <c r="I74" s="75" cm="1">
        <f t="array" ref="I74">IF($M74&lt;&gt;"",INDEX($M:$M,MATCH(TRUE,EXACT(H74,$A:$A),0)),"")</f>
        <v>71</v>
      </c>
      <c r="J74" s="46"/>
      <c r="K74" s="56"/>
      <c r="L74" s="41" t="b">
        <f t="shared" si="13"/>
        <v>1</v>
      </c>
      <c r="M74" s="42">
        <f>IF(L74, MAX(M$2:M73)+1,"")</f>
        <v>72</v>
      </c>
      <c r="N74" s="46" t="str">
        <f t="shared" si="14"/>
        <v>h</v>
      </c>
      <c r="O74" s="8" t="str" cm="1">
        <f t="array" ref="O74">CharToUTF8(A74)</f>
        <v>\x68</v>
      </c>
      <c r="Q74" s="41" t="str">
        <f>$Z$3</f>
        <v>DIAG_BOTH</v>
      </c>
      <c r="R74" s="47" t="str">
        <f>$Z$3</f>
        <v>DIAG_BOTH</v>
      </c>
      <c r="S74" s="47" t="str">
        <f>$Z$4</f>
        <v>ORTHO_BOTH</v>
      </c>
      <c r="T74" s="44" t="str">
        <f>$Z$3</f>
        <v>DIAG_BOTH</v>
      </c>
      <c r="V74" s="54" t="b">
        <f t="shared" si="15"/>
        <v>0</v>
      </c>
      <c r="W74" t="b">
        <f t="shared" si="16"/>
        <v>1</v>
      </c>
      <c r="X74" t="b">
        <f t="shared" si="17"/>
        <v>0</v>
      </c>
      <c r="Z74" s="84"/>
      <c r="AA74" s="84"/>
      <c r="AB74" s="84"/>
      <c r="AC74" s="84"/>
      <c r="AD74" s="84"/>
      <c r="AE74" s="84"/>
      <c r="AG74" s="82" t="str">
        <f t="shared" si="18"/>
        <v xml:space="preserve">    { 72, 84, 72, 71, wxString::FromUTF8("\x68"), Connection::DIAG_BOTH, Connection::DIAG_BOTH, Connection::ORTHO_BOTH, Connection::DIAG_BOTH }</v>
      </c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1"/>
    </row>
    <row r="75" spans="1:44" x14ac:dyDescent="0.4">
      <c r="A75" s="7" t="s">
        <v>7</v>
      </c>
      <c r="B75" s="6" t="str">
        <f t="shared" si="12"/>
        <v>i</v>
      </c>
      <c r="C75" s="71" cm="1">
        <f t="array" ref="C75">IF($M75&lt;&gt;"",INDEX($M:$M,MATCH(TRUE,EXACT(B75,$A:$A),0)),"")</f>
        <v>73</v>
      </c>
      <c r="D75" s="61" t="s">
        <v>25</v>
      </c>
      <c r="E75" s="71" cm="1">
        <f t="array" ref="E75">IF($M75&lt;&gt;"",INDEX($M:$M,MATCH(TRUE,EXACT(D75,$A:$A),0)),"")</f>
        <v>77</v>
      </c>
      <c r="F75" s="61">
        <v>8</v>
      </c>
      <c r="G75" s="71" cm="1">
        <f t="array" ref="G75">IF($M75&lt;&gt;"",INDEX($M:$M,MATCH(TRUE,EXACT(F75,$A:$A),0)),"")</f>
        <v>24</v>
      </c>
      <c r="H75" s="61" t="s">
        <v>6</v>
      </c>
      <c r="I75" s="75" cm="1">
        <f t="array" ref="I75">IF($M75&lt;&gt;"",INDEX($M:$M,MATCH(TRUE,EXACT(H75,$A:$A),0)),"")</f>
        <v>85</v>
      </c>
      <c r="J75" s="46"/>
      <c r="K75" s="56"/>
      <c r="L75" s="41" t="b">
        <f t="shared" si="13"/>
        <v>1</v>
      </c>
      <c r="M75" s="42">
        <f>IF(L75, MAX(M$2:M74)+1,"")</f>
        <v>73</v>
      </c>
      <c r="N75" s="46" t="str">
        <f t="shared" si="14"/>
        <v>i</v>
      </c>
      <c r="O75" s="8" t="str" cm="1">
        <f t="array" ref="O75">CharToUTF8(A75)</f>
        <v>\x69</v>
      </c>
      <c r="Q75" s="41" t="str">
        <f>$Z$4</f>
        <v>ORTHO_BOTH</v>
      </c>
      <c r="R75" s="47" t="str">
        <f>$Z$3</f>
        <v>DIAG_BOTH</v>
      </c>
      <c r="S75" s="47" t="str">
        <f>$Z$3</f>
        <v>DIAG_BOTH</v>
      </c>
      <c r="T75" s="44" t="str">
        <f>$Z$2</f>
        <v>EMPTY</v>
      </c>
      <c r="V75" s="54" t="b">
        <f t="shared" si="15"/>
        <v>0</v>
      </c>
      <c r="W75" t="b">
        <f t="shared" si="16"/>
        <v>0</v>
      </c>
      <c r="X75" t="b">
        <f t="shared" si="17"/>
        <v>0</v>
      </c>
      <c r="Z75" s="84"/>
      <c r="AA75" s="84"/>
      <c r="AB75" s="84"/>
      <c r="AC75" s="84"/>
      <c r="AD75" s="84"/>
      <c r="AE75" s="84"/>
      <c r="AG75" s="82" t="str">
        <f t="shared" si="18"/>
        <v xml:space="preserve">    { 73, 77, 24, 85, wxString::FromUTF8("\x69"), Connection::ORTHO_BOTH, Connection::DIAG_BOTH, Connection::DIAG_BOTH, Connection::EMPTY }</v>
      </c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1"/>
    </row>
    <row r="76" spans="1:44" x14ac:dyDescent="0.4">
      <c r="A76" s="7" t="s">
        <v>16</v>
      </c>
      <c r="B76" s="6" t="str">
        <f t="shared" si="12"/>
        <v>j</v>
      </c>
      <c r="C76" s="71" cm="1">
        <f t="array" ref="C76">IF($M76&lt;&gt;"",INDEX($M:$M,MATCH(TRUE,EXACT(B76,$A:$A),0)),"")</f>
        <v>74</v>
      </c>
      <c r="D76" s="61">
        <v>8</v>
      </c>
      <c r="E76" s="71" cm="1">
        <f t="array" ref="E76">IF($M76&lt;&gt;"",INDEX($M:$M,MATCH(TRUE,EXACT(D76,$A:$A),0)),"")</f>
        <v>24</v>
      </c>
      <c r="F76" s="61" t="s">
        <v>25</v>
      </c>
      <c r="G76" s="71" cm="1">
        <f t="array" ref="G76">IF($M76&lt;&gt;"",INDEX($M:$M,MATCH(TRUE,EXACT(F76,$A:$A),0)),"")</f>
        <v>77</v>
      </c>
      <c r="H76" s="61" t="s">
        <v>17</v>
      </c>
      <c r="I76" s="75" cm="1">
        <f t="array" ref="I76">IF($M76&lt;&gt;"",INDEX($M:$M,MATCH(TRUE,EXACT(H76,$A:$A),0)),"")</f>
        <v>75</v>
      </c>
      <c r="J76" s="46"/>
      <c r="K76" s="56"/>
      <c r="L76" s="41" t="b">
        <f t="shared" si="13"/>
        <v>1</v>
      </c>
      <c r="M76" s="42">
        <f>IF(L76, MAX(M$2:M75)+1,"")</f>
        <v>74</v>
      </c>
      <c r="N76" s="46" t="str">
        <f t="shared" si="14"/>
        <v>j</v>
      </c>
      <c r="O76" s="8" t="str" cm="1">
        <f t="array" ref="O76">CharToUTF8(A76)</f>
        <v>\x6A</v>
      </c>
      <c r="Q76" s="41" t="str">
        <f>$Z$2</f>
        <v>EMPTY</v>
      </c>
      <c r="R76" s="47" t="str">
        <f>$Z$3</f>
        <v>DIAG_BOTH</v>
      </c>
      <c r="S76" s="47" t="str">
        <f>$Z$3</f>
        <v>DIAG_BOTH</v>
      </c>
      <c r="T76" s="44" t="str">
        <f>$Z$4</f>
        <v>ORTHO_BOTH</v>
      </c>
      <c r="V76" s="54" t="b">
        <f t="shared" si="15"/>
        <v>0</v>
      </c>
      <c r="W76" t="b">
        <f t="shared" si="16"/>
        <v>0</v>
      </c>
      <c r="X76" t="b">
        <f t="shared" si="17"/>
        <v>0</v>
      </c>
      <c r="Z76" s="84"/>
      <c r="AA76" s="84"/>
      <c r="AB76" s="84"/>
      <c r="AC76" s="84"/>
      <c r="AD76" s="84"/>
      <c r="AE76" s="84"/>
      <c r="AG76" s="82" t="str">
        <f t="shared" si="18"/>
        <v xml:space="preserve">    { 74, 24, 77, 75, wxString::FromUTF8("\x6A"), Connection::EMPTY, Connection::DIAG_BOTH, Connection::DIAG_BOTH, Connection::ORTHO_BOTH }</v>
      </c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1"/>
    </row>
    <row r="77" spans="1:44" x14ac:dyDescent="0.4">
      <c r="A77" s="7" t="s">
        <v>17</v>
      </c>
      <c r="B77" s="6" t="str">
        <f t="shared" si="12"/>
        <v>k</v>
      </c>
      <c r="C77" s="71" cm="1">
        <f t="array" ref="C77">IF($M77&lt;&gt;"",INDEX($M:$M,MATCH(TRUE,EXACT(B77,$A:$A),0)),"")</f>
        <v>75</v>
      </c>
      <c r="D77" s="61" t="s">
        <v>7</v>
      </c>
      <c r="E77" s="71" cm="1">
        <f t="array" ref="E77">IF($M77&lt;&gt;"",INDEX($M:$M,MATCH(TRUE,EXACT(D77,$A:$A),0)),"")</f>
        <v>73</v>
      </c>
      <c r="F77" s="61" t="s">
        <v>64</v>
      </c>
      <c r="G77" s="71" cm="1">
        <f t="array" ref="G77">IF($M77&lt;&gt;"",INDEX($M:$M,MATCH(TRUE,EXACT(F77,$A:$A),0)),"")</f>
        <v>12</v>
      </c>
      <c r="H77" s="61" t="s">
        <v>16</v>
      </c>
      <c r="I77" s="75" cm="1">
        <f t="array" ref="I77">IF($M77&lt;&gt;"",INDEX($M:$M,MATCH(TRUE,EXACT(H77,$A:$A),0)),"")</f>
        <v>74</v>
      </c>
      <c r="J77" s="46"/>
      <c r="K77" s="56"/>
      <c r="L77" s="41" t="b">
        <f t="shared" si="13"/>
        <v>1</v>
      </c>
      <c r="M77" s="42">
        <f>IF(L77, MAX(M$2:M76)+1,"")</f>
        <v>75</v>
      </c>
      <c r="N77" s="46" t="str">
        <f t="shared" si="14"/>
        <v>k</v>
      </c>
      <c r="O77" s="8" t="str" cm="1">
        <f t="array" ref="O77">CharToUTF8(A77)</f>
        <v>\x6B</v>
      </c>
      <c r="Q77" s="41" t="str">
        <f>$Z$2</f>
        <v>EMPTY</v>
      </c>
      <c r="R77" s="47" t="str">
        <f>$Z$3</f>
        <v>DIAG_BOTH</v>
      </c>
      <c r="S77" s="47" t="str">
        <f>$Z$4</f>
        <v>ORTHO_BOTH</v>
      </c>
      <c r="T77" s="44" t="str">
        <f>$Z$3</f>
        <v>DIAG_BOTH</v>
      </c>
      <c r="V77" s="54" t="b">
        <f t="shared" si="15"/>
        <v>0</v>
      </c>
      <c r="W77" t="b">
        <f t="shared" si="16"/>
        <v>0</v>
      </c>
      <c r="X77" t="b">
        <f t="shared" si="17"/>
        <v>0</v>
      </c>
      <c r="Z77" s="84"/>
      <c r="AA77" s="84"/>
      <c r="AB77" s="84"/>
      <c r="AC77" s="84"/>
      <c r="AD77" s="84"/>
      <c r="AE77" s="84"/>
      <c r="AG77" s="82" t="str">
        <f t="shared" si="18"/>
        <v xml:space="preserve">    { 75, 73, 12, 74, wxString::FromUTF8("\x6B"), Connection::EMPTY, Connection::DIAG_BOTH, Connection::ORTHO_BOTH, Connection::DIAG_BOTH }</v>
      </c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1"/>
    </row>
    <row r="78" spans="1:44" x14ac:dyDescent="0.4">
      <c r="A78" s="7" t="s">
        <v>18</v>
      </c>
      <c r="B78" s="6" t="str">
        <f t="shared" si="12"/>
        <v>l</v>
      </c>
      <c r="C78" s="71" cm="1">
        <f t="array" ref="C78">IF($M78&lt;&gt;"",INDEX($M:$M,MATCH(TRUE,EXACT(B78,$A:$A),0)),"")</f>
        <v>76</v>
      </c>
      <c r="D78" s="61">
        <v>0</v>
      </c>
      <c r="E78" s="71" cm="1">
        <f t="array" ref="E78">IF($M78&lt;&gt;"",INDEX($M:$M,MATCH(TRUE,EXACT(D78,$A:$A),0)),"")</f>
        <v>16</v>
      </c>
      <c r="F78" s="61" t="s">
        <v>73</v>
      </c>
      <c r="G78" s="71" cm="1">
        <f t="array" ref="G78">IF($M78&lt;&gt;"",INDEX($M:$M,MATCH(TRUE,EXACT(F78,$A:$A),0)),"")</f>
        <v>14</v>
      </c>
      <c r="H78" s="61" t="s">
        <v>66</v>
      </c>
      <c r="I78" s="75" cm="1">
        <f t="array" ref="I78">IF($M78&lt;&gt;"",INDEX($M:$M,MATCH(TRUE,EXACT(H78,$A:$A),0)),"")</f>
        <v>27</v>
      </c>
      <c r="J78" s="46"/>
      <c r="K78" s="56"/>
      <c r="L78" s="41" t="b">
        <f t="shared" si="13"/>
        <v>1</v>
      </c>
      <c r="M78" s="42">
        <f>IF(L78, MAX(M$2:M77)+1,"")</f>
        <v>76</v>
      </c>
      <c r="N78" s="46" t="str">
        <f t="shared" si="14"/>
        <v>l</v>
      </c>
      <c r="O78" s="8" t="str" cm="1">
        <f t="array" ref="O78">CharToUTF8(A78)</f>
        <v>\x6C</v>
      </c>
      <c r="Q78" s="41" t="str">
        <f>$Z$2</f>
        <v>EMPTY</v>
      </c>
      <c r="R78" s="47" t="str">
        <f>$Z$3</f>
        <v>DIAG_BOTH</v>
      </c>
      <c r="S78" s="47" t="str">
        <f>$Z$2</f>
        <v>EMPTY</v>
      </c>
      <c r="T78" s="44" t="str">
        <f>$Z$4</f>
        <v>ORTHO_BOTH</v>
      </c>
      <c r="V78" s="54" t="b">
        <f t="shared" si="15"/>
        <v>0</v>
      </c>
      <c r="W78" t="b">
        <f t="shared" si="16"/>
        <v>0</v>
      </c>
      <c r="X78" t="b">
        <f t="shared" si="17"/>
        <v>0</v>
      </c>
      <c r="Z78" s="84"/>
      <c r="AA78" s="84"/>
      <c r="AB78" s="84"/>
      <c r="AC78" s="84"/>
      <c r="AD78" s="84"/>
      <c r="AE78" s="84"/>
      <c r="AG78" s="82" t="str">
        <f t="shared" si="18"/>
        <v xml:space="preserve">    { 76, 16, 14, 27, wxString::FromUTF8("\x6C"), Connection::EMPTY, Connection::DIAG_BOTH, Connection::EMPTY, Connection::ORTHO_BOTH }</v>
      </c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1"/>
    </row>
    <row r="79" spans="1:44" x14ac:dyDescent="0.4">
      <c r="A79" s="7" t="s">
        <v>25</v>
      </c>
      <c r="B79" s="6" t="str">
        <f t="shared" si="12"/>
        <v>m</v>
      </c>
      <c r="C79" s="71" cm="1">
        <f t="array" ref="C79">IF($M79&lt;&gt;"",INDEX($M:$M,MATCH(TRUE,EXACT(B79,$A:$A),0)),"")</f>
        <v>77</v>
      </c>
      <c r="D79" s="61">
        <v>7</v>
      </c>
      <c r="E79" s="71" cm="1">
        <f t="array" ref="E79">IF($M79&lt;&gt;"",INDEX($M:$M,MATCH(TRUE,EXACT(D79,$A:$A),0)),"")</f>
        <v>23</v>
      </c>
      <c r="F79" s="61" t="s">
        <v>16</v>
      </c>
      <c r="G79" s="71" cm="1">
        <f t="array" ref="G79">IF($M79&lt;&gt;"",INDEX($M:$M,MATCH(TRUE,EXACT(F79,$A:$A),0)),"")</f>
        <v>74</v>
      </c>
      <c r="H79" s="61" t="s">
        <v>64</v>
      </c>
      <c r="I79" s="75" cm="1">
        <f t="array" ref="I79">IF($M79&lt;&gt;"",INDEX($M:$M,MATCH(TRUE,EXACT(H79,$A:$A),0)),"")</f>
        <v>12</v>
      </c>
      <c r="J79" s="46"/>
      <c r="K79" s="56"/>
      <c r="L79" s="41" t="b">
        <f t="shared" si="13"/>
        <v>1</v>
      </c>
      <c r="M79" s="42">
        <f>IF(L79, MAX(M$2:M78)+1,"")</f>
        <v>77</v>
      </c>
      <c r="N79" s="46" t="str">
        <f t="shared" si="14"/>
        <v>m</v>
      </c>
      <c r="O79" s="8" t="str" cm="1">
        <f t="array" ref="O79">CharToUTF8(A79)</f>
        <v>\x6D</v>
      </c>
      <c r="Q79" s="41" t="str">
        <f>$Z$3</f>
        <v>DIAG_BOTH</v>
      </c>
      <c r="R79" s="47" t="str">
        <f>$Z$2</f>
        <v>EMPTY</v>
      </c>
      <c r="S79" s="47" t="str">
        <f>$Z$3</f>
        <v>DIAG_BOTH</v>
      </c>
      <c r="T79" s="44" t="str">
        <f>$Z$4</f>
        <v>ORTHO_BOTH</v>
      </c>
      <c r="V79" s="54" t="b">
        <f t="shared" si="15"/>
        <v>0</v>
      </c>
      <c r="W79" t="b">
        <f t="shared" si="16"/>
        <v>0</v>
      </c>
      <c r="X79" t="b">
        <f t="shared" si="17"/>
        <v>0</v>
      </c>
      <c r="Z79" s="84"/>
      <c r="AA79" s="84"/>
      <c r="AB79" s="84"/>
      <c r="AC79" s="84"/>
      <c r="AD79" s="84"/>
      <c r="AE79" s="84"/>
      <c r="AG79" s="82" t="str">
        <f t="shared" si="18"/>
        <v xml:space="preserve">    { 77, 23, 74, 12, wxString::FromUTF8("\x6D"), Connection::DIAG_BOTH, Connection::EMPTY, Connection::DIAG_BOTH, Connection::ORTHO_BOTH }</v>
      </c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1"/>
    </row>
    <row r="80" spans="1:44" x14ac:dyDescent="0.4">
      <c r="A80" s="7" t="s">
        <v>24</v>
      </c>
      <c r="B80" s="6" t="str">
        <f t="shared" si="12"/>
        <v>n</v>
      </c>
      <c r="C80" s="71" cm="1">
        <f t="array" ref="C80">IF($M80&lt;&gt;"",INDEX($M:$M,MATCH(TRUE,EXACT(B80,$A:$A),0)),"")</f>
        <v>78</v>
      </c>
      <c r="D80" s="61" t="s">
        <v>5</v>
      </c>
      <c r="E80" s="71" cm="1">
        <f t="array" ref="E80">IF($M80&lt;&gt;"",INDEX($M:$M,MATCH(TRUE,EXACT(D80,$A:$A),0)),"")</f>
        <v>89</v>
      </c>
      <c r="F80" s="61" t="s">
        <v>24</v>
      </c>
      <c r="G80" s="71" cm="1">
        <f t="array" ref="G80">IF($M80&lt;&gt;"",INDEX($M:$M,MATCH(TRUE,EXACT(F80,$A:$A),0)),"")</f>
        <v>78</v>
      </c>
      <c r="H80" s="61" t="s">
        <v>23</v>
      </c>
      <c r="I80" s="75" cm="1">
        <f t="array" ref="I80">IF($M80&lt;&gt;"",INDEX($M:$M,MATCH(TRUE,EXACT(H80,$A:$A),0)),"")</f>
        <v>66</v>
      </c>
      <c r="J80" s="46"/>
      <c r="K80" s="56"/>
      <c r="L80" s="41" t="b">
        <f t="shared" si="13"/>
        <v>1</v>
      </c>
      <c r="M80" s="42">
        <f>IF(L80, MAX(M$2:M79)+1,"")</f>
        <v>78</v>
      </c>
      <c r="N80" s="46" t="str">
        <f t="shared" si="14"/>
        <v>n</v>
      </c>
      <c r="O80" s="8" t="str" cm="1">
        <f t="array" ref="O80">CharToUTF8(A80)</f>
        <v>\x6E</v>
      </c>
      <c r="Q80" s="41" t="str">
        <f>$Z$3</f>
        <v>DIAG_BOTH</v>
      </c>
      <c r="R80" s="47" t="str">
        <f>$Z$3</f>
        <v>DIAG_BOTH</v>
      </c>
      <c r="S80" s="47" t="str">
        <f>$Z$4</f>
        <v>ORTHO_BOTH</v>
      </c>
      <c r="T80" s="44" t="str">
        <f>$Z$2</f>
        <v>EMPTY</v>
      </c>
      <c r="V80" s="54" t="b">
        <f t="shared" si="15"/>
        <v>0</v>
      </c>
      <c r="W80" t="b">
        <f t="shared" si="16"/>
        <v>1</v>
      </c>
      <c r="X80" t="b">
        <f t="shared" si="17"/>
        <v>0</v>
      </c>
      <c r="Z80" s="84"/>
      <c r="AA80" s="84"/>
      <c r="AB80" s="84"/>
      <c r="AC80" s="84"/>
      <c r="AD80" s="84"/>
      <c r="AE80" s="84"/>
      <c r="AG80" s="82" t="str">
        <f t="shared" si="18"/>
        <v xml:space="preserve">    { 78, 89, 78, 66, wxString::FromUTF8("\x6E"), Connection::DIAG_BOTH, Connection::DIAG_BOTH, Connection::ORTHO_BOTH, Connection::EMPTY }</v>
      </c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1"/>
    </row>
    <row r="81" spans="1:44" x14ac:dyDescent="0.4">
      <c r="A81" s="7" t="s">
        <v>8</v>
      </c>
      <c r="B81" s="6" t="str">
        <f t="shared" si="12"/>
        <v>o</v>
      </c>
      <c r="C81" s="71" cm="1">
        <f t="array" ref="C81">IF($M81&lt;&gt;"",INDEX($M:$M,MATCH(TRUE,EXACT(B81,$A:$A),0)),"")</f>
        <v>79</v>
      </c>
      <c r="D81" s="61" t="s">
        <v>18</v>
      </c>
      <c r="E81" s="71" cm="1">
        <f t="array" ref="E81">IF($M81&lt;&gt;"",INDEX($M:$M,MATCH(TRUE,EXACT(D81,$A:$A),0)),"")</f>
        <v>76</v>
      </c>
      <c r="F81" s="61">
        <v>9</v>
      </c>
      <c r="G81" s="71" cm="1">
        <f t="array" ref="G81">IF($M81&lt;&gt;"",INDEX($M:$M,MATCH(TRUE,EXACT(F81,$A:$A),0)),"")</f>
        <v>25</v>
      </c>
      <c r="H81" s="61" t="s">
        <v>9</v>
      </c>
      <c r="I81" s="75" cm="1">
        <f t="array" ref="I81">IF($M81&lt;&gt;"",INDEX($M:$M,MATCH(TRUE,EXACT(H81,$A:$A),0)),"")</f>
        <v>80</v>
      </c>
      <c r="J81" s="46"/>
      <c r="K81" s="56"/>
      <c r="L81" s="41" t="b">
        <f t="shared" si="13"/>
        <v>1</v>
      </c>
      <c r="M81" s="42">
        <f>IF(L81, MAX(M$2:M80)+1,"")</f>
        <v>79</v>
      </c>
      <c r="N81" s="46" t="str">
        <f t="shared" si="14"/>
        <v>o</v>
      </c>
      <c r="O81" s="8" t="str" cm="1">
        <f t="array" ref="O81">CharToUTF8(A81)</f>
        <v>\x6F</v>
      </c>
      <c r="Q81" s="41" t="str">
        <f>$Z$4</f>
        <v>ORTHO_BOTH</v>
      </c>
      <c r="R81" s="47" t="str">
        <f>$Z$2</f>
        <v>EMPTY</v>
      </c>
      <c r="S81" s="47" t="str">
        <f>$Z$2</f>
        <v>EMPTY</v>
      </c>
      <c r="T81" s="44" t="str">
        <f>$Z$3</f>
        <v>DIAG_BOTH</v>
      </c>
      <c r="V81" s="54" t="b">
        <f t="shared" si="15"/>
        <v>0</v>
      </c>
      <c r="W81" t="b">
        <f t="shared" si="16"/>
        <v>0</v>
      </c>
      <c r="X81" t="b">
        <f t="shared" si="17"/>
        <v>0</v>
      </c>
      <c r="Z81" s="84"/>
      <c r="AA81" s="84"/>
      <c r="AB81" s="84"/>
      <c r="AC81" s="84"/>
      <c r="AD81" s="84"/>
      <c r="AE81" s="84"/>
      <c r="AG81" s="82" t="str">
        <f t="shared" si="18"/>
        <v xml:space="preserve">    { 79, 76, 25, 80, wxString::FromUTF8("\x6F"), Connection::ORTHO_BOTH, Connection::EMPTY, Connection::EMPTY, Connection::DIAG_BOTH }</v>
      </c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1"/>
    </row>
    <row r="82" spans="1:44" x14ac:dyDescent="0.4">
      <c r="A82" s="7" t="s">
        <v>9</v>
      </c>
      <c r="B82" s="6" t="str">
        <f t="shared" si="12"/>
        <v>p</v>
      </c>
      <c r="C82" s="71" cm="1">
        <f t="array" ref="C82">IF($M82&lt;&gt;"",INDEX($M:$M,MATCH(TRUE,EXACT(B82,$A:$A),0)),"")</f>
        <v>80</v>
      </c>
      <c r="D82" s="61" t="s">
        <v>73</v>
      </c>
      <c r="E82" s="71" cm="1">
        <f t="array" ref="E82">IF($M82&lt;&gt;"",INDEX($M:$M,MATCH(TRUE,EXACT(D82,$A:$A),0)),"")</f>
        <v>14</v>
      </c>
      <c r="F82" s="61">
        <v>0</v>
      </c>
      <c r="G82" s="71" cm="1">
        <f t="array" ref="G82">IF($M82&lt;&gt;"",INDEX($M:$M,MATCH(TRUE,EXACT(F82,$A:$A),0)),"")</f>
        <v>16</v>
      </c>
      <c r="H82" s="61" t="s">
        <v>8</v>
      </c>
      <c r="I82" s="75" cm="1">
        <f t="array" ref="I82">IF($M82&lt;&gt;"",INDEX($M:$M,MATCH(TRUE,EXACT(H82,$A:$A),0)),"")</f>
        <v>79</v>
      </c>
      <c r="J82" s="46"/>
      <c r="K82" s="56"/>
      <c r="L82" s="41" t="b">
        <f t="shared" si="13"/>
        <v>1</v>
      </c>
      <c r="M82" s="42">
        <f>IF(L82, MAX(M$2:M81)+1,"")</f>
        <v>80</v>
      </c>
      <c r="N82" s="46" t="str">
        <f t="shared" si="14"/>
        <v>p</v>
      </c>
      <c r="O82" s="8" t="str" cm="1">
        <f t="array" ref="O82">CharToUTF8(A82)</f>
        <v>\x70</v>
      </c>
      <c r="Q82" s="41" t="str">
        <f>$Z$4</f>
        <v>ORTHO_BOTH</v>
      </c>
      <c r="R82" s="47" t="str">
        <f>$Z$2</f>
        <v>EMPTY</v>
      </c>
      <c r="S82" s="47" t="str">
        <f>$Z$3</f>
        <v>DIAG_BOTH</v>
      </c>
      <c r="T82" s="44" t="str">
        <f>$Z$2</f>
        <v>EMPTY</v>
      </c>
      <c r="V82" s="54" t="b">
        <f t="shared" si="15"/>
        <v>0</v>
      </c>
      <c r="W82" t="b">
        <f t="shared" si="16"/>
        <v>0</v>
      </c>
      <c r="X82" t="b">
        <f t="shared" si="17"/>
        <v>0</v>
      </c>
      <c r="Z82" s="84"/>
      <c r="AA82" s="84"/>
      <c r="AB82" s="84"/>
      <c r="AC82" s="84"/>
      <c r="AD82" s="84"/>
      <c r="AE82" s="84"/>
      <c r="AG82" s="82" t="str">
        <f t="shared" si="18"/>
        <v xml:space="preserve">    { 80, 14, 16, 79, wxString::FromUTF8("\x70"), Connection::ORTHO_BOTH, Connection::EMPTY, Connection::DIAG_BOTH, Connection::EMPTY }</v>
      </c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1"/>
    </row>
    <row r="83" spans="1:44" x14ac:dyDescent="0.4">
      <c r="A83" s="7" t="s">
        <v>0</v>
      </c>
      <c r="B83" s="6" t="str">
        <f t="shared" si="12"/>
        <v>q</v>
      </c>
      <c r="C83" s="71" cm="1">
        <f t="array" ref="C83">IF($M83&lt;&gt;"",INDEX($M:$M,MATCH(TRUE,EXACT(B83,$A:$A),0)),"")</f>
        <v>81</v>
      </c>
      <c r="D83" s="61" t="s">
        <v>2</v>
      </c>
      <c r="E83" s="71" cm="1">
        <f t="array" ref="E83">IF($M83&lt;&gt;"",INDEX($M:$M,MATCH(TRUE,EXACT(D83,$A:$A),0)),"")</f>
        <v>69</v>
      </c>
      <c r="F83" s="61" t="s">
        <v>19</v>
      </c>
      <c r="G83" s="71" cm="1">
        <f t="array" ref="G83">IF($M83&lt;&gt;"",INDEX($M:$M,MATCH(TRUE,EXACT(F83,$A:$A),0)),"")</f>
        <v>90</v>
      </c>
      <c r="H83" s="61" t="s">
        <v>2</v>
      </c>
      <c r="I83" s="75" cm="1">
        <f t="array" ref="I83">IF($M83&lt;&gt;"",INDEX($M:$M,MATCH(TRUE,EXACT(H83,$A:$A),0)),"")</f>
        <v>69</v>
      </c>
      <c r="J83" s="46"/>
      <c r="K83" s="56"/>
      <c r="L83" s="41" t="b">
        <f t="shared" si="13"/>
        <v>1</v>
      </c>
      <c r="M83" s="42">
        <f>IF(L83, MAX(M$2:M82)+1,"")</f>
        <v>81</v>
      </c>
      <c r="N83" s="46" t="str">
        <f t="shared" si="14"/>
        <v>q</v>
      </c>
      <c r="O83" s="8" t="str" cm="1">
        <f t="array" ref="O83">CharToUTF8(A83)</f>
        <v>\x71</v>
      </c>
      <c r="Q83" s="41" t="str">
        <f>$Z$2</f>
        <v>EMPTY</v>
      </c>
      <c r="R83" s="47" t="str">
        <f>$Z$3</f>
        <v>DIAG_BOTH</v>
      </c>
      <c r="S83" s="47" t="str">
        <f>$Z$2</f>
        <v>EMPTY</v>
      </c>
      <c r="T83" s="44" t="str">
        <f>$Z$3</f>
        <v>DIAG_BOTH</v>
      </c>
      <c r="V83" s="54" t="b">
        <f t="shared" si="15"/>
        <v>0</v>
      </c>
      <c r="W83" t="b">
        <f t="shared" si="16"/>
        <v>0</v>
      </c>
      <c r="X83" t="b">
        <f t="shared" si="17"/>
        <v>0</v>
      </c>
      <c r="Z83" s="84"/>
      <c r="AA83" s="84"/>
      <c r="AB83" s="84"/>
      <c r="AC83" s="84"/>
      <c r="AD83" s="84"/>
      <c r="AE83" s="84"/>
      <c r="AG83" s="82" t="str">
        <f t="shared" si="18"/>
        <v xml:space="preserve">    { 81, 69, 90, 69, wxString::FromUTF8("\x71"), Connection::EMPTY, Connection::DIAG_BOTH, Connection::EMPTY, Connection::DIAG_BOTH }</v>
      </c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1"/>
    </row>
    <row r="84" spans="1:44" x14ac:dyDescent="0.4">
      <c r="A84" s="7" t="s">
        <v>3</v>
      </c>
      <c r="B84" s="6" t="str">
        <f t="shared" si="12"/>
        <v>r</v>
      </c>
      <c r="C84" s="71" cm="1">
        <f t="array" ref="C84">IF($M84&lt;&gt;"",INDEX($M:$M,MATCH(TRUE,EXACT(B84,$A:$A),0)),"")</f>
        <v>82</v>
      </c>
      <c r="D84" s="61" t="s">
        <v>13</v>
      </c>
      <c r="E84" s="71" cm="1">
        <f t="array" ref="E84">IF($M84&lt;&gt;"",INDEX($M:$M,MATCH(TRUE,EXACT(D84,$A:$A),0)),"")</f>
        <v>70</v>
      </c>
      <c r="F84" s="61">
        <v>4</v>
      </c>
      <c r="G84" s="71" cm="1">
        <f t="array" ref="G84">IF($M84&lt;&gt;"",INDEX($M:$M,MATCH(TRUE,EXACT(F84,$A:$A),0)),"")</f>
        <v>20</v>
      </c>
      <c r="H84" s="61" t="s">
        <v>3</v>
      </c>
      <c r="I84" s="75" cm="1">
        <f t="array" ref="I84">IF($M84&lt;&gt;"",INDEX($M:$M,MATCH(TRUE,EXACT(H84,$A:$A),0)),"")</f>
        <v>82</v>
      </c>
      <c r="J84" s="46"/>
      <c r="K84" s="56"/>
      <c r="L84" s="41" t="b">
        <f t="shared" si="13"/>
        <v>1</v>
      </c>
      <c r="M84" s="42">
        <f>IF(L84, MAX(M$2:M83)+1,"")</f>
        <v>82</v>
      </c>
      <c r="N84" s="46" t="str">
        <f t="shared" si="14"/>
        <v>r</v>
      </c>
      <c r="O84" s="8" t="str" cm="1">
        <f t="array" ref="O84">CharToUTF8(A84)</f>
        <v>\x72</v>
      </c>
      <c r="Q84" s="41" t="str">
        <f>$Z$3</f>
        <v>DIAG_BOTH</v>
      </c>
      <c r="R84" s="47" t="str">
        <f>$Z$2</f>
        <v>EMPTY</v>
      </c>
      <c r="S84" s="47" t="str">
        <f>$Z$2</f>
        <v>EMPTY</v>
      </c>
      <c r="T84" s="44" t="str">
        <f>$Z$2</f>
        <v>EMPTY</v>
      </c>
      <c r="V84" s="54" t="b">
        <f t="shared" si="15"/>
        <v>0</v>
      </c>
      <c r="W84" t="b">
        <f t="shared" si="16"/>
        <v>0</v>
      </c>
      <c r="X84" t="b">
        <f t="shared" si="17"/>
        <v>1</v>
      </c>
      <c r="Z84" s="84"/>
      <c r="AA84" s="84"/>
      <c r="AB84" s="84"/>
      <c r="AC84" s="84"/>
      <c r="AD84" s="84"/>
      <c r="AE84" s="84"/>
      <c r="AG84" s="82" t="str">
        <f t="shared" si="18"/>
        <v xml:space="preserve">    { 82, 70, 20, 82, wxString::FromUTF8("\x72"), Connection::DIAG_BOTH, Connection::EMPTY, Connection::EMPTY, Connection::EMPTY }</v>
      </c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1"/>
    </row>
    <row r="85" spans="1:44" x14ac:dyDescent="0.4">
      <c r="A85" s="7" t="s">
        <v>11</v>
      </c>
      <c r="B85" s="6" t="str">
        <f t="shared" si="12"/>
        <v>s</v>
      </c>
      <c r="C85" s="71" cm="1">
        <f t="array" ref="C85">IF($M85&lt;&gt;"",INDEX($M:$M,MATCH(TRUE,EXACT(B85,$A:$A),0)),"")</f>
        <v>83</v>
      </c>
      <c r="D85" s="61" t="s">
        <v>11</v>
      </c>
      <c r="E85" s="71" cm="1">
        <f t="array" ref="E85">IF($M85&lt;&gt;"",INDEX($M:$M,MATCH(TRUE,EXACT(D85,$A:$A),0)),"")</f>
        <v>83</v>
      </c>
      <c r="F85" s="61" t="s">
        <v>11</v>
      </c>
      <c r="G85" s="71" cm="1">
        <f t="array" ref="G85">IF($M85&lt;&gt;"",INDEX($M:$M,MATCH(TRUE,EXACT(F85,$A:$A),0)),"")</f>
        <v>83</v>
      </c>
      <c r="H85" s="61" t="s">
        <v>11</v>
      </c>
      <c r="I85" s="75" cm="1">
        <f t="array" ref="I85">IF($M85&lt;&gt;"",INDEX($M:$M,MATCH(TRUE,EXACT(H85,$A:$A),0)),"")</f>
        <v>83</v>
      </c>
      <c r="J85" s="46"/>
      <c r="K85" s="56"/>
      <c r="L85" s="41" t="b">
        <f t="shared" si="13"/>
        <v>1</v>
      </c>
      <c r="M85" s="42">
        <f>IF(L85, MAX(M$2:M84)+1,"")</f>
        <v>83</v>
      </c>
      <c r="N85" s="46" t="str">
        <f t="shared" si="14"/>
        <v>s</v>
      </c>
      <c r="O85" s="8" t="str" cm="1">
        <f t="array" ref="O85">CharToUTF8(A85)</f>
        <v>\x73</v>
      </c>
      <c r="Q85" s="41" t="str">
        <f>$Z$3</f>
        <v>DIAG_BOTH</v>
      </c>
      <c r="R85" s="47" t="str">
        <f t="shared" ref="R85:T86" si="19">$Z$3</f>
        <v>DIAG_BOTH</v>
      </c>
      <c r="S85" s="47" t="str">
        <f t="shared" si="19"/>
        <v>DIAG_BOTH</v>
      </c>
      <c r="T85" s="44" t="str">
        <f t="shared" si="19"/>
        <v>DIAG_BOTH</v>
      </c>
      <c r="V85" s="54" t="b">
        <f t="shared" si="15"/>
        <v>1</v>
      </c>
      <c r="W85" t="b">
        <f t="shared" si="16"/>
        <v>1</v>
      </c>
      <c r="X85" t="b">
        <f t="shared" si="17"/>
        <v>1</v>
      </c>
      <c r="Z85" s="84"/>
      <c r="AA85" s="84"/>
      <c r="AB85" s="84"/>
      <c r="AC85" s="84"/>
      <c r="AD85" s="84"/>
      <c r="AE85" s="84"/>
      <c r="AG85" s="82" t="str">
        <f t="shared" si="18"/>
        <v xml:space="preserve">    { 83, 83, 83, 83, wxString::FromUTF8("\x73"), Connection::DIAG_BOTH, Connection::DIAG_BOTH, Connection::DIAG_BOTH, Connection::DIAG_BOTH }</v>
      </c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1"/>
    </row>
    <row r="86" spans="1:44" x14ac:dyDescent="0.4">
      <c r="A86" s="7" t="s">
        <v>4</v>
      </c>
      <c r="B86" s="6" t="str">
        <f t="shared" si="12"/>
        <v>t</v>
      </c>
      <c r="C86" s="71" cm="1">
        <f t="array" ref="C86">IF($M86&lt;&gt;"",INDEX($M:$M,MATCH(TRUE,EXACT(B86,$A:$A),0)),"")</f>
        <v>84</v>
      </c>
      <c r="D86" s="61" t="s">
        <v>14</v>
      </c>
      <c r="E86" s="71" cm="1">
        <f t="array" ref="E86">IF($M86&lt;&gt;"",INDEX($M:$M,MATCH(TRUE,EXACT(D86,$A:$A),0)),"")</f>
        <v>71</v>
      </c>
      <c r="F86" s="61">
        <v>5</v>
      </c>
      <c r="G86" s="71" cm="1">
        <f t="array" ref="G86">IF($M86&lt;&gt;"",INDEX($M:$M,MATCH(TRUE,EXACT(F86,$A:$A),0)),"")</f>
        <v>21</v>
      </c>
      <c r="H86" s="61" t="s">
        <v>4</v>
      </c>
      <c r="I86" s="75" cm="1">
        <f t="array" ref="I86">IF($M86&lt;&gt;"",INDEX($M:$M,MATCH(TRUE,EXACT(H86,$A:$A),0)),"")</f>
        <v>84</v>
      </c>
      <c r="J86" s="46"/>
      <c r="K86" s="56"/>
      <c r="L86" s="41" t="b">
        <f t="shared" si="13"/>
        <v>1</v>
      </c>
      <c r="M86" s="42">
        <f>IF(L86, MAX(M$2:M85)+1,"")</f>
        <v>84</v>
      </c>
      <c r="N86" s="46" t="str">
        <f t="shared" si="14"/>
        <v>t</v>
      </c>
      <c r="O86" s="8" t="str" cm="1">
        <f t="array" ref="O86">CharToUTF8(A86)</f>
        <v>\x74</v>
      </c>
      <c r="Q86" s="41" t="str">
        <f>$Z$4</f>
        <v>ORTHO_BOTH</v>
      </c>
      <c r="R86" s="47" t="str">
        <f t="shared" si="19"/>
        <v>DIAG_BOTH</v>
      </c>
      <c r="S86" s="47" t="str">
        <f t="shared" si="19"/>
        <v>DIAG_BOTH</v>
      </c>
      <c r="T86" s="44" t="str">
        <f t="shared" si="19"/>
        <v>DIAG_BOTH</v>
      </c>
      <c r="V86" s="54" t="b">
        <f t="shared" si="15"/>
        <v>0</v>
      </c>
      <c r="W86" t="b">
        <f t="shared" si="16"/>
        <v>0</v>
      </c>
      <c r="X86" t="b">
        <f t="shared" si="17"/>
        <v>1</v>
      </c>
      <c r="AG86" s="82" t="str">
        <f t="shared" si="18"/>
        <v xml:space="preserve">    { 84, 71, 21, 84, wxString::FromUTF8("\x74"), Connection::ORTHO_BOTH, Connection::DIAG_BOTH, Connection::DIAG_BOTH, Connection::DIAG_BOTH }</v>
      </c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1"/>
    </row>
    <row r="87" spans="1:44" x14ac:dyDescent="0.4">
      <c r="A87" s="7" t="s">
        <v>6</v>
      </c>
      <c r="B87" s="6" t="str">
        <f t="shared" si="12"/>
        <v>u</v>
      </c>
      <c r="C87" s="71" cm="1">
        <f t="array" ref="C87">IF($M87&lt;&gt;"",INDEX($M:$M,MATCH(TRUE,EXACT(B87,$A:$A),0)),"")</f>
        <v>85</v>
      </c>
      <c r="D87" s="61" t="s">
        <v>16</v>
      </c>
      <c r="E87" s="71" cm="1">
        <f t="array" ref="E87">IF($M87&lt;&gt;"",INDEX($M:$M,MATCH(TRUE,EXACT(D87,$A:$A),0)),"")</f>
        <v>74</v>
      </c>
      <c r="F87" s="61">
        <v>7</v>
      </c>
      <c r="G87" s="71" cm="1">
        <f t="array" ref="G87">IF($M87&lt;&gt;"",INDEX($M:$M,MATCH(TRUE,EXACT(F87,$A:$A),0)),"")</f>
        <v>23</v>
      </c>
      <c r="H87" s="61" t="s">
        <v>7</v>
      </c>
      <c r="I87" s="75" cm="1">
        <f t="array" ref="I87">IF($M87&lt;&gt;"",INDEX($M:$M,MATCH(TRUE,EXACT(H87,$A:$A),0)),"")</f>
        <v>73</v>
      </c>
      <c r="J87" s="46"/>
      <c r="K87" s="56"/>
      <c r="L87" s="41" t="b">
        <f t="shared" si="13"/>
        <v>1</v>
      </c>
      <c r="M87" s="42">
        <f>IF(L87, MAX(M$2:M86)+1,"")</f>
        <v>85</v>
      </c>
      <c r="N87" s="46" t="str">
        <f t="shared" si="14"/>
        <v>u</v>
      </c>
      <c r="O87" s="8" t="str" cm="1">
        <f t="array" ref="O87">CharToUTF8(A87)</f>
        <v>\x75</v>
      </c>
      <c r="Q87" s="41" t="str">
        <f>$Z$4</f>
        <v>ORTHO_BOTH</v>
      </c>
      <c r="R87" s="47" t="str">
        <f>$Z$3</f>
        <v>DIAG_BOTH</v>
      </c>
      <c r="S87" s="47" t="str">
        <f>$Z$2</f>
        <v>EMPTY</v>
      </c>
      <c r="T87" s="44" t="str">
        <f>$Z$3</f>
        <v>DIAG_BOTH</v>
      </c>
      <c r="V87" s="54" t="b">
        <f t="shared" si="15"/>
        <v>0</v>
      </c>
      <c r="W87" t="b">
        <f t="shared" si="16"/>
        <v>0</v>
      </c>
      <c r="X87" t="b">
        <f t="shared" si="17"/>
        <v>0</v>
      </c>
      <c r="AG87" s="82" t="str">
        <f t="shared" si="18"/>
        <v xml:space="preserve">    { 85, 74, 23, 73, wxString::FromUTF8("\x75"), Connection::ORTHO_BOTH, Connection::DIAG_BOTH, Connection::EMPTY, Connection::DIAG_BOTH }</v>
      </c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1"/>
    </row>
    <row r="88" spans="1:44" x14ac:dyDescent="0.4">
      <c r="A88" s="7" t="s">
        <v>22</v>
      </c>
      <c r="B88" s="6" t="str">
        <f t="shared" si="12"/>
        <v>v</v>
      </c>
      <c r="C88" s="71" cm="1">
        <f t="array" ref="C88">IF($M88&lt;&gt;"",INDEX($M:$M,MATCH(TRUE,EXACT(B88,$A:$A),0)),"")</f>
        <v>86</v>
      </c>
      <c r="D88" s="61" t="s">
        <v>3</v>
      </c>
      <c r="E88" s="71" cm="1">
        <f t="array" ref="E88">IF($M88&lt;&gt;"",INDEX($M:$M,MATCH(TRUE,EXACT(D88,$A:$A),0)),"")</f>
        <v>82</v>
      </c>
      <c r="F88" s="61" t="s">
        <v>22</v>
      </c>
      <c r="G88" s="71" cm="1">
        <f t="array" ref="G88">IF($M88&lt;&gt;"",INDEX($M:$M,MATCH(TRUE,EXACT(F88,$A:$A),0)),"")</f>
        <v>86</v>
      </c>
      <c r="H88" s="61" t="s">
        <v>13</v>
      </c>
      <c r="I88" s="75" cm="1">
        <f t="array" ref="I88">IF($M88&lt;&gt;"",INDEX($M:$M,MATCH(TRUE,EXACT(H88,$A:$A),0)),"")</f>
        <v>70</v>
      </c>
      <c r="J88" s="46"/>
      <c r="K88" s="56"/>
      <c r="L88" s="41" t="b">
        <f t="shared" si="13"/>
        <v>1</v>
      </c>
      <c r="M88" s="42">
        <f>IF(L88, MAX(M$2:M87)+1,"")</f>
        <v>86</v>
      </c>
      <c r="N88" s="46" t="str">
        <f t="shared" si="14"/>
        <v>v</v>
      </c>
      <c r="O88" s="8" t="str" cm="1">
        <f t="array" ref="O88">CharToUTF8(A88)</f>
        <v>\x76</v>
      </c>
      <c r="Q88" s="41" t="str">
        <f>$Z$2</f>
        <v>EMPTY</v>
      </c>
      <c r="R88" s="47" t="str">
        <f>$Z$2</f>
        <v>EMPTY</v>
      </c>
      <c r="S88" s="47" t="str">
        <f>$Z$3</f>
        <v>DIAG_BOTH</v>
      </c>
      <c r="T88" s="44" t="str">
        <f>$Z$2</f>
        <v>EMPTY</v>
      </c>
      <c r="V88" s="54" t="b">
        <f t="shared" si="15"/>
        <v>0</v>
      </c>
      <c r="W88" t="b">
        <f t="shared" si="16"/>
        <v>1</v>
      </c>
      <c r="X88" t="b">
        <f t="shared" si="17"/>
        <v>0</v>
      </c>
      <c r="AG88" s="82" t="str">
        <f t="shared" si="18"/>
        <v xml:space="preserve">    { 86, 82, 86, 70, wxString::FromUTF8("\x76"), Connection::EMPTY, Connection::EMPTY, Connection::DIAG_BOTH, Connection::EMPTY }</v>
      </c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1"/>
    </row>
    <row r="89" spans="1:44" x14ac:dyDescent="0.4">
      <c r="A89" s="7" t="s">
        <v>1</v>
      </c>
      <c r="B89" s="6" t="str">
        <f t="shared" si="12"/>
        <v>w</v>
      </c>
      <c r="C89" s="71" cm="1">
        <f t="array" ref="C89">IF($M89&lt;&gt;"",INDEX($M:$M,MATCH(TRUE,EXACT(B89,$A:$A),0)),"")</f>
        <v>87</v>
      </c>
      <c r="D89" s="61" t="s">
        <v>12</v>
      </c>
      <c r="E89" s="71" cm="1">
        <f t="array" ref="E89">IF($M89&lt;&gt;"",INDEX($M:$M,MATCH(TRUE,EXACT(D89,$A:$A),0)),"")</f>
        <v>68</v>
      </c>
      <c r="F89" s="61" t="s">
        <v>20</v>
      </c>
      <c r="G89" s="71" cm="1">
        <f t="array" ref="G89">IF($M89&lt;&gt;"",INDEX($M:$M,MATCH(TRUE,EXACT(F89,$A:$A),0)),"")</f>
        <v>88</v>
      </c>
      <c r="H89" s="61" t="s">
        <v>1</v>
      </c>
      <c r="I89" s="75" cm="1">
        <f t="array" ref="I89">IF($M89&lt;&gt;"",INDEX($M:$M,MATCH(TRUE,EXACT(H89,$A:$A),0)),"")</f>
        <v>87</v>
      </c>
      <c r="J89" s="46"/>
      <c r="K89" s="56"/>
      <c r="L89" s="41" t="b">
        <f t="shared" si="13"/>
        <v>1</v>
      </c>
      <c r="M89" s="42">
        <f>IF(L89, MAX(M$2:M88)+1,"")</f>
        <v>87</v>
      </c>
      <c r="N89" s="46" t="str">
        <f t="shared" si="14"/>
        <v>w</v>
      </c>
      <c r="O89" s="8" t="str" cm="1">
        <f t="array" ref="O89">CharToUTF8(A89)</f>
        <v>\x77</v>
      </c>
      <c r="Q89" s="41" t="str">
        <f>$Z$2</f>
        <v>EMPTY</v>
      </c>
      <c r="R89" s="47" t="str">
        <f>$Z$3</f>
        <v>DIAG_BOTH</v>
      </c>
      <c r="S89" s="47" t="str">
        <f>$Z$3</f>
        <v>DIAG_BOTH</v>
      </c>
      <c r="T89" s="44" t="str">
        <f>$Z$3</f>
        <v>DIAG_BOTH</v>
      </c>
      <c r="V89" s="54" t="b">
        <f t="shared" si="15"/>
        <v>0</v>
      </c>
      <c r="W89" t="b">
        <f t="shared" si="16"/>
        <v>0</v>
      </c>
      <c r="X89" t="b">
        <f t="shared" si="17"/>
        <v>1</v>
      </c>
      <c r="AG89" s="82" t="str">
        <f t="shared" si="18"/>
        <v xml:space="preserve">    { 87, 68, 88, 87, wxString::FromUTF8("\x77"), Connection::EMPTY, Connection::DIAG_BOTH, Connection::DIAG_BOTH, Connection::DIAG_BOTH }</v>
      </c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1"/>
    </row>
    <row r="90" spans="1:44" x14ac:dyDescent="0.4">
      <c r="A90" s="7" t="s">
        <v>20</v>
      </c>
      <c r="B90" s="6" t="str">
        <f t="shared" si="12"/>
        <v>x</v>
      </c>
      <c r="C90" s="71" cm="1">
        <f t="array" ref="C90">IF($M90&lt;&gt;"",INDEX($M:$M,MATCH(TRUE,EXACT(B90,$A:$A),0)),"")</f>
        <v>88</v>
      </c>
      <c r="D90" s="61" t="s">
        <v>10</v>
      </c>
      <c r="E90" s="71" cm="1">
        <f t="array" ref="E90">IF($M90&lt;&gt;"",INDEX($M:$M,MATCH(TRUE,EXACT(D90,$A:$A),0)),"")</f>
        <v>65</v>
      </c>
      <c r="F90" s="61" t="s">
        <v>1</v>
      </c>
      <c r="G90" s="71" cm="1">
        <f t="array" ref="G90">IF($M90&lt;&gt;"",INDEX($M:$M,MATCH(TRUE,EXACT(F90,$A:$A),0)),"")</f>
        <v>87</v>
      </c>
      <c r="H90" s="61" t="s">
        <v>20</v>
      </c>
      <c r="I90" s="75" cm="1">
        <f t="array" ref="I90">IF($M90&lt;&gt;"",INDEX($M:$M,MATCH(TRUE,EXACT(H90,$A:$A),0)),"")</f>
        <v>88</v>
      </c>
      <c r="J90" s="46"/>
      <c r="K90" s="56"/>
      <c r="L90" s="41" t="b">
        <f t="shared" si="13"/>
        <v>1</v>
      </c>
      <c r="M90" s="42">
        <f>IF(L90, MAX(M$2:M89)+1,"")</f>
        <v>88</v>
      </c>
      <c r="N90" s="46" t="str">
        <f t="shared" si="14"/>
        <v>x</v>
      </c>
      <c r="O90" s="8" t="str" cm="1">
        <f t="array" ref="O90">CharToUTF8(A90)</f>
        <v>\x78</v>
      </c>
      <c r="Q90" s="41" t="str">
        <f>$Z$3</f>
        <v>DIAG_BOTH</v>
      </c>
      <c r="R90" s="47" t="str">
        <f>$Z$2</f>
        <v>EMPTY</v>
      </c>
      <c r="S90" s="47" t="str">
        <f>$Z$3</f>
        <v>DIAG_BOTH</v>
      </c>
      <c r="T90" s="44" t="str">
        <f>$Z$3</f>
        <v>DIAG_BOTH</v>
      </c>
      <c r="V90" s="54" t="b">
        <f t="shared" si="15"/>
        <v>0</v>
      </c>
      <c r="W90" t="b">
        <f t="shared" si="16"/>
        <v>0</v>
      </c>
      <c r="X90" t="b">
        <f t="shared" si="17"/>
        <v>1</v>
      </c>
      <c r="AG90" s="82" t="str">
        <f t="shared" si="18"/>
        <v xml:space="preserve">    { 88, 65, 87, 88, wxString::FromUTF8("\x78"), Connection::DIAG_BOTH, Connection::EMPTY, Connection::DIAG_BOTH, Connection::DIAG_BOTH }</v>
      </c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1"/>
    </row>
    <row r="91" spans="1:44" x14ac:dyDescent="0.4">
      <c r="A91" s="7" t="s">
        <v>5</v>
      </c>
      <c r="B91" s="6" t="str">
        <f t="shared" si="12"/>
        <v>y</v>
      </c>
      <c r="C91" s="71" cm="1">
        <f t="array" ref="C91">IF($M91&lt;&gt;"",INDEX($M:$M,MATCH(TRUE,EXACT(B91,$A:$A),0)),"")</f>
        <v>89</v>
      </c>
      <c r="D91" s="61" t="s">
        <v>23</v>
      </c>
      <c r="E91" s="71" cm="1">
        <f t="array" ref="E91">IF($M91&lt;&gt;"",INDEX($M:$M,MATCH(TRUE,EXACT(D91,$A:$A),0)),"")</f>
        <v>66</v>
      </c>
      <c r="F91" s="61">
        <v>6</v>
      </c>
      <c r="G91" s="71" cm="1">
        <f t="array" ref="G91">IF($M91&lt;&gt;"",INDEX($M:$M,MATCH(TRUE,EXACT(F91,$A:$A),0)),"")</f>
        <v>22</v>
      </c>
      <c r="H91" s="61" t="s">
        <v>5</v>
      </c>
      <c r="I91" s="75" cm="1">
        <f t="array" ref="I91">IF($M91&lt;&gt;"",INDEX($M:$M,MATCH(TRUE,EXACT(H91,$A:$A),0)),"")</f>
        <v>89</v>
      </c>
      <c r="J91" s="46"/>
      <c r="K91" s="56"/>
      <c r="L91" s="41" t="b">
        <f t="shared" si="13"/>
        <v>1</v>
      </c>
      <c r="M91" s="42">
        <f>IF(L91, MAX(M$2:M90)+1,"")</f>
        <v>89</v>
      </c>
      <c r="N91" s="46" t="str">
        <f t="shared" si="14"/>
        <v>y</v>
      </c>
      <c r="O91" s="8" t="str" cm="1">
        <f t="array" ref="O91">CharToUTF8(A91)</f>
        <v>\x79</v>
      </c>
      <c r="Q91" s="41" t="str">
        <f>$Z$4</f>
        <v>ORTHO_BOTH</v>
      </c>
      <c r="R91" s="47" t="str">
        <f>$Z$2</f>
        <v>EMPTY</v>
      </c>
      <c r="S91" s="47" t="str">
        <f>$Z$3</f>
        <v>DIAG_BOTH</v>
      </c>
      <c r="T91" s="44" t="str">
        <f>$Z$3</f>
        <v>DIAG_BOTH</v>
      </c>
      <c r="V91" s="54" t="b">
        <f t="shared" si="15"/>
        <v>0</v>
      </c>
      <c r="W91" t="b">
        <f t="shared" si="16"/>
        <v>0</v>
      </c>
      <c r="X91" t="b">
        <f t="shared" si="17"/>
        <v>1</v>
      </c>
      <c r="AG91" s="82" t="str">
        <f t="shared" si="18"/>
        <v xml:space="preserve">    { 89, 66, 22, 89, wxString::FromUTF8("\x79"), Connection::ORTHO_BOTH, Connection::EMPTY, Connection::DIAG_BOTH, Connection::DIAG_BOTH }</v>
      </c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1"/>
    </row>
    <row r="92" spans="1:44" x14ac:dyDescent="0.4">
      <c r="A92" s="7" t="s">
        <v>19</v>
      </c>
      <c r="B92" s="6" t="str">
        <f t="shared" si="12"/>
        <v>z</v>
      </c>
      <c r="C92" s="71" cm="1">
        <f t="array" ref="C92">IF($M92&lt;&gt;"",INDEX($M:$M,MATCH(TRUE,EXACT(B92,$A:$A),0)),"")</f>
        <v>90</v>
      </c>
      <c r="D92" s="61" t="s">
        <v>0</v>
      </c>
      <c r="E92" s="71" cm="1">
        <f t="array" ref="E92">IF($M92&lt;&gt;"",INDEX($M:$M,MATCH(TRUE,EXACT(D92,$A:$A),0)),"")</f>
        <v>81</v>
      </c>
      <c r="F92" s="61" t="s">
        <v>0</v>
      </c>
      <c r="G92" s="71" cm="1">
        <f t="array" ref="G92">IF($M92&lt;&gt;"",INDEX($M:$M,MATCH(TRUE,EXACT(F92,$A:$A),0)),"")</f>
        <v>81</v>
      </c>
      <c r="H92" s="61" t="s">
        <v>21</v>
      </c>
      <c r="I92" s="75" cm="1">
        <f t="array" ref="I92">IF($M92&lt;&gt;"",INDEX($M:$M,MATCH(TRUE,EXACT(H92,$A:$A),0)),"")</f>
        <v>67</v>
      </c>
      <c r="J92" s="46"/>
      <c r="K92" s="56"/>
      <c r="L92" s="41" t="b">
        <f t="shared" si="13"/>
        <v>1</v>
      </c>
      <c r="M92" s="42">
        <f>IF(L92, MAX(M$2:M91)+1,"")</f>
        <v>90</v>
      </c>
      <c r="N92" s="46" t="str">
        <f t="shared" si="14"/>
        <v>z</v>
      </c>
      <c r="O92" s="8" t="str" cm="1">
        <f t="array" ref="O92">CharToUTF8(A92)</f>
        <v>\x7A</v>
      </c>
      <c r="Q92" s="41" t="str">
        <f>$Z$3</f>
        <v>DIAG_BOTH</v>
      </c>
      <c r="R92" s="47" t="str">
        <f>$Z$2</f>
        <v>EMPTY</v>
      </c>
      <c r="S92" s="47" t="str">
        <f>$Z$2</f>
        <v>EMPTY</v>
      </c>
      <c r="T92" s="44" t="str">
        <f>$Z$3</f>
        <v>DIAG_BOTH</v>
      </c>
      <c r="V92" s="54" t="b">
        <f t="shared" si="15"/>
        <v>0</v>
      </c>
      <c r="W92" t="b">
        <f t="shared" si="16"/>
        <v>0</v>
      </c>
      <c r="X92" t="b">
        <f t="shared" si="17"/>
        <v>0</v>
      </c>
      <c r="AG92" s="82" t="str">
        <f t="shared" si="18"/>
        <v xml:space="preserve">    { 90, 81, 81, 67, wxString::FromUTF8("\x7A"), Connection::DIAG_BOTH, Connection::EMPTY, Connection::EMPTY, Connection::DIAG_BOTH }</v>
      </c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1"/>
    </row>
    <row r="93" spans="1:44" x14ac:dyDescent="0.4">
      <c r="A93" s="7" t="s">
        <v>76</v>
      </c>
      <c r="B93" s="6" t="str">
        <f t="shared" si="12"/>
        <v>{</v>
      </c>
      <c r="C93" s="71" cm="1">
        <f t="array" ref="C93">IF($M93&lt;&gt;"",INDEX($M:$M,MATCH(TRUE,EXACT(B93,$A:$A),0)),"")</f>
        <v>91</v>
      </c>
      <c r="D93" s="61" t="s">
        <v>75</v>
      </c>
      <c r="E93" s="71" cm="1">
        <f t="array" ref="E93">IF($M93&lt;&gt;"",INDEX($M:$M,MATCH(TRUE,EXACT(D93,$A:$A),0)),"")</f>
        <v>63</v>
      </c>
      <c r="F93" s="61" t="s">
        <v>75</v>
      </c>
      <c r="G93" s="71" cm="1">
        <f t="array" ref="G93">IF($M93&lt;&gt;"",INDEX($M:$M,MATCH(TRUE,EXACT(F93,$A:$A),0)),"")</f>
        <v>63</v>
      </c>
      <c r="H93" s="61" t="s">
        <v>77</v>
      </c>
      <c r="I93" s="75" cm="1">
        <f t="array" ref="I93">IF($M93&lt;&gt;"",INDEX($M:$M,MATCH(TRUE,EXACT(H93,$A:$A),0)),"")</f>
        <v>93</v>
      </c>
      <c r="J93" s="46"/>
      <c r="K93" s="56"/>
      <c r="L93" s="41" t="b">
        <f t="shared" si="13"/>
        <v>1</v>
      </c>
      <c r="M93" s="42">
        <f>IF(L93, MAX(M$2:M92)+1,"")</f>
        <v>91</v>
      </c>
      <c r="N93" s="46" t="str">
        <f t="shared" si="14"/>
        <v>{</v>
      </c>
      <c r="O93" s="8" t="str" cm="1">
        <f t="array" ref="O93">CharToUTF8(A93)</f>
        <v>\x7B</v>
      </c>
      <c r="Q93" s="41" t="str">
        <f>$Z$4</f>
        <v>ORTHO_BOTH</v>
      </c>
      <c r="R93" s="47" t="str">
        <f>$Z$3</f>
        <v>DIAG_BOTH</v>
      </c>
      <c r="S93" s="47" t="str">
        <f>$Z$3</f>
        <v>DIAG_BOTH</v>
      </c>
      <c r="T93" s="44" t="str">
        <f>$Z$4</f>
        <v>ORTHO_BOTH</v>
      </c>
      <c r="V93" s="54" t="b">
        <f t="shared" si="15"/>
        <v>0</v>
      </c>
      <c r="W93" t="b">
        <f t="shared" si="16"/>
        <v>0</v>
      </c>
      <c r="X93" t="b">
        <f t="shared" si="17"/>
        <v>0</v>
      </c>
      <c r="AG93" s="82" t="str">
        <f t="shared" si="18"/>
        <v xml:space="preserve">    { 91, 63, 63, 93, wxString::FromUTF8("\x7B"), Connection::ORTHO_BOTH, Connection::DIAG_BOTH, Connection::DIAG_BOTH, Connection::ORTHO_BOTH }</v>
      </c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1"/>
    </row>
    <row r="94" spans="1:44" x14ac:dyDescent="0.4">
      <c r="A94" s="7" t="s">
        <v>69</v>
      </c>
      <c r="B94" s="6" t="str">
        <f t="shared" si="12"/>
        <v>|</v>
      </c>
      <c r="C94" s="71" cm="1">
        <f t="array" ref="C94">IF($M94&lt;&gt;"",INDEX($M:$M,MATCH(TRUE,EXACT(B94,$A:$A),0)),"")</f>
        <v>92</v>
      </c>
      <c r="D94" s="61" t="s">
        <v>68</v>
      </c>
      <c r="E94" s="71" cm="1">
        <f t="array" ref="E94">IF($M94&lt;&gt;"",INDEX($M:$M,MATCH(TRUE,EXACT(D94,$A:$A),0)),"")</f>
        <v>60</v>
      </c>
      <c r="F94" s="61" t="s">
        <v>69</v>
      </c>
      <c r="G94" s="71" cm="1">
        <f t="array" ref="G94">IF($M94&lt;&gt;"",INDEX($M:$M,MATCH(TRUE,EXACT(F94,$A:$A),0)),"")</f>
        <v>92</v>
      </c>
      <c r="H94" s="61" t="s">
        <v>69</v>
      </c>
      <c r="I94" s="75" cm="1">
        <f t="array" ref="I94">IF($M94&lt;&gt;"",INDEX($M:$M,MATCH(TRUE,EXACT(H94,$A:$A),0)),"")</f>
        <v>92</v>
      </c>
      <c r="J94" s="46"/>
      <c r="K94" s="56"/>
      <c r="L94" s="41" t="b">
        <f t="shared" si="13"/>
        <v>1</v>
      </c>
      <c r="M94" s="42">
        <f>IF(L94, MAX(M$2:M93)+1,"")</f>
        <v>92</v>
      </c>
      <c r="N94" s="46" t="str">
        <f t="shared" si="14"/>
        <v>|</v>
      </c>
      <c r="O94" s="8" t="str" cm="1">
        <f t="array" ref="O94">CharToUTF8(A94)</f>
        <v>\x7C</v>
      </c>
      <c r="Q94" s="41" t="str">
        <f>$Z$2</f>
        <v>EMPTY</v>
      </c>
      <c r="R94" s="47" t="str">
        <f>$Z$2</f>
        <v>EMPTY</v>
      </c>
      <c r="S94" s="47" t="str">
        <f>$Z$4</f>
        <v>ORTHO_BOTH</v>
      </c>
      <c r="T94" s="44" t="str">
        <f>$Z$4</f>
        <v>ORTHO_BOTH</v>
      </c>
      <c r="V94" s="54" t="b">
        <f t="shared" si="15"/>
        <v>0</v>
      </c>
      <c r="W94" t="b">
        <f t="shared" si="16"/>
        <v>1</v>
      </c>
      <c r="X94" t="b">
        <f t="shared" si="17"/>
        <v>1</v>
      </c>
      <c r="AG94" s="82" t="str">
        <f t="shared" si="18"/>
        <v xml:space="preserve">    { 92, 60, 92, 92, wxString::FromUTF8("\x7C"), Connection::EMPTY, Connection::EMPTY, Connection::ORTHO_BOTH, Connection::ORTHO_BOTH }</v>
      </c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1"/>
    </row>
    <row r="95" spans="1:44" x14ac:dyDescent="0.4">
      <c r="A95" s="7" t="s">
        <v>77</v>
      </c>
      <c r="B95" s="6" t="str">
        <f t="shared" si="12"/>
        <v>}</v>
      </c>
      <c r="C95" s="71" cm="1">
        <f t="array" ref="C95">IF($M95&lt;&gt;"",INDEX($M:$M,MATCH(TRUE,EXACT(B95,$A:$A),0)),"")</f>
        <v>93</v>
      </c>
      <c r="D95" s="61" t="s">
        <v>76</v>
      </c>
      <c r="E95" s="71" cm="1">
        <f t="array" ref="E95">IF($M95&lt;&gt;"",INDEX($M:$M,MATCH(TRUE,EXACT(D95,$A:$A),0)),"")</f>
        <v>91</v>
      </c>
      <c r="F95" s="61" t="s">
        <v>70</v>
      </c>
      <c r="G95" s="71" cm="1">
        <f t="array" ref="G95">IF($M95&lt;&gt;"",INDEX($M:$M,MATCH(TRUE,EXACT(F95,$A:$A),0)),"")</f>
        <v>11</v>
      </c>
      <c r="H95" s="61" t="s">
        <v>76</v>
      </c>
      <c r="I95" s="75" cm="1">
        <f t="array" ref="I95">IF($M95&lt;&gt;"",INDEX($M:$M,MATCH(TRUE,EXACT(H95,$A:$A),0)),"")</f>
        <v>91</v>
      </c>
      <c r="J95" s="46"/>
      <c r="K95" s="56"/>
      <c r="L95" s="41" t="b">
        <f t="shared" si="13"/>
        <v>1</v>
      </c>
      <c r="M95" s="42">
        <f>IF(L95, MAX(M$2:M94)+1,"")</f>
        <v>93</v>
      </c>
      <c r="N95" s="46" t="str">
        <f t="shared" si="14"/>
        <v>}</v>
      </c>
      <c r="O95" s="8" t="str" cm="1">
        <f t="array" ref="O95">CharToUTF8(A95)</f>
        <v>\x7D</v>
      </c>
      <c r="Q95" s="41" t="str">
        <f>$Z$4</f>
        <v>ORTHO_BOTH</v>
      </c>
      <c r="R95" s="47" t="str">
        <f>$Z$3</f>
        <v>DIAG_BOTH</v>
      </c>
      <c r="S95" s="47" t="str">
        <f>$Z$4</f>
        <v>ORTHO_BOTH</v>
      </c>
      <c r="T95" s="44" t="str">
        <f>$Z$3</f>
        <v>DIAG_BOTH</v>
      </c>
      <c r="V95" s="54" t="b">
        <f t="shared" si="15"/>
        <v>0</v>
      </c>
      <c r="W95" t="b">
        <f t="shared" si="16"/>
        <v>0</v>
      </c>
      <c r="X95" t="b">
        <f t="shared" si="17"/>
        <v>0</v>
      </c>
      <c r="AG95" s="82" t="str">
        <f t="shared" si="18"/>
        <v xml:space="preserve">    { 93, 91, 11, 91, wxString::FromUTF8("\x7D"), Connection::ORTHO_BOTH, Connection::DIAG_BOTH, Connection::ORTHO_BOTH, Connection::DIAG_BOTH }</v>
      </c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1"/>
    </row>
    <row r="96" spans="1:44" x14ac:dyDescent="0.4">
      <c r="A96" s="7" t="s">
        <v>62</v>
      </c>
      <c r="B96" s="6" t="str">
        <f t="shared" si="12"/>
        <v>~</v>
      </c>
      <c r="C96" s="71" cm="1">
        <f t="array" ref="C96">IF($M96&lt;&gt;"",INDEX($M:$M,MATCH(TRUE,EXACT(B96,$A:$A),0)),"")</f>
        <v>94</v>
      </c>
      <c r="D96" s="61" t="s">
        <v>52</v>
      </c>
      <c r="E96" s="71" cm="1">
        <f t="array" ref="E96">IF($M96&lt;&gt;"",INDEX($M:$M,MATCH(TRUE,EXACT(D96,$A:$A),0)),"")</f>
        <v>1</v>
      </c>
      <c r="F96" s="61" t="s">
        <v>62</v>
      </c>
      <c r="G96" s="71" cm="1">
        <f t="array" ref="G96">IF($M96&lt;&gt;"",INDEX($M:$M,MATCH(TRUE,EXACT(F96,$A:$A),0)),"")</f>
        <v>94</v>
      </c>
      <c r="H96" s="61" t="s">
        <v>62</v>
      </c>
      <c r="I96" s="75" cm="1">
        <f t="array" ref="I96">IF($M96&lt;&gt;"",INDEX($M:$M,MATCH(TRUE,EXACT(H96,$A:$A),0)),"")</f>
        <v>94</v>
      </c>
      <c r="J96" s="46"/>
      <c r="K96" s="56"/>
      <c r="L96" s="41" t="b">
        <f t="shared" si="13"/>
        <v>1</v>
      </c>
      <c r="M96" s="42">
        <f>IF(L96, MAX(M$2:M95)+1,"")</f>
        <v>94</v>
      </c>
      <c r="N96" s="46" t="str">
        <f t="shared" si="14"/>
        <v>~</v>
      </c>
      <c r="O96" s="8" t="str" cm="1">
        <f t="array" ref="O96">CharToUTF8(A96)</f>
        <v>\x7E</v>
      </c>
      <c r="Q96" s="41" t="str">
        <f>$Z$4</f>
        <v>ORTHO_BOTH</v>
      </c>
      <c r="R96" s="47" t="str">
        <f>$Z$4</f>
        <v>ORTHO_BOTH</v>
      </c>
      <c r="S96" s="47" t="str">
        <f t="shared" ref="S96:T98" si="20">$Z$2</f>
        <v>EMPTY</v>
      </c>
      <c r="T96" s="44" t="str">
        <f t="shared" si="20"/>
        <v>EMPTY</v>
      </c>
      <c r="V96" s="54" t="b">
        <f t="shared" si="15"/>
        <v>0</v>
      </c>
      <c r="W96" t="b">
        <f t="shared" si="16"/>
        <v>1</v>
      </c>
      <c r="X96" t="b">
        <f t="shared" si="17"/>
        <v>1</v>
      </c>
      <c r="AG96" s="82" t="str">
        <f t="shared" si="18"/>
        <v xml:space="preserve">    { 94, 1, 94, 94, wxString::FromUTF8("\x7E"), Connection::ORTHO_BOTH, Connection::ORTHO_BOTH, Connection::EMPTY, Connection::EMPTY }</v>
      </c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1"/>
    </row>
    <row r="97" spans="1:44" x14ac:dyDescent="0.4">
      <c r="A97" s="7" t="s">
        <v>169</v>
      </c>
      <c r="B97" s="6" t="str">
        <f t="shared" si="12"/>
        <v>¡</v>
      </c>
      <c r="C97" s="71" cm="1">
        <f t="array" ref="C97">IF($M97&lt;&gt;"",INDEX($M:$M,MATCH(TRUE,EXACT(B97,$A:$A),0)),"")</f>
        <v>95</v>
      </c>
      <c r="D97" s="61" t="s">
        <v>172</v>
      </c>
      <c r="E97" s="71" cm="1">
        <f t="array" ref="E97">IF($M97&lt;&gt;"",INDEX($M:$M,MATCH(TRUE,EXACT(D97,$A:$A),0)),"")</f>
        <v>98</v>
      </c>
      <c r="F97" s="61" t="s">
        <v>169</v>
      </c>
      <c r="G97" s="71" cm="1">
        <f t="array" ref="G97">IF($M97&lt;&gt;"",INDEX($M:$M,MATCH(TRUE,EXACT(F97,$A:$A),0)),"")</f>
        <v>95</v>
      </c>
      <c r="H97" s="61" t="s">
        <v>170</v>
      </c>
      <c r="I97" s="75" cm="1">
        <f t="array" ref="I97">IF($M97&lt;&gt;"",INDEX($M:$M,MATCH(TRUE,EXACT(H97,$A:$A),0)),"")</f>
        <v>96</v>
      </c>
      <c r="J97" s="46"/>
      <c r="K97" s="56"/>
      <c r="L97" s="41" t="b">
        <f t="shared" si="13"/>
        <v>1</v>
      </c>
      <c r="M97" s="42">
        <f>IF(L97, MAX(M$2:M96)+1,"")</f>
        <v>95</v>
      </c>
      <c r="N97" s="46" t="str">
        <f t="shared" si="14"/>
        <v>¡</v>
      </c>
      <c r="O97" s="8" t="str" cm="1">
        <f t="array" ref="O97">CharToUTF8(A97)</f>
        <v>\xC2\xA1</v>
      </c>
      <c r="Q97" s="41" t="str">
        <f>$Z$10</f>
        <v>ORTHO_RIGHT</v>
      </c>
      <c r="R97" s="47" t="str">
        <f>$Z$10</f>
        <v>ORTHO_RIGHT</v>
      </c>
      <c r="S97" s="47" t="str">
        <f t="shared" si="20"/>
        <v>EMPTY</v>
      </c>
      <c r="T97" s="44" t="str">
        <f t="shared" si="20"/>
        <v>EMPTY</v>
      </c>
      <c r="V97" s="54" t="b">
        <f t="shared" si="15"/>
        <v>0</v>
      </c>
      <c r="W97" t="b">
        <f t="shared" si="16"/>
        <v>1</v>
      </c>
      <c r="X97" t="b">
        <f t="shared" si="17"/>
        <v>0</v>
      </c>
      <c r="AG97" s="82" t="str">
        <f t="shared" si="18"/>
        <v xml:space="preserve">    { 95, 98, 95, 96, wxString::FromUTF8("\xC2\xA1"), Connection::ORTHO_RIGHT, Connection::ORTHO_RIGHT, Connection::EMPTY, Connection::EMPTY }</v>
      </c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1"/>
    </row>
    <row r="98" spans="1:44" x14ac:dyDescent="0.4">
      <c r="A98" s="7" t="s">
        <v>170</v>
      </c>
      <c r="B98" s="6" t="str">
        <f t="shared" si="12"/>
        <v>¢</v>
      </c>
      <c r="C98" s="71" cm="1">
        <f t="array" ref="C98">IF($M98&lt;&gt;"",INDEX($M:$M,MATCH(TRUE,EXACT(B98,$A:$A),0)),"")</f>
        <v>96</v>
      </c>
      <c r="D98" s="61" t="s">
        <v>171</v>
      </c>
      <c r="E98" s="71" cm="1">
        <f t="array" ref="E98">IF($M98&lt;&gt;"",INDEX($M:$M,MATCH(TRUE,EXACT(D98,$A:$A),0)),"")</f>
        <v>97</v>
      </c>
      <c r="F98" s="61" t="s">
        <v>170</v>
      </c>
      <c r="G98" s="71" cm="1">
        <f t="array" ref="G98">IF($M98&lt;&gt;"",INDEX($M:$M,MATCH(TRUE,EXACT(F98,$A:$A),0)),"")</f>
        <v>96</v>
      </c>
      <c r="H98" s="61" t="s">
        <v>169</v>
      </c>
      <c r="I98" s="75" cm="1">
        <f t="array" ref="I98">IF($M98&lt;&gt;"",INDEX($M:$M,MATCH(TRUE,EXACT(H98,$A:$A),0)),"")</f>
        <v>95</v>
      </c>
      <c r="J98" s="46"/>
      <c r="K98" s="56"/>
      <c r="L98" s="41" t="b">
        <f t="shared" si="13"/>
        <v>1</v>
      </c>
      <c r="M98" s="42">
        <f>IF(L98, MAX(M$2:M97)+1,"")</f>
        <v>96</v>
      </c>
      <c r="N98" s="46" t="str">
        <f t="shared" si="14"/>
        <v>¢</v>
      </c>
      <c r="O98" s="8" t="str" cm="1">
        <f t="array" ref="O98">CharToUTF8(A98)</f>
        <v>\xC2\xA2</v>
      </c>
      <c r="Q98" s="41" t="str">
        <f>$Z$9</f>
        <v>ORTHO_LEFT</v>
      </c>
      <c r="R98" s="47" t="str">
        <f>$Z$9</f>
        <v>ORTHO_LEFT</v>
      </c>
      <c r="S98" s="47" t="str">
        <f t="shared" si="20"/>
        <v>EMPTY</v>
      </c>
      <c r="T98" s="44" t="str">
        <f t="shared" si="20"/>
        <v>EMPTY</v>
      </c>
      <c r="V98" s="54" t="b">
        <f t="shared" si="15"/>
        <v>0</v>
      </c>
      <c r="W98" t="b">
        <f t="shared" si="16"/>
        <v>1</v>
      </c>
      <c r="X98" t="b">
        <f t="shared" si="17"/>
        <v>0</v>
      </c>
      <c r="AG98" s="82" t="str">
        <f t="shared" si="18"/>
        <v xml:space="preserve">    { 96, 97, 96, 95, wxString::FromUTF8("\xC2\xA2"), Connection::ORTHO_LEFT, Connection::ORTHO_LEFT, Connection::EMPTY, Connection::EMPTY }</v>
      </c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1"/>
    </row>
    <row r="99" spans="1:44" x14ac:dyDescent="0.4">
      <c r="A99" s="7" t="s">
        <v>171</v>
      </c>
      <c r="B99" s="6" t="str">
        <f t="shared" si="12"/>
        <v>£</v>
      </c>
      <c r="C99" s="71" cm="1">
        <f t="array" ref="C99">IF($M99&lt;&gt;"",INDEX($M:$M,MATCH(TRUE,EXACT(B99,$A:$A),0)),"")</f>
        <v>97</v>
      </c>
      <c r="D99" s="61" t="s">
        <v>169</v>
      </c>
      <c r="E99" s="71" cm="1">
        <f t="array" ref="E99">IF($M99&lt;&gt;"",INDEX($M:$M,MATCH(TRUE,EXACT(D99,$A:$A),0)),"")</f>
        <v>95</v>
      </c>
      <c r="F99" s="61" t="s">
        <v>172</v>
      </c>
      <c r="G99" s="71" cm="1">
        <f t="array" ref="G99">IF($M99&lt;&gt;"",INDEX($M:$M,MATCH(TRUE,EXACT(F99,$A:$A),0)),"")</f>
        <v>98</v>
      </c>
      <c r="H99" s="61" t="s">
        <v>171</v>
      </c>
      <c r="I99" s="75" cm="1">
        <f t="array" ref="I99">IF($M99&lt;&gt;"",INDEX($M:$M,MATCH(TRUE,EXACT(H99,$A:$A),0)),"")</f>
        <v>97</v>
      </c>
      <c r="J99" s="46"/>
      <c r="K99" s="56"/>
      <c r="L99" s="41" t="b">
        <f t="shared" si="13"/>
        <v>1</v>
      </c>
      <c r="M99" s="42">
        <f>IF(L99, MAX(M$2:M98)+1,"")</f>
        <v>97</v>
      </c>
      <c r="N99" s="46" t="str">
        <f t="shared" si="14"/>
        <v>£</v>
      </c>
      <c r="O99" s="8" t="str" cm="1">
        <f t="array" ref="O99">CharToUTF8(A99)</f>
        <v>\xC2\xA3</v>
      </c>
      <c r="Q99" s="41" t="str">
        <f>$Z$2</f>
        <v>EMPTY</v>
      </c>
      <c r="R99" s="47" t="str">
        <f>$Z$2</f>
        <v>EMPTY</v>
      </c>
      <c r="S99" s="47" t="str">
        <f>$Z$7</f>
        <v>ORTHO_UP</v>
      </c>
      <c r="T99" s="44" t="str">
        <f>$Z$7</f>
        <v>ORTHO_UP</v>
      </c>
      <c r="V99" s="54" t="b">
        <f t="shared" si="15"/>
        <v>0</v>
      </c>
      <c r="W99" t="b">
        <f t="shared" si="16"/>
        <v>0</v>
      </c>
      <c r="X99" t="b">
        <f t="shared" si="17"/>
        <v>1</v>
      </c>
      <c r="AG99" s="82" t="str">
        <f t="shared" si="18"/>
        <v xml:space="preserve">    { 97, 95, 98, 97, wxString::FromUTF8("\xC2\xA3"), Connection::EMPTY, Connection::EMPTY, Connection::ORTHO_UP, Connection::ORTHO_UP }</v>
      </c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1"/>
    </row>
    <row r="100" spans="1:44" x14ac:dyDescent="0.4">
      <c r="A100" s="7" t="s">
        <v>172</v>
      </c>
      <c r="B100" s="6" t="str">
        <f t="shared" si="12"/>
        <v>¤</v>
      </c>
      <c r="C100" s="71" cm="1">
        <f t="array" ref="C100">IF($M100&lt;&gt;"",INDEX($M:$M,MATCH(TRUE,EXACT(B100,$A:$A),0)),"")</f>
        <v>98</v>
      </c>
      <c r="D100" s="61" t="s">
        <v>170</v>
      </c>
      <c r="E100" s="71" cm="1">
        <f t="array" ref="E100">IF($M100&lt;&gt;"",INDEX($M:$M,MATCH(TRUE,EXACT(D100,$A:$A),0)),"")</f>
        <v>96</v>
      </c>
      <c r="F100" s="61" t="s">
        <v>171</v>
      </c>
      <c r="G100" s="71" cm="1">
        <f t="array" ref="G100">IF($M100&lt;&gt;"",INDEX($M:$M,MATCH(TRUE,EXACT(F100,$A:$A),0)),"")</f>
        <v>97</v>
      </c>
      <c r="H100" s="61" t="s">
        <v>172</v>
      </c>
      <c r="I100" s="75" cm="1">
        <f t="array" ref="I100">IF($M100&lt;&gt;"",INDEX($M:$M,MATCH(TRUE,EXACT(H100,$A:$A),0)),"")</f>
        <v>98</v>
      </c>
      <c r="J100" s="46"/>
      <c r="K100" s="56"/>
      <c r="L100" s="41" t="b">
        <f t="shared" si="13"/>
        <v>1</v>
      </c>
      <c r="M100" s="42">
        <f>IF(L100, MAX(M$2:M99)+1,"")</f>
        <v>98</v>
      </c>
      <c r="N100" s="46" t="str">
        <f t="shared" si="14"/>
        <v>¤</v>
      </c>
      <c r="O100" s="8" t="str" cm="1">
        <f t="array" ref="O100">CharToUTF8(A100)</f>
        <v>\xC2\xA4</v>
      </c>
      <c r="Q100" s="41" t="str">
        <f>$Z$2</f>
        <v>EMPTY</v>
      </c>
      <c r="R100" s="47" t="str">
        <f>$Z$2</f>
        <v>EMPTY</v>
      </c>
      <c r="S100" s="47" t="str">
        <f>$Z$8</f>
        <v>ORTHO_DOWN</v>
      </c>
      <c r="T100" s="44" t="str">
        <f>$Z$8</f>
        <v>ORTHO_DOWN</v>
      </c>
      <c r="V100" s="54" t="b">
        <f t="shared" si="15"/>
        <v>0</v>
      </c>
      <c r="W100" t="b">
        <f t="shared" si="16"/>
        <v>0</v>
      </c>
      <c r="X100" t="b">
        <f t="shared" si="17"/>
        <v>1</v>
      </c>
      <c r="AG100" s="82" t="str">
        <f t="shared" si="18"/>
        <v xml:space="preserve">    { 98, 96, 97, 98, wxString::FromUTF8("\xC2\xA4"), Connection::EMPTY, Connection::EMPTY, Connection::ORTHO_DOWN, Connection::ORTHO_DOWN }</v>
      </c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1"/>
    </row>
    <row r="101" spans="1:44" x14ac:dyDescent="0.4">
      <c r="A101" s="7" t="s">
        <v>80</v>
      </c>
      <c r="B101" s="6" t="str">
        <f t="shared" si="12"/>
        <v>¥</v>
      </c>
      <c r="C101" s="71" cm="1">
        <f t="array" ref="C101">IF($M101&lt;&gt;"",INDEX($M:$M,MATCH(TRUE,EXACT(B101,$A:$A),0)),"")</f>
        <v>99</v>
      </c>
      <c r="D101" s="61" t="s">
        <v>81</v>
      </c>
      <c r="E101" s="71" cm="1">
        <f t="array" ref="E101">IF($M101&lt;&gt;"",INDEX($M:$M,MATCH(TRUE,EXACT(D101,$A:$A),0)),"")</f>
        <v>100</v>
      </c>
      <c r="F101" s="61" t="s">
        <v>83</v>
      </c>
      <c r="G101" s="71" cm="1">
        <f t="array" ref="G101">IF($M101&lt;&gt;"",INDEX($M:$M,MATCH(TRUE,EXACT(F101,$A:$A),0)),"")</f>
        <v>102</v>
      </c>
      <c r="H101" s="61" t="s">
        <v>81</v>
      </c>
      <c r="I101" s="75" cm="1">
        <f t="array" ref="I101">IF($M101&lt;&gt;"",INDEX($M:$M,MATCH(TRUE,EXACT(H101,$A:$A),0)),"")</f>
        <v>100</v>
      </c>
      <c r="J101" s="46"/>
      <c r="K101" s="56"/>
      <c r="L101" s="41" t="b">
        <f t="shared" si="13"/>
        <v>1</v>
      </c>
      <c r="M101" s="42">
        <f>IF(L101, MAX(M$2:M100)+1,"")</f>
        <v>99</v>
      </c>
      <c r="N101" s="46" t="str">
        <f t="shared" si="14"/>
        <v>¥</v>
      </c>
      <c r="O101" s="8" t="str" cm="1">
        <f t="array" ref="O101">CharToUTF8(A101)</f>
        <v>\xC2\xA5</v>
      </c>
      <c r="Q101" s="41" t="str">
        <f>$Z$5</f>
        <v>DIAG_FRONT</v>
      </c>
      <c r="R101" s="47" t="str">
        <f>$Z$3</f>
        <v>DIAG_BOTH</v>
      </c>
      <c r="S101" s="47" t="str">
        <f>$Z$6</f>
        <v>DIAG_BACK</v>
      </c>
      <c r="T101" s="44" t="str">
        <f>$Z$3</f>
        <v>DIAG_BOTH</v>
      </c>
      <c r="V101" s="54" t="b">
        <f t="shared" si="15"/>
        <v>0</v>
      </c>
      <c r="W101" t="b">
        <f t="shared" si="16"/>
        <v>0</v>
      </c>
      <c r="X101" t="b">
        <f t="shared" si="17"/>
        <v>0</v>
      </c>
      <c r="AG101" s="82" t="str">
        <f t="shared" si="18"/>
        <v xml:space="preserve">    { 99, 100, 102, 100, wxString::FromUTF8("\xC2\xA5"), Connection::DIAG_FRONT, Connection::DIAG_BOTH, Connection::DIAG_BACK, Connection::DIAG_BOTH }</v>
      </c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1"/>
    </row>
    <row r="102" spans="1:44" x14ac:dyDescent="0.4">
      <c r="A102" s="7" t="s">
        <v>81</v>
      </c>
      <c r="B102" s="6" t="str">
        <f t="shared" si="12"/>
        <v>¦</v>
      </c>
      <c r="C102" s="71" cm="1">
        <f t="array" ref="C102">IF($M102&lt;&gt;"",INDEX($M:$M,MATCH(TRUE,EXACT(B102,$A:$A),0)),"")</f>
        <v>100</v>
      </c>
      <c r="D102" s="61" t="s">
        <v>82</v>
      </c>
      <c r="E102" s="71" cm="1">
        <f t="array" ref="E102">IF($M102&lt;&gt;"",INDEX($M:$M,MATCH(TRUE,EXACT(D102,$A:$A),0)),"")</f>
        <v>101</v>
      </c>
      <c r="F102" s="61" t="s">
        <v>82</v>
      </c>
      <c r="G102" s="71" cm="1">
        <f t="array" ref="G102">IF($M102&lt;&gt;"",INDEX($M:$M,MATCH(TRUE,EXACT(F102,$A:$A),0)),"")</f>
        <v>101</v>
      </c>
      <c r="H102" s="61" t="s">
        <v>80</v>
      </c>
      <c r="I102" s="75" cm="1">
        <f t="array" ref="I102">IF($M102&lt;&gt;"",INDEX($M:$M,MATCH(TRUE,EXACT(H102,$A:$A),0)),"")</f>
        <v>99</v>
      </c>
      <c r="J102" s="46"/>
      <c r="K102" s="56"/>
      <c r="L102" s="41" t="b">
        <f t="shared" si="13"/>
        <v>1</v>
      </c>
      <c r="M102" s="42">
        <f>IF(L102, MAX(M$2:M101)+1,"")</f>
        <v>100</v>
      </c>
      <c r="N102" s="46" t="str">
        <f t="shared" si="14"/>
        <v>¦</v>
      </c>
      <c r="O102" s="8" t="str" cm="1">
        <f t="array" ref="O102">CharToUTF8(A102)</f>
        <v>\xC2\xA6</v>
      </c>
      <c r="Q102" s="41" t="str">
        <f>$Z$6</f>
        <v>DIAG_BACK</v>
      </c>
      <c r="R102" s="47" t="str">
        <f>$Z$3</f>
        <v>DIAG_BOTH</v>
      </c>
      <c r="S102" s="47" t="str">
        <f>$Z$3</f>
        <v>DIAG_BOTH</v>
      </c>
      <c r="T102" s="44" t="str">
        <f>$Z$5</f>
        <v>DIAG_FRONT</v>
      </c>
      <c r="V102" s="54" t="b">
        <f t="shared" si="15"/>
        <v>0</v>
      </c>
      <c r="W102" t="b">
        <f t="shared" si="16"/>
        <v>0</v>
      </c>
      <c r="X102" t="b">
        <f t="shared" si="17"/>
        <v>0</v>
      </c>
      <c r="AG102" s="82" t="str">
        <f t="shared" si="18"/>
        <v xml:space="preserve">    { 100, 101, 101, 99, wxString::FromUTF8("\xC2\xA6"), Connection::DIAG_BACK, Connection::DIAG_BOTH, Connection::DIAG_BOTH, Connection::DIAG_FRONT }</v>
      </c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1"/>
    </row>
    <row r="103" spans="1:44" x14ac:dyDescent="0.4">
      <c r="A103" s="7" t="s">
        <v>82</v>
      </c>
      <c r="B103" s="6" t="str">
        <f t="shared" si="12"/>
        <v>§</v>
      </c>
      <c r="C103" s="71" cm="1">
        <f t="array" ref="C103">IF($M103&lt;&gt;"",INDEX($M:$M,MATCH(TRUE,EXACT(B103,$A:$A),0)),"")</f>
        <v>101</v>
      </c>
      <c r="D103" s="61" t="s">
        <v>83</v>
      </c>
      <c r="E103" s="71" cm="1">
        <f t="array" ref="E103">IF($M103&lt;&gt;"",INDEX($M:$M,MATCH(TRUE,EXACT(D103,$A:$A),0)),"")</f>
        <v>102</v>
      </c>
      <c r="F103" s="61" t="s">
        <v>81</v>
      </c>
      <c r="G103" s="71" cm="1">
        <f t="array" ref="G103">IF($M103&lt;&gt;"",INDEX($M:$M,MATCH(TRUE,EXACT(F103,$A:$A),0)),"")</f>
        <v>100</v>
      </c>
      <c r="H103" s="61" t="s">
        <v>83</v>
      </c>
      <c r="I103" s="75" cm="1">
        <f t="array" ref="I103">IF($M103&lt;&gt;"",INDEX($M:$M,MATCH(TRUE,EXACT(H103,$A:$A),0)),"")</f>
        <v>102</v>
      </c>
      <c r="J103" s="46"/>
      <c r="K103" s="56"/>
      <c r="L103" s="41" t="b">
        <f t="shared" si="13"/>
        <v>1</v>
      </c>
      <c r="M103" s="42">
        <f>IF(L103, MAX(M$2:M102)+1,"")</f>
        <v>101</v>
      </c>
      <c r="N103" s="46" t="str">
        <f t="shared" si="14"/>
        <v>§</v>
      </c>
      <c r="O103" s="8" t="str" cm="1">
        <f t="array" ref="O103">CharToUTF8(A103)</f>
        <v>\xC2\xA7</v>
      </c>
      <c r="Q103" s="41" t="str">
        <f>$Z$3</f>
        <v>DIAG_BOTH</v>
      </c>
      <c r="R103" s="47" t="str">
        <f>$Z$5</f>
        <v>DIAG_FRONT</v>
      </c>
      <c r="S103" s="47" t="str">
        <f>$Z$3</f>
        <v>DIAG_BOTH</v>
      </c>
      <c r="T103" s="44" t="str">
        <f>$Z$6</f>
        <v>DIAG_BACK</v>
      </c>
      <c r="V103" s="54" t="b">
        <f t="shared" si="15"/>
        <v>0</v>
      </c>
      <c r="W103" t="b">
        <f t="shared" si="16"/>
        <v>0</v>
      </c>
      <c r="X103" t="b">
        <f t="shared" si="17"/>
        <v>0</v>
      </c>
      <c r="AG103" s="82" t="str">
        <f t="shared" si="18"/>
        <v xml:space="preserve">    { 101, 102, 100, 102, wxString::FromUTF8("\xC2\xA7"), Connection::DIAG_BOTH, Connection::DIAG_FRONT, Connection::DIAG_BOTH, Connection::DIAG_BACK }</v>
      </c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1"/>
    </row>
    <row r="104" spans="1:44" x14ac:dyDescent="0.4">
      <c r="A104" s="7" t="s">
        <v>83</v>
      </c>
      <c r="B104" s="6" t="str">
        <f t="shared" si="12"/>
        <v>¨</v>
      </c>
      <c r="C104" s="71" cm="1">
        <f t="array" ref="C104">IF($M104&lt;&gt;"",INDEX($M:$M,MATCH(TRUE,EXACT(B104,$A:$A),0)),"")</f>
        <v>102</v>
      </c>
      <c r="D104" s="61" t="s">
        <v>80</v>
      </c>
      <c r="E104" s="71" cm="1">
        <f t="array" ref="E104">IF($M104&lt;&gt;"",INDEX($M:$M,MATCH(TRUE,EXACT(D104,$A:$A),0)),"")</f>
        <v>99</v>
      </c>
      <c r="F104" s="61" t="s">
        <v>80</v>
      </c>
      <c r="G104" s="71" cm="1">
        <f t="array" ref="G104">IF($M104&lt;&gt;"",INDEX($M:$M,MATCH(TRUE,EXACT(F104,$A:$A),0)),"")</f>
        <v>99</v>
      </c>
      <c r="H104" s="61" t="s">
        <v>82</v>
      </c>
      <c r="I104" s="75" cm="1">
        <f t="array" ref="I104">IF($M104&lt;&gt;"",INDEX($M:$M,MATCH(TRUE,EXACT(H104,$A:$A),0)),"")</f>
        <v>101</v>
      </c>
      <c r="J104" s="46"/>
      <c r="K104" s="56"/>
      <c r="L104" s="41" t="b">
        <f t="shared" si="13"/>
        <v>1</v>
      </c>
      <c r="M104" s="42">
        <f>IF(L104, MAX(M$2:M103)+1,"")</f>
        <v>102</v>
      </c>
      <c r="N104" s="46" t="str">
        <f t="shared" si="14"/>
        <v>¨</v>
      </c>
      <c r="O104" s="8" t="str" cm="1">
        <f t="array" ref="O104">CharToUTF8(A104)</f>
        <v>\xC2\xA8</v>
      </c>
      <c r="Q104" s="41" t="str">
        <f>$Z$3</f>
        <v>DIAG_BOTH</v>
      </c>
      <c r="R104" s="47" t="str">
        <f>$Z$6</f>
        <v>DIAG_BACK</v>
      </c>
      <c r="S104" s="47" t="str">
        <f>$Z$5</f>
        <v>DIAG_FRONT</v>
      </c>
      <c r="T104" s="44" t="str">
        <f>$Z$3</f>
        <v>DIAG_BOTH</v>
      </c>
      <c r="V104" s="54" t="b">
        <f t="shared" si="15"/>
        <v>0</v>
      </c>
      <c r="W104" t="b">
        <f t="shared" si="16"/>
        <v>0</v>
      </c>
      <c r="X104" t="b">
        <f t="shared" si="17"/>
        <v>0</v>
      </c>
      <c r="AG104" s="82" t="str">
        <f t="shared" si="18"/>
        <v xml:space="preserve">    { 102, 99, 99, 101, wxString::FromUTF8("\xC2\xA8"), Connection::DIAG_BOTH, Connection::DIAG_BACK, Connection::DIAG_FRONT, Connection::DIAG_BOTH }</v>
      </c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1"/>
    </row>
    <row r="105" spans="1:44" x14ac:dyDescent="0.4">
      <c r="A105" s="7" t="s">
        <v>84</v>
      </c>
      <c r="B105" s="6" t="str">
        <f t="shared" si="12"/>
        <v>©</v>
      </c>
      <c r="C105" s="71" cm="1">
        <f t="array" ref="C105">IF($M105&lt;&gt;"",INDEX($M:$M,MATCH(TRUE,EXACT(B105,$A:$A),0)),"")</f>
        <v>103</v>
      </c>
      <c r="D105" s="61" t="s">
        <v>85</v>
      </c>
      <c r="E105" s="71" cm="1">
        <f t="array" ref="E105">IF($M105&lt;&gt;"",INDEX($M:$M,MATCH(TRUE,EXACT(D105,$A:$A),0)),"")</f>
        <v>104</v>
      </c>
      <c r="F105" s="61" t="s">
        <v>86</v>
      </c>
      <c r="G105" s="71" cm="1">
        <f t="array" ref="G105">IF($M105&lt;&gt;"",INDEX($M:$M,MATCH(TRUE,EXACT(F105,$A:$A),0)),"")</f>
        <v>105</v>
      </c>
      <c r="H105" s="61" t="s">
        <v>84</v>
      </c>
      <c r="I105" s="75" cm="1">
        <f t="array" ref="I105">IF($M105&lt;&gt;"",INDEX($M:$M,MATCH(TRUE,EXACT(H105,$A:$A),0)),"")</f>
        <v>103</v>
      </c>
      <c r="J105" s="46"/>
      <c r="K105" s="56"/>
      <c r="L105" s="41" t="b">
        <f t="shared" si="13"/>
        <v>1</v>
      </c>
      <c r="M105" s="42">
        <f>IF(L105, MAX(M$2:M104)+1,"")</f>
        <v>103</v>
      </c>
      <c r="N105" s="46" t="str">
        <f t="shared" si="14"/>
        <v>©</v>
      </c>
      <c r="O105" s="8" t="str" cm="1">
        <f t="array" ref="O105">CharToUTF8(A105)</f>
        <v>\xC2\xA9</v>
      </c>
      <c r="Q105" s="41" t="str">
        <f>$Z$2</f>
        <v>EMPTY</v>
      </c>
      <c r="R105" s="47" t="str">
        <f>$Z$3</f>
        <v>DIAG_BOTH</v>
      </c>
      <c r="S105" s="47" t="str">
        <f>$Z$6</f>
        <v>DIAG_BACK</v>
      </c>
      <c r="T105" s="44" t="str">
        <f>$Z$5</f>
        <v>DIAG_FRONT</v>
      </c>
      <c r="V105" s="54" t="b">
        <f t="shared" si="15"/>
        <v>0</v>
      </c>
      <c r="W105" t="b">
        <f t="shared" si="16"/>
        <v>0</v>
      </c>
      <c r="X105" t="b">
        <f t="shared" si="17"/>
        <v>1</v>
      </c>
      <c r="AG105" s="82" t="str">
        <f t="shared" si="18"/>
        <v xml:space="preserve">    { 103, 104, 105, 103, wxString::FromUTF8("\xC2\xA9"), Connection::EMPTY, Connection::DIAG_BOTH, Connection::DIAG_BACK, Connection::DIAG_FRONT }</v>
      </c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1"/>
    </row>
    <row r="106" spans="1:44" ht="31.5" customHeight="1" x14ac:dyDescent="0.4">
      <c r="A106" s="7" t="s">
        <v>85</v>
      </c>
      <c r="B106" s="6" t="str">
        <f t="shared" si="12"/>
        <v>ª</v>
      </c>
      <c r="C106" s="71" cm="1">
        <f t="array" ref="C106">IF($M106&lt;&gt;"",INDEX($M:$M,MATCH(TRUE,EXACT(B106,$A:$A),0)),"")</f>
        <v>104</v>
      </c>
      <c r="D106" s="61" t="s">
        <v>86</v>
      </c>
      <c r="E106" s="71" cm="1">
        <f t="array" ref="E106">IF($M106&lt;&gt;"",INDEX($M:$M,MATCH(TRUE,EXACT(D106,$A:$A),0)),"")</f>
        <v>105</v>
      </c>
      <c r="F106" s="61" t="s">
        <v>85</v>
      </c>
      <c r="G106" s="71" cm="1">
        <f t="array" ref="G106">IF($M106&lt;&gt;"",INDEX($M:$M,MATCH(TRUE,EXACT(F106,$A:$A),0)),"")</f>
        <v>104</v>
      </c>
      <c r="H106" s="61" t="s">
        <v>87</v>
      </c>
      <c r="I106" s="75" cm="1">
        <f t="array" ref="I106">IF($M106&lt;&gt;"",INDEX($M:$M,MATCH(TRUE,EXACT(H106,$A:$A),0)),"")</f>
        <v>106</v>
      </c>
      <c r="J106" s="46"/>
      <c r="K106" s="56"/>
      <c r="L106" s="41" t="b">
        <f t="shared" si="13"/>
        <v>1</v>
      </c>
      <c r="M106" s="42">
        <f>IF(L106, MAX(M$2:M105)+1,"")</f>
        <v>104</v>
      </c>
      <c r="N106" s="46" t="str">
        <f t="shared" si="14"/>
        <v>ª</v>
      </c>
      <c r="O106" s="8" t="str" cm="1">
        <f t="array" ref="O106">CharToUTF8(A106)</f>
        <v>\xC2\xAA</v>
      </c>
      <c r="Q106" s="41" t="str">
        <f>$Z$6</f>
        <v>DIAG_BACK</v>
      </c>
      <c r="R106" s="47" t="str">
        <f>$Z$5</f>
        <v>DIAG_FRONT</v>
      </c>
      <c r="S106" s="47" t="str">
        <f>$Z$3</f>
        <v>DIAG_BOTH</v>
      </c>
      <c r="T106" s="44" t="str">
        <f>$Z$2</f>
        <v>EMPTY</v>
      </c>
      <c r="V106" s="54" t="b">
        <f t="shared" si="15"/>
        <v>0</v>
      </c>
      <c r="W106" t="b">
        <f t="shared" si="16"/>
        <v>1</v>
      </c>
      <c r="X106" t="b">
        <f t="shared" si="17"/>
        <v>0</v>
      </c>
      <c r="AG106" s="82" t="str">
        <f t="shared" si="18"/>
        <v xml:space="preserve">    { 104, 105, 104, 106, wxString::FromUTF8("\xC2\xAA"), Connection::DIAG_BACK, Connection::DIAG_FRONT, Connection::DIAG_BOTH, Connection::EMPTY }</v>
      </c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1"/>
    </row>
    <row r="107" spans="1:44" x14ac:dyDescent="0.4">
      <c r="A107" s="7" t="s">
        <v>86</v>
      </c>
      <c r="B107" s="6" t="str">
        <f t="shared" si="12"/>
        <v>«</v>
      </c>
      <c r="C107" s="71" cm="1">
        <f t="array" ref="C107">IF($M107&lt;&gt;"",INDEX($M:$M,MATCH(TRUE,EXACT(B107,$A:$A),0)),"")</f>
        <v>105</v>
      </c>
      <c r="D107" s="61" t="s">
        <v>87</v>
      </c>
      <c r="E107" s="71" cm="1">
        <f t="array" ref="E107">IF($M107&lt;&gt;"",INDEX($M:$M,MATCH(TRUE,EXACT(D107,$A:$A),0)),"")</f>
        <v>106</v>
      </c>
      <c r="F107" s="61" t="s">
        <v>84</v>
      </c>
      <c r="G107" s="71" cm="1">
        <f t="array" ref="G107">IF($M107&lt;&gt;"",INDEX($M:$M,MATCH(TRUE,EXACT(F107,$A:$A),0)),"")</f>
        <v>103</v>
      </c>
      <c r="H107" s="61" t="s">
        <v>86</v>
      </c>
      <c r="I107" s="75" cm="1">
        <f t="array" ref="I107">IF($M107&lt;&gt;"",INDEX($M:$M,MATCH(TRUE,EXACT(H107,$A:$A),0)),"")</f>
        <v>105</v>
      </c>
      <c r="J107" s="46"/>
      <c r="K107" s="56"/>
      <c r="L107" s="41" t="b">
        <f t="shared" si="13"/>
        <v>1</v>
      </c>
      <c r="M107" s="42">
        <f>IF(L107, MAX(M$2:M106)+1,"")</f>
        <v>105</v>
      </c>
      <c r="N107" s="46" t="str">
        <f t="shared" si="14"/>
        <v>«</v>
      </c>
      <c r="O107" s="8" t="str" cm="1">
        <f t="array" ref="O107">CharToUTF8(A107)</f>
        <v>\xC2\xAB</v>
      </c>
      <c r="Q107" s="41" t="str">
        <f>$Z$3</f>
        <v>DIAG_BOTH</v>
      </c>
      <c r="R107" s="47" t="str">
        <f>$Z$2</f>
        <v>EMPTY</v>
      </c>
      <c r="S107" s="47" t="str">
        <f>$Z$5</f>
        <v>DIAG_FRONT</v>
      </c>
      <c r="T107" s="44" t="str">
        <f>$Z$6</f>
        <v>DIAG_BACK</v>
      </c>
      <c r="V107" s="54" t="b">
        <f t="shared" si="15"/>
        <v>0</v>
      </c>
      <c r="W107" t="b">
        <f t="shared" si="16"/>
        <v>0</v>
      </c>
      <c r="X107" t="b">
        <f t="shared" si="17"/>
        <v>1</v>
      </c>
      <c r="AG107" s="82" t="str">
        <f t="shared" si="18"/>
        <v xml:space="preserve">    { 105, 106, 103, 105, wxString::FromUTF8("\xC2\xAB"), Connection::DIAG_BOTH, Connection::EMPTY, Connection::DIAG_FRONT, Connection::DIAG_BACK }</v>
      </c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1"/>
    </row>
    <row r="108" spans="1:44" x14ac:dyDescent="0.4">
      <c r="A108" s="7" t="s">
        <v>87</v>
      </c>
      <c r="B108" s="6" t="str">
        <f t="shared" si="12"/>
        <v>¬</v>
      </c>
      <c r="C108" s="71" cm="1">
        <f t="array" ref="C108">IF($M108&lt;&gt;"",INDEX($M:$M,MATCH(TRUE,EXACT(B108,$A:$A),0)),"")</f>
        <v>106</v>
      </c>
      <c r="D108" s="61" t="s">
        <v>84</v>
      </c>
      <c r="E108" s="71" cm="1">
        <f t="array" ref="E108">IF($M108&lt;&gt;"",INDEX($M:$M,MATCH(TRUE,EXACT(D108,$A:$A),0)),"")</f>
        <v>103</v>
      </c>
      <c r="F108" s="61" t="s">
        <v>87</v>
      </c>
      <c r="G108" s="71" cm="1">
        <f t="array" ref="G108">IF($M108&lt;&gt;"",INDEX($M:$M,MATCH(TRUE,EXACT(F108,$A:$A),0)),"")</f>
        <v>106</v>
      </c>
      <c r="H108" s="61" t="s">
        <v>85</v>
      </c>
      <c r="I108" s="75" cm="1">
        <f t="array" ref="I108">IF($M108&lt;&gt;"",INDEX($M:$M,MATCH(TRUE,EXACT(H108,$A:$A),0)),"")</f>
        <v>104</v>
      </c>
      <c r="J108" s="46"/>
      <c r="K108" s="56"/>
      <c r="L108" s="41" t="b">
        <f t="shared" si="13"/>
        <v>1</v>
      </c>
      <c r="M108" s="42">
        <f>IF(L108, MAX(M$2:M107)+1,"")</f>
        <v>106</v>
      </c>
      <c r="N108" s="46" t="str">
        <f t="shared" si="14"/>
        <v>¬</v>
      </c>
      <c r="O108" s="8" t="str" cm="1">
        <f t="array" ref="O108">CharToUTF8(A108)</f>
        <v>\xC2\xAC</v>
      </c>
      <c r="Q108" s="41" t="str">
        <f>$Z$5</f>
        <v>DIAG_FRONT</v>
      </c>
      <c r="R108" s="47" t="str">
        <f>$Z$6</f>
        <v>DIAG_BACK</v>
      </c>
      <c r="S108" s="47" t="str">
        <f>$Z$2</f>
        <v>EMPTY</v>
      </c>
      <c r="T108" s="44" t="str">
        <f>$Z$3</f>
        <v>DIAG_BOTH</v>
      </c>
      <c r="V108" s="54" t="b">
        <f t="shared" si="15"/>
        <v>0</v>
      </c>
      <c r="W108" t="b">
        <f t="shared" si="16"/>
        <v>1</v>
      </c>
      <c r="X108" t="b">
        <f t="shared" si="17"/>
        <v>0</v>
      </c>
      <c r="AG108" s="82" t="str">
        <f t="shared" si="18"/>
        <v xml:space="preserve">    { 106, 103, 106, 104, wxString::FromUTF8("\xC2\xAC"), Connection::DIAG_FRONT, Connection::DIAG_BACK, Connection::EMPTY, Connection::DIAG_BOTH }</v>
      </c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1"/>
    </row>
    <row r="109" spans="1:44" x14ac:dyDescent="0.4">
      <c r="A109" s="7" t="s">
        <v>88</v>
      </c>
      <c r="B109" s="6" t="str">
        <f t="shared" si="12"/>
        <v>®</v>
      </c>
      <c r="C109" s="71" cm="1">
        <f t="array" ref="C109">IF($M109&lt;&gt;"",INDEX($M:$M,MATCH(TRUE,EXACT(B109,$A:$A),0)),"")</f>
        <v>107</v>
      </c>
      <c r="D109" s="61" t="s">
        <v>89</v>
      </c>
      <c r="E109" s="71" cm="1">
        <f t="array" ref="E109">IF($M109&lt;&gt;"",INDEX($M:$M,MATCH(TRUE,EXACT(D109,$A:$A),0)),"")</f>
        <v>108</v>
      </c>
      <c r="F109" s="61" t="s">
        <v>89</v>
      </c>
      <c r="G109" s="71" cm="1">
        <f t="array" ref="G109">IF($M109&lt;&gt;"",INDEX($M:$M,MATCH(TRUE,EXACT(F109,$A:$A),0)),"")</f>
        <v>108</v>
      </c>
      <c r="H109" s="61" t="s">
        <v>91</v>
      </c>
      <c r="I109" s="75" cm="1">
        <f t="array" ref="I109">IF($M109&lt;&gt;"",INDEX($M:$M,MATCH(TRUE,EXACT(H109,$A:$A),0)),"")</f>
        <v>110</v>
      </c>
      <c r="J109" s="46"/>
      <c r="K109" s="56"/>
      <c r="L109" s="41" t="b">
        <f t="shared" si="13"/>
        <v>1</v>
      </c>
      <c r="M109" s="42">
        <f>IF(L109, MAX(M$2:M108)+1,"")</f>
        <v>107</v>
      </c>
      <c r="N109" s="46" t="str">
        <f t="shared" si="14"/>
        <v>®</v>
      </c>
      <c r="O109" s="8" t="str" cm="1">
        <f t="array" ref="O109">CharToUTF8(A109)</f>
        <v>\xC2\xAE</v>
      </c>
      <c r="Q109" s="41" t="str">
        <f>$Z$2</f>
        <v>EMPTY</v>
      </c>
      <c r="R109" s="47" t="str">
        <f>$Z$5</f>
        <v>DIAG_FRONT</v>
      </c>
      <c r="S109" s="47" t="str">
        <f>$Z$6</f>
        <v>DIAG_BACK</v>
      </c>
      <c r="T109" s="44" t="str">
        <f>$Z$2</f>
        <v>EMPTY</v>
      </c>
      <c r="V109" s="54" t="b">
        <f t="shared" si="15"/>
        <v>0</v>
      </c>
      <c r="W109" t="b">
        <f t="shared" si="16"/>
        <v>0</v>
      </c>
      <c r="X109" t="b">
        <f t="shared" si="17"/>
        <v>0</v>
      </c>
      <c r="AG109" s="82" t="str">
        <f t="shared" si="18"/>
        <v xml:space="preserve">    { 107, 108, 108, 110, wxString::FromUTF8("\xC2\xAE"), Connection::EMPTY, Connection::DIAG_FRONT, Connection::DIAG_BACK, Connection::EMPTY }</v>
      </c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1"/>
    </row>
    <row r="110" spans="1:44" x14ac:dyDescent="0.4">
      <c r="A110" s="7" t="s">
        <v>89</v>
      </c>
      <c r="B110" s="6" t="str">
        <f t="shared" si="12"/>
        <v>¯</v>
      </c>
      <c r="C110" s="71" cm="1">
        <f t="array" ref="C110">IF($M110&lt;&gt;"",INDEX($M:$M,MATCH(TRUE,EXACT(B110,$A:$A),0)),"")</f>
        <v>108</v>
      </c>
      <c r="D110" s="61" t="s">
        <v>90</v>
      </c>
      <c r="E110" s="71" cm="1">
        <f t="array" ref="E110">IF($M110&lt;&gt;"",INDEX($M:$M,MATCH(TRUE,EXACT(D110,$A:$A),0)),"")</f>
        <v>109</v>
      </c>
      <c r="F110" s="61" t="s">
        <v>88</v>
      </c>
      <c r="G110" s="71" cm="1">
        <f t="array" ref="G110">IF($M110&lt;&gt;"",INDEX($M:$M,MATCH(TRUE,EXACT(F110,$A:$A),0)),"")</f>
        <v>107</v>
      </c>
      <c r="H110" s="61" t="s">
        <v>90</v>
      </c>
      <c r="I110" s="75" cm="1">
        <f t="array" ref="I110">IF($M110&lt;&gt;"",INDEX($M:$M,MATCH(TRUE,EXACT(H110,$A:$A),0)),"")</f>
        <v>109</v>
      </c>
      <c r="J110" s="46"/>
      <c r="K110" s="56"/>
      <c r="L110" s="41" t="b">
        <f t="shared" si="13"/>
        <v>1</v>
      </c>
      <c r="M110" s="42">
        <f>IF(L110, MAX(M$2:M109)+1,"")</f>
        <v>108</v>
      </c>
      <c r="N110" s="46" t="str">
        <f t="shared" si="14"/>
        <v>¯</v>
      </c>
      <c r="O110" s="8" t="str" cm="1">
        <f t="array" ref="O110">CharToUTF8(A110)</f>
        <v>\xC2\xAF</v>
      </c>
      <c r="Q110" s="41" t="str">
        <f>$Z$6</f>
        <v>DIAG_BACK</v>
      </c>
      <c r="R110" s="47" t="str">
        <f>$Z$2</f>
        <v>EMPTY</v>
      </c>
      <c r="S110" s="47" t="str">
        <f>$Z$5</f>
        <v>DIAG_FRONT</v>
      </c>
      <c r="T110" s="44" t="str">
        <f>$Z$2</f>
        <v>EMPTY</v>
      </c>
      <c r="V110" s="54" t="b">
        <f t="shared" si="15"/>
        <v>0</v>
      </c>
      <c r="W110" t="b">
        <f t="shared" si="16"/>
        <v>0</v>
      </c>
      <c r="X110" t="b">
        <f t="shared" si="17"/>
        <v>0</v>
      </c>
      <c r="AG110" s="82" t="str">
        <f t="shared" si="18"/>
        <v xml:space="preserve">    { 108, 109, 107, 109, wxString::FromUTF8("\xC2\xAF"), Connection::DIAG_BACK, Connection::EMPTY, Connection::DIAG_FRONT, Connection::EMPTY }</v>
      </c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1"/>
    </row>
    <row r="111" spans="1:44" x14ac:dyDescent="0.4">
      <c r="A111" s="7" t="s">
        <v>90</v>
      </c>
      <c r="B111" s="6" t="str">
        <f t="shared" si="12"/>
        <v>°</v>
      </c>
      <c r="C111" s="71" cm="1">
        <f t="array" ref="C111">IF($M111&lt;&gt;"",INDEX($M:$M,MATCH(TRUE,EXACT(B111,$A:$A),0)),"")</f>
        <v>109</v>
      </c>
      <c r="D111" s="61" t="s">
        <v>91</v>
      </c>
      <c r="E111" s="71" cm="1">
        <f t="array" ref="E111">IF($M111&lt;&gt;"",INDEX($M:$M,MATCH(TRUE,EXACT(D111,$A:$A),0)),"")</f>
        <v>110</v>
      </c>
      <c r="F111" s="61" t="s">
        <v>91</v>
      </c>
      <c r="G111" s="71" cm="1">
        <f t="array" ref="G111">IF($M111&lt;&gt;"",INDEX($M:$M,MATCH(TRUE,EXACT(F111,$A:$A),0)),"")</f>
        <v>110</v>
      </c>
      <c r="H111" s="61" t="s">
        <v>89</v>
      </c>
      <c r="I111" s="75" cm="1">
        <f t="array" ref="I111">IF($M111&lt;&gt;"",INDEX($M:$M,MATCH(TRUE,EXACT(H111,$A:$A),0)),"")</f>
        <v>108</v>
      </c>
      <c r="J111" s="46"/>
      <c r="K111" s="56"/>
      <c r="L111" s="41" t="b">
        <f t="shared" si="13"/>
        <v>1</v>
      </c>
      <c r="M111" s="42">
        <f>IF(L111, MAX(M$2:M110)+1,"")</f>
        <v>109</v>
      </c>
      <c r="N111" s="46" t="str">
        <f t="shared" si="14"/>
        <v>°</v>
      </c>
      <c r="O111" s="8" t="str" cm="1">
        <f t="array" ref="O111">CharToUTF8(A111)</f>
        <v>\xC2\xB0</v>
      </c>
      <c r="Q111" s="41" t="str">
        <f>$Z$5</f>
        <v>DIAG_FRONT</v>
      </c>
      <c r="R111" s="47" t="str">
        <f>$Z$2</f>
        <v>EMPTY</v>
      </c>
      <c r="S111" s="47" t="str">
        <f>$Z$2</f>
        <v>EMPTY</v>
      </c>
      <c r="T111" s="44" t="str">
        <f>$Z$6</f>
        <v>DIAG_BACK</v>
      </c>
      <c r="V111" s="54" t="b">
        <f t="shared" si="15"/>
        <v>0</v>
      </c>
      <c r="W111" t="b">
        <f t="shared" si="16"/>
        <v>0</v>
      </c>
      <c r="X111" t="b">
        <f t="shared" si="17"/>
        <v>0</v>
      </c>
      <c r="AG111" s="82" t="str">
        <f t="shared" si="18"/>
        <v xml:space="preserve">    { 109, 110, 110, 108, wxString::FromUTF8("\xC2\xB0"), Connection::DIAG_FRONT, Connection::EMPTY, Connection::EMPTY, Connection::DIAG_BACK }</v>
      </c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1"/>
    </row>
    <row r="112" spans="1:44" x14ac:dyDescent="0.4">
      <c r="A112" s="7" t="s">
        <v>91</v>
      </c>
      <c r="B112" s="6" t="str">
        <f t="shared" si="12"/>
        <v>±</v>
      </c>
      <c r="C112" s="71" cm="1">
        <f t="array" ref="C112">IF($M112&lt;&gt;"",INDEX($M:$M,MATCH(TRUE,EXACT(B112,$A:$A),0)),"")</f>
        <v>110</v>
      </c>
      <c r="D112" s="61" t="s">
        <v>88</v>
      </c>
      <c r="E112" s="71" cm="1">
        <f t="array" ref="E112">IF($M112&lt;&gt;"",INDEX($M:$M,MATCH(TRUE,EXACT(D112,$A:$A),0)),"")</f>
        <v>107</v>
      </c>
      <c r="F112" s="61" t="s">
        <v>90</v>
      </c>
      <c r="G112" s="71" cm="1">
        <f t="array" ref="G112">IF($M112&lt;&gt;"",INDEX($M:$M,MATCH(TRUE,EXACT(F112,$A:$A),0)),"")</f>
        <v>109</v>
      </c>
      <c r="H112" s="61" t="s">
        <v>88</v>
      </c>
      <c r="I112" s="75" cm="1">
        <f t="array" ref="I112">IF($M112&lt;&gt;"",INDEX($M:$M,MATCH(TRUE,EXACT(H112,$A:$A),0)),"")</f>
        <v>107</v>
      </c>
      <c r="J112" s="46"/>
      <c r="K112" s="56"/>
      <c r="L112" s="41" t="b">
        <f t="shared" si="13"/>
        <v>1</v>
      </c>
      <c r="M112" s="42">
        <f>IF(L112, MAX(M$2:M111)+1,"")</f>
        <v>110</v>
      </c>
      <c r="N112" s="46" t="str">
        <f t="shared" si="14"/>
        <v>±</v>
      </c>
      <c r="O112" s="8" t="str" cm="1">
        <f t="array" ref="O112">CharToUTF8(A112)</f>
        <v>\xC2\xB1</v>
      </c>
      <c r="Q112" s="41" t="str">
        <f>$Z$2</f>
        <v>EMPTY</v>
      </c>
      <c r="R112" s="47" t="str">
        <f>$Z$6</f>
        <v>DIAG_BACK</v>
      </c>
      <c r="S112" s="47" t="str">
        <f>$Z$2</f>
        <v>EMPTY</v>
      </c>
      <c r="T112" s="44" t="str">
        <f>$Z$5</f>
        <v>DIAG_FRONT</v>
      </c>
      <c r="V112" s="54" t="b">
        <f t="shared" si="15"/>
        <v>0</v>
      </c>
      <c r="W112" t="b">
        <f t="shared" si="16"/>
        <v>0</v>
      </c>
      <c r="X112" t="b">
        <f t="shared" si="17"/>
        <v>0</v>
      </c>
      <c r="AG112" s="82" t="str">
        <f t="shared" si="18"/>
        <v xml:space="preserve">    { 110, 107, 109, 107, wxString::FromUTF8("\xC2\xB1"), Connection::EMPTY, Connection::DIAG_BACK, Connection::EMPTY, Connection::DIAG_FRONT }</v>
      </c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1"/>
    </row>
    <row r="113" spans="1:44" x14ac:dyDescent="0.4">
      <c r="A113" s="7" t="s">
        <v>92</v>
      </c>
      <c r="B113" s="6" t="str">
        <f t="shared" si="12"/>
        <v>²</v>
      </c>
      <c r="C113" s="71" cm="1">
        <f t="array" ref="C113">IF($M113&lt;&gt;"",INDEX($M:$M,MATCH(TRUE,EXACT(B113,$A:$A),0)),"")</f>
        <v>111</v>
      </c>
      <c r="D113" s="61" t="s">
        <v>93</v>
      </c>
      <c r="E113" s="71" cm="1">
        <f t="array" ref="E113">IF($M113&lt;&gt;"",INDEX($M:$M,MATCH(TRUE,EXACT(D113,$A:$A),0)),"")</f>
        <v>112</v>
      </c>
      <c r="F113" s="61" t="s">
        <v>94</v>
      </c>
      <c r="G113" s="71" cm="1">
        <f t="array" ref="G113">IF($M113&lt;&gt;"",INDEX($M:$M,MATCH(TRUE,EXACT(F113,$A:$A),0)),"")</f>
        <v>113</v>
      </c>
      <c r="H113" s="61" t="s">
        <v>92</v>
      </c>
      <c r="I113" s="75" cm="1">
        <f t="array" ref="I113">IF($M113&lt;&gt;"",INDEX($M:$M,MATCH(TRUE,EXACT(H113,$A:$A),0)),"")</f>
        <v>111</v>
      </c>
      <c r="J113" s="46"/>
      <c r="K113" s="56"/>
      <c r="L113" s="41" t="b">
        <f t="shared" si="13"/>
        <v>1</v>
      </c>
      <c r="M113" s="42">
        <f>IF(L113, MAX(M$2:M112)+1,"")</f>
        <v>111</v>
      </c>
      <c r="N113" s="46" t="str">
        <f t="shared" si="14"/>
        <v>²</v>
      </c>
      <c r="O113" s="8" t="str" cm="1">
        <f t="array" ref="O113">CharToUTF8(A113)</f>
        <v>\xC2\xB2</v>
      </c>
      <c r="Q113" s="41" t="str">
        <f>$Z$4</f>
        <v>ORTHO_BOTH</v>
      </c>
      <c r="R113" s="47" t="str">
        <f>$Z$4</f>
        <v>ORTHO_BOTH</v>
      </c>
      <c r="S113" s="47" t="str">
        <f>$Z$8</f>
        <v>ORTHO_DOWN</v>
      </c>
      <c r="T113" s="44" t="str">
        <f>$Z$8</f>
        <v>ORTHO_DOWN</v>
      </c>
      <c r="V113" s="54" t="b">
        <f t="shared" si="15"/>
        <v>0</v>
      </c>
      <c r="W113" t="b">
        <f t="shared" si="16"/>
        <v>0</v>
      </c>
      <c r="X113" t="b">
        <f t="shared" si="17"/>
        <v>1</v>
      </c>
      <c r="AG113" s="82" t="str">
        <f t="shared" si="18"/>
        <v xml:space="preserve">    { 111, 112, 113, 111, wxString::FromUTF8("\xC2\xB2"), Connection::ORTHO_BOTH, Connection::ORTHO_BOTH, Connection::ORTHO_DOWN, Connection::ORTHO_DOWN }</v>
      </c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1"/>
    </row>
    <row r="114" spans="1:44" ht="31.5" customHeight="1" x14ac:dyDescent="0.4">
      <c r="A114" s="7" t="s">
        <v>93</v>
      </c>
      <c r="B114" s="6" t="str">
        <f t="shared" si="12"/>
        <v>³</v>
      </c>
      <c r="C114" s="71" cm="1">
        <f t="array" ref="C114">IF($M114&lt;&gt;"",INDEX($M:$M,MATCH(TRUE,EXACT(B114,$A:$A),0)),"")</f>
        <v>112</v>
      </c>
      <c r="D114" s="61" t="s">
        <v>94</v>
      </c>
      <c r="E114" s="71" cm="1">
        <f t="array" ref="E114">IF($M114&lt;&gt;"",INDEX($M:$M,MATCH(TRUE,EXACT(D114,$A:$A),0)),"")</f>
        <v>113</v>
      </c>
      <c r="F114" s="61" t="s">
        <v>93</v>
      </c>
      <c r="G114" s="71" cm="1">
        <f t="array" ref="G114">IF($M114&lt;&gt;"",INDEX($M:$M,MATCH(TRUE,EXACT(F114,$A:$A),0)),"")</f>
        <v>112</v>
      </c>
      <c r="H114" s="61" t="s">
        <v>95</v>
      </c>
      <c r="I114" s="75" cm="1">
        <f t="array" ref="I114">IF($M114&lt;&gt;"",INDEX($M:$M,MATCH(TRUE,EXACT(H114,$A:$A),0)),"")</f>
        <v>114</v>
      </c>
      <c r="J114" s="46"/>
      <c r="K114" s="56"/>
      <c r="L114" s="41" t="b">
        <f t="shared" si="13"/>
        <v>1</v>
      </c>
      <c r="M114" s="42">
        <f>IF(L114, MAX(M$2:M113)+1,"")</f>
        <v>112</v>
      </c>
      <c r="N114" s="46" t="str">
        <f t="shared" si="14"/>
        <v>³</v>
      </c>
      <c r="O114" s="8" t="str" cm="1">
        <f t="array" ref="O114">CharToUTF8(A114)</f>
        <v>\xC2\xB3</v>
      </c>
      <c r="Q114" s="41" t="str">
        <f>$Z$9</f>
        <v>ORTHO_LEFT</v>
      </c>
      <c r="R114" s="47" t="str">
        <f>$Z$9</f>
        <v>ORTHO_LEFT</v>
      </c>
      <c r="S114" s="47" t="str">
        <f>$Z$4</f>
        <v>ORTHO_BOTH</v>
      </c>
      <c r="T114" s="44" t="str">
        <f>$Z$4</f>
        <v>ORTHO_BOTH</v>
      </c>
      <c r="V114" s="54" t="b">
        <f t="shared" si="15"/>
        <v>0</v>
      </c>
      <c r="W114" t="b">
        <f t="shared" si="16"/>
        <v>1</v>
      </c>
      <c r="X114" t="b">
        <f t="shared" si="17"/>
        <v>0</v>
      </c>
      <c r="AG114" s="82" t="str">
        <f t="shared" si="18"/>
        <v xml:space="preserve">    { 112, 113, 112, 114, wxString::FromUTF8("\xC2\xB3"), Connection::ORTHO_LEFT, Connection::ORTHO_LEFT, Connection::ORTHO_BOTH, Connection::ORTHO_BOTH }</v>
      </c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1"/>
    </row>
    <row r="115" spans="1:44" x14ac:dyDescent="0.4">
      <c r="A115" s="7" t="s">
        <v>94</v>
      </c>
      <c r="B115" s="6" t="str">
        <f t="shared" si="12"/>
        <v>´</v>
      </c>
      <c r="C115" s="71" cm="1">
        <f t="array" ref="C115">IF($M115&lt;&gt;"",INDEX($M:$M,MATCH(TRUE,EXACT(B115,$A:$A),0)),"")</f>
        <v>113</v>
      </c>
      <c r="D115" s="61" t="s">
        <v>95</v>
      </c>
      <c r="E115" s="71" cm="1">
        <f t="array" ref="E115">IF($M115&lt;&gt;"",INDEX($M:$M,MATCH(TRUE,EXACT(D115,$A:$A),0)),"")</f>
        <v>114</v>
      </c>
      <c r="F115" s="61" t="s">
        <v>92</v>
      </c>
      <c r="G115" s="71" cm="1">
        <f t="array" ref="G115">IF($M115&lt;&gt;"",INDEX($M:$M,MATCH(TRUE,EXACT(F115,$A:$A),0)),"")</f>
        <v>111</v>
      </c>
      <c r="H115" s="61" t="s">
        <v>94</v>
      </c>
      <c r="I115" s="75" cm="1">
        <f t="array" ref="I115">IF($M115&lt;&gt;"",INDEX($M:$M,MATCH(TRUE,EXACT(H115,$A:$A),0)),"")</f>
        <v>113</v>
      </c>
      <c r="J115" s="46"/>
      <c r="K115" s="56"/>
      <c r="L115" s="41" t="b">
        <f t="shared" si="13"/>
        <v>1</v>
      </c>
      <c r="M115" s="42">
        <f>IF(L115, MAX(M$2:M114)+1,"")</f>
        <v>113</v>
      </c>
      <c r="N115" s="46" t="str">
        <f t="shared" si="14"/>
        <v>´</v>
      </c>
      <c r="O115" s="8" t="str" cm="1">
        <f t="array" ref="O115">CharToUTF8(A115)</f>
        <v>\xC2\xB4</v>
      </c>
      <c r="Q115" s="41" t="str">
        <f>$Z$4</f>
        <v>ORTHO_BOTH</v>
      </c>
      <c r="R115" s="47" t="str">
        <f>$Z$4</f>
        <v>ORTHO_BOTH</v>
      </c>
      <c r="S115" s="47" t="str">
        <f>$Z$7</f>
        <v>ORTHO_UP</v>
      </c>
      <c r="T115" s="44" t="str">
        <f>$Z$7</f>
        <v>ORTHO_UP</v>
      </c>
      <c r="V115" s="54" t="b">
        <f t="shared" si="15"/>
        <v>0</v>
      </c>
      <c r="W115" t="b">
        <f t="shared" si="16"/>
        <v>0</v>
      </c>
      <c r="X115" t="b">
        <f t="shared" si="17"/>
        <v>1</v>
      </c>
      <c r="AG115" s="82" t="str">
        <f t="shared" si="18"/>
        <v xml:space="preserve">    { 113, 114, 111, 113, wxString::FromUTF8("\xC2\xB4"), Connection::ORTHO_BOTH, Connection::ORTHO_BOTH, Connection::ORTHO_UP, Connection::ORTHO_UP }</v>
      </c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1"/>
    </row>
    <row r="116" spans="1:44" x14ac:dyDescent="0.4">
      <c r="A116" s="7" t="s">
        <v>95</v>
      </c>
      <c r="B116" s="6" t="str">
        <f t="shared" si="12"/>
        <v>µ</v>
      </c>
      <c r="C116" s="71" cm="1">
        <f t="array" ref="C116">IF($M116&lt;&gt;"",INDEX($M:$M,MATCH(TRUE,EXACT(B116,$A:$A),0)),"")</f>
        <v>114</v>
      </c>
      <c r="D116" s="61" t="s">
        <v>92</v>
      </c>
      <c r="E116" s="71" cm="1">
        <f t="array" ref="E116">IF($M116&lt;&gt;"",INDEX($M:$M,MATCH(TRUE,EXACT(D116,$A:$A),0)),"")</f>
        <v>111</v>
      </c>
      <c r="F116" s="61" t="s">
        <v>95</v>
      </c>
      <c r="G116" s="71" cm="1">
        <f t="array" ref="G116">IF($M116&lt;&gt;"",INDEX($M:$M,MATCH(TRUE,EXACT(F116,$A:$A),0)),"")</f>
        <v>114</v>
      </c>
      <c r="H116" s="61" t="s">
        <v>93</v>
      </c>
      <c r="I116" s="75" cm="1">
        <f t="array" ref="I116">IF($M116&lt;&gt;"",INDEX($M:$M,MATCH(TRUE,EXACT(H116,$A:$A),0)),"")</f>
        <v>112</v>
      </c>
      <c r="J116" s="46"/>
      <c r="K116" s="56"/>
      <c r="L116" s="41" t="b">
        <f t="shared" si="13"/>
        <v>1</v>
      </c>
      <c r="M116" s="42">
        <f>IF(L116, MAX(M$2:M115)+1,"")</f>
        <v>114</v>
      </c>
      <c r="N116" s="46" t="str">
        <f t="shared" si="14"/>
        <v>µ</v>
      </c>
      <c r="O116" s="8" t="str" cm="1">
        <f t="array" ref="O116">CharToUTF8(A116)</f>
        <v>\xC2\xB5</v>
      </c>
      <c r="Q116" s="41" t="str">
        <f>$Z$10</f>
        <v>ORTHO_RIGHT</v>
      </c>
      <c r="R116" s="47" t="str">
        <f>$Z$10</f>
        <v>ORTHO_RIGHT</v>
      </c>
      <c r="S116" s="47" t="str">
        <f>$Z$4</f>
        <v>ORTHO_BOTH</v>
      </c>
      <c r="T116" s="44" t="str">
        <f>$Z$4</f>
        <v>ORTHO_BOTH</v>
      </c>
      <c r="V116" s="54" t="b">
        <f t="shared" si="15"/>
        <v>0</v>
      </c>
      <c r="W116" t="b">
        <f t="shared" si="16"/>
        <v>1</v>
      </c>
      <c r="X116" t="b">
        <f t="shared" si="17"/>
        <v>0</v>
      </c>
      <c r="AG116" s="82" t="str">
        <f t="shared" si="18"/>
        <v xml:space="preserve">    { 114, 111, 114, 112, wxString::FromUTF8("\xC2\xB5"), Connection::ORTHO_RIGHT, Connection::ORTHO_RIGHT, Connection::ORTHO_BOTH, Connection::ORTHO_BOTH }</v>
      </c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1"/>
    </row>
    <row r="117" spans="1:44" x14ac:dyDescent="0.4">
      <c r="A117" s="7" t="s">
        <v>96</v>
      </c>
      <c r="B117" s="6" t="str">
        <f t="shared" si="12"/>
        <v>¶</v>
      </c>
      <c r="C117" s="71" cm="1">
        <f t="array" ref="C117">IF($M117&lt;&gt;"",INDEX($M:$M,MATCH(TRUE,EXACT(B117,$A:$A),0)),"")</f>
        <v>115</v>
      </c>
      <c r="D117" s="61" t="s">
        <v>97</v>
      </c>
      <c r="E117" s="71" cm="1">
        <f t="array" ref="E117">IF($M117&lt;&gt;"",INDEX($M:$M,MATCH(TRUE,EXACT(D117,$A:$A),0)),"")</f>
        <v>116</v>
      </c>
      <c r="F117" s="61" t="s">
        <v>97</v>
      </c>
      <c r="G117" s="71" cm="1">
        <f t="array" ref="G117">IF($M117&lt;&gt;"",INDEX($M:$M,MATCH(TRUE,EXACT(F117,$A:$A),0)),"")</f>
        <v>116</v>
      </c>
      <c r="H117" s="61" t="s">
        <v>99</v>
      </c>
      <c r="I117" s="75" cm="1">
        <f t="array" ref="I117">IF($M117&lt;&gt;"",INDEX($M:$M,MATCH(TRUE,EXACT(H117,$A:$A),0)),"")</f>
        <v>118</v>
      </c>
      <c r="J117" s="46"/>
      <c r="K117" s="56"/>
      <c r="L117" s="41" t="b">
        <f t="shared" si="13"/>
        <v>1</v>
      </c>
      <c r="M117" s="42">
        <f>IF(L117, MAX(M$2:M116)+1,"")</f>
        <v>115</v>
      </c>
      <c r="N117" s="46" t="str">
        <f t="shared" si="14"/>
        <v>¶</v>
      </c>
      <c r="O117" s="8" t="str" cm="1">
        <f t="array" ref="O117">CharToUTF8(A117)</f>
        <v>\xC2\xB6</v>
      </c>
      <c r="Q117" s="41" t="str">
        <f>$Z$9</f>
        <v>ORTHO_LEFT</v>
      </c>
      <c r="R117" s="47" t="str">
        <f>$Z$9</f>
        <v>ORTHO_LEFT</v>
      </c>
      <c r="S117" s="47" t="str">
        <f>$Z$8</f>
        <v>ORTHO_DOWN</v>
      </c>
      <c r="T117" s="44" t="str">
        <f>$Z$8</f>
        <v>ORTHO_DOWN</v>
      </c>
      <c r="V117" s="54" t="b">
        <f t="shared" si="15"/>
        <v>0</v>
      </c>
      <c r="W117" t="b">
        <f t="shared" si="16"/>
        <v>0</v>
      </c>
      <c r="X117" t="b">
        <f t="shared" si="17"/>
        <v>0</v>
      </c>
      <c r="AG117" s="82" t="str">
        <f t="shared" si="18"/>
        <v xml:space="preserve">    { 115, 116, 116, 118, wxString::FromUTF8("\xC2\xB6"), Connection::ORTHO_LEFT, Connection::ORTHO_LEFT, Connection::ORTHO_DOWN, Connection::ORTHO_DOWN }</v>
      </c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1"/>
    </row>
    <row r="118" spans="1:44" x14ac:dyDescent="0.4">
      <c r="A118" s="7" t="s">
        <v>97</v>
      </c>
      <c r="B118" s="6" t="str">
        <f t="shared" si="12"/>
        <v>¸</v>
      </c>
      <c r="C118" s="71" cm="1">
        <f t="array" ref="C118">IF($M118&lt;&gt;"",INDEX($M:$M,MATCH(TRUE,EXACT(B118,$A:$A),0)),"")</f>
        <v>116</v>
      </c>
      <c r="D118" s="61" t="s">
        <v>98</v>
      </c>
      <c r="E118" s="71" cm="1">
        <f t="array" ref="E118">IF($M118&lt;&gt;"",INDEX($M:$M,MATCH(TRUE,EXACT(D118,$A:$A),0)),"")</f>
        <v>117</v>
      </c>
      <c r="F118" s="61" t="s">
        <v>96</v>
      </c>
      <c r="G118" s="71" cm="1">
        <f t="array" ref="G118">IF($M118&lt;&gt;"",INDEX($M:$M,MATCH(TRUE,EXACT(F118,$A:$A),0)),"")</f>
        <v>115</v>
      </c>
      <c r="H118" s="61" t="s">
        <v>98</v>
      </c>
      <c r="I118" s="75" cm="1">
        <f t="array" ref="I118">IF($M118&lt;&gt;"",INDEX($M:$M,MATCH(TRUE,EXACT(H118,$A:$A),0)),"")</f>
        <v>117</v>
      </c>
      <c r="J118" s="46"/>
      <c r="K118" s="56"/>
      <c r="L118" s="41" t="b">
        <f t="shared" si="13"/>
        <v>1</v>
      </c>
      <c r="M118" s="42">
        <f>IF(L118, MAX(M$2:M117)+1,"")</f>
        <v>116</v>
      </c>
      <c r="N118" s="46" t="str">
        <f t="shared" si="14"/>
        <v>¸</v>
      </c>
      <c r="O118" s="8" t="str" cm="1">
        <f t="array" ref="O118">CharToUTF8(A118)</f>
        <v>\xC2\xB8</v>
      </c>
      <c r="Q118" s="41" t="str">
        <f>$Z$9</f>
        <v>ORTHO_LEFT</v>
      </c>
      <c r="R118" s="47" t="str">
        <f>$Z$9</f>
        <v>ORTHO_LEFT</v>
      </c>
      <c r="S118" s="47" t="str">
        <f>$Z$7</f>
        <v>ORTHO_UP</v>
      </c>
      <c r="T118" s="44" t="str">
        <f>$Z$7</f>
        <v>ORTHO_UP</v>
      </c>
      <c r="V118" s="54" t="b">
        <f t="shared" si="15"/>
        <v>0</v>
      </c>
      <c r="W118" t="b">
        <f t="shared" si="16"/>
        <v>0</v>
      </c>
      <c r="X118" t="b">
        <f t="shared" si="17"/>
        <v>0</v>
      </c>
      <c r="AG118" s="82" t="str">
        <f t="shared" si="18"/>
        <v xml:space="preserve">    { 116, 117, 115, 117, wxString::FromUTF8("\xC2\xB8"), Connection::ORTHO_LEFT, Connection::ORTHO_LEFT, Connection::ORTHO_UP, Connection::ORTHO_UP }</v>
      </c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1"/>
    </row>
    <row r="119" spans="1:44" x14ac:dyDescent="0.4">
      <c r="A119" s="7" t="s">
        <v>98</v>
      </c>
      <c r="B119" s="6" t="str">
        <f t="shared" si="12"/>
        <v>¹</v>
      </c>
      <c r="C119" s="71" cm="1">
        <f t="array" ref="C119">IF($M119&lt;&gt;"",INDEX($M:$M,MATCH(TRUE,EXACT(B119,$A:$A),0)),"")</f>
        <v>117</v>
      </c>
      <c r="D119" s="61" t="s">
        <v>99</v>
      </c>
      <c r="E119" s="71" cm="1">
        <f t="array" ref="E119">IF($M119&lt;&gt;"",INDEX($M:$M,MATCH(TRUE,EXACT(D119,$A:$A),0)),"")</f>
        <v>118</v>
      </c>
      <c r="F119" s="61" t="s">
        <v>99</v>
      </c>
      <c r="G119" s="71" cm="1">
        <f t="array" ref="G119">IF($M119&lt;&gt;"",INDEX($M:$M,MATCH(TRUE,EXACT(F119,$A:$A),0)),"")</f>
        <v>118</v>
      </c>
      <c r="H119" s="61" t="s">
        <v>97</v>
      </c>
      <c r="I119" s="75" cm="1">
        <f t="array" ref="I119">IF($M119&lt;&gt;"",INDEX($M:$M,MATCH(TRUE,EXACT(H119,$A:$A),0)),"")</f>
        <v>116</v>
      </c>
      <c r="J119" s="46"/>
      <c r="K119" s="56"/>
      <c r="L119" s="41" t="b">
        <f t="shared" si="13"/>
        <v>1</v>
      </c>
      <c r="M119" s="42">
        <f>IF(L119, MAX(M$2:M118)+1,"")</f>
        <v>117</v>
      </c>
      <c r="N119" s="46" t="str">
        <f t="shared" si="14"/>
        <v>¹</v>
      </c>
      <c r="O119" s="8" t="str" cm="1">
        <f t="array" ref="O119">CharToUTF8(A119)</f>
        <v>\xC2\xB9</v>
      </c>
      <c r="Q119" s="41" t="str">
        <f t="shared" ref="Q119:R121" si="21">$Z$10</f>
        <v>ORTHO_RIGHT</v>
      </c>
      <c r="R119" s="47" t="str">
        <f t="shared" si="21"/>
        <v>ORTHO_RIGHT</v>
      </c>
      <c r="S119" s="47" t="str">
        <f>$Z$7</f>
        <v>ORTHO_UP</v>
      </c>
      <c r="T119" s="44" t="str">
        <f>$Z$7</f>
        <v>ORTHO_UP</v>
      </c>
      <c r="V119" s="54" t="b">
        <f t="shared" si="15"/>
        <v>0</v>
      </c>
      <c r="W119" t="b">
        <f t="shared" si="16"/>
        <v>0</v>
      </c>
      <c r="X119" t="b">
        <f t="shared" si="17"/>
        <v>0</v>
      </c>
      <c r="AG119" s="82" t="str">
        <f t="shared" si="18"/>
        <v xml:space="preserve">    { 117, 118, 118, 116, wxString::FromUTF8("\xC2\xB9"), Connection::ORTHO_RIGHT, Connection::ORTHO_RIGHT, Connection::ORTHO_UP, Connection::ORTHO_UP }</v>
      </c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1"/>
    </row>
    <row r="120" spans="1:44" x14ac:dyDescent="0.4">
      <c r="A120" s="7" t="s">
        <v>99</v>
      </c>
      <c r="B120" s="6" t="str">
        <f t="shared" si="12"/>
        <v>º</v>
      </c>
      <c r="C120" s="71" cm="1">
        <f t="array" ref="C120">IF($M120&lt;&gt;"",INDEX($M:$M,MATCH(TRUE,EXACT(B120,$A:$A),0)),"")</f>
        <v>118</v>
      </c>
      <c r="D120" s="61" t="s">
        <v>96</v>
      </c>
      <c r="E120" s="71" cm="1">
        <f t="array" ref="E120">IF($M120&lt;&gt;"",INDEX($M:$M,MATCH(TRUE,EXACT(D120,$A:$A),0)),"")</f>
        <v>115</v>
      </c>
      <c r="F120" s="61" t="s">
        <v>98</v>
      </c>
      <c r="G120" s="71" cm="1">
        <f t="array" ref="G120">IF($M120&lt;&gt;"",INDEX($M:$M,MATCH(TRUE,EXACT(F120,$A:$A),0)),"")</f>
        <v>117</v>
      </c>
      <c r="H120" s="61" t="s">
        <v>96</v>
      </c>
      <c r="I120" s="75" cm="1">
        <f t="array" ref="I120">IF($M120&lt;&gt;"",INDEX($M:$M,MATCH(TRUE,EXACT(H120,$A:$A),0)),"")</f>
        <v>115</v>
      </c>
      <c r="J120" s="46"/>
      <c r="K120" s="56"/>
      <c r="L120" s="41" t="b">
        <f t="shared" si="13"/>
        <v>1</v>
      </c>
      <c r="M120" s="42">
        <f>IF(L120, MAX(M$2:M119)+1,"")</f>
        <v>118</v>
      </c>
      <c r="N120" s="46" t="str">
        <f t="shared" si="14"/>
        <v>º</v>
      </c>
      <c r="O120" s="8" t="str" cm="1">
        <f t="array" ref="O120">CharToUTF8(A120)</f>
        <v>\xC2\xBA</v>
      </c>
      <c r="Q120" s="41" t="str">
        <f t="shared" si="21"/>
        <v>ORTHO_RIGHT</v>
      </c>
      <c r="R120" s="47" t="str">
        <f t="shared" si="21"/>
        <v>ORTHO_RIGHT</v>
      </c>
      <c r="S120" s="47" t="str">
        <f>$Z$8</f>
        <v>ORTHO_DOWN</v>
      </c>
      <c r="T120" s="44" t="str">
        <f>$Z$8</f>
        <v>ORTHO_DOWN</v>
      </c>
      <c r="V120" s="54" t="b">
        <f t="shared" si="15"/>
        <v>0</v>
      </c>
      <c r="W120" t="b">
        <f t="shared" si="16"/>
        <v>0</v>
      </c>
      <c r="X120" t="b">
        <f t="shared" si="17"/>
        <v>0</v>
      </c>
      <c r="AG120" s="82" t="str">
        <f t="shared" si="18"/>
        <v xml:space="preserve">    { 118, 115, 117, 115, wxString::FromUTF8("\xC2\xBA"), Connection::ORTHO_RIGHT, Connection::ORTHO_RIGHT, Connection::ORTHO_DOWN, Connection::ORTHO_DOWN }</v>
      </c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1"/>
    </row>
    <row r="121" spans="1:44" x14ac:dyDescent="0.4">
      <c r="A121" s="7" t="s">
        <v>100</v>
      </c>
      <c r="B121" s="6" t="str">
        <f t="shared" si="12"/>
        <v>»</v>
      </c>
      <c r="C121" s="71" cm="1">
        <f t="array" ref="C121">IF($M121&lt;&gt;"",INDEX($M:$M,MATCH(TRUE,EXACT(B121,$A:$A),0)),"")</f>
        <v>119</v>
      </c>
      <c r="D121" s="61" t="s">
        <v>103</v>
      </c>
      <c r="E121" s="71" cm="1">
        <f t="array" ref="E121">IF($M121&lt;&gt;"",INDEX($M:$M,MATCH(TRUE,EXACT(D121,$A:$A),0)),"")</f>
        <v>122</v>
      </c>
      <c r="F121" s="61" t="s">
        <v>100</v>
      </c>
      <c r="G121" s="71" cm="1">
        <f t="array" ref="G121">IF($M121&lt;&gt;"",INDEX($M:$M,MATCH(TRUE,EXACT(F121,$A:$A),0)),"")</f>
        <v>119</v>
      </c>
      <c r="H121" s="61" t="s">
        <v>101</v>
      </c>
      <c r="I121" s="75" cm="1">
        <f t="array" ref="I121">IF($M121&lt;&gt;"",INDEX($M:$M,MATCH(TRUE,EXACT(H121,$A:$A),0)),"")</f>
        <v>120</v>
      </c>
      <c r="J121" s="46"/>
      <c r="K121" s="56"/>
      <c r="L121" s="41" t="b">
        <f t="shared" si="13"/>
        <v>1</v>
      </c>
      <c r="M121" s="42">
        <f>IF(L121, MAX(M$2:M120)+1,"")</f>
        <v>119</v>
      </c>
      <c r="N121" s="46" t="str">
        <f t="shared" si="14"/>
        <v>»</v>
      </c>
      <c r="O121" s="8" t="str" cm="1">
        <f t="array" ref="O121">CharToUTF8(A121)</f>
        <v>\xC2\xBB</v>
      </c>
      <c r="Q121" s="41" t="str">
        <f t="shared" si="21"/>
        <v>ORTHO_RIGHT</v>
      </c>
      <c r="R121" s="47" t="str">
        <f t="shared" si="21"/>
        <v>ORTHO_RIGHT</v>
      </c>
      <c r="S121" s="47" t="str">
        <f>$Z$2</f>
        <v>EMPTY</v>
      </c>
      <c r="T121" s="44" t="str">
        <f>$Z$3</f>
        <v>DIAG_BOTH</v>
      </c>
      <c r="V121" s="54" t="b">
        <f t="shared" si="15"/>
        <v>0</v>
      </c>
      <c r="W121" t="b">
        <f t="shared" si="16"/>
        <v>1</v>
      </c>
      <c r="X121" t="b">
        <f t="shared" si="17"/>
        <v>0</v>
      </c>
      <c r="AG121" s="82" t="str">
        <f t="shared" si="18"/>
        <v xml:space="preserve">    { 119, 122, 119, 120, wxString::FromUTF8("\xC2\xBB"), Connection::ORTHO_RIGHT, Connection::ORTHO_RIGHT, Connection::EMPTY, Connection::DIAG_BOTH }</v>
      </c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1"/>
    </row>
    <row r="122" spans="1:44" x14ac:dyDescent="0.4">
      <c r="A122" s="7" t="s">
        <v>101</v>
      </c>
      <c r="B122" s="6" t="str">
        <f t="shared" si="12"/>
        <v>¼</v>
      </c>
      <c r="C122" s="71" cm="1">
        <f t="array" ref="C122">IF($M122&lt;&gt;"",INDEX($M:$M,MATCH(TRUE,EXACT(B122,$A:$A),0)),"")</f>
        <v>120</v>
      </c>
      <c r="D122" s="61" t="s">
        <v>102</v>
      </c>
      <c r="E122" s="71" cm="1">
        <f t="array" ref="E122">IF($M122&lt;&gt;"",INDEX($M:$M,MATCH(TRUE,EXACT(D122,$A:$A),0)),"")</f>
        <v>121</v>
      </c>
      <c r="F122" s="61" t="s">
        <v>101</v>
      </c>
      <c r="G122" s="71" cm="1">
        <f t="array" ref="G122">IF($M122&lt;&gt;"",INDEX($M:$M,MATCH(TRUE,EXACT(F122,$A:$A),0)),"")</f>
        <v>120</v>
      </c>
      <c r="H122" s="61" t="s">
        <v>100</v>
      </c>
      <c r="I122" s="75" cm="1">
        <f t="array" ref="I122">IF($M122&lt;&gt;"",INDEX($M:$M,MATCH(TRUE,EXACT(H122,$A:$A),0)),"")</f>
        <v>119</v>
      </c>
      <c r="J122" s="46"/>
      <c r="K122" s="56"/>
      <c r="L122" s="41" t="b">
        <f t="shared" si="13"/>
        <v>1</v>
      </c>
      <c r="M122" s="42">
        <f>IF(L122, MAX(M$2:M121)+1,"")</f>
        <v>120</v>
      </c>
      <c r="N122" s="46" t="str">
        <f t="shared" si="14"/>
        <v>¼</v>
      </c>
      <c r="O122" s="8" t="str" cm="1">
        <f t="array" ref="O122">CharToUTF8(A122)</f>
        <v>\xC2\xBC</v>
      </c>
      <c r="Q122" s="41" t="str">
        <f>$Z$9</f>
        <v>ORTHO_LEFT</v>
      </c>
      <c r="R122" s="47" t="str">
        <f>$Z$9</f>
        <v>ORTHO_LEFT</v>
      </c>
      <c r="S122" s="47" t="str">
        <f>$Z$3</f>
        <v>DIAG_BOTH</v>
      </c>
      <c r="T122" s="44" t="str">
        <f>$Z$2</f>
        <v>EMPTY</v>
      </c>
      <c r="V122" s="54" t="b">
        <f t="shared" si="15"/>
        <v>0</v>
      </c>
      <c r="W122" t="b">
        <f t="shared" si="16"/>
        <v>1</v>
      </c>
      <c r="X122" t="b">
        <f t="shared" si="17"/>
        <v>0</v>
      </c>
      <c r="AG122" s="82" t="str">
        <f t="shared" si="18"/>
        <v xml:space="preserve">    { 120, 121, 120, 119, wxString::FromUTF8("\xC2\xBC"), Connection::ORTHO_LEFT, Connection::ORTHO_LEFT, Connection::DIAG_BOTH, Connection::EMPTY }</v>
      </c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1"/>
    </row>
    <row r="123" spans="1:44" x14ac:dyDescent="0.4">
      <c r="A123" s="7" t="s">
        <v>102</v>
      </c>
      <c r="B123" s="6" t="str">
        <f t="shared" si="12"/>
        <v>½</v>
      </c>
      <c r="C123" s="71" cm="1">
        <f t="array" ref="C123">IF($M123&lt;&gt;"",INDEX($M:$M,MATCH(TRUE,EXACT(B123,$A:$A),0)),"")</f>
        <v>121</v>
      </c>
      <c r="D123" s="61" t="s">
        <v>100</v>
      </c>
      <c r="E123" s="71" cm="1">
        <f t="array" ref="E123">IF($M123&lt;&gt;"",INDEX($M:$M,MATCH(TRUE,EXACT(D123,$A:$A),0)),"")</f>
        <v>119</v>
      </c>
      <c r="F123" s="61" t="s">
        <v>103</v>
      </c>
      <c r="G123" s="71" cm="1">
        <f t="array" ref="G123">IF($M123&lt;&gt;"",INDEX($M:$M,MATCH(TRUE,EXACT(F123,$A:$A),0)),"")</f>
        <v>122</v>
      </c>
      <c r="H123" s="61" t="s">
        <v>102</v>
      </c>
      <c r="I123" s="75" cm="1">
        <f t="array" ref="I123">IF($M123&lt;&gt;"",INDEX($M:$M,MATCH(TRUE,EXACT(H123,$A:$A),0)),"")</f>
        <v>121</v>
      </c>
      <c r="J123" s="46"/>
      <c r="K123" s="56"/>
      <c r="L123" s="41" t="b">
        <f t="shared" si="13"/>
        <v>1</v>
      </c>
      <c r="M123" s="42">
        <f>IF(L123, MAX(M$2:M122)+1,"")</f>
        <v>121</v>
      </c>
      <c r="N123" s="46" t="str">
        <f t="shared" si="14"/>
        <v>½</v>
      </c>
      <c r="O123" s="8" t="str" cm="1">
        <f t="array" ref="O123">CharToUTF8(A123)</f>
        <v>\xC2\xBD</v>
      </c>
      <c r="Q123" s="41" t="str">
        <f>$Z$3</f>
        <v>DIAG_BOTH</v>
      </c>
      <c r="R123" s="47" t="str">
        <f>$Z$2</f>
        <v>EMPTY</v>
      </c>
      <c r="S123" s="47" t="str">
        <f>$Z$7</f>
        <v>ORTHO_UP</v>
      </c>
      <c r="T123" s="44" t="str">
        <f>$Z$7</f>
        <v>ORTHO_UP</v>
      </c>
      <c r="V123" s="54" t="b">
        <f t="shared" si="15"/>
        <v>0</v>
      </c>
      <c r="W123" t="b">
        <f t="shared" si="16"/>
        <v>0</v>
      </c>
      <c r="X123" t="b">
        <f t="shared" si="17"/>
        <v>1</v>
      </c>
      <c r="AG123" s="82" t="str">
        <f t="shared" si="18"/>
        <v xml:space="preserve">    { 121, 119, 122, 121, wxString::FromUTF8("\xC2\xBD"), Connection::DIAG_BOTH, Connection::EMPTY, Connection::ORTHO_UP, Connection::ORTHO_UP }</v>
      </c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1"/>
    </row>
    <row r="124" spans="1:44" x14ac:dyDescent="0.4">
      <c r="A124" s="7" t="s">
        <v>103</v>
      </c>
      <c r="B124" s="6" t="str">
        <f t="shared" si="12"/>
        <v>¾</v>
      </c>
      <c r="C124" s="71" cm="1">
        <f t="array" ref="C124">IF($M124&lt;&gt;"",INDEX($M:$M,MATCH(TRUE,EXACT(B124,$A:$A),0)),"")</f>
        <v>122</v>
      </c>
      <c r="D124" s="61" t="s">
        <v>101</v>
      </c>
      <c r="E124" s="71" cm="1">
        <f t="array" ref="E124">IF($M124&lt;&gt;"",INDEX($M:$M,MATCH(TRUE,EXACT(D124,$A:$A),0)),"")</f>
        <v>120</v>
      </c>
      <c r="F124" s="61" t="s">
        <v>102</v>
      </c>
      <c r="G124" s="71" cm="1">
        <f t="array" ref="G124">IF($M124&lt;&gt;"",INDEX($M:$M,MATCH(TRUE,EXACT(F124,$A:$A),0)),"")</f>
        <v>121</v>
      </c>
      <c r="H124" s="61" t="s">
        <v>103</v>
      </c>
      <c r="I124" s="75" cm="1">
        <f t="array" ref="I124">IF($M124&lt;&gt;"",INDEX($M:$M,MATCH(TRUE,EXACT(H124,$A:$A),0)),"")</f>
        <v>122</v>
      </c>
      <c r="J124" s="46"/>
      <c r="K124" s="56"/>
      <c r="L124" s="41" t="b">
        <f t="shared" si="13"/>
        <v>1</v>
      </c>
      <c r="M124" s="42">
        <f>IF(L124, MAX(M$2:M123)+1,"")</f>
        <v>122</v>
      </c>
      <c r="N124" s="46" t="str">
        <f t="shared" si="14"/>
        <v>¾</v>
      </c>
      <c r="O124" s="8" t="str" cm="1">
        <f t="array" ref="O124">CharToUTF8(A124)</f>
        <v>\xC2\xBE</v>
      </c>
      <c r="Q124" s="41" t="str">
        <f>$Z$2</f>
        <v>EMPTY</v>
      </c>
      <c r="R124" s="47" t="str">
        <f>$Z$3</f>
        <v>DIAG_BOTH</v>
      </c>
      <c r="S124" s="47" t="str">
        <f>$Z$8</f>
        <v>ORTHO_DOWN</v>
      </c>
      <c r="T124" s="44" t="str">
        <f>$Z$8</f>
        <v>ORTHO_DOWN</v>
      </c>
      <c r="V124" s="54" t="b">
        <f t="shared" si="15"/>
        <v>0</v>
      </c>
      <c r="W124" t="b">
        <f t="shared" si="16"/>
        <v>0</v>
      </c>
      <c r="X124" t="b">
        <f t="shared" si="17"/>
        <v>1</v>
      </c>
      <c r="AG124" s="82" t="str">
        <f t="shared" si="18"/>
        <v xml:space="preserve">    { 122, 120, 121, 122, wxString::FromUTF8("\xC2\xBE"), Connection::EMPTY, Connection::DIAG_BOTH, Connection::ORTHO_DOWN, Connection::ORTHO_DOWN }</v>
      </c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1"/>
    </row>
    <row r="125" spans="1:44" x14ac:dyDescent="0.4">
      <c r="A125" s="7" t="s">
        <v>104</v>
      </c>
      <c r="B125" s="6" t="str">
        <f t="shared" si="12"/>
        <v>¿</v>
      </c>
      <c r="C125" s="71" cm="1">
        <f t="array" ref="C125">IF($M125&lt;&gt;"",INDEX($M:$M,MATCH(TRUE,EXACT(B125,$A:$A),0)),"")</f>
        <v>123</v>
      </c>
      <c r="D125" s="61" t="s">
        <v>107</v>
      </c>
      <c r="E125" s="71" cm="1">
        <f t="array" ref="E125">IF($M125&lt;&gt;"",INDEX($M:$M,MATCH(TRUE,EXACT(D125,$A:$A),0)),"")</f>
        <v>126</v>
      </c>
      <c r="F125" s="61" t="s">
        <v>104</v>
      </c>
      <c r="G125" s="71" cm="1">
        <f t="array" ref="G125">IF($M125&lt;&gt;"",INDEX($M:$M,MATCH(TRUE,EXACT(F125,$A:$A),0)),"")</f>
        <v>123</v>
      </c>
      <c r="H125" s="61" t="s">
        <v>105</v>
      </c>
      <c r="I125" s="75" cm="1">
        <f t="array" ref="I125">IF($M125&lt;&gt;"",INDEX($M:$M,MATCH(TRUE,EXACT(H125,$A:$A),0)),"")</f>
        <v>124</v>
      </c>
      <c r="J125" s="46"/>
      <c r="K125" s="56"/>
      <c r="L125" s="41" t="b">
        <f t="shared" si="13"/>
        <v>1</v>
      </c>
      <c r="M125" s="42">
        <f>IF(L125, MAX(M$2:M124)+1,"")</f>
        <v>123</v>
      </c>
      <c r="N125" s="46" t="str">
        <f t="shared" si="14"/>
        <v>¿</v>
      </c>
      <c r="O125" s="8" t="str" cm="1">
        <f t="array" ref="O125">CharToUTF8(A125)</f>
        <v>\xC2\xBF</v>
      </c>
      <c r="Q125" s="41" t="str">
        <f>$Z$10</f>
        <v>ORTHO_RIGHT</v>
      </c>
      <c r="R125" s="47" t="str">
        <f>$Z$10</f>
        <v>ORTHO_RIGHT</v>
      </c>
      <c r="S125" s="47" t="str">
        <f>$Z$2</f>
        <v>EMPTY</v>
      </c>
      <c r="T125" s="44" t="str">
        <f>$Z$4</f>
        <v>ORTHO_BOTH</v>
      </c>
      <c r="V125" s="54" t="b">
        <f t="shared" si="15"/>
        <v>0</v>
      </c>
      <c r="W125" t="b">
        <f t="shared" si="16"/>
        <v>1</v>
      </c>
      <c r="X125" t="b">
        <f t="shared" si="17"/>
        <v>0</v>
      </c>
      <c r="AG125" s="82" t="str">
        <f t="shared" si="18"/>
        <v xml:space="preserve">    { 123, 126, 123, 124, wxString::FromUTF8("\xC2\xBF"), Connection::ORTHO_RIGHT, Connection::ORTHO_RIGHT, Connection::EMPTY, Connection::ORTHO_BOTH }</v>
      </c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1"/>
    </row>
    <row r="126" spans="1:44" x14ac:dyDescent="0.4">
      <c r="A126" s="7" t="s">
        <v>105</v>
      </c>
      <c r="B126" s="6" t="str">
        <f t="shared" si="12"/>
        <v>À</v>
      </c>
      <c r="C126" s="71" cm="1">
        <f t="array" ref="C126">IF($M126&lt;&gt;"",INDEX($M:$M,MATCH(TRUE,EXACT(B126,$A:$A),0)),"")</f>
        <v>124</v>
      </c>
      <c r="D126" s="61" t="s">
        <v>106</v>
      </c>
      <c r="E126" s="71" cm="1">
        <f t="array" ref="E126">IF($M126&lt;&gt;"",INDEX($M:$M,MATCH(TRUE,EXACT(D126,$A:$A),0)),"")</f>
        <v>125</v>
      </c>
      <c r="F126" s="61" t="s">
        <v>105</v>
      </c>
      <c r="G126" s="71" cm="1">
        <f t="array" ref="G126">IF($M126&lt;&gt;"",INDEX($M:$M,MATCH(TRUE,EXACT(F126,$A:$A),0)),"")</f>
        <v>124</v>
      </c>
      <c r="H126" s="61" t="s">
        <v>104</v>
      </c>
      <c r="I126" s="75" cm="1">
        <f t="array" ref="I126">IF($M126&lt;&gt;"",INDEX($M:$M,MATCH(TRUE,EXACT(H126,$A:$A),0)),"")</f>
        <v>123</v>
      </c>
      <c r="J126" s="46"/>
      <c r="K126" s="56"/>
      <c r="L126" s="41" t="b">
        <f t="shared" si="13"/>
        <v>1</v>
      </c>
      <c r="M126" s="42">
        <f>IF(L126, MAX(M$2:M125)+1,"")</f>
        <v>124</v>
      </c>
      <c r="N126" s="46" t="str">
        <f t="shared" si="14"/>
        <v>À</v>
      </c>
      <c r="O126" s="8" t="str" cm="1">
        <f t="array" ref="O126">CharToUTF8(A126)</f>
        <v>\xC3\x80</v>
      </c>
      <c r="Q126" s="41" t="str">
        <f>$Z$9</f>
        <v>ORTHO_LEFT</v>
      </c>
      <c r="R126" s="47" t="str">
        <f>$Z$9</f>
        <v>ORTHO_LEFT</v>
      </c>
      <c r="S126" s="47" t="str">
        <f>$Z$4</f>
        <v>ORTHO_BOTH</v>
      </c>
      <c r="T126" s="44" t="str">
        <f>$Z$2</f>
        <v>EMPTY</v>
      </c>
      <c r="V126" s="54" t="b">
        <f t="shared" si="15"/>
        <v>0</v>
      </c>
      <c r="W126" t="b">
        <f t="shared" si="16"/>
        <v>1</v>
      </c>
      <c r="X126" t="b">
        <f t="shared" si="17"/>
        <v>0</v>
      </c>
      <c r="AG126" s="82" t="str">
        <f t="shared" si="18"/>
        <v xml:space="preserve">    { 124, 125, 124, 123, wxString::FromUTF8("\xC3\x80"), Connection::ORTHO_LEFT, Connection::ORTHO_LEFT, Connection::ORTHO_BOTH, Connection::EMPTY }</v>
      </c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1"/>
    </row>
    <row r="127" spans="1:44" x14ac:dyDescent="0.4">
      <c r="A127" s="7" t="s">
        <v>106</v>
      </c>
      <c r="B127" s="6" t="str">
        <f t="shared" si="12"/>
        <v>Á</v>
      </c>
      <c r="C127" s="71" cm="1">
        <f t="array" ref="C127">IF($M127&lt;&gt;"",INDEX($M:$M,MATCH(TRUE,EXACT(B127,$A:$A),0)),"")</f>
        <v>125</v>
      </c>
      <c r="D127" s="61" t="s">
        <v>104</v>
      </c>
      <c r="E127" s="71" cm="1">
        <f t="array" ref="E127">IF($M127&lt;&gt;"",INDEX($M:$M,MATCH(TRUE,EXACT(D127,$A:$A),0)),"")</f>
        <v>123</v>
      </c>
      <c r="F127" s="61" t="s">
        <v>107</v>
      </c>
      <c r="G127" s="71" cm="1">
        <f t="array" ref="G127">IF($M127&lt;&gt;"",INDEX($M:$M,MATCH(TRUE,EXACT(F127,$A:$A),0)),"")</f>
        <v>126</v>
      </c>
      <c r="H127" s="61" t="s">
        <v>106</v>
      </c>
      <c r="I127" s="75" cm="1">
        <f t="array" ref="I127">IF($M127&lt;&gt;"",INDEX($M:$M,MATCH(TRUE,EXACT(H127,$A:$A),0)),"")</f>
        <v>125</v>
      </c>
      <c r="J127" s="46"/>
      <c r="K127" s="56"/>
      <c r="L127" s="41" t="b">
        <f t="shared" si="13"/>
        <v>1</v>
      </c>
      <c r="M127" s="42">
        <f>IF(L127, MAX(M$2:M126)+1,"")</f>
        <v>125</v>
      </c>
      <c r="N127" s="46" t="str">
        <f t="shared" si="14"/>
        <v>Á</v>
      </c>
      <c r="O127" s="8" t="str" cm="1">
        <f t="array" ref="O127">CharToUTF8(A127)</f>
        <v>\xC3\x81</v>
      </c>
      <c r="Q127" s="41" t="str">
        <f>$Z$4</f>
        <v>ORTHO_BOTH</v>
      </c>
      <c r="R127" s="47" t="str">
        <f>$Z$2</f>
        <v>EMPTY</v>
      </c>
      <c r="S127" s="47" t="str">
        <f>$Z$7</f>
        <v>ORTHO_UP</v>
      </c>
      <c r="T127" s="44" t="str">
        <f>$Z$7</f>
        <v>ORTHO_UP</v>
      </c>
      <c r="V127" s="54" t="b">
        <f t="shared" si="15"/>
        <v>0</v>
      </c>
      <c r="W127" t="b">
        <f t="shared" si="16"/>
        <v>0</v>
      </c>
      <c r="X127" t="b">
        <f t="shared" si="17"/>
        <v>1</v>
      </c>
      <c r="AG127" s="82" t="str">
        <f t="shared" si="18"/>
        <v xml:space="preserve">    { 125, 123, 126, 125, wxString::FromUTF8("\xC3\x81"), Connection::ORTHO_BOTH, Connection::EMPTY, Connection::ORTHO_UP, Connection::ORTHO_UP }</v>
      </c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1"/>
    </row>
    <row r="128" spans="1:44" x14ac:dyDescent="0.4">
      <c r="A128" s="7" t="s">
        <v>107</v>
      </c>
      <c r="B128" s="6" t="str">
        <f t="shared" si="12"/>
        <v>Â</v>
      </c>
      <c r="C128" s="71" cm="1">
        <f t="array" ref="C128">IF($M128&lt;&gt;"",INDEX($M:$M,MATCH(TRUE,EXACT(B128,$A:$A),0)),"")</f>
        <v>126</v>
      </c>
      <c r="D128" s="61" t="s">
        <v>105</v>
      </c>
      <c r="E128" s="71" cm="1">
        <f t="array" ref="E128">IF($M128&lt;&gt;"",INDEX($M:$M,MATCH(TRUE,EXACT(D128,$A:$A),0)),"")</f>
        <v>124</v>
      </c>
      <c r="F128" s="61" t="s">
        <v>106</v>
      </c>
      <c r="G128" s="71" cm="1">
        <f t="array" ref="G128">IF($M128&lt;&gt;"",INDEX($M:$M,MATCH(TRUE,EXACT(F128,$A:$A),0)),"")</f>
        <v>125</v>
      </c>
      <c r="H128" s="61" t="s">
        <v>107</v>
      </c>
      <c r="I128" s="75" cm="1">
        <f t="array" ref="I128">IF($M128&lt;&gt;"",INDEX($M:$M,MATCH(TRUE,EXACT(H128,$A:$A),0)),"")</f>
        <v>126</v>
      </c>
      <c r="J128" s="46"/>
      <c r="K128" s="56"/>
      <c r="L128" s="41" t="b">
        <f t="shared" si="13"/>
        <v>1</v>
      </c>
      <c r="M128" s="42">
        <f>IF(L128, MAX(M$2:M127)+1,"")</f>
        <v>126</v>
      </c>
      <c r="N128" s="46" t="str">
        <f t="shared" si="14"/>
        <v>Â</v>
      </c>
      <c r="O128" s="8" t="str" cm="1">
        <f t="array" ref="O128">CharToUTF8(A128)</f>
        <v>\xC3\x82</v>
      </c>
      <c r="Q128" s="41" t="str">
        <f>$Z$2</f>
        <v>EMPTY</v>
      </c>
      <c r="R128" s="47" t="str">
        <f>$Z$4</f>
        <v>ORTHO_BOTH</v>
      </c>
      <c r="S128" s="47" t="str">
        <f>$Z$8</f>
        <v>ORTHO_DOWN</v>
      </c>
      <c r="T128" s="44" t="str">
        <f>$Z$8</f>
        <v>ORTHO_DOWN</v>
      </c>
      <c r="V128" s="54" t="b">
        <f t="shared" si="15"/>
        <v>0</v>
      </c>
      <c r="W128" t="b">
        <f t="shared" si="16"/>
        <v>0</v>
      </c>
      <c r="X128" t="b">
        <f t="shared" si="17"/>
        <v>1</v>
      </c>
      <c r="AG128" s="82" t="str">
        <f t="shared" si="18"/>
        <v xml:space="preserve">    { 126, 124, 125, 126, wxString::FromUTF8("\xC3\x82"), Connection::EMPTY, Connection::ORTHO_BOTH, Connection::ORTHO_DOWN, Connection::ORTHO_DOWN }</v>
      </c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1"/>
    </row>
    <row r="129" spans="1:44" x14ac:dyDescent="0.4">
      <c r="A129" s="7" t="s">
        <v>108</v>
      </c>
      <c r="B129" s="6" t="str">
        <f t="shared" si="12"/>
        <v>Ã</v>
      </c>
      <c r="C129" s="71" cm="1">
        <f t="array" ref="C129">IF($M129&lt;&gt;"",INDEX($M:$M,MATCH(TRUE,EXACT(B129,$A:$A),0)),"")</f>
        <v>127</v>
      </c>
      <c r="D129" s="61" t="s">
        <v>109</v>
      </c>
      <c r="E129" s="71" cm="1">
        <f t="array" ref="E129">IF($M129&lt;&gt;"",INDEX($M:$M,MATCH(TRUE,EXACT(D129,$A:$A),0)),"")</f>
        <v>128</v>
      </c>
      <c r="F129" s="61" t="s">
        <v>109</v>
      </c>
      <c r="G129" s="71" cm="1">
        <f t="array" ref="G129">IF($M129&lt;&gt;"",INDEX($M:$M,MATCH(TRUE,EXACT(F129,$A:$A),0)),"")</f>
        <v>128</v>
      </c>
      <c r="H129" s="61" t="s">
        <v>111</v>
      </c>
      <c r="I129" s="75" cm="1">
        <f t="array" ref="I129">IF($M129&lt;&gt;"",INDEX($M:$M,MATCH(TRUE,EXACT(H129,$A:$A),0)),"")</f>
        <v>130</v>
      </c>
      <c r="J129" s="46"/>
      <c r="K129" s="56"/>
      <c r="L129" s="41" t="b">
        <f t="shared" si="13"/>
        <v>1</v>
      </c>
      <c r="M129" s="42">
        <f>IF(L129, MAX(M$2:M128)+1,"")</f>
        <v>127</v>
      </c>
      <c r="N129" s="46" t="str">
        <f t="shared" si="14"/>
        <v>Ã</v>
      </c>
      <c r="O129" s="8" t="str" cm="1">
        <f t="array" ref="O129">CharToUTF8(A129)</f>
        <v>\xC3\x83</v>
      </c>
      <c r="Q129" s="41" t="str">
        <f>$Z$2</f>
        <v>EMPTY</v>
      </c>
      <c r="R129" s="47" t="str">
        <f>$Z$9</f>
        <v>ORTHO_LEFT</v>
      </c>
      <c r="S129" s="47" t="str">
        <f>$Z$8</f>
        <v>ORTHO_DOWN</v>
      </c>
      <c r="T129" s="44" t="str">
        <f>$Z$2</f>
        <v>EMPTY</v>
      </c>
      <c r="V129" s="54" t="b">
        <f t="shared" si="15"/>
        <v>0</v>
      </c>
      <c r="W129" t="b">
        <f t="shared" si="16"/>
        <v>0</v>
      </c>
      <c r="X129" t="b">
        <f t="shared" si="17"/>
        <v>0</v>
      </c>
      <c r="AG129" s="82" t="str">
        <f t="shared" si="18"/>
        <v xml:space="preserve">    { 127, 128, 128, 130, wxString::FromUTF8("\xC3\x83"), Connection::EMPTY, Connection::ORTHO_LEFT, Connection::ORTHO_DOWN, Connection::EMPTY }</v>
      </c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1"/>
    </row>
    <row r="130" spans="1:44" x14ac:dyDescent="0.4">
      <c r="A130" s="7" t="s">
        <v>109</v>
      </c>
      <c r="B130" s="6" t="str">
        <f t="shared" ref="B130:B193" si="22">A130</f>
        <v>Ä</v>
      </c>
      <c r="C130" s="71" cm="1">
        <f t="array" ref="C130">IF($M130&lt;&gt;"",INDEX($M:$M,MATCH(TRUE,EXACT(B130,$A:$A),0)),"")</f>
        <v>128</v>
      </c>
      <c r="D130" s="61" t="s">
        <v>110</v>
      </c>
      <c r="E130" s="71" cm="1">
        <f t="array" ref="E130">IF($M130&lt;&gt;"",INDEX($M:$M,MATCH(TRUE,EXACT(D130,$A:$A),0)),"")</f>
        <v>129</v>
      </c>
      <c r="F130" s="61" t="s">
        <v>108</v>
      </c>
      <c r="G130" s="71" cm="1">
        <f t="array" ref="G130">IF($M130&lt;&gt;"",INDEX($M:$M,MATCH(TRUE,EXACT(F130,$A:$A),0)),"")</f>
        <v>127</v>
      </c>
      <c r="H130" s="61" t="s">
        <v>110</v>
      </c>
      <c r="I130" s="75" cm="1">
        <f t="array" ref="I130">IF($M130&lt;&gt;"",INDEX($M:$M,MATCH(TRUE,EXACT(H130,$A:$A),0)),"")</f>
        <v>129</v>
      </c>
      <c r="J130" s="46"/>
      <c r="K130" s="56"/>
      <c r="L130" s="41" t="b">
        <f t="shared" ref="L130:L193" si="23">AND(B130&lt;&gt;"", AND(D130&lt;&gt;"", AND(H130&lt;&gt;"", F130&lt;&gt;"")))</f>
        <v>1</v>
      </c>
      <c r="M130" s="42">
        <f>IF(L130, MAX(M$2:M129)+1,"")</f>
        <v>128</v>
      </c>
      <c r="N130" s="46" t="str">
        <f t="shared" ref="N130:N193" si="24">A130</f>
        <v>Ä</v>
      </c>
      <c r="O130" s="8" t="str" cm="1">
        <f t="array" ref="O130">CharToUTF8(A130)</f>
        <v>\xC3\x84</v>
      </c>
      <c r="Q130" s="41" t="str">
        <f>$Z$9</f>
        <v>ORTHO_LEFT</v>
      </c>
      <c r="R130" s="47" t="str">
        <f>$Z$2</f>
        <v>EMPTY</v>
      </c>
      <c r="S130" s="47" t="str">
        <f>$Z$7</f>
        <v>ORTHO_UP</v>
      </c>
      <c r="T130" s="44" t="str">
        <f>$Z$2</f>
        <v>EMPTY</v>
      </c>
      <c r="V130" s="54" t="b">
        <f t="shared" si="15"/>
        <v>0</v>
      </c>
      <c r="W130" t="b">
        <f t="shared" si="16"/>
        <v>0</v>
      </c>
      <c r="X130" t="b">
        <f t="shared" si="17"/>
        <v>0</v>
      </c>
      <c r="AG130" s="82" t="str">
        <f t="shared" si="18"/>
        <v xml:space="preserve">    { 128, 129, 127, 129, wxString::FromUTF8("\xC3\x84"), Connection::ORTHO_LEFT, Connection::EMPTY, Connection::ORTHO_UP, Connection::EMPTY }</v>
      </c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1"/>
    </row>
    <row r="131" spans="1:44" x14ac:dyDescent="0.4">
      <c r="A131" s="7" t="s">
        <v>110</v>
      </c>
      <c r="B131" s="6" t="str">
        <f t="shared" si="22"/>
        <v>Å</v>
      </c>
      <c r="C131" s="71" cm="1">
        <f t="array" ref="C131">IF($M131&lt;&gt;"",INDEX($M:$M,MATCH(TRUE,EXACT(B131,$A:$A),0)),"")</f>
        <v>129</v>
      </c>
      <c r="D131" s="61" t="s">
        <v>111</v>
      </c>
      <c r="E131" s="71" cm="1">
        <f t="array" ref="E131">IF($M131&lt;&gt;"",INDEX($M:$M,MATCH(TRUE,EXACT(D131,$A:$A),0)),"")</f>
        <v>130</v>
      </c>
      <c r="F131" s="61" t="s">
        <v>111</v>
      </c>
      <c r="G131" s="71" cm="1">
        <f t="array" ref="G131">IF($M131&lt;&gt;"",INDEX($M:$M,MATCH(TRUE,EXACT(F131,$A:$A),0)),"")</f>
        <v>130</v>
      </c>
      <c r="H131" s="61" t="s">
        <v>109</v>
      </c>
      <c r="I131" s="75" cm="1">
        <f t="array" ref="I131">IF($M131&lt;&gt;"",INDEX($M:$M,MATCH(TRUE,EXACT(H131,$A:$A),0)),"")</f>
        <v>128</v>
      </c>
      <c r="J131" s="46"/>
      <c r="K131" s="56"/>
      <c r="L131" s="41" t="b">
        <f t="shared" si="23"/>
        <v>1</v>
      </c>
      <c r="M131" s="42">
        <f>IF(L131, MAX(M$2:M130)+1,"")</f>
        <v>129</v>
      </c>
      <c r="N131" s="46" t="str">
        <f t="shared" si="24"/>
        <v>Å</v>
      </c>
      <c r="O131" s="8" t="str" cm="1">
        <f t="array" ref="O131">CharToUTF8(A131)</f>
        <v>\xC3\x85</v>
      </c>
      <c r="Q131" s="41" t="str">
        <f>$Z$10</f>
        <v>ORTHO_RIGHT</v>
      </c>
      <c r="R131" s="47" t="str">
        <f>$Z$2</f>
        <v>EMPTY</v>
      </c>
      <c r="S131" s="47" t="str">
        <f>$Z$2</f>
        <v>EMPTY</v>
      </c>
      <c r="T131" s="44" t="str">
        <f>$Z$7</f>
        <v>ORTHO_UP</v>
      </c>
      <c r="V131" s="54" t="b">
        <f t="shared" ref="V131:V194" si="25">IF($L131,C131=E131,"")</f>
        <v>0</v>
      </c>
      <c r="W131" t="b">
        <f t="shared" ref="W131:W194" si="26">IF($L131,C131=G131,"")</f>
        <v>0</v>
      </c>
      <c r="X131" t="b">
        <f t="shared" ref="X131:X194" si="27">IF($L131,C131=I131,"")</f>
        <v>0</v>
      </c>
      <c r="AG131" s="82" t="str">
        <f t="shared" ref="AG131:AG194" si="28">IF($L131,"    { " &amp; _xlfn.TEXTJOIN(", ", TRUE, $C131,$E131,$G131,$I131) &amp; ", wxString::FromUTF8(""" &amp; $O131 &amp; """), " &amp; $AC$2 &amp; _xlfn.TEXTJOIN(", " &amp; $AC$2, TRUE, $Q131:$T131) &amp; " }", "")</f>
        <v xml:space="preserve">    { 129, 130, 130, 128, wxString::FromUTF8("\xC3\x85"), Connection::ORTHO_RIGHT, Connection::EMPTY, Connection::EMPTY, Connection::ORTHO_UP }</v>
      </c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1"/>
    </row>
    <row r="132" spans="1:44" x14ac:dyDescent="0.4">
      <c r="A132" s="7" t="s">
        <v>111</v>
      </c>
      <c r="B132" s="6" t="str">
        <f t="shared" si="22"/>
        <v>Æ</v>
      </c>
      <c r="C132" s="71" cm="1">
        <f t="array" ref="C132">IF($M132&lt;&gt;"",INDEX($M:$M,MATCH(TRUE,EXACT(B132,$A:$A),0)),"")</f>
        <v>130</v>
      </c>
      <c r="D132" s="61" t="s">
        <v>108</v>
      </c>
      <c r="E132" s="71" cm="1">
        <f t="array" ref="E132">IF($M132&lt;&gt;"",INDEX($M:$M,MATCH(TRUE,EXACT(D132,$A:$A),0)),"")</f>
        <v>127</v>
      </c>
      <c r="F132" s="61" t="s">
        <v>110</v>
      </c>
      <c r="G132" s="71" cm="1">
        <f t="array" ref="G132">IF($M132&lt;&gt;"",INDEX($M:$M,MATCH(TRUE,EXACT(F132,$A:$A),0)),"")</f>
        <v>129</v>
      </c>
      <c r="H132" s="61" t="s">
        <v>108</v>
      </c>
      <c r="I132" s="75" cm="1">
        <f t="array" ref="I132">IF($M132&lt;&gt;"",INDEX($M:$M,MATCH(TRUE,EXACT(H132,$A:$A),0)),"")</f>
        <v>127</v>
      </c>
      <c r="J132" s="46"/>
      <c r="K132" s="56"/>
      <c r="L132" s="41" t="b">
        <f t="shared" si="23"/>
        <v>1</v>
      </c>
      <c r="M132" s="42">
        <f>IF(L132, MAX(M$2:M131)+1,"")</f>
        <v>130</v>
      </c>
      <c r="N132" s="46" t="str">
        <f t="shared" si="24"/>
        <v>Æ</v>
      </c>
      <c r="O132" s="8" t="str" cm="1">
        <f t="array" ref="O132">CharToUTF8(A132)</f>
        <v>\xC3\x86</v>
      </c>
      <c r="Q132" s="41" t="str">
        <f>$Z$2</f>
        <v>EMPTY</v>
      </c>
      <c r="R132" s="47" t="str">
        <f>$Z$10</f>
        <v>ORTHO_RIGHT</v>
      </c>
      <c r="S132" s="47" t="str">
        <f>$Z$2</f>
        <v>EMPTY</v>
      </c>
      <c r="T132" s="44" t="str">
        <f>$Z$8</f>
        <v>ORTHO_DOWN</v>
      </c>
      <c r="V132" s="54" t="b">
        <f t="shared" si="25"/>
        <v>0</v>
      </c>
      <c r="W132" t="b">
        <f t="shared" si="26"/>
        <v>0</v>
      </c>
      <c r="X132" t="b">
        <f t="shared" si="27"/>
        <v>0</v>
      </c>
      <c r="AG132" s="82" t="str">
        <f t="shared" si="28"/>
        <v xml:space="preserve">    { 130, 127, 129, 127, wxString::FromUTF8("\xC3\x86"), Connection::EMPTY, Connection::ORTHO_RIGHT, Connection::EMPTY, Connection::ORTHO_DOWN }</v>
      </c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1"/>
    </row>
    <row r="133" spans="1:44" x14ac:dyDescent="0.4">
      <c r="A133" s="7" t="s">
        <v>112</v>
      </c>
      <c r="B133" s="6" t="str">
        <f t="shared" si="22"/>
        <v>Ç</v>
      </c>
      <c r="C133" s="71" cm="1">
        <f t="array" ref="C133">IF($M133&lt;&gt;"",INDEX($M:$M,MATCH(TRUE,EXACT(B133,$A:$A),0)),"")</f>
        <v>131</v>
      </c>
      <c r="D133" s="61" t="s">
        <v>115</v>
      </c>
      <c r="E133" s="71" cm="1">
        <f t="array" ref="E133">IF($M133&lt;&gt;"",INDEX($M:$M,MATCH(TRUE,EXACT(D133,$A:$A),0)),"")</f>
        <v>134</v>
      </c>
      <c r="F133" s="61" t="s">
        <v>113</v>
      </c>
      <c r="G133" s="71" cm="1">
        <f t="array" ref="G133">IF($M133&lt;&gt;"",INDEX($M:$M,MATCH(TRUE,EXACT(F133,$A:$A),0)),"")</f>
        <v>132</v>
      </c>
      <c r="H133" s="61" t="s">
        <v>112</v>
      </c>
      <c r="I133" s="75" cm="1">
        <f t="array" ref="I133">IF($M133&lt;&gt;"",INDEX($M:$M,MATCH(TRUE,EXACT(H133,$A:$A),0)),"")</f>
        <v>131</v>
      </c>
      <c r="J133" s="46"/>
      <c r="K133" s="56"/>
      <c r="L133" s="41" t="b">
        <f t="shared" si="23"/>
        <v>1</v>
      </c>
      <c r="M133" s="42">
        <f>IF(L133, MAX(M$2:M132)+1,"")</f>
        <v>131</v>
      </c>
      <c r="N133" s="46" t="str">
        <f t="shared" si="24"/>
        <v>Ç</v>
      </c>
      <c r="O133" s="8" t="str" cm="1">
        <f t="array" ref="O133">CharToUTF8(A133)</f>
        <v>\xC3\x87</v>
      </c>
      <c r="Q133" s="41" t="str">
        <f>$Z$4</f>
        <v>ORTHO_BOTH</v>
      </c>
      <c r="R133" s="47" t="str">
        <f>$Z$2</f>
        <v>EMPTY</v>
      </c>
      <c r="S133" s="47" t="str">
        <f>$Z$2</f>
        <v>EMPTY</v>
      </c>
      <c r="T133" s="44" t="str">
        <f>$Z$2</f>
        <v>EMPTY</v>
      </c>
      <c r="V133" s="54" t="b">
        <f t="shared" si="25"/>
        <v>0</v>
      </c>
      <c r="W133" t="b">
        <f t="shared" si="26"/>
        <v>0</v>
      </c>
      <c r="X133" t="b">
        <f t="shared" si="27"/>
        <v>1</v>
      </c>
      <c r="AG133" s="82" t="str">
        <f t="shared" si="28"/>
        <v xml:space="preserve">    { 131, 134, 132, 131, wxString::FromUTF8("\xC3\x87"), Connection::ORTHO_BOTH, Connection::EMPTY, Connection::EMPTY, Connection::EMPTY }</v>
      </c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1"/>
    </row>
    <row r="134" spans="1:44" x14ac:dyDescent="0.4">
      <c r="A134" s="7" t="s">
        <v>113</v>
      </c>
      <c r="B134" s="6" t="str">
        <f t="shared" si="22"/>
        <v>È</v>
      </c>
      <c r="C134" s="71" cm="1">
        <f t="array" ref="C134">IF($M134&lt;&gt;"",INDEX($M:$M,MATCH(TRUE,EXACT(B134,$A:$A),0)),"")</f>
        <v>132</v>
      </c>
      <c r="D134" s="61" t="s">
        <v>114</v>
      </c>
      <c r="E134" s="71" cm="1">
        <f t="array" ref="E134">IF($M134&lt;&gt;"",INDEX($M:$M,MATCH(TRUE,EXACT(D134,$A:$A),0)),"")</f>
        <v>133</v>
      </c>
      <c r="F134" s="61" t="s">
        <v>112</v>
      </c>
      <c r="G134" s="71" cm="1">
        <f t="array" ref="G134">IF($M134&lt;&gt;"",INDEX($M:$M,MATCH(TRUE,EXACT(F134,$A:$A),0)),"")</f>
        <v>131</v>
      </c>
      <c r="H134" s="61" t="s">
        <v>113</v>
      </c>
      <c r="I134" s="75" cm="1">
        <f t="array" ref="I134">IF($M134&lt;&gt;"",INDEX($M:$M,MATCH(TRUE,EXACT(H134,$A:$A),0)),"")</f>
        <v>132</v>
      </c>
      <c r="J134" s="46"/>
      <c r="K134" s="56"/>
      <c r="L134" s="41" t="b">
        <f t="shared" si="23"/>
        <v>1</v>
      </c>
      <c r="M134" s="42">
        <f>IF(L134, MAX(M$2:M133)+1,"")</f>
        <v>132</v>
      </c>
      <c r="N134" s="46" t="str">
        <f t="shared" si="24"/>
        <v>È</v>
      </c>
      <c r="O134" s="8" t="str" cm="1">
        <f t="array" ref="O134">CharToUTF8(A134)</f>
        <v>\xC3\x88</v>
      </c>
      <c r="Q134" s="41" t="str">
        <f>$Z$2</f>
        <v>EMPTY</v>
      </c>
      <c r="R134" s="47" t="str">
        <f>$Z$4</f>
        <v>ORTHO_BOTH</v>
      </c>
      <c r="S134" s="47" t="str">
        <f>$Z$2</f>
        <v>EMPTY</v>
      </c>
      <c r="T134" s="44" t="str">
        <f>$Z$2</f>
        <v>EMPTY</v>
      </c>
      <c r="V134" s="54" t="b">
        <f t="shared" si="25"/>
        <v>0</v>
      </c>
      <c r="W134" t="b">
        <f t="shared" si="26"/>
        <v>0</v>
      </c>
      <c r="X134" t="b">
        <f t="shared" si="27"/>
        <v>1</v>
      </c>
      <c r="AG134" s="82" t="str">
        <f t="shared" si="28"/>
        <v xml:space="preserve">    { 132, 133, 131, 132, wxString::FromUTF8("\xC3\x88"), Connection::EMPTY, Connection::ORTHO_BOTH, Connection::EMPTY, Connection::EMPTY }</v>
      </c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1"/>
    </row>
    <row r="135" spans="1:44" x14ac:dyDescent="0.4">
      <c r="A135" s="7" t="s">
        <v>114</v>
      </c>
      <c r="B135" s="6" t="str">
        <f t="shared" si="22"/>
        <v>É</v>
      </c>
      <c r="C135" s="71" cm="1">
        <f t="array" ref="C135">IF($M135&lt;&gt;"",INDEX($M:$M,MATCH(TRUE,EXACT(B135,$A:$A),0)),"")</f>
        <v>133</v>
      </c>
      <c r="D135" s="61" t="s">
        <v>112</v>
      </c>
      <c r="E135" s="71" cm="1">
        <f t="array" ref="E135">IF($M135&lt;&gt;"",INDEX($M:$M,MATCH(TRUE,EXACT(D135,$A:$A),0)),"")</f>
        <v>131</v>
      </c>
      <c r="F135" s="61" t="s">
        <v>114</v>
      </c>
      <c r="G135" s="71" cm="1">
        <f t="array" ref="G135">IF($M135&lt;&gt;"",INDEX($M:$M,MATCH(TRUE,EXACT(F135,$A:$A),0)),"")</f>
        <v>133</v>
      </c>
      <c r="H135" s="61" t="s">
        <v>115</v>
      </c>
      <c r="I135" s="75" cm="1">
        <f t="array" ref="I135">IF($M135&lt;&gt;"",INDEX($M:$M,MATCH(TRUE,EXACT(H135,$A:$A),0)),"")</f>
        <v>134</v>
      </c>
      <c r="J135" s="46"/>
      <c r="K135" s="56"/>
      <c r="L135" s="41" t="b">
        <f t="shared" si="23"/>
        <v>1</v>
      </c>
      <c r="M135" s="42">
        <f>IF(L135, MAX(M$2:M134)+1,"")</f>
        <v>133</v>
      </c>
      <c r="N135" s="46" t="str">
        <f t="shared" si="24"/>
        <v>É</v>
      </c>
      <c r="O135" s="8" t="str" cm="1">
        <f t="array" ref="O135">CharToUTF8(A135)</f>
        <v>\xC3\x89</v>
      </c>
      <c r="Q135" s="41" t="str">
        <f>$Z$2</f>
        <v>EMPTY</v>
      </c>
      <c r="R135" s="47" t="str">
        <f>$Z$2</f>
        <v>EMPTY</v>
      </c>
      <c r="S135" s="47" t="str">
        <f>$Z$4</f>
        <v>ORTHO_BOTH</v>
      </c>
      <c r="T135" s="44" t="str">
        <f>$Z$2</f>
        <v>EMPTY</v>
      </c>
      <c r="V135" s="54" t="b">
        <f t="shared" si="25"/>
        <v>0</v>
      </c>
      <c r="W135" t="b">
        <f t="shared" si="26"/>
        <v>1</v>
      </c>
      <c r="X135" t="b">
        <f t="shared" si="27"/>
        <v>0</v>
      </c>
      <c r="AG135" s="82" t="str">
        <f t="shared" si="28"/>
        <v xml:space="preserve">    { 133, 131, 133, 134, wxString::FromUTF8("\xC3\x89"), Connection::EMPTY, Connection::EMPTY, Connection::ORTHO_BOTH, Connection::EMPTY }</v>
      </c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1"/>
    </row>
    <row r="136" spans="1:44" x14ac:dyDescent="0.4">
      <c r="A136" s="7" t="s">
        <v>115</v>
      </c>
      <c r="B136" s="6" t="str">
        <f t="shared" si="22"/>
        <v>Ê</v>
      </c>
      <c r="C136" s="71" cm="1">
        <f t="array" ref="C136">IF($M136&lt;&gt;"",INDEX($M:$M,MATCH(TRUE,EXACT(B136,$A:$A),0)),"")</f>
        <v>134</v>
      </c>
      <c r="D136" s="61" t="s">
        <v>113</v>
      </c>
      <c r="E136" s="71" cm="1">
        <f t="array" ref="E136">IF($M136&lt;&gt;"",INDEX($M:$M,MATCH(TRUE,EXACT(D136,$A:$A),0)),"")</f>
        <v>132</v>
      </c>
      <c r="F136" s="61" t="s">
        <v>115</v>
      </c>
      <c r="G136" s="71" cm="1">
        <f t="array" ref="G136">IF($M136&lt;&gt;"",INDEX($M:$M,MATCH(TRUE,EXACT(F136,$A:$A),0)),"")</f>
        <v>134</v>
      </c>
      <c r="H136" s="61" t="s">
        <v>114</v>
      </c>
      <c r="I136" s="75" cm="1">
        <f t="array" ref="I136">IF($M136&lt;&gt;"",INDEX($M:$M,MATCH(TRUE,EXACT(H136,$A:$A),0)),"")</f>
        <v>133</v>
      </c>
      <c r="J136" s="46"/>
      <c r="K136" s="56"/>
      <c r="L136" s="41" t="b">
        <f t="shared" si="23"/>
        <v>1</v>
      </c>
      <c r="M136" s="42">
        <f>IF(L136, MAX(M$2:M135)+1,"")</f>
        <v>134</v>
      </c>
      <c r="N136" s="46" t="str">
        <f t="shared" si="24"/>
        <v>Ê</v>
      </c>
      <c r="O136" s="8" t="str" cm="1">
        <f t="array" ref="O136">CharToUTF8(A136)</f>
        <v>\xC3\x8A</v>
      </c>
      <c r="Q136" s="41" t="str">
        <f>$Z$2</f>
        <v>EMPTY</v>
      </c>
      <c r="R136" s="47" t="str">
        <f>$Z$2</f>
        <v>EMPTY</v>
      </c>
      <c r="S136" s="47" t="str">
        <f>$Z$2</f>
        <v>EMPTY</v>
      </c>
      <c r="T136" s="44" t="str">
        <f>$Z$4</f>
        <v>ORTHO_BOTH</v>
      </c>
      <c r="V136" s="54" t="b">
        <f t="shared" si="25"/>
        <v>0</v>
      </c>
      <c r="W136" t="b">
        <f t="shared" si="26"/>
        <v>1</v>
      </c>
      <c r="X136" t="b">
        <f t="shared" si="27"/>
        <v>0</v>
      </c>
      <c r="AG136" s="82" t="str">
        <f t="shared" si="28"/>
        <v xml:space="preserve">    { 134, 132, 134, 133, wxString::FromUTF8("\xC3\x8A"), Connection::EMPTY, Connection::EMPTY, Connection::EMPTY, Connection::ORTHO_BOTH }</v>
      </c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1"/>
    </row>
    <row r="137" spans="1:44" x14ac:dyDescent="0.4">
      <c r="A137" s="7" t="s">
        <v>116</v>
      </c>
      <c r="B137" s="6" t="str">
        <f t="shared" si="22"/>
        <v>Ë</v>
      </c>
      <c r="C137" s="71" cm="1">
        <f t="array" ref="C137">IF($M137&lt;&gt;"",INDEX($M:$M,MATCH(TRUE,EXACT(B137,$A:$A),0)),"")</f>
        <v>135</v>
      </c>
      <c r="D137" s="61" t="s">
        <v>117</v>
      </c>
      <c r="E137" s="71" cm="1">
        <f t="array" ref="E137">IF($M137&lt;&gt;"",INDEX($M:$M,MATCH(TRUE,EXACT(D137,$A:$A),0)),"")</f>
        <v>136</v>
      </c>
      <c r="F137" s="61" t="s">
        <v>118</v>
      </c>
      <c r="G137" s="71" cm="1">
        <f t="array" ref="G137">IF($M137&lt;&gt;"",INDEX($M:$M,MATCH(TRUE,EXACT(F137,$A:$A),0)),"")</f>
        <v>137</v>
      </c>
      <c r="H137" s="61" t="s">
        <v>117</v>
      </c>
      <c r="I137" s="75" cm="1">
        <f t="array" ref="I137">IF($M137&lt;&gt;"",INDEX($M:$M,MATCH(TRUE,EXACT(H137,$A:$A),0)),"")</f>
        <v>136</v>
      </c>
      <c r="J137" s="46"/>
      <c r="K137" s="56"/>
      <c r="L137" s="41" t="b">
        <f t="shared" si="23"/>
        <v>1</v>
      </c>
      <c r="M137" s="42">
        <f>IF(L137, MAX(M$2:M136)+1,"")</f>
        <v>135</v>
      </c>
      <c r="N137" s="46" t="str">
        <f t="shared" si="24"/>
        <v>Ë</v>
      </c>
      <c r="O137" s="8" t="str" cm="1">
        <f t="array" ref="O137">CharToUTF8(A137)</f>
        <v>\xC3\x8B</v>
      </c>
      <c r="Q137" s="41" t="str">
        <f>$Z$2</f>
        <v>EMPTY</v>
      </c>
      <c r="R137" s="47" t="str">
        <f>$Z$9</f>
        <v>ORTHO_LEFT</v>
      </c>
      <c r="S137" s="47" t="str">
        <f>$Z$2</f>
        <v>EMPTY</v>
      </c>
      <c r="T137" s="44" t="str">
        <f>$Z$7</f>
        <v>ORTHO_UP</v>
      </c>
      <c r="V137" s="54" t="b">
        <f t="shared" si="25"/>
        <v>0</v>
      </c>
      <c r="W137" t="b">
        <f t="shared" si="26"/>
        <v>0</v>
      </c>
      <c r="X137" t="b">
        <f t="shared" si="27"/>
        <v>0</v>
      </c>
      <c r="AG137" s="82" t="str">
        <f t="shared" si="28"/>
        <v xml:space="preserve">    { 135, 136, 137, 136, wxString::FromUTF8("\xC3\x8B"), Connection::EMPTY, Connection::ORTHO_LEFT, Connection::EMPTY, Connection::ORTHO_UP }</v>
      </c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1"/>
    </row>
    <row r="138" spans="1:44" x14ac:dyDescent="0.4">
      <c r="A138" s="7" t="s">
        <v>117</v>
      </c>
      <c r="B138" s="6" t="str">
        <f t="shared" si="22"/>
        <v>Ì</v>
      </c>
      <c r="C138" s="71" cm="1">
        <f t="array" ref="C138">IF($M138&lt;&gt;"",INDEX($M:$M,MATCH(TRUE,EXACT(B138,$A:$A),0)),"")</f>
        <v>136</v>
      </c>
      <c r="D138" s="61" t="s">
        <v>119</v>
      </c>
      <c r="E138" s="71" cm="1">
        <f t="array" ref="E138">IF($M138&lt;&gt;"",INDEX($M:$M,MATCH(TRUE,EXACT(D138,$A:$A),0)),"")</f>
        <v>138</v>
      </c>
      <c r="F138" s="61" t="s">
        <v>119</v>
      </c>
      <c r="G138" s="71" cm="1">
        <f t="array" ref="G138">IF($M138&lt;&gt;"",INDEX($M:$M,MATCH(TRUE,EXACT(F138,$A:$A),0)),"")</f>
        <v>138</v>
      </c>
      <c r="H138" s="61" t="s">
        <v>116</v>
      </c>
      <c r="I138" s="75" cm="1">
        <f t="array" ref="I138">IF($M138&lt;&gt;"",INDEX($M:$M,MATCH(TRUE,EXACT(H138,$A:$A),0)),"")</f>
        <v>135</v>
      </c>
      <c r="J138" s="46"/>
      <c r="K138" s="56"/>
      <c r="L138" s="41" t="b">
        <f t="shared" si="23"/>
        <v>1</v>
      </c>
      <c r="M138" s="42">
        <f>IF(L138, MAX(M$2:M137)+1,"")</f>
        <v>136</v>
      </c>
      <c r="N138" s="46" t="str">
        <f t="shared" si="24"/>
        <v>Ì</v>
      </c>
      <c r="O138" s="8" t="str" cm="1">
        <f t="array" ref="O138">CharToUTF8(A138)</f>
        <v>\xC3\x8C</v>
      </c>
      <c r="Q138" s="41" t="str">
        <f>$Z$2</f>
        <v>EMPTY</v>
      </c>
      <c r="R138" s="47" t="str">
        <f>$Z$10</f>
        <v>ORTHO_RIGHT</v>
      </c>
      <c r="S138" s="47" t="str">
        <f>$Z$7</f>
        <v>ORTHO_UP</v>
      </c>
      <c r="T138" s="44" t="str">
        <f>$Z$2</f>
        <v>EMPTY</v>
      </c>
      <c r="V138" s="54" t="b">
        <f t="shared" si="25"/>
        <v>0</v>
      </c>
      <c r="W138" t="b">
        <f t="shared" si="26"/>
        <v>0</v>
      </c>
      <c r="X138" t="b">
        <f t="shared" si="27"/>
        <v>0</v>
      </c>
      <c r="AG138" s="82" t="str">
        <f t="shared" si="28"/>
        <v xml:space="preserve">    { 136, 138, 138, 135, wxString::FromUTF8("\xC3\x8C"), Connection::EMPTY, Connection::ORTHO_RIGHT, Connection::ORTHO_UP, Connection::EMPTY }</v>
      </c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1"/>
    </row>
    <row r="139" spans="1:44" x14ac:dyDescent="0.4">
      <c r="A139" s="7" t="s">
        <v>118</v>
      </c>
      <c r="B139" s="6" t="str">
        <f t="shared" si="22"/>
        <v>Í</v>
      </c>
      <c r="C139" s="71" cm="1">
        <f t="array" ref="C139">IF($M139&lt;&gt;"",INDEX($M:$M,MATCH(TRUE,EXACT(B139,$A:$A),0)),"")</f>
        <v>137</v>
      </c>
      <c r="D139" s="61" t="s">
        <v>116</v>
      </c>
      <c r="E139" s="71" cm="1">
        <f t="array" ref="E139">IF($M139&lt;&gt;"",INDEX($M:$M,MATCH(TRUE,EXACT(D139,$A:$A),0)),"")</f>
        <v>135</v>
      </c>
      <c r="F139" s="61" t="s">
        <v>116</v>
      </c>
      <c r="G139" s="71" cm="1">
        <f t="array" ref="G139">IF($M139&lt;&gt;"",INDEX($M:$M,MATCH(TRUE,EXACT(F139,$A:$A),0)),"")</f>
        <v>135</v>
      </c>
      <c r="H139" s="61" t="s">
        <v>119</v>
      </c>
      <c r="I139" s="75" cm="1">
        <f t="array" ref="I139">IF($M139&lt;&gt;"",INDEX($M:$M,MATCH(TRUE,EXACT(H139,$A:$A),0)),"")</f>
        <v>138</v>
      </c>
      <c r="J139" s="46"/>
      <c r="K139" s="56"/>
      <c r="L139" s="41" t="b">
        <f t="shared" si="23"/>
        <v>1</v>
      </c>
      <c r="M139" s="42">
        <f>IF(L139, MAX(M$2:M138)+1,"")</f>
        <v>137</v>
      </c>
      <c r="N139" s="46" t="str">
        <f t="shared" si="24"/>
        <v>Í</v>
      </c>
      <c r="O139" s="8" t="str" cm="1">
        <f t="array" ref="O139">CharToUTF8(A139)</f>
        <v>\xC3\x8D</v>
      </c>
      <c r="Q139" s="41" t="str">
        <f>$Z$9</f>
        <v>ORTHO_LEFT</v>
      </c>
      <c r="R139" s="47" t="str">
        <f>$Z$2</f>
        <v>EMPTY</v>
      </c>
      <c r="S139" s="47" t="str">
        <f>$Z$2</f>
        <v>EMPTY</v>
      </c>
      <c r="T139" s="44" t="str">
        <f>$Z$8</f>
        <v>ORTHO_DOWN</v>
      </c>
      <c r="V139" s="54" t="b">
        <f t="shared" si="25"/>
        <v>0</v>
      </c>
      <c r="W139" t="b">
        <f t="shared" si="26"/>
        <v>0</v>
      </c>
      <c r="X139" t="b">
        <f t="shared" si="27"/>
        <v>0</v>
      </c>
      <c r="AG139" s="82" t="str">
        <f t="shared" si="28"/>
        <v xml:space="preserve">    { 137, 135, 135, 138, wxString::FromUTF8("\xC3\x8D"), Connection::ORTHO_LEFT, Connection::EMPTY, Connection::EMPTY, Connection::ORTHO_DOWN }</v>
      </c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1"/>
    </row>
    <row r="140" spans="1:44" x14ac:dyDescent="0.4">
      <c r="A140" s="7" t="s">
        <v>119</v>
      </c>
      <c r="B140" s="6" t="str">
        <f t="shared" si="22"/>
        <v>Î</v>
      </c>
      <c r="C140" s="71" cm="1">
        <f t="array" ref="C140">IF($M140&lt;&gt;"",INDEX($M:$M,MATCH(TRUE,EXACT(B140,$A:$A),0)),"")</f>
        <v>138</v>
      </c>
      <c r="D140" s="61" t="s">
        <v>118</v>
      </c>
      <c r="E140" s="71" cm="1">
        <f t="array" ref="E140">IF($M140&lt;&gt;"",INDEX($M:$M,MATCH(TRUE,EXACT(D140,$A:$A),0)),"")</f>
        <v>137</v>
      </c>
      <c r="F140" s="61" t="s">
        <v>117</v>
      </c>
      <c r="G140" s="71" cm="1">
        <f t="array" ref="G140">IF($M140&lt;&gt;"",INDEX($M:$M,MATCH(TRUE,EXACT(F140,$A:$A),0)),"")</f>
        <v>136</v>
      </c>
      <c r="H140" s="61" t="s">
        <v>118</v>
      </c>
      <c r="I140" s="75" cm="1">
        <f t="array" ref="I140">IF($M140&lt;&gt;"",INDEX($M:$M,MATCH(TRUE,EXACT(H140,$A:$A),0)),"")</f>
        <v>137</v>
      </c>
      <c r="J140" s="46"/>
      <c r="K140" s="56"/>
      <c r="L140" s="41" t="b">
        <f t="shared" si="23"/>
        <v>1</v>
      </c>
      <c r="M140" s="42">
        <f>IF(L140, MAX(M$2:M139)+1,"")</f>
        <v>138</v>
      </c>
      <c r="N140" s="46" t="str">
        <f t="shared" si="24"/>
        <v>Î</v>
      </c>
      <c r="O140" s="8" t="str" cm="1">
        <f t="array" ref="O140">CharToUTF8(A140)</f>
        <v>\xC3\x8E</v>
      </c>
      <c r="Q140" s="41" t="str">
        <f>$Z$10</f>
        <v>ORTHO_RIGHT</v>
      </c>
      <c r="R140" s="47" t="str">
        <f>$Z$2</f>
        <v>EMPTY</v>
      </c>
      <c r="S140" s="47" t="str">
        <f>$Z$8</f>
        <v>ORTHO_DOWN</v>
      </c>
      <c r="T140" s="44" t="str">
        <f>$Z$2</f>
        <v>EMPTY</v>
      </c>
      <c r="V140" s="54" t="b">
        <f t="shared" si="25"/>
        <v>0</v>
      </c>
      <c r="W140" t="b">
        <f t="shared" si="26"/>
        <v>0</v>
      </c>
      <c r="X140" t="b">
        <f t="shared" si="27"/>
        <v>0</v>
      </c>
      <c r="AG140" s="82" t="str">
        <f t="shared" si="28"/>
        <v xml:space="preserve">    { 138, 137, 136, 137, wxString::FromUTF8("\xC3\x8E"), Connection::ORTHO_RIGHT, Connection::EMPTY, Connection::ORTHO_DOWN, Connection::EMPTY }</v>
      </c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1"/>
    </row>
    <row r="141" spans="1:44" x14ac:dyDescent="0.4">
      <c r="A141" s="7" t="s">
        <v>120</v>
      </c>
      <c r="B141" s="6" t="str">
        <f t="shared" si="22"/>
        <v>Ï</v>
      </c>
      <c r="C141" s="71" cm="1">
        <f t="array" ref="C141">IF($M141&lt;&gt;"",INDEX($M:$M,MATCH(TRUE,EXACT(B141,$A:$A),0)),"")</f>
        <v>139</v>
      </c>
      <c r="D141" s="61" t="s">
        <v>121</v>
      </c>
      <c r="E141" s="71" cm="1">
        <f t="array" ref="E141">IF($M141&lt;&gt;"",INDEX($M:$M,MATCH(TRUE,EXACT(D141,$A:$A),0)),"")</f>
        <v>140</v>
      </c>
      <c r="F141" s="61" t="s">
        <v>122</v>
      </c>
      <c r="G141" s="71" cm="1">
        <f t="array" ref="G141">IF($M141&lt;&gt;"",INDEX($M:$M,MATCH(TRUE,EXACT(F141,$A:$A),0)),"")</f>
        <v>141</v>
      </c>
      <c r="H141" s="61" t="s">
        <v>121</v>
      </c>
      <c r="I141" s="75" cm="1">
        <f t="array" ref="I141">IF($M141&lt;&gt;"",INDEX($M:$M,MATCH(TRUE,EXACT(H141,$A:$A),0)),"")</f>
        <v>140</v>
      </c>
      <c r="J141" s="46"/>
      <c r="K141" s="56"/>
      <c r="L141" s="41" t="b">
        <f t="shared" si="23"/>
        <v>1</v>
      </c>
      <c r="M141" s="42">
        <f>IF(L141, MAX(M$2:M140)+1,"")</f>
        <v>139</v>
      </c>
      <c r="N141" s="46" t="str">
        <f t="shared" si="24"/>
        <v>Ï</v>
      </c>
      <c r="O141" s="8" t="str" cm="1">
        <f t="array" ref="O141">CharToUTF8(A141)</f>
        <v>\xC3\x8F</v>
      </c>
      <c r="Q141" s="41" t="str">
        <f>$Z$2</f>
        <v>EMPTY</v>
      </c>
      <c r="R141" s="47" t="str">
        <f>$Z$10</f>
        <v>ORTHO_RIGHT</v>
      </c>
      <c r="S141" s="47" t="str">
        <f>$Z$2</f>
        <v>EMPTY</v>
      </c>
      <c r="T141" s="44" t="str">
        <f>$Z$8</f>
        <v>ORTHO_DOWN</v>
      </c>
      <c r="V141" s="54" t="b">
        <f t="shared" si="25"/>
        <v>0</v>
      </c>
      <c r="W141" t="b">
        <f t="shared" si="26"/>
        <v>0</v>
      </c>
      <c r="X141" t="b">
        <f t="shared" si="27"/>
        <v>0</v>
      </c>
      <c r="AG141" s="82" t="str">
        <f t="shared" si="28"/>
        <v xml:space="preserve">    { 139, 140, 141, 140, wxString::FromUTF8("\xC3\x8F"), Connection::EMPTY, Connection::ORTHO_RIGHT, Connection::EMPTY, Connection::ORTHO_DOWN }</v>
      </c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1"/>
    </row>
    <row r="142" spans="1:44" x14ac:dyDescent="0.4">
      <c r="A142" s="7" t="s">
        <v>121</v>
      </c>
      <c r="B142" s="6" t="str">
        <f t="shared" si="22"/>
        <v>Ð</v>
      </c>
      <c r="C142" s="71" cm="1">
        <f t="array" ref="C142">IF($M142&lt;&gt;"",INDEX($M:$M,MATCH(TRUE,EXACT(B142,$A:$A),0)),"")</f>
        <v>140</v>
      </c>
      <c r="D142" s="61" t="s">
        <v>123</v>
      </c>
      <c r="E142" s="71" cm="1">
        <f t="array" ref="E142">IF($M142&lt;&gt;"",INDEX($M:$M,MATCH(TRUE,EXACT(D142,$A:$A),0)),"")</f>
        <v>142</v>
      </c>
      <c r="F142" s="61" t="s">
        <v>123</v>
      </c>
      <c r="G142" s="71" cm="1">
        <f t="array" ref="G142">IF($M142&lt;&gt;"",INDEX($M:$M,MATCH(TRUE,EXACT(F142,$A:$A),0)),"")</f>
        <v>142</v>
      </c>
      <c r="H142" s="61" t="s">
        <v>120</v>
      </c>
      <c r="I142" s="75" cm="1">
        <f t="array" ref="I142">IF($M142&lt;&gt;"",INDEX($M:$M,MATCH(TRUE,EXACT(H142,$A:$A),0)),"")</f>
        <v>139</v>
      </c>
      <c r="J142" s="46"/>
      <c r="K142" s="56"/>
      <c r="L142" s="41" t="b">
        <f t="shared" si="23"/>
        <v>1</v>
      </c>
      <c r="M142" s="42">
        <f>IF(L142, MAX(M$2:M141)+1,"")</f>
        <v>140</v>
      </c>
      <c r="N142" s="46" t="str">
        <f t="shared" si="24"/>
        <v>Ð</v>
      </c>
      <c r="O142" s="8" t="str" cm="1">
        <f t="array" ref="O142">CharToUTF8(A142)</f>
        <v>\xC3\x90</v>
      </c>
      <c r="Q142" s="41" t="str">
        <f>$Z$2</f>
        <v>EMPTY</v>
      </c>
      <c r="R142" s="47" t="str">
        <f>$Z$9</f>
        <v>ORTHO_LEFT</v>
      </c>
      <c r="S142" s="47" t="str">
        <f>$Z$8</f>
        <v>ORTHO_DOWN</v>
      </c>
      <c r="T142" s="44" t="str">
        <f>$Z$2</f>
        <v>EMPTY</v>
      </c>
      <c r="V142" s="54" t="b">
        <f t="shared" si="25"/>
        <v>0</v>
      </c>
      <c r="W142" t="b">
        <f t="shared" si="26"/>
        <v>0</v>
      </c>
      <c r="X142" t="b">
        <f t="shared" si="27"/>
        <v>0</v>
      </c>
      <c r="AG142" s="82" t="str">
        <f t="shared" si="28"/>
        <v xml:space="preserve">    { 140, 142, 142, 139, wxString::FromUTF8("\xC3\x90"), Connection::EMPTY, Connection::ORTHO_LEFT, Connection::ORTHO_DOWN, Connection::EMPTY }</v>
      </c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1"/>
    </row>
    <row r="143" spans="1:44" x14ac:dyDescent="0.4">
      <c r="A143" s="7" t="s">
        <v>122</v>
      </c>
      <c r="B143" s="6" t="str">
        <f t="shared" si="22"/>
        <v>Ñ</v>
      </c>
      <c r="C143" s="71" cm="1">
        <f t="array" ref="C143">IF($M143&lt;&gt;"",INDEX($M:$M,MATCH(TRUE,EXACT(B143,$A:$A),0)),"")</f>
        <v>141</v>
      </c>
      <c r="D143" s="61" t="s">
        <v>120</v>
      </c>
      <c r="E143" s="71" cm="1">
        <f t="array" ref="E143">IF($M143&lt;&gt;"",INDEX($M:$M,MATCH(TRUE,EXACT(D143,$A:$A),0)),"")</f>
        <v>139</v>
      </c>
      <c r="F143" s="61" t="s">
        <v>120</v>
      </c>
      <c r="G143" s="71" cm="1">
        <f t="array" ref="G143">IF($M143&lt;&gt;"",INDEX($M:$M,MATCH(TRUE,EXACT(F143,$A:$A),0)),"")</f>
        <v>139</v>
      </c>
      <c r="H143" s="61" t="s">
        <v>123</v>
      </c>
      <c r="I143" s="75" cm="1">
        <f t="array" ref="I143">IF($M143&lt;&gt;"",INDEX($M:$M,MATCH(TRUE,EXACT(H143,$A:$A),0)),"")</f>
        <v>142</v>
      </c>
      <c r="J143" s="46"/>
      <c r="K143" s="56"/>
      <c r="L143" s="41" t="b">
        <f t="shared" si="23"/>
        <v>1</v>
      </c>
      <c r="M143" s="42">
        <f>IF(L143, MAX(M$2:M142)+1,"")</f>
        <v>141</v>
      </c>
      <c r="N143" s="46" t="str">
        <f t="shared" si="24"/>
        <v>Ñ</v>
      </c>
      <c r="O143" s="8" t="str" cm="1">
        <f t="array" ref="O143">CharToUTF8(A143)</f>
        <v>\xC3\x91</v>
      </c>
      <c r="Q143" s="41" t="str">
        <f>$Z$10</f>
        <v>ORTHO_RIGHT</v>
      </c>
      <c r="R143" s="47" t="str">
        <f>$Z$2</f>
        <v>EMPTY</v>
      </c>
      <c r="S143" s="47" t="str">
        <f>$Z$2</f>
        <v>EMPTY</v>
      </c>
      <c r="T143" s="44" t="str">
        <f>$Z$7</f>
        <v>ORTHO_UP</v>
      </c>
      <c r="V143" s="54" t="b">
        <f t="shared" si="25"/>
        <v>0</v>
      </c>
      <c r="W143" t="b">
        <f t="shared" si="26"/>
        <v>0</v>
      </c>
      <c r="X143" t="b">
        <f t="shared" si="27"/>
        <v>0</v>
      </c>
      <c r="AG143" s="82" t="str">
        <f t="shared" si="28"/>
        <v xml:space="preserve">    { 141, 139, 139, 142, wxString::FromUTF8("\xC3\x91"), Connection::ORTHO_RIGHT, Connection::EMPTY, Connection::EMPTY, Connection::ORTHO_UP }</v>
      </c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1"/>
    </row>
    <row r="144" spans="1:44" x14ac:dyDescent="0.4">
      <c r="A144" s="7" t="s">
        <v>123</v>
      </c>
      <c r="B144" s="6" t="str">
        <f t="shared" si="22"/>
        <v>Ò</v>
      </c>
      <c r="C144" s="71" cm="1">
        <f t="array" ref="C144">IF($M144&lt;&gt;"",INDEX($M:$M,MATCH(TRUE,EXACT(B144,$A:$A),0)),"")</f>
        <v>142</v>
      </c>
      <c r="D144" s="61" t="s">
        <v>122</v>
      </c>
      <c r="E144" s="71" cm="1">
        <f t="array" ref="E144">IF($M144&lt;&gt;"",INDEX($M:$M,MATCH(TRUE,EXACT(D144,$A:$A),0)),"")</f>
        <v>141</v>
      </c>
      <c r="F144" s="61" t="s">
        <v>121</v>
      </c>
      <c r="G144" s="71" cm="1">
        <f t="array" ref="G144">IF($M144&lt;&gt;"",INDEX($M:$M,MATCH(TRUE,EXACT(F144,$A:$A),0)),"")</f>
        <v>140</v>
      </c>
      <c r="H144" s="61" t="s">
        <v>122</v>
      </c>
      <c r="I144" s="75" cm="1">
        <f t="array" ref="I144">IF($M144&lt;&gt;"",INDEX($M:$M,MATCH(TRUE,EXACT(H144,$A:$A),0)),"")</f>
        <v>141</v>
      </c>
      <c r="J144" s="46"/>
      <c r="K144" s="56"/>
      <c r="L144" s="41" t="b">
        <f t="shared" si="23"/>
        <v>1</v>
      </c>
      <c r="M144" s="42">
        <f>IF(L144, MAX(M$2:M143)+1,"")</f>
        <v>142</v>
      </c>
      <c r="N144" s="46" t="str">
        <f t="shared" si="24"/>
        <v>Ò</v>
      </c>
      <c r="O144" s="8" t="str" cm="1">
        <f t="array" ref="O144">CharToUTF8(A144)</f>
        <v>\xC3\x92</v>
      </c>
      <c r="Q144" s="41" t="str">
        <f>$Z$9</f>
        <v>ORTHO_LEFT</v>
      </c>
      <c r="R144" s="47" t="str">
        <f>$Z$2</f>
        <v>EMPTY</v>
      </c>
      <c r="S144" s="47" t="str">
        <f>$Z$7</f>
        <v>ORTHO_UP</v>
      </c>
      <c r="T144" s="44" t="str">
        <f>$Z$2</f>
        <v>EMPTY</v>
      </c>
      <c r="V144" s="54" t="b">
        <f t="shared" si="25"/>
        <v>0</v>
      </c>
      <c r="W144" t="b">
        <f t="shared" si="26"/>
        <v>0</v>
      </c>
      <c r="X144" t="b">
        <f t="shared" si="27"/>
        <v>0</v>
      </c>
      <c r="AG144" s="82" t="str">
        <f t="shared" si="28"/>
        <v xml:space="preserve">    { 142, 141, 140, 141, wxString::FromUTF8("\xC3\x92"), Connection::ORTHO_LEFT, Connection::EMPTY, Connection::ORTHO_UP, Connection::EMPTY }</v>
      </c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1"/>
    </row>
    <row r="145" spans="1:44" x14ac:dyDescent="0.4">
      <c r="A145" s="7" t="s">
        <v>124</v>
      </c>
      <c r="B145" s="6" t="str">
        <f t="shared" si="22"/>
        <v>Ó</v>
      </c>
      <c r="C145" s="71" cm="1">
        <f t="array" ref="C145">IF($M145&lt;&gt;"",INDEX($M:$M,MATCH(TRUE,EXACT(B145,$A:$A),0)),"")</f>
        <v>143</v>
      </c>
      <c r="D145" s="61" t="s">
        <v>126</v>
      </c>
      <c r="E145" s="71" cm="1">
        <f t="array" ref="E145">IF($M145&lt;&gt;"",INDEX($M:$M,MATCH(TRUE,EXACT(D145,$A:$A),0)),"")</f>
        <v>145</v>
      </c>
      <c r="F145" s="61" t="s">
        <v>125</v>
      </c>
      <c r="G145" s="71" cm="1">
        <f t="array" ref="G145">IF($M145&lt;&gt;"",INDEX($M:$M,MATCH(TRUE,EXACT(F145,$A:$A),0)),"")</f>
        <v>144</v>
      </c>
      <c r="H145" s="61" t="s">
        <v>125</v>
      </c>
      <c r="I145" s="75" cm="1">
        <f t="array" ref="I145">IF($M145&lt;&gt;"",INDEX($M:$M,MATCH(TRUE,EXACT(H145,$A:$A),0)),"")</f>
        <v>144</v>
      </c>
      <c r="J145" s="46"/>
      <c r="K145" s="56"/>
      <c r="L145" s="41" t="b">
        <f t="shared" si="23"/>
        <v>1</v>
      </c>
      <c r="M145" s="42">
        <f>IF(L145, MAX(M$2:M144)+1,"")</f>
        <v>143</v>
      </c>
      <c r="N145" s="46" t="str">
        <f t="shared" si="24"/>
        <v>Ó</v>
      </c>
      <c r="O145" s="8" t="str" cm="1">
        <f t="array" ref="O145">CharToUTF8(A145)</f>
        <v>\xC3\x93</v>
      </c>
      <c r="Q145" s="41" t="str">
        <f>$Z$9</f>
        <v>ORTHO_LEFT</v>
      </c>
      <c r="R145" s="47" t="str">
        <f>$Z$10</f>
        <v>ORTHO_RIGHT</v>
      </c>
      <c r="S145" s="47" t="str">
        <f>$Z$2</f>
        <v>EMPTY</v>
      </c>
      <c r="T145" s="44" t="str">
        <f>$Z$2</f>
        <v>EMPTY</v>
      </c>
      <c r="V145" s="54" t="b">
        <f t="shared" si="25"/>
        <v>0</v>
      </c>
      <c r="W145" t="b">
        <f t="shared" si="26"/>
        <v>0</v>
      </c>
      <c r="X145" t="b">
        <f t="shared" si="27"/>
        <v>0</v>
      </c>
      <c r="AG145" s="82" t="str">
        <f t="shared" si="28"/>
        <v xml:space="preserve">    { 143, 145, 144, 144, wxString::FromUTF8("\xC3\x93"), Connection::ORTHO_LEFT, Connection::ORTHO_RIGHT, Connection::EMPTY, Connection::EMPTY }</v>
      </c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1"/>
    </row>
    <row r="146" spans="1:44" x14ac:dyDescent="0.4">
      <c r="A146" s="7" t="s">
        <v>125</v>
      </c>
      <c r="B146" s="6" t="str">
        <f t="shared" si="22"/>
        <v>Ô</v>
      </c>
      <c r="C146" s="71" cm="1">
        <f t="array" ref="C146">IF($M146&lt;&gt;"",INDEX($M:$M,MATCH(TRUE,EXACT(B146,$A:$A),0)),"")</f>
        <v>144</v>
      </c>
      <c r="D146" s="61" t="s">
        <v>127</v>
      </c>
      <c r="E146" s="71" cm="1">
        <f t="array" ref="E146">IF($M146&lt;&gt;"",INDEX($M:$M,MATCH(TRUE,EXACT(D146,$A:$A),0)),"")</f>
        <v>146</v>
      </c>
      <c r="F146" s="61" t="s">
        <v>124</v>
      </c>
      <c r="G146" s="71" cm="1">
        <f t="array" ref="G146">IF($M146&lt;&gt;"",INDEX($M:$M,MATCH(TRUE,EXACT(F146,$A:$A),0)),"")</f>
        <v>143</v>
      </c>
      <c r="H146" s="61" t="s">
        <v>124</v>
      </c>
      <c r="I146" s="75" cm="1">
        <f t="array" ref="I146">IF($M146&lt;&gt;"",INDEX($M:$M,MATCH(TRUE,EXACT(H146,$A:$A),0)),"")</f>
        <v>143</v>
      </c>
      <c r="J146" s="46"/>
      <c r="K146" s="56"/>
      <c r="L146" s="41" t="b">
        <f t="shared" si="23"/>
        <v>1</v>
      </c>
      <c r="M146" s="42">
        <f>IF(L146, MAX(M$2:M145)+1,"")</f>
        <v>144</v>
      </c>
      <c r="N146" s="46" t="str">
        <f t="shared" si="24"/>
        <v>Ô</v>
      </c>
      <c r="O146" s="8" t="str" cm="1">
        <f t="array" ref="O146">CharToUTF8(A146)</f>
        <v>\xC3\x94</v>
      </c>
      <c r="Q146" s="41" t="str">
        <f>$Z$10</f>
        <v>ORTHO_RIGHT</v>
      </c>
      <c r="R146" s="47" t="str">
        <f>$Z$9</f>
        <v>ORTHO_LEFT</v>
      </c>
      <c r="S146" s="47" t="str">
        <f>$Z$2</f>
        <v>EMPTY</v>
      </c>
      <c r="T146" s="44" t="str">
        <f>$Z$2</f>
        <v>EMPTY</v>
      </c>
      <c r="V146" s="54" t="b">
        <f t="shared" si="25"/>
        <v>0</v>
      </c>
      <c r="W146" t="b">
        <f t="shared" si="26"/>
        <v>0</v>
      </c>
      <c r="X146" t="b">
        <f t="shared" si="27"/>
        <v>0</v>
      </c>
      <c r="AG146" s="82" t="str">
        <f t="shared" si="28"/>
        <v xml:space="preserve">    { 144, 146, 143, 143, wxString::FromUTF8("\xC3\x94"), Connection::ORTHO_RIGHT, Connection::ORTHO_LEFT, Connection::EMPTY, Connection::EMPTY }</v>
      </c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1"/>
    </row>
    <row r="147" spans="1:44" x14ac:dyDescent="0.4">
      <c r="A147" s="7" t="s">
        <v>126</v>
      </c>
      <c r="B147" s="6" t="str">
        <f t="shared" si="22"/>
        <v>Õ</v>
      </c>
      <c r="C147" s="71" cm="1">
        <f t="array" ref="C147">IF($M147&lt;&gt;"",INDEX($M:$M,MATCH(TRUE,EXACT(B147,$A:$A),0)),"")</f>
        <v>145</v>
      </c>
      <c r="D147" s="61" t="s">
        <v>124</v>
      </c>
      <c r="E147" s="71" cm="1">
        <f t="array" ref="E147">IF($M147&lt;&gt;"",INDEX($M:$M,MATCH(TRUE,EXACT(D147,$A:$A),0)),"")</f>
        <v>143</v>
      </c>
      <c r="F147" s="61" t="s">
        <v>127</v>
      </c>
      <c r="G147" s="71" cm="1">
        <f t="array" ref="G147">IF($M147&lt;&gt;"",INDEX($M:$M,MATCH(TRUE,EXACT(F147,$A:$A),0)),"")</f>
        <v>146</v>
      </c>
      <c r="H147" s="61" t="s">
        <v>127</v>
      </c>
      <c r="I147" s="75" cm="1">
        <f t="array" ref="I147">IF($M147&lt;&gt;"",INDEX($M:$M,MATCH(TRUE,EXACT(H147,$A:$A),0)),"")</f>
        <v>146</v>
      </c>
      <c r="J147" s="46"/>
      <c r="K147" s="56"/>
      <c r="L147" s="41" t="b">
        <f t="shared" si="23"/>
        <v>1</v>
      </c>
      <c r="M147" s="42">
        <f>IF(L147, MAX(M$2:M146)+1,"")</f>
        <v>145</v>
      </c>
      <c r="N147" s="46" t="str">
        <f t="shared" si="24"/>
        <v>Õ</v>
      </c>
      <c r="O147" s="8" t="str" cm="1">
        <f t="array" ref="O147">CharToUTF8(A147)</f>
        <v>\xC3\x95</v>
      </c>
      <c r="Q147" s="41" t="str">
        <f>$Z$2</f>
        <v>EMPTY</v>
      </c>
      <c r="R147" s="47" t="str">
        <f>$Z$2</f>
        <v>EMPTY</v>
      </c>
      <c r="S147" s="47" t="str">
        <f>$Z$8</f>
        <v>ORTHO_DOWN</v>
      </c>
      <c r="T147" s="44" t="str">
        <f>$Z$7</f>
        <v>ORTHO_UP</v>
      </c>
      <c r="V147" s="54" t="b">
        <f t="shared" si="25"/>
        <v>0</v>
      </c>
      <c r="W147" t="b">
        <f t="shared" si="26"/>
        <v>0</v>
      </c>
      <c r="X147" t="b">
        <f t="shared" si="27"/>
        <v>0</v>
      </c>
      <c r="AG147" s="82" t="str">
        <f t="shared" si="28"/>
        <v xml:space="preserve">    { 145, 143, 146, 146, wxString::FromUTF8("\xC3\x95"), Connection::EMPTY, Connection::EMPTY, Connection::ORTHO_DOWN, Connection::ORTHO_UP }</v>
      </c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1"/>
    </row>
    <row r="148" spans="1:44" x14ac:dyDescent="0.4">
      <c r="A148" s="7" t="s">
        <v>127</v>
      </c>
      <c r="B148" s="6" t="str">
        <f t="shared" si="22"/>
        <v>Ö</v>
      </c>
      <c r="C148" s="71" cm="1">
        <f t="array" ref="C148">IF($M148&lt;&gt;"",INDEX($M:$M,MATCH(TRUE,EXACT(B148,$A:$A),0)),"")</f>
        <v>146</v>
      </c>
      <c r="D148" s="61" t="s">
        <v>125</v>
      </c>
      <c r="E148" s="71" cm="1">
        <f t="array" ref="E148">IF($M148&lt;&gt;"",INDEX($M:$M,MATCH(TRUE,EXACT(D148,$A:$A),0)),"")</f>
        <v>144</v>
      </c>
      <c r="F148" s="61" t="s">
        <v>126</v>
      </c>
      <c r="G148" s="71" cm="1">
        <f t="array" ref="G148">IF($M148&lt;&gt;"",INDEX($M:$M,MATCH(TRUE,EXACT(F148,$A:$A),0)),"")</f>
        <v>145</v>
      </c>
      <c r="H148" s="61" t="s">
        <v>126</v>
      </c>
      <c r="I148" s="75" cm="1">
        <f t="array" ref="I148">IF($M148&lt;&gt;"",INDEX($M:$M,MATCH(TRUE,EXACT(H148,$A:$A),0)),"")</f>
        <v>145</v>
      </c>
      <c r="J148" s="46"/>
      <c r="K148" s="56"/>
      <c r="L148" s="41" t="b">
        <f t="shared" si="23"/>
        <v>1</v>
      </c>
      <c r="M148" s="42">
        <f>IF(L148, MAX(M$2:M147)+1,"")</f>
        <v>146</v>
      </c>
      <c r="N148" s="46" t="str">
        <f t="shared" si="24"/>
        <v>Ö</v>
      </c>
      <c r="O148" s="8" t="str" cm="1">
        <f t="array" ref="O148">CharToUTF8(A148)</f>
        <v>\xC3\x96</v>
      </c>
      <c r="Q148" s="41" t="str">
        <f>$Z$2</f>
        <v>EMPTY</v>
      </c>
      <c r="R148" s="47" t="str">
        <f>$Z$2</f>
        <v>EMPTY</v>
      </c>
      <c r="S148" s="47" t="str">
        <f>$Z$7</f>
        <v>ORTHO_UP</v>
      </c>
      <c r="T148" s="44" t="str">
        <f>$Z$8</f>
        <v>ORTHO_DOWN</v>
      </c>
      <c r="V148" s="54" t="b">
        <f t="shared" si="25"/>
        <v>0</v>
      </c>
      <c r="W148" t="b">
        <f t="shared" si="26"/>
        <v>0</v>
      </c>
      <c r="X148" t="b">
        <f t="shared" si="27"/>
        <v>0</v>
      </c>
      <c r="AG148" s="82" t="str">
        <f t="shared" si="28"/>
        <v xml:space="preserve">    { 146, 144, 145, 145, wxString::FromUTF8("\xC3\x96"), Connection::EMPTY, Connection::EMPTY, Connection::ORTHO_UP, Connection::ORTHO_DOWN }</v>
      </c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1"/>
    </row>
    <row r="149" spans="1:44" x14ac:dyDescent="0.4">
      <c r="A149" s="7" t="s">
        <v>128</v>
      </c>
      <c r="B149" s="6" t="str">
        <f t="shared" si="22"/>
        <v>×</v>
      </c>
      <c r="C149" s="71" cm="1">
        <f t="array" ref="C149">IF($M149&lt;&gt;"",INDEX($M:$M,MATCH(TRUE,EXACT(B149,$A:$A),0)),"")</f>
        <v>147</v>
      </c>
      <c r="D149" s="61" t="s">
        <v>129</v>
      </c>
      <c r="E149" s="71" cm="1">
        <f t="array" ref="E149">IF($M149&lt;&gt;"",INDEX($M:$M,MATCH(TRUE,EXACT(D149,$A:$A),0)),"")</f>
        <v>148</v>
      </c>
      <c r="F149" s="61" t="s">
        <v>130</v>
      </c>
      <c r="G149" s="71" cm="1">
        <f t="array" ref="G149">IF($M149&lt;&gt;"",INDEX($M:$M,MATCH(TRUE,EXACT(F149,$A:$A),0)),"")</f>
        <v>149</v>
      </c>
      <c r="H149" s="61" t="s">
        <v>128</v>
      </c>
      <c r="I149" s="75" cm="1">
        <f t="array" ref="I149">IF($M149&lt;&gt;"",INDEX($M:$M,MATCH(TRUE,EXACT(H149,$A:$A),0)),"")</f>
        <v>147</v>
      </c>
      <c r="J149" s="46"/>
      <c r="K149" s="56"/>
      <c r="L149" s="41" t="b">
        <f t="shared" si="23"/>
        <v>1</v>
      </c>
      <c r="M149" s="42">
        <f>IF(L149, MAX(M$2:M148)+1,"")</f>
        <v>147</v>
      </c>
      <c r="N149" s="46" t="str">
        <f t="shared" si="24"/>
        <v>×</v>
      </c>
      <c r="O149" s="8" t="str" cm="1">
        <f t="array" ref="O149">CharToUTF8(A149)</f>
        <v>\xC3\x97</v>
      </c>
      <c r="Q149" s="41" t="str">
        <f>$Z$2</f>
        <v>EMPTY</v>
      </c>
      <c r="R149" s="47" t="str">
        <f>$Z$4</f>
        <v>ORTHO_BOTH</v>
      </c>
      <c r="S149" s="47" t="str">
        <f>$Z$4</f>
        <v>ORTHO_BOTH</v>
      </c>
      <c r="T149" s="44" t="str">
        <f>$Z$4</f>
        <v>ORTHO_BOTH</v>
      </c>
      <c r="V149" s="54" t="b">
        <f t="shared" si="25"/>
        <v>0</v>
      </c>
      <c r="W149" t="b">
        <f t="shared" si="26"/>
        <v>0</v>
      </c>
      <c r="X149" t="b">
        <f t="shared" si="27"/>
        <v>1</v>
      </c>
      <c r="AG149" s="82" t="str">
        <f t="shared" si="28"/>
        <v xml:space="preserve">    { 147, 148, 149, 147, wxString::FromUTF8("\xC3\x97"), Connection::EMPTY, Connection::ORTHO_BOTH, Connection::ORTHO_BOTH, Connection::ORTHO_BOTH }</v>
      </c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1"/>
    </row>
    <row r="150" spans="1:44" x14ac:dyDescent="0.4">
      <c r="A150" s="7" t="s">
        <v>129</v>
      </c>
      <c r="B150" s="6" t="str">
        <f t="shared" si="22"/>
        <v>Ø</v>
      </c>
      <c r="C150" s="71" cm="1">
        <f t="array" ref="C150">IF($M150&lt;&gt;"",INDEX($M:$M,MATCH(TRUE,EXACT(B150,$A:$A),0)),"")</f>
        <v>148</v>
      </c>
      <c r="D150" s="61" t="s">
        <v>130</v>
      </c>
      <c r="E150" s="71" cm="1">
        <f t="array" ref="E150">IF($M150&lt;&gt;"",INDEX($M:$M,MATCH(TRUE,EXACT(D150,$A:$A),0)),"")</f>
        <v>149</v>
      </c>
      <c r="F150" s="61" t="s">
        <v>129</v>
      </c>
      <c r="G150" s="71" cm="1">
        <f t="array" ref="G150">IF($M150&lt;&gt;"",INDEX($M:$M,MATCH(TRUE,EXACT(F150,$A:$A),0)),"")</f>
        <v>148</v>
      </c>
      <c r="H150" s="61" t="s">
        <v>131</v>
      </c>
      <c r="I150" s="75" cm="1">
        <f t="array" ref="I150">IF($M150&lt;&gt;"",INDEX($M:$M,MATCH(TRUE,EXACT(H150,$A:$A),0)),"")</f>
        <v>150</v>
      </c>
      <c r="J150" s="46"/>
      <c r="K150" s="56"/>
      <c r="L150" s="41" t="b">
        <f t="shared" si="23"/>
        <v>1</v>
      </c>
      <c r="M150" s="42">
        <f>IF(L150, MAX(M$2:M149)+1,"")</f>
        <v>148</v>
      </c>
      <c r="N150" s="46" t="str">
        <f t="shared" si="24"/>
        <v>Ø</v>
      </c>
      <c r="O150" s="8" t="str" cm="1">
        <f t="array" ref="O150">CharToUTF8(A150)</f>
        <v>\xC3\x98</v>
      </c>
      <c r="Q150" s="41" t="str">
        <f>$Z$4</f>
        <v>ORTHO_BOTH</v>
      </c>
      <c r="R150" s="47" t="str">
        <f>$Z$4</f>
        <v>ORTHO_BOTH</v>
      </c>
      <c r="S150" s="47" t="str">
        <f>$Z$4</f>
        <v>ORTHO_BOTH</v>
      </c>
      <c r="T150" s="44" t="str">
        <f>$Z$2</f>
        <v>EMPTY</v>
      </c>
      <c r="V150" s="54" t="b">
        <f t="shared" si="25"/>
        <v>0</v>
      </c>
      <c r="W150" t="b">
        <f t="shared" si="26"/>
        <v>1</v>
      </c>
      <c r="X150" t="b">
        <f t="shared" si="27"/>
        <v>0</v>
      </c>
      <c r="AG150" s="82" t="str">
        <f t="shared" si="28"/>
        <v xml:space="preserve">    { 148, 149, 148, 150, wxString::FromUTF8("\xC3\x98"), Connection::ORTHO_BOTH, Connection::ORTHO_BOTH, Connection::ORTHO_BOTH, Connection::EMPTY }</v>
      </c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1"/>
    </row>
    <row r="151" spans="1:44" x14ac:dyDescent="0.4">
      <c r="A151" s="7" t="s">
        <v>130</v>
      </c>
      <c r="B151" s="6" t="str">
        <f t="shared" si="22"/>
        <v>Ù</v>
      </c>
      <c r="C151" s="71" cm="1">
        <f t="array" ref="C151">IF($M151&lt;&gt;"",INDEX($M:$M,MATCH(TRUE,EXACT(B151,$A:$A),0)),"")</f>
        <v>149</v>
      </c>
      <c r="D151" s="61" t="s">
        <v>131</v>
      </c>
      <c r="E151" s="71" cm="1">
        <f t="array" ref="E151">IF($M151&lt;&gt;"",INDEX($M:$M,MATCH(TRUE,EXACT(D151,$A:$A),0)),"")</f>
        <v>150</v>
      </c>
      <c r="F151" s="61" t="s">
        <v>128</v>
      </c>
      <c r="G151" s="71" cm="1">
        <f t="array" ref="G151">IF($M151&lt;&gt;"",INDEX($M:$M,MATCH(TRUE,EXACT(F151,$A:$A),0)),"")</f>
        <v>147</v>
      </c>
      <c r="H151" s="61" t="s">
        <v>130</v>
      </c>
      <c r="I151" s="75" cm="1">
        <f t="array" ref="I151">IF($M151&lt;&gt;"",INDEX($M:$M,MATCH(TRUE,EXACT(H151,$A:$A),0)),"")</f>
        <v>149</v>
      </c>
      <c r="J151" s="46"/>
      <c r="K151" s="56"/>
      <c r="L151" s="41" t="b">
        <f t="shared" si="23"/>
        <v>1</v>
      </c>
      <c r="M151" s="42">
        <f>IF(L151, MAX(M$2:M150)+1,"")</f>
        <v>149</v>
      </c>
      <c r="N151" s="46" t="str">
        <f t="shared" si="24"/>
        <v>Ù</v>
      </c>
      <c r="O151" s="8" t="str" cm="1">
        <f t="array" ref="O151">CharToUTF8(A151)</f>
        <v>\xC3\x99</v>
      </c>
      <c r="Q151" s="41" t="str">
        <f>$Z$4</f>
        <v>ORTHO_BOTH</v>
      </c>
      <c r="R151" s="47" t="str">
        <f>$Z$2</f>
        <v>EMPTY</v>
      </c>
      <c r="S151" s="47" t="str">
        <f>$Z$4</f>
        <v>ORTHO_BOTH</v>
      </c>
      <c r="T151" s="44" t="str">
        <f>$Z$4</f>
        <v>ORTHO_BOTH</v>
      </c>
      <c r="V151" s="54" t="b">
        <f t="shared" si="25"/>
        <v>0</v>
      </c>
      <c r="W151" t="b">
        <f t="shared" si="26"/>
        <v>0</v>
      </c>
      <c r="X151" t="b">
        <f t="shared" si="27"/>
        <v>1</v>
      </c>
      <c r="AG151" s="82" t="str">
        <f t="shared" si="28"/>
        <v xml:space="preserve">    { 149, 150, 147, 149, wxString::FromUTF8("\xC3\x99"), Connection::ORTHO_BOTH, Connection::EMPTY, Connection::ORTHO_BOTH, Connection::ORTHO_BOTH }</v>
      </c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1"/>
    </row>
    <row r="152" spans="1:44" x14ac:dyDescent="0.4">
      <c r="A152" s="7" t="s">
        <v>131</v>
      </c>
      <c r="B152" s="6" t="str">
        <f t="shared" si="22"/>
        <v>Ú</v>
      </c>
      <c r="C152" s="71" cm="1">
        <f t="array" ref="C152">IF($M152&lt;&gt;"",INDEX($M:$M,MATCH(TRUE,EXACT(B152,$A:$A),0)),"")</f>
        <v>150</v>
      </c>
      <c r="D152" s="61" t="s">
        <v>128</v>
      </c>
      <c r="E152" s="71" cm="1">
        <f t="array" ref="E152">IF($M152&lt;&gt;"",INDEX($M:$M,MATCH(TRUE,EXACT(D152,$A:$A),0)),"")</f>
        <v>147</v>
      </c>
      <c r="F152" s="61" t="s">
        <v>131</v>
      </c>
      <c r="G152" s="71" cm="1">
        <f t="array" ref="G152">IF($M152&lt;&gt;"",INDEX($M:$M,MATCH(TRUE,EXACT(F152,$A:$A),0)),"")</f>
        <v>150</v>
      </c>
      <c r="H152" s="61" t="s">
        <v>129</v>
      </c>
      <c r="I152" s="75" cm="1">
        <f t="array" ref="I152">IF($M152&lt;&gt;"",INDEX($M:$M,MATCH(TRUE,EXACT(H152,$A:$A),0)),"")</f>
        <v>148</v>
      </c>
      <c r="J152" s="46"/>
      <c r="K152" s="56"/>
      <c r="L152" s="41" t="b">
        <f t="shared" si="23"/>
        <v>1</v>
      </c>
      <c r="M152" s="42">
        <f>IF(L152, MAX(M$2:M151)+1,"")</f>
        <v>150</v>
      </c>
      <c r="N152" s="46" t="str">
        <f t="shared" si="24"/>
        <v>Ú</v>
      </c>
      <c r="O152" s="8" t="str" cm="1">
        <f t="array" ref="O152">CharToUTF8(A152)</f>
        <v>\xC3\x9A</v>
      </c>
      <c r="Q152" s="41" t="str">
        <f>$Z$4</f>
        <v>ORTHO_BOTH</v>
      </c>
      <c r="R152" s="47" t="str">
        <f>$Z$4</f>
        <v>ORTHO_BOTH</v>
      </c>
      <c r="S152" s="47" t="str">
        <f>$Z$2</f>
        <v>EMPTY</v>
      </c>
      <c r="T152" s="44" t="str">
        <f>$Z$4</f>
        <v>ORTHO_BOTH</v>
      </c>
      <c r="V152" s="54" t="b">
        <f t="shared" si="25"/>
        <v>0</v>
      </c>
      <c r="W152" t="b">
        <f t="shared" si="26"/>
        <v>1</v>
      </c>
      <c r="X152" t="b">
        <f t="shared" si="27"/>
        <v>0</v>
      </c>
      <c r="AG152" s="82" t="str">
        <f t="shared" si="28"/>
        <v xml:space="preserve">    { 150, 147, 150, 148, wxString::FromUTF8("\xC3\x9A"), Connection::ORTHO_BOTH, Connection::ORTHO_BOTH, Connection::EMPTY, Connection::ORTHO_BOTH }</v>
      </c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1"/>
    </row>
    <row r="153" spans="1:44" x14ac:dyDescent="0.4">
      <c r="A153" s="7" t="s">
        <v>132</v>
      </c>
      <c r="B153" s="6" t="str">
        <f t="shared" si="22"/>
        <v>Û</v>
      </c>
      <c r="C153" s="71" cm="1">
        <f t="array" ref="C153">IF($M153&lt;&gt;"",INDEX($M:$M,MATCH(TRUE,EXACT(B153,$A:$A),0)),"")</f>
        <v>151</v>
      </c>
      <c r="D153" s="61" t="s">
        <v>133</v>
      </c>
      <c r="E153" s="71" cm="1">
        <f t="array" ref="E153">IF($M153&lt;&gt;"",INDEX($M:$M,MATCH(TRUE,EXACT(D153,$A:$A),0)),"")</f>
        <v>152</v>
      </c>
      <c r="F153" s="61" t="s">
        <v>134</v>
      </c>
      <c r="G153" s="71" cm="1">
        <f t="array" ref="G153">IF($M153&lt;&gt;"",INDEX($M:$M,MATCH(TRUE,EXACT(F153,$A:$A),0)),"")</f>
        <v>153</v>
      </c>
      <c r="H153" s="61" t="s">
        <v>132</v>
      </c>
      <c r="I153" s="75" cm="1">
        <f t="array" ref="I153">IF($M153&lt;&gt;"",INDEX($M:$M,MATCH(TRUE,EXACT(H153,$A:$A),0)),"")</f>
        <v>151</v>
      </c>
      <c r="J153" s="46"/>
      <c r="K153" s="56"/>
      <c r="L153" s="41" t="b">
        <f t="shared" si="23"/>
        <v>1</v>
      </c>
      <c r="M153" s="42">
        <f>IF(L153, MAX(M$2:M152)+1,"")</f>
        <v>151</v>
      </c>
      <c r="N153" s="46" t="str">
        <f t="shared" si="24"/>
        <v>Û</v>
      </c>
      <c r="O153" s="8" t="str" cm="1">
        <f t="array" ref="O153">CharToUTF8(A153)</f>
        <v>\xC3\x9B</v>
      </c>
      <c r="Q153" s="41" t="str">
        <f>$Z$2</f>
        <v>EMPTY</v>
      </c>
      <c r="R153" s="47" t="str">
        <f>$Z$4</f>
        <v>ORTHO_BOTH</v>
      </c>
      <c r="S153" s="47" t="str">
        <f>$Z$4</f>
        <v>ORTHO_BOTH</v>
      </c>
      <c r="T153" s="44" t="str">
        <f>$Z$4</f>
        <v>ORTHO_BOTH</v>
      </c>
      <c r="V153" s="54" t="b">
        <f t="shared" si="25"/>
        <v>0</v>
      </c>
      <c r="W153" t="b">
        <f t="shared" si="26"/>
        <v>0</v>
      </c>
      <c r="X153" t="b">
        <f t="shared" si="27"/>
        <v>1</v>
      </c>
      <c r="AG153" s="82" t="str">
        <f t="shared" si="28"/>
        <v xml:space="preserve">    { 151, 152, 153, 151, wxString::FromUTF8("\xC3\x9B"), Connection::EMPTY, Connection::ORTHO_BOTH, Connection::ORTHO_BOTH, Connection::ORTHO_BOTH }</v>
      </c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1"/>
    </row>
    <row r="154" spans="1:44" x14ac:dyDescent="0.4">
      <c r="A154" s="7" t="s">
        <v>133</v>
      </c>
      <c r="B154" s="6" t="str">
        <f t="shared" si="22"/>
        <v>Ü</v>
      </c>
      <c r="C154" s="71" cm="1">
        <f t="array" ref="C154">IF($M154&lt;&gt;"",INDEX($M:$M,MATCH(TRUE,EXACT(B154,$A:$A),0)),"")</f>
        <v>152</v>
      </c>
      <c r="D154" s="61" t="s">
        <v>134</v>
      </c>
      <c r="E154" s="71" cm="1">
        <f t="array" ref="E154">IF($M154&lt;&gt;"",INDEX($M:$M,MATCH(TRUE,EXACT(D154,$A:$A),0)),"")</f>
        <v>153</v>
      </c>
      <c r="F154" s="61" t="s">
        <v>133</v>
      </c>
      <c r="G154" s="71" cm="1">
        <f t="array" ref="G154">IF($M154&lt;&gt;"",INDEX($M:$M,MATCH(TRUE,EXACT(F154,$A:$A),0)),"")</f>
        <v>152</v>
      </c>
      <c r="H154" s="61" t="s">
        <v>135</v>
      </c>
      <c r="I154" s="75" cm="1">
        <f t="array" ref="I154">IF($M154&lt;&gt;"",INDEX($M:$M,MATCH(TRUE,EXACT(H154,$A:$A),0)),"")</f>
        <v>154</v>
      </c>
      <c r="J154" s="46"/>
      <c r="K154" s="56"/>
      <c r="L154" s="41" t="b">
        <f t="shared" si="23"/>
        <v>1</v>
      </c>
      <c r="M154" s="42">
        <f>IF(L154, MAX(M$2:M153)+1,"")</f>
        <v>152</v>
      </c>
      <c r="N154" s="46" t="str">
        <f t="shared" si="24"/>
        <v>Ü</v>
      </c>
      <c r="O154" s="8" t="str" cm="1">
        <f t="array" ref="O154">CharToUTF8(A154)</f>
        <v>\xC3\x9C</v>
      </c>
      <c r="Q154" s="41" t="str">
        <f>$Z$4</f>
        <v>ORTHO_BOTH</v>
      </c>
      <c r="R154" s="47" t="str">
        <f>$Z$4</f>
        <v>ORTHO_BOTH</v>
      </c>
      <c r="S154" s="47" t="str">
        <f>$Z$4</f>
        <v>ORTHO_BOTH</v>
      </c>
      <c r="T154" s="44" t="str">
        <f>$Z$2</f>
        <v>EMPTY</v>
      </c>
      <c r="V154" s="54" t="b">
        <f t="shared" si="25"/>
        <v>0</v>
      </c>
      <c r="W154" t="b">
        <f t="shared" si="26"/>
        <v>1</v>
      </c>
      <c r="X154" t="b">
        <f t="shared" si="27"/>
        <v>0</v>
      </c>
      <c r="AG154" s="82" t="str">
        <f t="shared" si="28"/>
        <v xml:space="preserve">    { 152, 153, 152, 154, wxString::FromUTF8("\xC3\x9C"), Connection::ORTHO_BOTH, Connection::ORTHO_BOTH, Connection::ORTHO_BOTH, Connection::EMPTY }</v>
      </c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1"/>
    </row>
    <row r="155" spans="1:44" x14ac:dyDescent="0.4">
      <c r="A155" s="7" t="s">
        <v>134</v>
      </c>
      <c r="B155" s="6" t="str">
        <f t="shared" si="22"/>
        <v>Ý</v>
      </c>
      <c r="C155" s="71" cm="1">
        <f t="array" ref="C155">IF($M155&lt;&gt;"",INDEX($M:$M,MATCH(TRUE,EXACT(B155,$A:$A),0)),"")</f>
        <v>153</v>
      </c>
      <c r="D155" s="61" t="s">
        <v>135</v>
      </c>
      <c r="E155" s="71" cm="1">
        <f t="array" ref="E155">IF($M155&lt;&gt;"",INDEX($M:$M,MATCH(TRUE,EXACT(D155,$A:$A),0)),"")</f>
        <v>154</v>
      </c>
      <c r="F155" s="61" t="s">
        <v>132</v>
      </c>
      <c r="G155" s="71" cm="1">
        <f t="array" ref="G155">IF($M155&lt;&gt;"",INDEX($M:$M,MATCH(TRUE,EXACT(F155,$A:$A),0)),"")</f>
        <v>151</v>
      </c>
      <c r="H155" s="61" t="s">
        <v>134</v>
      </c>
      <c r="I155" s="75" cm="1">
        <f t="array" ref="I155">IF($M155&lt;&gt;"",INDEX($M:$M,MATCH(TRUE,EXACT(H155,$A:$A),0)),"")</f>
        <v>153</v>
      </c>
      <c r="J155" s="46"/>
      <c r="K155" s="56"/>
      <c r="L155" s="41" t="b">
        <f t="shared" si="23"/>
        <v>1</v>
      </c>
      <c r="M155" s="42">
        <f>IF(L155, MAX(M$2:M154)+1,"")</f>
        <v>153</v>
      </c>
      <c r="N155" s="46" t="str">
        <f t="shared" si="24"/>
        <v>Ý</v>
      </c>
      <c r="O155" s="8" t="str" cm="1">
        <f t="array" ref="O155">CharToUTF8(A155)</f>
        <v>\xC3\x9D</v>
      </c>
      <c r="Q155" s="41" t="str">
        <f>$Z$4</f>
        <v>ORTHO_BOTH</v>
      </c>
      <c r="R155" s="47" t="str">
        <f>$Z$2</f>
        <v>EMPTY</v>
      </c>
      <c r="S155" s="47" t="str">
        <f>$Z$4</f>
        <v>ORTHO_BOTH</v>
      </c>
      <c r="T155" s="44" t="str">
        <f>$Z$4</f>
        <v>ORTHO_BOTH</v>
      </c>
      <c r="V155" s="54" t="b">
        <f t="shared" si="25"/>
        <v>0</v>
      </c>
      <c r="W155" t="b">
        <f t="shared" si="26"/>
        <v>0</v>
      </c>
      <c r="X155" t="b">
        <f t="shared" si="27"/>
        <v>1</v>
      </c>
      <c r="AG155" s="82" t="str">
        <f t="shared" si="28"/>
        <v xml:space="preserve">    { 153, 154, 151, 153, wxString::FromUTF8("\xC3\x9D"), Connection::ORTHO_BOTH, Connection::EMPTY, Connection::ORTHO_BOTH, Connection::ORTHO_BOTH }</v>
      </c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1"/>
    </row>
    <row r="156" spans="1:44" x14ac:dyDescent="0.4">
      <c r="A156" s="7" t="s">
        <v>135</v>
      </c>
      <c r="B156" s="6" t="str">
        <f t="shared" si="22"/>
        <v>Þ</v>
      </c>
      <c r="C156" s="71" cm="1">
        <f t="array" ref="C156">IF($M156&lt;&gt;"",INDEX($M:$M,MATCH(TRUE,EXACT(B156,$A:$A),0)),"")</f>
        <v>154</v>
      </c>
      <c r="D156" s="61" t="s">
        <v>132</v>
      </c>
      <c r="E156" s="71" cm="1">
        <f t="array" ref="E156">IF($M156&lt;&gt;"",INDEX($M:$M,MATCH(TRUE,EXACT(D156,$A:$A),0)),"")</f>
        <v>151</v>
      </c>
      <c r="F156" s="61" t="s">
        <v>135</v>
      </c>
      <c r="G156" s="71" cm="1">
        <f t="array" ref="G156">IF($M156&lt;&gt;"",INDEX($M:$M,MATCH(TRUE,EXACT(F156,$A:$A),0)),"")</f>
        <v>154</v>
      </c>
      <c r="H156" s="61" t="s">
        <v>133</v>
      </c>
      <c r="I156" s="75" cm="1">
        <f t="array" ref="I156">IF($M156&lt;&gt;"",INDEX($M:$M,MATCH(TRUE,EXACT(H156,$A:$A),0)),"")</f>
        <v>152</v>
      </c>
      <c r="J156" s="46"/>
      <c r="K156" s="56"/>
      <c r="L156" s="41" t="b">
        <f t="shared" si="23"/>
        <v>1</v>
      </c>
      <c r="M156" s="42">
        <f>IF(L156, MAX(M$2:M155)+1,"")</f>
        <v>154</v>
      </c>
      <c r="N156" s="46" t="str">
        <f t="shared" si="24"/>
        <v>Þ</v>
      </c>
      <c r="O156" s="8" t="str" cm="1">
        <f t="array" ref="O156">CharToUTF8(A156)</f>
        <v>\xC3\x9E</v>
      </c>
      <c r="Q156" s="41" t="str">
        <f>$Z$4</f>
        <v>ORTHO_BOTH</v>
      </c>
      <c r="R156" s="47" t="str">
        <f>$Z$4</f>
        <v>ORTHO_BOTH</v>
      </c>
      <c r="S156" s="47" t="str">
        <f>$Z$2</f>
        <v>EMPTY</v>
      </c>
      <c r="T156" s="44" t="str">
        <f>$Z$4</f>
        <v>ORTHO_BOTH</v>
      </c>
      <c r="V156" s="54" t="b">
        <f t="shared" si="25"/>
        <v>0</v>
      </c>
      <c r="W156" t="b">
        <f t="shared" si="26"/>
        <v>1</v>
      </c>
      <c r="X156" t="b">
        <f t="shared" si="27"/>
        <v>0</v>
      </c>
      <c r="AG156" s="82" t="str">
        <f t="shared" si="28"/>
        <v xml:space="preserve">    { 154, 151, 154, 152, wxString::FromUTF8("\xC3\x9E"), Connection::ORTHO_BOTH, Connection::ORTHO_BOTH, Connection::EMPTY, Connection::ORTHO_BOTH }</v>
      </c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1"/>
    </row>
    <row r="157" spans="1:44" x14ac:dyDescent="0.4">
      <c r="A157" s="7" t="s">
        <v>136</v>
      </c>
      <c r="B157" s="6" t="str">
        <f t="shared" si="22"/>
        <v>ß</v>
      </c>
      <c r="C157" s="71" cm="1">
        <f t="array" ref="C157">IF($M157&lt;&gt;"",INDEX($M:$M,MATCH(TRUE,EXACT(B157,$A:$A),0)),"")</f>
        <v>155</v>
      </c>
      <c r="D157" s="61" t="s">
        <v>136</v>
      </c>
      <c r="E157" s="71" cm="1">
        <f t="array" ref="E157">IF($M157&lt;&gt;"",INDEX($M:$M,MATCH(TRUE,EXACT(D157,$A:$A),0)),"")</f>
        <v>155</v>
      </c>
      <c r="F157" s="61" t="s">
        <v>136</v>
      </c>
      <c r="G157" s="71" cm="1">
        <f t="array" ref="G157">IF($M157&lt;&gt;"",INDEX($M:$M,MATCH(TRUE,EXACT(F157,$A:$A),0)),"")</f>
        <v>155</v>
      </c>
      <c r="H157" s="61" t="s">
        <v>136</v>
      </c>
      <c r="I157" s="75" cm="1">
        <f t="array" ref="I157">IF($M157&lt;&gt;"",INDEX($M:$M,MATCH(TRUE,EXACT(H157,$A:$A),0)),"")</f>
        <v>155</v>
      </c>
      <c r="J157" s="46"/>
      <c r="K157" s="56"/>
      <c r="L157" s="41" t="b">
        <f t="shared" si="23"/>
        <v>1</v>
      </c>
      <c r="M157" s="42">
        <f>IF(L157, MAX(M$2:M156)+1,"")</f>
        <v>155</v>
      </c>
      <c r="N157" s="46" t="str">
        <f t="shared" si="24"/>
        <v>ß</v>
      </c>
      <c r="O157" s="8" t="str" cm="1">
        <f t="array" ref="O157">CharToUTF8(A157)</f>
        <v>\xC3\x9F</v>
      </c>
      <c r="Q157" s="41" t="str">
        <f>$Z$4</f>
        <v>ORTHO_BOTH</v>
      </c>
      <c r="R157" s="47" t="str">
        <f>$Z$4</f>
        <v>ORTHO_BOTH</v>
      </c>
      <c r="S157" s="47" t="str">
        <f>$Z$4</f>
        <v>ORTHO_BOTH</v>
      </c>
      <c r="T157" s="44" t="str">
        <f>$Z$4</f>
        <v>ORTHO_BOTH</v>
      </c>
      <c r="V157" s="54" t="b">
        <f t="shared" si="25"/>
        <v>1</v>
      </c>
      <c r="W157" t="b">
        <f t="shared" si="26"/>
        <v>1</v>
      </c>
      <c r="X157" t="b">
        <f t="shared" si="27"/>
        <v>1</v>
      </c>
      <c r="AG157" s="82" t="str">
        <f t="shared" si="28"/>
        <v xml:space="preserve">    { 155, 155, 155, 155, wxString::FromUTF8("\xC3\x9F"), Connection::ORTHO_BOTH, Connection::ORTHO_BOTH, Connection::ORTHO_BOTH, Connection::ORTHO_BOTH }</v>
      </c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1"/>
    </row>
    <row r="158" spans="1:44" x14ac:dyDescent="0.4">
      <c r="A158" s="7" t="s">
        <v>137</v>
      </c>
      <c r="B158" s="6" t="str">
        <f t="shared" si="22"/>
        <v>à</v>
      </c>
      <c r="C158" s="71" cm="1">
        <f t="array" ref="C158">IF($M158&lt;&gt;"",INDEX($M:$M,MATCH(TRUE,EXACT(B158,$A:$A),0)),"")</f>
        <v>156</v>
      </c>
      <c r="D158" s="61" t="s">
        <v>138</v>
      </c>
      <c r="E158" s="71" cm="1">
        <f t="array" ref="E158">IF($M158&lt;&gt;"",INDEX($M:$M,MATCH(TRUE,EXACT(D158,$A:$A),0)),"")</f>
        <v>157</v>
      </c>
      <c r="F158" s="61" t="s">
        <v>140</v>
      </c>
      <c r="G158" s="71" cm="1">
        <f t="array" ref="G158">IF($M158&lt;&gt;"",INDEX($M:$M,MATCH(TRUE,EXACT(F158,$A:$A),0)),"")</f>
        <v>159</v>
      </c>
      <c r="H158" s="61" t="s">
        <v>138</v>
      </c>
      <c r="I158" s="75" cm="1">
        <f t="array" ref="I158">IF($M158&lt;&gt;"",INDEX($M:$M,MATCH(TRUE,EXACT(H158,$A:$A),0)),"")</f>
        <v>157</v>
      </c>
      <c r="J158" s="46"/>
      <c r="K158" s="56"/>
      <c r="L158" s="41" t="b">
        <f t="shared" si="23"/>
        <v>1</v>
      </c>
      <c r="M158" s="42">
        <f>IF(L158, MAX(M$2:M157)+1,"")</f>
        <v>156</v>
      </c>
      <c r="N158" s="46" t="str">
        <f t="shared" si="24"/>
        <v>à</v>
      </c>
      <c r="O158" s="8" t="str" cm="1">
        <f t="array" ref="O158">CharToUTF8(A158)</f>
        <v>\xC3\xA0</v>
      </c>
      <c r="Q158" s="41" t="str">
        <f>$Z$10</f>
        <v>ORTHO_RIGHT</v>
      </c>
      <c r="R158" s="47" t="str">
        <f>$Z$4</f>
        <v>ORTHO_BOTH</v>
      </c>
      <c r="S158" s="47" t="str">
        <f>$Z$8</f>
        <v>ORTHO_DOWN</v>
      </c>
      <c r="T158" s="44" t="str">
        <f>$Z$4</f>
        <v>ORTHO_BOTH</v>
      </c>
      <c r="V158" s="54" t="b">
        <f t="shared" si="25"/>
        <v>0</v>
      </c>
      <c r="W158" t="b">
        <f t="shared" si="26"/>
        <v>0</v>
      </c>
      <c r="X158" t="b">
        <f t="shared" si="27"/>
        <v>0</v>
      </c>
      <c r="AG158" s="82" t="str">
        <f t="shared" si="28"/>
        <v xml:space="preserve">    { 156, 157, 159, 157, wxString::FromUTF8("\xC3\xA0"), Connection::ORTHO_RIGHT, Connection::ORTHO_BOTH, Connection::ORTHO_DOWN, Connection::ORTHO_BOTH }</v>
      </c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1"/>
    </row>
    <row r="159" spans="1:44" x14ac:dyDescent="0.4">
      <c r="A159" s="7" t="s">
        <v>138</v>
      </c>
      <c r="B159" s="6" t="str">
        <f t="shared" si="22"/>
        <v>á</v>
      </c>
      <c r="C159" s="71" cm="1">
        <f t="array" ref="C159">IF($M159&lt;&gt;"",INDEX($M:$M,MATCH(TRUE,EXACT(B159,$A:$A),0)),"")</f>
        <v>157</v>
      </c>
      <c r="D159" s="61" t="s">
        <v>139</v>
      </c>
      <c r="E159" s="71" cm="1">
        <f t="array" ref="E159">IF($M159&lt;&gt;"",INDEX($M:$M,MATCH(TRUE,EXACT(D159,$A:$A),0)),"")</f>
        <v>158</v>
      </c>
      <c r="F159" s="61" t="s">
        <v>139</v>
      </c>
      <c r="G159" s="71" cm="1">
        <f t="array" ref="G159">IF($M159&lt;&gt;"",INDEX($M:$M,MATCH(TRUE,EXACT(F159,$A:$A),0)),"")</f>
        <v>158</v>
      </c>
      <c r="H159" s="61" t="s">
        <v>137</v>
      </c>
      <c r="I159" s="75" cm="1">
        <f t="array" ref="I159">IF($M159&lt;&gt;"",INDEX($M:$M,MATCH(TRUE,EXACT(H159,$A:$A),0)),"")</f>
        <v>156</v>
      </c>
      <c r="J159" s="46"/>
      <c r="K159" s="56"/>
      <c r="L159" s="41" t="b">
        <f t="shared" si="23"/>
        <v>1</v>
      </c>
      <c r="M159" s="42">
        <f>IF(L159, MAX(M$2:M158)+1,"")</f>
        <v>157</v>
      </c>
      <c r="N159" s="46" t="str">
        <f t="shared" si="24"/>
        <v>á</v>
      </c>
      <c r="O159" s="8" t="str" cm="1">
        <f t="array" ref="O159">CharToUTF8(A159)</f>
        <v>\xC3\xA1</v>
      </c>
      <c r="Q159" s="41" t="str">
        <f>$Z$9</f>
        <v>ORTHO_LEFT</v>
      </c>
      <c r="R159" s="47" t="str">
        <f>$Z$4</f>
        <v>ORTHO_BOTH</v>
      </c>
      <c r="S159" s="47" t="str">
        <f>$Z$4</f>
        <v>ORTHO_BOTH</v>
      </c>
      <c r="T159" s="44" t="str">
        <f>$Z$8</f>
        <v>ORTHO_DOWN</v>
      </c>
      <c r="V159" s="54" t="b">
        <f t="shared" si="25"/>
        <v>0</v>
      </c>
      <c r="W159" t="b">
        <f t="shared" si="26"/>
        <v>0</v>
      </c>
      <c r="X159" t="b">
        <f t="shared" si="27"/>
        <v>0</v>
      </c>
      <c r="AG159" s="82" t="str">
        <f t="shared" si="28"/>
        <v xml:space="preserve">    { 157, 158, 158, 156, wxString::FromUTF8("\xC3\xA1"), Connection::ORTHO_LEFT, Connection::ORTHO_BOTH, Connection::ORTHO_BOTH, Connection::ORTHO_DOWN }</v>
      </c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1"/>
    </row>
    <row r="160" spans="1:44" x14ac:dyDescent="0.4">
      <c r="A160" s="7" t="s">
        <v>139</v>
      </c>
      <c r="B160" s="6" t="str">
        <f t="shared" si="22"/>
        <v>â</v>
      </c>
      <c r="C160" s="71" cm="1">
        <f t="array" ref="C160">IF($M160&lt;&gt;"",INDEX($M:$M,MATCH(TRUE,EXACT(B160,$A:$A),0)),"")</f>
        <v>158</v>
      </c>
      <c r="D160" s="61" t="s">
        <v>140</v>
      </c>
      <c r="E160" s="71" cm="1">
        <f t="array" ref="E160">IF($M160&lt;&gt;"",INDEX($M:$M,MATCH(TRUE,EXACT(D160,$A:$A),0)),"")</f>
        <v>159</v>
      </c>
      <c r="F160" s="61" t="s">
        <v>138</v>
      </c>
      <c r="G160" s="71" cm="1">
        <f t="array" ref="G160">IF($M160&lt;&gt;"",INDEX($M:$M,MATCH(TRUE,EXACT(F160,$A:$A),0)),"")</f>
        <v>157</v>
      </c>
      <c r="H160" s="61" t="s">
        <v>140</v>
      </c>
      <c r="I160" s="75" cm="1">
        <f t="array" ref="I160">IF($M160&lt;&gt;"",INDEX($M:$M,MATCH(TRUE,EXACT(H160,$A:$A),0)),"")</f>
        <v>159</v>
      </c>
      <c r="J160" s="46"/>
      <c r="K160" s="56"/>
      <c r="L160" s="41" t="b">
        <f t="shared" si="23"/>
        <v>1</v>
      </c>
      <c r="M160" s="42">
        <f>IF(L160, MAX(M$2:M159)+1,"")</f>
        <v>158</v>
      </c>
      <c r="N160" s="46" t="str">
        <f t="shared" si="24"/>
        <v>â</v>
      </c>
      <c r="O160" s="8" t="str" cm="1">
        <f t="array" ref="O160">CharToUTF8(A160)</f>
        <v>\xC3\xA2</v>
      </c>
      <c r="Q160" s="41" t="str">
        <f>$Z$4</f>
        <v>ORTHO_BOTH</v>
      </c>
      <c r="R160" s="47" t="str">
        <f>$Z$9</f>
        <v>ORTHO_LEFT</v>
      </c>
      <c r="S160" s="47" t="str">
        <f>$Z$4</f>
        <v>ORTHO_BOTH</v>
      </c>
      <c r="T160" s="44" t="str">
        <f>$Z$7</f>
        <v>ORTHO_UP</v>
      </c>
      <c r="V160" s="54" t="b">
        <f t="shared" si="25"/>
        <v>0</v>
      </c>
      <c r="W160" t="b">
        <f t="shared" si="26"/>
        <v>0</v>
      </c>
      <c r="X160" t="b">
        <f t="shared" si="27"/>
        <v>0</v>
      </c>
      <c r="AG160" s="82" t="str">
        <f t="shared" si="28"/>
        <v xml:space="preserve">    { 158, 159, 157, 159, wxString::FromUTF8("\xC3\xA2"), Connection::ORTHO_BOTH, Connection::ORTHO_LEFT, Connection::ORTHO_BOTH, Connection::ORTHO_UP }</v>
      </c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</row>
    <row r="161" spans="1:44" s="14" customFormat="1" x14ac:dyDescent="0.4">
      <c r="A161" s="7" t="s">
        <v>140</v>
      </c>
      <c r="B161" s="13" t="str">
        <f t="shared" si="22"/>
        <v>ã</v>
      </c>
      <c r="C161" s="71" cm="1">
        <f t="array" ref="C161">IF($M161&lt;&gt;"",INDEX($M:$M,MATCH(TRUE,EXACT(B161,$A:$A),0)),"")</f>
        <v>159</v>
      </c>
      <c r="D161" s="63" t="s">
        <v>137</v>
      </c>
      <c r="E161" s="71" cm="1">
        <f t="array" ref="E161">IF($M161&lt;&gt;"",INDEX($M:$M,MATCH(TRUE,EXACT(D161,$A:$A),0)),"")</f>
        <v>156</v>
      </c>
      <c r="F161" s="63" t="s">
        <v>137</v>
      </c>
      <c r="G161" s="71" cm="1">
        <f t="array" ref="G161">IF($M161&lt;&gt;"",INDEX($M:$M,MATCH(TRUE,EXACT(F161,$A:$A),0)),"")</f>
        <v>156</v>
      </c>
      <c r="H161" s="63" t="s">
        <v>139</v>
      </c>
      <c r="I161" s="75" cm="1">
        <f t="array" ref="I161">IF($M161&lt;&gt;"",INDEX($M:$M,MATCH(TRUE,EXACT(H161,$A:$A),0)),"")</f>
        <v>158</v>
      </c>
      <c r="J161" s="70"/>
      <c r="K161" s="58"/>
      <c r="L161" s="41" t="b">
        <f t="shared" si="23"/>
        <v>1</v>
      </c>
      <c r="M161" s="42">
        <f>IF(L161, MAX(M$2:M160)+1,"")</f>
        <v>159</v>
      </c>
      <c r="N161" s="46" t="str">
        <f t="shared" si="24"/>
        <v>ã</v>
      </c>
      <c r="O161" s="8" t="str" cm="1">
        <f t="array" ref="O161">CharToUTF8(A161)</f>
        <v>\xC3\xA3</v>
      </c>
      <c r="P161" s="45"/>
      <c r="Q161" s="53" t="str">
        <f>$Z$4</f>
        <v>ORTHO_BOTH</v>
      </c>
      <c r="R161" s="47" t="str">
        <f>$Z$10</f>
        <v>ORTHO_RIGHT</v>
      </c>
      <c r="S161" s="54" t="str">
        <f>$Z$7</f>
        <v>ORTHO_UP</v>
      </c>
      <c r="T161" s="55" t="str">
        <f>$Z$4</f>
        <v>ORTHO_BOTH</v>
      </c>
      <c r="U161"/>
      <c r="V161" s="54" t="b">
        <f t="shared" si="25"/>
        <v>0</v>
      </c>
      <c r="W161" t="b">
        <f t="shared" si="26"/>
        <v>0</v>
      </c>
      <c r="X161" t="b">
        <f t="shared" si="27"/>
        <v>0</v>
      </c>
      <c r="Y161"/>
      <c r="AG161" s="82" t="str">
        <f t="shared" si="28"/>
        <v xml:space="preserve">    { 159, 156, 156, 158, wxString::FromUTF8("\xC3\xA3"), Connection::ORTHO_BOTH, Connection::ORTHO_RIGHT, Connection::ORTHO_UP, Connection::ORTHO_BOTH }</v>
      </c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</row>
    <row r="162" spans="1:44" s="14" customFormat="1" x14ac:dyDescent="0.4">
      <c r="A162" s="7" t="s">
        <v>141</v>
      </c>
      <c r="B162" s="13" t="str">
        <f t="shared" si="22"/>
        <v>ä</v>
      </c>
      <c r="C162" s="71" t="str" cm="1">
        <f t="array" ref="C162">IF($M162&lt;&gt;"",INDEX($M:$M,MATCH(TRUE,EXACT(B162,$A:$A),0)),"")</f>
        <v/>
      </c>
      <c r="D162" s="63"/>
      <c r="E162" s="71" t="str" cm="1">
        <f t="array" ref="E162">IF($M162&lt;&gt;"",INDEX($M:$M,MATCH(TRUE,EXACT(D162,$A:$A),0)),"")</f>
        <v/>
      </c>
      <c r="F162" s="63" t="s">
        <v>143</v>
      </c>
      <c r="G162" s="71" t="str" cm="1">
        <f t="array" ref="G162">IF($M162&lt;&gt;"",INDEX($M:$M,MATCH(TRUE,EXACT(F162,$A:$A),0)),"")</f>
        <v/>
      </c>
      <c r="H162" s="63" t="s">
        <v>142</v>
      </c>
      <c r="I162" s="75" t="str" cm="1">
        <f t="array" ref="I162">IF($M162&lt;&gt;"",INDEX($M:$M,MATCH(TRUE,EXACT(H162,$A:$A),0)),"")</f>
        <v/>
      </c>
      <c r="J162" s="70"/>
      <c r="K162" s="58"/>
      <c r="L162" s="41" t="b">
        <f t="shared" si="23"/>
        <v>0</v>
      </c>
      <c r="M162" s="42" t="str">
        <f>IF(L162, MAX(M$2:M161)+1,"")</f>
        <v/>
      </c>
      <c r="N162" s="46" t="str">
        <f t="shared" si="24"/>
        <v>ä</v>
      </c>
      <c r="O162" s="8" t="str" cm="1">
        <f t="array" ref="O162">CharToUTF8(A162)</f>
        <v>\xC3\xA4</v>
      </c>
      <c r="P162" s="45"/>
      <c r="Q162" s="53">
        <v>10</v>
      </c>
      <c r="R162" s="54" t="str">
        <f>$Z$3</f>
        <v>DIAG_BOTH</v>
      </c>
      <c r="S162" s="54" t="str">
        <f>$Z$2</f>
        <v>EMPTY</v>
      </c>
      <c r="T162" s="55" t="str">
        <f>$Z$3</f>
        <v>DIAG_BOTH</v>
      </c>
      <c r="U162"/>
      <c r="V162" s="54" t="str">
        <f t="shared" si="25"/>
        <v/>
      </c>
      <c r="W162" t="str">
        <f t="shared" si="26"/>
        <v/>
      </c>
      <c r="X162" t="str">
        <f t="shared" si="27"/>
        <v/>
      </c>
      <c r="Y162"/>
      <c r="AG162" s="82" t="str">
        <f t="shared" si="28"/>
        <v/>
      </c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</row>
    <row r="163" spans="1:44" s="14" customFormat="1" x14ac:dyDescent="0.4">
      <c r="A163" s="7" t="s">
        <v>142</v>
      </c>
      <c r="B163" s="13" t="str">
        <f t="shared" si="22"/>
        <v>å</v>
      </c>
      <c r="C163" s="71" t="str" cm="1">
        <f t="array" ref="C163">IF($M163&lt;&gt;"",INDEX($M:$M,MATCH(TRUE,EXACT(B163,$A:$A),0)),"")</f>
        <v/>
      </c>
      <c r="D163" s="63"/>
      <c r="E163" s="71" t="str" cm="1">
        <f t="array" ref="E163">IF($M163&lt;&gt;"",INDEX($M:$M,MATCH(TRUE,EXACT(D163,$A:$A),0)),"")</f>
        <v/>
      </c>
      <c r="F163" s="63" t="s">
        <v>144</v>
      </c>
      <c r="G163" s="71" t="str" cm="1">
        <f t="array" ref="G163">IF($M163&lt;&gt;"",INDEX($M:$M,MATCH(TRUE,EXACT(F163,$A:$A),0)),"")</f>
        <v/>
      </c>
      <c r="H163" s="63" t="s">
        <v>141</v>
      </c>
      <c r="I163" s="75" t="str" cm="1">
        <f t="array" ref="I163">IF($M163&lt;&gt;"",INDEX($M:$M,MATCH(TRUE,EXACT(H163,$A:$A),0)),"")</f>
        <v/>
      </c>
      <c r="J163" s="70"/>
      <c r="K163" s="58"/>
      <c r="L163" s="41" t="b">
        <f t="shared" si="23"/>
        <v>0</v>
      </c>
      <c r="M163" s="42" t="str">
        <f>IF(L163, MAX(M$2:M162)+1,"")</f>
        <v/>
      </c>
      <c r="N163" s="46" t="str">
        <f t="shared" si="24"/>
        <v>å</v>
      </c>
      <c r="O163" s="8" t="str" cm="1">
        <f t="array" ref="O163">CharToUTF8(A163)</f>
        <v>\xC3\xA5</v>
      </c>
      <c r="P163" s="45"/>
      <c r="Q163" s="53">
        <v>10</v>
      </c>
      <c r="R163" s="54" t="str">
        <f>$Z$3</f>
        <v>DIAG_BOTH</v>
      </c>
      <c r="S163" s="54" t="str">
        <f>$Z$3</f>
        <v>DIAG_BOTH</v>
      </c>
      <c r="T163" s="55" t="str">
        <f>$Z$2</f>
        <v>EMPTY</v>
      </c>
      <c r="U163"/>
      <c r="V163" s="54" t="str">
        <f t="shared" si="25"/>
        <v/>
      </c>
      <c r="W163" t="str">
        <f t="shared" si="26"/>
        <v/>
      </c>
      <c r="X163" t="str">
        <f t="shared" si="27"/>
        <v/>
      </c>
      <c r="Y163"/>
      <c r="Z163"/>
      <c r="AA163"/>
      <c r="AB163"/>
      <c r="AC163"/>
      <c r="AD163"/>
      <c r="AE163"/>
      <c r="AG163" s="82" t="str">
        <f t="shared" si="28"/>
        <v/>
      </c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</row>
    <row r="164" spans="1:44" s="14" customFormat="1" x14ac:dyDescent="0.4">
      <c r="A164" s="7" t="s">
        <v>143</v>
      </c>
      <c r="B164" s="13" t="str">
        <f t="shared" si="22"/>
        <v>ç</v>
      </c>
      <c r="C164" s="71" t="str" cm="1">
        <f t="array" ref="C164">IF($M164&lt;&gt;"",INDEX($M:$M,MATCH(TRUE,EXACT(B164,$A:$A),0)),"")</f>
        <v/>
      </c>
      <c r="D164" s="63"/>
      <c r="E164" s="71" t="str" cm="1">
        <f t="array" ref="E164">IF($M164&lt;&gt;"",INDEX($M:$M,MATCH(TRUE,EXACT(D164,$A:$A),0)),"")</f>
        <v/>
      </c>
      <c r="F164" s="63" t="s">
        <v>141</v>
      </c>
      <c r="G164" s="71" t="str" cm="1">
        <f t="array" ref="G164">IF($M164&lt;&gt;"",INDEX($M:$M,MATCH(TRUE,EXACT(F164,$A:$A),0)),"")</f>
        <v/>
      </c>
      <c r="H164" s="63" t="s">
        <v>144</v>
      </c>
      <c r="I164" s="75" t="str" cm="1">
        <f t="array" ref="I164">IF($M164&lt;&gt;"",INDEX($M:$M,MATCH(TRUE,EXACT(H164,$A:$A),0)),"")</f>
        <v/>
      </c>
      <c r="J164" s="70"/>
      <c r="K164" s="58"/>
      <c r="L164" s="41" t="b">
        <f t="shared" si="23"/>
        <v>0</v>
      </c>
      <c r="M164" s="42" t="str">
        <f>IF(L164, MAX(M$2:M163)+1,"")</f>
        <v/>
      </c>
      <c r="N164" s="46" t="str">
        <f t="shared" si="24"/>
        <v>ç</v>
      </c>
      <c r="O164" s="8" t="str" cm="1">
        <f t="array" ref="O164">CharToUTF8(A164)</f>
        <v>\xC3\xA7</v>
      </c>
      <c r="P164" s="45"/>
      <c r="Q164" s="53" t="str">
        <f>$Z$3</f>
        <v>DIAG_BOTH</v>
      </c>
      <c r="R164" s="54">
        <v>10</v>
      </c>
      <c r="S164" s="54" t="str">
        <f>$Z$2</f>
        <v>EMPTY</v>
      </c>
      <c r="T164" s="55" t="str">
        <f>$Z$3</f>
        <v>DIAG_BOTH</v>
      </c>
      <c r="U164"/>
      <c r="V164" s="54" t="str">
        <f t="shared" si="25"/>
        <v/>
      </c>
      <c r="W164" t="str">
        <f t="shared" si="26"/>
        <v/>
      </c>
      <c r="X164" t="str">
        <f t="shared" si="27"/>
        <v/>
      </c>
      <c r="Y164"/>
      <c r="Z164"/>
      <c r="AA164"/>
      <c r="AB164"/>
      <c r="AC164"/>
      <c r="AD164"/>
      <c r="AE164"/>
      <c r="AG164" s="82" t="str">
        <f t="shared" si="28"/>
        <v/>
      </c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</row>
    <row r="165" spans="1:44" s="14" customFormat="1" x14ac:dyDescent="0.4">
      <c r="A165" s="7" t="s">
        <v>144</v>
      </c>
      <c r="B165" s="13" t="str">
        <f t="shared" si="22"/>
        <v>è</v>
      </c>
      <c r="C165" s="71" t="str" cm="1">
        <f t="array" ref="C165">IF($M165&lt;&gt;"",INDEX($M:$M,MATCH(TRUE,EXACT(B165,$A:$A),0)),"")</f>
        <v/>
      </c>
      <c r="D165" s="63"/>
      <c r="E165" s="71" t="str" cm="1">
        <f t="array" ref="E165">IF($M165&lt;&gt;"",INDEX($M:$M,MATCH(TRUE,EXACT(D165,$A:$A),0)),"")</f>
        <v/>
      </c>
      <c r="F165" s="63" t="s">
        <v>142</v>
      </c>
      <c r="G165" s="71" t="str" cm="1">
        <f t="array" ref="G165">IF($M165&lt;&gt;"",INDEX($M:$M,MATCH(TRUE,EXACT(F165,$A:$A),0)),"")</f>
        <v/>
      </c>
      <c r="H165" s="63" t="s">
        <v>143</v>
      </c>
      <c r="I165" s="75" t="str" cm="1">
        <f t="array" ref="I165">IF($M165&lt;&gt;"",INDEX($M:$M,MATCH(TRUE,EXACT(H165,$A:$A),0)),"")</f>
        <v/>
      </c>
      <c r="J165" s="70"/>
      <c r="K165" s="58"/>
      <c r="L165" s="41" t="b">
        <f t="shared" si="23"/>
        <v>0</v>
      </c>
      <c r="M165" s="42" t="str">
        <f>IF(L165, MAX(M$2:M164)+1,"")</f>
        <v/>
      </c>
      <c r="N165" s="46" t="str">
        <f t="shared" si="24"/>
        <v>è</v>
      </c>
      <c r="O165" s="8" t="str" cm="1">
        <f t="array" ref="O165">CharToUTF8(A165)</f>
        <v>\xC3\xA8</v>
      </c>
      <c r="P165" s="45"/>
      <c r="Q165" s="53" t="str">
        <f>$Z$3</f>
        <v>DIAG_BOTH</v>
      </c>
      <c r="R165" s="54">
        <v>10</v>
      </c>
      <c r="S165" s="54" t="str">
        <f>$Z$3</f>
        <v>DIAG_BOTH</v>
      </c>
      <c r="T165" s="55" t="str">
        <f>$Z$2</f>
        <v>EMPTY</v>
      </c>
      <c r="U165"/>
      <c r="V165" s="54" t="str">
        <f t="shared" si="25"/>
        <v/>
      </c>
      <c r="W165" t="str">
        <f t="shared" si="26"/>
        <v/>
      </c>
      <c r="X165" t="str">
        <f t="shared" si="27"/>
        <v/>
      </c>
      <c r="Y165"/>
      <c r="Z165"/>
      <c r="AA165"/>
      <c r="AB165"/>
      <c r="AC165"/>
      <c r="AD165"/>
      <c r="AE165"/>
      <c r="AG165" s="82" t="str">
        <f t="shared" si="28"/>
        <v/>
      </c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</row>
    <row r="166" spans="1:44" s="14" customFormat="1" x14ac:dyDescent="0.4">
      <c r="A166" s="7" t="s">
        <v>161</v>
      </c>
      <c r="B166" s="13" t="str">
        <f t="shared" si="22"/>
        <v>é</v>
      </c>
      <c r="C166" s="71" t="str" cm="1">
        <f t="array" ref="C166">IF($M166&lt;&gt;"",INDEX($M:$M,MATCH(TRUE,EXACT(B166,$A:$A),0)),"")</f>
        <v/>
      </c>
      <c r="D166" s="63"/>
      <c r="E166" s="71" t="str" cm="1">
        <f t="array" ref="E166">IF($M166&lt;&gt;"",INDEX($M:$M,MATCH(TRUE,EXACT(D166,$A:$A),0)),"")</f>
        <v/>
      </c>
      <c r="F166" s="63" t="s">
        <v>162</v>
      </c>
      <c r="G166" s="71" t="str" cm="1">
        <f t="array" ref="G166">IF($M166&lt;&gt;"",INDEX($M:$M,MATCH(TRUE,EXACT(F166,$A:$A),0)),"")</f>
        <v/>
      </c>
      <c r="H166" s="63" t="s">
        <v>161</v>
      </c>
      <c r="I166" s="75" t="str" cm="1">
        <f t="array" ref="I166">IF($M166&lt;&gt;"",INDEX($M:$M,MATCH(TRUE,EXACT(H166,$A:$A),0)),"")</f>
        <v/>
      </c>
      <c r="J166" s="70"/>
      <c r="K166" s="58"/>
      <c r="L166" s="41" t="b">
        <f t="shared" si="23"/>
        <v>0</v>
      </c>
      <c r="M166" s="42" t="str">
        <f>IF(L166, MAX(M$2:M165)+1,"")</f>
        <v/>
      </c>
      <c r="N166" s="46" t="str">
        <f t="shared" si="24"/>
        <v>é</v>
      </c>
      <c r="O166" s="8" t="str" cm="1">
        <f t="array" ref="O166">CharToUTF8(A166)</f>
        <v>\xC3\xA9</v>
      </c>
      <c r="P166" s="45"/>
      <c r="Q166" s="53" t="str">
        <f>$Z$2</f>
        <v>EMPTY</v>
      </c>
      <c r="R166" s="54">
        <v>10</v>
      </c>
      <c r="S166" s="54" t="str">
        <f>$Z$2</f>
        <v>EMPTY</v>
      </c>
      <c r="T166" s="55" t="str">
        <f>$Z$2</f>
        <v>EMPTY</v>
      </c>
      <c r="U166"/>
      <c r="V166" s="54" t="str">
        <f t="shared" si="25"/>
        <v/>
      </c>
      <c r="W166" t="str">
        <f t="shared" si="26"/>
        <v/>
      </c>
      <c r="X166" t="str">
        <f t="shared" si="27"/>
        <v/>
      </c>
      <c r="Y166"/>
      <c r="Z166"/>
      <c r="AA166"/>
      <c r="AB166"/>
      <c r="AC166"/>
      <c r="AD166"/>
      <c r="AE166"/>
      <c r="AG166" s="82" t="str">
        <f t="shared" si="28"/>
        <v/>
      </c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</row>
    <row r="167" spans="1:44" s="14" customFormat="1" x14ac:dyDescent="0.4">
      <c r="A167" s="7" t="s">
        <v>162</v>
      </c>
      <c r="B167" s="13" t="str">
        <f t="shared" si="22"/>
        <v>ê</v>
      </c>
      <c r="C167" s="71" t="str" cm="1">
        <f t="array" ref="C167">IF($M167&lt;&gt;"",INDEX($M:$M,MATCH(TRUE,EXACT(B167,$A:$A),0)),"")</f>
        <v/>
      </c>
      <c r="D167" s="63"/>
      <c r="E167" s="71" t="str" cm="1">
        <f t="array" ref="E167">IF($M167&lt;&gt;"",INDEX($M:$M,MATCH(TRUE,EXACT(D167,$A:$A),0)),"")</f>
        <v/>
      </c>
      <c r="F167" s="63" t="s">
        <v>161</v>
      </c>
      <c r="G167" s="71" t="str" cm="1">
        <f t="array" ref="G167">IF($M167&lt;&gt;"",INDEX($M:$M,MATCH(TRUE,EXACT(F167,$A:$A),0)),"")</f>
        <v/>
      </c>
      <c r="H167" s="63" t="s">
        <v>162</v>
      </c>
      <c r="I167" s="75" t="str" cm="1">
        <f t="array" ref="I167">IF($M167&lt;&gt;"",INDEX($M:$M,MATCH(TRUE,EXACT(H167,$A:$A),0)),"")</f>
        <v/>
      </c>
      <c r="J167" s="70"/>
      <c r="K167" s="58"/>
      <c r="L167" s="41" t="b">
        <f t="shared" si="23"/>
        <v>0</v>
      </c>
      <c r="M167" s="42" t="str">
        <f>IF(L167, MAX(M$2:M166)+1,"")</f>
        <v/>
      </c>
      <c r="N167" s="46" t="str">
        <f t="shared" si="24"/>
        <v>ê</v>
      </c>
      <c r="O167" s="8" t="str" cm="1">
        <f t="array" ref="O167">CharToUTF8(A167)</f>
        <v>\xC3\xAA</v>
      </c>
      <c r="P167" s="45"/>
      <c r="Q167" s="53">
        <v>10</v>
      </c>
      <c r="R167" s="54" t="str">
        <f>$Z$2</f>
        <v>EMPTY</v>
      </c>
      <c r="S167" s="54" t="str">
        <f>$Z$2</f>
        <v>EMPTY</v>
      </c>
      <c r="T167" s="55" t="str">
        <f>$Z$2</f>
        <v>EMPTY</v>
      </c>
      <c r="U167"/>
      <c r="V167" s="54" t="str">
        <f t="shared" si="25"/>
        <v/>
      </c>
      <c r="W167" t="str">
        <f t="shared" si="26"/>
        <v/>
      </c>
      <c r="X167" t="str">
        <f t="shared" si="27"/>
        <v/>
      </c>
      <c r="Y167"/>
      <c r="Z167"/>
      <c r="AA167"/>
      <c r="AB167"/>
      <c r="AC167"/>
      <c r="AD167"/>
      <c r="AE167"/>
      <c r="AG167" s="82" t="str">
        <f t="shared" si="28"/>
        <v/>
      </c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</row>
    <row r="168" spans="1:44" s="14" customFormat="1" x14ac:dyDescent="0.4">
      <c r="A168" s="7" t="s">
        <v>163</v>
      </c>
      <c r="B168" s="13" t="str">
        <f t="shared" si="22"/>
        <v>ë</v>
      </c>
      <c r="C168" s="71" t="str" cm="1">
        <f t="array" ref="C168">IF($M168&lt;&gt;"",INDEX($M:$M,MATCH(TRUE,EXACT(B168,$A:$A),0)),"")</f>
        <v/>
      </c>
      <c r="D168" s="63"/>
      <c r="E168" s="71" t="str" cm="1">
        <f t="array" ref="E168">IF($M168&lt;&gt;"",INDEX($M:$M,MATCH(TRUE,EXACT(D168,$A:$A),0)),"")</f>
        <v/>
      </c>
      <c r="F168" s="63" t="s">
        <v>163</v>
      </c>
      <c r="G168" s="71" t="str" cm="1">
        <f t="array" ref="G168">IF($M168&lt;&gt;"",INDEX($M:$M,MATCH(TRUE,EXACT(F168,$A:$A),0)),"")</f>
        <v/>
      </c>
      <c r="H168" s="63" t="s">
        <v>163</v>
      </c>
      <c r="I168" s="75" t="str" cm="1">
        <f t="array" ref="I168">IF($M168&lt;&gt;"",INDEX($M:$M,MATCH(TRUE,EXACT(H168,$A:$A),0)),"")</f>
        <v/>
      </c>
      <c r="J168" s="70"/>
      <c r="K168" s="58"/>
      <c r="L168" s="41" t="b">
        <f t="shared" si="23"/>
        <v>0</v>
      </c>
      <c r="M168" s="42" t="str">
        <f>IF(L168, MAX(M$2:M167)+1,"")</f>
        <v/>
      </c>
      <c r="N168" s="46" t="str">
        <f t="shared" si="24"/>
        <v>ë</v>
      </c>
      <c r="O168" s="8" t="str" cm="1">
        <f t="array" ref="O168">CharToUTF8(A168)</f>
        <v>\xC3\xAB</v>
      </c>
      <c r="P168" s="45"/>
      <c r="Q168" s="53">
        <v>10</v>
      </c>
      <c r="R168" s="54">
        <v>10</v>
      </c>
      <c r="S168" s="54" t="str">
        <f>$Z$2</f>
        <v>EMPTY</v>
      </c>
      <c r="T168" s="55" t="str">
        <f>$Z$2</f>
        <v>EMPTY</v>
      </c>
      <c r="U168"/>
      <c r="V168" s="54" t="str">
        <f t="shared" si="25"/>
        <v/>
      </c>
      <c r="W168" t="str">
        <f t="shared" si="26"/>
        <v/>
      </c>
      <c r="X168" t="str">
        <f t="shared" si="27"/>
        <v/>
      </c>
      <c r="Y168"/>
      <c r="Z168"/>
      <c r="AA168"/>
      <c r="AB168"/>
      <c r="AC168"/>
      <c r="AD168"/>
      <c r="AE168"/>
      <c r="AG168" s="82" t="str">
        <f t="shared" si="28"/>
        <v/>
      </c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</row>
    <row r="169" spans="1:44" s="14" customFormat="1" x14ac:dyDescent="0.4">
      <c r="A169" s="7" t="s">
        <v>145</v>
      </c>
      <c r="B169" s="13" t="str">
        <f t="shared" si="22"/>
        <v>ì</v>
      </c>
      <c r="C169" s="71" t="str" cm="1">
        <f t="array" ref="C169">IF($M169&lt;&gt;"",INDEX($M:$M,MATCH(TRUE,EXACT(B169,$A:$A),0)),"")</f>
        <v/>
      </c>
      <c r="D169" s="63"/>
      <c r="E169" s="71" t="str" cm="1">
        <f t="array" ref="E169">IF($M169&lt;&gt;"",INDEX($M:$M,MATCH(TRUE,EXACT(D169,$A:$A),0)),"")</f>
        <v/>
      </c>
      <c r="F169" s="63" t="s">
        <v>147</v>
      </c>
      <c r="G169" s="71" t="str" cm="1">
        <f t="array" ref="G169">IF($M169&lt;&gt;"",INDEX($M:$M,MATCH(TRUE,EXACT(F169,$A:$A),0)),"")</f>
        <v/>
      </c>
      <c r="H169" s="63" t="s">
        <v>146</v>
      </c>
      <c r="I169" s="75" t="str" cm="1">
        <f t="array" ref="I169">IF($M169&lt;&gt;"",INDEX($M:$M,MATCH(TRUE,EXACT(H169,$A:$A),0)),"")</f>
        <v/>
      </c>
      <c r="J169" s="70"/>
      <c r="K169" s="58"/>
      <c r="L169" s="41" t="b">
        <f t="shared" si="23"/>
        <v>0</v>
      </c>
      <c r="M169" s="42" t="str">
        <f>IF(L169, MAX(M$2:M168)+1,"")</f>
        <v/>
      </c>
      <c r="N169" s="46" t="str">
        <f t="shared" si="24"/>
        <v>ì</v>
      </c>
      <c r="O169" s="8" t="str" cm="1">
        <f t="array" ref="O169">CharToUTF8(A169)</f>
        <v>\xC3\xAC</v>
      </c>
      <c r="P169" s="45"/>
      <c r="Q169" s="53" t="str">
        <f>$Z$2</f>
        <v>EMPTY</v>
      </c>
      <c r="R169" s="54" t="str">
        <f>$Z$3</f>
        <v>DIAG_BOTH</v>
      </c>
      <c r="S169" s="54">
        <v>9</v>
      </c>
      <c r="T169" s="55" t="str">
        <f>$Z$3</f>
        <v>DIAG_BOTH</v>
      </c>
      <c r="U169"/>
      <c r="V169" s="54" t="str">
        <f t="shared" si="25"/>
        <v/>
      </c>
      <c r="W169" t="str">
        <f t="shared" si="26"/>
        <v/>
      </c>
      <c r="X169" t="str">
        <f t="shared" si="27"/>
        <v/>
      </c>
      <c r="Y169"/>
      <c r="Z169"/>
      <c r="AA169"/>
      <c r="AB169"/>
      <c r="AC169"/>
      <c r="AD169"/>
      <c r="AE169"/>
      <c r="AG169" s="82" t="str">
        <f t="shared" si="28"/>
        <v/>
      </c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</row>
    <row r="170" spans="1:44" s="14" customFormat="1" x14ac:dyDescent="0.4">
      <c r="A170" s="7" t="s">
        <v>146</v>
      </c>
      <c r="B170" s="13" t="str">
        <f t="shared" si="22"/>
        <v>í</v>
      </c>
      <c r="C170" s="71" t="str" cm="1">
        <f t="array" ref="C170">IF($M170&lt;&gt;"",INDEX($M:$M,MATCH(TRUE,EXACT(B170,$A:$A),0)),"")</f>
        <v/>
      </c>
      <c r="D170" s="63"/>
      <c r="E170" s="71" t="str" cm="1">
        <f t="array" ref="E170">IF($M170&lt;&gt;"",INDEX($M:$M,MATCH(TRUE,EXACT(D170,$A:$A),0)),"")</f>
        <v/>
      </c>
      <c r="F170" s="63" t="s">
        <v>148</v>
      </c>
      <c r="G170" s="71" t="str" cm="1">
        <f t="array" ref="G170">IF($M170&lt;&gt;"",INDEX($M:$M,MATCH(TRUE,EXACT(F170,$A:$A),0)),"")</f>
        <v/>
      </c>
      <c r="H170" s="63" t="s">
        <v>145</v>
      </c>
      <c r="I170" s="75" t="str" cm="1">
        <f t="array" ref="I170">IF($M170&lt;&gt;"",INDEX($M:$M,MATCH(TRUE,EXACT(H170,$A:$A),0)),"")</f>
        <v/>
      </c>
      <c r="J170" s="70"/>
      <c r="K170" s="58"/>
      <c r="L170" s="41" t="b">
        <f t="shared" si="23"/>
        <v>0</v>
      </c>
      <c r="M170" s="42" t="str">
        <f>IF(L170, MAX(M$2:M169)+1,"")</f>
        <v/>
      </c>
      <c r="N170" s="46" t="str">
        <f t="shared" si="24"/>
        <v>í</v>
      </c>
      <c r="O170" s="8" t="str" cm="1">
        <f t="array" ref="O170">CharToUTF8(A170)</f>
        <v>\xC3\xAD</v>
      </c>
      <c r="P170" s="45"/>
      <c r="Q170" s="53" t="str">
        <f>$Z$2</f>
        <v>EMPTY</v>
      </c>
      <c r="R170" s="54" t="str">
        <f>$Z$3</f>
        <v>DIAG_BOTH</v>
      </c>
      <c r="S170" s="54" t="str">
        <f>$Z$3</f>
        <v>DIAG_BOTH</v>
      </c>
      <c r="T170" s="55">
        <v>9</v>
      </c>
      <c r="U170"/>
      <c r="V170" s="54" t="str">
        <f t="shared" si="25"/>
        <v/>
      </c>
      <c r="W170" t="str">
        <f t="shared" si="26"/>
        <v/>
      </c>
      <c r="X170" t="str">
        <f t="shared" si="27"/>
        <v/>
      </c>
      <c r="Y170"/>
      <c r="Z170"/>
      <c r="AA170"/>
      <c r="AB170"/>
      <c r="AC170"/>
      <c r="AD170"/>
      <c r="AE170"/>
      <c r="AG170" s="82" t="str">
        <f t="shared" si="28"/>
        <v/>
      </c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</row>
    <row r="171" spans="1:44" s="14" customFormat="1" x14ac:dyDescent="0.4">
      <c r="A171" s="7" t="s">
        <v>147</v>
      </c>
      <c r="B171" s="13" t="str">
        <f t="shared" si="22"/>
        <v>î</v>
      </c>
      <c r="C171" s="71" t="str" cm="1">
        <f t="array" ref="C171">IF($M171&lt;&gt;"",INDEX($M:$M,MATCH(TRUE,EXACT(B171,$A:$A),0)),"")</f>
        <v/>
      </c>
      <c r="D171" s="63"/>
      <c r="E171" s="71" t="str" cm="1">
        <f t="array" ref="E171">IF($M171&lt;&gt;"",INDEX($M:$M,MATCH(TRUE,EXACT(D171,$A:$A),0)),"")</f>
        <v/>
      </c>
      <c r="F171" s="63" t="s">
        <v>145</v>
      </c>
      <c r="G171" s="71" t="str" cm="1">
        <f t="array" ref="G171">IF($M171&lt;&gt;"",INDEX($M:$M,MATCH(TRUE,EXACT(F171,$A:$A),0)),"")</f>
        <v/>
      </c>
      <c r="H171" s="63" t="s">
        <v>148</v>
      </c>
      <c r="I171" s="75" t="str" cm="1">
        <f t="array" ref="I171">IF($M171&lt;&gt;"",INDEX($M:$M,MATCH(TRUE,EXACT(H171,$A:$A),0)),"")</f>
        <v/>
      </c>
      <c r="J171" s="70"/>
      <c r="K171" s="58"/>
      <c r="L171" s="41" t="b">
        <f t="shared" si="23"/>
        <v>0</v>
      </c>
      <c r="M171" s="42" t="str">
        <f>IF(L171, MAX(M$2:M170)+1,"")</f>
        <v/>
      </c>
      <c r="N171" s="46" t="str">
        <f t="shared" si="24"/>
        <v>î</v>
      </c>
      <c r="O171" s="8" t="str" cm="1">
        <f t="array" ref="O171">CharToUTF8(A171)</f>
        <v>\xC3\xAE</v>
      </c>
      <c r="P171" s="45"/>
      <c r="Q171" s="53" t="str">
        <f>$Z$3</f>
        <v>DIAG_BOTH</v>
      </c>
      <c r="R171" s="54" t="str">
        <f>$Z$2</f>
        <v>EMPTY</v>
      </c>
      <c r="S171" s="54">
        <v>9</v>
      </c>
      <c r="T171" s="55" t="str">
        <f>$Z$3</f>
        <v>DIAG_BOTH</v>
      </c>
      <c r="U171"/>
      <c r="V171" s="54" t="str">
        <f t="shared" si="25"/>
        <v/>
      </c>
      <c r="W171" t="str">
        <f t="shared" si="26"/>
        <v/>
      </c>
      <c r="X171" t="str">
        <f t="shared" si="27"/>
        <v/>
      </c>
      <c r="Y171"/>
      <c r="Z171"/>
      <c r="AA171"/>
      <c r="AB171"/>
      <c r="AC171"/>
      <c r="AD171"/>
      <c r="AE171"/>
      <c r="AG171" s="82" t="str">
        <f t="shared" si="28"/>
        <v/>
      </c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</row>
    <row r="172" spans="1:44" s="14" customFormat="1" x14ac:dyDescent="0.4">
      <c r="A172" s="7" t="s">
        <v>148</v>
      </c>
      <c r="B172" s="13" t="str">
        <f t="shared" si="22"/>
        <v>ï</v>
      </c>
      <c r="C172" s="71" t="str" cm="1">
        <f t="array" ref="C172">IF($M172&lt;&gt;"",INDEX($M:$M,MATCH(TRUE,EXACT(B172,$A:$A),0)),"")</f>
        <v/>
      </c>
      <c r="D172" s="63"/>
      <c r="E172" s="71" t="str" cm="1">
        <f t="array" ref="E172">IF($M172&lt;&gt;"",INDEX($M:$M,MATCH(TRUE,EXACT(D172,$A:$A),0)),"")</f>
        <v/>
      </c>
      <c r="F172" s="63" t="s">
        <v>146</v>
      </c>
      <c r="G172" s="71" t="str" cm="1">
        <f t="array" ref="G172">IF($M172&lt;&gt;"",INDEX($M:$M,MATCH(TRUE,EXACT(F172,$A:$A),0)),"")</f>
        <v/>
      </c>
      <c r="H172" s="63" t="s">
        <v>147</v>
      </c>
      <c r="I172" s="75" t="str" cm="1">
        <f t="array" ref="I172">IF($M172&lt;&gt;"",INDEX($M:$M,MATCH(TRUE,EXACT(H172,$A:$A),0)),"")</f>
        <v/>
      </c>
      <c r="J172" s="70"/>
      <c r="K172" s="58"/>
      <c r="L172" s="41" t="b">
        <f t="shared" si="23"/>
        <v>0</v>
      </c>
      <c r="M172" s="42" t="str">
        <f>IF(L172, MAX(M$2:M171)+1,"")</f>
        <v/>
      </c>
      <c r="N172" s="46" t="str">
        <f t="shared" si="24"/>
        <v>ï</v>
      </c>
      <c r="O172" s="8" t="str" cm="1">
        <f t="array" ref="O172">CharToUTF8(A172)</f>
        <v>\xC3\xAF</v>
      </c>
      <c r="P172" s="45"/>
      <c r="Q172" s="53" t="str">
        <f>$Z$3</f>
        <v>DIAG_BOTH</v>
      </c>
      <c r="R172" s="54" t="str">
        <f>$Z$2</f>
        <v>EMPTY</v>
      </c>
      <c r="S172" s="54" t="str">
        <f>$Z$3</f>
        <v>DIAG_BOTH</v>
      </c>
      <c r="T172" s="55">
        <v>9</v>
      </c>
      <c r="U172"/>
      <c r="V172" s="54" t="str">
        <f t="shared" si="25"/>
        <v/>
      </c>
      <c r="W172" t="str">
        <f t="shared" si="26"/>
        <v/>
      </c>
      <c r="X172" t="str">
        <f t="shared" si="27"/>
        <v/>
      </c>
      <c r="Y172"/>
      <c r="Z172"/>
      <c r="AA172"/>
      <c r="AB172"/>
      <c r="AC172"/>
      <c r="AD172"/>
      <c r="AE172"/>
      <c r="AG172" s="82" t="str">
        <f t="shared" si="28"/>
        <v/>
      </c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</row>
    <row r="173" spans="1:44" x14ac:dyDescent="0.4">
      <c r="A173" s="7" t="s">
        <v>149</v>
      </c>
      <c r="B173" s="13" t="str">
        <f t="shared" si="22"/>
        <v>ð</v>
      </c>
      <c r="C173" s="71" cm="1">
        <f t="array" ref="C173">IF($M173&lt;&gt;"",INDEX($M:$M,MATCH(TRUE,EXACT(B173,$A:$A),0)),"")</f>
        <v>160</v>
      </c>
      <c r="D173" s="63" t="s">
        <v>152</v>
      </c>
      <c r="E173" s="71" cm="1">
        <f t="array" ref="E173">IF($M173&lt;&gt;"",INDEX($M:$M,MATCH(TRUE,EXACT(D173,$A:$A),0)),"")</f>
        <v>163</v>
      </c>
      <c r="F173" s="63" t="s">
        <v>150</v>
      </c>
      <c r="G173" s="71" cm="1">
        <f t="array" ref="G173">IF($M173&lt;&gt;"",INDEX($M:$M,MATCH(TRUE,EXACT(F173,$A:$A),0)),"")</f>
        <v>161</v>
      </c>
      <c r="H173" s="63" t="s">
        <v>149</v>
      </c>
      <c r="I173" s="75" cm="1">
        <f t="array" ref="I173">IF($M173&lt;&gt;"",INDEX($M:$M,MATCH(TRUE,EXACT(H173,$A:$A),0)),"")</f>
        <v>160</v>
      </c>
      <c r="J173" s="70"/>
      <c r="K173" s="58"/>
      <c r="L173" s="41" t="b">
        <f t="shared" si="23"/>
        <v>1</v>
      </c>
      <c r="M173" s="42">
        <f>IF(L173, MAX(M$2:M172)+1,"")</f>
        <v>160</v>
      </c>
      <c r="N173" s="46" t="str">
        <f t="shared" si="24"/>
        <v>ð</v>
      </c>
      <c r="O173" s="8" t="str" cm="1">
        <f t="array" ref="O173">CharToUTF8(A173)</f>
        <v>\xC3\xB0</v>
      </c>
      <c r="Q173" s="41" t="str">
        <f>$Z$2</f>
        <v>EMPTY</v>
      </c>
      <c r="R173" s="47" t="str">
        <f>$Z$2</f>
        <v>EMPTY</v>
      </c>
      <c r="S173" s="47" t="str">
        <f>$Z$5</f>
        <v>DIAG_FRONT</v>
      </c>
      <c r="T173" s="44" t="str">
        <f>$Z$6</f>
        <v>DIAG_BACK</v>
      </c>
      <c r="V173" s="54" t="b">
        <f t="shared" si="25"/>
        <v>0</v>
      </c>
      <c r="W173" t="b">
        <f t="shared" si="26"/>
        <v>0</v>
      </c>
      <c r="X173" t="b">
        <f t="shared" si="27"/>
        <v>1</v>
      </c>
      <c r="AG173" s="82" t="str">
        <f t="shared" si="28"/>
        <v xml:space="preserve">    { 160, 163, 161, 160, wxString::FromUTF8("\xC3\xB0"), Connection::EMPTY, Connection::EMPTY, Connection::DIAG_FRONT, Connection::DIAG_BACK }</v>
      </c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</row>
    <row r="174" spans="1:44" x14ac:dyDescent="0.4">
      <c r="A174" s="7" t="s">
        <v>150</v>
      </c>
      <c r="B174" s="6" t="str">
        <f t="shared" si="22"/>
        <v>ñ</v>
      </c>
      <c r="C174" s="71" cm="1">
        <f t="array" ref="C174">IF($M174&lt;&gt;"",INDEX($M:$M,MATCH(TRUE,EXACT(B174,$A:$A),0)),"")</f>
        <v>161</v>
      </c>
      <c r="D174" s="61" t="s">
        <v>151</v>
      </c>
      <c r="E174" s="71" cm="1">
        <f t="array" ref="E174">IF($M174&lt;&gt;"",INDEX($M:$M,MATCH(TRUE,EXACT(D174,$A:$A),0)),"")</f>
        <v>162</v>
      </c>
      <c r="F174" s="61" t="s">
        <v>149</v>
      </c>
      <c r="G174" s="71" cm="1">
        <f t="array" ref="G174">IF($M174&lt;&gt;"",INDEX($M:$M,MATCH(TRUE,EXACT(F174,$A:$A),0)),"")</f>
        <v>160</v>
      </c>
      <c r="H174" s="61" t="s">
        <v>150</v>
      </c>
      <c r="I174" s="75" cm="1">
        <f t="array" ref="I174">IF($M174&lt;&gt;"",INDEX($M:$M,MATCH(TRUE,EXACT(H174,$A:$A),0)),"")</f>
        <v>161</v>
      </c>
      <c r="J174" s="46"/>
      <c r="K174" s="56"/>
      <c r="L174" s="41" t="b">
        <f t="shared" si="23"/>
        <v>1</v>
      </c>
      <c r="M174" s="42">
        <f>IF(L174, MAX(M$2:M173)+1,"")</f>
        <v>161</v>
      </c>
      <c r="N174" s="46" t="str">
        <f t="shared" si="24"/>
        <v>ñ</v>
      </c>
      <c r="O174" s="8" t="str" cm="1">
        <f t="array" ref="O174">CharToUTF8(A174)</f>
        <v>\xC3\xB1</v>
      </c>
      <c r="Q174" s="41" t="str">
        <f>$Z$2</f>
        <v>EMPTY</v>
      </c>
      <c r="R174" s="47" t="str">
        <f>$Z$2</f>
        <v>EMPTY</v>
      </c>
      <c r="S174" s="47" t="str">
        <f>$Z$6</f>
        <v>DIAG_BACK</v>
      </c>
      <c r="T174" s="44" t="str">
        <f>$Z$5</f>
        <v>DIAG_FRONT</v>
      </c>
      <c r="V174" s="54" t="b">
        <f t="shared" si="25"/>
        <v>0</v>
      </c>
      <c r="W174" t="b">
        <f t="shared" si="26"/>
        <v>0</v>
      </c>
      <c r="X174" t="b">
        <f t="shared" si="27"/>
        <v>1</v>
      </c>
      <c r="AG174" s="82" t="str">
        <f t="shared" si="28"/>
        <v xml:space="preserve">    { 161, 162, 160, 161, wxString::FromUTF8("\xC3\xB1"), Connection::EMPTY, Connection::EMPTY, Connection::DIAG_BACK, Connection::DIAG_FRONT }</v>
      </c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</row>
    <row r="175" spans="1:44" x14ac:dyDescent="0.4">
      <c r="A175" s="7" t="s">
        <v>151</v>
      </c>
      <c r="B175" s="6" t="str">
        <f t="shared" si="22"/>
        <v>ò</v>
      </c>
      <c r="C175" s="71" cm="1">
        <f t="array" ref="C175">IF($M175&lt;&gt;"",INDEX($M:$M,MATCH(TRUE,EXACT(B175,$A:$A),0)),"")</f>
        <v>162</v>
      </c>
      <c r="D175" s="61" t="s">
        <v>149</v>
      </c>
      <c r="E175" s="71" cm="1">
        <f t="array" ref="E175">IF($M175&lt;&gt;"",INDEX($M:$M,MATCH(TRUE,EXACT(D175,$A:$A),0)),"")</f>
        <v>160</v>
      </c>
      <c r="F175" s="61" t="s">
        <v>151</v>
      </c>
      <c r="G175" s="71" cm="1">
        <f t="array" ref="G175">IF($M175&lt;&gt;"",INDEX($M:$M,MATCH(TRUE,EXACT(F175,$A:$A),0)),"")</f>
        <v>162</v>
      </c>
      <c r="H175" s="61" t="s">
        <v>152</v>
      </c>
      <c r="I175" s="75" cm="1">
        <f t="array" ref="I175">IF($M175&lt;&gt;"",INDEX($M:$M,MATCH(TRUE,EXACT(H175,$A:$A),0)),"")</f>
        <v>163</v>
      </c>
      <c r="J175" s="46"/>
      <c r="K175" s="56"/>
      <c r="L175" s="41" t="b">
        <f t="shared" si="23"/>
        <v>1</v>
      </c>
      <c r="M175" s="42">
        <f>IF(L175, MAX(M$2:M174)+1,"")</f>
        <v>162</v>
      </c>
      <c r="N175" s="46" t="str">
        <f t="shared" si="24"/>
        <v>ò</v>
      </c>
      <c r="O175" s="8" t="str" cm="1">
        <f t="array" ref="O175">CharToUTF8(A175)</f>
        <v>\xC3\xB2</v>
      </c>
      <c r="Q175" s="41" t="str">
        <f>$Z$6</f>
        <v>DIAG_BACK</v>
      </c>
      <c r="R175" s="47" t="str">
        <f>$Z$5</f>
        <v>DIAG_FRONT</v>
      </c>
      <c r="S175" s="47" t="str">
        <f>$Z$2</f>
        <v>EMPTY</v>
      </c>
      <c r="T175" s="44" t="str">
        <f>$Z$2</f>
        <v>EMPTY</v>
      </c>
      <c r="V175" s="54" t="b">
        <f t="shared" si="25"/>
        <v>0</v>
      </c>
      <c r="W175" t="b">
        <f t="shared" si="26"/>
        <v>1</v>
      </c>
      <c r="X175" t="b">
        <f t="shared" si="27"/>
        <v>0</v>
      </c>
      <c r="AG175" s="82" t="str">
        <f t="shared" si="28"/>
        <v xml:space="preserve">    { 162, 160, 162, 163, wxString::FromUTF8("\xC3\xB2"), Connection::DIAG_BACK, Connection::DIAG_FRONT, Connection::EMPTY, Connection::EMPTY }</v>
      </c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</row>
    <row r="176" spans="1:44" x14ac:dyDescent="0.4">
      <c r="A176" s="7" t="s">
        <v>152</v>
      </c>
      <c r="B176" s="6" t="str">
        <f t="shared" si="22"/>
        <v>ó</v>
      </c>
      <c r="C176" s="71" cm="1">
        <f t="array" ref="C176">IF($M176&lt;&gt;"",INDEX($M:$M,MATCH(TRUE,EXACT(B176,$A:$A),0)),"")</f>
        <v>163</v>
      </c>
      <c r="D176" s="61" t="s">
        <v>150</v>
      </c>
      <c r="E176" s="71" cm="1">
        <f t="array" ref="E176">IF($M176&lt;&gt;"",INDEX($M:$M,MATCH(TRUE,EXACT(D176,$A:$A),0)),"")</f>
        <v>161</v>
      </c>
      <c r="F176" s="61" t="s">
        <v>152</v>
      </c>
      <c r="G176" s="71" cm="1">
        <f t="array" ref="G176">IF($M176&lt;&gt;"",INDEX($M:$M,MATCH(TRUE,EXACT(F176,$A:$A),0)),"")</f>
        <v>163</v>
      </c>
      <c r="H176" s="61" t="s">
        <v>151</v>
      </c>
      <c r="I176" s="75" cm="1">
        <f t="array" ref="I176">IF($M176&lt;&gt;"",INDEX($M:$M,MATCH(TRUE,EXACT(H176,$A:$A),0)),"")</f>
        <v>162</v>
      </c>
      <c r="J176" s="46"/>
      <c r="K176" s="56"/>
      <c r="L176" s="41" t="b">
        <f t="shared" si="23"/>
        <v>1</v>
      </c>
      <c r="M176" s="42">
        <f>IF(L176, MAX(M$2:M175)+1,"")</f>
        <v>163</v>
      </c>
      <c r="N176" s="46" t="str">
        <f t="shared" si="24"/>
        <v>ó</v>
      </c>
      <c r="O176" s="8" t="str" cm="1">
        <f t="array" ref="O176">CharToUTF8(A176)</f>
        <v>\xC3\xB3</v>
      </c>
      <c r="Q176" s="41" t="str">
        <f>$Z$5</f>
        <v>DIAG_FRONT</v>
      </c>
      <c r="R176" s="47" t="str">
        <f>$Z$6</f>
        <v>DIAG_BACK</v>
      </c>
      <c r="S176" s="47" t="str">
        <f>$Z$2</f>
        <v>EMPTY</v>
      </c>
      <c r="T176" s="44" t="str">
        <f>$Z$2</f>
        <v>EMPTY</v>
      </c>
      <c r="V176" s="54" t="b">
        <f t="shared" si="25"/>
        <v>0</v>
      </c>
      <c r="W176" t="b">
        <f t="shared" si="26"/>
        <v>1</v>
      </c>
      <c r="X176" t="b">
        <f t="shared" si="27"/>
        <v>0</v>
      </c>
      <c r="AG176" s="82" t="str">
        <f t="shared" si="28"/>
        <v xml:space="preserve">    { 163, 161, 163, 162, wxString::FromUTF8("\xC3\xB3"), Connection::DIAG_FRONT, Connection::DIAG_BACK, Connection::EMPTY, Connection::EMPTY }</v>
      </c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1"/>
    </row>
    <row r="177" spans="1:44" ht="32.25" customHeight="1" x14ac:dyDescent="0.4">
      <c r="A177" s="7" t="s">
        <v>153</v>
      </c>
      <c r="B177" s="6" t="str">
        <f t="shared" si="22"/>
        <v>ô</v>
      </c>
      <c r="C177" s="71" cm="1">
        <f t="array" ref="C177">IF($M177&lt;&gt;"",INDEX($M:$M,MATCH(TRUE,EXACT(B177,$A:$A),0)),"")</f>
        <v>164</v>
      </c>
      <c r="D177" s="61" t="s">
        <v>164</v>
      </c>
      <c r="E177" s="71" cm="1">
        <f t="array" ref="E177">IF($M177&lt;&gt;"",INDEX($M:$M,MATCH(TRUE,EXACT(D177,$A:$A),0)),"")</f>
        <v>169</v>
      </c>
      <c r="F177" s="61" t="s">
        <v>155</v>
      </c>
      <c r="G177" s="71" cm="1">
        <f t="array" ref="G177">IF($M177&lt;&gt;"",INDEX($M:$M,MATCH(TRUE,EXACT(F177,$A:$A),0)),"")</f>
        <v>166</v>
      </c>
      <c r="H177" s="61" t="s">
        <v>154</v>
      </c>
      <c r="I177" s="75" cm="1">
        <f t="array" ref="I177">IF($M177&lt;&gt;"",INDEX($M:$M,MATCH(TRUE,EXACT(H177,$A:$A),0)),"")</f>
        <v>165</v>
      </c>
      <c r="J177" s="46"/>
      <c r="K177" s="56"/>
      <c r="L177" s="41" t="b">
        <f t="shared" si="23"/>
        <v>1</v>
      </c>
      <c r="M177" s="42">
        <f>IF(L177, MAX(M$2:M176)+1,"")</f>
        <v>164</v>
      </c>
      <c r="N177" s="46" t="str">
        <f t="shared" si="24"/>
        <v>ô</v>
      </c>
      <c r="O177" s="8" t="str" cm="1">
        <f t="array" ref="O177">CharToUTF8(A177)</f>
        <v>\xC3\xB4</v>
      </c>
      <c r="Q177" s="41" t="str">
        <f>$Z$2</f>
        <v>EMPTY</v>
      </c>
      <c r="R177" s="47" t="str">
        <f>$Z$3</f>
        <v>DIAG_BOTH</v>
      </c>
      <c r="S177" s="47" t="str">
        <f>$Z$2</f>
        <v>EMPTY</v>
      </c>
      <c r="T177" s="44" t="str">
        <f>$Z$4</f>
        <v>ORTHO_BOTH</v>
      </c>
      <c r="V177" s="54" t="b">
        <f t="shared" si="25"/>
        <v>0</v>
      </c>
      <c r="W177" t="b">
        <f t="shared" si="26"/>
        <v>0</v>
      </c>
      <c r="X177" t="b">
        <f t="shared" si="27"/>
        <v>0</v>
      </c>
      <c r="AG177" s="82" t="str">
        <f t="shared" si="28"/>
        <v xml:space="preserve">    { 164, 169, 166, 165, wxString::FromUTF8("\xC3\xB4"), Connection::EMPTY, Connection::DIAG_BOTH, Connection::EMPTY, Connection::ORTHO_BOTH }</v>
      </c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1"/>
    </row>
    <row r="178" spans="1:44" ht="34.5" customHeight="1" x14ac:dyDescent="0.4">
      <c r="A178" s="7" t="s">
        <v>154</v>
      </c>
      <c r="B178" s="6" t="str">
        <f t="shared" si="22"/>
        <v>õ</v>
      </c>
      <c r="C178" s="71" cm="1">
        <f t="array" ref="C178">IF($M178&lt;&gt;"",INDEX($M:$M,MATCH(TRUE,EXACT(B178,$A:$A),0)),"")</f>
        <v>165</v>
      </c>
      <c r="D178" s="61" t="s">
        <v>159</v>
      </c>
      <c r="E178" s="71" cm="1">
        <f t="array" ref="E178">IF($M178&lt;&gt;"",INDEX($M:$M,MATCH(TRUE,EXACT(D178,$A:$A),0)),"")</f>
        <v>171</v>
      </c>
      <c r="F178" s="61" t="s">
        <v>156</v>
      </c>
      <c r="G178" s="71" cm="1">
        <f t="array" ref="G178">IF($M178&lt;&gt;"",INDEX($M:$M,MATCH(TRUE,EXACT(F178,$A:$A),0)),"")</f>
        <v>167</v>
      </c>
      <c r="H178" s="61" t="s">
        <v>153</v>
      </c>
      <c r="I178" s="75" cm="1">
        <f t="array" ref="I178">IF($M178&lt;&gt;"",INDEX($M:$M,MATCH(TRUE,EXACT(H178,$A:$A),0)),"")</f>
        <v>164</v>
      </c>
      <c r="J178" s="46"/>
      <c r="K178" s="56"/>
      <c r="L178" s="41" t="b">
        <f t="shared" si="23"/>
        <v>1</v>
      </c>
      <c r="M178" s="42">
        <f>IF(L178, MAX(M$2:M177)+1,"")</f>
        <v>165</v>
      </c>
      <c r="N178" s="46" t="str">
        <f t="shared" si="24"/>
        <v>õ</v>
      </c>
      <c r="O178" s="8" t="str" cm="1">
        <f t="array" ref="O178">CharToUTF8(A178)</f>
        <v>\xC3\xB5</v>
      </c>
      <c r="Q178" s="41" t="str">
        <f>$Z$2</f>
        <v>EMPTY</v>
      </c>
      <c r="R178" s="47" t="str">
        <f>$Z$3</f>
        <v>DIAG_BOTH</v>
      </c>
      <c r="S178" s="47" t="str">
        <f>$Z$4</f>
        <v>ORTHO_BOTH</v>
      </c>
      <c r="T178" s="44" t="str">
        <f>$Z$2</f>
        <v>EMPTY</v>
      </c>
      <c r="V178" s="54" t="b">
        <f t="shared" si="25"/>
        <v>0</v>
      </c>
      <c r="W178" t="b">
        <f t="shared" si="26"/>
        <v>0</v>
      </c>
      <c r="X178" t="b">
        <f t="shared" si="27"/>
        <v>0</v>
      </c>
      <c r="AG178" s="82" t="str">
        <f t="shared" si="28"/>
        <v xml:space="preserve">    { 165, 171, 167, 164, wxString::FromUTF8("\xC3\xB5"), Connection::EMPTY, Connection::DIAG_BOTH, Connection::ORTHO_BOTH, Connection::EMPTY }</v>
      </c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</row>
    <row r="179" spans="1:44" x14ac:dyDescent="0.4">
      <c r="A179" s="7" t="s">
        <v>155</v>
      </c>
      <c r="B179" s="6" t="str">
        <f t="shared" si="22"/>
        <v>ö</v>
      </c>
      <c r="C179" s="71" cm="1">
        <f t="array" ref="C179">IF($M179&lt;&gt;"",INDEX($M:$M,MATCH(TRUE,EXACT(B179,$A:$A),0)),"")</f>
        <v>166</v>
      </c>
      <c r="D179" s="61" t="s">
        <v>157</v>
      </c>
      <c r="E179" s="71" cm="1">
        <f t="array" ref="E179">IF($M179&lt;&gt;"",INDEX($M:$M,MATCH(TRUE,EXACT(D179,$A:$A),0)),"")</f>
        <v>168</v>
      </c>
      <c r="F179" s="61" t="s">
        <v>153</v>
      </c>
      <c r="G179" s="71" cm="1">
        <f t="array" ref="G179">IF($M179&lt;&gt;"",INDEX($M:$M,MATCH(TRUE,EXACT(F179,$A:$A),0)),"")</f>
        <v>164</v>
      </c>
      <c r="H179" s="61" t="s">
        <v>156</v>
      </c>
      <c r="I179" s="75" cm="1">
        <f t="array" ref="I179">IF($M179&lt;&gt;"",INDEX($M:$M,MATCH(TRUE,EXACT(H179,$A:$A),0)),"")</f>
        <v>167</v>
      </c>
      <c r="J179" s="46"/>
      <c r="K179" s="56"/>
      <c r="L179" s="41" t="b">
        <f t="shared" si="23"/>
        <v>1</v>
      </c>
      <c r="M179" s="42">
        <f>IF(L179, MAX(M$2:M178)+1,"")</f>
        <v>166</v>
      </c>
      <c r="N179" s="46" t="str">
        <f t="shared" si="24"/>
        <v>ö</v>
      </c>
      <c r="O179" s="8" t="str" cm="1">
        <f t="array" ref="O179">CharToUTF8(A179)</f>
        <v>\xC3\xB6</v>
      </c>
      <c r="Q179" s="41" t="str">
        <f>$Z$3</f>
        <v>DIAG_BOTH</v>
      </c>
      <c r="R179" s="47" t="str">
        <f>$Z$2</f>
        <v>EMPTY</v>
      </c>
      <c r="S179" s="47" t="str">
        <f>$Z$2</f>
        <v>EMPTY</v>
      </c>
      <c r="T179" s="44" t="str">
        <f>$Z$4</f>
        <v>ORTHO_BOTH</v>
      </c>
      <c r="V179" s="54" t="b">
        <f t="shared" si="25"/>
        <v>0</v>
      </c>
      <c r="W179" t="b">
        <f t="shared" si="26"/>
        <v>0</v>
      </c>
      <c r="X179" t="b">
        <f t="shared" si="27"/>
        <v>0</v>
      </c>
      <c r="AG179" s="82" t="str">
        <f t="shared" si="28"/>
        <v xml:space="preserve">    { 166, 168, 164, 167, wxString::FromUTF8("\xC3\xB6"), Connection::DIAG_BOTH, Connection::EMPTY, Connection::EMPTY, Connection::ORTHO_BOTH }</v>
      </c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</row>
    <row r="180" spans="1:44" x14ac:dyDescent="0.4">
      <c r="A180" s="7" t="s">
        <v>156</v>
      </c>
      <c r="B180" s="6" t="str">
        <f t="shared" si="22"/>
        <v>÷</v>
      </c>
      <c r="C180" s="71" cm="1">
        <f t="array" ref="C180">IF($M180&lt;&gt;"",INDEX($M:$M,MATCH(TRUE,EXACT(B180,$A:$A),0)),"")</f>
        <v>167</v>
      </c>
      <c r="D180" s="61" t="s">
        <v>158</v>
      </c>
      <c r="E180" s="71" cm="1">
        <f t="array" ref="E180">IF($M180&lt;&gt;"",INDEX($M:$M,MATCH(TRUE,EXACT(D180,$A:$A),0)),"")</f>
        <v>170</v>
      </c>
      <c r="F180" s="61" t="s">
        <v>154</v>
      </c>
      <c r="G180" s="71" cm="1">
        <f t="array" ref="G180">IF($M180&lt;&gt;"",INDEX($M:$M,MATCH(TRUE,EXACT(F180,$A:$A),0)),"")</f>
        <v>165</v>
      </c>
      <c r="H180" s="61" t="s">
        <v>155</v>
      </c>
      <c r="I180" s="75" cm="1">
        <f t="array" ref="I180">IF($M180&lt;&gt;"",INDEX($M:$M,MATCH(TRUE,EXACT(H180,$A:$A),0)),"")</f>
        <v>166</v>
      </c>
      <c r="J180" s="46"/>
      <c r="K180" s="56"/>
      <c r="L180" s="41" t="b">
        <f t="shared" si="23"/>
        <v>1</v>
      </c>
      <c r="M180" s="42">
        <f>IF(L180, MAX(M$2:M179)+1,"")</f>
        <v>167</v>
      </c>
      <c r="N180" s="46" t="str">
        <f t="shared" si="24"/>
        <v>÷</v>
      </c>
      <c r="O180" s="8" t="str" cm="1">
        <f t="array" ref="O180">CharToUTF8(A180)</f>
        <v>\xC3\xB7</v>
      </c>
      <c r="Q180" s="41" t="str">
        <f>$Z$3</f>
        <v>DIAG_BOTH</v>
      </c>
      <c r="R180" s="47" t="str">
        <f>$Z$2</f>
        <v>EMPTY</v>
      </c>
      <c r="S180" s="47" t="str">
        <f>$Z$4</f>
        <v>ORTHO_BOTH</v>
      </c>
      <c r="T180" s="44" t="str">
        <f>$Z$2</f>
        <v>EMPTY</v>
      </c>
      <c r="V180" s="54" t="b">
        <f t="shared" si="25"/>
        <v>0</v>
      </c>
      <c r="W180" t="b">
        <f t="shared" si="26"/>
        <v>0</v>
      </c>
      <c r="X180" t="b">
        <f t="shared" si="27"/>
        <v>0</v>
      </c>
      <c r="AG180" s="82" t="str">
        <f t="shared" si="28"/>
        <v xml:space="preserve">    { 167, 170, 165, 166, wxString::FromUTF8("\xC3\xB7"), Connection::DIAG_BOTH, Connection::EMPTY, Connection::ORTHO_BOTH, Connection::EMPTY }</v>
      </c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</row>
    <row r="181" spans="1:44" x14ac:dyDescent="0.4">
      <c r="A181" s="7" t="s">
        <v>157</v>
      </c>
      <c r="B181" s="6" t="str">
        <f t="shared" si="22"/>
        <v>ø</v>
      </c>
      <c r="C181" s="71" cm="1">
        <f t="array" ref="C181">IF($M181&lt;&gt;"",INDEX($M:$M,MATCH(TRUE,EXACT(B181,$A:$A),0)),"")</f>
        <v>168</v>
      </c>
      <c r="D181" s="61" t="s">
        <v>154</v>
      </c>
      <c r="E181" s="71" cm="1">
        <f t="array" ref="E181">IF($M181&lt;&gt;"",INDEX($M:$M,MATCH(TRUE,EXACT(D181,$A:$A),0)),"")</f>
        <v>165</v>
      </c>
      <c r="F181" s="61" t="s">
        <v>158</v>
      </c>
      <c r="G181" s="71" cm="1">
        <f t="array" ref="G181">IF($M181&lt;&gt;"",INDEX($M:$M,MATCH(TRUE,EXACT(F181,$A:$A),0)),"")</f>
        <v>170</v>
      </c>
      <c r="H181" s="61" t="s">
        <v>164</v>
      </c>
      <c r="I181" s="75" cm="1">
        <f t="array" ref="I181">IF($M181&lt;&gt;"",INDEX($M:$M,MATCH(TRUE,EXACT(H181,$A:$A),0)),"")</f>
        <v>169</v>
      </c>
      <c r="J181" s="46"/>
      <c r="K181" s="56"/>
      <c r="L181" s="41" t="b">
        <f t="shared" si="23"/>
        <v>1</v>
      </c>
      <c r="M181" s="42">
        <f>IF(L181, MAX(M$2:M180)+1,"")</f>
        <v>168</v>
      </c>
      <c r="N181" s="46" t="str">
        <f t="shared" si="24"/>
        <v>ø</v>
      </c>
      <c r="O181" s="8" t="str" cm="1">
        <f t="array" ref="O181">CharToUTF8(A181)</f>
        <v>\xC3\xB8</v>
      </c>
      <c r="Q181" s="41" t="str">
        <f>$Z$2</f>
        <v>EMPTY</v>
      </c>
      <c r="R181" s="47" t="str">
        <f>$Z$4</f>
        <v>ORTHO_BOTH</v>
      </c>
      <c r="S181" s="47" t="str">
        <f>$Z$2</f>
        <v>EMPTY</v>
      </c>
      <c r="T181" s="44" t="str">
        <f>$Z$3</f>
        <v>DIAG_BOTH</v>
      </c>
      <c r="V181" s="54" t="b">
        <f t="shared" si="25"/>
        <v>0</v>
      </c>
      <c r="W181" t="b">
        <f t="shared" si="26"/>
        <v>0</v>
      </c>
      <c r="X181" t="b">
        <f t="shared" si="27"/>
        <v>0</v>
      </c>
      <c r="AG181" s="82" t="str">
        <f t="shared" si="28"/>
        <v xml:space="preserve">    { 168, 165, 170, 169, wxString::FromUTF8("\xC3\xB8"), Connection::EMPTY, Connection::ORTHO_BOTH, Connection::EMPTY, Connection::DIAG_BOTH }</v>
      </c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</row>
    <row r="182" spans="1:44" x14ac:dyDescent="0.4">
      <c r="A182" s="7" t="s">
        <v>164</v>
      </c>
      <c r="B182" s="6" t="str">
        <f t="shared" si="22"/>
        <v>ù</v>
      </c>
      <c r="C182" s="71" cm="1">
        <f t="array" ref="C182">IF($M182&lt;&gt;"",INDEX($M:$M,MATCH(TRUE,EXACT(B182,$A:$A),0)),"")</f>
        <v>169</v>
      </c>
      <c r="D182" s="61" t="s">
        <v>156</v>
      </c>
      <c r="E182" s="71" cm="1">
        <f t="array" ref="E182">IF($M182&lt;&gt;"",INDEX($M:$M,MATCH(TRUE,EXACT(D182,$A:$A),0)),"")</f>
        <v>167</v>
      </c>
      <c r="F182" s="61" t="s">
        <v>159</v>
      </c>
      <c r="G182" s="71" cm="1">
        <f t="array" ref="G182">IF($M182&lt;&gt;"",INDEX($M:$M,MATCH(TRUE,EXACT(F182,$A:$A),0)),"")</f>
        <v>171</v>
      </c>
      <c r="H182" s="61" t="s">
        <v>157</v>
      </c>
      <c r="I182" s="75" cm="1">
        <f t="array" ref="I182">IF($M182&lt;&gt;"",INDEX($M:$M,MATCH(TRUE,EXACT(H182,$A:$A),0)),"")</f>
        <v>168</v>
      </c>
      <c r="J182" s="46"/>
      <c r="K182" s="56"/>
      <c r="L182" s="41" t="b">
        <f t="shared" si="23"/>
        <v>1</v>
      </c>
      <c r="M182" s="42">
        <f>IF(L182, MAX(M$2:M181)+1,"")</f>
        <v>169</v>
      </c>
      <c r="N182" s="46" t="str">
        <f t="shared" si="24"/>
        <v>ù</v>
      </c>
      <c r="O182" s="8" t="str" cm="1">
        <f t="array" ref="O182">CharToUTF8(A182)</f>
        <v>\xC3\xB9</v>
      </c>
      <c r="Q182" s="41" t="str">
        <f>$Z$2</f>
        <v>EMPTY</v>
      </c>
      <c r="R182" s="47" t="str">
        <f>$Z$4</f>
        <v>ORTHO_BOTH</v>
      </c>
      <c r="S182" s="47" t="str">
        <f>$Z$3</f>
        <v>DIAG_BOTH</v>
      </c>
      <c r="T182" s="44" t="str">
        <f>$Z$2</f>
        <v>EMPTY</v>
      </c>
      <c r="V182" s="54" t="b">
        <f t="shared" si="25"/>
        <v>0</v>
      </c>
      <c r="W182" t="b">
        <f t="shared" si="26"/>
        <v>0</v>
      </c>
      <c r="X182" t="b">
        <f t="shared" si="27"/>
        <v>0</v>
      </c>
      <c r="AG182" s="82" t="str">
        <f t="shared" si="28"/>
        <v xml:space="preserve">    { 169, 167, 171, 168, wxString::FromUTF8("\xC3\xB9"), Connection::EMPTY, Connection::ORTHO_BOTH, Connection::DIAG_BOTH, Connection::EMPTY }</v>
      </c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</row>
    <row r="183" spans="1:44" x14ac:dyDescent="0.4">
      <c r="A183" s="7" t="s">
        <v>158</v>
      </c>
      <c r="B183" s="6" t="str">
        <f t="shared" si="22"/>
        <v>û</v>
      </c>
      <c r="C183" s="71" cm="1">
        <f t="array" ref="C183">IF($M183&lt;&gt;"",INDEX($M:$M,MATCH(TRUE,EXACT(B183,$A:$A),0)),"")</f>
        <v>170</v>
      </c>
      <c r="D183" s="61" t="s">
        <v>153</v>
      </c>
      <c r="E183" s="71" cm="1">
        <f t="array" ref="E183">IF($M183&lt;&gt;"",INDEX($M:$M,MATCH(TRUE,EXACT(D183,$A:$A),0)),"")</f>
        <v>164</v>
      </c>
      <c r="F183" s="61" t="s">
        <v>157</v>
      </c>
      <c r="G183" s="71" cm="1">
        <f t="array" ref="G183">IF($M183&lt;&gt;"",INDEX($M:$M,MATCH(TRUE,EXACT(F183,$A:$A),0)),"")</f>
        <v>168</v>
      </c>
      <c r="H183" s="61" t="s">
        <v>159</v>
      </c>
      <c r="I183" s="75" cm="1">
        <f t="array" ref="I183">IF($M183&lt;&gt;"",INDEX($M:$M,MATCH(TRUE,EXACT(H183,$A:$A),0)),"")</f>
        <v>171</v>
      </c>
      <c r="J183" s="46"/>
      <c r="K183" s="56"/>
      <c r="L183" s="41" t="b">
        <f t="shared" si="23"/>
        <v>1</v>
      </c>
      <c r="M183" s="42">
        <f>IF(L183, MAX(M$2:M182)+1,"")</f>
        <v>170</v>
      </c>
      <c r="N183" s="46" t="str">
        <f t="shared" si="24"/>
        <v>û</v>
      </c>
      <c r="O183" s="8" t="str" cm="1">
        <f t="array" ref="O183">CharToUTF8(A183)</f>
        <v>\xC3\xBB</v>
      </c>
      <c r="Q183" s="41" t="str">
        <f>$Z$4</f>
        <v>ORTHO_BOTH</v>
      </c>
      <c r="R183" s="47" t="str">
        <f>$Z$2</f>
        <v>EMPTY</v>
      </c>
      <c r="S183" s="47" t="str">
        <f>$Z$2</f>
        <v>EMPTY</v>
      </c>
      <c r="T183" s="44" t="str">
        <f>$Z$3</f>
        <v>DIAG_BOTH</v>
      </c>
      <c r="V183" s="54" t="b">
        <f t="shared" si="25"/>
        <v>0</v>
      </c>
      <c r="W183" t="b">
        <f t="shared" si="26"/>
        <v>0</v>
      </c>
      <c r="X183" t="b">
        <f t="shared" si="27"/>
        <v>0</v>
      </c>
      <c r="AG183" s="82" t="str">
        <f t="shared" si="28"/>
        <v xml:space="preserve">    { 170, 164, 168, 171, wxString::FromUTF8("\xC3\xBB"), Connection::ORTHO_BOTH, Connection::EMPTY, Connection::EMPTY, Connection::DIAG_BOTH }</v>
      </c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</row>
    <row r="184" spans="1:44" x14ac:dyDescent="0.4">
      <c r="A184" s="7" t="s">
        <v>159</v>
      </c>
      <c r="B184" s="6" t="str">
        <f t="shared" si="22"/>
        <v>ü</v>
      </c>
      <c r="C184" s="71" cm="1">
        <f t="array" ref="C184">IF($M184&lt;&gt;"",INDEX($M:$M,MATCH(TRUE,EXACT(B184,$A:$A),0)),"")</f>
        <v>171</v>
      </c>
      <c r="D184" s="61" t="s">
        <v>155</v>
      </c>
      <c r="E184" s="71" cm="1">
        <f t="array" ref="E184">IF($M184&lt;&gt;"",INDEX($M:$M,MATCH(TRUE,EXACT(D184,$A:$A),0)),"")</f>
        <v>166</v>
      </c>
      <c r="F184" s="61" t="s">
        <v>164</v>
      </c>
      <c r="G184" s="71" cm="1">
        <f t="array" ref="G184">IF($M184&lt;&gt;"",INDEX($M:$M,MATCH(TRUE,EXACT(F184,$A:$A),0)),"")</f>
        <v>169</v>
      </c>
      <c r="H184" s="61" t="s">
        <v>158</v>
      </c>
      <c r="I184" s="75" cm="1">
        <f t="array" ref="I184">IF($M184&lt;&gt;"",INDEX($M:$M,MATCH(TRUE,EXACT(H184,$A:$A),0)),"")</f>
        <v>170</v>
      </c>
      <c r="J184" s="46"/>
      <c r="K184" s="56"/>
      <c r="L184" s="41" t="b">
        <f t="shared" si="23"/>
        <v>1</v>
      </c>
      <c r="M184" s="42">
        <f>IF(L184, MAX(M$2:M183)+1,"")</f>
        <v>171</v>
      </c>
      <c r="N184" s="46" t="str">
        <f t="shared" si="24"/>
        <v>ü</v>
      </c>
      <c r="O184" s="8" t="str" cm="1">
        <f t="array" ref="O184">CharToUTF8(A184)</f>
        <v>\xC3\xBC</v>
      </c>
      <c r="Q184" s="41" t="str">
        <f>$Z$4</f>
        <v>ORTHO_BOTH</v>
      </c>
      <c r="R184" s="47" t="str">
        <f>$Z$2</f>
        <v>EMPTY</v>
      </c>
      <c r="S184" s="47" t="str">
        <f>$Z$3</f>
        <v>DIAG_BOTH</v>
      </c>
      <c r="T184" s="44" t="str">
        <f>$Z$2</f>
        <v>EMPTY</v>
      </c>
      <c r="V184" s="54" t="b">
        <f t="shared" si="25"/>
        <v>0</v>
      </c>
      <c r="W184" t="b">
        <f t="shared" si="26"/>
        <v>0</v>
      </c>
      <c r="X184" t="b">
        <f t="shared" si="27"/>
        <v>0</v>
      </c>
      <c r="AG184" s="82" t="str">
        <f t="shared" si="28"/>
        <v xml:space="preserve">    { 171, 166, 169, 170, wxString::FromUTF8("\xC3\xBC"), Connection::ORTHO_BOTH, Connection::EMPTY, Connection::DIAG_BOTH, Connection::EMPTY }</v>
      </c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</row>
    <row r="185" spans="1:44" x14ac:dyDescent="0.4">
      <c r="A185" s="7" t="s">
        <v>179</v>
      </c>
      <c r="B185" s="6" t="str">
        <f t="shared" si="22"/>
        <v>ģ</v>
      </c>
      <c r="C185" s="71" cm="1">
        <f t="array" ref="C185">IF($M185&lt;&gt;"",INDEX($M:$M,MATCH(TRUE,EXACT(B185,$A:$A),0)),"")</f>
        <v>172</v>
      </c>
      <c r="D185" s="61" t="s">
        <v>180</v>
      </c>
      <c r="E185" s="71" cm="1">
        <f t="array" ref="E185">IF($M185&lt;&gt;"",INDEX($M:$M,MATCH(TRUE,EXACT(D185,$A:$A),0)),"")</f>
        <v>173</v>
      </c>
      <c r="F185" s="61" t="s">
        <v>185</v>
      </c>
      <c r="G185" s="71" cm="1">
        <f t="array" ref="G185">IF($M185&lt;&gt;"",INDEX($M:$M,MATCH(TRUE,EXACT(F185,$A:$A),0)),"")</f>
        <v>178</v>
      </c>
      <c r="H185" s="61" t="s">
        <v>183</v>
      </c>
      <c r="I185" s="75" cm="1">
        <f t="array" ref="I185">IF($M185&lt;&gt;"",INDEX($M:$M,MATCH(TRUE,EXACT(H185,$A:$A),0)),"")</f>
        <v>176</v>
      </c>
      <c r="J185" s="46"/>
      <c r="K185" s="56"/>
      <c r="L185" s="41" t="b">
        <f t="shared" si="23"/>
        <v>1</v>
      </c>
      <c r="M185" s="42">
        <f>IF(L185, MAX(M$2:M184)+1,"")</f>
        <v>172</v>
      </c>
      <c r="N185" s="46" t="str">
        <f t="shared" si="24"/>
        <v>ģ</v>
      </c>
      <c r="O185" s="8" t="str" cm="1">
        <f t="array" ref="O185">CharToUTF8(A185)</f>
        <v>\xC4\xA3</v>
      </c>
      <c r="Q185" s="41" t="str">
        <f>$Z$2</f>
        <v>EMPTY</v>
      </c>
      <c r="R185" s="47" t="str">
        <f>$Z$5</f>
        <v>DIAG_FRONT</v>
      </c>
      <c r="S185" s="47" t="str">
        <f>$Z$8</f>
        <v>ORTHO_DOWN</v>
      </c>
      <c r="T185" s="44" t="str">
        <f>$Z$2</f>
        <v>EMPTY</v>
      </c>
      <c r="V185" s="54" t="b">
        <f t="shared" si="25"/>
        <v>0</v>
      </c>
      <c r="W185" t="b">
        <f t="shared" si="26"/>
        <v>0</v>
      </c>
      <c r="X185" t="b">
        <f t="shared" si="27"/>
        <v>0</v>
      </c>
      <c r="AG185" s="82" t="str">
        <f t="shared" si="28"/>
        <v xml:space="preserve">    { 172, 173, 178, 176, wxString::FromUTF8("\xC4\xA3"), Connection::EMPTY, Connection::DIAG_FRONT, Connection::ORTHO_DOWN, Connection::EMPTY }</v>
      </c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</row>
    <row r="186" spans="1:44" x14ac:dyDescent="0.4">
      <c r="A186" s="7" t="s">
        <v>180</v>
      </c>
      <c r="B186" s="6" t="str">
        <f t="shared" si="22"/>
        <v>Ĥ</v>
      </c>
      <c r="C186" s="71" cm="1">
        <f t="array" ref="C186">IF($M186&lt;&gt;"",INDEX($M:$M,MATCH(TRUE,EXACT(B186,$A:$A),0)),"")</f>
        <v>173</v>
      </c>
      <c r="D186" s="61" t="s">
        <v>181</v>
      </c>
      <c r="E186" s="71" cm="1">
        <f t="array" ref="E186">IF($M186&lt;&gt;"",INDEX($M:$M,MATCH(TRUE,EXACT(D186,$A:$A),0)),"")</f>
        <v>174</v>
      </c>
      <c r="F186" s="61" t="s">
        <v>184</v>
      </c>
      <c r="G186" s="71" cm="1">
        <f t="array" ref="G186">IF($M186&lt;&gt;"",INDEX($M:$M,MATCH(TRUE,EXACT(F186,$A:$A),0)),"")</f>
        <v>177</v>
      </c>
      <c r="H186" s="61" t="s">
        <v>186</v>
      </c>
      <c r="I186" s="75" cm="1">
        <f t="array" ref="I186">IF($M186&lt;&gt;"",INDEX($M:$M,MATCH(TRUE,EXACT(H186,$A:$A),0)),"")</f>
        <v>179</v>
      </c>
      <c r="J186" s="46"/>
      <c r="K186" s="56"/>
      <c r="L186" s="41" t="b">
        <f t="shared" si="23"/>
        <v>1</v>
      </c>
      <c r="M186" s="42">
        <f>IF(L186, MAX(M$2:M185)+1,"")</f>
        <v>173</v>
      </c>
      <c r="N186" s="46" t="str">
        <f t="shared" si="24"/>
        <v>Ĥ</v>
      </c>
      <c r="O186" s="8" t="str" cm="1">
        <f t="array" ref="O186">CharToUTF8(A186)</f>
        <v>\xC4\xA4</v>
      </c>
      <c r="Q186" s="41" t="str">
        <f>$Z$9</f>
        <v>ORTHO_LEFT</v>
      </c>
      <c r="R186" s="47" t="str">
        <f>$Z$2</f>
        <v>EMPTY</v>
      </c>
      <c r="S186" s="47" t="str">
        <f>$Z$5</f>
        <v>DIAG_FRONT</v>
      </c>
      <c r="T186" s="44" t="str">
        <f>$Z$2</f>
        <v>EMPTY</v>
      </c>
      <c r="V186" s="54" t="b">
        <f t="shared" si="25"/>
        <v>0</v>
      </c>
      <c r="W186" t="b">
        <f t="shared" si="26"/>
        <v>0</v>
      </c>
      <c r="X186" t="b">
        <f t="shared" si="27"/>
        <v>0</v>
      </c>
      <c r="AG186" s="82" t="str">
        <f t="shared" si="28"/>
        <v xml:space="preserve">    { 173, 174, 177, 179, wxString::FromUTF8("\xC4\xA4"), Connection::ORTHO_LEFT, Connection::EMPTY, Connection::DIAG_FRONT, Connection::EMPTY }</v>
      </c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</row>
    <row r="187" spans="1:44" x14ac:dyDescent="0.4">
      <c r="A187" s="7" t="s">
        <v>181</v>
      </c>
      <c r="B187" s="6" t="str">
        <f t="shared" si="22"/>
        <v>ĥ</v>
      </c>
      <c r="C187" s="71" cm="1">
        <f t="array" ref="C187">IF($M187&lt;&gt;"",INDEX($M:$M,MATCH(TRUE,EXACT(B187,$A:$A),0)),"")</f>
        <v>174</v>
      </c>
      <c r="D187" s="61" t="s">
        <v>182</v>
      </c>
      <c r="E187" s="71" cm="1">
        <f t="array" ref="E187">IF($M187&lt;&gt;"",INDEX($M:$M,MATCH(TRUE,EXACT(D187,$A:$A),0)),"")</f>
        <v>175</v>
      </c>
      <c r="F187" s="61" t="s">
        <v>183</v>
      </c>
      <c r="G187" s="71" cm="1">
        <f t="array" ref="G187">IF($M187&lt;&gt;"",INDEX($M:$M,MATCH(TRUE,EXACT(F187,$A:$A),0)),"")</f>
        <v>176</v>
      </c>
      <c r="H187" s="61" t="s">
        <v>185</v>
      </c>
      <c r="I187" s="75" cm="1">
        <f t="array" ref="I187">IF($M187&lt;&gt;"",INDEX($M:$M,MATCH(TRUE,EXACT(H187,$A:$A),0)),"")</f>
        <v>178</v>
      </c>
      <c r="J187" s="46"/>
      <c r="K187" s="56"/>
      <c r="L187" s="41" t="b">
        <f t="shared" si="23"/>
        <v>1</v>
      </c>
      <c r="M187" s="42">
        <f>IF(L187, MAX(M$2:M186)+1,"")</f>
        <v>174</v>
      </c>
      <c r="N187" s="46" t="str">
        <f t="shared" si="24"/>
        <v>ĥ</v>
      </c>
      <c r="O187" s="8" t="str" cm="1">
        <f t="array" ref="O187">CharToUTF8(A187)</f>
        <v>\xC4\xA5</v>
      </c>
      <c r="Q187" s="41" t="str">
        <f>$Z$5</f>
        <v>DIAG_FRONT</v>
      </c>
      <c r="R187" s="47" t="str">
        <f>$Z$2</f>
        <v>EMPTY</v>
      </c>
      <c r="S187" s="47" t="str">
        <f>$Z$2</f>
        <v>EMPTY</v>
      </c>
      <c r="T187" s="44" t="str">
        <f>$Z$7</f>
        <v>ORTHO_UP</v>
      </c>
      <c r="V187" s="54" t="b">
        <f t="shared" si="25"/>
        <v>0</v>
      </c>
      <c r="W187" t="b">
        <f t="shared" si="26"/>
        <v>0</v>
      </c>
      <c r="X187" t="b">
        <f t="shared" si="27"/>
        <v>0</v>
      </c>
      <c r="AG187" s="82" t="str">
        <f t="shared" si="28"/>
        <v xml:space="preserve">    { 174, 175, 176, 178, wxString::FromUTF8("\xC4\xA5"), Connection::DIAG_FRONT, Connection::EMPTY, Connection::EMPTY, Connection::ORTHO_UP }</v>
      </c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</row>
    <row r="188" spans="1:44" x14ac:dyDescent="0.4">
      <c r="A188" s="7" t="s">
        <v>182</v>
      </c>
      <c r="B188" s="6" t="str">
        <f t="shared" si="22"/>
        <v>Ħ</v>
      </c>
      <c r="C188" s="71" cm="1">
        <f t="array" ref="C188">IF($M188&lt;&gt;"",INDEX($M:$M,MATCH(TRUE,EXACT(B188,$A:$A),0)),"")</f>
        <v>175</v>
      </c>
      <c r="D188" s="61" t="s">
        <v>179</v>
      </c>
      <c r="E188" s="71" cm="1">
        <f t="array" ref="E188">IF($M188&lt;&gt;"",INDEX($M:$M,MATCH(TRUE,EXACT(D188,$A:$A),0)),"")</f>
        <v>172</v>
      </c>
      <c r="F188" s="61" t="s">
        <v>186</v>
      </c>
      <c r="G188" s="71" cm="1">
        <f t="array" ref="G188">IF($M188&lt;&gt;"",INDEX($M:$M,MATCH(TRUE,EXACT(F188,$A:$A),0)),"")</f>
        <v>179</v>
      </c>
      <c r="H188" s="61" t="s">
        <v>184</v>
      </c>
      <c r="I188" s="75" cm="1">
        <f t="array" ref="I188">IF($M188&lt;&gt;"",INDEX($M:$M,MATCH(TRUE,EXACT(H188,$A:$A),0)),"")</f>
        <v>177</v>
      </c>
      <c r="J188" s="46"/>
      <c r="K188" s="56"/>
      <c r="L188" s="41" t="b">
        <f t="shared" si="23"/>
        <v>1</v>
      </c>
      <c r="M188" s="42">
        <f>IF(L188, MAX(M$2:M187)+1,"")</f>
        <v>175</v>
      </c>
      <c r="N188" s="46" t="str">
        <f t="shared" si="24"/>
        <v>Ħ</v>
      </c>
      <c r="O188" s="8" t="str" cm="1">
        <f t="array" ref="O188">CharToUTF8(A188)</f>
        <v>\xC4\xA6</v>
      </c>
      <c r="Q188" s="41" t="str">
        <f>$Z$2</f>
        <v>EMPTY</v>
      </c>
      <c r="R188" s="47" t="str">
        <f>$Z$10</f>
        <v>ORTHO_RIGHT</v>
      </c>
      <c r="S188" s="47" t="str">
        <f>$Z$2</f>
        <v>EMPTY</v>
      </c>
      <c r="T188" s="44" t="str">
        <f>$Z$5</f>
        <v>DIAG_FRONT</v>
      </c>
      <c r="V188" s="54" t="b">
        <f t="shared" si="25"/>
        <v>0</v>
      </c>
      <c r="W188" t="b">
        <f t="shared" si="26"/>
        <v>0</v>
      </c>
      <c r="X188" t="b">
        <f t="shared" si="27"/>
        <v>0</v>
      </c>
      <c r="AG188" s="82" t="str">
        <f t="shared" si="28"/>
        <v xml:space="preserve">    { 175, 172, 179, 177, wxString::FromUTF8("\xC4\xA6"), Connection::EMPTY, Connection::ORTHO_RIGHT, Connection::EMPTY, Connection::DIAG_FRONT }</v>
      </c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</row>
    <row r="189" spans="1:44" x14ac:dyDescent="0.4">
      <c r="A189" s="7" t="s">
        <v>183</v>
      </c>
      <c r="B189" s="6" t="str">
        <f t="shared" si="22"/>
        <v>ħ</v>
      </c>
      <c r="C189" s="71" cm="1">
        <f t="array" ref="C189">IF($M189&lt;&gt;"",INDEX($M:$M,MATCH(TRUE,EXACT(B189,$A:$A),0)),"")</f>
        <v>176</v>
      </c>
      <c r="D189" s="61" t="s">
        <v>184</v>
      </c>
      <c r="E189" s="71" cm="1">
        <f t="array" ref="E189">IF($M189&lt;&gt;"",INDEX($M:$M,MATCH(TRUE,EXACT(D189,$A:$A),0)),"")</f>
        <v>177</v>
      </c>
      <c r="F189" s="61" t="s">
        <v>181</v>
      </c>
      <c r="G189" s="71" cm="1">
        <f t="array" ref="G189">IF($M189&lt;&gt;"",INDEX($M:$M,MATCH(TRUE,EXACT(F189,$A:$A),0)),"")</f>
        <v>174</v>
      </c>
      <c r="H189" s="61" t="s">
        <v>179</v>
      </c>
      <c r="I189" s="75" cm="1">
        <f t="array" ref="I189">IF($M189&lt;&gt;"",INDEX($M:$M,MATCH(TRUE,EXACT(H189,$A:$A),0)),"")</f>
        <v>172</v>
      </c>
      <c r="J189" s="46"/>
      <c r="K189" s="56"/>
      <c r="L189" s="41" t="b">
        <f t="shared" si="23"/>
        <v>1</v>
      </c>
      <c r="M189" s="42">
        <f>IF(L189, MAX(M$2:M188)+1,"")</f>
        <v>176</v>
      </c>
      <c r="N189" s="46" t="str">
        <f t="shared" si="24"/>
        <v>ħ</v>
      </c>
      <c r="O189" s="8" t="str" cm="1">
        <f t="array" ref="O189">CharToUTF8(A189)</f>
        <v>\xC4\xA7</v>
      </c>
      <c r="Q189" s="41" t="str">
        <f>$Z$2</f>
        <v>EMPTY</v>
      </c>
      <c r="R189" s="47" t="str">
        <f>$Z$6</f>
        <v>DIAG_BACK</v>
      </c>
      <c r="S189" s="47" t="str">
        <f>$Z$2</f>
        <v>EMPTY</v>
      </c>
      <c r="T189" s="44" t="str">
        <f>$Z$8</f>
        <v>ORTHO_DOWN</v>
      </c>
      <c r="V189" s="54" t="b">
        <f t="shared" si="25"/>
        <v>0</v>
      </c>
      <c r="W189" t="b">
        <f t="shared" si="26"/>
        <v>0</v>
      </c>
      <c r="X189" t="b">
        <f t="shared" si="27"/>
        <v>0</v>
      </c>
      <c r="AG189" s="82" t="str">
        <f t="shared" si="28"/>
        <v xml:space="preserve">    { 176, 177, 174, 172, wxString::FromUTF8("\xC4\xA7"), Connection::EMPTY, Connection::DIAG_BACK, Connection::EMPTY, Connection::ORTHO_DOWN }</v>
      </c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</row>
    <row r="190" spans="1:44" x14ac:dyDescent="0.4">
      <c r="A190" s="7" t="s">
        <v>184</v>
      </c>
      <c r="B190" s="6" t="str">
        <f t="shared" si="22"/>
        <v>Ĩ</v>
      </c>
      <c r="C190" s="71" cm="1">
        <f t="array" ref="C190">IF($M190&lt;&gt;"",INDEX($M:$M,MATCH(TRUE,EXACT(B190,$A:$A),0)),"")</f>
        <v>177</v>
      </c>
      <c r="D190" s="61" t="s">
        <v>185</v>
      </c>
      <c r="E190" s="71" cm="1">
        <f t="array" ref="E190">IF($M190&lt;&gt;"",INDEX($M:$M,MATCH(TRUE,EXACT(D190,$A:$A),0)),"")</f>
        <v>178</v>
      </c>
      <c r="F190" s="61" t="s">
        <v>180</v>
      </c>
      <c r="G190" s="71" cm="1">
        <f t="array" ref="G190">IF($M190&lt;&gt;"",INDEX($M:$M,MATCH(TRUE,EXACT(F190,$A:$A),0)),"")</f>
        <v>173</v>
      </c>
      <c r="H190" s="61" t="s">
        <v>182</v>
      </c>
      <c r="I190" s="75" cm="1">
        <f t="array" ref="I190">IF($M190&lt;&gt;"",INDEX($M:$M,MATCH(TRUE,EXACT(H190,$A:$A),0)),"")</f>
        <v>175</v>
      </c>
      <c r="J190" s="46"/>
      <c r="K190" s="56"/>
      <c r="L190" s="41" t="b">
        <f t="shared" si="23"/>
        <v>1</v>
      </c>
      <c r="M190" s="42">
        <f>IF(L190, MAX(M$2:M189)+1,"")</f>
        <v>177</v>
      </c>
      <c r="N190" s="46" t="str">
        <f t="shared" si="24"/>
        <v>Ĩ</v>
      </c>
      <c r="O190" s="8" t="str" cm="1">
        <f t="array" ref="O190">CharToUTF8(A190)</f>
        <v>\xC4\xA8</v>
      </c>
      <c r="Q190" s="41" t="str">
        <f>$Z$2</f>
        <v>EMPTY</v>
      </c>
      <c r="R190" s="47" t="str">
        <f>$Z$9</f>
        <v>ORTHO_LEFT</v>
      </c>
      <c r="S190" s="47" t="str">
        <f>$Z$6</f>
        <v>DIAG_BACK</v>
      </c>
      <c r="T190" s="44" t="str">
        <f>$Z$2</f>
        <v>EMPTY</v>
      </c>
      <c r="V190" s="54" t="b">
        <f t="shared" si="25"/>
        <v>0</v>
      </c>
      <c r="W190" t="b">
        <f t="shared" si="26"/>
        <v>0</v>
      </c>
      <c r="X190" t="b">
        <f t="shared" si="27"/>
        <v>0</v>
      </c>
      <c r="AG190" s="82" t="str">
        <f t="shared" si="28"/>
        <v xml:space="preserve">    { 177, 178, 173, 175, wxString::FromUTF8("\xC4\xA8"), Connection::EMPTY, Connection::ORTHO_LEFT, Connection::DIAG_BACK, Connection::EMPTY }</v>
      </c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</row>
    <row r="191" spans="1:44" x14ac:dyDescent="0.4">
      <c r="A191" s="7" t="s">
        <v>185</v>
      </c>
      <c r="B191" s="6" t="str">
        <f t="shared" si="22"/>
        <v>ĩ</v>
      </c>
      <c r="C191" s="71" cm="1">
        <f t="array" ref="C191">IF($M191&lt;&gt;"",INDEX($M:$M,MATCH(TRUE,EXACT(B191,$A:$A),0)),"")</f>
        <v>178</v>
      </c>
      <c r="D191" s="61" t="s">
        <v>186</v>
      </c>
      <c r="E191" s="71" cm="1">
        <f t="array" ref="E191">IF($M191&lt;&gt;"",INDEX($M:$M,MATCH(TRUE,EXACT(D191,$A:$A),0)),"")</f>
        <v>179</v>
      </c>
      <c r="F191" s="61" t="s">
        <v>179</v>
      </c>
      <c r="G191" s="71" cm="1">
        <f t="array" ref="G191">IF($M191&lt;&gt;"",INDEX($M:$M,MATCH(TRUE,EXACT(F191,$A:$A),0)),"")</f>
        <v>172</v>
      </c>
      <c r="H191" s="61" t="s">
        <v>181</v>
      </c>
      <c r="I191" s="75" cm="1">
        <f t="array" ref="I191">IF($M191&lt;&gt;"",INDEX($M:$M,MATCH(TRUE,EXACT(H191,$A:$A),0)),"")</f>
        <v>174</v>
      </c>
      <c r="J191" s="46"/>
      <c r="K191" s="56"/>
      <c r="L191" s="41" t="b">
        <f t="shared" si="23"/>
        <v>1</v>
      </c>
      <c r="M191" s="42">
        <f>IF(L191, MAX(M$2:M190)+1,"")</f>
        <v>178</v>
      </c>
      <c r="N191" s="46" t="str">
        <f t="shared" si="24"/>
        <v>ĩ</v>
      </c>
      <c r="O191" s="8" t="str" cm="1">
        <f t="array" ref="O191">CharToUTF8(A191)</f>
        <v>\xC4\xA9</v>
      </c>
      <c r="Q191" s="41" t="str">
        <f>$Z$6</f>
        <v>DIAG_BACK</v>
      </c>
      <c r="R191" s="47" t="str">
        <f>$Z$2</f>
        <v>EMPTY</v>
      </c>
      <c r="S191" s="47" t="str">
        <f>$Z$7</f>
        <v>ORTHO_UP</v>
      </c>
      <c r="T191" s="44" t="str">
        <f>$Z$2</f>
        <v>EMPTY</v>
      </c>
      <c r="V191" s="54" t="b">
        <f t="shared" si="25"/>
        <v>0</v>
      </c>
      <c r="W191" t="b">
        <f t="shared" si="26"/>
        <v>0</v>
      </c>
      <c r="X191" t="b">
        <f t="shared" si="27"/>
        <v>0</v>
      </c>
      <c r="AG191" s="82" t="str">
        <f t="shared" si="28"/>
        <v xml:space="preserve">    { 178, 179, 172, 174, wxString::FromUTF8("\xC4\xA9"), Connection::DIAG_BACK, Connection::EMPTY, Connection::ORTHO_UP, Connection::EMPTY }</v>
      </c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</row>
    <row r="192" spans="1:44" x14ac:dyDescent="0.4">
      <c r="A192" s="7" t="s">
        <v>186</v>
      </c>
      <c r="B192" s="6" t="str">
        <f t="shared" si="22"/>
        <v>Ī</v>
      </c>
      <c r="C192" s="71" cm="1">
        <f t="array" ref="C192">IF($M192&lt;&gt;"",INDEX($M:$M,MATCH(TRUE,EXACT(B192,$A:$A),0)),"")</f>
        <v>179</v>
      </c>
      <c r="D192" s="61" t="s">
        <v>183</v>
      </c>
      <c r="E192" s="71" cm="1">
        <f t="array" ref="E192">IF($M192&lt;&gt;"",INDEX($M:$M,MATCH(TRUE,EXACT(D192,$A:$A),0)),"")</f>
        <v>176</v>
      </c>
      <c r="F192" s="61" t="s">
        <v>182</v>
      </c>
      <c r="G192" s="71" cm="1">
        <f t="array" ref="G192">IF($M192&lt;&gt;"",INDEX($M:$M,MATCH(TRUE,EXACT(F192,$A:$A),0)),"")</f>
        <v>175</v>
      </c>
      <c r="H192" s="61" t="s">
        <v>180</v>
      </c>
      <c r="I192" s="75" cm="1">
        <f t="array" ref="I192">IF($M192&lt;&gt;"",INDEX($M:$M,MATCH(TRUE,EXACT(H192,$A:$A),0)),"")</f>
        <v>173</v>
      </c>
      <c r="J192" s="46"/>
      <c r="K192" s="56"/>
      <c r="L192" s="41" t="b">
        <f t="shared" si="23"/>
        <v>1</v>
      </c>
      <c r="M192" s="42">
        <f>IF(L192, MAX(M$2:M191)+1,"")</f>
        <v>179</v>
      </c>
      <c r="N192" s="46" t="str">
        <f t="shared" si="24"/>
        <v>Ī</v>
      </c>
      <c r="O192" s="8" t="str" cm="1">
        <f t="array" ref="O192">CharToUTF8(A192)</f>
        <v>\xC4\xAA</v>
      </c>
      <c r="Q192" s="41" t="str">
        <f>$Z$10</f>
        <v>ORTHO_RIGHT</v>
      </c>
      <c r="R192" s="47" t="str">
        <f>$Z$2</f>
        <v>EMPTY</v>
      </c>
      <c r="S192" s="47" t="str">
        <f>$Z$2</f>
        <v>EMPTY</v>
      </c>
      <c r="T192" s="44" t="str">
        <f>$Z$6</f>
        <v>DIAG_BACK</v>
      </c>
      <c r="V192" s="54" t="b">
        <f t="shared" si="25"/>
        <v>0</v>
      </c>
      <c r="W192" t="b">
        <f t="shared" si="26"/>
        <v>0</v>
      </c>
      <c r="X192" t="b">
        <f t="shared" si="27"/>
        <v>0</v>
      </c>
      <c r="AG192" s="82" t="str">
        <f t="shared" si="28"/>
        <v xml:space="preserve">    { 179, 176, 175, 173, wxString::FromUTF8("\xC4\xAA"), Connection::ORTHO_RIGHT, Connection::EMPTY, Connection::EMPTY, Connection::DIAG_BACK }</v>
      </c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</row>
    <row r="193" spans="1:44" x14ac:dyDescent="0.4">
      <c r="A193" s="7" t="s">
        <v>187</v>
      </c>
      <c r="B193" s="6" t="str">
        <f t="shared" si="22"/>
        <v>Œ</v>
      </c>
      <c r="C193" s="71" cm="1">
        <f t="array" ref="C193">IF($M193&lt;&gt;"",INDEX($M:$M,MATCH(TRUE,EXACT(B193,$A:$A),0)),"")</f>
        <v>180</v>
      </c>
      <c r="D193" s="61" t="s">
        <v>190</v>
      </c>
      <c r="E193" s="71" cm="1">
        <f t="array" ref="E193">IF($M193&lt;&gt;"",INDEX($M:$M,MATCH(TRUE,EXACT(D193,$A:$A),0)),"")</f>
        <v>183</v>
      </c>
      <c r="F193" s="61" t="s">
        <v>187</v>
      </c>
      <c r="G193" s="71" cm="1">
        <f t="array" ref="G193">IF($M193&lt;&gt;"",INDEX($M:$M,MATCH(TRUE,EXACT(F193,$A:$A),0)),"")</f>
        <v>180</v>
      </c>
      <c r="H193" s="61" t="s">
        <v>187</v>
      </c>
      <c r="I193" s="75" cm="1">
        <f t="array" ref="I193">IF($M193&lt;&gt;"",INDEX($M:$M,MATCH(TRUE,EXACT(H193,$A:$A),0)),"")</f>
        <v>180</v>
      </c>
      <c r="J193" s="46"/>
      <c r="K193" s="56"/>
      <c r="L193" s="41" t="b">
        <f t="shared" si="23"/>
        <v>1</v>
      </c>
      <c r="M193" s="42">
        <f>IF(L193, MAX(M$2:M192)+1,"")</f>
        <v>180</v>
      </c>
      <c r="N193" s="46" t="str">
        <f t="shared" si="24"/>
        <v>Œ</v>
      </c>
      <c r="O193" s="8" t="str" cm="1">
        <f t="array" ref="O193">CharToUTF8(A193)</f>
        <v>\xC5\x92</v>
      </c>
      <c r="Q193" s="41" t="str">
        <f>$Z$2</f>
        <v>EMPTY</v>
      </c>
      <c r="R193" s="47" t="str">
        <f>$Z$2</f>
        <v>EMPTY</v>
      </c>
      <c r="S193" s="47" t="str">
        <f>$Z$4</f>
        <v>ORTHO_BOTH</v>
      </c>
      <c r="T193" s="44" t="str">
        <f>$Z$4</f>
        <v>ORTHO_BOTH</v>
      </c>
      <c r="V193" s="54" t="b">
        <f t="shared" si="25"/>
        <v>0</v>
      </c>
      <c r="W193" t="b">
        <f t="shared" si="26"/>
        <v>1</v>
      </c>
      <c r="X193" t="b">
        <f t="shared" si="27"/>
        <v>1</v>
      </c>
      <c r="AG193" s="82" t="str">
        <f t="shared" si="28"/>
        <v xml:space="preserve">    { 180, 183, 180, 180, wxString::FromUTF8("\xC5\x92"), Connection::EMPTY, Connection::EMPTY, Connection::ORTHO_BOTH, Connection::ORTHO_BOTH }</v>
      </c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</row>
    <row r="194" spans="1:44" x14ac:dyDescent="0.4">
      <c r="A194" s="7" t="s">
        <v>188</v>
      </c>
      <c r="B194" s="6" t="str">
        <f t="shared" ref="B194:B202" si="29">A194</f>
        <v>Š</v>
      </c>
      <c r="C194" s="71" cm="1">
        <f t="array" ref="C194">IF($M194&lt;&gt;"",INDEX($M:$M,MATCH(TRUE,EXACT(B194,$A:$A),0)),"")</f>
        <v>181</v>
      </c>
      <c r="D194" s="61" t="s">
        <v>189</v>
      </c>
      <c r="E194" s="71" cm="1">
        <f t="array" ref="E194">IF($M194&lt;&gt;"",INDEX($M:$M,MATCH(TRUE,EXACT(D194,$A:$A),0)),"")</f>
        <v>182</v>
      </c>
      <c r="F194" s="61" t="s">
        <v>188</v>
      </c>
      <c r="G194" s="71" cm="1">
        <f t="array" ref="G194">IF($M194&lt;&gt;"",INDEX($M:$M,MATCH(TRUE,EXACT(F194,$A:$A),0)),"")</f>
        <v>181</v>
      </c>
      <c r="H194" s="61" t="s">
        <v>196</v>
      </c>
      <c r="I194" s="75" cm="1">
        <f t="array" ref="I194">IF($M194&lt;&gt;"",INDEX($M:$M,MATCH(TRUE,EXACT(H194,$A:$A),0)),"")</f>
        <v>189</v>
      </c>
      <c r="J194" s="46"/>
      <c r="K194" s="56"/>
      <c r="L194" s="41" t="b">
        <f t="shared" ref="L194:L202" si="30">AND(B194&lt;&gt;"", AND(D194&lt;&gt;"", AND(H194&lt;&gt;"", F194&lt;&gt;"")))</f>
        <v>1</v>
      </c>
      <c r="M194" s="42">
        <f>IF(L194, MAX(M$2:M193)+1,"")</f>
        <v>181</v>
      </c>
      <c r="N194" s="46" t="str">
        <f t="shared" ref="N194:N202" si="31">A194</f>
        <v>Š</v>
      </c>
      <c r="O194" s="8" t="str" cm="1">
        <f t="array" ref="O194">CharToUTF8(A194)</f>
        <v>\xC5\xA0</v>
      </c>
      <c r="Q194" s="41" t="str">
        <f>$Z$2</f>
        <v>EMPTY</v>
      </c>
      <c r="R194" s="47" t="str">
        <f>$Z$2</f>
        <v>EMPTY</v>
      </c>
      <c r="S194" s="47" t="str">
        <f>$Z$2</f>
        <v>EMPTY</v>
      </c>
      <c r="T194" s="44" t="str">
        <f>$Z$3</f>
        <v>DIAG_BOTH</v>
      </c>
      <c r="V194" s="54" t="b">
        <f t="shared" si="25"/>
        <v>0</v>
      </c>
      <c r="W194" t="b">
        <f t="shared" si="26"/>
        <v>1</v>
      </c>
      <c r="X194" t="b">
        <f t="shared" si="27"/>
        <v>0</v>
      </c>
      <c r="AG194" s="82" t="str">
        <f t="shared" si="28"/>
        <v xml:space="preserve">    { 181, 182, 181, 189, wxString::FromUTF8("\xC5\xA0"), Connection::EMPTY, Connection::EMPTY, Connection::EMPTY, Connection::DIAG_BOTH }</v>
      </c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</row>
    <row r="195" spans="1:44" x14ac:dyDescent="0.4">
      <c r="A195" s="7" t="s">
        <v>189</v>
      </c>
      <c r="B195" s="6" t="str">
        <f t="shared" si="29"/>
        <v>ˆ</v>
      </c>
      <c r="C195" s="71" cm="1">
        <f t="array" ref="C195">IF($M195&lt;&gt;"",INDEX($M:$M,MATCH(TRUE,EXACT(B195,$A:$A),0)),"")</f>
        <v>182</v>
      </c>
      <c r="D195" s="61" t="s">
        <v>196</v>
      </c>
      <c r="E195" s="71" cm="1">
        <f t="array" ref="E195">IF($M195&lt;&gt;"",INDEX($M:$M,MATCH(TRUE,EXACT(D195,$A:$A),0)),"")</f>
        <v>189</v>
      </c>
      <c r="F195" s="61" t="s">
        <v>195</v>
      </c>
      <c r="G195" s="71" cm="1">
        <f t="array" ref="G195">IF($M195&lt;&gt;"",INDEX($M:$M,MATCH(TRUE,EXACT(F195,$A:$A),0)),"")</f>
        <v>188</v>
      </c>
      <c r="H195" s="61" t="s">
        <v>189</v>
      </c>
      <c r="I195" s="75" cm="1">
        <f t="array" ref="I195">IF($M195&lt;&gt;"",INDEX($M:$M,MATCH(TRUE,EXACT(H195,$A:$A),0)),"")</f>
        <v>182</v>
      </c>
      <c r="J195" s="46"/>
      <c r="K195" s="56"/>
      <c r="L195" s="41" t="b">
        <f t="shared" si="30"/>
        <v>1</v>
      </c>
      <c r="M195" s="42">
        <f>IF(L195, MAX(M$2:M194)+1,"")</f>
        <v>182</v>
      </c>
      <c r="N195" s="46" t="str">
        <f t="shared" si="31"/>
        <v>ˆ</v>
      </c>
      <c r="O195" s="8" t="str" cm="1">
        <f t="array" ref="O195">CharToUTF8(A195)</f>
        <v>\xCB\x86</v>
      </c>
      <c r="Q195" s="41" t="str">
        <f>$Z$2</f>
        <v>EMPTY</v>
      </c>
      <c r="R195" s="47" t="str">
        <f>$Z$3</f>
        <v>DIAG_BOTH</v>
      </c>
      <c r="S195" s="47" t="str">
        <f>$Z$2</f>
        <v>EMPTY</v>
      </c>
      <c r="T195" s="44" t="str">
        <f>$Z$2</f>
        <v>EMPTY</v>
      </c>
      <c r="V195" s="54" t="b">
        <f t="shared" ref="V195:V202" si="32">IF($L195,C195=E195,"")</f>
        <v>0</v>
      </c>
      <c r="W195" t="b">
        <f t="shared" ref="W195:W202" si="33">IF($L195,C195=G195,"")</f>
        <v>0</v>
      </c>
      <c r="X195" t="b">
        <f t="shared" ref="X195:X202" si="34">IF($L195,C195=I195,"")</f>
        <v>1</v>
      </c>
      <c r="AG195" s="82" t="str">
        <f t="shared" ref="AG195:AG202" si="35">IF($L195,"    { " &amp; _xlfn.TEXTJOIN(", ", TRUE, $C195,$E195,$G195,$I195) &amp; ", wxString::FromUTF8(""" &amp; $O195 &amp; """), " &amp; $AC$2 &amp; _xlfn.TEXTJOIN(", " &amp; $AC$2, TRUE, $Q195:$T195) &amp; " }", "")</f>
        <v xml:space="preserve">    { 182, 189, 188, 182, wxString::FromUTF8("\xCB\x86"), Connection::EMPTY, Connection::DIAG_BOTH, Connection::EMPTY, Connection::EMPTY }</v>
      </c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1"/>
    </row>
    <row r="196" spans="1:44" x14ac:dyDescent="0.4">
      <c r="A196" s="7" t="s">
        <v>190</v>
      </c>
      <c r="B196" s="6" t="str">
        <f t="shared" si="29"/>
        <v>‚</v>
      </c>
      <c r="C196" s="71" cm="1">
        <f t="array" ref="C196">IF($M196&lt;&gt;"",INDEX($M:$M,MATCH(TRUE,EXACT(B196,$A:$A),0)),"")</f>
        <v>183</v>
      </c>
      <c r="D196" s="61" t="s">
        <v>187</v>
      </c>
      <c r="E196" s="71" cm="1">
        <f t="array" ref="E196">IF($M196&lt;&gt;"",INDEX($M:$M,MATCH(TRUE,EXACT(D196,$A:$A),0)),"")</f>
        <v>180</v>
      </c>
      <c r="F196" s="61" t="s">
        <v>190</v>
      </c>
      <c r="G196" s="71" cm="1">
        <f t="array" ref="G196">IF($M196&lt;&gt;"",INDEX($M:$M,MATCH(TRUE,EXACT(F196,$A:$A),0)),"")</f>
        <v>183</v>
      </c>
      <c r="H196" s="61" t="s">
        <v>190</v>
      </c>
      <c r="I196" s="75" cm="1">
        <f t="array" ref="I196">IF($M196&lt;&gt;"",INDEX($M:$M,MATCH(TRUE,EXACT(H196,$A:$A),0)),"")</f>
        <v>183</v>
      </c>
      <c r="J196" s="46"/>
      <c r="K196" s="56"/>
      <c r="L196" s="41" t="b">
        <f t="shared" si="30"/>
        <v>1</v>
      </c>
      <c r="M196" s="42">
        <f>IF(L196, MAX(M$2:M195)+1,"")</f>
        <v>183</v>
      </c>
      <c r="N196" s="46" t="str">
        <f t="shared" si="31"/>
        <v>‚</v>
      </c>
      <c r="O196" s="8" t="str" cm="1">
        <f t="array" ref="O196">CharToUTF8(A196)</f>
        <v>\xE2\x80\x9A</v>
      </c>
      <c r="Q196" s="41" t="str">
        <f>$Z$4</f>
        <v>ORTHO_BOTH</v>
      </c>
      <c r="R196" s="47" t="str">
        <f>$Z$4</f>
        <v>ORTHO_BOTH</v>
      </c>
      <c r="S196" s="47" t="str">
        <f>$Z$2</f>
        <v>EMPTY</v>
      </c>
      <c r="T196" s="44" t="str">
        <f>$Z$2</f>
        <v>EMPTY</v>
      </c>
      <c r="V196" s="54" t="b">
        <f t="shared" si="32"/>
        <v>0</v>
      </c>
      <c r="W196" t="b">
        <f t="shared" si="33"/>
        <v>1</v>
      </c>
      <c r="X196" t="b">
        <f t="shared" si="34"/>
        <v>1</v>
      </c>
      <c r="AG196" s="82" t="str">
        <f t="shared" si="35"/>
        <v xml:space="preserve">    { 183, 180, 183, 183, wxString::FromUTF8("\xE2\x80\x9A"), Connection::ORTHO_BOTH, Connection::ORTHO_BOTH, Connection::EMPTY, Connection::EMPTY }</v>
      </c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1"/>
    </row>
    <row r="197" spans="1:44" x14ac:dyDescent="0.4">
      <c r="A197" s="7" t="s">
        <v>191</v>
      </c>
      <c r="B197" s="6" t="str">
        <f t="shared" si="29"/>
        <v>„</v>
      </c>
      <c r="C197" s="71" cm="1">
        <f t="array" ref="C197">IF($M197&lt;&gt;"",INDEX($M:$M,MATCH(TRUE,EXACT(B197,$A:$A),0)),"")</f>
        <v>184</v>
      </c>
      <c r="D197" s="61" t="s">
        <v>194</v>
      </c>
      <c r="E197" s="71" cm="1">
        <f t="array" ref="E197">IF($M197&lt;&gt;"",INDEX($M:$M,MATCH(TRUE,EXACT(D197,$A:$A),0)),"")</f>
        <v>187</v>
      </c>
      <c r="F197" s="61" t="s">
        <v>192</v>
      </c>
      <c r="G197" s="71" cm="1">
        <f t="array" ref="G197">IF($M197&lt;&gt;"",INDEX($M:$M,MATCH(TRUE,EXACT(F197,$A:$A),0)),"")</f>
        <v>185</v>
      </c>
      <c r="H197" s="61" t="s">
        <v>194</v>
      </c>
      <c r="I197" s="75" cm="1">
        <f t="array" ref="I197">IF($M197&lt;&gt;"",INDEX($M:$M,MATCH(TRUE,EXACT(H197,$A:$A),0)),"")</f>
        <v>187</v>
      </c>
      <c r="J197" s="46"/>
      <c r="K197" s="56"/>
      <c r="L197" s="41" t="b">
        <f t="shared" si="30"/>
        <v>1</v>
      </c>
      <c r="M197" s="42">
        <f>IF(L197, MAX(M$2:M196)+1,"")</f>
        <v>184</v>
      </c>
      <c r="N197" s="46" t="str">
        <f t="shared" si="31"/>
        <v>„</v>
      </c>
      <c r="O197" s="8" t="str" cm="1">
        <f t="array" ref="O197">CharToUTF8(A197)</f>
        <v>\xE2\x80\x9E</v>
      </c>
      <c r="Q197" s="41" t="str">
        <f>$Z$2</f>
        <v>EMPTY</v>
      </c>
      <c r="R197" s="47" t="str">
        <f>$Z$3</f>
        <v>DIAG_BOTH</v>
      </c>
      <c r="S197" s="47" t="str">
        <f>$Z$2</f>
        <v>EMPTY</v>
      </c>
      <c r="T197" s="44" t="str">
        <f>$Z$3</f>
        <v>DIAG_BOTH</v>
      </c>
      <c r="V197" s="54" t="b">
        <f t="shared" si="32"/>
        <v>0</v>
      </c>
      <c r="W197" t="b">
        <f t="shared" si="33"/>
        <v>0</v>
      </c>
      <c r="X197" t="b">
        <f t="shared" si="34"/>
        <v>0</v>
      </c>
      <c r="Z197" s="1"/>
      <c r="AG197" s="82" t="str">
        <f t="shared" si="35"/>
        <v xml:space="preserve">    { 184, 187, 185, 187, wxString::FromUTF8("\xE2\x80\x9E"), Connection::EMPTY, Connection::DIAG_BOTH, Connection::EMPTY, Connection::DIAG_BOTH }</v>
      </c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1"/>
    </row>
    <row r="198" spans="1:44" x14ac:dyDescent="0.4">
      <c r="A198" s="7" t="s">
        <v>192</v>
      </c>
      <c r="B198" s="6" t="str">
        <f t="shared" si="29"/>
        <v>†</v>
      </c>
      <c r="C198" s="71" cm="1">
        <f t="array" ref="C198">IF($M198&lt;&gt;"",INDEX($M:$M,MATCH(TRUE,EXACT(B198,$A:$A),0)),"")</f>
        <v>185</v>
      </c>
      <c r="D198" s="61" t="s">
        <v>191</v>
      </c>
      <c r="E198" s="71" cm="1">
        <f t="array" ref="E198">IF($M198&lt;&gt;"",INDEX($M:$M,MATCH(TRUE,EXACT(D198,$A:$A),0)),"")</f>
        <v>184</v>
      </c>
      <c r="F198" s="61" t="s">
        <v>191</v>
      </c>
      <c r="G198" s="71" cm="1">
        <f t="array" ref="G198">IF($M198&lt;&gt;"",INDEX($M:$M,MATCH(TRUE,EXACT(F198,$A:$A),0)),"")</f>
        <v>184</v>
      </c>
      <c r="H198" s="61" t="s">
        <v>193</v>
      </c>
      <c r="I198" s="75" cm="1">
        <f t="array" ref="I198">IF($M198&lt;&gt;"",INDEX($M:$M,MATCH(TRUE,EXACT(H198,$A:$A),0)),"")</f>
        <v>186</v>
      </c>
      <c r="J198" s="46"/>
      <c r="K198" s="56"/>
      <c r="L198" s="41" t="b">
        <f t="shared" si="30"/>
        <v>1</v>
      </c>
      <c r="M198" s="42">
        <f>IF(L198, MAX(M$2:M197)+1,"")</f>
        <v>185</v>
      </c>
      <c r="N198" s="46" t="str">
        <f t="shared" si="31"/>
        <v>†</v>
      </c>
      <c r="O198" s="8" t="str" cm="1">
        <f t="array" ref="O198">CharToUTF8(A198)</f>
        <v>\xE2\x80\xA0</v>
      </c>
      <c r="Q198" s="41" t="str">
        <f>$Z$3</f>
        <v>DIAG_BOTH</v>
      </c>
      <c r="R198" s="47" t="str">
        <f>$Z$2</f>
        <v>EMPTY</v>
      </c>
      <c r="S198" s="47" t="str">
        <f>$Z$2</f>
        <v>EMPTY</v>
      </c>
      <c r="T198" s="44" t="str">
        <f>$Z$3</f>
        <v>DIAG_BOTH</v>
      </c>
      <c r="V198" s="54" t="b">
        <f t="shared" si="32"/>
        <v>0</v>
      </c>
      <c r="W198" t="b">
        <f t="shared" si="33"/>
        <v>0</v>
      </c>
      <c r="X198" t="b">
        <f t="shared" si="34"/>
        <v>0</v>
      </c>
      <c r="Z198" s="1"/>
      <c r="AG198" s="82" t="str">
        <f t="shared" si="35"/>
        <v xml:space="preserve">    { 185, 184, 184, 186, wxString::FromUTF8("\xE2\x80\xA0"), Connection::DIAG_BOTH, Connection::EMPTY, Connection::EMPTY, Connection::DIAG_BOTH }</v>
      </c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1"/>
    </row>
    <row r="199" spans="1:44" x14ac:dyDescent="0.4">
      <c r="A199" s="7" t="s">
        <v>193</v>
      </c>
      <c r="B199" s="6" t="str">
        <f t="shared" si="29"/>
        <v>‡</v>
      </c>
      <c r="C199" s="71" cm="1">
        <f t="array" ref="C199">IF($M199&lt;&gt;"",INDEX($M:$M,MATCH(TRUE,EXACT(B199,$A:$A),0)),"")</f>
        <v>186</v>
      </c>
      <c r="D199" s="61" t="s">
        <v>192</v>
      </c>
      <c r="E199" s="71" cm="1">
        <f t="array" ref="E199">IF($M199&lt;&gt;"",INDEX($M:$M,MATCH(TRUE,EXACT(D199,$A:$A),0)),"")</f>
        <v>185</v>
      </c>
      <c r="F199" s="61" t="s">
        <v>194</v>
      </c>
      <c r="G199" s="71" cm="1">
        <f t="array" ref="G199">IF($M199&lt;&gt;"",INDEX($M:$M,MATCH(TRUE,EXACT(F199,$A:$A),0)),"")</f>
        <v>187</v>
      </c>
      <c r="H199" s="61" t="s">
        <v>192</v>
      </c>
      <c r="I199" s="75" cm="1">
        <f t="array" ref="I199">IF($M199&lt;&gt;"",INDEX($M:$M,MATCH(TRUE,EXACT(H199,$A:$A),0)),"")</f>
        <v>185</v>
      </c>
      <c r="J199" s="46"/>
      <c r="K199" s="56"/>
      <c r="L199" s="41" t="b">
        <f t="shared" si="30"/>
        <v>1</v>
      </c>
      <c r="M199" s="42">
        <f>IF(L199, MAX(M$2:M198)+1,"")</f>
        <v>186</v>
      </c>
      <c r="N199" s="46" t="str">
        <f t="shared" si="31"/>
        <v>‡</v>
      </c>
      <c r="O199" s="8" t="str" cm="1">
        <f t="array" ref="O199">CharToUTF8(A199)</f>
        <v>\xE2\x80\xA1</v>
      </c>
      <c r="Q199" s="41" t="str">
        <f>$Z$3</f>
        <v>DIAG_BOTH</v>
      </c>
      <c r="R199" s="47" t="str">
        <f>$Z$2</f>
        <v>EMPTY</v>
      </c>
      <c r="S199" s="47" t="str">
        <f>$Z$3</f>
        <v>DIAG_BOTH</v>
      </c>
      <c r="T199" s="44" t="str">
        <f>$Z$2</f>
        <v>EMPTY</v>
      </c>
      <c r="V199" s="54" t="b">
        <f t="shared" si="32"/>
        <v>0</v>
      </c>
      <c r="W199" t="b">
        <f t="shared" si="33"/>
        <v>0</v>
      </c>
      <c r="X199" t="b">
        <f t="shared" si="34"/>
        <v>0</v>
      </c>
      <c r="Z199" s="1"/>
      <c r="AG199" s="82" t="str">
        <f t="shared" si="35"/>
        <v xml:space="preserve">    { 186, 185, 187, 185, wxString::FromUTF8("\xE2\x80\xA1"), Connection::DIAG_BOTH, Connection::EMPTY, Connection::DIAG_BOTH, Connection::EMPTY }</v>
      </c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1"/>
    </row>
    <row r="200" spans="1:44" x14ac:dyDescent="0.4">
      <c r="A200" s="7" t="s">
        <v>194</v>
      </c>
      <c r="B200" s="6" t="str">
        <f t="shared" si="29"/>
        <v>…</v>
      </c>
      <c r="C200" s="71" cm="1">
        <f t="array" ref="C200">IF($M200&lt;&gt;"",INDEX($M:$M,MATCH(TRUE,EXACT(B200,$A:$A),0)),"")</f>
        <v>187</v>
      </c>
      <c r="D200" s="61" t="s">
        <v>193</v>
      </c>
      <c r="E200" s="71" cm="1">
        <f t="array" ref="E200">IF($M200&lt;&gt;"",INDEX($M:$M,MATCH(TRUE,EXACT(D200,$A:$A),0)),"")</f>
        <v>186</v>
      </c>
      <c r="F200" s="61" t="s">
        <v>193</v>
      </c>
      <c r="G200" s="71" cm="1">
        <f t="array" ref="G200">IF($M200&lt;&gt;"",INDEX($M:$M,MATCH(TRUE,EXACT(F200,$A:$A),0)),"")</f>
        <v>186</v>
      </c>
      <c r="H200" s="61" t="s">
        <v>191</v>
      </c>
      <c r="I200" s="75" cm="1">
        <f t="array" ref="I200">IF($M200&lt;&gt;"",INDEX($M:$M,MATCH(TRUE,EXACT(H200,$A:$A),0)),"")</f>
        <v>184</v>
      </c>
      <c r="J200" s="46"/>
      <c r="K200" s="56"/>
      <c r="L200" s="41" t="b">
        <f t="shared" si="30"/>
        <v>1</v>
      </c>
      <c r="M200" s="42">
        <f>IF(L200, MAX(M$2:M199)+1,"")</f>
        <v>187</v>
      </c>
      <c r="N200" s="46" t="str">
        <f t="shared" si="31"/>
        <v>…</v>
      </c>
      <c r="O200" s="8" t="str" cm="1">
        <f t="array" ref="O200">CharToUTF8(A200)</f>
        <v>\xE2\x80\xA6</v>
      </c>
      <c r="Q200" s="41" t="str">
        <f>$Z$2</f>
        <v>EMPTY</v>
      </c>
      <c r="R200" s="47" t="str">
        <f>$Z$3</f>
        <v>DIAG_BOTH</v>
      </c>
      <c r="S200" s="47" t="str">
        <f>$Z$3</f>
        <v>DIAG_BOTH</v>
      </c>
      <c r="T200" s="44" t="str">
        <f>$Z$2</f>
        <v>EMPTY</v>
      </c>
      <c r="V200" s="54" t="b">
        <f t="shared" si="32"/>
        <v>0</v>
      </c>
      <c r="W200" t="b">
        <f t="shared" si="33"/>
        <v>0</v>
      </c>
      <c r="X200" t="b">
        <f t="shared" si="34"/>
        <v>0</v>
      </c>
      <c r="Z200" s="1"/>
      <c r="AG200" s="82" t="str">
        <f t="shared" si="35"/>
        <v xml:space="preserve">    { 187, 186, 186, 184, wxString::FromUTF8("\xE2\x80\xA6"), Connection::EMPTY, Connection::DIAG_BOTH, Connection::DIAG_BOTH, Connection::EMPTY }</v>
      </c>
      <c r="AH200" s="80"/>
      <c r="AI200" s="80"/>
      <c r="AJ200" s="80"/>
      <c r="AK200" s="80"/>
      <c r="AL200" s="80"/>
      <c r="AM200" s="80"/>
      <c r="AN200" s="80"/>
      <c r="AO200" s="80"/>
      <c r="AP200" s="80"/>
      <c r="AQ200" s="80"/>
      <c r="AR200" s="81"/>
    </row>
    <row r="201" spans="1:44" x14ac:dyDescent="0.4">
      <c r="A201" s="7" t="s">
        <v>195</v>
      </c>
      <c r="B201" s="6" t="str">
        <f t="shared" si="29"/>
        <v>‰</v>
      </c>
      <c r="C201" s="71" cm="1">
        <f t="array" ref="C201">IF($M201&lt;&gt;"",INDEX($M:$M,MATCH(TRUE,EXACT(B201,$A:$A),0)),"")</f>
        <v>188</v>
      </c>
      <c r="D201" s="61" t="s">
        <v>188</v>
      </c>
      <c r="E201" s="71" cm="1">
        <f t="array" ref="E201">IF($M201&lt;&gt;"",INDEX($M:$M,MATCH(TRUE,EXACT(D201,$A:$A),0)),"")</f>
        <v>181</v>
      </c>
      <c r="F201" s="61" t="s">
        <v>189</v>
      </c>
      <c r="G201" s="71" cm="1">
        <f t="array" ref="G201">IF($M201&lt;&gt;"",INDEX($M:$M,MATCH(TRUE,EXACT(F201,$A:$A),0)),"")</f>
        <v>182</v>
      </c>
      <c r="H201" s="61" t="s">
        <v>195</v>
      </c>
      <c r="I201" s="75" cm="1">
        <f t="array" ref="I201">IF($M201&lt;&gt;"",INDEX($M:$M,MATCH(TRUE,EXACT(H201,$A:$A),0)),"")</f>
        <v>188</v>
      </c>
      <c r="J201" s="46"/>
      <c r="K201" s="56"/>
      <c r="L201" s="41" t="b">
        <f t="shared" si="30"/>
        <v>1</v>
      </c>
      <c r="M201" s="42">
        <f>IF(L201, MAX(M$2:M200)+1,"")</f>
        <v>188</v>
      </c>
      <c r="N201" s="46" t="str">
        <f t="shared" si="31"/>
        <v>‰</v>
      </c>
      <c r="O201" s="8" t="str" cm="1">
        <f t="array" ref="O201">CharToUTF8(A201)</f>
        <v>\xE2\x80\xB0</v>
      </c>
      <c r="Q201" s="41" t="str">
        <f>$Z$3</f>
        <v>DIAG_BOTH</v>
      </c>
      <c r="R201" s="47" t="str">
        <f>$Z$2</f>
        <v>EMPTY</v>
      </c>
      <c r="S201" s="47" t="str">
        <f>$Z$2</f>
        <v>EMPTY</v>
      </c>
      <c r="T201" s="44" t="str">
        <f>$Z$2</f>
        <v>EMPTY</v>
      </c>
      <c r="V201" s="54" t="b">
        <f t="shared" si="32"/>
        <v>0</v>
      </c>
      <c r="W201" t="b">
        <f t="shared" si="33"/>
        <v>0</v>
      </c>
      <c r="X201" t="b">
        <f t="shared" si="34"/>
        <v>1</v>
      </c>
      <c r="Z201" s="1"/>
      <c r="AG201" s="82" t="str">
        <f t="shared" si="35"/>
        <v xml:space="preserve">    { 188, 181, 182, 188, wxString::FromUTF8("\xE2\x80\xB0"), Connection::DIAG_BOTH, Connection::EMPTY, Connection::EMPTY, Connection::EMPTY }</v>
      </c>
      <c r="AH201" s="80"/>
      <c r="AI201" s="80"/>
      <c r="AJ201" s="80"/>
      <c r="AK201" s="80"/>
      <c r="AL201" s="80"/>
      <c r="AM201" s="80"/>
      <c r="AN201" s="80"/>
      <c r="AO201" s="80"/>
      <c r="AP201" s="80"/>
      <c r="AQ201" s="80"/>
      <c r="AR201" s="81"/>
    </row>
    <row r="202" spans="1:44" x14ac:dyDescent="0.4">
      <c r="A202" s="7" t="s">
        <v>196</v>
      </c>
      <c r="B202" s="6" t="str">
        <f t="shared" si="29"/>
        <v>‹</v>
      </c>
      <c r="C202" s="71" cm="1">
        <f t="array" ref="C202">IF($M202&lt;&gt;"",INDEX($M:$M,MATCH(TRUE,EXACT(B202,$A:$A),0)),"")</f>
        <v>189</v>
      </c>
      <c r="D202" s="61" t="s">
        <v>195</v>
      </c>
      <c r="E202" s="71" cm="1">
        <f t="array" ref="E202">IF($M202&lt;&gt;"",INDEX($M:$M,MATCH(TRUE,EXACT(D202,$A:$A),0)),"")</f>
        <v>188</v>
      </c>
      <c r="F202" s="61" t="s">
        <v>196</v>
      </c>
      <c r="G202" s="71" cm="1">
        <f t="array" ref="G202">IF($M202&lt;&gt;"",INDEX($M:$M,MATCH(TRUE,EXACT(F202,$A:$A),0)),"")</f>
        <v>189</v>
      </c>
      <c r="H202" s="61" t="s">
        <v>188</v>
      </c>
      <c r="I202" s="75" cm="1">
        <f t="array" ref="I202">IF($M202&lt;&gt;"",INDEX($M:$M,MATCH(TRUE,EXACT(H202,$A:$A),0)),"")</f>
        <v>181</v>
      </c>
      <c r="J202" s="46"/>
      <c r="K202" s="56"/>
      <c r="L202" s="41" t="b">
        <f t="shared" si="30"/>
        <v>1</v>
      </c>
      <c r="M202" s="42">
        <f>IF(L202, MAX(M$2:M201)+1,"")</f>
        <v>189</v>
      </c>
      <c r="N202" s="46" t="str">
        <f t="shared" si="31"/>
        <v>‹</v>
      </c>
      <c r="O202" s="8" t="str" cm="1">
        <f t="array" ref="O202">CharToUTF8(A202)</f>
        <v>\xE2\x80\xB9</v>
      </c>
      <c r="Q202" s="41" t="str">
        <f>$Z$2</f>
        <v>EMPTY</v>
      </c>
      <c r="R202" s="47" t="str">
        <f>$Z$2</f>
        <v>EMPTY</v>
      </c>
      <c r="S202" s="47" t="str">
        <f>$Z$3</f>
        <v>DIAG_BOTH</v>
      </c>
      <c r="T202" s="44" t="str">
        <f>$Z$2</f>
        <v>EMPTY</v>
      </c>
      <c r="V202" s="54" t="b">
        <f t="shared" si="32"/>
        <v>0</v>
      </c>
      <c r="W202" t="b">
        <f t="shared" si="33"/>
        <v>1</v>
      </c>
      <c r="X202" t="b">
        <f t="shared" si="34"/>
        <v>0</v>
      </c>
      <c r="Z202" s="1"/>
      <c r="AG202" s="82" t="str">
        <f t="shared" si="35"/>
        <v xml:space="preserve">    { 189, 188, 189, 181, wxString::FromUTF8("\xE2\x80\xB9"), Connection::EMPTY, Connection::EMPTY, Connection::DIAG_BOTH, Connection::EMPTY }</v>
      </c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1"/>
    </row>
    <row r="203" spans="1:44" x14ac:dyDescent="0.4">
      <c r="Z203" s="1"/>
    </row>
    <row r="204" spans="1:44" x14ac:dyDescent="0.4">
      <c r="Z204" s="1"/>
    </row>
    <row r="205" spans="1:44" x14ac:dyDescent="0.4">
      <c r="Z205" s="1"/>
    </row>
    <row r="206" spans="1:44" x14ac:dyDescent="0.4">
      <c r="Z206" s="1"/>
    </row>
  </sheetData>
  <autoFilter ref="Q1:X202" xr:uid="{5830F797-49A0-4183-ABF6-6E6516163AA1}"/>
  <mergeCells count="203">
    <mergeCell ref="AG2:AR2"/>
    <mergeCell ref="Z12:AE85"/>
    <mergeCell ref="AG17:AR17"/>
    <mergeCell ref="AG18:AR18"/>
    <mergeCell ref="AG19:AR19"/>
    <mergeCell ref="AG20:AR20"/>
    <mergeCell ref="AG21:AR21"/>
    <mergeCell ref="AG3:AR3"/>
    <mergeCell ref="AG4:AR4"/>
    <mergeCell ref="AG5:AR5"/>
    <mergeCell ref="AG6:AR6"/>
    <mergeCell ref="AG7:AR7"/>
    <mergeCell ref="AG8:AR8"/>
    <mergeCell ref="AG9:AR9"/>
    <mergeCell ref="AG10:AR10"/>
    <mergeCell ref="AG11:AR11"/>
    <mergeCell ref="AG12:AR12"/>
    <mergeCell ref="AG13:AR13"/>
    <mergeCell ref="AG14:AR14"/>
    <mergeCell ref="AG15:AR15"/>
    <mergeCell ref="AG32:AR32"/>
    <mergeCell ref="AG33:AR33"/>
    <mergeCell ref="AG34:AR34"/>
    <mergeCell ref="AG35:AR35"/>
    <mergeCell ref="AG36:AR36"/>
    <mergeCell ref="AG16:AR16"/>
    <mergeCell ref="AG27:AR27"/>
    <mergeCell ref="AG28:AR28"/>
    <mergeCell ref="AG29:AR29"/>
    <mergeCell ref="AG30:AR30"/>
    <mergeCell ref="AG31:AR31"/>
    <mergeCell ref="AG22:AR22"/>
    <mergeCell ref="AG23:AR23"/>
    <mergeCell ref="AG24:AR24"/>
    <mergeCell ref="AG25:AR25"/>
    <mergeCell ref="AG26:AR26"/>
    <mergeCell ref="AG42:AR42"/>
    <mergeCell ref="AG43:AR43"/>
    <mergeCell ref="AG44:AR44"/>
    <mergeCell ref="AG45:AR45"/>
    <mergeCell ref="AG46:AR46"/>
    <mergeCell ref="AG37:AR37"/>
    <mergeCell ref="AG38:AR38"/>
    <mergeCell ref="AG39:AR39"/>
    <mergeCell ref="AG40:AR40"/>
    <mergeCell ref="AG41:AR41"/>
    <mergeCell ref="AG52:AR52"/>
    <mergeCell ref="AG53:AR53"/>
    <mergeCell ref="AG54:AR54"/>
    <mergeCell ref="AG55:AR55"/>
    <mergeCell ref="AG56:AR56"/>
    <mergeCell ref="AG47:AR47"/>
    <mergeCell ref="AG48:AR48"/>
    <mergeCell ref="AG49:AR49"/>
    <mergeCell ref="AG50:AR50"/>
    <mergeCell ref="AG51:AR51"/>
    <mergeCell ref="AG62:AR62"/>
    <mergeCell ref="AG63:AR63"/>
    <mergeCell ref="AG64:AR64"/>
    <mergeCell ref="AG65:AR65"/>
    <mergeCell ref="AG66:AR66"/>
    <mergeCell ref="AG57:AR57"/>
    <mergeCell ref="AG58:AR58"/>
    <mergeCell ref="AG59:AR59"/>
    <mergeCell ref="AG60:AR60"/>
    <mergeCell ref="AG61:AR61"/>
    <mergeCell ref="AG72:AR72"/>
    <mergeCell ref="AG73:AR73"/>
    <mergeCell ref="AG74:AR74"/>
    <mergeCell ref="AG75:AR75"/>
    <mergeCell ref="AG76:AR76"/>
    <mergeCell ref="AG67:AR67"/>
    <mergeCell ref="AG68:AR68"/>
    <mergeCell ref="AG69:AR69"/>
    <mergeCell ref="AG70:AR70"/>
    <mergeCell ref="AG71:AR71"/>
    <mergeCell ref="AG82:AR82"/>
    <mergeCell ref="AG83:AR83"/>
    <mergeCell ref="AG84:AR84"/>
    <mergeCell ref="AG85:AR85"/>
    <mergeCell ref="AG86:AR86"/>
    <mergeCell ref="AG77:AR77"/>
    <mergeCell ref="AG78:AR78"/>
    <mergeCell ref="AG79:AR79"/>
    <mergeCell ref="AG80:AR80"/>
    <mergeCell ref="AG81:AR81"/>
    <mergeCell ref="AG92:AR92"/>
    <mergeCell ref="AG93:AR93"/>
    <mergeCell ref="AG94:AR94"/>
    <mergeCell ref="AG95:AR95"/>
    <mergeCell ref="AG96:AR96"/>
    <mergeCell ref="AG87:AR87"/>
    <mergeCell ref="AG88:AR88"/>
    <mergeCell ref="AG89:AR89"/>
    <mergeCell ref="AG90:AR90"/>
    <mergeCell ref="AG91:AR91"/>
    <mergeCell ref="AG102:AR102"/>
    <mergeCell ref="AG103:AR103"/>
    <mergeCell ref="AG104:AR104"/>
    <mergeCell ref="AG105:AR105"/>
    <mergeCell ref="AG106:AR106"/>
    <mergeCell ref="AG97:AR97"/>
    <mergeCell ref="AG98:AR98"/>
    <mergeCell ref="AG99:AR99"/>
    <mergeCell ref="AG100:AR100"/>
    <mergeCell ref="AG101:AR101"/>
    <mergeCell ref="AG112:AR112"/>
    <mergeCell ref="AG113:AR113"/>
    <mergeCell ref="AG114:AR114"/>
    <mergeCell ref="AG115:AR115"/>
    <mergeCell ref="AG116:AR116"/>
    <mergeCell ref="AG107:AR107"/>
    <mergeCell ref="AG108:AR108"/>
    <mergeCell ref="AG109:AR109"/>
    <mergeCell ref="AG110:AR110"/>
    <mergeCell ref="AG111:AR111"/>
    <mergeCell ref="AG122:AR122"/>
    <mergeCell ref="AG123:AR123"/>
    <mergeCell ref="AG124:AR124"/>
    <mergeCell ref="AG125:AR125"/>
    <mergeCell ref="AG126:AR126"/>
    <mergeCell ref="AG117:AR117"/>
    <mergeCell ref="AG118:AR118"/>
    <mergeCell ref="AG119:AR119"/>
    <mergeCell ref="AG120:AR120"/>
    <mergeCell ref="AG121:AR121"/>
    <mergeCell ref="AG132:AR132"/>
    <mergeCell ref="AG133:AR133"/>
    <mergeCell ref="AG134:AR134"/>
    <mergeCell ref="AG135:AR135"/>
    <mergeCell ref="AG136:AR136"/>
    <mergeCell ref="AG127:AR127"/>
    <mergeCell ref="AG128:AR128"/>
    <mergeCell ref="AG129:AR129"/>
    <mergeCell ref="AG130:AR130"/>
    <mergeCell ref="AG131:AR131"/>
    <mergeCell ref="AG142:AR142"/>
    <mergeCell ref="AG143:AR143"/>
    <mergeCell ref="AG144:AR144"/>
    <mergeCell ref="AG145:AR145"/>
    <mergeCell ref="AG146:AR146"/>
    <mergeCell ref="AG137:AR137"/>
    <mergeCell ref="AG138:AR138"/>
    <mergeCell ref="AG139:AR139"/>
    <mergeCell ref="AG140:AR140"/>
    <mergeCell ref="AG141:AR141"/>
    <mergeCell ref="AG152:AR152"/>
    <mergeCell ref="AG153:AR153"/>
    <mergeCell ref="AG154:AR154"/>
    <mergeCell ref="AG155:AR155"/>
    <mergeCell ref="AG156:AR156"/>
    <mergeCell ref="AG147:AR147"/>
    <mergeCell ref="AG148:AR148"/>
    <mergeCell ref="AG149:AR149"/>
    <mergeCell ref="AG150:AR150"/>
    <mergeCell ref="AG151:AR151"/>
    <mergeCell ref="AG162:AR162"/>
    <mergeCell ref="AG163:AR163"/>
    <mergeCell ref="AG164:AR164"/>
    <mergeCell ref="AG165:AR165"/>
    <mergeCell ref="AG166:AR166"/>
    <mergeCell ref="AG157:AR157"/>
    <mergeCell ref="AG158:AR158"/>
    <mergeCell ref="AG159:AR159"/>
    <mergeCell ref="AG160:AR160"/>
    <mergeCell ref="AG161:AR161"/>
    <mergeCell ref="AG179:AR179"/>
    <mergeCell ref="AG180:AR180"/>
    <mergeCell ref="AG181:AR181"/>
    <mergeCell ref="AG172:AR172"/>
    <mergeCell ref="AG173:AR173"/>
    <mergeCell ref="AG174:AR174"/>
    <mergeCell ref="AG175:AR175"/>
    <mergeCell ref="AG176:AR176"/>
    <mergeCell ref="AG167:AR167"/>
    <mergeCell ref="AG168:AR168"/>
    <mergeCell ref="AG169:AR169"/>
    <mergeCell ref="AG170:AR170"/>
    <mergeCell ref="AG171:AR171"/>
    <mergeCell ref="AG1:AR1"/>
    <mergeCell ref="AG202:AR202"/>
    <mergeCell ref="AG197:AR197"/>
    <mergeCell ref="AG198:AR198"/>
    <mergeCell ref="AG199:AR199"/>
    <mergeCell ref="AG200:AR200"/>
    <mergeCell ref="AG201:AR201"/>
    <mergeCell ref="AG192:AR192"/>
    <mergeCell ref="AG193:AR193"/>
    <mergeCell ref="AG194:AR194"/>
    <mergeCell ref="AG195:AR195"/>
    <mergeCell ref="AG196:AR196"/>
    <mergeCell ref="AG187:AR187"/>
    <mergeCell ref="AG188:AR188"/>
    <mergeCell ref="AG189:AR189"/>
    <mergeCell ref="AG190:AR190"/>
    <mergeCell ref="AG191:AR191"/>
    <mergeCell ref="AG182:AR182"/>
    <mergeCell ref="AG183:AR183"/>
    <mergeCell ref="AG184:AR184"/>
    <mergeCell ref="AG185:AR185"/>
    <mergeCell ref="AG186:AR186"/>
    <mergeCell ref="AG177:AR177"/>
    <mergeCell ref="AG178:AR178"/>
  </mergeCells>
  <phoneticPr fontId="5" type="noConversion"/>
  <conditionalFormatting sqref="AS2:XFD20">
    <cfRule type="expression" dxfId="5" priority="88">
      <formula>$L3=FALSE</formula>
    </cfRule>
  </conditionalFormatting>
  <conditionalFormatting sqref="AG2:AR202">
    <cfRule type="expression" dxfId="4" priority="4">
      <formula>$L2=FALSE</formula>
    </cfRule>
  </conditionalFormatting>
  <conditionalFormatting sqref="Z12">
    <cfRule type="expression" dxfId="3" priority="90">
      <formula>$L22=FALSE</formula>
    </cfRule>
  </conditionalFormatting>
  <conditionalFormatting sqref="Z12">
    <cfRule type="expression" dxfId="2" priority="92">
      <formula>$L32=FALSE</formula>
    </cfRule>
  </conditionalFormatting>
  <conditionalFormatting sqref="Z22:AE85">
    <cfRule type="expression" dxfId="1" priority="94">
      <formula>$L118=FALSE</formula>
    </cfRule>
  </conditionalFormatting>
  <conditionalFormatting sqref="A2:XFD202">
    <cfRule type="expression" dxfId="0" priority="1">
      <formula>$L2=FALSE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19" customWidth="1"/>
    <col min="16" max="20" width="35.28515625" customWidth="1"/>
  </cols>
  <sheetData>
    <row r="1" spans="1:20" s="15" customFormat="1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"wxString regular ["&amp;$H$1&amp;"] = {"</f>
        <v>wxString regular [190] = {</v>
      </c>
      <c r="K1" s="18" t="str">
        <f>"wxString rotated ["&amp;$H$1&amp;"] = {"</f>
        <v>wxString rotated [190] = {</v>
      </c>
      <c r="L1" s="18" t="str">
        <f>"wxString horiRef ["&amp;$H$1&amp;"] = {"</f>
        <v>wxString horiRef [190] = {</v>
      </c>
      <c r="M1" s="18" t="str">
        <f>"wxString vertRef ["&amp;$H$1&amp;"] = {"</f>
        <v>wxString vertRef [190] = {</v>
      </c>
      <c r="N1" s="18" t="str">
        <f>"short connection ["&amp;$H$1&amp;"][4] = {"</f>
        <v>short connection [190][4] = {</v>
      </c>
    </row>
    <row r="2" spans="1:20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IF(B2&lt;&gt;"","conv("""&amp;B2&amp;""")","")</f>
        <v>#REF!</v>
      </c>
      <c r="L2" s="19" t="e">
        <f>IF(C2&lt;&gt;"","conv("""&amp;C2&amp;""")","")</f>
        <v>#REF!</v>
      </c>
      <c r="M2" s="19" t="e">
        <f>IF(D2&lt;&gt;"","conv("""&amp;D2&amp;""")","")</f>
        <v>#REF!</v>
      </c>
      <c r="N2" s="19" t="str">
        <f>IF(E2&lt;&gt;"","{"&amp;E2&amp;"}","")</f>
        <v>{EMPTY, EMPTY, EMPTY, EMPTY}</v>
      </c>
      <c r="P2" s="85" t="e">
        <f>"const "&amp;J1&amp;_xlfn.TEXTJOIN(", ",TRUE,J2:J202)&amp;"};"</f>
        <v>#REF!</v>
      </c>
      <c r="Q2" s="85" t="e">
        <f t="shared" ref="Q2:S2" si="0">"const "&amp;K1&amp;_xlfn.TEXTJOIN(", ",TRUE,K2:K202)&amp;"};"</f>
        <v>#REF!</v>
      </c>
      <c r="R2" s="85" t="e">
        <f t="shared" si="0"/>
        <v>#REF!</v>
      </c>
      <c r="S2" s="85" t="e">
        <f t="shared" si="0"/>
        <v>#REF!</v>
      </c>
      <c r="T2" s="85" t="str">
        <f>"const "&amp;N1&amp;_xlfn.TEXTJOIN(", ",TRUE,N2:N202)&amp;"};"</f>
        <v>const short connection [190][4]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" spans="1:20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 t="shared" ref="K3:K66" si="2">IF(B3&lt;&gt;"","conv("""&amp;B3&amp;""")","")</f>
        <v>#REF!</v>
      </c>
      <c r="L3" s="19" t="e">
        <f t="shared" ref="L3:L66" si="3">IF(C3&lt;&gt;"","conv("""&amp;C3&amp;""")","")</f>
        <v>#REF!</v>
      </c>
      <c r="M3" s="19" t="e">
        <f t="shared" ref="M3:M66" si="4">IF(D3&lt;&gt;"","conv("""&amp;D3&amp;""")","")</f>
        <v>#REF!</v>
      </c>
      <c r="N3" s="19" t="str">
        <f t="shared" ref="N3:N66" si="5">IF(E3&lt;&gt;"","{"&amp;E3&amp;"}","")</f>
        <v>{EMPTY, EMPTY, ORTHO_BOTH, ORTHO_BOTH}</v>
      </c>
      <c r="P3" s="85"/>
      <c r="Q3" s="85"/>
      <c r="R3" s="85"/>
      <c r="S3" s="85"/>
      <c r="T3" s="85"/>
    </row>
    <row r="4" spans="1:20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 t="shared" si="2"/>
        <v>#REF!</v>
      </c>
      <c r="L4" s="19" t="e">
        <f t="shared" si="3"/>
        <v>#REF!</v>
      </c>
      <c r="M4" s="19" t="e">
        <f t="shared" si="4"/>
        <v>#REF!</v>
      </c>
      <c r="N4" s="19" t="str">
        <f t="shared" si="5"/>
        <v>{ORTHO_BOTH, ORTHO_BOTH, ORTHO_BOTH, ORTHO_BOTH}</v>
      </c>
      <c r="P4" s="85"/>
      <c r="Q4" s="85"/>
      <c r="R4" s="85"/>
      <c r="S4" s="85"/>
      <c r="T4" s="85"/>
    </row>
    <row r="5" spans="1:20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 t="shared" si="2"/>
        <v>#REF!</v>
      </c>
      <c r="L5" s="19" t="e">
        <f t="shared" si="3"/>
        <v>#REF!</v>
      </c>
      <c r="M5" s="19" t="e">
        <f t="shared" si="4"/>
        <v>#REF!</v>
      </c>
      <c r="N5" s="19" t="str">
        <f t="shared" si="5"/>
        <v>{EMPTY, EMPTY, ORTHO_BOTH, ORTHO_BOTH}</v>
      </c>
      <c r="P5" s="85"/>
      <c r="Q5" s="85"/>
      <c r="R5" s="85"/>
      <c r="S5" s="85"/>
      <c r="T5" s="85"/>
    </row>
    <row r="6" spans="1:20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 t="shared" si="2"/>
        <v>#REF!</v>
      </c>
      <c r="L6" s="19" t="e">
        <f t="shared" si="3"/>
        <v>#REF!</v>
      </c>
      <c r="M6" s="19" t="e">
        <f t="shared" si="4"/>
        <v>#REF!</v>
      </c>
      <c r="N6" s="19" t="str">
        <f t="shared" si="5"/>
        <v>{EMPTY, ORTHO_BOTH, EMPTY, EMPTY}</v>
      </c>
      <c r="P6" s="85"/>
      <c r="Q6" s="85"/>
      <c r="R6" s="85"/>
      <c r="S6" s="85"/>
      <c r="T6" s="85"/>
    </row>
    <row r="7" spans="1:20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 t="shared" si="2"/>
        <v>#REF!</v>
      </c>
      <c r="L7" s="19" t="e">
        <f t="shared" si="3"/>
        <v>#REF!</v>
      </c>
      <c r="M7" s="19" t="e">
        <f t="shared" si="4"/>
        <v>#REF!</v>
      </c>
      <c r="N7" s="19" t="str">
        <f t="shared" si="5"/>
        <v>{EMPTY, DIAG_BOTH, ORTHO_BOTH, ORTHO_BOTH}</v>
      </c>
      <c r="P7" s="85"/>
      <c r="Q7" s="85"/>
      <c r="R7" s="85"/>
      <c r="S7" s="85"/>
      <c r="T7" s="85"/>
    </row>
    <row r="8" spans="1:20" ht="30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 t="shared" si="2"/>
        <v>#REF!</v>
      </c>
      <c r="L8" s="19" t="e">
        <f t="shared" si="3"/>
        <v>#REF!</v>
      </c>
      <c r="M8" s="19" t="e">
        <f t="shared" si="4"/>
        <v>#REF!</v>
      </c>
      <c r="N8" s="19" t="str">
        <f t="shared" si="5"/>
        <v>{DIAG_BOTH, ORTHO_BOTH, EMPTY, ORTHO_BOTH}</v>
      </c>
      <c r="P8" s="85"/>
      <c r="Q8" s="85"/>
      <c r="R8" s="85"/>
      <c r="S8" s="85"/>
      <c r="T8" s="85"/>
    </row>
    <row r="9" spans="1:20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 t="shared" si="2"/>
        <v>#REF!</v>
      </c>
      <c r="L9" s="19" t="e">
        <f t="shared" si="3"/>
        <v>#REF!</v>
      </c>
      <c r="M9" s="19" t="e">
        <f t="shared" si="4"/>
        <v>#REF!</v>
      </c>
      <c r="N9" s="19" t="str">
        <f t="shared" si="5"/>
        <v>{DIAG_BOTH, DIAG_BOTH, DIAG_BOTH, DIAG_BOTH}</v>
      </c>
      <c r="P9" s="85"/>
      <c r="Q9" s="85"/>
      <c r="R9" s="85"/>
      <c r="S9" s="85"/>
      <c r="T9" s="85"/>
    </row>
    <row r="10" spans="1:20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 t="shared" si="2"/>
        <v>#REF!</v>
      </c>
      <c r="L10" s="19" t="e">
        <f t="shared" si="3"/>
        <v>#REF!</v>
      </c>
      <c r="M10" s="19" t="e">
        <f t="shared" si="4"/>
        <v>#REF!</v>
      </c>
      <c r="N10" s="19" t="str">
        <f t="shared" si="5"/>
        <v>{EMPTY, ORTHO_BOTH, EMPTY, ORTHO_BOTH}</v>
      </c>
      <c r="P10" s="85"/>
      <c r="Q10" s="85"/>
      <c r="R10" s="85"/>
      <c r="S10" s="85"/>
      <c r="T10" s="85"/>
    </row>
    <row r="11" spans="1:20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 t="shared" si="2"/>
        <v>#REF!</v>
      </c>
      <c r="L11" s="19" t="e">
        <f t="shared" si="3"/>
        <v>#REF!</v>
      </c>
      <c r="M11" s="19" t="e">
        <f t="shared" si="4"/>
        <v>#REF!</v>
      </c>
      <c r="N11" s="19" t="str">
        <f t="shared" si="5"/>
        <v>{EMPTY, ORTHO_BOTH, ORTHO_BOTH, EMPTY}</v>
      </c>
      <c r="P11" s="85"/>
      <c r="Q11" s="85"/>
      <c r="R11" s="85"/>
      <c r="S11" s="85"/>
      <c r="T11" s="85"/>
    </row>
    <row r="12" spans="1:20" ht="30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 t="shared" si="2"/>
        <v>#REF!</v>
      </c>
      <c r="L12" s="19" t="e">
        <f t="shared" si="3"/>
        <v>#REF!</v>
      </c>
      <c r="M12" s="19" t="e">
        <f t="shared" si="4"/>
        <v>#REF!</v>
      </c>
      <c r="N12" s="19" t="str">
        <f t="shared" si="5"/>
        <v>{DIAG_BOTH, ORTHO_BOTH, ORTHO_BOTH, EMPTY}</v>
      </c>
      <c r="P12" s="85"/>
      <c r="Q12" s="85"/>
      <c r="R12" s="85"/>
      <c r="S12" s="85"/>
      <c r="T12" s="85"/>
    </row>
    <row r="13" spans="1:20" ht="3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 t="shared" si="2"/>
        <v>#REF!</v>
      </c>
      <c r="L13" s="19" t="e">
        <f t="shared" si="3"/>
        <v>#REF!</v>
      </c>
      <c r="M13" s="19" t="e">
        <f t="shared" si="4"/>
        <v>#REF!</v>
      </c>
      <c r="N13" s="19" t="str">
        <f t="shared" si="5"/>
        <v>{DIAG_BOTH, ORTHO_BOTH, ORTHO_BOTH, DIAG_BOTH}</v>
      </c>
      <c r="P13" s="85"/>
      <c r="Q13" s="85"/>
      <c r="R13" s="85"/>
      <c r="S13" s="85"/>
      <c r="T13" s="85"/>
    </row>
    <row r="14" spans="1:20" ht="30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 t="shared" si="2"/>
        <v>#REF!</v>
      </c>
      <c r="L14" s="19" t="e">
        <f t="shared" si="3"/>
        <v>#REF!</v>
      </c>
      <c r="M14" s="19" t="e">
        <f t="shared" si="4"/>
        <v>#REF!</v>
      </c>
      <c r="N14" s="19" t="str">
        <f t="shared" si="5"/>
        <v>{DIAG_BOTH, EMPTY, ORTHO_BOTH, DIAG_BOTH}</v>
      </c>
      <c r="P14" s="85"/>
      <c r="Q14" s="85"/>
      <c r="R14" s="85"/>
      <c r="S14" s="85"/>
      <c r="T14" s="85"/>
    </row>
    <row r="15" spans="1:20" ht="30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 t="shared" si="2"/>
        <v>#REF!</v>
      </c>
      <c r="L15" s="19" t="e">
        <f t="shared" si="3"/>
        <v>#REF!</v>
      </c>
      <c r="M15" s="19" t="e">
        <f t="shared" si="4"/>
        <v>#REF!</v>
      </c>
      <c r="N15" s="19" t="str">
        <f t="shared" si="5"/>
        <v>{DIAG_BOTH, ORTHO_BOTH, EMPTY, EMPTY}</v>
      </c>
      <c r="P15" s="85"/>
      <c r="Q15" s="85"/>
      <c r="R15" s="85"/>
      <c r="S15" s="85"/>
      <c r="T15" s="85"/>
    </row>
    <row r="16" spans="1:20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 t="shared" si="2"/>
        <v>#REF!</v>
      </c>
      <c r="L16" s="19" t="e">
        <f t="shared" si="3"/>
        <v>#REF!</v>
      </c>
      <c r="M16" s="19" t="e">
        <f t="shared" si="4"/>
        <v>#REF!</v>
      </c>
      <c r="N16" s="19" t="str">
        <f t="shared" si="5"/>
        <v>{DIAG_BOTH, EMPTY, EMPTY, ORTHO_BOTH}</v>
      </c>
      <c r="P16" s="85"/>
      <c r="Q16" s="85"/>
      <c r="R16" s="85"/>
      <c r="S16" s="85"/>
      <c r="T16" s="85"/>
    </row>
    <row r="17" spans="1:20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 t="shared" si="2"/>
        <v>#REF!</v>
      </c>
      <c r="L17" s="19" t="e">
        <f t="shared" si="3"/>
        <v>#REF!</v>
      </c>
      <c r="M17" s="19" t="e">
        <f t="shared" si="4"/>
        <v>#REF!</v>
      </c>
      <c r="N17" s="19" t="str">
        <f t="shared" si="5"/>
        <v>{DIAG_BOTH, EMPTY, ORTHO_BOTH, EMPTY}</v>
      </c>
      <c r="P17" s="85"/>
      <c r="Q17" s="85"/>
      <c r="R17" s="85"/>
      <c r="S17" s="85"/>
      <c r="T17" s="85"/>
    </row>
    <row r="18" spans="1:20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 t="shared" si="2"/>
        <v>#REF!</v>
      </c>
      <c r="L18" s="19" t="e">
        <f t="shared" si="3"/>
        <v>#REF!</v>
      </c>
      <c r="M18" s="19" t="e">
        <f t="shared" si="4"/>
        <v>#REF!</v>
      </c>
      <c r="N18" s="19" t="str">
        <f t="shared" si="5"/>
        <v>{EMPTY, ORTHO_BOTH, DIAG_BOTH, EMPTY}</v>
      </c>
      <c r="P18" s="85"/>
      <c r="Q18" s="85"/>
      <c r="R18" s="85"/>
      <c r="S18" s="85"/>
      <c r="T18" s="85"/>
    </row>
    <row r="19" spans="1:20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 t="shared" si="2"/>
        <v>#REF!</v>
      </c>
      <c r="L19" s="19" t="e">
        <f t="shared" si="3"/>
        <v>#REF!</v>
      </c>
      <c r="M19" s="19" t="e">
        <f t="shared" si="4"/>
        <v>#REF!</v>
      </c>
      <c r="N19" s="19" t="str">
        <f t="shared" si="5"/>
        <v>{EMPTY, EMPTY, DIAG_BOTH, DIAG_BOTH}</v>
      </c>
      <c r="P19" s="85"/>
      <c r="Q19" s="85"/>
      <c r="R19" s="85"/>
      <c r="S19" s="85"/>
      <c r="T19" s="85"/>
    </row>
    <row r="20" spans="1:20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 t="shared" si="2"/>
        <v>#REF!</v>
      </c>
      <c r="L20" s="19" t="e">
        <f t="shared" si="3"/>
        <v>#REF!</v>
      </c>
      <c r="M20" s="19" t="e">
        <f t="shared" si="4"/>
        <v>#REF!</v>
      </c>
      <c r="N20" s="19" t="str">
        <f t="shared" si="5"/>
        <v>{ORTHO_BOTH, ORTHO_BOTH, DIAG_BOTH, DIAG_BOTH}</v>
      </c>
      <c r="P20" s="85"/>
      <c r="Q20" s="85"/>
      <c r="R20" s="85"/>
      <c r="S20" s="85"/>
      <c r="T20" s="85"/>
    </row>
    <row r="21" spans="1:20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 t="shared" si="2"/>
        <v>#REF!</v>
      </c>
      <c r="L21" s="19" t="e">
        <f t="shared" si="3"/>
        <v>#REF!</v>
      </c>
      <c r="M21" s="19" t="e">
        <f t="shared" si="4"/>
        <v>#REF!</v>
      </c>
      <c r="N21" s="19" t="str">
        <f t="shared" si="5"/>
        <v>{DIAG_BOTH, DIAG_BOTH, ORTHO_BOTH, ORTHO_BOTH}</v>
      </c>
      <c r="P21" s="85"/>
      <c r="Q21" s="85"/>
      <c r="R21" s="85"/>
      <c r="S21" s="85"/>
      <c r="T21" s="85"/>
    </row>
    <row r="22" spans="1:20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 t="shared" si="2"/>
        <v>#REF!</v>
      </c>
      <c r="L22" s="19" t="e">
        <f t="shared" si="3"/>
        <v>#REF!</v>
      </c>
      <c r="M22" s="19" t="e">
        <f t="shared" si="4"/>
        <v>#REF!</v>
      </c>
      <c r="N22" s="19" t="str">
        <f t="shared" si="5"/>
        <v>{EMPTY, DIAG_BOTH, EMPTY, EMPTY}</v>
      </c>
      <c r="P22" s="85"/>
      <c r="Q22" s="85"/>
      <c r="R22" s="85"/>
      <c r="S22" s="85"/>
      <c r="T22" s="85"/>
    </row>
    <row r="23" spans="1:20" ht="30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 t="shared" si="2"/>
        <v>#REF!</v>
      </c>
      <c r="L23" s="19" t="e">
        <f t="shared" si="3"/>
        <v>#REF!</v>
      </c>
      <c r="M23" s="19" t="e">
        <f t="shared" si="4"/>
        <v>#REF!</v>
      </c>
      <c r="N23" s="19" t="str">
        <f t="shared" si="5"/>
        <v>{DIAG_BOTH, ORTHO_BOTH, DIAG_BOTH, DIAG_BOTH}</v>
      </c>
      <c r="P23" s="85"/>
      <c r="Q23" s="85"/>
      <c r="R23" s="85"/>
      <c r="S23" s="85"/>
      <c r="T23" s="85"/>
    </row>
    <row r="24" spans="1:20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 t="shared" si="2"/>
        <v>#REF!</v>
      </c>
      <c r="L24" s="19" t="e">
        <f t="shared" si="3"/>
        <v>#REF!</v>
      </c>
      <c r="M24" s="19" t="e">
        <f t="shared" si="4"/>
        <v>#REF!</v>
      </c>
      <c r="N24" s="19" t="str">
        <f t="shared" si="5"/>
        <v>{EMPTY, ORTHO_BOTH, DIAG_BOTH, DIAG_BOTH}</v>
      </c>
      <c r="P24" s="85"/>
      <c r="Q24" s="85"/>
      <c r="R24" s="85"/>
      <c r="S24" s="85"/>
      <c r="T24" s="85"/>
    </row>
    <row r="25" spans="1:20" ht="30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 t="shared" si="2"/>
        <v>#REF!</v>
      </c>
      <c r="L25" s="19" t="e">
        <f t="shared" si="3"/>
        <v>#REF!</v>
      </c>
      <c r="M25" s="19" t="e">
        <f t="shared" si="4"/>
        <v>#REF!</v>
      </c>
      <c r="N25" s="19" t="str">
        <f t="shared" si="5"/>
        <v>{DIAG_BOTH, ORTHO_BOTH, EMPTY, DIAG_BOTH}</v>
      </c>
      <c r="P25" s="85"/>
      <c r="Q25" s="85"/>
      <c r="R25" s="85"/>
      <c r="S25" s="85"/>
      <c r="T25" s="85"/>
    </row>
    <row r="26" spans="1:20" ht="30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 t="shared" si="2"/>
        <v>#REF!</v>
      </c>
      <c r="L26" s="19" t="e">
        <f t="shared" si="3"/>
        <v>#REF!</v>
      </c>
      <c r="M26" s="19" t="e">
        <f t="shared" si="4"/>
        <v>#REF!</v>
      </c>
      <c r="N26" s="19" t="str">
        <f t="shared" si="5"/>
        <v>{DIAG_BOTH, ORTHO_BOTH, DIAG_BOTH, EMPTY}</v>
      </c>
      <c r="P26" s="85"/>
      <c r="Q26" s="85"/>
      <c r="R26" s="85"/>
      <c r="S26" s="85"/>
      <c r="T26" s="85"/>
    </row>
    <row r="27" spans="1:20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 t="shared" si="2"/>
        <v>#REF!</v>
      </c>
      <c r="L27" s="19" t="e">
        <f t="shared" si="3"/>
        <v>#REF!</v>
      </c>
      <c r="M27" s="19" t="e">
        <f t="shared" si="4"/>
        <v>#REF!</v>
      </c>
      <c r="N27" s="19" t="str">
        <f t="shared" si="5"/>
        <v>{EMPTY, ORTHO_BOTH, EMPTY, DIAG_BOTH}</v>
      </c>
      <c r="P27" s="85"/>
      <c r="Q27" s="85"/>
      <c r="R27" s="85"/>
      <c r="S27" s="85"/>
      <c r="T27" s="85"/>
    </row>
    <row r="28" spans="1:20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 t="shared" si="2"/>
        <v>#REF!</v>
      </c>
      <c r="L28" s="19" t="e">
        <f t="shared" si="3"/>
        <v>#REF!</v>
      </c>
      <c r="M28" s="19" t="e">
        <f t="shared" si="4"/>
        <v>#REF!</v>
      </c>
      <c r="N28" s="19" t="str">
        <f t="shared" si="5"/>
        <v>{EMPTY, ORTHO_BOTH, ORTHO_BOTH, EMPTY}</v>
      </c>
      <c r="P28" s="85"/>
      <c r="Q28" s="85"/>
      <c r="R28" s="85"/>
      <c r="S28" s="85"/>
      <c r="T28" s="85"/>
    </row>
    <row r="29" spans="1:20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 t="shared" si="2"/>
        <v>#REF!</v>
      </c>
      <c r="L29" s="19" t="e">
        <f t="shared" si="3"/>
        <v>#REF!</v>
      </c>
      <c r="M29" s="19" t="e">
        <f t="shared" si="4"/>
        <v>#REF!</v>
      </c>
      <c r="N29" s="19" t="str">
        <f t="shared" si="5"/>
        <v>{EMPTY, DIAG_BOTH, ORTHO_BOTH, EMPTY}</v>
      </c>
      <c r="P29" s="85"/>
      <c r="Q29" s="85"/>
      <c r="R29" s="85"/>
      <c r="S29" s="85"/>
      <c r="T29" s="85"/>
    </row>
    <row r="30" spans="1:20" ht="30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 t="shared" si="2"/>
        <v>#REF!</v>
      </c>
      <c r="L30" s="19" t="e">
        <f t="shared" si="3"/>
        <v>#REF!</v>
      </c>
      <c r="M30" s="19" t="e">
        <f t="shared" si="4"/>
        <v>#REF!</v>
      </c>
      <c r="N30" s="19" t="str">
        <f t="shared" si="5"/>
        <v>{ORTHO_BOTH, EMPTY, ORTHO_BOTH, DIAG_BOTH}</v>
      </c>
      <c r="P30" s="85"/>
      <c r="Q30" s="85"/>
      <c r="R30" s="85"/>
      <c r="S30" s="85"/>
      <c r="T30" s="85"/>
    </row>
    <row r="31" spans="1:20" ht="30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 t="shared" si="2"/>
        <v>#REF!</v>
      </c>
      <c r="L31" s="19" t="e">
        <f t="shared" si="3"/>
        <v>#REF!</v>
      </c>
      <c r="M31" s="19" t="e">
        <f t="shared" si="4"/>
        <v>#REF!</v>
      </c>
      <c r="N31" s="19" t="str">
        <f t="shared" si="5"/>
        <v>{ORTHO_BOTH, DIAG_BOTH, EMPTY, EMPTY}</v>
      </c>
      <c r="P31" s="85"/>
      <c r="Q31" s="85"/>
      <c r="R31" s="85"/>
      <c r="S31" s="85"/>
      <c r="T31" s="85"/>
    </row>
    <row r="32" spans="1:20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 t="shared" si="2"/>
        <v>#REF!</v>
      </c>
      <c r="L32" s="19" t="e">
        <f t="shared" si="3"/>
        <v>#REF!</v>
      </c>
      <c r="M32" s="19" t="e">
        <f t="shared" si="4"/>
        <v>#REF!</v>
      </c>
      <c r="N32" s="19" t="str">
        <f t="shared" si="5"/>
        <v>{ORTHO_BOTH, EMPTY, EMPTY, ORTHO_BOTH}</v>
      </c>
      <c r="P32" s="85"/>
      <c r="Q32" s="85"/>
      <c r="R32" s="85"/>
      <c r="S32" s="85"/>
      <c r="T32" s="85"/>
    </row>
    <row r="33" spans="1:20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 t="shared" si="2"/>
        <v>#REF!</v>
      </c>
      <c r="L33" s="19" t="e">
        <f t="shared" si="3"/>
        <v>#REF!</v>
      </c>
      <c r="M33" s="19" t="e">
        <f t="shared" si="4"/>
        <v>#REF!</v>
      </c>
      <c r="N33" s="19" t="str">
        <f t="shared" si="5"/>
        <v>{ORTHO_BOTH, EMPTY, ORTHO_BOTH, EMPTY}</v>
      </c>
      <c r="P33" s="85"/>
      <c r="Q33" s="85"/>
      <c r="R33" s="85"/>
      <c r="S33" s="85"/>
      <c r="T33" s="85"/>
    </row>
    <row r="34" spans="1:20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 t="shared" si="2"/>
        <v>#REF!</v>
      </c>
      <c r="L34" s="19" t="e">
        <f t="shared" si="3"/>
        <v>#REF!</v>
      </c>
      <c r="M34" s="19" t="e">
        <f t="shared" si="4"/>
        <v>#REF!</v>
      </c>
      <c r="N34" s="19" t="str">
        <f t="shared" si="5"/>
        <v>{ORTHO_BOTH, ORTHO_BOTH, EMPTY, EMPTY}</v>
      </c>
      <c r="P34" s="85"/>
      <c r="Q34" s="85"/>
      <c r="R34" s="85"/>
      <c r="S34" s="85"/>
      <c r="T34" s="85"/>
    </row>
    <row r="35" spans="1:20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 t="shared" si="2"/>
        <v>#REF!</v>
      </c>
      <c r="L35" s="19" t="e">
        <f t="shared" si="3"/>
        <v>#REF!</v>
      </c>
      <c r="M35" s="19" t="e">
        <f t="shared" si="4"/>
        <v>#REF!</v>
      </c>
      <c r="N35" s="19" t="str">
        <f t="shared" si="5"/>
        <v>{ORTHO_BOTH, ORTHO_BOTH, EMPTY, ORTHO_BOTH}</v>
      </c>
      <c r="P35" s="85"/>
      <c r="Q35" s="85"/>
      <c r="R35" s="85"/>
      <c r="S35" s="85"/>
      <c r="T35" s="85"/>
    </row>
    <row r="36" spans="1:20" ht="45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 t="shared" si="2"/>
        <v>#REF!</v>
      </c>
      <c r="L36" s="19" t="e">
        <f t="shared" si="3"/>
        <v>#REF!</v>
      </c>
      <c r="M36" s="19" t="e">
        <f t="shared" si="4"/>
        <v>#REF!</v>
      </c>
      <c r="N36" s="19" t="str">
        <f t="shared" si="5"/>
        <v>{ORTHO_BOTH, ORTHO_BOTH, ORTHO_BOTH, DIAG_BOTH}</v>
      </c>
      <c r="P36" s="85"/>
      <c r="Q36" s="85"/>
      <c r="R36" s="85"/>
      <c r="S36" s="85"/>
      <c r="T36" s="85"/>
    </row>
    <row r="37" spans="1:20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 t="shared" si="2"/>
        <v>#REF!</v>
      </c>
      <c r="L37" s="19" t="e">
        <f t="shared" si="3"/>
        <v>#REF!</v>
      </c>
      <c r="M37" s="19" t="e">
        <f t="shared" si="4"/>
        <v>#REF!</v>
      </c>
      <c r="N37" s="19" t="str">
        <f t="shared" si="5"/>
        <v>{ORTHO_BOTH, EMPTY, ORTHO_BOTH, EMPTY}</v>
      </c>
      <c r="P37" s="85"/>
      <c r="Q37" s="85"/>
      <c r="R37" s="85"/>
      <c r="S37" s="85"/>
      <c r="T37" s="85"/>
    </row>
    <row r="38" spans="1:20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 t="shared" si="2"/>
        <v>#REF!</v>
      </c>
      <c r="L38" s="19" t="e">
        <f t="shared" si="3"/>
        <v>#REF!</v>
      </c>
      <c r="M38" s="19" t="e">
        <f t="shared" si="4"/>
        <v>#REF!</v>
      </c>
      <c r="N38" s="19" t="str">
        <f t="shared" si="5"/>
        <v>{ORTHO_BOTH, ORTHO_BOTH, ORTHO_BOTH, EMPTY}</v>
      </c>
      <c r="P38" s="85"/>
      <c r="Q38" s="85"/>
      <c r="R38" s="85"/>
      <c r="S38" s="85"/>
      <c r="T38" s="85"/>
    </row>
    <row r="39" spans="1:20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 t="shared" si="2"/>
        <v>#REF!</v>
      </c>
      <c r="L39" s="19" t="e">
        <f t="shared" si="3"/>
        <v>#REF!</v>
      </c>
      <c r="M39" s="19" t="e">
        <f t="shared" si="4"/>
        <v>#REF!</v>
      </c>
      <c r="N39" s="19" t="str">
        <f t="shared" si="5"/>
        <v>{EMPTY, ORTHO_BOTH, ORTHO_BOTH, EMPTY}</v>
      </c>
      <c r="P39" s="85"/>
      <c r="Q39" s="85"/>
      <c r="R39" s="85"/>
      <c r="S39" s="85"/>
      <c r="T39" s="85"/>
    </row>
    <row r="40" spans="1:20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 t="shared" si="2"/>
        <v>#REF!</v>
      </c>
      <c r="L40" s="19" t="e">
        <f t="shared" si="3"/>
        <v>#REF!</v>
      </c>
      <c r="M40" s="19" t="e">
        <f t="shared" si="4"/>
        <v>#REF!</v>
      </c>
      <c r="N40" s="19" t="str">
        <f t="shared" si="5"/>
        <v>{EMPTY, EMPTY, EMPTY, ORTHO_BOTH}</v>
      </c>
      <c r="P40" s="85"/>
      <c r="Q40" s="85"/>
      <c r="R40" s="85"/>
      <c r="S40" s="85"/>
      <c r="T40" s="85"/>
    </row>
    <row r="41" spans="1:20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 t="shared" si="2"/>
        <v>#REF!</v>
      </c>
      <c r="L41" s="19" t="e">
        <f t="shared" si="3"/>
        <v>#REF!</v>
      </c>
      <c r="M41" s="19" t="e">
        <f t="shared" si="4"/>
        <v>#REF!</v>
      </c>
      <c r="N41" s="19" t="str">
        <f t="shared" si="5"/>
        <v>{ORTHO_BOTH, ORTHO_BOTH, EMPTY, DIAG_BOTH}</v>
      </c>
      <c r="P41" s="85"/>
      <c r="Q41" s="85"/>
      <c r="R41" s="85"/>
      <c r="S41" s="85"/>
      <c r="T41" s="85"/>
    </row>
    <row r="42" spans="1:20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 t="shared" si="2"/>
        <v>#REF!</v>
      </c>
      <c r="L42" s="19" t="e">
        <f t="shared" si="3"/>
        <v>#REF!</v>
      </c>
      <c r="M42" s="19" t="e">
        <f t="shared" si="4"/>
        <v>#REF!</v>
      </c>
      <c r="N42" s="19" t="str">
        <f t="shared" si="5"/>
        <v>{ORTHO_BOTH, ORTHO_BOTH, DIAG_BOTH, EMPTY}</v>
      </c>
      <c r="P42" s="85"/>
      <c r="Q42" s="85"/>
      <c r="R42" s="85"/>
      <c r="S42" s="85"/>
      <c r="T42" s="85"/>
    </row>
    <row r="43" spans="1:20" ht="30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 t="shared" si="2"/>
        <v>#REF!</v>
      </c>
      <c r="L43" s="19" t="e">
        <f t="shared" si="3"/>
        <v>#REF!</v>
      </c>
      <c r="M43" s="19" t="e">
        <f t="shared" si="4"/>
        <v>#REF!</v>
      </c>
      <c r="N43" s="19" t="str">
        <f t="shared" si="5"/>
        <v>{ORTHO_BOTH, DIAG_BOTH, ORTHO_BOTH, EMPTY}</v>
      </c>
      <c r="P43" s="85"/>
      <c r="Q43" s="85"/>
      <c r="R43" s="85"/>
      <c r="S43" s="85"/>
      <c r="T43" s="85"/>
    </row>
    <row r="44" spans="1:20" ht="30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 t="shared" si="2"/>
        <v>#REF!</v>
      </c>
      <c r="L44" s="19" t="e">
        <f t="shared" si="3"/>
        <v>#REF!</v>
      </c>
      <c r="M44" s="19" t="e">
        <f t="shared" si="4"/>
        <v>#REF!</v>
      </c>
      <c r="N44" s="19" t="str">
        <f t="shared" si="5"/>
        <v>{EMPTY, ORTHO_BOTH, DIAG_BOTH, ORTHO_BOTH}</v>
      </c>
      <c r="P44" s="85"/>
      <c r="Q44" s="85"/>
      <c r="R44" s="85"/>
      <c r="S44" s="85"/>
      <c r="T44" s="85"/>
    </row>
    <row r="45" spans="1:20" ht="30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 t="shared" si="2"/>
        <v>#REF!</v>
      </c>
      <c r="L45" s="19" t="e">
        <f t="shared" si="3"/>
        <v>#REF!</v>
      </c>
      <c r="M45" s="19" t="e">
        <f t="shared" si="4"/>
        <v>#REF!</v>
      </c>
      <c r="N45" s="19" t="str">
        <f t="shared" si="5"/>
        <v>{EMPTY, ORTHO_BOTH, ORTHO_BOTH, DIAG_BOTH}</v>
      </c>
      <c r="P45" s="85"/>
      <c r="Q45" s="85"/>
      <c r="R45" s="85"/>
      <c r="S45" s="85"/>
      <c r="T45" s="85"/>
    </row>
    <row r="46" spans="1:20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 t="shared" si="2"/>
        <v>#REF!</v>
      </c>
      <c r="L46" s="19" t="e">
        <f t="shared" si="3"/>
        <v>#REF!</v>
      </c>
      <c r="M46" s="19" t="e">
        <f t="shared" si="4"/>
        <v>#REF!</v>
      </c>
      <c r="N46" s="19" t="str">
        <f t="shared" si="5"/>
        <v>{EMPTY, ORTHO_BOTH, EMPTY, ORTHO_BOTH}</v>
      </c>
      <c r="P46" s="85"/>
      <c r="Q46" s="85"/>
      <c r="R46" s="85"/>
      <c r="S46" s="85"/>
      <c r="T46" s="85"/>
    </row>
    <row r="47" spans="1:20" ht="30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 t="shared" si="2"/>
        <v>#REF!</v>
      </c>
      <c r="L47" s="19" t="e">
        <f t="shared" si="3"/>
        <v>#REF!</v>
      </c>
      <c r="M47" s="19" t="e">
        <f t="shared" si="4"/>
        <v>#REF!</v>
      </c>
      <c r="N47" s="19" t="str">
        <f t="shared" si="5"/>
        <v>{ORTHO_BOTH, EMPTY, DIAG_BOTH, ORTHO_BOTH}</v>
      </c>
      <c r="P47" s="85"/>
      <c r="Q47" s="85"/>
      <c r="R47" s="85"/>
      <c r="S47" s="85"/>
      <c r="T47" s="85"/>
    </row>
    <row r="48" spans="1:20" ht="45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 t="shared" si="2"/>
        <v>#REF!</v>
      </c>
      <c r="L48" s="19" t="e">
        <f t="shared" si="3"/>
        <v>#REF!</v>
      </c>
      <c r="M48" s="19" t="e">
        <f t="shared" si="4"/>
        <v>#REF!</v>
      </c>
      <c r="N48" s="19" t="str">
        <f t="shared" si="5"/>
        <v>{ORTHO_BOTH, ORTHO_BOTH, DIAG_BOTH, ORTHO_BOTH}</v>
      </c>
      <c r="P48" s="85"/>
      <c r="Q48" s="85"/>
      <c r="R48" s="85"/>
      <c r="S48" s="85"/>
      <c r="T48" s="85"/>
    </row>
    <row r="49" spans="1:20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 t="shared" si="2"/>
        <v>#REF!</v>
      </c>
      <c r="L49" s="19" t="e">
        <f t="shared" si="3"/>
        <v>#REF!</v>
      </c>
      <c r="M49" s="19" t="e">
        <f t="shared" si="4"/>
        <v>#REF!</v>
      </c>
      <c r="N49" s="19" t="str">
        <f t="shared" si="5"/>
        <v>{ORTHO_BOTH, EMPTY, EMPTY, ORTHO_BOTH}</v>
      </c>
      <c r="P49" s="85"/>
      <c r="Q49" s="85"/>
      <c r="R49" s="85"/>
      <c r="S49" s="85"/>
      <c r="T49" s="85"/>
    </row>
    <row r="50" spans="1:20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 t="shared" si="2"/>
        <v>#REF!</v>
      </c>
      <c r="L50" s="19" t="e">
        <f t="shared" si="3"/>
        <v>#REF!</v>
      </c>
      <c r="M50" s="19" t="e">
        <f t="shared" si="4"/>
        <v>#REF!</v>
      </c>
      <c r="N50" s="19" t="str">
        <f t="shared" si="5"/>
        <v>{ORTHO_BOTH, EMPTY, ORTHO_BOTH, EMPTY}</v>
      </c>
      <c r="P50" s="85"/>
      <c r="Q50" s="85"/>
      <c r="R50" s="85"/>
      <c r="S50" s="85"/>
      <c r="T50" s="85"/>
    </row>
    <row r="51" spans="1:20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 t="shared" si="2"/>
        <v>#REF!</v>
      </c>
      <c r="L51" s="19" t="e">
        <f t="shared" si="3"/>
        <v>#REF!</v>
      </c>
      <c r="M51" s="19" t="e">
        <f t="shared" si="4"/>
        <v>#REF!</v>
      </c>
      <c r="N51" s="19" t="str">
        <f t="shared" si="5"/>
        <v>{EMPTY, ORTHO_BOTH, EMPTY, ORTHO_BOTH}</v>
      </c>
      <c r="P51" s="85"/>
      <c r="Q51" s="85"/>
      <c r="R51" s="85"/>
      <c r="S51" s="85"/>
      <c r="T51" s="85"/>
    </row>
    <row r="52" spans="1:20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 t="shared" si="2"/>
        <v>#REF!</v>
      </c>
      <c r="L52" s="19" t="e">
        <f t="shared" si="3"/>
        <v>#REF!</v>
      </c>
      <c r="M52" s="19" t="e">
        <f t="shared" si="4"/>
        <v>#REF!</v>
      </c>
      <c r="N52" s="19" t="str">
        <f t="shared" si="5"/>
        <v>{ORTHO_BOTH, EMPTY, EMPTY, EMPTY}</v>
      </c>
      <c r="P52" s="85"/>
      <c r="Q52" s="85"/>
      <c r="R52" s="85"/>
      <c r="S52" s="85"/>
      <c r="T52" s="85"/>
    </row>
    <row r="53" spans="1:20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 t="shared" si="2"/>
        <v>#REF!</v>
      </c>
      <c r="L53" s="19" t="e">
        <f t="shared" si="3"/>
        <v>#REF!</v>
      </c>
      <c r="M53" s="19" t="e">
        <f t="shared" si="4"/>
        <v>#REF!</v>
      </c>
      <c r="N53" s="19" t="str">
        <f t="shared" si="5"/>
        <v>{ORTHO_BOTH, ORTHO_BOTH, ORTHO_BOTH, ORTHO_BOTH}</v>
      </c>
      <c r="P53" s="85"/>
      <c r="Q53" s="85"/>
      <c r="R53" s="85"/>
      <c r="S53" s="85"/>
      <c r="T53" s="85"/>
    </row>
    <row r="54" spans="1:20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 t="shared" si="2"/>
        <v>#REF!</v>
      </c>
      <c r="L54" s="19" t="e">
        <f t="shared" si="3"/>
        <v>#REF!</v>
      </c>
      <c r="M54" s="19" t="e">
        <f t="shared" si="4"/>
        <v>#REF!</v>
      </c>
      <c r="N54" s="19" t="str">
        <f t="shared" si="5"/>
        <v>{DIAG_BOTH, EMPTY, ORTHO_BOTH, ORTHO_BOTH}</v>
      </c>
      <c r="P54" s="85"/>
      <c r="Q54" s="85"/>
      <c r="R54" s="85"/>
      <c r="S54" s="85"/>
      <c r="T54" s="85"/>
    </row>
    <row r="55" spans="1:20" ht="30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 t="shared" si="2"/>
        <v>#REF!</v>
      </c>
      <c r="L55" s="19" t="e">
        <f t="shared" si="3"/>
        <v>#REF!</v>
      </c>
      <c r="M55" s="19" t="e">
        <f t="shared" si="4"/>
        <v>#REF!</v>
      </c>
      <c r="N55" s="19" t="str">
        <f t="shared" si="5"/>
        <v>{ORTHO_BOTH, DIAG_BOTH, EMPTY, ORTHO_BOTH}</v>
      </c>
      <c r="P55" s="85"/>
      <c r="Q55" s="85"/>
      <c r="R55" s="85"/>
      <c r="S55" s="85"/>
      <c r="T55" s="85"/>
    </row>
    <row r="56" spans="1:20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 t="shared" si="2"/>
        <v>#REF!</v>
      </c>
      <c r="L56" s="19" t="e">
        <f t="shared" si="3"/>
        <v>#REF!</v>
      </c>
      <c r="M56" s="19" t="e">
        <f t="shared" si="4"/>
        <v>#REF!</v>
      </c>
      <c r="N56" s="19" t="str">
        <f t="shared" si="5"/>
        <v>{EMPTY, EMPTY, ORTHO_BOTH, EMPTY}</v>
      </c>
      <c r="P56" s="85"/>
      <c r="Q56" s="85"/>
      <c r="R56" s="85"/>
      <c r="S56" s="85"/>
      <c r="T56" s="85"/>
    </row>
    <row r="57" spans="1:20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 t="shared" si="2"/>
        <v>#REF!</v>
      </c>
      <c r="L57" s="19" t="e">
        <f t="shared" si="3"/>
        <v>#REF!</v>
      </c>
      <c r="M57" s="19" t="e">
        <f t="shared" si="4"/>
        <v>#REF!</v>
      </c>
      <c r="N57" s="19" t="str">
        <f t="shared" si="5"/>
        <v>{EMPTY, ORTHO_BOTH, ORTHO_BOTH, ORTHO_BOTH}</v>
      </c>
      <c r="P57" s="85"/>
      <c r="Q57" s="85"/>
      <c r="R57" s="85"/>
      <c r="S57" s="85"/>
      <c r="T57" s="85"/>
    </row>
    <row r="58" spans="1:20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 t="shared" si="2"/>
        <v>#REF!</v>
      </c>
      <c r="L58" s="19" t="e">
        <f t="shared" si="3"/>
        <v>#REF!</v>
      </c>
      <c r="M58" s="19" t="e">
        <f t="shared" si="4"/>
        <v>#REF!</v>
      </c>
      <c r="N58" s="19" t="str">
        <f t="shared" si="5"/>
        <v>{ORTHO_BOTH, EMPTY, ORTHO_BOTH, ORTHO_BOTH}</v>
      </c>
      <c r="P58" s="85"/>
      <c r="Q58" s="85"/>
      <c r="R58" s="85"/>
      <c r="S58" s="85"/>
      <c r="T58" s="85"/>
    </row>
    <row r="59" spans="1:20" ht="45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 t="shared" si="2"/>
        <v>#REF!</v>
      </c>
      <c r="L59" s="19" t="e">
        <f t="shared" si="3"/>
        <v>#REF!</v>
      </c>
      <c r="M59" s="19" t="e">
        <f t="shared" si="4"/>
        <v>#REF!</v>
      </c>
      <c r="N59" s="19" t="str">
        <f t="shared" si="5"/>
        <v>{DIAG_BOTH, ORTHO_BOTH, ORTHO_BOTH, ORTHO_BOTH}</v>
      </c>
      <c r="P59" s="85"/>
      <c r="Q59" s="85"/>
      <c r="R59" s="85"/>
      <c r="S59" s="85"/>
      <c r="T59" s="85"/>
    </row>
    <row r="60" spans="1:20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 t="shared" si="2"/>
        <v>#REF!</v>
      </c>
      <c r="L60" s="19" t="e">
        <f t="shared" si="3"/>
        <v>#REF!</v>
      </c>
      <c r="M60" s="19" t="e">
        <f t="shared" si="4"/>
        <v>#REF!</v>
      </c>
      <c r="N60" s="19" t="str">
        <f t="shared" si="5"/>
        <v>{ORTHO_BOTH, EMPTY, EMPTY, ORTHO_BOTH}</v>
      </c>
      <c r="P60" s="85"/>
      <c r="Q60" s="85"/>
      <c r="R60" s="85"/>
      <c r="S60" s="85"/>
      <c r="T60" s="85"/>
    </row>
    <row r="61" spans="1:20" ht="30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 t="shared" si="2"/>
        <v>#REF!</v>
      </c>
      <c r="L61" s="19" t="e">
        <f t="shared" si="3"/>
        <v>#REF!</v>
      </c>
      <c r="M61" s="19" t="e">
        <f t="shared" si="4"/>
        <v>#REF!</v>
      </c>
      <c r="N61" s="19" t="str">
        <f t="shared" si="5"/>
        <v>{EMPTY, EMPTY, DIAG_BOTH, ORTHO_BOTH}</v>
      </c>
      <c r="P61" s="85"/>
      <c r="Q61" s="85"/>
      <c r="R61" s="85"/>
      <c r="S61" s="85"/>
      <c r="T61" s="85"/>
    </row>
    <row r="62" spans="1:20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 t="shared" si="2"/>
        <v>#REF!</v>
      </c>
      <c r="L62" s="19" t="e">
        <f t="shared" si="3"/>
        <v>#REF!</v>
      </c>
      <c r="M62" s="19" t="e">
        <f t="shared" si="4"/>
        <v>#REF!</v>
      </c>
      <c r="N62" s="19" t="str">
        <f t="shared" si="5"/>
        <v>{ORTHO_BOTH, ORTHO_BOTH, EMPTY, EMPTY}</v>
      </c>
      <c r="P62" s="85"/>
      <c r="Q62" s="85"/>
      <c r="R62" s="85"/>
      <c r="S62" s="85"/>
      <c r="T62" s="85"/>
    </row>
    <row r="63" spans="1:20" ht="30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 t="shared" si="2"/>
        <v>#REF!</v>
      </c>
      <c r="L63" s="19" t="e">
        <f t="shared" si="3"/>
        <v>#REF!</v>
      </c>
      <c r="M63" s="19" t="e">
        <f t="shared" si="4"/>
        <v>#REF!</v>
      </c>
      <c r="N63" s="19" t="str">
        <f t="shared" si="5"/>
        <v>{EMPTY, EMPTY, ORTHO_BOTH, DIAG_BOTH}</v>
      </c>
      <c r="P63" s="85"/>
      <c r="Q63" s="85"/>
      <c r="R63" s="85"/>
      <c r="S63" s="85"/>
      <c r="T63" s="85"/>
    </row>
    <row r="64" spans="1:20" ht="45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 t="shared" si="2"/>
        <v>#REF!</v>
      </c>
      <c r="L64" s="19" t="e">
        <f t="shared" si="3"/>
        <v>#REF!</v>
      </c>
      <c r="M64" s="19" t="e">
        <f t="shared" si="4"/>
        <v>#REF!</v>
      </c>
      <c r="N64" s="19" t="str">
        <f t="shared" si="5"/>
        <v>{ORTHO_BOTH, DIAG_BOTH, ORTHO_BOTH, ORTHO_BOTH}</v>
      </c>
      <c r="P64" s="85"/>
      <c r="Q64" s="85"/>
      <c r="R64" s="85"/>
      <c r="S64" s="85"/>
      <c r="T64" s="85"/>
    </row>
    <row r="65" spans="1:20" ht="3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 t="shared" si="2"/>
        <v>#REF!</v>
      </c>
      <c r="L65" s="19" t="e">
        <f t="shared" si="3"/>
        <v>#REF!</v>
      </c>
      <c r="M65" s="19" t="e">
        <f t="shared" si="4"/>
        <v>#REF!</v>
      </c>
      <c r="N65" s="19" t="str">
        <f t="shared" si="5"/>
        <v>{DIAG_BOTH, ORTHO_BOTH, DIAG_BOTH, ORTHO_BOTH}</v>
      </c>
      <c r="P65" s="85"/>
      <c r="Q65" s="85"/>
      <c r="R65" s="85"/>
      <c r="S65" s="85"/>
      <c r="T65" s="85"/>
    </row>
    <row r="66" spans="1:20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 t="shared" si="2"/>
        <v>#REF!</v>
      </c>
      <c r="L66" s="19" t="e">
        <f t="shared" si="3"/>
        <v>#REF!</v>
      </c>
      <c r="M66" s="19" t="e">
        <f t="shared" si="4"/>
        <v>#REF!</v>
      </c>
      <c r="N66" s="19" t="str">
        <f t="shared" si="5"/>
        <v>{DIAG_BOTH, DIAG_BOTH, EMPTY, EMPTY}</v>
      </c>
      <c r="P66" s="85"/>
      <c r="Q66" s="85"/>
      <c r="R66" s="85"/>
      <c r="S66" s="85"/>
      <c r="T66" s="85"/>
    </row>
    <row r="67" spans="1:20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 t="shared" ref="K67:K130" si="7">IF(B67&lt;&gt;"","conv("""&amp;B67&amp;""")","")</f>
        <v>#REF!</v>
      </c>
      <c r="L67" s="19" t="e">
        <f t="shared" ref="L67:L130" si="8">IF(C67&lt;&gt;"","conv("""&amp;C67&amp;""")","")</f>
        <v>#REF!</v>
      </c>
      <c r="M67" s="19" t="e">
        <f t="shared" ref="M67:M130" si="9">IF(D67&lt;&gt;"","conv("""&amp;D67&amp;""")","")</f>
        <v>#REF!</v>
      </c>
      <c r="N67" s="19" t="str">
        <f t="shared" ref="N67:N130" si="10">IF(E67&lt;&gt;"","{"&amp;E67&amp;"}","")</f>
        <v>{DIAG_BOTH, DIAG_BOTH, EMPTY, DIAG_BOTH}</v>
      </c>
      <c r="P67" s="85"/>
      <c r="Q67" s="85"/>
      <c r="R67" s="85"/>
      <c r="S67" s="85"/>
      <c r="T67" s="85"/>
    </row>
    <row r="68" spans="1:20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 t="shared" si="7"/>
        <v>#REF!</v>
      </c>
      <c r="L68" s="19" t="e">
        <f t="shared" si="8"/>
        <v>#REF!</v>
      </c>
      <c r="M68" s="19" t="e">
        <f t="shared" si="9"/>
        <v>#REF!</v>
      </c>
      <c r="N68" s="19" t="str">
        <f t="shared" si="10"/>
        <v>{DIAG_BOTH, DIAG_BOTH, EMPTY, ORTHO_BOTH}</v>
      </c>
      <c r="P68" s="85"/>
      <c r="Q68" s="85"/>
      <c r="R68" s="85"/>
      <c r="S68" s="85"/>
      <c r="T68" s="85"/>
    </row>
    <row r="69" spans="1:20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 t="shared" si="7"/>
        <v>#REF!</v>
      </c>
      <c r="L69" s="19" t="e">
        <f t="shared" si="8"/>
        <v>#REF!</v>
      </c>
      <c r="M69" s="19" t="e">
        <f t="shared" si="9"/>
        <v>#REF!</v>
      </c>
      <c r="N69" s="19" t="str">
        <f t="shared" si="10"/>
        <v>{DIAG_BOTH, EMPTY, DIAG_BOTH, EMPTY}</v>
      </c>
      <c r="P69" s="85"/>
      <c r="Q69" s="85"/>
      <c r="R69" s="85"/>
      <c r="S69" s="85"/>
      <c r="T69" s="85"/>
    </row>
    <row r="70" spans="1:20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 t="shared" si="7"/>
        <v>#REF!</v>
      </c>
      <c r="L70" s="19" t="e">
        <f t="shared" si="8"/>
        <v>#REF!</v>
      </c>
      <c r="M70" s="19" t="e">
        <f t="shared" si="9"/>
        <v>#REF!</v>
      </c>
      <c r="N70" s="19" t="str">
        <f t="shared" si="10"/>
        <v>{DIAG_BOTH, DIAG_BOTH, DIAG_BOTH, EMPTY}</v>
      </c>
      <c r="P70" s="85"/>
      <c r="Q70" s="85"/>
      <c r="R70" s="85"/>
      <c r="S70" s="85"/>
      <c r="T70" s="85"/>
    </row>
    <row r="71" spans="1:20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 t="shared" si="7"/>
        <v>#REF!</v>
      </c>
      <c r="L71" s="19" t="e">
        <f t="shared" si="8"/>
        <v>#REF!</v>
      </c>
      <c r="M71" s="19" t="e">
        <f t="shared" si="9"/>
        <v>#REF!</v>
      </c>
      <c r="N71" s="19" t="str">
        <f t="shared" si="10"/>
        <v>{EMPTY, DIAG_BOTH, DIAG_BOTH, EMPTY}</v>
      </c>
      <c r="P71" s="85"/>
      <c r="Q71" s="85"/>
      <c r="R71" s="85"/>
      <c r="S71" s="85"/>
      <c r="T71" s="85"/>
    </row>
    <row r="72" spans="1:20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 t="shared" si="7"/>
        <v>#REF!</v>
      </c>
      <c r="L72" s="19" t="e">
        <f t="shared" si="8"/>
        <v>#REF!</v>
      </c>
      <c r="M72" s="19" t="e">
        <f t="shared" si="9"/>
        <v>#REF!</v>
      </c>
      <c r="N72" s="19" t="str">
        <f t="shared" si="10"/>
        <v>{EMPTY, EMPTY, EMPTY, DIAG_BOTH}</v>
      </c>
      <c r="P72" s="85"/>
      <c r="Q72" s="85"/>
      <c r="R72" s="85"/>
      <c r="S72" s="85"/>
      <c r="T72" s="85"/>
    </row>
    <row r="73" spans="1:20" ht="30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 t="shared" si="7"/>
        <v>#REF!</v>
      </c>
      <c r="L73" s="19" t="e">
        <f t="shared" si="8"/>
        <v>#REF!</v>
      </c>
      <c r="M73" s="19" t="e">
        <f t="shared" si="9"/>
        <v>#REF!</v>
      </c>
      <c r="N73" s="19" t="str">
        <f t="shared" si="10"/>
        <v>{DIAG_BOTH, DIAG_BOTH, DIAG_BOTH, ORTHO_BOTH}</v>
      </c>
      <c r="P73" s="85"/>
      <c r="Q73" s="85"/>
      <c r="R73" s="85"/>
      <c r="S73" s="85"/>
      <c r="T73" s="85"/>
    </row>
    <row r="74" spans="1:20" ht="30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 t="shared" si="7"/>
        <v>#REF!</v>
      </c>
      <c r="L74" s="19" t="e">
        <f t="shared" si="8"/>
        <v>#REF!</v>
      </c>
      <c r="M74" s="19" t="e">
        <f t="shared" si="9"/>
        <v>#REF!</v>
      </c>
      <c r="N74" s="19" t="str">
        <f t="shared" si="10"/>
        <v>{DIAG_BOTH, DIAG_BOTH, ORTHO_BOTH, DIAG_BOTH}</v>
      </c>
      <c r="P74" s="85"/>
      <c r="Q74" s="85"/>
      <c r="R74" s="85"/>
      <c r="S74" s="85"/>
      <c r="T74" s="85"/>
    </row>
    <row r="75" spans="1:20" ht="30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 t="shared" si="7"/>
        <v>#REF!</v>
      </c>
      <c r="L75" s="19" t="e">
        <f t="shared" si="8"/>
        <v>#REF!</v>
      </c>
      <c r="M75" s="19" t="e">
        <f t="shared" si="9"/>
        <v>#REF!</v>
      </c>
      <c r="N75" s="19" t="str">
        <f t="shared" si="10"/>
        <v>{ORTHO_BOTH, DIAG_BOTH, DIAG_BOTH, EMPTY}</v>
      </c>
      <c r="P75" s="85"/>
      <c r="Q75" s="85"/>
      <c r="R75" s="85"/>
      <c r="S75" s="85"/>
      <c r="T75" s="85"/>
    </row>
    <row r="76" spans="1:20" ht="30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 t="shared" si="7"/>
        <v>#REF!</v>
      </c>
      <c r="L76" s="19" t="e">
        <f t="shared" si="8"/>
        <v>#REF!</v>
      </c>
      <c r="M76" s="19" t="e">
        <f t="shared" si="9"/>
        <v>#REF!</v>
      </c>
      <c r="N76" s="19" t="str">
        <f t="shared" si="10"/>
        <v>{EMPTY, DIAG_BOTH, DIAG_BOTH, ORTHO_BOTH}</v>
      </c>
      <c r="P76" s="85"/>
      <c r="Q76" s="85"/>
      <c r="R76" s="85"/>
      <c r="S76" s="85"/>
      <c r="T76" s="85"/>
    </row>
    <row r="77" spans="1:20" ht="30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 t="shared" si="7"/>
        <v>#REF!</v>
      </c>
      <c r="L77" s="19" t="e">
        <f t="shared" si="8"/>
        <v>#REF!</v>
      </c>
      <c r="M77" s="19" t="e">
        <f t="shared" si="9"/>
        <v>#REF!</v>
      </c>
      <c r="N77" s="19" t="str">
        <f t="shared" si="10"/>
        <v>{EMPTY, DIAG_BOTH, ORTHO_BOTH, DIAG_BOTH}</v>
      </c>
      <c r="P77" s="85"/>
      <c r="Q77" s="85"/>
      <c r="R77" s="85"/>
      <c r="S77" s="85"/>
      <c r="T77" s="85"/>
    </row>
    <row r="78" spans="1:20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 t="shared" si="7"/>
        <v>#REF!</v>
      </c>
      <c r="L78" s="19" t="e">
        <f t="shared" si="8"/>
        <v>#REF!</v>
      </c>
      <c r="M78" s="19" t="e">
        <f t="shared" si="9"/>
        <v>#REF!</v>
      </c>
      <c r="N78" s="19" t="str">
        <f t="shared" si="10"/>
        <v>{EMPTY, DIAG_BOTH, EMPTY, ORTHO_BOTH}</v>
      </c>
      <c r="P78" s="85"/>
      <c r="Q78" s="85"/>
      <c r="R78" s="85"/>
      <c r="S78" s="85"/>
      <c r="T78" s="85"/>
    </row>
    <row r="79" spans="1:20" ht="30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 t="shared" si="7"/>
        <v>#REF!</v>
      </c>
      <c r="L79" s="19" t="e">
        <f t="shared" si="8"/>
        <v>#REF!</v>
      </c>
      <c r="M79" s="19" t="e">
        <f t="shared" si="9"/>
        <v>#REF!</v>
      </c>
      <c r="N79" s="19" t="str">
        <f t="shared" si="10"/>
        <v>{DIAG_BOTH, EMPTY, DIAG_BOTH, ORTHO_BOTH}</v>
      </c>
      <c r="P79" s="85"/>
      <c r="Q79" s="85"/>
      <c r="R79" s="85"/>
      <c r="S79" s="85"/>
      <c r="T79" s="85"/>
    </row>
    <row r="80" spans="1:20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 t="shared" si="7"/>
        <v>#REF!</v>
      </c>
      <c r="L80" s="19" t="e">
        <f t="shared" si="8"/>
        <v>#REF!</v>
      </c>
      <c r="M80" s="19" t="e">
        <f t="shared" si="9"/>
        <v>#REF!</v>
      </c>
      <c r="N80" s="19" t="str">
        <f t="shared" si="10"/>
        <v>{DIAG_BOTH, DIAG_BOTH, ORTHO_BOTH, EMPTY}</v>
      </c>
      <c r="P80" s="85"/>
      <c r="Q80" s="85"/>
      <c r="R80" s="85"/>
      <c r="S80" s="85"/>
      <c r="T80" s="85"/>
    </row>
    <row r="81" spans="1:20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 t="shared" si="7"/>
        <v>#REF!</v>
      </c>
      <c r="L81" s="19" t="e">
        <f t="shared" si="8"/>
        <v>#REF!</v>
      </c>
      <c r="M81" s="19" t="e">
        <f t="shared" si="9"/>
        <v>#REF!</v>
      </c>
      <c r="N81" s="19" t="str">
        <f t="shared" si="10"/>
        <v>{ORTHO_BOTH, EMPTY, EMPTY, DIAG_BOTH}</v>
      </c>
      <c r="P81" s="85"/>
      <c r="Q81" s="85"/>
      <c r="R81" s="85"/>
      <c r="S81" s="85"/>
      <c r="T81" s="85"/>
    </row>
    <row r="82" spans="1:20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 t="shared" si="7"/>
        <v>#REF!</v>
      </c>
      <c r="L82" s="19" t="e">
        <f t="shared" si="8"/>
        <v>#REF!</v>
      </c>
      <c r="M82" s="19" t="e">
        <f t="shared" si="9"/>
        <v>#REF!</v>
      </c>
      <c r="N82" s="19" t="str">
        <f t="shared" si="10"/>
        <v>{ORTHO_BOTH, EMPTY, DIAG_BOTH, EMPTY}</v>
      </c>
      <c r="P82" s="85"/>
      <c r="Q82" s="85"/>
      <c r="R82" s="85"/>
      <c r="S82" s="85"/>
      <c r="T82" s="85"/>
    </row>
    <row r="83" spans="1:20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 t="shared" si="7"/>
        <v>#REF!</v>
      </c>
      <c r="L83" s="19" t="e">
        <f t="shared" si="8"/>
        <v>#REF!</v>
      </c>
      <c r="M83" s="19" t="e">
        <f t="shared" si="9"/>
        <v>#REF!</v>
      </c>
      <c r="N83" s="19" t="str">
        <f t="shared" si="10"/>
        <v>{EMPTY, DIAG_BOTH, EMPTY, DIAG_BOTH}</v>
      </c>
      <c r="P83" s="85"/>
      <c r="Q83" s="85"/>
      <c r="R83" s="85"/>
      <c r="S83" s="85"/>
      <c r="T83" s="85"/>
    </row>
    <row r="84" spans="1:20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 t="shared" si="7"/>
        <v>#REF!</v>
      </c>
      <c r="L84" s="19" t="e">
        <f t="shared" si="8"/>
        <v>#REF!</v>
      </c>
      <c r="M84" s="19" t="e">
        <f t="shared" si="9"/>
        <v>#REF!</v>
      </c>
      <c r="N84" s="19" t="str">
        <f t="shared" si="10"/>
        <v>{DIAG_BOTH, EMPTY, EMPTY, EMPTY}</v>
      </c>
      <c r="P84" s="85"/>
      <c r="Q84" s="85"/>
      <c r="R84" s="85"/>
      <c r="S84" s="85"/>
      <c r="T84" s="85"/>
    </row>
    <row r="85" spans="1:20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 t="shared" si="7"/>
        <v>#REF!</v>
      </c>
      <c r="L85" s="19" t="e">
        <f t="shared" si="8"/>
        <v>#REF!</v>
      </c>
      <c r="M85" s="19" t="e">
        <f t="shared" si="9"/>
        <v>#REF!</v>
      </c>
      <c r="N85" s="19" t="str">
        <f t="shared" si="10"/>
        <v>{DIAG_BOTH, DIAG_BOTH, DIAG_BOTH, DIAG_BOTH}</v>
      </c>
      <c r="P85" s="85"/>
      <c r="Q85" s="85"/>
      <c r="R85" s="85"/>
      <c r="S85" s="85"/>
      <c r="T85" s="85"/>
    </row>
    <row r="86" spans="1:20" ht="30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 t="shared" si="7"/>
        <v>#REF!</v>
      </c>
      <c r="L86" s="19" t="e">
        <f t="shared" si="8"/>
        <v>#REF!</v>
      </c>
      <c r="M86" s="19" t="e">
        <f t="shared" si="9"/>
        <v>#REF!</v>
      </c>
      <c r="N86" s="19" t="str">
        <f t="shared" si="10"/>
        <v>{ORTHO_BOTH, DIAG_BOTH, DIAG_BOTH, DIAG_BOTH}</v>
      </c>
      <c r="P86" s="85"/>
      <c r="Q86" s="85"/>
      <c r="R86" s="85"/>
      <c r="S86" s="85"/>
      <c r="T86" s="85"/>
    </row>
    <row r="87" spans="1:20" ht="30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 t="shared" si="7"/>
        <v>#REF!</v>
      </c>
      <c r="L87" s="19" t="e">
        <f t="shared" si="8"/>
        <v>#REF!</v>
      </c>
      <c r="M87" s="19" t="e">
        <f t="shared" si="9"/>
        <v>#REF!</v>
      </c>
      <c r="N87" s="19" t="str">
        <f t="shared" si="10"/>
        <v>{ORTHO_BOTH, DIAG_BOTH, EMPTY, DIAG_BOTH}</v>
      </c>
      <c r="P87" s="85"/>
      <c r="Q87" s="85"/>
      <c r="R87" s="85"/>
      <c r="S87" s="85"/>
      <c r="T87" s="85"/>
    </row>
    <row r="88" spans="1:20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 t="shared" si="7"/>
        <v>#REF!</v>
      </c>
      <c r="L88" s="19" t="e">
        <f t="shared" si="8"/>
        <v>#REF!</v>
      </c>
      <c r="M88" s="19" t="e">
        <f t="shared" si="9"/>
        <v>#REF!</v>
      </c>
      <c r="N88" s="19" t="str">
        <f t="shared" si="10"/>
        <v>{EMPTY, EMPTY, DIAG_BOTH, EMPTY}</v>
      </c>
      <c r="P88" s="85"/>
      <c r="Q88" s="85"/>
      <c r="R88" s="85"/>
      <c r="S88" s="85"/>
      <c r="T88" s="85"/>
    </row>
    <row r="89" spans="1:20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 t="shared" si="7"/>
        <v>#REF!</v>
      </c>
      <c r="L89" s="19" t="e">
        <f t="shared" si="8"/>
        <v>#REF!</v>
      </c>
      <c r="M89" s="19" t="e">
        <f t="shared" si="9"/>
        <v>#REF!</v>
      </c>
      <c r="N89" s="19" t="str">
        <f t="shared" si="10"/>
        <v>{EMPTY, DIAG_BOTH, DIAG_BOTH, DIAG_BOTH}</v>
      </c>
      <c r="P89" s="85"/>
      <c r="Q89" s="85"/>
      <c r="R89" s="85"/>
      <c r="S89" s="85"/>
      <c r="T89" s="85"/>
    </row>
    <row r="90" spans="1:20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 t="shared" si="7"/>
        <v>#REF!</v>
      </c>
      <c r="L90" s="19" t="e">
        <f t="shared" si="8"/>
        <v>#REF!</v>
      </c>
      <c r="M90" s="19" t="e">
        <f t="shared" si="9"/>
        <v>#REF!</v>
      </c>
      <c r="N90" s="19" t="str">
        <f t="shared" si="10"/>
        <v>{DIAG_BOTH, EMPTY, DIAG_BOTH, DIAG_BOTH}</v>
      </c>
      <c r="P90" s="85"/>
      <c r="Q90" s="85"/>
      <c r="R90" s="85"/>
      <c r="S90" s="85"/>
      <c r="T90" s="85"/>
    </row>
    <row r="91" spans="1:20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 t="shared" si="7"/>
        <v>#REF!</v>
      </c>
      <c r="L91" s="19" t="e">
        <f t="shared" si="8"/>
        <v>#REF!</v>
      </c>
      <c r="M91" s="19" t="e">
        <f t="shared" si="9"/>
        <v>#REF!</v>
      </c>
      <c r="N91" s="19" t="str">
        <f t="shared" si="10"/>
        <v>{ORTHO_BOTH, EMPTY, DIAG_BOTH, DIAG_BOTH}</v>
      </c>
      <c r="P91" s="85"/>
      <c r="Q91" s="85"/>
      <c r="R91" s="85"/>
      <c r="S91" s="85"/>
      <c r="T91" s="85"/>
    </row>
    <row r="92" spans="1:20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 t="shared" si="7"/>
        <v>#REF!</v>
      </c>
      <c r="L92" s="19" t="e">
        <f t="shared" si="8"/>
        <v>#REF!</v>
      </c>
      <c r="M92" s="19" t="e">
        <f t="shared" si="9"/>
        <v>#REF!</v>
      </c>
      <c r="N92" s="19" t="str">
        <f t="shared" si="10"/>
        <v>{DIAG_BOTH, EMPTY, EMPTY, DIAG_BOTH}</v>
      </c>
      <c r="P92" s="85"/>
      <c r="Q92" s="85"/>
      <c r="R92" s="85"/>
      <c r="S92" s="85"/>
      <c r="T92" s="85"/>
    </row>
    <row r="93" spans="1:20" ht="30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 t="shared" si="7"/>
        <v>#REF!</v>
      </c>
      <c r="L93" s="19" t="e">
        <f t="shared" si="8"/>
        <v>#REF!</v>
      </c>
      <c r="M93" s="19" t="e">
        <f t="shared" si="9"/>
        <v>#REF!</v>
      </c>
      <c r="N93" s="19" t="str">
        <f t="shared" si="10"/>
        <v>{ORTHO_BOTH, DIAG_BOTH, DIAG_BOTH, ORTHO_BOTH}</v>
      </c>
      <c r="P93" s="85"/>
      <c r="Q93" s="85"/>
      <c r="R93" s="85"/>
      <c r="S93" s="85"/>
      <c r="T93" s="85"/>
    </row>
    <row r="94" spans="1:20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 t="shared" si="7"/>
        <v>#REF!</v>
      </c>
      <c r="L94" s="19" t="e">
        <f t="shared" si="8"/>
        <v>#REF!</v>
      </c>
      <c r="M94" s="19" t="e">
        <f t="shared" si="9"/>
        <v>#REF!</v>
      </c>
      <c r="N94" s="19" t="str">
        <f t="shared" si="10"/>
        <v>{EMPTY, EMPTY, ORTHO_BOTH, ORTHO_BOTH}</v>
      </c>
      <c r="P94" s="85"/>
      <c r="Q94" s="85"/>
      <c r="R94" s="85"/>
      <c r="S94" s="85"/>
      <c r="T94" s="85"/>
    </row>
    <row r="95" spans="1:20" ht="3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 t="shared" si="7"/>
        <v>#REF!</v>
      </c>
      <c r="L95" s="19" t="e">
        <f t="shared" si="8"/>
        <v>#REF!</v>
      </c>
      <c r="M95" s="19" t="e">
        <f t="shared" si="9"/>
        <v>#REF!</v>
      </c>
      <c r="N95" s="19" t="str">
        <f t="shared" si="10"/>
        <v>{ORTHO_BOTH, DIAG_BOTH, ORTHO_BOTH, DIAG_BOTH}</v>
      </c>
      <c r="P95" s="85"/>
      <c r="Q95" s="85"/>
      <c r="R95" s="85"/>
      <c r="S95" s="85"/>
      <c r="T95" s="85"/>
    </row>
    <row r="96" spans="1:20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 t="shared" si="7"/>
        <v>#REF!</v>
      </c>
      <c r="L96" s="19" t="e">
        <f t="shared" si="8"/>
        <v>#REF!</v>
      </c>
      <c r="M96" s="19" t="e">
        <f t="shared" si="9"/>
        <v>#REF!</v>
      </c>
      <c r="N96" s="19" t="str">
        <f t="shared" si="10"/>
        <v>{ORTHO_BOTH, ORTHO_BOTH, EMPTY, EMPTY}</v>
      </c>
      <c r="P96" s="85"/>
      <c r="Q96" s="85"/>
      <c r="R96" s="85"/>
      <c r="S96" s="85"/>
      <c r="T96" s="85"/>
    </row>
    <row r="97" spans="1:20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 t="shared" si="7"/>
        <v>#REF!</v>
      </c>
      <c r="L97" s="19" t="e">
        <f t="shared" si="8"/>
        <v>#REF!</v>
      </c>
      <c r="M97" s="19" t="e">
        <f t="shared" si="9"/>
        <v>#REF!</v>
      </c>
      <c r="N97" s="19" t="str">
        <f t="shared" si="10"/>
        <v>{ORTHO_RIGHT, ORTHO_RIGHT, EMPTY, EMPTY}</v>
      </c>
      <c r="P97" s="85"/>
      <c r="Q97" s="85"/>
      <c r="R97" s="85"/>
      <c r="S97" s="85"/>
      <c r="T97" s="85"/>
    </row>
    <row r="98" spans="1:20" ht="30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 t="shared" si="7"/>
        <v>#REF!</v>
      </c>
      <c r="L98" s="19" t="e">
        <f t="shared" si="8"/>
        <v>#REF!</v>
      </c>
      <c r="M98" s="19" t="e">
        <f t="shared" si="9"/>
        <v>#REF!</v>
      </c>
      <c r="N98" s="19" t="str">
        <f t="shared" si="10"/>
        <v>{ORTHO_LEFT, ORTHO_LEFT, EMPTY, EMPTY}</v>
      </c>
      <c r="P98" s="85"/>
      <c r="Q98" s="85"/>
      <c r="R98" s="85"/>
      <c r="S98" s="85"/>
      <c r="T98" s="85"/>
    </row>
    <row r="99" spans="1:20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 t="shared" si="7"/>
        <v>#REF!</v>
      </c>
      <c r="L99" s="19" t="e">
        <f t="shared" si="8"/>
        <v>#REF!</v>
      </c>
      <c r="M99" s="19" t="e">
        <f t="shared" si="9"/>
        <v>#REF!</v>
      </c>
      <c r="N99" s="19" t="str">
        <f t="shared" si="10"/>
        <v>{EMPTY, EMPTY, ORTHO_UP, ORTHO_UP}</v>
      </c>
      <c r="P99" s="85"/>
      <c r="Q99" s="85"/>
      <c r="R99" s="85"/>
      <c r="S99" s="85"/>
      <c r="T99" s="85"/>
    </row>
    <row r="100" spans="1:20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 t="shared" si="7"/>
        <v>#REF!</v>
      </c>
      <c r="L100" s="19" t="e">
        <f t="shared" si="8"/>
        <v>#REF!</v>
      </c>
      <c r="M100" s="19" t="e">
        <f t="shared" si="9"/>
        <v>#REF!</v>
      </c>
      <c r="N100" s="19" t="str">
        <f t="shared" si="10"/>
        <v>{EMPTY, EMPTY, ORTHO_DOWN, ORTHO_DOWN}</v>
      </c>
      <c r="P100" s="85"/>
      <c r="Q100" s="85"/>
      <c r="R100" s="85"/>
      <c r="S100" s="85"/>
      <c r="T100" s="85"/>
    </row>
    <row r="101" spans="1:20" ht="30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 t="shared" si="7"/>
        <v>#REF!</v>
      </c>
      <c r="L101" s="19" t="e">
        <f t="shared" si="8"/>
        <v>#REF!</v>
      </c>
      <c r="M101" s="19" t="e">
        <f t="shared" si="9"/>
        <v>#REF!</v>
      </c>
      <c r="N101" s="19" t="str">
        <f t="shared" si="10"/>
        <v>{DIAG_FRONT, DIAG_BOTH, DIAG_BACK, DIAG_BOTH}</v>
      </c>
      <c r="P101" s="85"/>
      <c r="Q101" s="85"/>
      <c r="R101" s="85"/>
      <c r="S101" s="85"/>
      <c r="T101" s="85"/>
    </row>
    <row r="102" spans="1:20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 t="shared" si="7"/>
        <v>#REF!</v>
      </c>
      <c r="L102" s="19" t="e">
        <f t="shared" si="8"/>
        <v>#REF!</v>
      </c>
      <c r="M102" s="19" t="e">
        <f t="shared" si="9"/>
        <v>#REF!</v>
      </c>
      <c r="N102" s="19" t="str">
        <f t="shared" si="10"/>
        <v>{DIAG_BACK, DIAG_BOTH, DIAG_BOTH, DIAG_FRONT}</v>
      </c>
      <c r="P102" s="85"/>
      <c r="Q102" s="85"/>
      <c r="R102" s="85"/>
      <c r="S102" s="85"/>
      <c r="T102" s="85"/>
    </row>
    <row r="103" spans="1:20" ht="30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 t="shared" si="7"/>
        <v>#REF!</v>
      </c>
      <c r="L103" s="19" t="e">
        <f t="shared" si="8"/>
        <v>#REF!</v>
      </c>
      <c r="M103" s="19" t="e">
        <f t="shared" si="9"/>
        <v>#REF!</v>
      </c>
      <c r="N103" s="19" t="str">
        <f t="shared" si="10"/>
        <v>{DIAG_BOTH, DIAG_FRONT, DIAG_BOTH, DIAG_BACK}</v>
      </c>
      <c r="P103" s="85"/>
      <c r="Q103" s="85"/>
      <c r="R103" s="85"/>
      <c r="S103" s="85"/>
      <c r="T103" s="85"/>
    </row>
    <row r="104" spans="1:20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 t="shared" si="7"/>
        <v>#REF!</v>
      </c>
      <c r="L104" s="19" t="e">
        <f t="shared" si="8"/>
        <v>#REF!</v>
      </c>
      <c r="M104" s="19" t="e">
        <f t="shared" si="9"/>
        <v>#REF!</v>
      </c>
      <c r="N104" s="19" t="str">
        <f t="shared" si="10"/>
        <v>{DIAG_BOTH, DIAG_BACK, DIAG_FRONT, DIAG_BOTH}</v>
      </c>
      <c r="P104" s="85"/>
      <c r="Q104" s="85"/>
      <c r="R104" s="85"/>
      <c r="S104" s="85"/>
      <c r="T104" s="85"/>
    </row>
    <row r="105" spans="1:20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 t="shared" si="7"/>
        <v>#REF!</v>
      </c>
      <c r="L105" s="19" t="e">
        <f t="shared" si="8"/>
        <v>#REF!</v>
      </c>
      <c r="M105" s="19" t="e">
        <f t="shared" si="9"/>
        <v>#REF!</v>
      </c>
      <c r="N105" s="19" t="str">
        <f t="shared" si="10"/>
        <v>{EMPTY, DIAG_BOTH, DIAG_BACK, DIAG_FRONT}</v>
      </c>
      <c r="P105" s="85"/>
      <c r="Q105" s="85"/>
      <c r="R105" s="85"/>
      <c r="S105" s="85"/>
      <c r="T105" s="85"/>
    </row>
    <row r="106" spans="1:20" ht="30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 t="shared" si="7"/>
        <v>#REF!</v>
      </c>
      <c r="L106" s="19" t="e">
        <f t="shared" si="8"/>
        <v>#REF!</v>
      </c>
      <c r="M106" s="19" t="e">
        <f t="shared" si="9"/>
        <v>#REF!</v>
      </c>
      <c r="N106" s="19" t="str">
        <f t="shared" si="10"/>
        <v>{DIAG_BACK, DIAG_FRONT, DIAG_BOTH, EMPTY}</v>
      </c>
      <c r="P106" s="85"/>
      <c r="Q106" s="85"/>
      <c r="R106" s="85"/>
      <c r="S106" s="85"/>
      <c r="T106" s="85"/>
    </row>
    <row r="107" spans="1:20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 t="shared" si="7"/>
        <v>#REF!</v>
      </c>
      <c r="L107" s="19" t="e">
        <f t="shared" si="8"/>
        <v>#REF!</v>
      </c>
      <c r="M107" s="19" t="e">
        <f t="shared" si="9"/>
        <v>#REF!</v>
      </c>
      <c r="N107" s="19" t="str">
        <f t="shared" si="10"/>
        <v>{DIAG_BOTH, EMPTY, DIAG_FRONT, DIAG_BACK}</v>
      </c>
      <c r="P107" s="85"/>
      <c r="Q107" s="85"/>
      <c r="R107" s="85"/>
      <c r="S107" s="85"/>
      <c r="T107" s="85"/>
    </row>
    <row r="108" spans="1:20" ht="30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 t="shared" si="7"/>
        <v>#REF!</v>
      </c>
      <c r="L108" s="19" t="e">
        <f t="shared" si="8"/>
        <v>#REF!</v>
      </c>
      <c r="M108" s="19" t="e">
        <f t="shared" si="9"/>
        <v>#REF!</v>
      </c>
      <c r="N108" s="19" t="str">
        <f t="shared" si="10"/>
        <v>{DIAG_FRONT, DIAG_BACK, EMPTY, DIAG_BOTH}</v>
      </c>
      <c r="P108" s="85"/>
      <c r="Q108" s="85"/>
      <c r="R108" s="85"/>
      <c r="S108" s="85"/>
      <c r="T108" s="85"/>
    </row>
    <row r="109" spans="1:20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 t="shared" si="7"/>
        <v>#REF!</v>
      </c>
      <c r="L109" s="19" t="e">
        <f t="shared" si="8"/>
        <v>#REF!</v>
      </c>
      <c r="M109" s="19" t="e">
        <f t="shared" si="9"/>
        <v>#REF!</v>
      </c>
      <c r="N109" s="19" t="str">
        <f t="shared" si="10"/>
        <v>{EMPTY, DIAG_FRONT, DIAG_BACK, EMPTY}</v>
      </c>
      <c r="P109" s="85"/>
      <c r="Q109" s="85"/>
      <c r="R109" s="85"/>
      <c r="S109" s="85"/>
      <c r="T109" s="85"/>
    </row>
    <row r="110" spans="1:20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 t="shared" si="7"/>
        <v>#REF!</v>
      </c>
      <c r="L110" s="19" t="e">
        <f t="shared" si="8"/>
        <v>#REF!</v>
      </c>
      <c r="M110" s="19" t="e">
        <f t="shared" si="9"/>
        <v>#REF!</v>
      </c>
      <c r="N110" s="19" t="str">
        <f t="shared" si="10"/>
        <v>{DIAG_BACK, EMPTY, DIAG_FRONT, EMPTY}</v>
      </c>
      <c r="P110" s="85"/>
      <c r="Q110" s="85"/>
      <c r="R110" s="85"/>
      <c r="S110" s="85"/>
      <c r="T110" s="85"/>
    </row>
    <row r="111" spans="1:20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 t="shared" si="7"/>
        <v>#REF!</v>
      </c>
      <c r="L111" s="19" t="e">
        <f t="shared" si="8"/>
        <v>#REF!</v>
      </c>
      <c r="M111" s="19" t="e">
        <f t="shared" si="9"/>
        <v>#REF!</v>
      </c>
      <c r="N111" s="19" t="str">
        <f t="shared" si="10"/>
        <v>{DIAG_FRONT, EMPTY, EMPTY, DIAG_BACK}</v>
      </c>
      <c r="P111" s="85"/>
      <c r="Q111" s="85"/>
      <c r="R111" s="85"/>
      <c r="S111" s="85"/>
      <c r="T111" s="85"/>
    </row>
    <row r="112" spans="1:20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 t="shared" si="7"/>
        <v>#REF!</v>
      </c>
      <c r="L112" s="19" t="e">
        <f t="shared" si="8"/>
        <v>#REF!</v>
      </c>
      <c r="M112" s="19" t="e">
        <f t="shared" si="9"/>
        <v>#REF!</v>
      </c>
      <c r="N112" s="19" t="str">
        <f t="shared" si="10"/>
        <v>{EMPTY, DIAG_BACK, EMPTY, DIAG_FRONT}</v>
      </c>
      <c r="P112" s="85"/>
      <c r="Q112" s="85"/>
      <c r="R112" s="85"/>
      <c r="S112" s="85"/>
      <c r="T112" s="85"/>
    </row>
    <row r="113" spans="1:20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 t="shared" si="7"/>
        <v>#REF!</v>
      </c>
      <c r="L113" s="19" t="e">
        <f t="shared" si="8"/>
        <v>#REF!</v>
      </c>
      <c r="M113" s="19" t="e">
        <f t="shared" si="9"/>
        <v>#REF!</v>
      </c>
      <c r="N113" s="19" t="str">
        <f t="shared" si="10"/>
        <v>{ORTHO_BOTH, ORTHO_BOTH, ORTHO_DOWN, ORTHO_DOWN}</v>
      </c>
      <c r="P113" s="85"/>
      <c r="Q113" s="85"/>
      <c r="R113" s="85"/>
      <c r="S113" s="85"/>
      <c r="T113" s="85"/>
    </row>
    <row r="114" spans="1:20" ht="45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 t="shared" si="7"/>
        <v>#REF!</v>
      </c>
      <c r="L114" s="19" t="e">
        <f t="shared" si="8"/>
        <v>#REF!</v>
      </c>
      <c r="M114" s="19" t="e">
        <f t="shared" si="9"/>
        <v>#REF!</v>
      </c>
      <c r="N114" s="19" t="str">
        <f t="shared" si="10"/>
        <v>{ORTHO_LEFT, ORTHO_LEFT, ORTHO_BOTH, ORTHO_BOTH}</v>
      </c>
      <c r="P114" s="85"/>
      <c r="Q114" s="85"/>
      <c r="R114" s="85"/>
      <c r="S114" s="85"/>
      <c r="T114" s="85"/>
    </row>
    <row r="115" spans="1:20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 t="shared" si="7"/>
        <v>#REF!</v>
      </c>
      <c r="L115" s="19" t="e">
        <f t="shared" si="8"/>
        <v>#REF!</v>
      </c>
      <c r="M115" s="19" t="e">
        <f t="shared" si="9"/>
        <v>#REF!</v>
      </c>
      <c r="N115" s="19" t="str">
        <f t="shared" si="10"/>
        <v>{ORTHO_BOTH, ORTHO_BOTH, ORTHO_UP, ORTHO_UP}</v>
      </c>
      <c r="P115" s="85"/>
      <c r="Q115" s="85"/>
      <c r="R115" s="85"/>
      <c r="S115" s="85"/>
      <c r="T115" s="85"/>
    </row>
    <row r="116" spans="1:20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 t="shared" si="7"/>
        <v>#REF!</v>
      </c>
      <c r="L116" s="19" t="e">
        <f t="shared" si="8"/>
        <v>#REF!</v>
      </c>
      <c r="M116" s="19" t="e">
        <f t="shared" si="9"/>
        <v>#REF!</v>
      </c>
      <c r="N116" s="19" t="str">
        <f t="shared" si="10"/>
        <v>{ORTHO_RIGHT, ORTHO_RIGHT, ORTHO_BOTH, ORTHO_BOTH}</v>
      </c>
      <c r="P116" s="85"/>
      <c r="Q116" s="85"/>
      <c r="R116" s="85"/>
      <c r="S116" s="85"/>
      <c r="T116" s="85"/>
    </row>
    <row r="117" spans="1:20" ht="45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 t="shared" si="7"/>
        <v>#REF!</v>
      </c>
      <c r="L117" s="19" t="e">
        <f t="shared" si="8"/>
        <v>#REF!</v>
      </c>
      <c r="M117" s="19" t="e">
        <f t="shared" si="9"/>
        <v>#REF!</v>
      </c>
      <c r="N117" s="19" t="str">
        <f t="shared" si="10"/>
        <v>{ORTHO_LEFT, ORTHO_LEFT, ORTHO_DOWN, ORTHO_DOWN}</v>
      </c>
      <c r="P117" s="85"/>
      <c r="Q117" s="85"/>
      <c r="R117" s="85"/>
      <c r="S117" s="85"/>
      <c r="T117" s="85"/>
    </row>
    <row r="118" spans="1:20" ht="30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 t="shared" si="7"/>
        <v>#REF!</v>
      </c>
      <c r="L118" s="19" t="e">
        <f t="shared" si="8"/>
        <v>#REF!</v>
      </c>
      <c r="M118" s="19" t="e">
        <f t="shared" si="9"/>
        <v>#REF!</v>
      </c>
      <c r="N118" s="19" t="str">
        <f t="shared" si="10"/>
        <v>{ORTHO_LEFT, ORTHO_LEFT, ORTHO_UP, ORTHO_UP}</v>
      </c>
      <c r="P118" s="85"/>
      <c r="Q118" s="85"/>
      <c r="R118" s="85"/>
      <c r="S118" s="85"/>
      <c r="T118" s="85"/>
    </row>
    <row r="119" spans="1:20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 t="shared" si="7"/>
        <v>#REF!</v>
      </c>
      <c r="L119" s="19" t="e">
        <f t="shared" si="8"/>
        <v>#REF!</v>
      </c>
      <c r="M119" s="19" t="e">
        <f t="shared" si="9"/>
        <v>#REF!</v>
      </c>
      <c r="N119" s="19" t="str">
        <f t="shared" si="10"/>
        <v>{ORTHO_RIGHT, ORTHO_RIGHT, ORTHO_UP, ORTHO_UP}</v>
      </c>
      <c r="P119" s="85"/>
      <c r="Q119" s="85"/>
      <c r="R119" s="85"/>
      <c r="S119" s="85"/>
      <c r="T119" s="85"/>
    </row>
    <row r="120" spans="1:20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 t="shared" si="7"/>
        <v>#REF!</v>
      </c>
      <c r="L120" s="19" t="e">
        <f t="shared" si="8"/>
        <v>#REF!</v>
      </c>
      <c r="M120" s="19" t="e">
        <f t="shared" si="9"/>
        <v>#REF!</v>
      </c>
      <c r="N120" s="19" t="str">
        <f t="shared" si="10"/>
        <v>{ORTHO_RIGHT, ORTHO_RIGHT, ORTHO_DOWN, ORTHO_DOWN}</v>
      </c>
      <c r="P120" s="85"/>
      <c r="Q120" s="85"/>
      <c r="R120" s="85"/>
      <c r="S120" s="85"/>
      <c r="T120" s="85"/>
    </row>
    <row r="121" spans="1:20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 t="shared" si="7"/>
        <v>#REF!</v>
      </c>
      <c r="L121" s="19" t="e">
        <f t="shared" si="8"/>
        <v>#REF!</v>
      </c>
      <c r="M121" s="19" t="e">
        <f t="shared" si="9"/>
        <v>#REF!</v>
      </c>
      <c r="N121" s="19" t="str">
        <f t="shared" si="10"/>
        <v>{ORTHO_RIGHT, ORTHO_RIGHT, EMPTY, DIAG_BOTH}</v>
      </c>
      <c r="P121" s="85"/>
      <c r="Q121" s="85"/>
      <c r="R121" s="85"/>
      <c r="S121" s="85"/>
      <c r="T121" s="85"/>
    </row>
    <row r="122" spans="1:20" ht="30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 t="shared" si="7"/>
        <v>#REF!</v>
      </c>
      <c r="L122" s="19" t="e">
        <f t="shared" si="8"/>
        <v>#REF!</v>
      </c>
      <c r="M122" s="19" t="e">
        <f t="shared" si="9"/>
        <v>#REF!</v>
      </c>
      <c r="N122" s="19" t="str">
        <f t="shared" si="10"/>
        <v>{ORTHO_LEFT, ORTHO_LEFT, DIAG_BOTH, EMPTY}</v>
      </c>
      <c r="P122" s="85"/>
      <c r="Q122" s="85"/>
      <c r="R122" s="85"/>
      <c r="S122" s="85"/>
      <c r="T122" s="85"/>
    </row>
    <row r="123" spans="1:20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 t="shared" si="7"/>
        <v>#REF!</v>
      </c>
      <c r="L123" s="19" t="e">
        <f t="shared" si="8"/>
        <v>#REF!</v>
      </c>
      <c r="M123" s="19" t="e">
        <f t="shared" si="9"/>
        <v>#REF!</v>
      </c>
      <c r="N123" s="19" t="str">
        <f t="shared" si="10"/>
        <v>{DIAG_BOTH, EMPTY, ORTHO_UP, ORTHO_UP}</v>
      </c>
      <c r="P123" s="85"/>
      <c r="Q123" s="85"/>
      <c r="R123" s="85"/>
      <c r="S123" s="85"/>
      <c r="T123" s="85"/>
    </row>
    <row r="124" spans="1:20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 t="shared" si="7"/>
        <v>#REF!</v>
      </c>
      <c r="L124" s="19" t="e">
        <f t="shared" si="8"/>
        <v>#REF!</v>
      </c>
      <c r="M124" s="19" t="e">
        <f t="shared" si="9"/>
        <v>#REF!</v>
      </c>
      <c r="N124" s="19" t="str">
        <f t="shared" si="10"/>
        <v>{EMPTY, DIAG_BOTH, ORTHO_DOWN, ORTHO_DOWN}</v>
      </c>
      <c r="P124" s="85"/>
      <c r="Q124" s="85"/>
      <c r="R124" s="85"/>
      <c r="S124" s="85"/>
      <c r="T124" s="85"/>
    </row>
    <row r="125" spans="1:20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 t="shared" si="7"/>
        <v>#REF!</v>
      </c>
      <c r="L125" s="19" t="e">
        <f t="shared" si="8"/>
        <v>#REF!</v>
      </c>
      <c r="M125" s="19" t="e">
        <f t="shared" si="9"/>
        <v>#REF!</v>
      </c>
      <c r="N125" s="19" t="str">
        <f t="shared" si="10"/>
        <v>{ORTHO_RIGHT, ORTHO_RIGHT, EMPTY, ORTHO_BOTH}</v>
      </c>
      <c r="P125" s="85"/>
      <c r="Q125" s="85"/>
      <c r="R125" s="85"/>
      <c r="S125" s="85"/>
      <c r="T125" s="85"/>
    </row>
    <row r="126" spans="1:20" ht="30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 t="shared" si="7"/>
        <v>#REF!</v>
      </c>
      <c r="L126" s="19" t="e">
        <f t="shared" si="8"/>
        <v>#REF!</v>
      </c>
      <c r="M126" s="19" t="e">
        <f t="shared" si="9"/>
        <v>#REF!</v>
      </c>
      <c r="N126" s="19" t="str">
        <f t="shared" si="10"/>
        <v>{ORTHO_LEFT, ORTHO_LEFT, ORTHO_BOTH, EMPTY}</v>
      </c>
      <c r="P126" s="85"/>
      <c r="Q126" s="85"/>
      <c r="R126" s="85"/>
      <c r="S126" s="85"/>
      <c r="T126" s="85"/>
    </row>
    <row r="127" spans="1:20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 t="shared" si="7"/>
        <v>#REF!</v>
      </c>
      <c r="L127" s="19" t="e">
        <f t="shared" si="8"/>
        <v>#REF!</v>
      </c>
      <c r="M127" s="19" t="e">
        <f t="shared" si="9"/>
        <v>#REF!</v>
      </c>
      <c r="N127" s="19" t="str">
        <f t="shared" si="10"/>
        <v>{ORTHO_BOTH, EMPTY, ORTHO_UP, ORTHO_UP}</v>
      </c>
      <c r="P127" s="85"/>
      <c r="Q127" s="85"/>
      <c r="R127" s="85"/>
      <c r="S127" s="85"/>
      <c r="T127" s="85"/>
    </row>
    <row r="128" spans="1:20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 t="shared" si="7"/>
        <v>#REF!</v>
      </c>
      <c r="L128" s="19" t="e">
        <f t="shared" si="8"/>
        <v>#REF!</v>
      </c>
      <c r="M128" s="19" t="e">
        <f t="shared" si="9"/>
        <v>#REF!</v>
      </c>
      <c r="N128" s="19" t="str">
        <f t="shared" si="10"/>
        <v>{EMPTY, ORTHO_BOTH, ORTHO_DOWN, ORTHO_DOWN}</v>
      </c>
      <c r="P128" s="85"/>
      <c r="Q128" s="85"/>
      <c r="R128" s="85"/>
      <c r="S128" s="85"/>
      <c r="T128" s="85"/>
    </row>
    <row r="129" spans="1:20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 t="shared" si="7"/>
        <v>#REF!</v>
      </c>
      <c r="L129" s="19" t="e">
        <f t="shared" si="8"/>
        <v>#REF!</v>
      </c>
      <c r="M129" s="19" t="e">
        <f t="shared" si="9"/>
        <v>#REF!</v>
      </c>
      <c r="N129" s="19" t="str">
        <f t="shared" si="10"/>
        <v>{EMPTY, ORTHO_LEFT, ORTHO_DOWN, EMPTY}</v>
      </c>
      <c r="P129" s="85"/>
      <c r="Q129" s="85"/>
      <c r="R129" s="85"/>
      <c r="S129" s="85"/>
      <c r="T129" s="85"/>
    </row>
    <row r="130" spans="1:20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 t="shared" si="7"/>
        <v>#REF!</v>
      </c>
      <c r="L130" s="19" t="e">
        <f t="shared" si="8"/>
        <v>#REF!</v>
      </c>
      <c r="M130" s="19" t="e">
        <f t="shared" si="9"/>
        <v>#REF!</v>
      </c>
      <c r="N130" s="19" t="str">
        <f t="shared" si="10"/>
        <v>{ORTHO_LEFT, EMPTY, ORTHO_UP, EMPTY}</v>
      </c>
      <c r="P130" s="85"/>
      <c r="Q130" s="85"/>
      <c r="R130" s="85"/>
      <c r="S130" s="85"/>
      <c r="T130" s="85"/>
    </row>
    <row r="131" spans="1:20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11">IF(A131&lt;&gt;"","conv("""&amp;A131&amp;""")","")</f>
        <v>#REF!</v>
      </c>
      <c r="K131" s="19" t="e">
        <f t="shared" ref="K131:K194" si="12">IF(B131&lt;&gt;"","conv("""&amp;B131&amp;""")","")</f>
        <v>#REF!</v>
      </c>
      <c r="L131" s="19" t="e">
        <f t="shared" ref="L131:L194" si="13">IF(C131&lt;&gt;"","conv("""&amp;C131&amp;""")","")</f>
        <v>#REF!</v>
      </c>
      <c r="M131" s="19" t="e">
        <f t="shared" ref="M131:M194" si="14">IF(D131&lt;&gt;"","conv("""&amp;D131&amp;""")","")</f>
        <v>#REF!</v>
      </c>
      <c r="N131" s="19" t="str">
        <f t="shared" ref="N131:N194" si="15">IF(E131&lt;&gt;"","{"&amp;E131&amp;"}","")</f>
        <v>{ORTHO_RIGHT, EMPTY, EMPTY, ORTHO_UP}</v>
      </c>
      <c r="P131" s="85"/>
      <c r="Q131" s="85"/>
      <c r="R131" s="85"/>
      <c r="S131" s="85"/>
      <c r="T131" s="85"/>
    </row>
    <row r="132" spans="1:20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11"/>
        <v>#REF!</v>
      </c>
      <c r="K132" s="19" t="e">
        <f t="shared" si="12"/>
        <v>#REF!</v>
      </c>
      <c r="L132" s="19" t="e">
        <f t="shared" si="13"/>
        <v>#REF!</v>
      </c>
      <c r="M132" s="19" t="e">
        <f t="shared" si="14"/>
        <v>#REF!</v>
      </c>
      <c r="N132" s="19" t="str">
        <f t="shared" si="15"/>
        <v>{EMPTY, ORTHO_RIGHT, EMPTY, ORTHO_DOWN}</v>
      </c>
      <c r="P132" s="85"/>
      <c r="Q132" s="85"/>
      <c r="R132" s="85"/>
      <c r="S132" s="85"/>
      <c r="T132" s="85"/>
    </row>
    <row r="133" spans="1:20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11"/>
        <v>#REF!</v>
      </c>
      <c r="K133" s="19" t="e">
        <f t="shared" si="12"/>
        <v>#REF!</v>
      </c>
      <c r="L133" s="19" t="e">
        <f t="shared" si="13"/>
        <v>#REF!</v>
      </c>
      <c r="M133" s="19" t="e">
        <f t="shared" si="14"/>
        <v>#REF!</v>
      </c>
      <c r="N133" s="19" t="str">
        <f t="shared" si="15"/>
        <v>{ORTHO_BOTH, EMPTY, EMPTY, EMPTY}</v>
      </c>
      <c r="P133" s="85"/>
      <c r="Q133" s="85"/>
      <c r="R133" s="85"/>
      <c r="S133" s="85"/>
      <c r="T133" s="85"/>
    </row>
    <row r="134" spans="1:20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11"/>
        <v>#REF!</v>
      </c>
      <c r="K134" s="19" t="e">
        <f t="shared" si="12"/>
        <v>#REF!</v>
      </c>
      <c r="L134" s="19" t="e">
        <f t="shared" si="13"/>
        <v>#REF!</v>
      </c>
      <c r="M134" s="19" t="e">
        <f t="shared" si="14"/>
        <v>#REF!</v>
      </c>
      <c r="N134" s="19" t="str">
        <f t="shared" si="15"/>
        <v>{EMPTY, ORTHO_BOTH, EMPTY, EMPTY}</v>
      </c>
      <c r="P134" s="85"/>
      <c r="Q134" s="85"/>
      <c r="R134" s="85"/>
      <c r="S134" s="85"/>
      <c r="T134" s="85"/>
    </row>
    <row r="135" spans="1:20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11"/>
        <v>#REF!</v>
      </c>
      <c r="K135" s="19" t="e">
        <f t="shared" si="12"/>
        <v>#REF!</v>
      </c>
      <c r="L135" s="19" t="e">
        <f t="shared" si="13"/>
        <v>#REF!</v>
      </c>
      <c r="M135" s="19" t="e">
        <f t="shared" si="14"/>
        <v>#REF!</v>
      </c>
      <c r="N135" s="19" t="str">
        <f t="shared" si="15"/>
        <v>{EMPTY, EMPTY, ORTHO_BOTH, EMPTY}</v>
      </c>
      <c r="P135" s="85"/>
      <c r="Q135" s="85"/>
      <c r="R135" s="85"/>
      <c r="S135" s="85"/>
      <c r="T135" s="85"/>
    </row>
    <row r="136" spans="1:20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11"/>
        <v>#REF!</v>
      </c>
      <c r="K136" s="19" t="e">
        <f t="shared" si="12"/>
        <v>#REF!</v>
      </c>
      <c r="L136" s="19" t="e">
        <f t="shared" si="13"/>
        <v>#REF!</v>
      </c>
      <c r="M136" s="19" t="e">
        <f t="shared" si="14"/>
        <v>#REF!</v>
      </c>
      <c r="N136" s="19" t="str">
        <f t="shared" si="15"/>
        <v>{EMPTY, EMPTY, EMPTY, ORTHO_BOTH}</v>
      </c>
      <c r="P136" s="85"/>
      <c r="Q136" s="85"/>
      <c r="R136" s="85"/>
      <c r="S136" s="85"/>
      <c r="T136" s="85"/>
    </row>
    <row r="137" spans="1:20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11"/>
        <v>#REF!</v>
      </c>
      <c r="K137" s="19" t="e">
        <f t="shared" si="12"/>
        <v>#REF!</v>
      </c>
      <c r="L137" s="19" t="e">
        <f t="shared" si="13"/>
        <v>#REF!</v>
      </c>
      <c r="M137" s="19" t="e">
        <f t="shared" si="14"/>
        <v>#REF!</v>
      </c>
      <c r="N137" s="19" t="str">
        <f t="shared" si="15"/>
        <v>{EMPTY, ORTHO_LEFT, EMPTY, ORTHO_UP}</v>
      </c>
      <c r="P137" s="85"/>
      <c r="Q137" s="85"/>
      <c r="R137" s="85"/>
      <c r="S137" s="85"/>
      <c r="T137" s="85"/>
    </row>
    <row r="138" spans="1:20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11"/>
        <v>#REF!</v>
      </c>
      <c r="K138" s="19" t="e">
        <f t="shared" si="12"/>
        <v>#REF!</v>
      </c>
      <c r="L138" s="19" t="e">
        <f t="shared" si="13"/>
        <v>#REF!</v>
      </c>
      <c r="M138" s="19" t="e">
        <f t="shared" si="14"/>
        <v>#REF!</v>
      </c>
      <c r="N138" s="19" t="str">
        <f t="shared" si="15"/>
        <v>{EMPTY, ORTHO_RIGHT, ORTHO_UP, EMPTY}</v>
      </c>
      <c r="P138" s="85"/>
      <c r="Q138" s="85"/>
      <c r="R138" s="85"/>
      <c r="S138" s="85"/>
      <c r="T138" s="85"/>
    </row>
    <row r="139" spans="1:20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11"/>
        <v>#REF!</v>
      </c>
      <c r="K139" s="19" t="e">
        <f t="shared" si="12"/>
        <v>#REF!</v>
      </c>
      <c r="L139" s="19" t="e">
        <f t="shared" si="13"/>
        <v>#REF!</v>
      </c>
      <c r="M139" s="19" t="e">
        <f t="shared" si="14"/>
        <v>#REF!</v>
      </c>
      <c r="N139" s="19" t="str">
        <f t="shared" si="15"/>
        <v>{ORTHO_LEFT, EMPTY, EMPTY, ORTHO_DOWN}</v>
      </c>
      <c r="P139" s="85"/>
      <c r="Q139" s="85"/>
      <c r="R139" s="85"/>
      <c r="S139" s="85"/>
      <c r="T139" s="85"/>
    </row>
    <row r="140" spans="1:20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11"/>
        <v>#REF!</v>
      </c>
      <c r="K140" s="19" t="e">
        <f t="shared" si="12"/>
        <v>#REF!</v>
      </c>
      <c r="L140" s="19" t="e">
        <f t="shared" si="13"/>
        <v>#REF!</v>
      </c>
      <c r="M140" s="19" t="e">
        <f t="shared" si="14"/>
        <v>#REF!</v>
      </c>
      <c r="N140" s="19" t="str">
        <f t="shared" si="15"/>
        <v>{ORTHO_RIGHT, EMPTY, ORTHO_DOWN, EMPTY}</v>
      </c>
      <c r="P140" s="85"/>
      <c r="Q140" s="85"/>
      <c r="R140" s="85"/>
      <c r="S140" s="85"/>
      <c r="T140" s="85"/>
    </row>
    <row r="141" spans="1:20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11"/>
        <v>#REF!</v>
      </c>
      <c r="K141" s="19" t="e">
        <f t="shared" si="12"/>
        <v>#REF!</v>
      </c>
      <c r="L141" s="19" t="e">
        <f t="shared" si="13"/>
        <v>#REF!</v>
      </c>
      <c r="M141" s="19" t="e">
        <f t="shared" si="14"/>
        <v>#REF!</v>
      </c>
      <c r="N141" s="19" t="str">
        <f t="shared" si="15"/>
        <v>{EMPTY, ORTHO_RIGHT, EMPTY, ORTHO_DOWN}</v>
      </c>
      <c r="P141" s="85"/>
      <c r="Q141" s="85"/>
      <c r="R141" s="85"/>
      <c r="S141" s="85"/>
      <c r="T141" s="85"/>
    </row>
    <row r="142" spans="1:20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11"/>
        <v>#REF!</v>
      </c>
      <c r="K142" s="19" t="e">
        <f t="shared" si="12"/>
        <v>#REF!</v>
      </c>
      <c r="L142" s="19" t="e">
        <f t="shared" si="13"/>
        <v>#REF!</v>
      </c>
      <c r="M142" s="19" t="e">
        <f t="shared" si="14"/>
        <v>#REF!</v>
      </c>
      <c r="N142" s="19" t="str">
        <f t="shared" si="15"/>
        <v>{EMPTY, ORTHO_LEFT, ORTHO_DOWN, EMPTY}</v>
      </c>
      <c r="P142" s="85"/>
      <c r="Q142" s="85"/>
      <c r="R142" s="85"/>
      <c r="S142" s="85"/>
      <c r="T142" s="85"/>
    </row>
    <row r="143" spans="1:20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11"/>
        <v>#REF!</v>
      </c>
      <c r="K143" s="19" t="e">
        <f t="shared" si="12"/>
        <v>#REF!</v>
      </c>
      <c r="L143" s="19" t="e">
        <f t="shared" si="13"/>
        <v>#REF!</v>
      </c>
      <c r="M143" s="19" t="e">
        <f t="shared" si="14"/>
        <v>#REF!</v>
      </c>
      <c r="N143" s="19" t="str">
        <f t="shared" si="15"/>
        <v>{ORTHO_RIGHT, EMPTY, EMPTY, ORTHO_UP}</v>
      </c>
      <c r="P143" s="85"/>
      <c r="Q143" s="85"/>
      <c r="R143" s="85"/>
      <c r="S143" s="85"/>
      <c r="T143" s="85"/>
    </row>
    <row r="144" spans="1:20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11"/>
        <v>#REF!</v>
      </c>
      <c r="K144" s="19" t="e">
        <f t="shared" si="12"/>
        <v>#REF!</v>
      </c>
      <c r="L144" s="19" t="e">
        <f t="shared" si="13"/>
        <v>#REF!</v>
      </c>
      <c r="M144" s="19" t="e">
        <f t="shared" si="14"/>
        <v>#REF!</v>
      </c>
      <c r="N144" s="19" t="str">
        <f t="shared" si="15"/>
        <v>{ORTHO_LEFT, EMPTY, ORTHO_UP, EMPTY}</v>
      </c>
      <c r="P144" s="85"/>
      <c r="Q144" s="85"/>
      <c r="R144" s="85"/>
      <c r="S144" s="85"/>
      <c r="T144" s="85"/>
    </row>
    <row r="145" spans="1:20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11"/>
        <v>#REF!</v>
      </c>
      <c r="K145" s="19" t="e">
        <f t="shared" si="12"/>
        <v>#REF!</v>
      </c>
      <c r="L145" s="19" t="e">
        <f t="shared" si="13"/>
        <v>#REF!</v>
      </c>
      <c r="M145" s="19" t="e">
        <f t="shared" si="14"/>
        <v>#REF!</v>
      </c>
      <c r="N145" s="19" t="str">
        <f t="shared" si="15"/>
        <v>{ORTHO_LEFT, ORTHO_RIGHT, EMPTY, EMPTY}</v>
      </c>
      <c r="P145" s="85"/>
      <c r="Q145" s="85"/>
      <c r="R145" s="85"/>
      <c r="S145" s="85"/>
      <c r="T145" s="85"/>
    </row>
    <row r="146" spans="1:20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11"/>
        <v>#REF!</v>
      </c>
      <c r="K146" s="19" t="e">
        <f t="shared" si="12"/>
        <v>#REF!</v>
      </c>
      <c r="L146" s="19" t="e">
        <f t="shared" si="13"/>
        <v>#REF!</v>
      </c>
      <c r="M146" s="19" t="e">
        <f t="shared" si="14"/>
        <v>#REF!</v>
      </c>
      <c r="N146" s="19" t="str">
        <f t="shared" si="15"/>
        <v>{ORTHO_RIGHT, ORTHO_LEFT, EMPTY, EMPTY}</v>
      </c>
      <c r="P146" s="85"/>
      <c r="Q146" s="85"/>
      <c r="R146" s="85"/>
      <c r="S146" s="85"/>
      <c r="T146" s="85"/>
    </row>
    <row r="147" spans="1:20" ht="30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11"/>
        <v>#REF!</v>
      </c>
      <c r="K147" s="19" t="e">
        <f t="shared" si="12"/>
        <v>#REF!</v>
      </c>
      <c r="L147" s="19" t="e">
        <f t="shared" si="13"/>
        <v>#REF!</v>
      </c>
      <c r="M147" s="19" t="e">
        <f t="shared" si="14"/>
        <v>#REF!</v>
      </c>
      <c r="N147" s="19" t="str">
        <f t="shared" si="15"/>
        <v>{EMPTY, EMPTY, ORTHO_DOWN, ORTHO_UP}</v>
      </c>
      <c r="P147" s="85"/>
      <c r="Q147" s="85"/>
      <c r="R147" s="85"/>
      <c r="S147" s="85"/>
      <c r="T147" s="85"/>
    </row>
    <row r="148" spans="1:20" ht="30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11"/>
        <v>#REF!</v>
      </c>
      <c r="K148" s="19" t="e">
        <f t="shared" si="12"/>
        <v>#REF!</v>
      </c>
      <c r="L148" s="19" t="e">
        <f t="shared" si="13"/>
        <v>#REF!</v>
      </c>
      <c r="M148" s="19" t="e">
        <f t="shared" si="14"/>
        <v>#REF!</v>
      </c>
      <c r="N148" s="19" t="str">
        <f t="shared" si="15"/>
        <v>{EMPTY, EMPTY, ORTHO_UP, ORTHO_DOWN}</v>
      </c>
      <c r="P148" s="85"/>
      <c r="Q148" s="85"/>
      <c r="R148" s="85"/>
      <c r="S148" s="85"/>
      <c r="T148" s="85"/>
    </row>
    <row r="149" spans="1:20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11"/>
        <v>#REF!</v>
      </c>
      <c r="K149" s="19" t="e">
        <f t="shared" si="12"/>
        <v>#REF!</v>
      </c>
      <c r="L149" s="19" t="e">
        <f t="shared" si="13"/>
        <v>#REF!</v>
      </c>
      <c r="M149" s="19" t="e">
        <f t="shared" si="14"/>
        <v>#REF!</v>
      </c>
      <c r="N149" s="19" t="str">
        <f t="shared" si="15"/>
        <v>{EMPTY, ORTHO_BOTH, ORTHO_BOTH, ORTHO_BOTH}</v>
      </c>
      <c r="P149" s="85"/>
      <c r="Q149" s="85"/>
      <c r="R149" s="85"/>
      <c r="S149" s="85"/>
      <c r="T149" s="85"/>
    </row>
    <row r="150" spans="1:20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11"/>
        <v>#REF!</v>
      </c>
      <c r="K150" s="19" t="e">
        <f t="shared" si="12"/>
        <v>#REF!</v>
      </c>
      <c r="L150" s="19" t="e">
        <f t="shared" si="13"/>
        <v>#REF!</v>
      </c>
      <c r="M150" s="19" t="e">
        <f t="shared" si="14"/>
        <v>#REF!</v>
      </c>
      <c r="N150" s="19" t="str">
        <f t="shared" si="15"/>
        <v>{ORTHO_BOTH, ORTHO_BOTH, ORTHO_BOTH, EMPTY}</v>
      </c>
      <c r="P150" s="85"/>
      <c r="Q150" s="85"/>
      <c r="R150" s="85"/>
      <c r="S150" s="85"/>
      <c r="T150" s="85"/>
    </row>
    <row r="151" spans="1:20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11"/>
        <v>#REF!</v>
      </c>
      <c r="K151" s="19" t="e">
        <f t="shared" si="12"/>
        <v>#REF!</v>
      </c>
      <c r="L151" s="19" t="e">
        <f t="shared" si="13"/>
        <v>#REF!</v>
      </c>
      <c r="M151" s="19" t="e">
        <f t="shared" si="14"/>
        <v>#REF!</v>
      </c>
      <c r="N151" s="19" t="str">
        <f t="shared" si="15"/>
        <v>{ORTHO_BOTH, EMPTY, ORTHO_BOTH, ORTHO_BOTH}</v>
      </c>
      <c r="P151" s="85"/>
      <c r="Q151" s="85"/>
      <c r="R151" s="85"/>
      <c r="S151" s="85"/>
      <c r="T151" s="85"/>
    </row>
    <row r="152" spans="1:20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11"/>
        <v>#REF!</v>
      </c>
      <c r="K152" s="19" t="e">
        <f t="shared" si="12"/>
        <v>#REF!</v>
      </c>
      <c r="L152" s="19" t="e">
        <f t="shared" si="13"/>
        <v>#REF!</v>
      </c>
      <c r="M152" s="19" t="e">
        <f t="shared" si="14"/>
        <v>#REF!</v>
      </c>
      <c r="N152" s="19" t="str">
        <f t="shared" si="15"/>
        <v>{ORTHO_BOTH, ORTHO_BOTH, EMPTY, ORTHO_BOTH}</v>
      </c>
      <c r="P152" s="85"/>
      <c r="Q152" s="85"/>
      <c r="R152" s="85"/>
      <c r="S152" s="85"/>
      <c r="T152" s="85"/>
    </row>
    <row r="153" spans="1:20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11"/>
        <v>#REF!</v>
      </c>
      <c r="K153" s="19" t="e">
        <f t="shared" si="12"/>
        <v>#REF!</v>
      </c>
      <c r="L153" s="19" t="e">
        <f t="shared" si="13"/>
        <v>#REF!</v>
      </c>
      <c r="M153" s="19" t="e">
        <f t="shared" si="14"/>
        <v>#REF!</v>
      </c>
      <c r="N153" s="19" t="str">
        <f t="shared" si="15"/>
        <v>{EMPTY, ORTHO_BOTH, ORTHO_BOTH, ORTHO_BOTH}</v>
      </c>
      <c r="P153" s="85"/>
      <c r="Q153" s="85"/>
      <c r="R153" s="85"/>
      <c r="S153" s="85"/>
      <c r="T153" s="85"/>
    </row>
    <row r="154" spans="1:20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11"/>
        <v>#REF!</v>
      </c>
      <c r="K154" s="19" t="e">
        <f t="shared" si="12"/>
        <v>#REF!</v>
      </c>
      <c r="L154" s="19" t="e">
        <f t="shared" si="13"/>
        <v>#REF!</v>
      </c>
      <c r="M154" s="19" t="e">
        <f t="shared" si="14"/>
        <v>#REF!</v>
      </c>
      <c r="N154" s="19" t="str">
        <f t="shared" si="15"/>
        <v>{ORTHO_BOTH, ORTHO_BOTH, ORTHO_BOTH, EMPTY}</v>
      </c>
      <c r="P154" s="85"/>
      <c r="Q154" s="85"/>
      <c r="R154" s="85"/>
      <c r="S154" s="85"/>
      <c r="T154" s="85"/>
    </row>
    <row r="155" spans="1:20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11"/>
        <v>#REF!</v>
      </c>
      <c r="K155" s="19" t="e">
        <f t="shared" si="12"/>
        <v>#REF!</v>
      </c>
      <c r="L155" s="19" t="e">
        <f t="shared" si="13"/>
        <v>#REF!</v>
      </c>
      <c r="M155" s="19" t="e">
        <f t="shared" si="14"/>
        <v>#REF!</v>
      </c>
      <c r="N155" s="19" t="str">
        <f t="shared" si="15"/>
        <v>{ORTHO_BOTH, EMPTY, ORTHO_BOTH, ORTHO_BOTH}</v>
      </c>
      <c r="P155" s="85"/>
      <c r="Q155" s="85"/>
      <c r="R155" s="85"/>
      <c r="S155" s="85"/>
      <c r="T155" s="85"/>
    </row>
    <row r="156" spans="1:20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11"/>
        <v>#REF!</v>
      </c>
      <c r="K156" s="19" t="e">
        <f t="shared" si="12"/>
        <v>#REF!</v>
      </c>
      <c r="L156" s="19" t="e">
        <f t="shared" si="13"/>
        <v>#REF!</v>
      </c>
      <c r="M156" s="19" t="e">
        <f t="shared" si="14"/>
        <v>#REF!</v>
      </c>
      <c r="N156" s="19" t="str">
        <f t="shared" si="15"/>
        <v>{ORTHO_BOTH, ORTHO_BOTH, EMPTY, ORTHO_BOTH}</v>
      </c>
      <c r="P156" s="85"/>
      <c r="Q156" s="85"/>
      <c r="R156" s="85"/>
      <c r="S156" s="85"/>
      <c r="T156" s="85"/>
    </row>
    <row r="157" spans="1:20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11"/>
        <v>#REF!</v>
      </c>
      <c r="K157" s="19" t="e">
        <f t="shared" si="12"/>
        <v>#REF!</v>
      </c>
      <c r="L157" s="19" t="e">
        <f t="shared" si="13"/>
        <v>#REF!</v>
      </c>
      <c r="M157" s="19" t="e">
        <f t="shared" si="14"/>
        <v>#REF!</v>
      </c>
      <c r="N157" s="19" t="str">
        <f t="shared" si="15"/>
        <v>{ORTHO_BOTH, ORTHO_BOTH, ORTHO_BOTH, ORTHO_BOTH}</v>
      </c>
      <c r="P157" s="85"/>
      <c r="Q157" s="85"/>
      <c r="R157" s="85"/>
      <c r="S157" s="85"/>
      <c r="T157" s="85"/>
    </row>
    <row r="158" spans="1:20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11"/>
        <v>#REF!</v>
      </c>
      <c r="K158" s="19" t="e">
        <f t="shared" si="12"/>
        <v>#REF!</v>
      </c>
      <c r="L158" s="19" t="e">
        <f t="shared" si="13"/>
        <v>#REF!</v>
      </c>
      <c r="M158" s="19" t="e">
        <f t="shared" si="14"/>
        <v>#REF!</v>
      </c>
      <c r="N158" s="19" t="str">
        <f t="shared" si="15"/>
        <v>{ORTHO_RIGHT, ORTHO_BOTH, ORTHO_DOWN, ORTHO_BOTH}</v>
      </c>
      <c r="P158" s="85"/>
      <c r="Q158" s="85"/>
      <c r="R158" s="85"/>
      <c r="S158" s="85"/>
      <c r="T158" s="85"/>
    </row>
    <row r="159" spans="1:20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11"/>
        <v>#REF!</v>
      </c>
      <c r="K159" s="19" t="e">
        <f t="shared" si="12"/>
        <v>#REF!</v>
      </c>
      <c r="L159" s="19" t="e">
        <f t="shared" si="13"/>
        <v>#REF!</v>
      </c>
      <c r="M159" s="19" t="e">
        <f t="shared" si="14"/>
        <v>#REF!</v>
      </c>
      <c r="N159" s="19" t="str">
        <f t="shared" si="15"/>
        <v>{ORTHO_LEFT, ORTHO_BOTH, ORTHO_BOTH, ORTHO_DOWN}</v>
      </c>
      <c r="P159" s="85"/>
      <c r="Q159" s="85"/>
      <c r="R159" s="85"/>
      <c r="S159" s="85"/>
      <c r="T159" s="85"/>
    </row>
    <row r="160" spans="1:20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11"/>
        <v>#REF!</v>
      </c>
      <c r="K160" s="19" t="e">
        <f t="shared" si="12"/>
        <v>#REF!</v>
      </c>
      <c r="L160" s="19" t="e">
        <f t="shared" si="13"/>
        <v>#REF!</v>
      </c>
      <c r="M160" s="19" t="e">
        <f t="shared" si="14"/>
        <v>#REF!</v>
      </c>
      <c r="N160" s="19" t="str">
        <f t="shared" si="15"/>
        <v>{ORTHO_BOTH, ORTHO_LEFT, ORTHO_BOTH, ORTHO_UP}</v>
      </c>
      <c r="P160" s="85"/>
      <c r="Q160" s="85"/>
      <c r="R160" s="85"/>
      <c r="S160" s="85"/>
      <c r="T160" s="85"/>
    </row>
    <row r="161" spans="1:20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11"/>
        <v>#REF!</v>
      </c>
      <c r="K161" s="19" t="e">
        <f t="shared" si="12"/>
        <v>#REF!</v>
      </c>
      <c r="L161" s="19" t="e">
        <f t="shared" si="13"/>
        <v>#REF!</v>
      </c>
      <c r="M161" s="19" t="e">
        <f t="shared" si="14"/>
        <v>#REF!</v>
      </c>
      <c r="N161" s="19" t="str">
        <f t="shared" si="15"/>
        <v>{ORTHO_BOTH, ORTHO_RIGHT, ORTHO_UP, ORTHO_BOTH}</v>
      </c>
      <c r="P161" s="85"/>
      <c r="Q161" s="85"/>
      <c r="R161" s="85"/>
      <c r="S161" s="85"/>
      <c r="T161" s="85"/>
    </row>
    <row r="162" spans="1:20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11"/>
        <v/>
      </c>
      <c r="K162" s="19" t="str">
        <f t="shared" si="12"/>
        <v/>
      </c>
      <c r="L162" s="19" t="str">
        <f t="shared" si="13"/>
        <v/>
      </c>
      <c r="M162" s="19" t="str">
        <f t="shared" si="14"/>
        <v/>
      </c>
      <c r="N162" s="19" t="str">
        <f t="shared" si="15"/>
        <v/>
      </c>
      <c r="P162" s="85"/>
      <c r="Q162" s="85"/>
      <c r="R162" s="85"/>
      <c r="S162" s="85"/>
      <c r="T162" s="85"/>
    </row>
    <row r="163" spans="1:20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11"/>
        <v/>
      </c>
      <c r="K163" s="19" t="str">
        <f t="shared" si="12"/>
        <v/>
      </c>
      <c r="L163" s="19" t="str">
        <f t="shared" si="13"/>
        <v/>
      </c>
      <c r="M163" s="19" t="str">
        <f t="shared" si="14"/>
        <v/>
      </c>
      <c r="N163" s="19" t="str">
        <f t="shared" si="15"/>
        <v/>
      </c>
      <c r="P163" s="85"/>
      <c r="Q163" s="85"/>
      <c r="R163" s="85"/>
      <c r="S163" s="85"/>
      <c r="T163" s="85"/>
    </row>
    <row r="164" spans="1:20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11"/>
        <v/>
      </c>
      <c r="K164" s="19" t="str">
        <f t="shared" si="12"/>
        <v/>
      </c>
      <c r="L164" s="19" t="str">
        <f t="shared" si="13"/>
        <v/>
      </c>
      <c r="M164" s="19" t="str">
        <f t="shared" si="14"/>
        <v/>
      </c>
      <c r="N164" s="19" t="str">
        <f t="shared" si="15"/>
        <v/>
      </c>
      <c r="P164" s="85"/>
      <c r="Q164" s="85"/>
      <c r="R164" s="85"/>
      <c r="S164" s="85"/>
      <c r="T164" s="85"/>
    </row>
    <row r="165" spans="1:20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11"/>
        <v/>
      </c>
      <c r="K165" s="19" t="str">
        <f t="shared" si="12"/>
        <v/>
      </c>
      <c r="L165" s="19" t="str">
        <f t="shared" si="13"/>
        <v/>
      </c>
      <c r="M165" s="19" t="str">
        <f t="shared" si="14"/>
        <v/>
      </c>
      <c r="N165" s="19" t="str">
        <f t="shared" si="15"/>
        <v/>
      </c>
      <c r="P165" s="85"/>
      <c r="Q165" s="85"/>
      <c r="R165" s="85"/>
      <c r="S165" s="85"/>
      <c r="T165" s="85"/>
    </row>
    <row r="166" spans="1:20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11"/>
        <v/>
      </c>
      <c r="K166" s="19" t="str">
        <f t="shared" si="12"/>
        <v/>
      </c>
      <c r="L166" s="19" t="str">
        <f t="shared" si="13"/>
        <v/>
      </c>
      <c r="M166" s="19" t="str">
        <f t="shared" si="14"/>
        <v/>
      </c>
      <c r="N166" s="19" t="str">
        <f t="shared" si="15"/>
        <v/>
      </c>
      <c r="P166" s="85"/>
      <c r="Q166" s="85"/>
      <c r="R166" s="85"/>
      <c r="S166" s="85"/>
      <c r="T166" s="85"/>
    </row>
    <row r="167" spans="1:20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11"/>
        <v/>
      </c>
      <c r="K167" s="19" t="str">
        <f t="shared" si="12"/>
        <v/>
      </c>
      <c r="L167" s="19" t="str">
        <f t="shared" si="13"/>
        <v/>
      </c>
      <c r="M167" s="19" t="str">
        <f t="shared" si="14"/>
        <v/>
      </c>
      <c r="N167" s="19" t="str">
        <f t="shared" si="15"/>
        <v/>
      </c>
      <c r="P167" s="85"/>
      <c r="Q167" s="85"/>
      <c r="R167" s="85"/>
      <c r="S167" s="85"/>
      <c r="T167" s="85"/>
    </row>
    <row r="168" spans="1:20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11"/>
        <v/>
      </c>
      <c r="K168" s="19" t="str">
        <f t="shared" si="12"/>
        <v/>
      </c>
      <c r="L168" s="19" t="str">
        <f t="shared" si="13"/>
        <v/>
      </c>
      <c r="M168" s="19" t="str">
        <f t="shared" si="14"/>
        <v/>
      </c>
      <c r="N168" s="19" t="str">
        <f t="shared" si="15"/>
        <v/>
      </c>
      <c r="P168" s="85"/>
      <c r="Q168" s="85"/>
      <c r="R168" s="85"/>
      <c r="S168" s="85"/>
      <c r="T168" s="85"/>
    </row>
    <row r="169" spans="1:20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11"/>
        <v/>
      </c>
      <c r="K169" s="19" t="str">
        <f t="shared" si="12"/>
        <v/>
      </c>
      <c r="L169" s="19" t="str">
        <f t="shared" si="13"/>
        <v/>
      </c>
      <c r="M169" s="19" t="str">
        <f t="shared" si="14"/>
        <v/>
      </c>
      <c r="N169" s="19" t="str">
        <f t="shared" si="15"/>
        <v/>
      </c>
      <c r="P169" s="85"/>
      <c r="Q169" s="85"/>
      <c r="R169" s="85"/>
      <c r="S169" s="85"/>
      <c r="T169" s="85"/>
    </row>
    <row r="170" spans="1:20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11"/>
        <v/>
      </c>
      <c r="K170" s="19" t="str">
        <f t="shared" si="12"/>
        <v/>
      </c>
      <c r="L170" s="19" t="str">
        <f t="shared" si="13"/>
        <v/>
      </c>
      <c r="M170" s="19" t="str">
        <f t="shared" si="14"/>
        <v/>
      </c>
      <c r="N170" s="19" t="str">
        <f t="shared" si="15"/>
        <v/>
      </c>
      <c r="P170" s="85"/>
      <c r="Q170" s="85"/>
      <c r="R170" s="85"/>
      <c r="S170" s="85"/>
      <c r="T170" s="85"/>
    </row>
    <row r="171" spans="1:20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11"/>
        <v/>
      </c>
      <c r="K171" s="19" t="str">
        <f t="shared" si="12"/>
        <v/>
      </c>
      <c r="L171" s="19" t="str">
        <f t="shared" si="13"/>
        <v/>
      </c>
      <c r="M171" s="19" t="str">
        <f t="shared" si="14"/>
        <v/>
      </c>
      <c r="N171" s="19" t="str">
        <f t="shared" si="15"/>
        <v/>
      </c>
      <c r="P171" s="85"/>
      <c r="Q171" s="85"/>
      <c r="R171" s="85"/>
      <c r="S171" s="85"/>
      <c r="T171" s="85"/>
    </row>
    <row r="172" spans="1:20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11"/>
        <v/>
      </c>
      <c r="K172" s="19" t="str">
        <f t="shared" si="12"/>
        <v/>
      </c>
      <c r="L172" s="19" t="str">
        <f t="shared" si="13"/>
        <v/>
      </c>
      <c r="M172" s="19" t="str">
        <f t="shared" si="14"/>
        <v/>
      </c>
      <c r="N172" s="19" t="str">
        <f t="shared" si="15"/>
        <v/>
      </c>
      <c r="P172" s="85"/>
      <c r="Q172" s="85"/>
      <c r="R172" s="85"/>
      <c r="S172" s="85"/>
      <c r="T172" s="85"/>
    </row>
    <row r="173" spans="1:20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11"/>
        <v>#REF!</v>
      </c>
      <c r="K173" s="19" t="e">
        <f t="shared" si="12"/>
        <v>#REF!</v>
      </c>
      <c r="L173" s="19" t="e">
        <f t="shared" si="13"/>
        <v>#REF!</v>
      </c>
      <c r="M173" s="19" t="e">
        <f t="shared" si="14"/>
        <v>#REF!</v>
      </c>
      <c r="N173" s="19" t="str">
        <f t="shared" si="15"/>
        <v>{EMPTY, EMPTY, DIAG_FRONT, DIAG_BACK}</v>
      </c>
      <c r="P173" s="85"/>
      <c r="Q173" s="85"/>
      <c r="R173" s="85"/>
      <c r="S173" s="85"/>
      <c r="T173" s="85"/>
    </row>
    <row r="174" spans="1:20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11"/>
        <v>#REF!</v>
      </c>
      <c r="K174" s="19" t="e">
        <f t="shared" si="12"/>
        <v>#REF!</v>
      </c>
      <c r="L174" s="19" t="e">
        <f t="shared" si="13"/>
        <v>#REF!</v>
      </c>
      <c r="M174" s="19" t="e">
        <f t="shared" si="14"/>
        <v>#REF!</v>
      </c>
      <c r="N174" s="19" t="str">
        <f t="shared" si="15"/>
        <v>{EMPTY, EMPTY, DIAG_BACK, DIAG_FRONT}</v>
      </c>
      <c r="P174" s="85"/>
      <c r="Q174" s="85"/>
      <c r="R174" s="85"/>
      <c r="S174" s="85"/>
      <c r="T174" s="85"/>
    </row>
    <row r="175" spans="1:20" ht="30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11"/>
        <v>#REF!</v>
      </c>
      <c r="K175" s="19" t="e">
        <f t="shared" si="12"/>
        <v>#REF!</v>
      </c>
      <c r="L175" s="19" t="e">
        <f t="shared" si="13"/>
        <v>#REF!</v>
      </c>
      <c r="M175" s="19" t="e">
        <f t="shared" si="14"/>
        <v>#REF!</v>
      </c>
      <c r="N175" s="19" t="str">
        <f t="shared" si="15"/>
        <v>{DIAG_BACK, DIAG_FRONT, EMPTY, EMPTY}</v>
      </c>
      <c r="P175" s="85"/>
      <c r="Q175" s="85"/>
      <c r="R175" s="85"/>
      <c r="S175" s="85"/>
      <c r="T175" s="85"/>
    </row>
    <row r="176" spans="1:20" ht="30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11"/>
        <v>#REF!</v>
      </c>
      <c r="K176" s="19" t="e">
        <f t="shared" si="12"/>
        <v>#REF!</v>
      </c>
      <c r="L176" s="19" t="e">
        <f t="shared" si="13"/>
        <v>#REF!</v>
      </c>
      <c r="M176" s="19" t="e">
        <f t="shared" si="14"/>
        <v>#REF!</v>
      </c>
      <c r="N176" s="19" t="str">
        <f t="shared" si="15"/>
        <v>{DIAG_FRONT, DIAG_BACK, EMPTY, EMPTY}</v>
      </c>
      <c r="P176" s="85"/>
      <c r="Q176" s="85"/>
      <c r="R176" s="85"/>
      <c r="S176" s="85"/>
      <c r="T176" s="85"/>
    </row>
    <row r="177" spans="1:20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11"/>
        <v>#REF!</v>
      </c>
      <c r="K177" s="19" t="e">
        <f t="shared" si="12"/>
        <v>#REF!</v>
      </c>
      <c r="L177" s="19" t="e">
        <f t="shared" si="13"/>
        <v>#REF!</v>
      </c>
      <c r="M177" s="19" t="e">
        <f t="shared" si="14"/>
        <v>#REF!</v>
      </c>
      <c r="N177" s="19" t="str">
        <f t="shared" si="15"/>
        <v>{EMPTY, DIAG_BOTH, EMPTY, ORTHO_BOTH}</v>
      </c>
      <c r="P177" s="85"/>
      <c r="Q177" s="85"/>
      <c r="R177" s="85"/>
      <c r="S177" s="85"/>
      <c r="T177" s="85"/>
    </row>
    <row r="178" spans="1:20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11"/>
        <v>#REF!</v>
      </c>
      <c r="K178" s="19" t="e">
        <f t="shared" si="12"/>
        <v>#REF!</v>
      </c>
      <c r="L178" s="19" t="e">
        <f t="shared" si="13"/>
        <v>#REF!</v>
      </c>
      <c r="M178" s="19" t="e">
        <f t="shared" si="14"/>
        <v>#REF!</v>
      </c>
      <c r="N178" s="19" t="str">
        <f t="shared" si="15"/>
        <v>{EMPTY, DIAG_BOTH, ORTHO_BOTH, EMPTY}</v>
      </c>
      <c r="P178" s="85"/>
      <c r="Q178" s="85"/>
      <c r="R178" s="85"/>
      <c r="S178" s="85"/>
      <c r="T178" s="85"/>
    </row>
    <row r="179" spans="1:20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11"/>
        <v>#REF!</v>
      </c>
      <c r="K179" s="19" t="e">
        <f t="shared" si="12"/>
        <v>#REF!</v>
      </c>
      <c r="L179" s="19" t="e">
        <f t="shared" si="13"/>
        <v>#REF!</v>
      </c>
      <c r="M179" s="19" t="e">
        <f t="shared" si="14"/>
        <v>#REF!</v>
      </c>
      <c r="N179" s="19" t="str">
        <f t="shared" si="15"/>
        <v>{DIAG_BOTH, EMPTY, EMPTY, ORTHO_BOTH}</v>
      </c>
      <c r="P179" s="85"/>
      <c r="Q179" s="85"/>
      <c r="R179" s="85"/>
      <c r="S179" s="85"/>
      <c r="T179" s="85"/>
    </row>
    <row r="180" spans="1:20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11"/>
        <v>#REF!</v>
      </c>
      <c r="K180" s="19" t="e">
        <f t="shared" si="12"/>
        <v>#REF!</v>
      </c>
      <c r="L180" s="19" t="e">
        <f t="shared" si="13"/>
        <v>#REF!</v>
      </c>
      <c r="M180" s="19" t="e">
        <f t="shared" si="14"/>
        <v>#REF!</v>
      </c>
      <c r="N180" s="19" t="str">
        <f t="shared" si="15"/>
        <v>{DIAG_BOTH, EMPTY, ORTHO_BOTH, EMPTY}</v>
      </c>
      <c r="P180" s="85"/>
      <c r="Q180" s="85"/>
      <c r="R180" s="85"/>
      <c r="S180" s="85"/>
      <c r="T180" s="85"/>
    </row>
    <row r="181" spans="1:20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11"/>
        <v>#REF!</v>
      </c>
      <c r="K181" s="19" t="e">
        <f t="shared" si="12"/>
        <v>#REF!</v>
      </c>
      <c r="L181" s="19" t="e">
        <f t="shared" si="13"/>
        <v>#REF!</v>
      </c>
      <c r="M181" s="19" t="e">
        <f t="shared" si="14"/>
        <v>#REF!</v>
      </c>
      <c r="N181" s="19" t="str">
        <f t="shared" si="15"/>
        <v>{EMPTY, ORTHO_BOTH, EMPTY, DIAG_BOTH}</v>
      </c>
      <c r="P181" s="85"/>
      <c r="Q181" s="85"/>
      <c r="R181" s="85"/>
      <c r="S181" s="85"/>
      <c r="T181" s="85"/>
    </row>
    <row r="182" spans="1:20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11"/>
        <v>#REF!</v>
      </c>
      <c r="K182" s="19" t="e">
        <f t="shared" si="12"/>
        <v>#REF!</v>
      </c>
      <c r="L182" s="19" t="e">
        <f t="shared" si="13"/>
        <v>#REF!</v>
      </c>
      <c r="M182" s="19" t="e">
        <f t="shared" si="14"/>
        <v>#REF!</v>
      </c>
      <c r="N182" s="19" t="str">
        <f t="shared" si="15"/>
        <v>{EMPTY, ORTHO_BOTH, DIAG_BOTH, EMPTY}</v>
      </c>
      <c r="P182" s="85"/>
      <c r="Q182" s="85"/>
      <c r="R182" s="85"/>
      <c r="S182" s="85"/>
      <c r="T182" s="85"/>
    </row>
    <row r="183" spans="1:20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11"/>
        <v>#REF!</v>
      </c>
      <c r="K183" s="19" t="e">
        <f t="shared" si="12"/>
        <v>#REF!</v>
      </c>
      <c r="L183" s="19" t="e">
        <f t="shared" si="13"/>
        <v>#REF!</v>
      </c>
      <c r="M183" s="19" t="e">
        <f t="shared" si="14"/>
        <v>#REF!</v>
      </c>
      <c r="N183" s="19" t="str">
        <f t="shared" si="15"/>
        <v>{ORTHO_BOTH, EMPTY, EMPTY, DIAG_BOTH}</v>
      </c>
      <c r="P183" s="85"/>
      <c r="Q183" s="85"/>
      <c r="R183" s="85"/>
      <c r="S183" s="85"/>
      <c r="T183" s="85"/>
    </row>
    <row r="184" spans="1:20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11"/>
        <v>#REF!</v>
      </c>
      <c r="K184" s="19" t="e">
        <f t="shared" si="12"/>
        <v>#REF!</v>
      </c>
      <c r="L184" s="19" t="e">
        <f t="shared" si="13"/>
        <v>#REF!</v>
      </c>
      <c r="M184" s="19" t="e">
        <f t="shared" si="14"/>
        <v>#REF!</v>
      </c>
      <c r="N184" s="19" t="str">
        <f t="shared" si="15"/>
        <v>{ORTHO_BOTH, EMPTY, DIAG_BOTH, EMPTY}</v>
      </c>
      <c r="P184" s="85"/>
      <c r="Q184" s="85"/>
      <c r="R184" s="85"/>
      <c r="S184" s="85"/>
      <c r="T184" s="85"/>
    </row>
    <row r="185" spans="1:20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11"/>
        <v>#REF!</v>
      </c>
      <c r="K185" s="19" t="e">
        <f t="shared" si="12"/>
        <v>#REF!</v>
      </c>
      <c r="L185" s="19" t="e">
        <f t="shared" si="13"/>
        <v>#REF!</v>
      </c>
      <c r="M185" s="19" t="e">
        <f t="shared" si="14"/>
        <v>#REF!</v>
      </c>
      <c r="N185" s="19" t="str">
        <f t="shared" si="15"/>
        <v>{EMPTY, DIAG_FRONT, ORTHO_DOWN, EMPTY}</v>
      </c>
      <c r="P185" s="85"/>
      <c r="Q185" s="85"/>
      <c r="R185" s="85"/>
      <c r="S185" s="85"/>
      <c r="T185" s="85"/>
    </row>
    <row r="186" spans="1:20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11"/>
        <v>#REF!</v>
      </c>
      <c r="K186" s="19" t="e">
        <f t="shared" si="12"/>
        <v>#REF!</v>
      </c>
      <c r="L186" s="19" t="e">
        <f t="shared" si="13"/>
        <v>#REF!</v>
      </c>
      <c r="M186" s="19" t="e">
        <f t="shared" si="14"/>
        <v>#REF!</v>
      </c>
      <c r="N186" s="19" t="str">
        <f t="shared" si="15"/>
        <v>{ORTHO_LEFT, EMPTY, DIAG_FRONT, EMPTY}</v>
      </c>
      <c r="P186" s="85"/>
      <c r="Q186" s="85"/>
      <c r="R186" s="85"/>
      <c r="S186" s="85"/>
      <c r="T186" s="85"/>
    </row>
    <row r="187" spans="1:20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11"/>
        <v>#REF!</v>
      </c>
      <c r="K187" s="19" t="e">
        <f t="shared" si="12"/>
        <v>#REF!</v>
      </c>
      <c r="L187" s="19" t="e">
        <f t="shared" si="13"/>
        <v>#REF!</v>
      </c>
      <c r="M187" s="19" t="e">
        <f t="shared" si="14"/>
        <v>#REF!</v>
      </c>
      <c r="N187" s="19" t="str">
        <f t="shared" si="15"/>
        <v>{DIAG_FRONT, EMPTY, EMPTY, ORTHO_UP}</v>
      </c>
      <c r="P187" s="85"/>
      <c r="Q187" s="85"/>
      <c r="R187" s="85"/>
      <c r="S187" s="85"/>
      <c r="T187" s="85"/>
    </row>
    <row r="188" spans="1:20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11"/>
        <v>#REF!</v>
      </c>
      <c r="K188" s="19" t="e">
        <f t="shared" si="12"/>
        <v>#REF!</v>
      </c>
      <c r="L188" s="19" t="e">
        <f t="shared" si="13"/>
        <v>#REF!</v>
      </c>
      <c r="M188" s="19" t="e">
        <f t="shared" si="14"/>
        <v>#REF!</v>
      </c>
      <c r="N188" s="19" t="str">
        <f t="shared" si="15"/>
        <v>{EMPTY, ORTHO_RIGHT, EMPTY, DIAG_FRONT}</v>
      </c>
      <c r="P188" s="85"/>
      <c r="Q188" s="85"/>
      <c r="R188" s="85"/>
      <c r="S188" s="85"/>
      <c r="T188" s="85"/>
    </row>
    <row r="189" spans="1:20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11"/>
        <v>#REF!</v>
      </c>
      <c r="K189" s="19" t="e">
        <f t="shared" si="12"/>
        <v>#REF!</v>
      </c>
      <c r="L189" s="19" t="e">
        <f t="shared" si="13"/>
        <v>#REF!</v>
      </c>
      <c r="M189" s="19" t="e">
        <f t="shared" si="14"/>
        <v>#REF!</v>
      </c>
      <c r="N189" s="19" t="str">
        <f t="shared" si="15"/>
        <v>{EMPTY, DIAG_BACK, EMPTY, ORTHO_DOWN}</v>
      </c>
      <c r="P189" s="85"/>
      <c r="Q189" s="85"/>
      <c r="R189" s="85"/>
      <c r="S189" s="85"/>
      <c r="T189" s="85"/>
    </row>
    <row r="190" spans="1:20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11"/>
        <v>#REF!</v>
      </c>
      <c r="K190" s="19" t="e">
        <f t="shared" si="12"/>
        <v>#REF!</v>
      </c>
      <c r="L190" s="19" t="e">
        <f t="shared" si="13"/>
        <v>#REF!</v>
      </c>
      <c r="M190" s="19" t="e">
        <f t="shared" si="14"/>
        <v>#REF!</v>
      </c>
      <c r="N190" s="19" t="str">
        <f t="shared" si="15"/>
        <v>{EMPTY, ORTHO_LEFT, DIAG_BACK, EMPTY}</v>
      </c>
      <c r="P190" s="85"/>
      <c r="Q190" s="85"/>
      <c r="R190" s="85"/>
      <c r="S190" s="85"/>
      <c r="T190" s="85"/>
    </row>
    <row r="191" spans="1:20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11"/>
        <v>#REF!</v>
      </c>
      <c r="K191" s="19" t="e">
        <f t="shared" si="12"/>
        <v>#REF!</v>
      </c>
      <c r="L191" s="19" t="e">
        <f t="shared" si="13"/>
        <v>#REF!</v>
      </c>
      <c r="M191" s="19" t="e">
        <f t="shared" si="14"/>
        <v>#REF!</v>
      </c>
      <c r="N191" s="19" t="str">
        <f t="shared" si="15"/>
        <v>{DIAG_BACK, EMPTY, ORTHO_UP, EMPTY}</v>
      </c>
      <c r="P191" s="85"/>
      <c r="Q191" s="85"/>
      <c r="R191" s="85"/>
      <c r="S191" s="85"/>
      <c r="T191" s="85"/>
    </row>
    <row r="192" spans="1:20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11"/>
        <v>#REF!</v>
      </c>
      <c r="K192" s="19" t="e">
        <f t="shared" si="12"/>
        <v>#REF!</v>
      </c>
      <c r="L192" s="19" t="e">
        <f t="shared" si="13"/>
        <v>#REF!</v>
      </c>
      <c r="M192" s="19" t="e">
        <f t="shared" si="14"/>
        <v>#REF!</v>
      </c>
      <c r="N192" s="19" t="str">
        <f t="shared" si="15"/>
        <v>{ORTHO_RIGHT, EMPTY, EMPTY, DIAG_BACK}</v>
      </c>
      <c r="P192" s="85"/>
      <c r="Q192" s="85"/>
      <c r="R192" s="85"/>
      <c r="S192" s="85"/>
      <c r="T192" s="85"/>
    </row>
    <row r="193" spans="1:20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11"/>
        <v>#REF!</v>
      </c>
      <c r="K193" s="19" t="e">
        <f t="shared" si="12"/>
        <v>#REF!</v>
      </c>
      <c r="L193" s="19" t="e">
        <f t="shared" si="13"/>
        <v>#REF!</v>
      </c>
      <c r="M193" s="19" t="e">
        <f t="shared" si="14"/>
        <v>#REF!</v>
      </c>
      <c r="N193" s="19" t="str">
        <f t="shared" si="15"/>
        <v>{EMPTY, EMPTY, ORTHO_BOTH, ORTHO_BOTH}</v>
      </c>
      <c r="P193" s="85"/>
      <c r="Q193" s="85"/>
      <c r="R193" s="85"/>
      <c r="S193" s="85"/>
      <c r="T193" s="85"/>
    </row>
    <row r="194" spans="1:20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11"/>
        <v>#REF!</v>
      </c>
      <c r="K194" s="19" t="e">
        <f t="shared" si="12"/>
        <v>#REF!</v>
      </c>
      <c r="L194" s="19" t="e">
        <f t="shared" si="13"/>
        <v>#REF!</v>
      </c>
      <c r="M194" s="19" t="e">
        <f t="shared" si="14"/>
        <v>#REF!</v>
      </c>
      <c r="N194" s="19" t="str">
        <f t="shared" si="15"/>
        <v>{EMPTY, EMPTY, EMPTY, DIAG_BOTH}</v>
      </c>
      <c r="P194" s="85"/>
      <c r="Q194" s="85"/>
      <c r="R194" s="85"/>
      <c r="S194" s="85"/>
      <c r="T194" s="85"/>
    </row>
    <row r="195" spans="1:20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6">IF(A195&lt;&gt;"","conv("""&amp;A195&amp;""")","")</f>
        <v>#REF!</v>
      </c>
      <c r="K195" s="19" t="e">
        <f t="shared" ref="K195:K202" si="17">IF(B195&lt;&gt;"","conv("""&amp;B195&amp;""")","")</f>
        <v>#REF!</v>
      </c>
      <c r="L195" s="19" t="e">
        <f t="shared" ref="L195:L202" si="18">IF(C195&lt;&gt;"","conv("""&amp;C195&amp;""")","")</f>
        <v>#REF!</v>
      </c>
      <c r="M195" s="19" t="e">
        <f t="shared" ref="M195:M202" si="19">IF(D195&lt;&gt;"","conv("""&amp;D195&amp;""")","")</f>
        <v>#REF!</v>
      </c>
      <c r="N195" s="19" t="str">
        <f t="shared" ref="N195:N202" si="20">IF(E195&lt;&gt;"","{"&amp;E195&amp;"}","")</f>
        <v>{EMPTY, DIAG_BOTH, EMPTY, EMPTY}</v>
      </c>
      <c r="P195" s="85"/>
      <c r="Q195" s="85"/>
      <c r="R195" s="85"/>
      <c r="S195" s="85"/>
      <c r="T195" s="85"/>
    </row>
    <row r="196" spans="1:20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6"/>
        <v>#REF!</v>
      </c>
      <c r="K196" s="19" t="e">
        <f t="shared" si="17"/>
        <v>#REF!</v>
      </c>
      <c r="L196" s="19" t="e">
        <f t="shared" si="18"/>
        <v>#REF!</v>
      </c>
      <c r="M196" s="19" t="e">
        <f t="shared" si="19"/>
        <v>#REF!</v>
      </c>
      <c r="N196" s="19" t="str">
        <f t="shared" si="20"/>
        <v>{ORTHO_BOTH, ORTHO_BOTH, EMPTY, EMPTY}</v>
      </c>
      <c r="P196" s="85"/>
      <c r="Q196" s="85"/>
      <c r="R196" s="85"/>
      <c r="S196" s="85"/>
      <c r="T196" s="85"/>
    </row>
    <row r="197" spans="1:20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6"/>
        <v>#REF!</v>
      </c>
      <c r="K197" s="19" t="e">
        <f t="shared" si="17"/>
        <v>#REF!</v>
      </c>
      <c r="L197" s="19" t="e">
        <f t="shared" si="18"/>
        <v>#REF!</v>
      </c>
      <c r="M197" s="19" t="e">
        <f t="shared" si="19"/>
        <v>#REF!</v>
      </c>
      <c r="N197" s="19" t="str">
        <f t="shared" si="20"/>
        <v>{EMPTY, DIAG_BOTH, EMPTY, DIAG_BOTH}</v>
      </c>
      <c r="P197" s="85"/>
      <c r="Q197" s="85"/>
      <c r="R197" s="85"/>
      <c r="S197" s="85"/>
      <c r="T197" s="85"/>
    </row>
    <row r="198" spans="1:20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6"/>
        <v>#REF!</v>
      </c>
      <c r="K198" s="19" t="e">
        <f t="shared" si="17"/>
        <v>#REF!</v>
      </c>
      <c r="L198" s="19" t="e">
        <f t="shared" si="18"/>
        <v>#REF!</v>
      </c>
      <c r="M198" s="19" t="e">
        <f t="shared" si="19"/>
        <v>#REF!</v>
      </c>
      <c r="N198" s="19" t="str">
        <f t="shared" si="20"/>
        <v>{DIAG_BOTH, EMPTY, EMPTY, DIAG_BOTH}</v>
      </c>
      <c r="P198" s="85"/>
      <c r="Q198" s="85"/>
      <c r="R198" s="85"/>
      <c r="S198" s="85"/>
      <c r="T198" s="85"/>
    </row>
    <row r="199" spans="1:20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6"/>
        <v>#REF!</v>
      </c>
      <c r="K199" s="19" t="e">
        <f t="shared" si="17"/>
        <v>#REF!</v>
      </c>
      <c r="L199" s="19" t="e">
        <f t="shared" si="18"/>
        <v>#REF!</v>
      </c>
      <c r="M199" s="19" t="e">
        <f t="shared" si="19"/>
        <v>#REF!</v>
      </c>
      <c r="N199" s="19" t="str">
        <f t="shared" si="20"/>
        <v>{DIAG_BOTH, EMPTY, DIAG_BOTH, EMPTY}</v>
      </c>
      <c r="P199" s="85"/>
      <c r="Q199" s="85"/>
      <c r="R199" s="85"/>
      <c r="S199" s="85"/>
      <c r="T199" s="85"/>
    </row>
    <row r="200" spans="1:20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6"/>
        <v>#REF!</v>
      </c>
      <c r="K200" s="19" t="e">
        <f t="shared" si="17"/>
        <v>#REF!</v>
      </c>
      <c r="L200" s="19" t="e">
        <f t="shared" si="18"/>
        <v>#REF!</v>
      </c>
      <c r="M200" s="19" t="e">
        <f t="shared" si="19"/>
        <v>#REF!</v>
      </c>
      <c r="N200" s="19" t="str">
        <f t="shared" si="20"/>
        <v>{EMPTY, DIAG_BOTH, DIAG_BOTH, EMPTY}</v>
      </c>
      <c r="P200" s="85"/>
      <c r="Q200" s="85"/>
      <c r="R200" s="85"/>
      <c r="S200" s="85"/>
      <c r="T200" s="85"/>
    </row>
    <row r="201" spans="1:20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6"/>
        <v>#REF!</v>
      </c>
      <c r="K201" s="19" t="e">
        <f t="shared" si="17"/>
        <v>#REF!</v>
      </c>
      <c r="L201" s="19" t="e">
        <f t="shared" si="18"/>
        <v>#REF!</v>
      </c>
      <c r="M201" s="19" t="e">
        <f t="shared" si="19"/>
        <v>#REF!</v>
      </c>
      <c r="N201" s="19" t="str">
        <f t="shared" si="20"/>
        <v>{DIAG_BOTH, EMPTY, EMPTY, EMPTY}</v>
      </c>
      <c r="P201" s="85"/>
      <c r="Q201" s="85"/>
      <c r="R201" s="85"/>
      <c r="S201" s="85"/>
      <c r="T201" s="85"/>
    </row>
    <row r="202" spans="1:20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6"/>
        <v>#REF!</v>
      </c>
      <c r="K202" s="19" t="e">
        <f t="shared" si="17"/>
        <v>#REF!</v>
      </c>
      <c r="L202" s="19" t="e">
        <f t="shared" si="18"/>
        <v>#REF!</v>
      </c>
      <c r="M202" s="19" t="e">
        <f t="shared" si="19"/>
        <v>#REF!</v>
      </c>
      <c r="N202" s="19" t="str">
        <f t="shared" si="20"/>
        <v>{EMPTY, EMPTY, DIAG_BOTH, EMPTY}</v>
      </c>
      <c r="P202" s="85"/>
      <c r="Q202" s="85"/>
      <c r="R202" s="85"/>
      <c r="S202" s="85"/>
      <c r="T202" s="85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19" customWidth="1"/>
    <col min="14" max="14" width="25.140625" style="19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15" customFormat="1" ht="30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"const wxString symbol[total] = {"</f>
        <v>const wxString symbol[total] = {</v>
      </c>
      <c r="K1" s="18" t="str">
        <f>"const int rotate[total] = {"</f>
        <v>const int rotate[total] = {</v>
      </c>
      <c r="L1" s="18" t="str">
        <f>"const int reflectY[total] = {"</f>
        <v>const int reflectY[total] = {</v>
      </c>
      <c r="M1" s="18" t="str">
        <f>"const int reflectX[total] = {"</f>
        <v>const int reflectX[total] = {</v>
      </c>
      <c r="N1" s="18" t="str">
        <f>"const ConnectionType allConnections[total][4] = {"</f>
        <v>const ConnectionType allConnections[total][4] = {</v>
      </c>
    </row>
    <row r="2" spans="1:26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IF(B2&lt;&gt;"",VLOOKUP(B2,'Formatted NEW'!$D:$M,12,FALSE),"")</f>
        <v>#REF!</v>
      </c>
      <c r="L2" s="19" t="e">
        <f>IF(C2&lt;&gt;"",VLOOKUP(C2,'Formatted NEW'!$D:$M,12,FALSE),"")</f>
        <v>#REF!</v>
      </c>
      <c r="M2" s="19" t="e">
        <f>IF(D2&lt;&gt;"",VLOOKUP(D2,'Formatted NEW'!$D:$M,12,FALSE),"")</f>
        <v>#REF!</v>
      </c>
      <c r="N2" s="19" t="str">
        <f>IF(E2&lt;&gt;"","{"&amp;E2&amp;"}","")</f>
        <v>{EMPTY, EMPTY, EMPTY, EMPTY}</v>
      </c>
      <c r="P2" s="85" t="e">
        <f>J1&amp;_xlfn.TEXTJOIN(", ",TRUE,J2:J202)&amp;"};"</f>
        <v>#REF!</v>
      </c>
      <c r="Q2" s="85" t="e">
        <f t="shared" ref="Q2:S2" si="0">K1&amp;_xlfn.TEXTJOIN(", ",TRUE,K2:K202)&amp;"};"</f>
        <v>#REF!</v>
      </c>
      <c r="R2" s="85" t="e">
        <f t="shared" si="0"/>
        <v>#REF!</v>
      </c>
      <c r="S2" s="85" t="e">
        <f t="shared" si="0"/>
        <v>#REF!</v>
      </c>
      <c r="T2" s="85" t="str">
        <f>N1&amp;_xlfn.TEXTJOIN(", ",TRUE,N2:N202)&amp;"};"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  <c r="W2" t="s">
        <v>207</v>
      </c>
      <c r="X2" t="s">
        <v>208</v>
      </c>
      <c r="Y2" t="s">
        <v>209</v>
      </c>
      <c r="Z2" t="s">
        <v>210</v>
      </c>
    </row>
    <row r="3" spans="1:26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>IF(B3&lt;&gt;"",VLOOKUP(B3,'Formatted NEW'!$D:$M,12,FALSE),"")</f>
        <v>#REF!</v>
      </c>
      <c r="L3" s="19" t="e">
        <f>IF(C3&lt;&gt;"",VLOOKUP(C3,'Formatted NEW'!$D:$M,12,FALSE),"")</f>
        <v>#REF!</v>
      </c>
      <c r="M3" s="19" t="e">
        <f>IF(D3&lt;&gt;"",VLOOKUP(D3,'Formatted NEW'!$D:$M,12,FALSE),"")</f>
        <v>#REF!</v>
      </c>
      <c r="N3" s="19" t="str">
        <f t="shared" ref="N3:N66" si="2">IF(E3&lt;&gt;"","{"&amp;E3&amp;"}","")</f>
        <v>{EMPTY, EMPTY, ORTHO_BOTH, ORTHO_BOTH}</v>
      </c>
      <c r="P3" s="85"/>
      <c r="Q3" s="85"/>
      <c r="R3" s="85"/>
      <c r="S3" s="85"/>
      <c r="T3" s="85"/>
      <c r="V3" t="str">
        <f>'Formatted NEW'!Z2</f>
        <v>EMPTY</v>
      </c>
      <c r="W3" s="20" t="str">
        <f>W$2&amp;$V3&amp;"[total]"</f>
        <v>topEMPTY[total]</v>
      </c>
      <c r="X3" s="20" t="str">
        <f t="shared" ref="X3:Z9" si="3">X$2&amp;$V3&amp;"[total]"</f>
        <v>bottomEMPTY[total]</v>
      </c>
      <c r="Y3" s="20" t="str">
        <f t="shared" si="3"/>
        <v>leftEMPTY[total]</v>
      </c>
      <c r="Z3" s="20" t="str">
        <f t="shared" si="3"/>
        <v>rightEMPTY[total]</v>
      </c>
    </row>
    <row r="4" spans="1:26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>IF(B4&lt;&gt;"",VLOOKUP(B4,'Formatted NEW'!$D:$M,12,FALSE),"")</f>
        <v>#REF!</v>
      </c>
      <c r="L4" s="19" t="e">
        <f>IF(C4&lt;&gt;"",VLOOKUP(C4,'Formatted NEW'!$D:$M,12,FALSE),"")</f>
        <v>#REF!</v>
      </c>
      <c r="M4" s="19" t="e">
        <f>IF(D4&lt;&gt;"",VLOOKUP(D4,'Formatted NEW'!$D:$M,12,FALSE),"")</f>
        <v>#REF!</v>
      </c>
      <c r="N4" s="19" t="str">
        <f t="shared" si="2"/>
        <v>{ORTHO_BOTH, ORTHO_BOTH, ORTHO_BOTH, ORTHO_BOTH}</v>
      </c>
      <c r="P4" s="85"/>
      <c r="Q4" s="85"/>
      <c r="R4" s="85"/>
      <c r="S4" s="85"/>
      <c r="T4" s="85"/>
      <c r="V4" t="str">
        <f>'Formatted NEW'!Z3</f>
        <v>DIAG_BOTH</v>
      </c>
      <c r="W4" s="20" t="str">
        <f t="shared" ref="W4:W9" si="4">W$2&amp;$V4&amp;"[total]"</f>
        <v>topDIAG_BOTH[total]</v>
      </c>
      <c r="X4" s="20" t="str">
        <f t="shared" si="3"/>
        <v>bottomDIAG_BOTH[total]</v>
      </c>
      <c r="Y4" s="20" t="str">
        <f t="shared" si="3"/>
        <v>leftDIAG_BOTH[total]</v>
      </c>
      <c r="Z4" s="20" t="str">
        <f t="shared" si="3"/>
        <v>rightDIAG_BOTH[total]</v>
      </c>
    </row>
    <row r="5" spans="1:26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>IF(B5&lt;&gt;"",VLOOKUP(B5,'Formatted NEW'!$D:$M,12,FALSE),"")</f>
        <v>#REF!</v>
      </c>
      <c r="L5" s="19" t="e">
        <f>IF(C5&lt;&gt;"",VLOOKUP(C5,'Formatted NEW'!$D:$M,12,FALSE),"")</f>
        <v>#REF!</v>
      </c>
      <c r="M5" s="19" t="e">
        <f>IF(D5&lt;&gt;"",VLOOKUP(D5,'Formatted NEW'!$D:$M,12,FALSE),"")</f>
        <v>#REF!</v>
      </c>
      <c r="N5" s="19" t="str">
        <f t="shared" si="2"/>
        <v>{EMPTY, EMPTY, ORTHO_BOTH, ORTHO_BOTH}</v>
      </c>
      <c r="P5" s="85"/>
      <c r="Q5" s="85"/>
      <c r="R5" s="85"/>
      <c r="S5" s="85"/>
      <c r="T5" s="85"/>
      <c r="V5" t="str">
        <f>'Formatted NEW'!Z4</f>
        <v>ORTHO_BOTH</v>
      </c>
      <c r="W5" s="20" t="str">
        <f t="shared" si="4"/>
        <v>topORTHO_BOTH[total]</v>
      </c>
      <c r="X5" s="20" t="str">
        <f t="shared" si="3"/>
        <v>bottomORTHO_BOTH[total]</v>
      </c>
      <c r="Y5" s="20" t="str">
        <f t="shared" si="3"/>
        <v>leftORTHO_BOTH[total]</v>
      </c>
      <c r="Z5" s="20" t="str">
        <f t="shared" si="3"/>
        <v>rightORTHO_BOTH[total]</v>
      </c>
    </row>
    <row r="6" spans="1:26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>IF(B6&lt;&gt;"",VLOOKUP(B6,'Formatted NEW'!$D:$M,12,FALSE),"")</f>
        <v>#REF!</v>
      </c>
      <c r="L6" s="19" t="e">
        <f>IF(C6&lt;&gt;"",VLOOKUP(C6,'Formatted NEW'!$D:$M,12,FALSE),"")</f>
        <v>#REF!</v>
      </c>
      <c r="M6" s="19" t="e">
        <f>IF(D6&lt;&gt;"",VLOOKUP(D6,'Formatted NEW'!$D:$M,12,FALSE),"")</f>
        <v>#REF!</v>
      </c>
      <c r="N6" s="19" t="str">
        <f t="shared" si="2"/>
        <v>{EMPTY, ORTHO_BOTH, EMPTY, EMPTY}</v>
      </c>
      <c r="P6" s="85"/>
      <c r="Q6" s="85"/>
      <c r="R6" s="85"/>
      <c r="S6" s="85"/>
      <c r="T6" s="85"/>
      <c r="V6" t="str">
        <f>'Formatted NEW'!Z5</f>
        <v>DIAG_FRONT</v>
      </c>
      <c r="W6" s="20" t="str">
        <f t="shared" si="4"/>
        <v>topDIAG_FRONT[total]</v>
      </c>
      <c r="X6" s="20" t="str">
        <f t="shared" si="3"/>
        <v>bottomDIAG_FRONT[total]</v>
      </c>
      <c r="Y6" s="20" t="str">
        <f t="shared" si="3"/>
        <v>leftDIAG_FRONT[total]</v>
      </c>
      <c r="Z6" s="20" t="str">
        <f t="shared" si="3"/>
        <v>rightDIAG_FRONT[total]</v>
      </c>
    </row>
    <row r="7" spans="1:26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>IF(B7&lt;&gt;"",VLOOKUP(B7,'Formatted NEW'!$D:$M,12,FALSE),"")</f>
        <v>#REF!</v>
      </c>
      <c r="L7" s="19" t="e">
        <f>IF(C7&lt;&gt;"",VLOOKUP(C7,'Formatted NEW'!$D:$M,12,FALSE),"")</f>
        <v>#REF!</v>
      </c>
      <c r="M7" s="19" t="e">
        <f>IF(D7&lt;&gt;"",VLOOKUP(D7,'Formatted NEW'!$D:$M,12,FALSE),"")</f>
        <v>#REF!</v>
      </c>
      <c r="N7" s="19" t="str">
        <f t="shared" si="2"/>
        <v>{EMPTY, DIAG_BOTH, ORTHO_BOTH, ORTHO_BOTH}</v>
      </c>
      <c r="P7" s="85"/>
      <c r="Q7" s="85"/>
      <c r="R7" s="85"/>
      <c r="S7" s="85"/>
      <c r="T7" s="85"/>
      <c r="V7" t="str">
        <f>'Formatted NEW'!Z6</f>
        <v>DIAG_BACK</v>
      </c>
      <c r="W7" s="20" t="str">
        <f t="shared" si="4"/>
        <v>topDIAG_BACK[total]</v>
      </c>
      <c r="X7" s="20" t="str">
        <f t="shared" si="3"/>
        <v>bottomDIAG_BACK[total]</v>
      </c>
      <c r="Y7" s="20" t="str">
        <f t="shared" si="3"/>
        <v>leftDIAG_BACK[total]</v>
      </c>
      <c r="Z7" s="20" t="str">
        <f t="shared" si="3"/>
        <v>rightDIAG_BACK[total]</v>
      </c>
    </row>
    <row r="8" spans="1:26" ht="45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>IF(B8&lt;&gt;"",VLOOKUP(B8,'Formatted NEW'!$D:$M,12,FALSE),"")</f>
        <v>#REF!</v>
      </c>
      <c r="L8" s="19" t="e">
        <f>IF(C8&lt;&gt;"",VLOOKUP(C8,'Formatted NEW'!$D:$M,12,FALSE),"")</f>
        <v>#REF!</v>
      </c>
      <c r="M8" s="19" t="e">
        <f>IF(D8&lt;&gt;"",VLOOKUP(D8,'Formatted NEW'!$D:$M,12,FALSE),"")</f>
        <v>#REF!</v>
      </c>
      <c r="N8" s="19" t="str">
        <f t="shared" si="2"/>
        <v>{DIAG_BOTH, ORTHO_BOTH, EMPTY, ORTHO_BOTH}</v>
      </c>
      <c r="P8" s="85"/>
      <c r="Q8" s="85"/>
      <c r="R8" s="85"/>
      <c r="S8" s="85"/>
      <c r="T8" s="85"/>
      <c r="V8" t="str">
        <f>'Formatted NEW'!Z7</f>
        <v>ORTHO_UP</v>
      </c>
      <c r="W8" s="20" t="str">
        <f t="shared" si="4"/>
        <v>topORTHO_UP[total]</v>
      </c>
      <c r="X8" s="20" t="str">
        <f t="shared" si="3"/>
        <v>bottomORTHO_UP[total]</v>
      </c>
      <c r="Y8" s="20" t="str">
        <f t="shared" si="3"/>
        <v>leftORTHO_UP[total]</v>
      </c>
      <c r="Z8" s="20" t="str">
        <f t="shared" si="3"/>
        <v>rightORTHO_UP[total]</v>
      </c>
    </row>
    <row r="9" spans="1:26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>IF(B9&lt;&gt;"",VLOOKUP(B9,'Formatted NEW'!$D:$M,12,FALSE),"")</f>
        <v>#REF!</v>
      </c>
      <c r="L9" s="19" t="e">
        <f>IF(C9&lt;&gt;"",VLOOKUP(C9,'Formatted NEW'!$D:$M,12,FALSE),"")</f>
        <v>#REF!</v>
      </c>
      <c r="M9" s="19" t="e">
        <f>IF(D9&lt;&gt;"",VLOOKUP(D9,'Formatted NEW'!$D:$M,12,FALSE),"")</f>
        <v>#REF!</v>
      </c>
      <c r="N9" s="19" t="str">
        <f t="shared" si="2"/>
        <v>{DIAG_BOTH, DIAG_BOTH, DIAG_BOTH, DIAG_BOTH}</v>
      </c>
      <c r="P9" s="85"/>
      <c r="Q9" s="85"/>
      <c r="R9" s="85"/>
      <c r="S9" s="85"/>
      <c r="T9" s="85"/>
      <c r="V9" t="str">
        <f>'Formatted NEW'!Z8</f>
        <v>ORTHO_DOWN</v>
      </c>
      <c r="W9" s="20" t="str">
        <f t="shared" si="4"/>
        <v>topORTHO_DOWN[total]</v>
      </c>
      <c r="X9" s="20" t="str">
        <f t="shared" si="3"/>
        <v>bottomORTHO_DOWN[total]</v>
      </c>
      <c r="Y9" s="20" t="str">
        <f t="shared" si="3"/>
        <v>leftORTHO_DOWN[total]</v>
      </c>
      <c r="Z9" s="20" t="str">
        <f t="shared" si="3"/>
        <v>rightORTHO_DOWN[total]</v>
      </c>
    </row>
    <row r="10" spans="1:26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>IF(B10&lt;&gt;"",VLOOKUP(B10,'Formatted NEW'!$D:$M,12,FALSE),"")</f>
        <v>#REF!</v>
      </c>
      <c r="L10" s="19" t="e">
        <f>IF(C10&lt;&gt;"",VLOOKUP(C10,'Formatted NEW'!$D:$M,12,FALSE),"")</f>
        <v>#REF!</v>
      </c>
      <c r="M10" s="19" t="e">
        <f>IF(D10&lt;&gt;"",VLOOKUP(D10,'Formatted NEW'!$D:$M,12,FALSE),"")</f>
        <v>#REF!</v>
      </c>
      <c r="N10" s="19" t="str">
        <f t="shared" si="2"/>
        <v>{EMPTY, ORTHO_BOTH, EMPTY, ORTHO_BOTH}</v>
      </c>
      <c r="P10" s="85"/>
      <c r="Q10" s="85"/>
      <c r="R10" s="85"/>
      <c r="S10" s="85"/>
      <c r="T10" s="85"/>
    </row>
    <row r="11" spans="1:26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>IF(B11&lt;&gt;"",VLOOKUP(B11,'Formatted NEW'!$D:$M,12,FALSE),"")</f>
        <v>#REF!</v>
      </c>
      <c r="L11" s="19" t="e">
        <f>IF(C11&lt;&gt;"",VLOOKUP(C11,'Formatted NEW'!$D:$M,12,FALSE),"")</f>
        <v>#REF!</v>
      </c>
      <c r="M11" s="19" t="e">
        <f>IF(D11&lt;&gt;"",VLOOKUP(D11,'Formatted NEW'!$D:$M,12,FALSE),"")</f>
        <v>#REF!</v>
      </c>
      <c r="N11" s="19" t="str">
        <f t="shared" si="2"/>
        <v>{EMPTY, ORTHO_BOTH, ORTHO_BOTH, EMPTY}</v>
      </c>
      <c r="P11" s="85"/>
      <c r="Q11" s="85"/>
      <c r="R11" s="85"/>
      <c r="S11" s="85"/>
      <c r="T11" s="85"/>
      <c r="W11" t="str">
        <f>_xlfn.TEXTJOIN(", ",TRUE,W3:W9)</f>
        <v>topEMPTY[total], topDIAG_BOTH[total], topORTHO_BOTH[total], topDIAG_FRONT[total], topDIAG_BACK[total], topORTHO_UP[total], topORTHO_DOWN[total]</v>
      </c>
      <c r="X11" t="str">
        <f t="shared" ref="X11:Z11" si="5">_xlfn.TEXTJOIN(", ",TRUE,X3:X9)</f>
        <v>bottomEMPTY[total], bottomDIAG_BOTH[total], bottomORTHO_BOTH[total], bottomDIAG_FRONT[total], bottomDIAG_BACK[total], bottomORTHO_UP[total], bottomORTHO_DOWN[total]</v>
      </c>
      <c r="Y11" t="str">
        <f t="shared" si="5"/>
        <v>leftEMPTY[total], leftDIAG_BOTH[total], leftORTHO_BOTH[total], leftDIAG_FRONT[total], leftDIAG_BACK[total], leftORTHO_UP[total], leftORTHO_DOWN[total]</v>
      </c>
      <c r="Z11" t="str">
        <f t="shared" si="5"/>
        <v>rightEMPTY[total], rightDIAG_BOTH[total], rightORTHO_BOTH[total], rightDIAG_FRONT[total], rightDIAG_BACK[total], rightORTHO_UP[total], rightORTHO_DOWN[total]</v>
      </c>
    </row>
    <row r="12" spans="1:26" ht="45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>IF(B12&lt;&gt;"",VLOOKUP(B12,'Formatted NEW'!$D:$M,12,FALSE),"")</f>
        <v>#REF!</v>
      </c>
      <c r="L12" s="19" t="e">
        <f>IF(C12&lt;&gt;"",VLOOKUP(C12,'Formatted NEW'!$D:$M,12,FALSE),"")</f>
        <v>#REF!</v>
      </c>
      <c r="M12" s="19" t="e">
        <f>IF(D12&lt;&gt;"",VLOOKUP(D12,'Formatted NEW'!$D:$M,12,FALSE),"")</f>
        <v>#REF!</v>
      </c>
      <c r="N12" s="19" t="str">
        <f t="shared" si="2"/>
        <v>{DIAG_BOTH, ORTHO_BOTH, ORTHO_BOTH, EMPTY}</v>
      </c>
      <c r="P12" s="85"/>
      <c r="Q12" s="85"/>
      <c r="R12" s="85"/>
      <c r="S12" s="85"/>
      <c r="T12" s="85"/>
    </row>
    <row r="13" spans="1:26" ht="6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>IF(B13&lt;&gt;"",VLOOKUP(B13,'Formatted NEW'!$D:$M,12,FALSE),"")</f>
        <v>#REF!</v>
      </c>
      <c r="L13" s="19" t="e">
        <f>IF(C13&lt;&gt;"",VLOOKUP(C13,'Formatted NEW'!$D:$M,12,FALSE),"")</f>
        <v>#REF!</v>
      </c>
      <c r="M13" s="19" t="e">
        <f>IF(D13&lt;&gt;"",VLOOKUP(D13,'Formatted NEW'!$D:$M,12,FALSE),"")</f>
        <v>#REF!</v>
      </c>
      <c r="N13" s="19" t="str">
        <f t="shared" si="2"/>
        <v>{DIAG_BOTH, ORTHO_BOTH, ORTHO_BOTH, DIAG_BOTH}</v>
      </c>
      <c r="P13" s="85"/>
      <c r="Q13" s="85"/>
      <c r="R13" s="85"/>
      <c r="S13" s="85"/>
      <c r="T13" s="85"/>
      <c r="W13" s="86" t="str">
        <f>"short "&amp;_xlfn.TEXTJOIN(", ",TRUE,W11:Z11)&amp;";"</f>
        <v>short topEMPTY[total], topDIAG_BOTH[total], topORTHO_BOTH[total], topDIAG_FRONT[total], topDIAG_BACK[total], topORTHO_UP[total], topORTHO_DOWN[total], bottomEMPTY[total], bottomDIAG_BOTH[total], bottomORTHO_BOTH[total], bottomDIAG_FRONT[total], bottomDIAG_BACK[total], bottomORTHO_UP[total], bottomORTHO_DOWN[total], leftEMPTY[total], leftDIAG_BOTH[total], leftORTHO_BOTH[total], leftDIAG_FRONT[total], leftDIAG_BACK[total], leftORTHO_UP[total], leftORTHO_DOWN[total], rightEMPTY[total], rightDIAG_BOTH[total], rightORTHO_BOTH[total], rightDIAG_FRONT[total], rightDIAG_BACK[total], rightORTHO_UP[total], rightORTHO_DOWN[total];</v>
      </c>
      <c r="X13" s="86"/>
      <c r="Y13" s="86"/>
      <c r="Z13" s="86"/>
    </row>
    <row r="14" spans="1:26" ht="45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>IF(B14&lt;&gt;"",VLOOKUP(B14,'Formatted NEW'!$D:$M,12,FALSE),"")</f>
        <v>#REF!</v>
      </c>
      <c r="L14" s="19" t="e">
        <f>IF(C14&lt;&gt;"",VLOOKUP(C14,'Formatted NEW'!$D:$M,12,FALSE),"")</f>
        <v>#REF!</v>
      </c>
      <c r="M14" s="19" t="e">
        <f>IF(D14&lt;&gt;"",VLOOKUP(D14,'Formatted NEW'!$D:$M,12,FALSE),"")</f>
        <v>#REF!</v>
      </c>
      <c r="N14" s="19" t="str">
        <f t="shared" si="2"/>
        <v>{DIAG_BOTH, EMPTY, ORTHO_BOTH, DIAG_BOTH}</v>
      </c>
      <c r="P14" s="85"/>
      <c r="Q14" s="85"/>
      <c r="R14" s="85"/>
      <c r="S14" s="85"/>
      <c r="T14" s="85"/>
      <c r="W14" s="86"/>
      <c r="X14" s="86"/>
      <c r="Y14" s="86"/>
      <c r="Z14" s="86"/>
    </row>
    <row r="15" spans="1:26" ht="45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>IF(B15&lt;&gt;"",VLOOKUP(B15,'Formatted NEW'!$D:$M,12,FALSE),"")</f>
        <v>#REF!</v>
      </c>
      <c r="L15" s="19" t="e">
        <f>IF(C15&lt;&gt;"",VLOOKUP(C15,'Formatted NEW'!$D:$M,12,FALSE),"")</f>
        <v>#REF!</v>
      </c>
      <c r="M15" s="19" t="e">
        <f>IF(D15&lt;&gt;"",VLOOKUP(D15,'Formatted NEW'!$D:$M,12,FALSE),"")</f>
        <v>#REF!</v>
      </c>
      <c r="N15" s="19" t="str">
        <f t="shared" si="2"/>
        <v>{DIAG_BOTH, ORTHO_BOTH, EMPTY, EMPTY}</v>
      </c>
      <c r="P15" s="85"/>
      <c r="Q15" s="85"/>
      <c r="R15" s="85"/>
      <c r="S15" s="85"/>
      <c r="T15" s="85"/>
      <c r="W15" s="86"/>
      <c r="X15" s="86"/>
      <c r="Y15" s="86"/>
      <c r="Z15" s="86"/>
    </row>
    <row r="16" spans="1:26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>IF(B16&lt;&gt;"",VLOOKUP(B16,'Formatted NEW'!$D:$M,12,FALSE),"")</f>
        <v>#REF!</v>
      </c>
      <c r="L16" s="19" t="e">
        <f>IF(C16&lt;&gt;"",VLOOKUP(C16,'Formatted NEW'!$D:$M,12,FALSE),"")</f>
        <v>#REF!</v>
      </c>
      <c r="M16" s="19" t="e">
        <f>IF(D16&lt;&gt;"",VLOOKUP(D16,'Formatted NEW'!$D:$M,12,FALSE),"")</f>
        <v>#REF!</v>
      </c>
      <c r="N16" s="19" t="str">
        <f t="shared" si="2"/>
        <v>{DIAG_BOTH, EMPTY, EMPTY, ORTHO_BOTH}</v>
      </c>
      <c r="P16" s="85"/>
      <c r="Q16" s="85"/>
      <c r="R16" s="85"/>
      <c r="S16" s="85"/>
      <c r="T16" s="85"/>
      <c r="W16" s="86"/>
      <c r="X16" s="86"/>
      <c r="Y16" s="86"/>
      <c r="Z16" s="86"/>
    </row>
    <row r="17" spans="1:26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>IF(B17&lt;&gt;"",VLOOKUP(B17,'Formatted NEW'!$D:$M,12,FALSE),"")</f>
        <v>#REF!</v>
      </c>
      <c r="L17" s="19" t="e">
        <f>IF(C17&lt;&gt;"",VLOOKUP(C17,'Formatted NEW'!$D:$M,12,FALSE),"")</f>
        <v>#REF!</v>
      </c>
      <c r="M17" s="19" t="e">
        <f>IF(D17&lt;&gt;"",VLOOKUP(D17,'Formatted NEW'!$D:$M,12,FALSE),"")</f>
        <v>#REF!</v>
      </c>
      <c r="N17" s="19" t="str">
        <f t="shared" si="2"/>
        <v>{DIAG_BOTH, EMPTY, ORTHO_BOTH, EMPTY}</v>
      </c>
      <c r="P17" s="85"/>
      <c r="Q17" s="85"/>
      <c r="R17" s="85"/>
      <c r="S17" s="85"/>
      <c r="T17" s="85"/>
      <c r="W17" s="86"/>
      <c r="X17" s="86"/>
      <c r="Y17" s="86"/>
      <c r="Z17" s="86"/>
    </row>
    <row r="18" spans="1:26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>IF(B18&lt;&gt;"",VLOOKUP(B18,'Formatted NEW'!$D:$M,12,FALSE),"")</f>
        <v>#REF!</v>
      </c>
      <c r="L18" s="19" t="e">
        <f>IF(C18&lt;&gt;"",VLOOKUP(C18,'Formatted NEW'!$D:$M,12,FALSE),"")</f>
        <v>#REF!</v>
      </c>
      <c r="M18" s="19" t="e">
        <f>IF(D18&lt;&gt;"",VLOOKUP(D18,'Formatted NEW'!$D:$M,12,FALSE),"")</f>
        <v>#REF!</v>
      </c>
      <c r="N18" s="19" t="str">
        <f t="shared" si="2"/>
        <v>{EMPTY, ORTHO_BOTH, DIAG_BOTH, EMPTY}</v>
      </c>
      <c r="P18" s="85"/>
      <c r="Q18" s="85"/>
      <c r="R18" s="85"/>
      <c r="S18" s="85"/>
      <c r="T18" s="85"/>
      <c r="W18" s="86"/>
      <c r="X18" s="86"/>
      <c r="Y18" s="86"/>
      <c r="Z18" s="86"/>
    </row>
    <row r="19" spans="1:26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>IF(B19&lt;&gt;"",VLOOKUP(B19,'Formatted NEW'!$D:$M,12,FALSE),"")</f>
        <v>#REF!</v>
      </c>
      <c r="L19" s="19" t="e">
        <f>IF(C19&lt;&gt;"",VLOOKUP(C19,'Formatted NEW'!$D:$M,12,FALSE),"")</f>
        <v>#REF!</v>
      </c>
      <c r="M19" s="19" t="e">
        <f>IF(D19&lt;&gt;"",VLOOKUP(D19,'Formatted NEW'!$D:$M,12,FALSE),"")</f>
        <v>#REF!</v>
      </c>
      <c r="N19" s="19" t="str">
        <f t="shared" si="2"/>
        <v>{EMPTY, EMPTY, DIAG_BOTH, DIAG_BOTH}</v>
      </c>
      <c r="P19" s="85"/>
      <c r="Q19" s="85"/>
      <c r="R19" s="85"/>
      <c r="S19" s="85"/>
      <c r="T19" s="85"/>
      <c r="W19" s="86"/>
      <c r="X19" s="86"/>
      <c r="Y19" s="86"/>
      <c r="Z19" s="86"/>
    </row>
    <row r="20" spans="1:26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>IF(B20&lt;&gt;"",VLOOKUP(B20,'Formatted NEW'!$D:$M,12,FALSE),"")</f>
        <v>#REF!</v>
      </c>
      <c r="L20" s="19" t="e">
        <f>IF(C20&lt;&gt;"",VLOOKUP(C20,'Formatted NEW'!$D:$M,12,FALSE),"")</f>
        <v>#REF!</v>
      </c>
      <c r="M20" s="19" t="e">
        <f>IF(D20&lt;&gt;"",VLOOKUP(D20,'Formatted NEW'!$D:$M,12,FALSE),"")</f>
        <v>#REF!</v>
      </c>
      <c r="N20" s="19" t="str">
        <f t="shared" si="2"/>
        <v>{ORTHO_BOTH, ORTHO_BOTH, DIAG_BOTH, DIAG_BOTH}</v>
      </c>
      <c r="P20" s="85"/>
      <c r="Q20" s="85"/>
      <c r="R20" s="85"/>
      <c r="S20" s="85"/>
      <c r="T20" s="85"/>
      <c r="W20" s="86"/>
      <c r="X20" s="86"/>
      <c r="Y20" s="86"/>
      <c r="Z20" s="86"/>
    </row>
    <row r="21" spans="1:26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>IF(B21&lt;&gt;"",VLOOKUP(B21,'Formatted NEW'!$D:$M,12,FALSE),"")</f>
        <v>#REF!</v>
      </c>
      <c r="L21" s="19" t="e">
        <f>IF(C21&lt;&gt;"",VLOOKUP(C21,'Formatted NEW'!$D:$M,12,FALSE),"")</f>
        <v>#REF!</v>
      </c>
      <c r="M21" s="19" t="e">
        <f>IF(D21&lt;&gt;"",VLOOKUP(D21,'Formatted NEW'!$D:$M,12,FALSE),"")</f>
        <v>#REF!</v>
      </c>
      <c r="N21" s="19" t="str">
        <f t="shared" si="2"/>
        <v>{DIAG_BOTH, DIAG_BOTH, ORTHO_BOTH, ORTHO_BOTH}</v>
      </c>
      <c r="P21" s="85"/>
      <c r="Q21" s="85"/>
      <c r="R21" s="85"/>
      <c r="S21" s="85"/>
      <c r="T21" s="85"/>
      <c r="W21" s="86"/>
      <c r="X21" s="86"/>
      <c r="Y21" s="86"/>
      <c r="Z21" s="86"/>
    </row>
    <row r="22" spans="1:26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>IF(B22&lt;&gt;"",VLOOKUP(B22,'Formatted NEW'!$D:$M,12,FALSE),"")</f>
        <v>#REF!</v>
      </c>
      <c r="L22" s="19" t="e">
        <f>IF(C22&lt;&gt;"",VLOOKUP(C22,'Formatted NEW'!$D:$M,12,FALSE),"")</f>
        <v>#REF!</v>
      </c>
      <c r="M22" s="19" t="e">
        <f>IF(D22&lt;&gt;"",VLOOKUP(D22,'Formatted NEW'!$D:$M,12,FALSE),"")</f>
        <v>#REF!</v>
      </c>
      <c r="N22" s="19" t="str">
        <f t="shared" si="2"/>
        <v>{EMPTY, DIAG_BOTH, EMPTY, EMPTY}</v>
      </c>
      <c r="P22" s="85"/>
      <c r="Q22" s="85"/>
      <c r="R22" s="85"/>
      <c r="S22" s="85"/>
      <c r="T22" s="85"/>
      <c r="W22" s="86"/>
      <c r="X22" s="86"/>
      <c r="Y22" s="86"/>
      <c r="Z22" s="86"/>
    </row>
    <row r="23" spans="1:26" ht="45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>IF(B23&lt;&gt;"",VLOOKUP(B23,'Formatted NEW'!$D:$M,12,FALSE),"")</f>
        <v>#REF!</v>
      </c>
      <c r="L23" s="19" t="e">
        <f>IF(C23&lt;&gt;"",VLOOKUP(C23,'Formatted NEW'!$D:$M,12,FALSE),"")</f>
        <v>#REF!</v>
      </c>
      <c r="M23" s="19" t="e">
        <f>IF(D23&lt;&gt;"",VLOOKUP(D23,'Formatted NEW'!$D:$M,12,FALSE),"")</f>
        <v>#REF!</v>
      </c>
      <c r="N23" s="19" t="str">
        <f t="shared" si="2"/>
        <v>{DIAG_BOTH, ORTHO_BOTH, DIAG_BOTH, DIAG_BOTH}</v>
      </c>
      <c r="P23" s="85"/>
      <c r="Q23" s="85"/>
      <c r="R23" s="85"/>
      <c r="S23" s="85"/>
      <c r="T23" s="85"/>
    </row>
    <row r="24" spans="1:26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>IF(B24&lt;&gt;"",VLOOKUP(B24,'Formatted NEW'!$D:$M,12,FALSE),"")</f>
        <v>#REF!</v>
      </c>
      <c r="L24" s="19" t="e">
        <f>IF(C24&lt;&gt;"",VLOOKUP(C24,'Formatted NEW'!$D:$M,12,FALSE),"")</f>
        <v>#REF!</v>
      </c>
      <c r="M24" s="19" t="e">
        <f>IF(D24&lt;&gt;"",VLOOKUP(D24,'Formatted NEW'!$D:$M,12,FALSE),"")</f>
        <v>#REF!</v>
      </c>
      <c r="N24" s="19" t="str">
        <f t="shared" si="2"/>
        <v>{EMPTY, ORTHO_BOTH, DIAG_BOTH, DIAG_BOTH}</v>
      </c>
      <c r="P24" s="85"/>
      <c r="Q24" s="85"/>
      <c r="R24" s="85"/>
      <c r="S24" s="85"/>
      <c r="T24" s="85"/>
      <c r="W24" t="s">
        <v>211</v>
      </c>
    </row>
    <row r="25" spans="1:26" ht="45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>IF(B25&lt;&gt;"",VLOOKUP(B25,'Formatted NEW'!$D:$M,12,FALSE),"")</f>
        <v>#REF!</v>
      </c>
      <c r="L25" s="19" t="e">
        <f>IF(C25&lt;&gt;"",VLOOKUP(C25,'Formatted NEW'!$D:$M,12,FALSE),"")</f>
        <v>#REF!</v>
      </c>
      <c r="M25" s="19" t="e">
        <f>IF(D25&lt;&gt;"",VLOOKUP(D25,'Formatted NEW'!$D:$M,12,FALSE),"")</f>
        <v>#REF!</v>
      </c>
      <c r="N25" s="19" t="str">
        <f t="shared" si="2"/>
        <v>{DIAG_BOTH, ORTHO_BOTH, EMPTY, DIAG_BOTH}</v>
      </c>
      <c r="P25" s="85"/>
      <c r="Q25" s="85"/>
      <c r="R25" s="85"/>
      <c r="S25" s="85"/>
      <c r="T25" s="85"/>
      <c r="W25" s="21" t="e">
        <f>P2</f>
        <v>#REF!</v>
      </c>
    </row>
    <row r="26" spans="1:26" ht="45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>IF(B26&lt;&gt;"",VLOOKUP(B26,'Formatted NEW'!$D:$M,12,FALSE),"")</f>
        <v>#REF!</v>
      </c>
      <c r="L26" s="19" t="e">
        <f>IF(C26&lt;&gt;"",VLOOKUP(C26,'Formatted NEW'!$D:$M,12,FALSE),"")</f>
        <v>#REF!</v>
      </c>
      <c r="M26" s="19" t="e">
        <f>IF(D26&lt;&gt;"",VLOOKUP(D26,'Formatted NEW'!$D:$M,12,FALSE),"")</f>
        <v>#REF!</v>
      </c>
      <c r="N26" s="19" t="str">
        <f t="shared" si="2"/>
        <v>{DIAG_BOTH, ORTHO_BOTH, DIAG_BOTH, EMPTY}</v>
      </c>
      <c r="P26" s="85"/>
      <c r="Q26" s="85"/>
      <c r="R26" s="85"/>
      <c r="S26" s="85"/>
      <c r="T26" s="85"/>
      <c r="W26" s="21" t="e">
        <f>Q2</f>
        <v>#REF!</v>
      </c>
    </row>
    <row r="27" spans="1:26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>IF(B27&lt;&gt;"",VLOOKUP(B27,'Formatted NEW'!$D:$M,12,FALSE),"")</f>
        <v>#REF!</v>
      </c>
      <c r="L27" s="19" t="e">
        <f>IF(C27&lt;&gt;"",VLOOKUP(C27,'Formatted NEW'!$D:$M,12,FALSE),"")</f>
        <v>#REF!</v>
      </c>
      <c r="M27" s="19" t="e">
        <f>IF(D27&lt;&gt;"",VLOOKUP(D27,'Formatted NEW'!$D:$M,12,FALSE),"")</f>
        <v>#REF!</v>
      </c>
      <c r="N27" s="19" t="str">
        <f t="shared" si="2"/>
        <v>{EMPTY, ORTHO_BOTH, EMPTY, DIAG_BOTH}</v>
      </c>
      <c r="P27" s="85"/>
      <c r="Q27" s="85"/>
      <c r="R27" s="85"/>
      <c r="S27" s="85"/>
      <c r="T27" s="85"/>
      <c r="W27" s="21" t="e">
        <f>R2</f>
        <v>#REF!</v>
      </c>
    </row>
    <row r="28" spans="1:26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>IF(B28&lt;&gt;"",VLOOKUP(B28,'Formatted NEW'!$D:$M,12,FALSE),"")</f>
        <v>#REF!</v>
      </c>
      <c r="L28" s="19" t="e">
        <f>IF(C28&lt;&gt;"",VLOOKUP(C28,'Formatted NEW'!$D:$M,12,FALSE),"")</f>
        <v>#REF!</v>
      </c>
      <c r="M28" s="19" t="e">
        <f>IF(D28&lt;&gt;"",VLOOKUP(D28,'Formatted NEW'!$D:$M,12,FALSE),"")</f>
        <v>#REF!</v>
      </c>
      <c r="N28" s="19" t="str">
        <f t="shared" si="2"/>
        <v>{EMPTY, ORTHO_BOTH, ORTHO_BOTH, EMPTY}</v>
      </c>
      <c r="P28" s="85"/>
      <c r="Q28" s="85"/>
      <c r="R28" s="85"/>
      <c r="S28" s="85"/>
      <c r="T28" s="85"/>
      <c r="W28" s="21" t="e">
        <f>S2</f>
        <v>#REF!</v>
      </c>
    </row>
    <row r="29" spans="1:26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>IF(B29&lt;&gt;"",VLOOKUP(B29,'Formatted NEW'!$D:$M,12,FALSE),"")</f>
        <v>#REF!</v>
      </c>
      <c r="L29" s="19" t="e">
        <f>IF(C29&lt;&gt;"",VLOOKUP(C29,'Formatted NEW'!$D:$M,12,FALSE),"")</f>
        <v>#REF!</v>
      </c>
      <c r="M29" s="19" t="e">
        <f>IF(D29&lt;&gt;"",VLOOKUP(D29,'Formatted NEW'!$D:$M,12,FALSE),"")</f>
        <v>#REF!</v>
      </c>
      <c r="N29" s="19" t="str">
        <f t="shared" si="2"/>
        <v>{EMPTY, DIAG_BOTH, ORTHO_BOTH, EMPTY}</v>
      </c>
      <c r="P29" s="85"/>
      <c r="Q29" s="85"/>
      <c r="R29" s="85"/>
      <c r="S29" s="85"/>
      <c r="T29" s="85"/>
      <c r="W29" s="21" t="str">
        <f>T2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0" spans="1:26" ht="45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>IF(B30&lt;&gt;"",VLOOKUP(B30,'Formatted NEW'!$D:$M,12,FALSE),"")</f>
        <v>#REF!</v>
      </c>
      <c r="L30" s="19" t="e">
        <f>IF(C30&lt;&gt;"",VLOOKUP(C30,'Formatted NEW'!$D:$M,12,FALSE),"")</f>
        <v>#REF!</v>
      </c>
      <c r="M30" s="19" t="e">
        <f>IF(D30&lt;&gt;"",VLOOKUP(D30,'Formatted NEW'!$D:$M,12,FALSE),"")</f>
        <v>#REF!</v>
      </c>
      <c r="N30" s="19" t="str">
        <f t="shared" si="2"/>
        <v>{ORTHO_BOTH, EMPTY, ORTHO_BOTH, DIAG_BOTH}</v>
      </c>
      <c r="P30" s="85"/>
      <c r="Q30" s="85"/>
      <c r="R30" s="85"/>
      <c r="S30" s="85"/>
      <c r="T30" s="85"/>
    </row>
    <row r="31" spans="1:26" ht="45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>IF(B31&lt;&gt;"",VLOOKUP(B31,'Formatted NEW'!$D:$M,12,FALSE),"")</f>
        <v>#REF!</v>
      </c>
      <c r="L31" s="19" t="e">
        <f>IF(C31&lt;&gt;"",VLOOKUP(C31,'Formatted NEW'!$D:$M,12,FALSE),"")</f>
        <v>#REF!</v>
      </c>
      <c r="M31" s="19" t="e">
        <f>IF(D31&lt;&gt;"",VLOOKUP(D31,'Formatted NEW'!$D:$M,12,FALSE),"")</f>
        <v>#REF!</v>
      </c>
      <c r="N31" s="19" t="str">
        <f t="shared" si="2"/>
        <v>{ORTHO_BOTH, DIAG_BOTH, EMPTY, EMPTY}</v>
      </c>
      <c r="P31" s="85"/>
      <c r="Q31" s="85"/>
      <c r="R31" s="85"/>
      <c r="S31" s="85"/>
      <c r="T31" s="85"/>
      <c r="W31" t="s">
        <v>225</v>
      </c>
    </row>
    <row r="32" spans="1:26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>IF(B32&lt;&gt;"",VLOOKUP(B32,'Formatted NEW'!$D:$M,12,FALSE),"")</f>
        <v>#REF!</v>
      </c>
      <c r="L32" s="19" t="e">
        <f>IF(C32&lt;&gt;"",VLOOKUP(C32,'Formatted NEW'!$D:$M,12,FALSE),"")</f>
        <v>#REF!</v>
      </c>
      <c r="M32" s="19" t="e">
        <f>IF(D32&lt;&gt;"",VLOOKUP(D32,'Formatted NEW'!$D:$M,12,FALSE),"")</f>
        <v>#REF!</v>
      </c>
      <c r="N32" s="19" t="str">
        <f t="shared" si="2"/>
        <v>{ORTHO_BOTH, EMPTY, EMPTY, ORTHO_BOTH}</v>
      </c>
      <c r="P32" s="85"/>
      <c r="Q32" s="85"/>
      <c r="R32" s="85"/>
      <c r="S32" s="85"/>
      <c r="T32" s="85"/>
    </row>
    <row r="33" spans="1:23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>IF(B33&lt;&gt;"",VLOOKUP(B33,'Formatted NEW'!$D:$M,12,FALSE),"")</f>
        <v>#REF!</v>
      </c>
      <c r="L33" s="19" t="e">
        <f>IF(C33&lt;&gt;"",VLOOKUP(C33,'Formatted NEW'!$D:$M,12,FALSE),"")</f>
        <v>#REF!</v>
      </c>
      <c r="M33" s="19" t="e">
        <f>IF(D33&lt;&gt;"",VLOOKUP(D33,'Formatted NEW'!$D:$M,12,FALSE),"")</f>
        <v>#REF!</v>
      </c>
      <c r="N33" s="19" t="str">
        <f t="shared" si="2"/>
        <v>{ORTHO_BOTH, EMPTY, ORTHO_BOTH, EMPTY}</v>
      </c>
      <c r="P33" s="85"/>
      <c r="Q33" s="85"/>
      <c r="R33" s="85"/>
      <c r="S33" s="85"/>
      <c r="T33" s="85"/>
    </row>
    <row r="34" spans="1:23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>IF(B34&lt;&gt;"",VLOOKUP(B34,'Formatted NEW'!$D:$M,12,FALSE),"")</f>
        <v>#REF!</v>
      </c>
      <c r="L34" s="19" t="e">
        <f>IF(C34&lt;&gt;"",VLOOKUP(C34,'Formatted NEW'!$D:$M,12,FALSE),"")</f>
        <v>#REF!</v>
      </c>
      <c r="M34" s="19" t="e">
        <f>IF(D34&lt;&gt;"",VLOOKUP(D34,'Formatted NEW'!$D:$M,12,FALSE),"")</f>
        <v>#REF!</v>
      </c>
      <c r="N34" s="19" t="str">
        <f t="shared" si="2"/>
        <v>{ORTHO_BOTH, ORTHO_BOTH, EMPTY, EMPTY}</v>
      </c>
      <c r="P34" s="85"/>
      <c r="Q34" s="85"/>
      <c r="R34" s="85"/>
      <c r="S34" s="85"/>
      <c r="T34" s="85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>IF(B35&lt;&gt;"",VLOOKUP(B35,'Formatted NEW'!$D:$M,12,FALSE),"")</f>
        <v>#REF!</v>
      </c>
      <c r="L35" s="19" t="e">
        <f>IF(C35&lt;&gt;"",VLOOKUP(C35,'Formatted NEW'!$D:$M,12,FALSE),"")</f>
        <v>#REF!</v>
      </c>
      <c r="M35" s="19" t="e">
        <f>IF(D35&lt;&gt;"",VLOOKUP(D35,'Formatted NEW'!$D:$M,12,FALSE),"")</f>
        <v>#REF!</v>
      </c>
      <c r="N35" s="19" t="str">
        <f t="shared" si="2"/>
        <v>{ORTHO_BOTH, ORTHO_BOTH, EMPTY, ORTHO_BOTH}</v>
      </c>
      <c r="P35" s="85"/>
      <c r="Q35" s="85"/>
      <c r="R35" s="85"/>
      <c r="S35" s="85"/>
      <c r="T35" s="85"/>
    </row>
    <row r="36" spans="1:23" ht="60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>IF(B36&lt;&gt;"",VLOOKUP(B36,'Formatted NEW'!$D:$M,12,FALSE),"")</f>
        <v>#REF!</v>
      </c>
      <c r="L36" s="19" t="e">
        <f>IF(C36&lt;&gt;"",VLOOKUP(C36,'Formatted NEW'!$D:$M,12,FALSE),"")</f>
        <v>#REF!</v>
      </c>
      <c r="M36" s="19" t="e">
        <f>IF(D36&lt;&gt;"",VLOOKUP(D36,'Formatted NEW'!$D:$M,12,FALSE),"")</f>
        <v>#REF!</v>
      </c>
      <c r="N36" s="19" t="str">
        <f t="shared" si="2"/>
        <v>{ORTHO_BOTH, ORTHO_BOTH, ORTHO_BOTH, DIAG_BOTH}</v>
      </c>
      <c r="P36" s="85"/>
      <c r="Q36" s="85"/>
      <c r="R36" s="85"/>
      <c r="S36" s="85"/>
      <c r="T36" s="85"/>
      <c r="W36">
        <v>0</v>
      </c>
    </row>
    <row r="37" spans="1:23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>IF(B37&lt;&gt;"",VLOOKUP(B37,'Formatted NEW'!$D:$M,12,FALSE),"")</f>
        <v>#REF!</v>
      </c>
      <c r="L37" s="19" t="e">
        <f>IF(C37&lt;&gt;"",VLOOKUP(C37,'Formatted NEW'!$D:$M,12,FALSE),"")</f>
        <v>#REF!</v>
      </c>
      <c r="M37" s="19" t="e">
        <f>IF(D37&lt;&gt;"",VLOOKUP(D37,'Formatted NEW'!$D:$M,12,FALSE),"")</f>
        <v>#REF!</v>
      </c>
      <c r="N37" s="19" t="str">
        <f t="shared" si="2"/>
        <v>{ORTHO_BOTH, EMPTY, ORTHO_BOTH, EMPTY}</v>
      </c>
      <c r="P37" s="85"/>
      <c r="Q37" s="85"/>
      <c r="R37" s="85"/>
      <c r="S37" s="85"/>
      <c r="T37" s="85"/>
      <c r="W37">
        <v>1</v>
      </c>
    </row>
    <row r="38" spans="1:23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>IF(B38&lt;&gt;"",VLOOKUP(B38,'Formatted NEW'!$D:$M,12,FALSE),"")</f>
        <v>#REF!</v>
      </c>
      <c r="L38" s="19" t="e">
        <f>IF(C38&lt;&gt;"",VLOOKUP(C38,'Formatted NEW'!$D:$M,12,FALSE),"")</f>
        <v>#REF!</v>
      </c>
      <c r="M38" s="19" t="e">
        <f>IF(D38&lt;&gt;"",VLOOKUP(D38,'Formatted NEW'!$D:$M,12,FALSE),"")</f>
        <v>#REF!</v>
      </c>
      <c r="N38" s="19" t="str">
        <f t="shared" si="2"/>
        <v>{ORTHO_BOTH, ORTHO_BOTH, ORTHO_BOTH, EMPTY}</v>
      </c>
      <c r="P38" s="85"/>
      <c r="Q38" s="85"/>
      <c r="R38" s="85"/>
      <c r="S38" s="85"/>
      <c r="T38" s="85"/>
      <c r="W38">
        <v>2</v>
      </c>
    </row>
    <row r="39" spans="1:23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>IF(B39&lt;&gt;"",VLOOKUP(B39,'Formatted NEW'!$D:$M,12,FALSE),"")</f>
        <v>#REF!</v>
      </c>
      <c r="L39" s="19" t="e">
        <f>IF(C39&lt;&gt;"",VLOOKUP(C39,'Formatted NEW'!$D:$M,12,FALSE),"")</f>
        <v>#REF!</v>
      </c>
      <c r="M39" s="19" t="e">
        <f>IF(D39&lt;&gt;"",VLOOKUP(D39,'Formatted NEW'!$D:$M,12,FALSE),"")</f>
        <v>#REF!</v>
      </c>
      <c r="N39" s="19" t="str">
        <f t="shared" si="2"/>
        <v>{EMPTY, ORTHO_BOTH, ORTHO_BOTH, EMPTY}</v>
      </c>
      <c r="P39" s="85"/>
      <c r="Q39" s="85"/>
      <c r="R39" s="85"/>
      <c r="S39" s="85"/>
      <c r="T39" s="85"/>
      <c r="W39">
        <v>3</v>
      </c>
    </row>
    <row r="40" spans="1:23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>IF(B40&lt;&gt;"",VLOOKUP(B40,'Formatted NEW'!$D:$M,12,FALSE),"")</f>
        <v>#REF!</v>
      </c>
      <c r="L40" s="19" t="e">
        <f>IF(C40&lt;&gt;"",VLOOKUP(C40,'Formatted NEW'!$D:$M,12,FALSE),"")</f>
        <v>#REF!</v>
      </c>
      <c r="M40" s="19" t="e">
        <f>IF(D40&lt;&gt;"",VLOOKUP(D40,'Formatted NEW'!$D:$M,12,FALSE),"")</f>
        <v>#REF!</v>
      </c>
      <c r="N40" s="19" t="str">
        <f t="shared" si="2"/>
        <v>{EMPTY, EMPTY, EMPTY, ORTHO_BOTH}</v>
      </c>
      <c r="P40" s="85"/>
      <c r="Q40" s="85"/>
      <c r="R40" s="85"/>
      <c r="S40" s="85"/>
      <c r="T40" s="85"/>
      <c r="W40">
        <v>4</v>
      </c>
    </row>
    <row r="41" spans="1:23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>IF(B41&lt;&gt;"",VLOOKUP(B41,'Formatted NEW'!$D:$M,12,FALSE),"")</f>
        <v>#REF!</v>
      </c>
      <c r="L41" s="19" t="e">
        <f>IF(C41&lt;&gt;"",VLOOKUP(C41,'Formatted NEW'!$D:$M,12,FALSE),"")</f>
        <v>#REF!</v>
      </c>
      <c r="M41" s="19" t="e">
        <f>IF(D41&lt;&gt;"",VLOOKUP(D41,'Formatted NEW'!$D:$M,12,FALSE),"")</f>
        <v>#REF!</v>
      </c>
      <c r="N41" s="19" t="str">
        <f t="shared" si="2"/>
        <v>{ORTHO_BOTH, ORTHO_BOTH, EMPTY, DIAG_BOTH}</v>
      </c>
      <c r="P41" s="85"/>
      <c r="Q41" s="85"/>
      <c r="R41" s="85"/>
      <c r="S41" s="85"/>
      <c r="T41" s="85"/>
      <c r="W41">
        <v>5</v>
      </c>
    </row>
    <row r="42" spans="1:23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>IF(B42&lt;&gt;"",VLOOKUP(B42,'Formatted NEW'!$D:$M,12,FALSE),"")</f>
        <v>#REF!</v>
      </c>
      <c r="L42" s="19" t="e">
        <f>IF(C42&lt;&gt;"",VLOOKUP(C42,'Formatted NEW'!$D:$M,12,FALSE),"")</f>
        <v>#REF!</v>
      </c>
      <c r="M42" s="19" t="e">
        <f>IF(D42&lt;&gt;"",VLOOKUP(D42,'Formatted NEW'!$D:$M,12,FALSE),"")</f>
        <v>#REF!</v>
      </c>
      <c r="N42" s="19" t="str">
        <f t="shared" si="2"/>
        <v>{ORTHO_BOTH, ORTHO_BOTH, DIAG_BOTH, EMPTY}</v>
      </c>
      <c r="P42" s="85"/>
      <c r="Q42" s="85"/>
      <c r="R42" s="85"/>
      <c r="S42" s="85"/>
      <c r="T42" s="85"/>
      <c r="W42">
        <v>6</v>
      </c>
    </row>
    <row r="43" spans="1:23" ht="45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>IF(B43&lt;&gt;"",VLOOKUP(B43,'Formatted NEW'!$D:$M,12,FALSE),"")</f>
        <v>#REF!</v>
      </c>
      <c r="L43" s="19" t="e">
        <f>IF(C43&lt;&gt;"",VLOOKUP(C43,'Formatted NEW'!$D:$M,12,FALSE),"")</f>
        <v>#REF!</v>
      </c>
      <c r="M43" s="19" t="e">
        <f>IF(D43&lt;&gt;"",VLOOKUP(D43,'Formatted NEW'!$D:$M,12,FALSE),"")</f>
        <v>#REF!</v>
      </c>
      <c r="N43" s="19" t="str">
        <f t="shared" si="2"/>
        <v>{ORTHO_BOTH, DIAG_BOTH, ORTHO_BOTH, EMPTY}</v>
      </c>
      <c r="P43" s="85"/>
      <c r="Q43" s="85"/>
      <c r="R43" s="85"/>
      <c r="S43" s="85"/>
      <c r="T43" s="85"/>
      <c r="W43">
        <v>7</v>
      </c>
    </row>
    <row r="44" spans="1:23" ht="45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>IF(B44&lt;&gt;"",VLOOKUP(B44,'Formatted NEW'!$D:$M,12,FALSE),"")</f>
        <v>#REF!</v>
      </c>
      <c r="L44" s="19" t="e">
        <f>IF(C44&lt;&gt;"",VLOOKUP(C44,'Formatted NEW'!$D:$M,12,FALSE),"")</f>
        <v>#REF!</v>
      </c>
      <c r="M44" s="19" t="e">
        <f>IF(D44&lt;&gt;"",VLOOKUP(D44,'Formatted NEW'!$D:$M,12,FALSE),"")</f>
        <v>#REF!</v>
      </c>
      <c r="N44" s="19" t="str">
        <f t="shared" si="2"/>
        <v>{EMPTY, ORTHO_BOTH, DIAG_BOTH, ORTHO_BOTH}</v>
      </c>
      <c r="P44" s="85"/>
      <c r="Q44" s="85"/>
      <c r="R44" s="85"/>
      <c r="S44" s="85"/>
      <c r="T44" s="85"/>
      <c r="W44">
        <v>8</v>
      </c>
    </row>
    <row r="45" spans="1:23" ht="45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>IF(B45&lt;&gt;"",VLOOKUP(B45,'Formatted NEW'!$D:$M,12,FALSE),"")</f>
        <v>#REF!</v>
      </c>
      <c r="L45" s="19" t="e">
        <f>IF(C45&lt;&gt;"",VLOOKUP(C45,'Formatted NEW'!$D:$M,12,FALSE),"")</f>
        <v>#REF!</v>
      </c>
      <c r="M45" s="19" t="e">
        <f>IF(D45&lt;&gt;"",VLOOKUP(D45,'Formatted NEW'!$D:$M,12,FALSE),"")</f>
        <v>#REF!</v>
      </c>
      <c r="N45" s="19" t="str">
        <f t="shared" si="2"/>
        <v>{EMPTY, ORTHO_BOTH, ORTHO_BOTH, DIAG_BOTH}</v>
      </c>
      <c r="P45" s="85"/>
      <c r="Q45" s="85"/>
      <c r="R45" s="85"/>
      <c r="S45" s="85"/>
      <c r="T45" s="85"/>
      <c r="W45">
        <v>9</v>
      </c>
    </row>
    <row r="46" spans="1:23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>IF(B46&lt;&gt;"",VLOOKUP(B46,'Formatted NEW'!$D:$M,12,FALSE),"")</f>
        <v>#REF!</v>
      </c>
      <c r="L46" s="19" t="e">
        <f>IF(C46&lt;&gt;"",VLOOKUP(C46,'Formatted NEW'!$D:$M,12,FALSE),"")</f>
        <v>#REF!</v>
      </c>
      <c r="M46" s="19" t="e">
        <f>IF(D46&lt;&gt;"",VLOOKUP(D46,'Formatted NEW'!$D:$M,12,FALSE),"")</f>
        <v>#REF!</v>
      </c>
      <c r="N46" s="19" t="str">
        <f t="shared" si="2"/>
        <v>{EMPTY, ORTHO_BOTH, EMPTY, ORTHO_BOTH}</v>
      </c>
      <c r="P46" s="85"/>
      <c r="Q46" s="85"/>
      <c r="R46" s="85"/>
      <c r="S46" s="85"/>
      <c r="T46" s="85"/>
      <c r="W46">
        <v>10</v>
      </c>
    </row>
    <row r="47" spans="1:23" ht="45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>IF(B47&lt;&gt;"",VLOOKUP(B47,'Formatted NEW'!$D:$M,12,FALSE),"")</f>
        <v>#REF!</v>
      </c>
      <c r="L47" s="19" t="e">
        <f>IF(C47&lt;&gt;"",VLOOKUP(C47,'Formatted NEW'!$D:$M,12,FALSE),"")</f>
        <v>#REF!</v>
      </c>
      <c r="M47" s="19" t="e">
        <f>IF(D47&lt;&gt;"",VLOOKUP(D47,'Formatted NEW'!$D:$M,12,FALSE),"")</f>
        <v>#REF!</v>
      </c>
      <c r="N47" s="19" t="str">
        <f t="shared" si="2"/>
        <v>{ORTHO_BOTH, EMPTY, DIAG_BOTH, ORTHO_BOTH}</v>
      </c>
      <c r="P47" s="85"/>
      <c r="Q47" s="85"/>
      <c r="R47" s="85"/>
      <c r="S47" s="85"/>
      <c r="T47" s="85"/>
      <c r="W47">
        <v>11</v>
      </c>
    </row>
    <row r="48" spans="1:23" ht="60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>IF(B48&lt;&gt;"",VLOOKUP(B48,'Formatted NEW'!$D:$M,12,FALSE),"")</f>
        <v>#REF!</v>
      </c>
      <c r="L48" s="19" t="e">
        <f>IF(C48&lt;&gt;"",VLOOKUP(C48,'Formatted NEW'!$D:$M,12,FALSE),"")</f>
        <v>#REF!</v>
      </c>
      <c r="M48" s="19" t="e">
        <f>IF(D48&lt;&gt;"",VLOOKUP(D48,'Formatted NEW'!$D:$M,12,FALSE),"")</f>
        <v>#REF!</v>
      </c>
      <c r="N48" s="19" t="str">
        <f t="shared" si="2"/>
        <v>{ORTHO_BOTH, ORTHO_BOTH, DIAG_BOTH, ORTHO_BOTH}</v>
      </c>
      <c r="P48" s="85"/>
      <c r="Q48" s="85"/>
      <c r="R48" s="85"/>
      <c r="S48" s="85"/>
      <c r="T48" s="85"/>
      <c r="W48">
        <v>12</v>
      </c>
    </row>
    <row r="49" spans="1:23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>IF(B49&lt;&gt;"",VLOOKUP(B49,'Formatted NEW'!$D:$M,12,FALSE),"")</f>
        <v>#REF!</v>
      </c>
      <c r="L49" s="19" t="e">
        <f>IF(C49&lt;&gt;"",VLOOKUP(C49,'Formatted NEW'!$D:$M,12,FALSE),"")</f>
        <v>#REF!</v>
      </c>
      <c r="M49" s="19" t="e">
        <f>IF(D49&lt;&gt;"",VLOOKUP(D49,'Formatted NEW'!$D:$M,12,FALSE),"")</f>
        <v>#REF!</v>
      </c>
      <c r="N49" s="19" t="str">
        <f t="shared" si="2"/>
        <v>{ORTHO_BOTH, EMPTY, EMPTY, ORTHO_BOTH}</v>
      </c>
      <c r="P49" s="85"/>
      <c r="Q49" s="85"/>
      <c r="R49" s="85"/>
      <c r="S49" s="85"/>
      <c r="T49" s="85"/>
      <c r="W49">
        <v>13</v>
      </c>
    </row>
    <row r="50" spans="1:23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>IF(B50&lt;&gt;"",VLOOKUP(B50,'Formatted NEW'!$D:$M,12,FALSE),"")</f>
        <v>#REF!</v>
      </c>
      <c r="L50" s="19" t="e">
        <f>IF(C50&lt;&gt;"",VLOOKUP(C50,'Formatted NEW'!$D:$M,12,FALSE),"")</f>
        <v>#REF!</v>
      </c>
      <c r="M50" s="19" t="e">
        <f>IF(D50&lt;&gt;"",VLOOKUP(D50,'Formatted NEW'!$D:$M,12,FALSE),"")</f>
        <v>#REF!</v>
      </c>
      <c r="N50" s="19" t="str">
        <f t="shared" si="2"/>
        <v>{ORTHO_BOTH, EMPTY, ORTHO_BOTH, EMPTY}</v>
      </c>
      <c r="P50" s="85"/>
      <c r="Q50" s="85"/>
      <c r="R50" s="85"/>
      <c r="S50" s="85"/>
      <c r="T50" s="85"/>
      <c r="W50">
        <v>14</v>
      </c>
    </row>
    <row r="51" spans="1:23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>IF(B51&lt;&gt;"",VLOOKUP(B51,'Formatted NEW'!$D:$M,12,FALSE),"")</f>
        <v>#REF!</v>
      </c>
      <c r="L51" s="19" t="e">
        <f>IF(C51&lt;&gt;"",VLOOKUP(C51,'Formatted NEW'!$D:$M,12,FALSE),"")</f>
        <v>#REF!</v>
      </c>
      <c r="M51" s="19" t="e">
        <f>IF(D51&lt;&gt;"",VLOOKUP(D51,'Formatted NEW'!$D:$M,12,FALSE),"")</f>
        <v>#REF!</v>
      </c>
      <c r="N51" s="19" t="str">
        <f t="shared" si="2"/>
        <v>{EMPTY, ORTHO_BOTH, EMPTY, ORTHO_BOTH}</v>
      </c>
      <c r="P51" s="85"/>
      <c r="Q51" s="85"/>
      <c r="R51" s="85"/>
      <c r="S51" s="85"/>
      <c r="T51" s="85"/>
      <c r="W51">
        <v>15</v>
      </c>
    </row>
    <row r="52" spans="1:23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>IF(B52&lt;&gt;"",VLOOKUP(B52,'Formatted NEW'!$D:$M,12,FALSE),"")</f>
        <v>#REF!</v>
      </c>
      <c r="L52" s="19" t="e">
        <f>IF(C52&lt;&gt;"",VLOOKUP(C52,'Formatted NEW'!$D:$M,12,FALSE),"")</f>
        <v>#REF!</v>
      </c>
      <c r="M52" s="19" t="e">
        <f>IF(D52&lt;&gt;"",VLOOKUP(D52,'Formatted NEW'!$D:$M,12,FALSE),"")</f>
        <v>#REF!</v>
      </c>
      <c r="N52" s="19" t="str">
        <f t="shared" si="2"/>
        <v>{ORTHO_BOTH, EMPTY, EMPTY, EMPTY}</v>
      </c>
      <c r="P52" s="85"/>
      <c r="Q52" s="85"/>
      <c r="R52" s="85"/>
      <c r="S52" s="85"/>
      <c r="T52" s="85"/>
      <c r="W52">
        <v>16</v>
      </c>
    </row>
    <row r="53" spans="1:23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>IF(B53&lt;&gt;"",VLOOKUP(B53,'Formatted NEW'!$D:$M,12,FALSE),"")</f>
        <v>#REF!</v>
      </c>
      <c r="L53" s="19" t="e">
        <f>IF(C53&lt;&gt;"",VLOOKUP(C53,'Formatted NEW'!$D:$M,12,FALSE),"")</f>
        <v>#REF!</v>
      </c>
      <c r="M53" s="19" t="e">
        <f>IF(D53&lt;&gt;"",VLOOKUP(D53,'Formatted NEW'!$D:$M,12,FALSE),"")</f>
        <v>#REF!</v>
      </c>
      <c r="N53" s="19" t="str">
        <f t="shared" si="2"/>
        <v>{ORTHO_BOTH, ORTHO_BOTH, ORTHO_BOTH, ORTHO_BOTH}</v>
      </c>
      <c r="P53" s="85"/>
      <c r="Q53" s="85"/>
      <c r="R53" s="85"/>
      <c r="S53" s="85"/>
      <c r="T53" s="85"/>
      <c r="W53">
        <v>17</v>
      </c>
    </row>
    <row r="54" spans="1:23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>IF(B54&lt;&gt;"",VLOOKUP(B54,'Formatted NEW'!$D:$M,12,FALSE),"")</f>
        <v>#REF!</v>
      </c>
      <c r="L54" s="19" t="e">
        <f>IF(C54&lt;&gt;"",VLOOKUP(C54,'Formatted NEW'!$D:$M,12,FALSE),"")</f>
        <v>#REF!</v>
      </c>
      <c r="M54" s="19" t="e">
        <f>IF(D54&lt;&gt;"",VLOOKUP(D54,'Formatted NEW'!$D:$M,12,FALSE),"")</f>
        <v>#REF!</v>
      </c>
      <c r="N54" s="19" t="str">
        <f t="shared" si="2"/>
        <v>{DIAG_BOTH, EMPTY, ORTHO_BOTH, ORTHO_BOTH}</v>
      </c>
      <c r="P54" s="85"/>
      <c r="Q54" s="85"/>
      <c r="R54" s="85"/>
      <c r="S54" s="85"/>
      <c r="T54" s="85"/>
      <c r="W54">
        <v>18</v>
      </c>
    </row>
    <row r="55" spans="1:23" ht="45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>IF(B55&lt;&gt;"",VLOOKUP(B55,'Formatted NEW'!$D:$M,12,FALSE),"")</f>
        <v>#REF!</v>
      </c>
      <c r="L55" s="19" t="e">
        <f>IF(C55&lt;&gt;"",VLOOKUP(C55,'Formatted NEW'!$D:$M,12,FALSE),"")</f>
        <v>#REF!</v>
      </c>
      <c r="M55" s="19" t="e">
        <f>IF(D55&lt;&gt;"",VLOOKUP(D55,'Formatted NEW'!$D:$M,12,FALSE),"")</f>
        <v>#REF!</v>
      </c>
      <c r="N55" s="19" t="str">
        <f t="shared" si="2"/>
        <v>{ORTHO_BOTH, DIAG_BOTH, EMPTY, ORTHO_BOTH}</v>
      </c>
      <c r="P55" s="85"/>
      <c r="Q55" s="85"/>
      <c r="R55" s="85"/>
      <c r="S55" s="85"/>
      <c r="T55" s="85"/>
      <c r="W55">
        <v>19</v>
      </c>
    </row>
    <row r="56" spans="1:23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>IF(B56&lt;&gt;"",VLOOKUP(B56,'Formatted NEW'!$D:$M,12,FALSE),"")</f>
        <v>#REF!</v>
      </c>
      <c r="L56" s="19" t="e">
        <f>IF(C56&lt;&gt;"",VLOOKUP(C56,'Formatted NEW'!$D:$M,12,FALSE),"")</f>
        <v>#REF!</v>
      </c>
      <c r="M56" s="19" t="e">
        <f>IF(D56&lt;&gt;"",VLOOKUP(D56,'Formatted NEW'!$D:$M,12,FALSE),"")</f>
        <v>#REF!</v>
      </c>
      <c r="N56" s="19" t="str">
        <f t="shared" si="2"/>
        <v>{EMPTY, EMPTY, ORTHO_BOTH, EMPTY}</v>
      </c>
      <c r="P56" s="85"/>
      <c r="Q56" s="85"/>
      <c r="R56" s="85"/>
      <c r="S56" s="85"/>
      <c r="T56" s="85"/>
      <c r="W56">
        <v>20</v>
      </c>
    </row>
    <row r="57" spans="1:23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>IF(B57&lt;&gt;"",VLOOKUP(B57,'Formatted NEW'!$D:$M,12,FALSE),"")</f>
        <v>#REF!</v>
      </c>
      <c r="L57" s="19" t="e">
        <f>IF(C57&lt;&gt;"",VLOOKUP(C57,'Formatted NEW'!$D:$M,12,FALSE),"")</f>
        <v>#REF!</v>
      </c>
      <c r="M57" s="19" t="e">
        <f>IF(D57&lt;&gt;"",VLOOKUP(D57,'Formatted NEW'!$D:$M,12,FALSE),"")</f>
        <v>#REF!</v>
      </c>
      <c r="N57" s="19" t="str">
        <f t="shared" si="2"/>
        <v>{EMPTY, ORTHO_BOTH, ORTHO_BOTH, ORTHO_BOTH}</v>
      </c>
      <c r="P57" s="85"/>
      <c r="Q57" s="85"/>
      <c r="R57" s="85"/>
      <c r="S57" s="85"/>
      <c r="T57" s="85"/>
      <c r="W57">
        <v>21</v>
      </c>
    </row>
    <row r="58" spans="1:23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>IF(B58&lt;&gt;"",VLOOKUP(B58,'Formatted NEW'!$D:$M,12,FALSE),"")</f>
        <v>#REF!</v>
      </c>
      <c r="L58" s="19" t="e">
        <f>IF(C58&lt;&gt;"",VLOOKUP(C58,'Formatted NEW'!$D:$M,12,FALSE),"")</f>
        <v>#REF!</v>
      </c>
      <c r="M58" s="19" t="e">
        <f>IF(D58&lt;&gt;"",VLOOKUP(D58,'Formatted NEW'!$D:$M,12,FALSE),"")</f>
        <v>#REF!</v>
      </c>
      <c r="N58" s="19" t="str">
        <f t="shared" si="2"/>
        <v>{ORTHO_BOTH, EMPTY, ORTHO_BOTH, ORTHO_BOTH}</v>
      </c>
      <c r="P58" s="85"/>
      <c r="Q58" s="85"/>
      <c r="R58" s="85"/>
      <c r="S58" s="85"/>
      <c r="T58" s="85"/>
      <c r="W58">
        <v>22</v>
      </c>
    </row>
    <row r="59" spans="1:23" ht="60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>IF(B59&lt;&gt;"",VLOOKUP(B59,'Formatted NEW'!$D:$M,12,FALSE),"")</f>
        <v>#REF!</v>
      </c>
      <c r="L59" s="19" t="e">
        <f>IF(C59&lt;&gt;"",VLOOKUP(C59,'Formatted NEW'!$D:$M,12,FALSE),"")</f>
        <v>#REF!</v>
      </c>
      <c r="M59" s="19" t="e">
        <f>IF(D59&lt;&gt;"",VLOOKUP(D59,'Formatted NEW'!$D:$M,12,FALSE),"")</f>
        <v>#REF!</v>
      </c>
      <c r="N59" s="19" t="str">
        <f t="shared" si="2"/>
        <v>{DIAG_BOTH, ORTHO_BOTH, ORTHO_BOTH, ORTHO_BOTH}</v>
      </c>
      <c r="P59" s="85"/>
      <c r="Q59" s="85"/>
      <c r="R59" s="85"/>
      <c r="S59" s="85"/>
      <c r="T59" s="85"/>
      <c r="W59">
        <v>23</v>
      </c>
    </row>
    <row r="60" spans="1:23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>IF(B60&lt;&gt;"",VLOOKUP(B60,'Formatted NEW'!$D:$M,12,FALSE),"")</f>
        <v>#REF!</v>
      </c>
      <c r="L60" s="19" t="e">
        <f>IF(C60&lt;&gt;"",VLOOKUP(C60,'Formatted NEW'!$D:$M,12,FALSE),"")</f>
        <v>#REF!</v>
      </c>
      <c r="M60" s="19" t="e">
        <f>IF(D60&lt;&gt;"",VLOOKUP(D60,'Formatted NEW'!$D:$M,12,FALSE),"")</f>
        <v>#REF!</v>
      </c>
      <c r="N60" s="19" t="str">
        <f t="shared" si="2"/>
        <v>{ORTHO_BOTH, EMPTY, EMPTY, ORTHO_BOTH}</v>
      </c>
      <c r="P60" s="85"/>
      <c r="Q60" s="85"/>
      <c r="R60" s="85"/>
      <c r="S60" s="85"/>
      <c r="T60" s="85"/>
      <c r="W60">
        <v>24</v>
      </c>
    </row>
    <row r="61" spans="1:23" ht="45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>IF(B61&lt;&gt;"",VLOOKUP(B61,'Formatted NEW'!$D:$M,12,FALSE),"")</f>
        <v>#REF!</v>
      </c>
      <c r="L61" s="19" t="e">
        <f>IF(C61&lt;&gt;"",VLOOKUP(C61,'Formatted NEW'!$D:$M,12,FALSE),"")</f>
        <v>#REF!</v>
      </c>
      <c r="M61" s="19" t="e">
        <f>IF(D61&lt;&gt;"",VLOOKUP(D61,'Formatted NEW'!$D:$M,12,FALSE),"")</f>
        <v>#REF!</v>
      </c>
      <c r="N61" s="19" t="str">
        <f t="shared" si="2"/>
        <v>{EMPTY, EMPTY, DIAG_BOTH, ORTHO_BOTH}</v>
      </c>
      <c r="P61" s="85"/>
      <c r="Q61" s="85"/>
      <c r="R61" s="85"/>
      <c r="S61" s="85"/>
      <c r="T61" s="85"/>
      <c r="W61">
        <v>25</v>
      </c>
    </row>
    <row r="62" spans="1:23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>IF(B62&lt;&gt;"",VLOOKUP(B62,'Formatted NEW'!$D:$M,12,FALSE),"")</f>
        <v>#REF!</v>
      </c>
      <c r="L62" s="19" t="e">
        <f>IF(C62&lt;&gt;"",VLOOKUP(C62,'Formatted NEW'!$D:$M,12,FALSE),"")</f>
        <v>#REF!</v>
      </c>
      <c r="M62" s="19" t="e">
        <f>IF(D62&lt;&gt;"",VLOOKUP(D62,'Formatted NEW'!$D:$M,12,FALSE),"")</f>
        <v>#REF!</v>
      </c>
      <c r="N62" s="19" t="str">
        <f t="shared" si="2"/>
        <v>{ORTHO_BOTH, ORTHO_BOTH, EMPTY, EMPTY}</v>
      </c>
      <c r="P62" s="85"/>
      <c r="Q62" s="85"/>
      <c r="R62" s="85"/>
      <c r="S62" s="85"/>
      <c r="T62" s="85"/>
      <c r="W62">
        <v>26</v>
      </c>
    </row>
    <row r="63" spans="1:23" ht="45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>IF(B63&lt;&gt;"",VLOOKUP(B63,'Formatted NEW'!$D:$M,12,FALSE),"")</f>
        <v>#REF!</v>
      </c>
      <c r="L63" s="19" t="e">
        <f>IF(C63&lt;&gt;"",VLOOKUP(C63,'Formatted NEW'!$D:$M,12,FALSE),"")</f>
        <v>#REF!</v>
      </c>
      <c r="M63" s="19" t="e">
        <f>IF(D63&lt;&gt;"",VLOOKUP(D63,'Formatted NEW'!$D:$M,12,FALSE),"")</f>
        <v>#REF!</v>
      </c>
      <c r="N63" s="19" t="str">
        <f t="shared" si="2"/>
        <v>{EMPTY, EMPTY, ORTHO_BOTH, DIAG_BOTH}</v>
      </c>
      <c r="P63" s="85"/>
      <c r="Q63" s="85"/>
      <c r="R63" s="85"/>
      <c r="S63" s="85"/>
      <c r="T63" s="85"/>
      <c r="W63">
        <v>27</v>
      </c>
    </row>
    <row r="64" spans="1:23" ht="60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>IF(B64&lt;&gt;"",VLOOKUP(B64,'Formatted NEW'!$D:$M,12,FALSE),"")</f>
        <v>#REF!</v>
      </c>
      <c r="L64" s="19" t="e">
        <f>IF(C64&lt;&gt;"",VLOOKUP(C64,'Formatted NEW'!$D:$M,12,FALSE),"")</f>
        <v>#REF!</v>
      </c>
      <c r="M64" s="19" t="e">
        <f>IF(D64&lt;&gt;"",VLOOKUP(D64,'Formatted NEW'!$D:$M,12,FALSE),"")</f>
        <v>#REF!</v>
      </c>
      <c r="N64" s="19" t="str">
        <f t="shared" si="2"/>
        <v>{ORTHO_BOTH, DIAG_BOTH, ORTHO_BOTH, ORTHO_BOTH}</v>
      </c>
      <c r="P64" s="85"/>
      <c r="Q64" s="85"/>
      <c r="R64" s="85"/>
      <c r="S64" s="85"/>
      <c r="T64" s="85"/>
      <c r="W64">
        <v>28</v>
      </c>
    </row>
    <row r="65" spans="1:23" ht="6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>IF(B65&lt;&gt;"",VLOOKUP(B65,'Formatted NEW'!$D:$M,12,FALSE),"")</f>
        <v>#REF!</v>
      </c>
      <c r="L65" s="19" t="e">
        <f>IF(C65&lt;&gt;"",VLOOKUP(C65,'Formatted NEW'!$D:$M,12,FALSE),"")</f>
        <v>#REF!</v>
      </c>
      <c r="M65" s="19" t="e">
        <f>IF(D65&lt;&gt;"",VLOOKUP(D65,'Formatted NEW'!$D:$M,12,FALSE),"")</f>
        <v>#REF!</v>
      </c>
      <c r="N65" s="19" t="str">
        <f t="shared" si="2"/>
        <v>{DIAG_BOTH, ORTHO_BOTH, DIAG_BOTH, ORTHO_BOTH}</v>
      </c>
      <c r="P65" s="85"/>
      <c r="Q65" s="85"/>
      <c r="R65" s="85"/>
      <c r="S65" s="85"/>
      <c r="T65" s="85"/>
      <c r="W65">
        <v>29</v>
      </c>
    </row>
    <row r="66" spans="1:23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>IF(B66&lt;&gt;"",VLOOKUP(B66,'Formatted NEW'!$D:$M,12,FALSE),"")</f>
        <v>#REF!</v>
      </c>
      <c r="L66" s="19" t="e">
        <f>IF(C66&lt;&gt;"",VLOOKUP(C66,'Formatted NEW'!$D:$M,12,FALSE),"")</f>
        <v>#REF!</v>
      </c>
      <c r="M66" s="19" t="e">
        <f>IF(D66&lt;&gt;"",VLOOKUP(D66,'Formatted NEW'!$D:$M,12,FALSE),"")</f>
        <v>#REF!</v>
      </c>
      <c r="N66" s="19" t="str">
        <f t="shared" si="2"/>
        <v>{DIAG_BOTH, DIAG_BOTH, EMPTY, EMPTY}</v>
      </c>
      <c r="P66" s="85"/>
      <c r="Q66" s="85"/>
      <c r="R66" s="85"/>
      <c r="S66" s="85"/>
      <c r="T66" s="85"/>
      <c r="W66">
        <v>30</v>
      </c>
    </row>
    <row r="67" spans="1:23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>IF(B67&lt;&gt;"",VLOOKUP(B67,'Formatted NEW'!$D:$M,12,FALSE),"")</f>
        <v>#REF!</v>
      </c>
      <c r="L67" s="19" t="e">
        <f>IF(C67&lt;&gt;"",VLOOKUP(C67,'Formatted NEW'!$D:$M,12,FALSE),"")</f>
        <v>#REF!</v>
      </c>
      <c r="M67" s="19" t="e">
        <f>IF(D67&lt;&gt;"",VLOOKUP(D67,'Formatted NEW'!$D:$M,12,FALSE),"")</f>
        <v>#REF!</v>
      </c>
      <c r="N67" s="19" t="str">
        <f t="shared" ref="N67:N130" si="7">IF(E67&lt;&gt;"","{"&amp;E67&amp;"}","")</f>
        <v>{DIAG_BOTH, DIAG_BOTH, EMPTY, DIAG_BOTH}</v>
      </c>
      <c r="P67" s="85"/>
      <c r="Q67" s="85"/>
      <c r="R67" s="85"/>
      <c r="S67" s="85"/>
      <c r="T67" s="85"/>
      <c r="W67">
        <v>31</v>
      </c>
    </row>
    <row r="68" spans="1:23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>IF(B68&lt;&gt;"",VLOOKUP(B68,'Formatted NEW'!$D:$M,12,FALSE),"")</f>
        <v>#REF!</v>
      </c>
      <c r="L68" s="19" t="e">
        <f>IF(C68&lt;&gt;"",VLOOKUP(C68,'Formatted NEW'!$D:$M,12,FALSE),"")</f>
        <v>#REF!</v>
      </c>
      <c r="M68" s="19" t="e">
        <f>IF(D68&lt;&gt;"",VLOOKUP(D68,'Formatted NEW'!$D:$M,12,FALSE),"")</f>
        <v>#REF!</v>
      </c>
      <c r="N68" s="19" t="str">
        <f t="shared" si="7"/>
        <v>{DIAG_BOTH, DIAG_BOTH, EMPTY, ORTHO_BOTH}</v>
      </c>
      <c r="P68" s="85"/>
      <c r="Q68" s="85"/>
      <c r="R68" s="85"/>
      <c r="S68" s="85"/>
      <c r="T68" s="85"/>
      <c r="W68">
        <v>32</v>
      </c>
    </row>
    <row r="69" spans="1:23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>IF(B69&lt;&gt;"",VLOOKUP(B69,'Formatted NEW'!$D:$M,12,FALSE),"")</f>
        <v>#REF!</v>
      </c>
      <c r="L69" s="19" t="e">
        <f>IF(C69&lt;&gt;"",VLOOKUP(C69,'Formatted NEW'!$D:$M,12,FALSE),"")</f>
        <v>#REF!</v>
      </c>
      <c r="M69" s="19" t="e">
        <f>IF(D69&lt;&gt;"",VLOOKUP(D69,'Formatted NEW'!$D:$M,12,FALSE),"")</f>
        <v>#REF!</v>
      </c>
      <c r="N69" s="19" t="str">
        <f t="shared" si="7"/>
        <v>{DIAG_BOTH, EMPTY, DIAG_BOTH, EMPTY}</v>
      </c>
      <c r="P69" s="85"/>
      <c r="Q69" s="85"/>
      <c r="R69" s="85"/>
      <c r="S69" s="85"/>
      <c r="T69" s="85"/>
      <c r="W69">
        <v>33</v>
      </c>
    </row>
    <row r="70" spans="1:23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>IF(B70&lt;&gt;"",VLOOKUP(B70,'Formatted NEW'!$D:$M,12,FALSE),"")</f>
        <v>#REF!</v>
      </c>
      <c r="L70" s="19" t="e">
        <f>IF(C70&lt;&gt;"",VLOOKUP(C70,'Formatted NEW'!$D:$M,12,FALSE),"")</f>
        <v>#REF!</v>
      </c>
      <c r="M70" s="19" t="e">
        <f>IF(D70&lt;&gt;"",VLOOKUP(D70,'Formatted NEW'!$D:$M,12,FALSE),"")</f>
        <v>#REF!</v>
      </c>
      <c r="N70" s="19" t="str">
        <f t="shared" si="7"/>
        <v>{DIAG_BOTH, DIAG_BOTH, DIAG_BOTH, EMPTY}</v>
      </c>
      <c r="P70" s="85"/>
      <c r="Q70" s="85"/>
      <c r="R70" s="85"/>
      <c r="S70" s="85"/>
      <c r="T70" s="85"/>
      <c r="W70">
        <v>34</v>
      </c>
    </row>
    <row r="71" spans="1:23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>IF(B71&lt;&gt;"",VLOOKUP(B71,'Formatted NEW'!$D:$M,12,FALSE),"")</f>
        <v>#REF!</v>
      </c>
      <c r="L71" s="19" t="e">
        <f>IF(C71&lt;&gt;"",VLOOKUP(C71,'Formatted NEW'!$D:$M,12,FALSE),"")</f>
        <v>#REF!</v>
      </c>
      <c r="M71" s="19" t="e">
        <f>IF(D71&lt;&gt;"",VLOOKUP(D71,'Formatted NEW'!$D:$M,12,FALSE),"")</f>
        <v>#REF!</v>
      </c>
      <c r="N71" s="19" t="str">
        <f t="shared" si="7"/>
        <v>{EMPTY, DIAG_BOTH, DIAG_BOTH, EMPTY}</v>
      </c>
      <c r="P71" s="85"/>
      <c r="Q71" s="85"/>
      <c r="R71" s="85"/>
      <c r="S71" s="85"/>
      <c r="T71" s="85"/>
      <c r="W71">
        <v>35</v>
      </c>
    </row>
    <row r="72" spans="1:23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>IF(B72&lt;&gt;"",VLOOKUP(B72,'Formatted NEW'!$D:$M,12,FALSE),"")</f>
        <v>#REF!</v>
      </c>
      <c r="L72" s="19" t="e">
        <f>IF(C72&lt;&gt;"",VLOOKUP(C72,'Formatted NEW'!$D:$M,12,FALSE),"")</f>
        <v>#REF!</v>
      </c>
      <c r="M72" s="19" t="e">
        <f>IF(D72&lt;&gt;"",VLOOKUP(D72,'Formatted NEW'!$D:$M,12,FALSE),"")</f>
        <v>#REF!</v>
      </c>
      <c r="N72" s="19" t="str">
        <f t="shared" si="7"/>
        <v>{EMPTY, EMPTY, EMPTY, DIAG_BOTH}</v>
      </c>
      <c r="P72" s="85"/>
      <c r="Q72" s="85"/>
      <c r="R72" s="85"/>
      <c r="S72" s="85"/>
      <c r="T72" s="85"/>
      <c r="W72">
        <v>36</v>
      </c>
    </row>
    <row r="73" spans="1:23" ht="45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>IF(B73&lt;&gt;"",VLOOKUP(B73,'Formatted NEW'!$D:$M,12,FALSE),"")</f>
        <v>#REF!</v>
      </c>
      <c r="L73" s="19" t="e">
        <f>IF(C73&lt;&gt;"",VLOOKUP(C73,'Formatted NEW'!$D:$M,12,FALSE),"")</f>
        <v>#REF!</v>
      </c>
      <c r="M73" s="19" t="e">
        <f>IF(D73&lt;&gt;"",VLOOKUP(D73,'Formatted NEW'!$D:$M,12,FALSE),"")</f>
        <v>#REF!</v>
      </c>
      <c r="N73" s="19" t="str">
        <f t="shared" si="7"/>
        <v>{DIAG_BOTH, DIAG_BOTH, DIAG_BOTH, ORTHO_BOTH}</v>
      </c>
      <c r="P73" s="85"/>
      <c r="Q73" s="85"/>
      <c r="R73" s="85"/>
      <c r="S73" s="85"/>
      <c r="T73" s="85"/>
      <c r="W73">
        <v>37</v>
      </c>
    </row>
    <row r="74" spans="1:23" ht="45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>IF(B74&lt;&gt;"",VLOOKUP(B74,'Formatted NEW'!$D:$M,12,FALSE),"")</f>
        <v>#REF!</v>
      </c>
      <c r="L74" s="19" t="e">
        <f>IF(C74&lt;&gt;"",VLOOKUP(C74,'Formatted NEW'!$D:$M,12,FALSE),"")</f>
        <v>#REF!</v>
      </c>
      <c r="M74" s="19" t="e">
        <f>IF(D74&lt;&gt;"",VLOOKUP(D74,'Formatted NEW'!$D:$M,12,FALSE),"")</f>
        <v>#REF!</v>
      </c>
      <c r="N74" s="19" t="str">
        <f t="shared" si="7"/>
        <v>{DIAG_BOTH, DIAG_BOTH, ORTHO_BOTH, DIAG_BOTH}</v>
      </c>
      <c r="P74" s="85"/>
      <c r="Q74" s="85"/>
      <c r="R74" s="85"/>
      <c r="S74" s="85"/>
      <c r="T74" s="85"/>
      <c r="W74">
        <v>38</v>
      </c>
    </row>
    <row r="75" spans="1:23" ht="45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>IF(B75&lt;&gt;"",VLOOKUP(B75,'Formatted NEW'!$D:$M,12,FALSE),"")</f>
        <v>#REF!</v>
      </c>
      <c r="L75" s="19" t="e">
        <f>IF(C75&lt;&gt;"",VLOOKUP(C75,'Formatted NEW'!$D:$M,12,FALSE),"")</f>
        <v>#REF!</v>
      </c>
      <c r="M75" s="19" t="e">
        <f>IF(D75&lt;&gt;"",VLOOKUP(D75,'Formatted NEW'!$D:$M,12,FALSE),"")</f>
        <v>#REF!</v>
      </c>
      <c r="N75" s="19" t="str">
        <f t="shared" si="7"/>
        <v>{ORTHO_BOTH, DIAG_BOTH, DIAG_BOTH, EMPTY}</v>
      </c>
      <c r="P75" s="85"/>
      <c r="Q75" s="85"/>
      <c r="R75" s="85"/>
      <c r="S75" s="85"/>
      <c r="T75" s="85"/>
      <c r="W75">
        <v>39</v>
      </c>
    </row>
    <row r="76" spans="1:23" ht="45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>IF(B76&lt;&gt;"",VLOOKUP(B76,'Formatted NEW'!$D:$M,12,FALSE),"")</f>
        <v>#REF!</v>
      </c>
      <c r="L76" s="19" t="e">
        <f>IF(C76&lt;&gt;"",VLOOKUP(C76,'Formatted NEW'!$D:$M,12,FALSE),"")</f>
        <v>#REF!</v>
      </c>
      <c r="M76" s="19" t="e">
        <f>IF(D76&lt;&gt;"",VLOOKUP(D76,'Formatted NEW'!$D:$M,12,FALSE),"")</f>
        <v>#REF!</v>
      </c>
      <c r="N76" s="19" t="str">
        <f t="shared" si="7"/>
        <v>{EMPTY, DIAG_BOTH, DIAG_BOTH, ORTHO_BOTH}</v>
      </c>
      <c r="P76" s="85"/>
      <c r="Q76" s="85"/>
      <c r="R76" s="85"/>
      <c r="S76" s="85"/>
      <c r="T76" s="85"/>
      <c r="W76">
        <v>40</v>
      </c>
    </row>
    <row r="77" spans="1:23" ht="45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>IF(B77&lt;&gt;"",VLOOKUP(B77,'Formatted NEW'!$D:$M,12,FALSE),"")</f>
        <v>#REF!</v>
      </c>
      <c r="L77" s="19" t="e">
        <f>IF(C77&lt;&gt;"",VLOOKUP(C77,'Formatted NEW'!$D:$M,12,FALSE),"")</f>
        <v>#REF!</v>
      </c>
      <c r="M77" s="19" t="e">
        <f>IF(D77&lt;&gt;"",VLOOKUP(D77,'Formatted NEW'!$D:$M,12,FALSE),"")</f>
        <v>#REF!</v>
      </c>
      <c r="N77" s="19" t="str">
        <f t="shared" si="7"/>
        <v>{EMPTY, DIAG_BOTH, ORTHO_BOTH, DIAG_BOTH}</v>
      </c>
      <c r="P77" s="85"/>
      <c r="Q77" s="85"/>
      <c r="R77" s="85"/>
      <c r="S77" s="85"/>
      <c r="T77" s="85"/>
      <c r="W77">
        <v>41</v>
      </c>
    </row>
    <row r="78" spans="1:23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>IF(B78&lt;&gt;"",VLOOKUP(B78,'Formatted NEW'!$D:$M,12,FALSE),"")</f>
        <v>#REF!</v>
      </c>
      <c r="L78" s="19" t="e">
        <f>IF(C78&lt;&gt;"",VLOOKUP(C78,'Formatted NEW'!$D:$M,12,FALSE),"")</f>
        <v>#REF!</v>
      </c>
      <c r="M78" s="19" t="e">
        <f>IF(D78&lt;&gt;"",VLOOKUP(D78,'Formatted NEW'!$D:$M,12,FALSE),"")</f>
        <v>#REF!</v>
      </c>
      <c r="N78" s="19" t="str">
        <f t="shared" si="7"/>
        <v>{EMPTY, DIAG_BOTH, EMPTY, ORTHO_BOTH}</v>
      </c>
      <c r="P78" s="85"/>
      <c r="Q78" s="85"/>
      <c r="R78" s="85"/>
      <c r="S78" s="85"/>
      <c r="T78" s="85"/>
      <c r="W78">
        <v>42</v>
      </c>
    </row>
    <row r="79" spans="1:23" ht="45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>IF(B79&lt;&gt;"",VLOOKUP(B79,'Formatted NEW'!$D:$M,12,FALSE),"")</f>
        <v>#REF!</v>
      </c>
      <c r="L79" s="19" t="e">
        <f>IF(C79&lt;&gt;"",VLOOKUP(C79,'Formatted NEW'!$D:$M,12,FALSE),"")</f>
        <v>#REF!</v>
      </c>
      <c r="M79" s="19" t="e">
        <f>IF(D79&lt;&gt;"",VLOOKUP(D79,'Formatted NEW'!$D:$M,12,FALSE),"")</f>
        <v>#REF!</v>
      </c>
      <c r="N79" s="19" t="str">
        <f t="shared" si="7"/>
        <v>{DIAG_BOTH, EMPTY, DIAG_BOTH, ORTHO_BOTH}</v>
      </c>
      <c r="P79" s="85"/>
      <c r="Q79" s="85"/>
      <c r="R79" s="85"/>
      <c r="S79" s="85"/>
      <c r="T79" s="85"/>
      <c r="W79">
        <v>43</v>
      </c>
    </row>
    <row r="80" spans="1:23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>IF(B80&lt;&gt;"",VLOOKUP(B80,'Formatted NEW'!$D:$M,12,FALSE),"")</f>
        <v>#REF!</v>
      </c>
      <c r="L80" s="19" t="e">
        <f>IF(C80&lt;&gt;"",VLOOKUP(C80,'Formatted NEW'!$D:$M,12,FALSE),"")</f>
        <v>#REF!</v>
      </c>
      <c r="M80" s="19" t="e">
        <f>IF(D80&lt;&gt;"",VLOOKUP(D80,'Formatted NEW'!$D:$M,12,FALSE),"")</f>
        <v>#REF!</v>
      </c>
      <c r="N80" s="19" t="str">
        <f t="shared" si="7"/>
        <v>{DIAG_BOTH, DIAG_BOTH, ORTHO_BOTH, EMPTY}</v>
      </c>
      <c r="P80" s="85"/>
      <c r="Q80" s="85"/>
      <c r="R80" s="85"/>
      <c r="S80" s="85"/>
      <c r="T80" s="85"/>
      <c r="W80">
        <v>44</v>
      </c>
    </row>
    <row r="81" spans="1:23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>IF(B81&lt;&gt;"",VLOOKUP(B81,'Formatted NEW'!$D:$M,12,FALSE),"")</f>
        <v>#REF!</v>
      </c>
      <c r="L81" s="19" t="e">
        <f>IF(C81&lt;&gt;"",VLOOKUP(C81,'Formatted NEW'!$D:$M,12,FALSE),"")</f>
        <v>#REF!</v>
      </c>
      <c r="M81" s="19" t="e">
        <f>IF(D81&lt;&gt;"",VLOOKUP(D81,'Formatted NEW'!$D:$M,12,FALSE),"")</f>
        <v>#REF!</v>
      </c>
      <c r="N81" s="19" t="str">
        <f t="shared" si="7"/>
        <v>{ORTHO_BOTH, EMPTY, EMPTY, DIAG_BOTH}</v>
      </c>
      <c r="P81" s="85"/>
      <c r="Q81" s="85"/>
      <c r="R81" s="85"/>
      <c r="S81" s="85"/>
      <c r="T81" s="85"/>
      <c r="W81">
        <v>45</v>
      </c>
    </row>
    <row r="82" spans="1:23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>IF(B82&lt;&gt;"",VLOOKUP(B82,'Formatted NEW'!$D:$M,12,FALSE),"")</f>
        <v>#REF!</v>
      </c>
      <c r="L82" s="19" t="e">
        <f>IF(C82&lt;&gt;"",VLOOKUP(C82,'Formatted NEW'!$D:$M,12,FALSE),"")</f>
        <v>#REF!</v>
      </c>
      <c r="M82" s="19" t="e">
        <f>IF(D82&lt;&gt;"",VLOOKUP(D82,'Formatted NEW'!$D:$M,12,FALSE),"")</f>
        <v>#REF!</v>
      </c>
      <c r="N82" s="19" t="str">
        <f t="shared" si="7"/>
        <v>{ORTHO_BOTH, EMPTY, DIAG_BOTH, EMPTY}</v>
      </c>
      <c r="P82" s="85"/>
      <c r="Q82" s="85"/>
      <c r="R82" s="85"/>
      <c r="S82" s="85"/>
      <c r="T82" s="85"/>
      <c r="W82">
        <v>46</v>
      </c>
    </row>
    <row r="83" spans="1:23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>IF(B83&lt;&gt;"",VLOOKUP(B83,'Formatted NEW'!$D:$M,12,FALSE),"")</f>
        <v>#REF!</v>
      </c>
      <c r="L83" s="19" t="e">
        <f>IF(C83&lt;&gt;"",VLOOKUP(C83,'Formatted NEW'!$D:$M,12,FALSE),"")</f>
        <v>#REF!</v>
      </c>
      <c r="M83" s="19" t="e">
        <f>IF(D83&lt;&gt;"",VLOOKUP(D83,'Formatted NEW'!$D:$M,12,FALSE),"")</f>
        <v>#REF!</v>
      </c>
      <c r="N83" s="19" t="str">
        <f t="shared" si="7"/>
        <v>{EMPTY, DIAG_BOTH, EMPTY, DIAG_BOTH}</v>
      </c>
      <c r="P83" s="85"/>
      <c r="Q83" s="85"/>
      <c r="R83" s="85"/>
      <c r="S83" s="85"/>
      <c r="T83" s="85"/>
      <c r="W83">
        <v>47</v>
      </c>
    </row>
    <row r="84" spans="1:23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>IF(B84&lt;&gt;"",VLOOKUP(B84,'Formatted NEW'!$D:$M,12,FALSE),"")</f>
        <v>#REF!</v>
      </c>
      <c r="L84" s="19" t="e">
        <f>IF(C84&lt;&gt;"",VLOOKUP(C84,'Formatted NEW'!$D:$M,12,FALSE),"")</f>
        <v>#REF!</v>
      </c>
      <c r="M84" s="19" t="e">
        <f>IF(D84&lt;&gt;"",VLOOKUP(D84,'Formatted NEW'!$D:$M,12,FALSE),"")</f>
        <v>#REF!</v>
      </c>
      <c r="N84" s="19" t="str">
        <f t="shared" si="7"/>
        <v>{DIAG_BOTH, EMPTY, EMPTY, EMPTY}</v>
      </c>
      <c r="P84" s="85"/>
      <c r="Q84" s="85"/>
      <c r="R84" s="85"/>
      <c r="S84" s="85"/>
      <c r="T84" s="85"/>
      <c r="W84">
        <v>48</v>
      </c>
    </row>
    <row r="85" spans="1:23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>IF(B85&lt;&gt;"",VLOOKUP(B85,'Formatted NEW'!$D:$M,12,FALSE),"")</f>
        <v>#REF!</v>
      </c>
      <c r="L85" s="19" t="e">
        <f>IF(C85&lt;&gt;"",VLOOKUP(C85,'Formatted NEW'!$D:$M,12,FALSE),"")</f>
        <v>#REF!</v>
      </c>
      <c r="M85" s="19" t="e">
        <f>IF(D85&lt;&gt;"",VLOOKUP(D85,'Formatted NEW'!$D:$M,12,FALSE),"")</f>
        <v>#REF!</v>
      </c>
      <c r="N85" s="19" t="str">
        <f t="shared" si="7"/>
        <v>{DIAG_BOTH, DIAG_BOTH, DIAG_BOTH, DIAG_BOTH}</v>
      </c>
      <c r="P85" s="85"/>
      <c r="Q85" s="85"/>
      <c r="R85" s="85"/>
      <c r="S85" s="85"/>
      <c r="T85" s="85"/>
      <c r="W85">
        <v>49</v>
      </c>
    </row>
    <row r="86" spans="1:23" ht="45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>IF(B86&lt;&gt;"",VLOOKUP(B86,'Formatted NEW'!$D:$M,12,FALSE),"")</f>
        <v>#REF!</v>
      </c>
      <c r="L86" s="19" t="e">
        <f>IF(C86&lt;&gt;"",VLOOKUP(C86,'Formatted NEW'!$D:$M,12,FALSE),"")</f>
        <v>#REF!</v>
      </c>
      <c r="M86" s="19" t="e">
        <f>IF(D86&lt;&gt;"",VLOOKUP(D86,'Formatted NEW'!$D:$M,12,FALSE),"")</f>
        <v>#REF!</v>
      </c>
      <c r="N86" s="19" t="str">
        <f t="shared" si="7"/>
        <v>{ORTHO_BOTH, DIAG_BOTH, DIAG_BOTH, DIAG_BOTH}</v>
      </c>
      <c r="P86" s="85"/>
      <c r="Q86" s="85"/>
      <c r="R86" s="85"/>
      <c r="S86" s="85"/>
      <c r="T86" s="85"/>
      <c r="W86">
        <v>50</v>
      </c>
    </row>
    <row r="87" spans="1:23" ht="45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>IF(B87&lt;&gt;"",VLOOKUP(B87,'Formatted NEW'!$D:$M,12,FALSE),"")</f>
        <v>#REF!</v>
      </c>
      <c r="L87" s="19" t="e">
        <f>IF(C87&lt;&gt;"",VLOOKUP(C87,'Formatted NEW'!$D:$M,12,FALSE),"")</f>
        <v>#REF!</v>
      </c>
      <c r="M87" s="19" t="e">
        <f>IF(D87&lt;&gt;"",VLOOKUP(D87,'Formatted NEW'!$D:$M,12,FALSE),"")</f>
        <v>#REF!</v>
      </c>
      <c r="N87" s="19" t="str">
        <f t="shared" si="7"/>
        <v>{ORTHO_BOTH, DIAG_BOTH, EMPTY, DIAG_BOTH}</v>
      </c>
      <c r="P87" s="85"/>
      <c r="Q87" s="85"/>
      <c r="R87" s="85"/>
      <c r="S87" s="85"/>
      <c r="T87" s="85"/>
      <c r="W87">
        <v>51</v>
      </c>
    </row>
    <row r="88" spans="1:23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>IF(B88&lt;&gt;"",VLOOKUP(B88,'Formatted NEW'!$D:$M,12,FALSE),"")</f>
        <v>#REF!</v>
      </c>
      <c r="L88" s="19" t="e">
        <f>IF(C88&lt;&gt;"",VLOOKUP(C88,'Formatted NEW'!$D:$M,12,FALSE),"")</f>
        <v>#REF!</v>
      </c>
      <c r="M88" s="19" t="e">
        <f>IF(D88&lt;&gt;"",VLOOKUP(D88,'Formatted NEW'!$D:$M,12,FALSE),"")</f>
        <v>#REF!</v>
      </c>
      <c r="N88" s="19" t="str">
        <f t="shared" si="7"/>
        <v>{EMPTY, EMPTY, DIAG_BOTH, EMPTY}</v>
      </c>
      <c r="P88" s="85"/>
      <c r="Q88" s="85"/>
      <c r="R88" s="85"/>
      <c r="S88" s="85"/>
      <c r="T88" s="85"/>
      <c r="W88">
        <v>52</v>
      </c>
    </row>
    <row r="89" spans="1:23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>IF(B89&lt;&gt;"",VLOOKUP(B89,'Formatted NEW'!$D:$M,12,FALSE),"")</f>
        <v>#REF!</v>
      </c>
      <c r="L89" s="19" t="e">
        <f>IF(C89&lt;&gt;"",VLOOKUP(C89,'Formatted NEW'!$D:$M,12,FALSE),"")</f>
        <v>#REF!</v>
      </c>
      <c r="M89" s="19" t="e">
        <f>IF(D89&lt;&gt;"",VLOOKUP(D89,'Formatted NEW'!$D:$M,12,FALSE),"")</f>
        <v>#REF!</v>
      </c>
      <c r="N89" s="19" t="str">
        <f t="shared" si="7"/>
        <v>{EMPTY, DIAG_BOTH, DIAG_BOTH, DIAG_BOTH}</v>
      </c>
      <c r="P89" s="85"/>
      <c r="Q89" s="85"/>
      <c r="R89" s="85"/>
      <c r="S89" s="85"/>
      <c r="T89" s="85"/>
      <c r="W89">
        <v>53</v>
      </c>
    </row>
    <row r="90" spans="1:23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>IF(B90&lt;&gt;"",VLOOKUP(B90,'Formatted NEW'!$D:$M,12,FALSE),"")</f>
        <v>#REF!</v>
      </c>
      <c r="L90" s="19" t="e">
        <f>IF(C90&lt;&gt;"",VLOOKUP(C90,'Formatted NEW'!$D:$M,12,FALSE),"")</f>
        <v>#REF!</v>
      </c>
      <c r="M90" s="19" t="e">
        <f>IF(D90&lt;&gt;"",VLOOKUP(D90,'Formatted NEW'!$D:$M,12,FALSE),"")</f>
        <v>#REF!</v>
      </c>
      <c r="N90" s="19" t="str">
        <f t="shared" si="7"/>
        <v>{DIAG_BOTH, EMPTY, DIAG_BOTH, DIAG_BOTH}</v>
      </c>
      <c r="P90" s="85"/>
      <c r="Q90" s="85"/>
      <c r="R90" s="85"/>
      <c r="S90" s="85"/>
      <c r="T90" s="85"/>
      <c r="W90">
        <v>54</v>
      </c>
    </row>
    <row r="91" spans="1:23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>IF(B91&lt;&gt;"",VLOOKUP(B91,'Formatted NEW'!$D:$M,12,FALSE),"")</f>
        <v>#REF!</v>
      </c>
      <c r="L91" s="19" t="e">
        <f>IF(C91&lt;&gt;"",VLOOKUP(C91,'Formatted NEW'!$D:$M,12,FALSE),"")</f>
        <v>#REF!</v>
      </c>
      <c r="M91" s="19" t="e">
        <f>IF(D91&lt;&gt;"",VLOOKUP(D91,'Formatted NEW'!$D:$M,12,FALSE),"")</f>
        <v>#REF!</v>
      </c>
      <c r="N91" s="19" t="str">
        <f t="shared" si="7"/>
        <v>{ORTHO_BOTH, EMPTY, DIAG_BOTH, DIAG_BOTH}</v>
      </c>
      <c r="P91" s="85"/>
      <c r="Q91" s="85"/>
      <c r="R91" s="85"/>
      <c r="S91" s="85"/>
      <c r="T91" s="85"/>
      <c r="W91">
        <v>55</v>
      </c>
    </row>
    <row r="92" spans="1:23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>IF(B92&lt;&gt;"",VLOOKUP(B92,'Formatted NEW'!$D:$M,12,FALSE),"")</f>
        <v>#REF!</v>
      </c>
      <c r="L92" s="19" t="e">
        <f>IF(C92&lt;&gt;"",VLOOKUP(C92,'Formatted NEW'!$D:$M,12,FALSE),"")</f>
        <v>#REF!</v>
      </c>
      <c r="M92" s="19" t="e">
        <f>IF(D92&lt;&gt;"",VLOOKUP(D92,'Formatted NEW'!$D:$M,12,FALSE),"")</f>
        <v>#REF!</v>
      </c>
      <c r="N92" s="19" t="str">
        <f t="shared" si="7"/>
        <v>{DIAG_BOTH, EMPTY, EMPTY, DIAG_BOTH}</v>
      </c>
      <c r="P92" s="85"/>
      <c r="Q92" s="85"/>
      <c r="R92" s="85"/>
      <c r="S92" s="85"/>
      <c r="T92" s="85"/>
      <c r="W92">
        <v>56</v>
      </c>
    </row>
    <row r="93" spans="1:23" ht="45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>IF(B93&lt;&gt;"",VLOOKUP(B93,'Formatted NEW'!$D:$M,12,FALSE),"")</f>
        <v>#REF!</v>
      </c>
      <c r="L93" s="19" t="e">
        <f>IF(C93&lt;&gt;"",VLOOKUP(C93,'Formatted NEW'!$D:$M,12,FALSE),"")</f>
        <v>#REF!</v>
      </c>
      <c r="M93" s="19" t="e">
        <f>IF(D93&lt;&gt;"",VLOOKUP(D93,'Formatted NEW'!$D:$M,12,FALSE),"")</f>
        <v>#REF!</v>
      </c>
      <c r="N93" s="19" t="str">
        <f t="shared" si="7"/>
        <v>{ORTHO_BOTH, DIAG_BOTH, DIAG_BOTH, ORTHO_BOTH}</v>
      </c>
      <c r="P93" s="85"/>
      <c r="Q93" s="85"/>
      <c r="R93" s="85"/>
      <c r="S93" s="85"/>
      <c r="T93" s="85"/>
      <c r="W93">
        <v>57</v>
      </c>
    </row>
    <row r="94" spans="1:23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>IF(B94&lt;&gt;"",VLOOKUP(B94,'Formatted NEW'!$D:$M,12,FALSE),"")</f>
        <v>#REF!</v>
      </c>
      <c r="L94" s="19" t="e">
        <f>IF(C94&lt;&gt;"",VLOOKUP(C94,'Formatted NEW'!$D:$M,12,FALSE),"")</f>
        <v>#REF!</v>
      </c>
      <c r="M94" s="19" t="e">
        <f>IF(D94&lt;&gt;"",VLOOKUP(D94,'Formatted NEW'!$D:$M,12,FALSE),"")</f>
        <v>#REF!</v>
      </c>
      <c r="N94" s="19" t="str">
        <f t="shared" si="7"/>
        <v>{EMPTY, EMPTY, ORTHO_BOTH, ORTHO_BOTH}</v>
      </c>
      <c r="P94" s="85"/>
      <c r="Q94" s="85"/>
      <c r="R94" s="85"/>
      <c r="S94" s="85"/>
      <c r="T94" s="85"/>
      <c r="W94">
        <v>58</v>
      </c>
    </row>
    <row r="95" spans="1:23" ht="6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>IF(B95&lt;&gt;"",VLOOKUP(B95,'Formatted NEW'!$D:$M,12,FALSE),"")</f>
        <v>#REF!</v>
      </c>
      <c r="L95" s="19" t="e">
        <f>IF(C95&lt;&gt;"",VLOOKUP(C95,'Formatted NEW'!$D:$M,12,FALSE),"")</f>
        <v>#REF!</v>
      </c>
      <c r="M95" s="19" t="e">
        <f>IF(D95&lt;&gt;"",VLOOKUP(D95,'Formatted NEW'!$D:$M,12,FALSE),"")</f>
        <v>#REF!</v>
      </c>
      <c r="N95" s="19" t="str">
        <f t="shared" si="7"/>
        <v>{ORTHO_BOTH, DIAG_BOTH, ORTHO_BOTH, DIAG_BOTH}</v>
      </c>
      <c r="P95" s="85"/>
      <c r="Q95" s="85"/>
      <c r="R95" s="85"/>
      <c r="S95" s="85"/>
      <c r="T95" s="85"/>
      <c r="W95">
        <v>59</v>
      </c>
    </row>
    <row r="96" spans="1:23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>IF(B96&lt;&gt;"",VLOOKUP(B96,'Formatted NEW'!$D:$M,12,FALSE),"")</f>
        <v>#REF!</v>
      </c>
      <c r="L96" s="19" t="e">
        <f>IF(C96&lt;&gt;"",VLOOKUP(C96,'Formatted NEW'!$D:$M,12,FALSE),"")</f>
        <v>#REF!</v>
      </c>
      <c r="M96" s="19" t="e">
        <f>IF(D96&lt;&gt;"",VLOOKUP(D96,'Formatted NEW'!$D:$M,12,FALSE),"")</f>
        <v>#REF!</v>
      </c>
      <c r="N96" s="19" t="str">
        <f t="shared" si="7"/>
        <v>{ORTHO_BOTH, ORTHO_BOTH, EMPTY, EMPTY}</v>
      </c>
      <c r="P96" s="85"/>
      <c r="Q96" s="85"/>
      <c r="R96" s="85"/>
      <c r="S96" s="85"/>
      <c r="T96" s="85"/>
      <c r="W96">
        <v>60</v>
      </c>
    </row>
    <row r="97" spans="1:23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>IF(B97&lt;&gt;"",VLOOKUP(B97,'Formatted NEW'!$D:$M,12,FALSE),"")</f>
        <v>#REF!</v>
      </c>
      <c r="L97" s="19" t="e">
        <f>IF(C97&lt;&gt;"",VLOOKUP(C97,'Formatted NEW'!$D:$M,12,FALSE),"")</f>
        <v>#REF!</v>
      </c>
      <c r="M97" s="19" t="e">
        <f>IF(D97&lt;&gt;"",VLOOKUP(D97,'Formatted NEW'!$D:$M,12,FALSE),"")</f>
        <v>#REF!</v>
      </c>
      <c r="N97" s="19" t="str">
        <f t="shared" si="7"/>
        <v>{ORTHO_RIGHT, ORTHO_RIGHT, EMPTY, EMPTY}</v>
      </c>
      <c r="P97" s="85"/>
      <c r="Q97" s="85"/>
      <c r="R97" s="85"/>
      <c r="S97" s="85"/>
      <c r="T97" s="85"/>
      <c r="W97">
        <v>61</v>
      </c>
    </row>
    <row r="98" spans="1:23" ht="45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>IF(B98&lt;&gt;"",VLOOKUP(B98,'Formatted NEW'!$D:$M,12,FALSE),"")</f>
        <v>#REF!</v>
      </c>
      <c r="L98" s="19" t="e">
        <f>IF(C98&lt;&gt;"",VLOOKUP(C98,'Formatted NEW'!$D:$M,12,FALSE),"")</f>
        <v>#REF!</v>
      </c>
      <c r="M98" s="19" t="e">
        <f>IF(D98&lt;&gt;"",VLOOKUP(D98,'Formatted NEW'!$D:$M,12,FALSE),"")</f>
        <v>#REF!</v>
      </c>
      <c r="N98" s="19" t="str">
        <f t="shared" si="7"/>
        <v>{ORTHO_LEFT, ORTHO_LEFT, EMPTY, EMPTY}</v>
      </c>
      <c r="P98" s="85"/>
      <c r="Q98" s="85"/>
      <c r="R98" s="85"/>
      <c r="S98" s="85"/>
      <c r="T98" s="85"/>
      <c r="W98">
        <v>62</v>
      </c>
    </row>
    <row r="99" spans="1:23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>IF(B99&lt;&gt;"",VLOOKUP(B99,'Formatted NEW'!$D:$M,12,FALSE),"")</f>
        <v>#REF!</v>
      </c>
      <c r="L99" s="19" t="e">
        <f>IF(C99&lt;&gt;"",VLOOKUP(C99,'Formatted NEW'!$D:$M,12,FALSE),"")</f>
        <v>#REF!</v>
      </c>
      <c r="M99" s="19" t="e">
        <f>IF(D99&lt;&gt;"",VLOOKUP(D99,'Formatted NEW'!$D:$M,12,FALSE),"")</f>
        <v>#REF!</v>
      </c>
      <c r="N99" s="19" t="str">
        <f t="shared" si="7"/>
        <v>{EMPTY, EMPTY, ORTHO_UP, ORTHO_UP}</v>
      </c>
      <c r="P99" s="85"/>
      <c r="Q99" s="85"/>
      <c r="R99" s="85"/>
      <c r="S99" s="85"/>
      <c r="T99" s="85"/>
      <c r="W99">
        <v>63</v>
      </c>
    </row>
    <row r="100" spans="1:23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>IF(B100&lt;&gt;"",VLOOKUP(B100,'Formatted NEW'!$D:$M,12,FALSE),"")</f>
        <v>#REF!</v>
      </c>
      <c r="L100" s="19" t="e">
        <f>IF(C100&lt;&gt;"",VLOOKUP(C100,'Formatted NEW'!$D:$M,12,FALSE),"")</f>
        <v>#REF!</v>
      </c>
      <c r="M100" s="19" t="e">
        <f>IF(D100&lt;&gt;"",VLOOKUP(D100,'Formatted NEW'!$D:$M,12,FALSE),"")</f>
        <v>#REF!</v>
      </c>
      <c r="N100" s="19" t="str">
        <f t="shared" si="7"/>
        <v>{EMPTY, EMPTY, ORTHO_DOWN, ORTHO_DOWN}</v>
      </c>
      <c r="P100" s="85"/>
      <c r="Q100" s="85"/>
      <c r="R100" s="85"/>
      <c r="S100" s="85"/>
      <c r="T100" s="85"/>
      <c r="W100">
        <v>64</v>
      </c>
    </row>
    <row r="101" spans="1:23" ht="45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>IF(B101&lt;&gt;"",VLOOKUP(B101,'Formatted NEW'!$D:$M,12,FALSE),"")</f>
        <v>#REF!</v>
      </c>
      <c r="L101" s="19" t="e">
        <f>IF(C101&lt;&gt;"",VLOOKUP(C101,'Formatted NEW'!$D:$M,12,FALSE),"")</f>
        <v>#REF!</v>
      </c>
      <c r="M101" s="19" t="e">
        <f>IF(D101&lt;&gt;"",VLOOKUP(D101,'Formatted NEW'!$D:$M,12,FALSE),"")</f>
        <v>#REF!</v>
      </c>
      <c r="N101" s="19" t="str">
        <f t="shared" si="7"/>
        <v>{DIAG_FRONT, DIAG_BOTH, DIAG_BACK, DIAG_BOTH}</v>
      </c>
      <c r="P101" s="85"/>
      <c r="Q101" s="85"/>
      <c r="R101" s="85"/>
      <c r="S101" s="85"/>
      <c r="T101" s="85"/>
      <c r="W101">
        <v>65</v>
      </c>
    </row>
    <row r="102" spans="1:23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>IF(B102&lt;&gt;"",VLOOKUP(B102,'Formatted NEW'!$D:$M,12,FALSE),"")</f>
        <v>#REF!</v>
      </c>
      <c r="L102" s="19" t="e">
        <f>IF(C102&lt;&gt;"",VLOOKUP(C102,'Formatted NEW'!$D:$M,12,FALSE),"")</f>
        <v>#REF!</v>
      </c>
      <c r="M102" s="19" t="e">
        <f>IF(D102&lt;&gt;"",VLOOKUP(D102,'Formatted NEW'!$D:$M,12,FALSE),"")</f>
        <v>#REF!</v>
      </c>
      <c r="N102" s="19" t="str">
        <f t="shared" si="7"/>
        <v>{DIAG_BACK, DIAG_BOTH, DIAG_BOTH, DIAG_FRONT}</v>
      </c>
      <c r="P102" s="85"/>
      <c r="Q102" s="85"/>
      <c r="R102" s="85"/>
      <c r="S102" s="85"/>
      <c r="T102" s="85"/>
      <c r="W102">
        <v>66</v>
      </c>
    </row>
    <row r="103" spans="1:23" ht="45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>IF(B103&lt;&gt;"",VLOOKUP(B103,'Formatted NEW'!$D:$M,12,FALSE),"")</f>
        <v>#REF!</v>
      </c>
      <c r="L103" s="19" t="e">
        <f>IF(C103&lt;&gt;"",VLOOKUP(C103,'Formatted NEW'!$D:$M,12,FALSE),"")</f>
        <v>#REF!</v>
      </c>
      <c r="M103" s="19" t="e">
        <f>IF(D103&lt;&gt;"",VLOOKUP(D103,'Formatted NEW'!$D:$M,12,FALSE),"")</f>
        <v>#REF!</v>
      </c>
      <c r="N103" s="19" t="str">
        <f t="shared" si="7"/>
        <v>{DIAG_BOTH, DIAG_FRONT, DIAG_BOTH, DIAG_BACK}</v>
      </c>
      <c r="P103" s="85"/>
      <c r="Q103" s="85"/>
      <c r="R103" s="85"/>
      <c r="S103" s="85"/>
      <c r="T103" s="85"/>
      <c r="W103">
        <v>67</v>
      </c>
    </row>
    <row r="104" spans="1:23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>IF(B104&lt;&gt;"",VLOOKUP(B104,'Formatted NEW'!$D:$M,12,FALSE),"")</f>
        <v>#REF!</v>
      </c>
      <c r="L104" s="19" t="e">
        <f>IF(C104&lt;&gt;"",VLOOKUP(C104,'Formatted NEW'!$D:$M,12,FALSE),"")</f>
        <v>#REF!</v>
      </c>
      <c r="M104" s="19" t="e">
        <f>IF(D104&lt;&gt;"",VLOOKUP(D104,'Formatted NEW'!$D:$M,12,FALSE),"")</f>
        <v>#REF!</v>
      </c>
      <c r="N104" s="19" t="str">
        <f t="shared" si="7"/>
        <v>{DIAG_BOTH, DIAG_BACK, DIAG_FRONT, DIAG_BOTH}</v>
      </c>
      <c r="P104" s="85"/>
      <c r="Q104" s="85"/>
      <c r="R104" s="85"/>
      <c r="S104" s="85"/>
      <c r="T104" s="85"/>
      <c r="W104">
        <v>68</v>
      </c>
    </row>
    <row r="105" spans="1:23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>IF(B105&lt;&gt;"",VLOOKUP(B105,'Formatted NEW'!$D:$M,12,FALSE),"")</f>
        <v>#REF!</v>
      </c>
      <c r="L105" s="19" t="e">
        <f>IF(C105&lt;&gt;"",VLOOKUP(C105,'Formatted NEW'!$D:$M,12,FALSE),"")</f>
        <v>#REF!</v>
      </c>
      <c r="M105" s="19" t="e">
        <f>IF(D105&lt;&gt;"",VLOOKUP(D105,'Formatted NEW'!$D:$M,12,FALSE),"")</f>
        <v>#REF!</v>
      </c>
      <c r="N105" s="19" t="str">
        <f t="shared" si="7"/>
        <v>{EMPTY, DIAG_BOTH, DIAG_BACK, DIAG_FRONT}</v>
      </c>
      <c r="P105" s="85"/>
      <c r="Q105" s="85"/>
      <c r="R105" s="85"/>
      <c r="S105" s="85"/>
      <c r="T105" s="85"/>
      <c r="W105">
        <v>69</v>
      </c>
    </row>
    <row r="106" spans="1:23" ht="45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>IF(B106&lt;&gt;"",VLOOKUP(B106,'Formatted NEW'!$D:$M,12,FALSE),"")</f>
        <v>#REF!</v>
      </c>
      <c r="L106" s="19" t="e">
        <f>IF(C106&lt;&gt;"",VLOOKUP(C106,'Formatted NEW'!$D:$M,12,FALSE),"")</f>
        <v>#REF!</v>
      </c>
      <c r="M106" s="19" t="e">
        <f>IF(D106&lt;&gt;"",VLOOKUP(D106,'Formatted NEW'!$D:$M,12,FALSE),"")</f>
        <v>#REF!</v>
      </c>
      <c r="N106" s="19" t="str">
        <f t="shared" si="7"/>
        <v>{DIAG_BACK, DIAG_FRONT, DIAG_BOTH, EMPTY}</v>
      </c>
      <c r="P106" s="85"/>
      <c r="Q106" s="85"/>
      <c r="R106" s="85"/>
      <c r="S106" s="85"/>
      <c r="T106" s="85"/>
      <c r="W106">
        <v>70</v>
      </c>
    </row>
    <row r="107" spans="1:23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>IF(B107&lt;&gt;"",VLOOKUP(B107,'Formatted NEW'!$D:$M,12,FALSE),"")</f>
        <v>#REF!</v>
      </c>
      <c r="L107" s="19" t="e">
        <f>IF(C107&lt;&gt;"",VLOOKUP(C107,'Formatted NEW'!$D:$M,12,FALSE),"")</f>
        <v>#REF!</v>
      </c>
      <c r="M107" s="19" t="e">
        <f>IF(D107&lt;&gt;"",VLOOKUP(D107,'Formatted NEW'!$D:$M,12,FALSE),"")</f>
        <v>#REF!</v>
      </c>
      <c r="N107" s="19" t="str">
        <f t="shared" si="7"/>
        <v>{DIAG_BOTH, EMPTY, DIAG_FRONT, DIAG_BACK}</v>
      </c>
      <c r="P107" s="85"/>
      <c r="Q107" s="85"/>
      <c r="R107" s="85"/>
      <c r="S107" s="85"/>
      <c r="T107" s="85"/>
      <c r="W107">
        <v>71</v>
      </c>
    </row>
    <row r="108" spans="1:23" ht="45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>IF(B108&lt;&gt;"",VLOOKUP(B108,'Formatted NEW'!$D:$M,12,FALSE),"")</f>
        <v>#REF!</v>
      </c>
      <c r="L108" s="19" t="e">
        <f>IF(C108&lt;&gt;"",VLOOKUP(C108,'Formatted NEW'!$D:$M,12,FALSE),"")</f>
        <v>#REF!</v>
      </c>
      <c r="M108" s="19" t="e">
        <f>IF(D108&lt;&gt;"",VLOOKUP(D108,'Formatted NEW'!$D:$M,12,FALSE),"")</f>
        <v>#REF!</v>
      </c>
      <c r="N108" s="19" t="str">
        <f t="shared" si="7"/>
        <v>{DIAG_FRONT, DIAG_BACK, EMPTY, DIAG_BOTH}</v>
      </c>
      <c r="P108" s="85"/>
      <c r="Q108" s="85"/>
      <c r="R108" s="85"/>
      <c r="S108" s="85"/>
      <c r="T108" s="85"/>
      <c r="W108">
        <v>72</v>
      </c>
    </row>
    <row r="109" spans="1:23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>IF(B109&lt;&gt;"",VLOOKUP(B109,'Formatted NEW'!$D:$M,12,FALSE),"")</f>
        <v>#REF!</v>
      </c>
      <c r="L109" s="19" t="e">
        <f>IF(C109&lt;&gt;"",VLOOKUP(C109,'Formatted NEW'!$D:$M,12,FALSE),"")</f>
        <v>#REF!</v>
      </c>
      <c r="M109" s="19" t="e">
        <f>IF(D109&lt;&gt;"",VLOOKUP(D109,'Formatted NEW'!$D:$M,12,FALSE),"")</f>
        <v>#REF!</v>
      </c>
      <c r="N109" s="19" t="str">
        <f t="shared" si="7"/>
        <v>{EMPTY, DIAG_FRONT, DIAG_BACK, EMPTY}</v>
      </c>
      <c r="P109" s="85"/>
      <c r="Q109" s="85"/>
      <c r="R109" s="85"/>
      <c r="S109" s="85"/>
      <c r="T109" s="85"/>
      <c r="W109">
        <v>73</v>
      </c>
    </row>
    <row r="110" spans="1:23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>IF(B110&lt;&gt;"",VLOOKUP(B110,'Formatted NEW'!$D:$M,12,FALSE),"")</f>
        <v>#REF!</v>
      </c>
      <c r="L110" s="19" t="e">
        <f>IF(C110&lt;&gt;"",VLOOKUP(C110,'Formatted NEW'!$D:$M,12,FALSE),"")</f>
        <v>#REF!</v>
      </c>
      <c r="M110" s="19" t="e">
        <f>IF(D110&lt;&gt;"",VLOOKUP(D110,'Formatted NEW'!$D:$M,12,FALSE),"")</f>
        <v>#REF!</v>
      </c>
      <c r="N110" s="19" t="str">
        <f t="shared" si="7"/>
        <v>{DIAG_BACK, EMPTY, DIAG_FRONT, EMPTY}</v>
      </c>
      <c r="P110" s="85"/>
      <c r="Q110" s="85"/>
      <c r="R110" s="85"/>
      <c r="S110" s="85"/>
      <c r="T110" s="85"/>
      <c r="W110">
        <v>74</v>
      </c>
    </row>
    <row r="111" spans="1:23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>IF(B111&lt;&gt;"",VLOOKUP(B111,'Formatted NEW'!$D:$M,12,FALSE),"")</f>
        <v>#REF!</v>
      </c>
      <c r="L111" s="19" t="e">
        <f>IF(C111&lt;&gt;"",VLOOKUP(C111,'Formatted NEW'!$D:$M,12,FALSE),"")</f>
        <v>#REF!</v>
      </c>
      <c r="M111" s="19" t="e">
        <f>IF(D111&lt;&gt;"",VLOOKUP(D111,'Formatted NEW'!$D:$M,12,FALSE),"")</f>
        <v>#REF!</v>
      </c>
      <c r="N111" s="19" t="str">
        <f t="shared" si="7"/>
        <v>{DIAG_FRONT, EMPTY, EMPTY, DIAG_BACK}</v>
      </c>
      <c r="P111" s="85"/>
      <c r="Q111" s="85"/>
      <c r="R111" s="85"/>
      <c r="S111" s="85"/>
      <c r="T111" s="85"/>
      <c r="W111">
        <v>75</v>
      </c>
    </row>
    <row r="112" spans="1:23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>IF(B112&lt;&gt;"",VLOOKUP(B112,'Formatted NEW'!$D:$M,12,FALSE),"")</f>
        <v>#REF!</v>
      </c>
      <c r="L112" s="19" t="e">
        <f>IF(C112&lt;&gt;"",VLOOKUP(C112,'Formatted NEW'!$D:$M,12,FALSE),"")</f>
        <v>#REF!</v>
      </c>
      <c r="M112" s="19" t="e">
        <f>IF(D112&lt;&gt;"",VLOOKUP(D112,'Formatted NEW'!$D:$M,12,FALSE),"")</f>
        <v>#REF!</v>
      </c>
      <c r="N112" s="19" t="str">
        <f t="shared" si="7"/>
        <v>{EMPTY, DIAG_BACK, EMPTY, DIAG_FRONT}</v>
      </c>
      <c r="P112" s="85"/>
      <c r="Q112" s="85"/>
      <c r="R112" s="85"/>
      <c r="S112" s="85"/>
      <c r="T112" s="85"/>
      <c r="W112">
        <v>76</v>
      </c>
    </row>
    <row r="113" spans="1:23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>IF(B113&lt;&gt;"",VLOOKUP(B113,'Formatted NEW'!$D:$M,12,FALSE),"")</f>
        <v>#REF!</v>
      </c>
      <c r="L113" s="19" t="e">
        <f>IF(C113&lt;&gt;"",VLOOKUP(C113,'Formatted NEW'!$D:$M,12,FALSE),"")</f>
        <v>#REF!</v>
      </c>
      <c r="M113" s="19" t="e">
        <f>IF(D113&lt;&gt;"",VLOOKUP(D113,'Formatted NEW'!$D:$M,12,FALSE),"")</f>
        <v>#REF!</v>
      </c>
      <c r="N113" s="19" t="str">
        <f t="shared" si="7"/>
        <v>{ORTHO_BOTH, ORTHO_BOTH, ORTHO_DOWN, ORTHO_DOWN}</v>
      </c>
      <c r="P113" s="85"/>
      <c r="Q113" s="85"/>
      <c r="R113" s="85"/>
      <c r="S113" s="85"/>
      <c r="T113" s="85"/>
      <c r="W113">
        <v>77</v>
      </c>
    </row>
    <row r="114" spans="1:23" ht="60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>IF(B114&lt;&gt;"",VLOOKUP(B114,'Formatted NEW'!$D:$M,12,FALSE),"")</f>
        <v>#REF!</v>
      </c>
      <c r="L114" s="19" t="e">
        <f>IF(C114&lt;&gt;"",VLOOKUP(C114,'Formatted NEW'!$D:$M,12,FALSE),"")</f>
        <v>#REF!</v>
      </c>
      <c r="M114" s="19" t="e">
        <f>IF(D114&lt;&gt;"",VLOOKUP(D114,'Formatted NEW'!$D:$M,12,FALSE),"")</f>
        <v>#REF!</v>
      </c>
      <c r="N114" s="19" t="str">
        <f t="shared" si="7"/>
        <v>{ORTHO_LEFT, ORTHO_LEFT, ORTHO_BOTH, ORTHO_BOTH}</v>
      </c>
      <c r="P114" s="85"/>
      <c r="Q114" s="85"/>
      <c r="R114" s="85"/>
      <c r="S114" s="85"/>
      <c r="T114" s="85"/>
      <c r="W114">
        <v>78</v>
      </c>
    </row>
    <row r="115" spans="1:23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>IF(B115&lt;&gt;"",VLOOKUP(B115,'Formatted NEW'!$D:$M,12,FALSE),"")</f>
        <v>#REF!</v>
      </c>
      <c r="L115" s="19" t="e">
        <f>IF(C115&lt;&gt;"",VLOOKUP(C115,'Formatted NEW'!$D:$M,12,FALSE),"")</f>
        <v>#REF!</v>
      </c>
      <c r="M115" s="19" t="e">
        <f>IF(D115&lt;&gt;"",VLOOKUP(D115,'Formatted NEW'!$D:$M,12,FALSE),"")</f>
        <v>#REF!</v>
      </c>
      <c r="N115" s="19" t="str">
        <f t="shared" si="7"/>
        <v>{ORTHO_BOTH, ORTHO_BOTH, ORTHO_UP, ORTHO_UP}</v>
      </c>
      <c r="P115" s="85"/>
      <c r="Q115" s="85"/>
      <c r="R115" s="85"/>
      <c r="S115" s="85"/>
      <c r="T115" s="85"/>
      <c r="W115">
        <v>79</v>
      </c>
    </row>
    <row r="116" spans="1:23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>IF(B116&lt;&gt;"",VLOOKUP(B116,'Formatted NEW'!$D:$M,12,FALSE),"")</f>
        <v>#REF!</v>
      </c>
      <c r="L116" s="19" t="e">
        <f>IF(C116&lt;&gt;"",VLOOKUP(C116,'Formatted NEW'!$D:$M,12,FALSE),"")</f>
        <v>#REF!</v>
      </c>
      <c r="M116" s="19" t="e">
        <f>IF(D116&lt;&gt;"",VLOOKUP(D116,'Formatted NEW'!$D:$M,12,FALSE),"")</f>
        <v>#REF!</v>
      </c>
      <c r="N116" s="19" t="str">
        <f t="shared" si="7"/>
        <v>{ORTHO_RIGHT, ORTHO_RIGHT, ORTHO_BOTH, ORTHO_BOTH}</v>
      </c>
      <c r="P116" s="85"/>
      <c r="Q116" s="85"/>
      <c r="R116" s="85"/>
      <c r="S116" s="85"/>
      <c r="T116" s="85"/>
      <c r="W116">
        <v>80</v>
      </c>
    </row>
    <row r="117" spans="1:23" ht="60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>IF(B117&lt;&gt;"",VLOOKUP(B117,'Formatted NEW'!$D:$M,12,FALSE),"")</f>
        <v>#REF!</v>
      </c>
      <c r="L117" s="19" t="e">
        <f>IF(C117&lt;&gt;"",VLOOKUP(C117,'Formatted NEW'!$D:$M,12,FALSE),"")</f>
        <v>#REF!</v>
      </c>
      <c r="M117" s="19" t="e">
        <f>IF(D117&lt;&gt;"",VLOOKUP(D117,'Formatted NEW'!$D:$M,12,FALSE),"")</f>
        <v>#REF!</v>
      </c>
      <c r="N117" s="19" t="str">
        <f t="shared" si="7"/>
        <v>{ORTHO_LEFT, ORTHO_LEFT, ORTHO_DOWN, ORTHO_DOWN}</v>
      </c>
      <c r="P117" s="85"/>
      <c r="Q117" s="85"/>
      <c r="R117" s="85"/>
      <c r="S117" s="85"/>
      <c r="T117" s="85"/>
      <c r="W117">
        <v>81</v>
      </c>
    </row>
    <row r="118" spans="1:23" ht="45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>IF(B118&lt;&gt;"",VLOOKUP(B118,'Formatted NEW'!$D:$M,12,FALSE),"")</f>
        <v>#REF!</v>
      </c>
      <c r="L118" s="19" t="e">
        <f>IF(C118&lt;&gt;"",VLOOKUP(C118,'Formatted NEW'!$D:$M,12,FALSE),"")</f>
        <v>#REF!</v>
      </c>
      <c r="M118" s="19" t="e">
        <f>IF(D118&lt;&gt;"",VLOOKUP(D118,'Formatted NEW'!$D:$M,12,FALSE),"")</f>
        <v>#REF!</v>
      </c>
      <c r="N118" s="19" t="str">
        <f t="shared" si="7"/>
        <v>{ORTHO_LEFT, ORTHO_LEFT, ORTHO_UP, ORTHO_UP}</v>
      </c>
      <c r="P118" s="85"/>
      <c r="Q118" s="85"/>
      <c r="R118" s="85"/>
      <c r="S118" s="85"/>
      <c r="T118" s="85"/>
      <c r="W118">
        <v>82</v>
      </c>
    </row>
    <row r="119" spans="1:23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>IF(B119&lt;&gt;"",VLOOKUP(B119,'Formatted NEW'!$D:$M,12,FALSE),"")</f>
        <v>#REF!</v>
      </c>
      <c r="L119" s="19" t="e">
        <f>IF(C119&lt;&gt;"",VLOOKUP(C119,'Formatted NEW'!$D:$M,12,FALSE),"")</f>
        <v>#REF!</v>
      </c>
      <c r="M119" s="19" t="e">
        <f>IF(D119&lt;&gt;"",VLOOKUP(D119,'Formatted NEW'!$D:$M,12,FALSE),"")</f>
        <v>#REF!</v>
      </c>
      <c r="N119" s="19" t="str">
        <f t="shared" si="7"/>
        <v>{ORTHO_RIGHT, ORTHO_RIGHT, ORTHO_UP, ORTHO_UP}</v>
      </c>
      <c r="P119" s="85"/>
      <c r="Q119" s="85"/>
      <c r="R119" s="85"/>
      <c r="S119" s="85"/>
      <c r="T119" s="85"/>
      <c r="W119">
        <v>83</v>
      </c>
    </row>
    <row r="120" spans="1:23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>IF(B120&lt;&gt;"",VLOOKUP(B120,'Formatted NEW'!$D:$M,12,FALSE),"")</f>
        <v>#REF!</v>
      </c>
      <c r="L120" s="19" t="e">
        <f>IF(C120&lt;&gt;"",VLOOKUP(C120,'Formatted NEW'!$D:$M,12,FALSE),"")</f>
        <v>#REF!</v>
      </c>
      <c r="M120" s="19" t="e">
        <f>IF(D120&lt;&gt;"",VLOOKUP(D120,'Formatted NEW'!$D:$M,12,FALSE),"")</f>
        <v>#REF!</v>
      </c>
      <c r="N120" s="19" t="str">
        <f t="shared" si="7"/>
        <v>{ORTHO_RIGHT, ORTHO_RIGHT, ORTHO_DOWN, ORTHO_DOWN}</v>
      </c>
      <c r="P120" s="85"/>
      <c r="Q120" s="85"/>
      <c r="R120" s="85"/>
      <c r="S120" s="85"/>
      <c r="T120" s="85"/>
      <c r="W120">
        <v>84</v>
      </c>
    </row>
    <row r="121" spans="1:23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>IF(B121&lt;&gt;"",VLOOKUP(B121,'Formatted NEW'!$D:$M,12,FALSE),"")</f>
        <v>#REF!</v>
      </c>
      <c r="L121" s="19" t="e">
        <f>IF(C121&lt;&gt;"",VLOOKUP(C121,'Formatted NEW'!$D:$M,12,FALSE),"")</f>
        <v>#REF!</v>
      </c>
      <c r="M121" s="19" t="e">
        <f>IF(D121&lt;&gt;"",VLOOKUP(D121,'Formatted NEW'!$D:$M,12,FALSE),"")</f>
        <v>#REF!</v>
      </c>
      <c r="N121" s="19" t="str">
        <f t="shared" si="7"/>
        <v>{ORTHO_RIGHT, ORTHO_RIGHT, EMPTY, DIAG_BOTH}</v>
      </c>
      <c r="P121" s="85"/>
      <c r="Q121" s="85"/>
      <c r="R121" s="85"/>
      <c r="S121" s="85"/>
      <c r="T121" s="85"/>
      <c r="W121">
        <v>85</v>
      </c>
    </row>
    <row r="122" spans="1:23" ht="45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>IF(B122&lt;&gt;"",VLOOKUP(B122,'Formatted NEW'!$D:$M,12,FALSE),"")</f>
        <v>#REF!</v>
      </c>
      <c r="L122" s="19" t="e">
        <f>IF(C122&lt;&gt;"",VLOOKUP(C122,'Formatted NEW'!$D:$M,12,FALSE),"")</f>
        <v>#REF!</v>
      </c>
      <c r="M122" s="19" t="e">
        <f>IF(D122&lt;&gt;"",VLOOKUP(D122,'Formatted NEW'!$D:$M,12,FALSE),"")</f>
        <v>#REF!</v>
      </c>
      <c r="N122" s="19" t="str">
        <f t="shared" si="7"/>
        <v>{ORTHO_LEFT, ORTHO_LEFT, DIAG_BOTH, EMPTY}</v>
      </c>
      <c r="P122" s="85"/>
      <c r="Q122" s="85"/>
      <c r="R122" s="85"/>
      <c r="S122" s="85"/>
      <c r="T122" s="85"/>
      <c r="W122">
        <v>86</v>
      </c>
    </row>
    <row r="123" spans="1:23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>IF(B123&lt;&gt;"",VLOOKUP(B123,'Formatted NEW'!$D:$M,12,FALSE),"")</f>
        <v>#REF!</v>
      </c>
      <c r="L123" s="19" t="e">
        <f>IF(C123&lt;&gt;"",VLOOKUP(C123,'Formatted NEW'!$D:$M,12,FALSE),"")</f>
        <v>#REF!</v>
      </c>
      <c r="M123" s="19" t="e">
        <f>IF(D123&lt;&gt;"",VLOOKUP(D123,'Formatted NEW'!$D:$M,12,FALSE),"")</f>
        <v>#REF!</v>
      </c>
      <c r="N123" s="19" t="str">
        <f t="shared" si="7"/>
        <v>{DIAG_BOTH, EMPTY, ORTHO_UP, ORTHO_UP}</v>
      </c>
      <c r="P123" s="85"/>
      <c r="Q123" s="85"/>
      <c r="R123" s="85"/>
      <c r="S123" s="85"/>
      <c r="T123" s="85"/>
      <c r="W123">
        <v>87</v>
      </c>
    </row>
    <row r="124" spans="1:23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>IF(B124&lt;&gt;"",VLOOKUP(B124,'Formatted NEW'!$D:$M,12,FALSE),"")</f>
        <v>#REF!</v>
      </c>
      <c r="L124" s="19" t="e">
        <f>IF(C124&lt;&gt;"",VLOOKUP(C124,'Formatted NEW'!$D:$M,12,FALSE),"")</f>
        <v>#REF!</v>
      </c>
      <c r="M124" s="19" t="e">
        <f>IF(D124&lt;&gt;"",VLOOKUP(D124,'Formatted NEW'!$D:$M,12,FALSE),"")</f>
        <v>#REF!</v>
      </c>
      <c r="N124" s="19" t="str">
        <f t="shared" si="7"/>
        <v>{EMPTY, DIAG_BOTH, ORTHO_DOWN, ORTHO_DOWN}</v>
      </c>
      <c r="P124" s="85"/>
      <c r="Q124" s="85"/>
      <c r="R124" s="85"/>
      <c r="S124" s="85"/>
      <c r="T124" s="85"/>
      <c r="W124">
        <v>88</v>
      </c>
    </row>
    <row r="125" spans="1:23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>IF(B125&lt;&gt;"",VLOOKUP(B125,'Formatted NEW'!$D:$M,12,FALSE),"")</f>
        <v>#REF!</v>
      </c>
      <c r="L125" s="19" t="e">
        <f>IF(C125&lt;&gt;"",VLOOKUP(C125,'Formatted NEW'!$D:$M,12,FALSE),"")</f>
        <v>#REF!</v>
      </c>
      <c r="M125" s="19" t="e">
        <f>IF(D125&lt;&gt;"",VLOOKUP(D125,'Formatted NEW'!$D:$M,12,FALSE),"")</f>
        <v>#REF!</v>
      </c>
      <c r="N125" s="19" t="str">
        <f t="shared" si="7"/>
        <v>{ORTHO_RIGHT, ORTHO_RIGHT, EMPTY, ORTHO_BOTH}</v>
      </c>
      <c r="P125" s="85"/>
      <c r="Q125" s="85"/>
      <c r="R125" s="85"/>
      <c r="S125" s="85"/>
      <c r="T125" s="85"/>
      <c r="W125">
        <v>89</v>
      </c>
    </row>
    <row r="126" spans="1:23" ht="45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>IF(B126&lt;&gt;"",VLOOKUP(B126,'Formatted NEW'!$D:$M,12,FALSE),"")</f>
        <v>#REF!</v>
      </c>
      <c r="L126" s="19" t="e">
        <f>IF(C126&lt;&gt;"",VLOOKUP(C126,'Formatted NEW'!$D:$M,12,FALSE),"")</f>
        <v>#REF!</v>
      </c>
      <c r="M126" s="19" t="e">
        <f>IF(D126&lt;&gt;"",VLOOKUP(D126,'Formatted NEW'!$D:$M,12,FALSE),"")</f>
        <v>#REF!</v>
      </c>
      <c r="N126" s="19" t="str">
        <f t="shared" si="7"/>
        <v>{ORTHO_LEFT, ORTHO_LEFT, ORTHO_BOTH, EMPTY}</v>
      </c>
      <c r="P126" s="85"/>
      <c r="Q126" s="85"/>
      <c r="R126" s="85"/>
      <c r="S126" s="85"/>
      <c r="T126" s="85"/>
      <c r="W126">
        <v>90</v>
      </c>
    </row>
    <row r="127" spans="1:23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>IF(B127&lt;&gt;"",VLOOKUP(B127,'Formatted NEW'!$D:$M,12,FALSE),"")</f>
        <v>#REF!</v>
      </c>
      <c r="L127" s="19" t="e">
        <f>IF(C127&lt;&gt;"",VLOOKUP(C127,'Formatted NEW'!$D:$M,12,FALSE),"")</f>
        <v>#REF!</v>
      </c>
      <c r="M127" s="19" t="e">
        <f>IF(D127&lt;&gt;"",VLOOKUP(D127,'Formatted NEW'!$D:$M,12,FALSE),"")</f>
        <v>#REF!</v>
      </c>
      <c r="N127" s="19" t="str">
        <f t="shared" si="7"/>
        <v>{ORTHO_BOTH, EMPTY, ORTHO_UP, ORTHO_UP}</v>
      </c>
      <c r="P127" s="85"/>
      <c r="Q127" s="85"/>
      <c r="R127" s="85"/>
      <c r="S127" s="85"/>
      <c r="T127" s="85"/>
      <c r="W127">
        <v>91</v>
      </c>
    </row>
    <row r="128" spans="1:23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>IF(B128&lt;&gt;"",VLOOKUP(B128,'Formatted NEW'!$D:$M,12,FALSE),"")</f>
        <v>#REF!</v>
      </c>
      <c r="L128" s="19" t="e">
        <f>IF(C128&lt;&gt;"",VLOOKUP(C128,'Formatted NEW'!$D:$M,12,FALSE),"")</f>
        <v>#REF!</v>
      </c>
      <c r="M128" s="19" t="e">
        <f>IF(D128&lt;&gt;"",VLOOKUP(D128,'Formatted NEW'!$D:$M,12,FALSE),"")</f>
        <v>#REF!</v>
      </c>
      <c r="N128" s="19" t="str">
        <f t="shared" si="7"/>
        <v>{EMPTY, ORTHO_BOTH, ORTHO_DOWN, ORTHO_DOWN}</v>
      </c>
      <c r="P128" s="85"/>
      <c r="Q128" s="85"/>
      <c r="R128" s="85"/>
      <c r="S128" s="85"/>
      <c r="T128" s="85"/>
      <c r="W128">
        <v>92</v>
      </c>
    </row>
    <row r="129" spans="1:23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>IF(B129&lt;&gt;"",VLOOKUP(B129,'Formatted NEW'!$D:$M,12,FALSE),"")</f>
        <v>#REF!</v>
      </c>
      <c r="L129" s="19" t="e">
        <f>IF(C129&lt;&gt;"",VLOOKUP(C129,'Formatted NEW'!$D:$M,12,FALSE),"")</f>
        <v>#REF!</v>
      </c>
      <c r="M129" s="19" t="e">
        <f>IF(D129&lt;&gt;"",VLOOKUP(D129,'Formatted NEW'!$D:$M,12,FALSE),"")</f>
        <v>#REF!</v>
      </c>
      <c r="N129" s="19" t="str">
        <f t="shared" si="7"/>
        <v>{EMPTY, ORTHO_LEFT, ORTHO_DOWN, EMPTY}</v>
      </c>
      <c r="P129" s="85"/>
      <c r="Q129" s="85"/>
      <c r="R129" s="85"/>
      <c r="S129" s="85"/>
      <c r="T129" s="85"/>
      <c r="W129">
        <v>93</v>
      </c>
    </row>
    <row r="130" spans="1:23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>IF(B130&lt;&gt;"",VLOOKUP(B130,'Formatted NEW'!$D:$M,12,FALSE),"")</f>
        <v>#REF!</v>
      </c>
      <c r="L130" s="19" t="e">
        <f>IF(C130&lt;&gt;"",VLOOKUP(C130,'Formatted NEW'!$D:$M,12,FALSE),"")</f>
        <v>#REF!</v>
      </c>
      <c r="M130" s="19" t="e">
        <f>IF(D130&lt;&gt;"",VLOOKUP(D130,'Formatted NEW'!$D:$M,12,FALSE),"")</f>
        <v>#REF!</v>
      </c>
      <c r="N130" s="19" t="str">
        <f t="shared" si="7"/>
        <v>{ORTHO_LEFT, EMPTY, ORTHO_UP, EMPTY}</v>
      </c>
      <c r="P130" s="85"/>
      <c r="Q130" s="85"/>
      <c r="R130" s="85"/>
      <c r="S130" s="85"/>
      <c r="T130" s="85"/>
      <c r="W130">
        <v>94</v>
      </c>
    </row>
    <row r="131" spans="1:23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8">IF(A131&lt;&gt;"","conv("""&amp;A131&amp;""")","")</f>
        <v>#REF!</v>
      </c>
      <c r="K131" s="19" t="e">
        <f>IF(B131&lt;&gt;"",VLOOKUP(B131,'Formatted NEW'!$D:$M,12,FALSE),"")</f>
        <v>#REF!</v>
      </c>
      <c r="L131" s="19" t="e">
        <f>IF(C131&lt;&gt;"",VLOOKUP(C131,'Formatted NEW'!$D:$M,12,FALSE),"")</f>
        <v>#REF!</v>
      </c>
      <c r="M131" s="19" t="e">
        <f>IF(D131&lt;&gt;"",VLOOKUP(D131,'Formatted NEW'!$D:$M,12,FALSE),"")</f>
        <v>#REF!</v>
      </c>
      <c r="N131" s="19" t="str">
        <f t="shared" ref="N131:N194" si="9">IF(E131&lt;&gt;"","{"&amp;E131&amp;"}","")</f>
        <v>{ORTHO_RIGHT, EMPTY, EMPTY, ORTHO_UP}</v>
      </c>
      <c r="P131" s="85"/>
      <c r="Q131" s="85"/>
      <c r="R131" s="85"/>
      <c r="S131" s="85"/>
      <c r="T131" s="85"/>
      <c r="W131">
        <v>95</v>
      </c>
    </row>
    <row r="132" spans="1:23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8"/>
        <v>#REF!</v>
      </c>
      <c r="K132" s="19" t="e">
        <f>IF(B132&lt;&gt;"",VLOOKUP(B132,'Formatted NEW'!$D:$M,12,FALSE),"")</f>
        <v>#REF!</v>
      </c>
      <c r="L132" s="19" t="e">
        <f>IF(C132&lt;&gt;"",VLOOKUP(C132,'Formatted NEW'!$D:$M,12,FALSE),"")</f>
        <v>#REF!</v>
      </c>
      <c r="M132" s="19" t="e">
        <f>IF(D132&lt;&gt;"",VLOOKUP(D132,'Formatted NEW'!$D:$M,12,FALSE),"")</f>
        <v>#REF!</v>
      </c>
      <c r="N132" s="19" t="str">
        <f t="shared" si="9"/>
        <v>{EMPTY, ORTHO_RIGHT, EMPTY, ORTHO_DOWN}</v>
      </c>
      <c r="P132" s="85"/>
      <c r="Q132" s="85"/>
      <c r="R132" s="85"/>
      <c r="S132" s="85"/>
      <c r="T132" s="85"/>
      <c r="W132">
        <v>96</v>
      </c>
    </row>
    <row r="133" spans="1:23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8"/>
        <v>#REF!</v>
      </c>
      <c r="K133" s="19" t="e">
        <f>IF(B133&lt;&gt;"",VLOOKUP(B133,'Formatted NEW'!$D:$M,12,FALSE),"")</f>
        <v>#REF!</v>
      </c>
      <c r="L133" s="19" t="e">
        <f>IF(C133&lt;&gt;"",VLOOKUP(C133,'Formatted NEW'!$D:$M,12,FALSE),"")</f>
        <v>#REF!</v>
      </c>
      <c r="M133" s="19" t="e">
        <f>IF(D133&lt;&gt;"",VLOOKUP(D133,'Formatted NEW'!$D:$M,12,FALSE),"")</f>
        <v>#REF!</v>
      </c>
      <c r="N133" s="19" t="str">
        <f t="shared" si="9"/>
        <v>{ORTHO_BOTH, EMPTY, EMPTY, EMPTY}</v>
      </c>
      <c r="P133" s="85"/>
      <c r="Q133" s="85"/>
      <c r="R133" s="85"/>
      <c r="S133" s="85"/>
      <c r="T133" s="85"/>
      <c r="W133">
        <v>97</v>
      </c>
    </row>
    <row r="134" spans="1:23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8"/>
        <v>#REF!</v>
      </c>
      <c r="K134" s="19" t="e">
        <f>IF(B134&lt;&gt;"",VLOOKUP(B134,'Formatted NEW'!$D:$M,12,FALSE),"")</f>
        <v>#REF!</v>
      </c>
      <c r="L134" s="19" t="e">
        <f>IF(C134&lt;&gt;"",VLOOKUP(C134,'Formatted NEW'!$D:$M,12,FALSE),"")</f>
        <v>#REF!</v>
      </c>
      <c r="M134" s="19" t="e">
        <f>IF(D134&lt;&gt;"",VLOOKUP(D134,'Formatted NEW'!$D:$M,12,FALSE),"")</f>
        <v>#REF!</v>
      </c>
      <c r="N134" s="19" t="str">
        <f t="shared" si="9"/>
        <v>{EMPTY, ORTHO_BOTH, EMPTY, EMPTY}</v>
      </c>
      <c r="P134" s="85"/>
      <c r="Q134" s="85"/>
      <c r="R134" s="85"/>
      <c r="S134" s="85"/>
      <c r="T134" s="85"/>
      <c r="W134">
        <v>98</v>
      </c>
    </row>
    <row r="135" spans="1:23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8"/>
        <v>#REF!</v>
      </c>
      <c r="K135" s="19" t="e">
        <f>IF(B135&lt;&gt;"",VLOOKUP(B135,'Formatted NEW'!$D:$M,12,FALSE),"")</f>
        <v>#REF!</v>
      </c>
      <c r="L135" s="19" t="e">
        <f>IF(C135&lt;&gt;"",VLOOKUP(C135,'Formatted NEW'!$D:$M,12,FALSE),"")</f>
        <v>#REF!</v>
      </c>
      <c r="M135" s="19" t="e">
        <f>IF(D135&lt;&gt;"",VLOOKUP(D135,'Formatted NEW'!$D:$M,12,FALSE),"")</f>
        <v>#REF!</v>
      </c>
      <c r="N135" s="19" t="str">
        <f t="shared" si="9"/>
        <v>{EMPTY, EMPTY, ORTHO_BOTH, EMPTY}</v>
      </c>
      <c r="P135" s="85"/>
      <c r="Q135" s="85"/>
      <c r="R135" s="85"/>
      <c r="S135" s="85"/>
      <c r="T135" s="85"/>
      <c r="W135">
        <v>99</v>
      </c>
    </row>
    <row r="136" spans="1:23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8"/>
        <v>#REF!</v>
      </c>
      <c r="K136" s="19" t="e">
        <f>IF(B136&lt;&gt;"",VLOOKUP(B136,'Formatted NEW'!$D:$M,12,FALSE),"")</f>
        <v>#REF!</v>
      </c>
      <c r="L136" s="19" t="e">
        <f>IF(C136&lt;&gt;"",VLOOKUP(C136,'Formatted NEW'!$D:$M,12,FALSE),"")</f>
        <v>#REF!</v>
      </c>
      <c r="M136" s="19" t="e">
        <f>IF(D136&lt;&gt;"",VLOOKUP(D136,'Formatted NEW'!$D:$M,12,FALSE),"")</f>
        <v>#REF!</v>
      </c>
      <c r="N136" s="19" t="str">
        <f t="shared" si="9"/>
        <v>{EMPTY, EMPTY, EMPTY, ORTHO_BOTH}</v>
      </c>
      <c r="P136" s="85"/>
      <c r="Q136" s="85"/>
      <c r="R136" s="85"/>
      <c r="S136" s="85"/>
      <c r="T136" s="85"/>
      <c r="W136">
        <v>100</v>
      </c>
    </row>
    <row r="137" spans="1:23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8"/>
        <v>#REF!</v>
      </c>
      <c r="K137" s="19" t="e">
        <f>IF(B137&lt;&gt;"",VLOOKUP(B137,'Formatted NEW'!$D:$M,12,FALSE),"")</f>
        <v>#REF!</v>
      </c>
      <c r="L137" s="19" t="e">
        <f>IF(C137&lt;&gt;"",VLOOKUP(C137,'Formatted NEW'!$D:$M,12,FALSE),"")</f>
        <v>#REF!</v>
      </c>
      <c r="M137" s="19" t="e">
        <f>IF(D137&lt;&gt;"",VLOOKUP(D137,'Formatted NEW'!$D:$M,12,FALSE),"")</f>
        <v>#REF!</v>
      </c>
      <c r="N137" s="19" t="str">
        <f t="shared" si="9"/>
        <v>{EMPTY, ORTHO_LEFT, EMPTY, ORTHO_UP}</v>
      </c>
      <c r="P137" s="85"/>
      <c r="Q137" s="85"/>
      <c r="R137" s="85"/>
      <c r="S137" s="85"/>
      <c r="T137" s="85"/>
      <c r="W137">
        <v>101</v>
      </c>
    </row>
    <row r="138" spans="1:23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8"/>
        <v>#REF!</v>
      </c>
      <c r="K138" s="19" t="e">
        <f>IF(B138&lt;&gt;"",VLOOKUP(B138,'Formatted NEW'!$D:$M,12,FALSE),"")</f>
        <v>#REF!</v>
      </c>
      <c r="L138" s="19" t="e">
        <f>IF(C138&lt;&gt;"",VLOOKUP(C138,'Formatted NEW'!$D:$M,12,FALSE),"")</f>
        <v>#REF!</v>
      </c>
      <c r="M138" s="19" t="e">
        <f>IF(D138&lt;&gt;"",VLOOKUP(D138,'Formatted NEW'!$D:$M,12,FALSE),"")</f>
        <v>#REF!</v>
      </c>
      <c r="N138" s="19" t="str">
        <f t="shared" si="9"/>
        <v>{EMPTY, ORTHO_RIGHT, ORTHO_UP, EMPTY}</v>
      </c>
      <c r="P138" s="85"/>
      <c r="Q138" s="85"/>
      <c r="R138" s="85"/>
      <c r="S138" s="85"/>
      <c r="T138" s="85"/>
      <c r="W138">
        <v>102</v>
      </c>
    </row>
    <row r="139" spans="1:23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8"/>
        <v>#REF!</v>
      </c>
      <c r="K139" s="19" t="e">
        <f>IF(B139&lt;&gt;"",VLOOKUP(B139,'Formatted NEW'!$D:$M,12,FALSE),"")</f>
        <v>#REF!</v>
      </c>
      <c r="L139" s="19" t="e">
        <f>IF(C139&lt;&gt;"",VLOOKUP(C139,'Formatted NEW'!$D:$M,12,FALSE),"")</f>
        <v>#REF!</v>
      </c>
      <c r="M139" s="19" t="e">
        <f>IF(D139&lt;&gt;"",VLOOKUP(D139,'Formatted NEW'!$D:$M,12,FALSE),"")</f>
        <v>#REF!</v>
      </c>
      <c r="N139" s="19" t="str">
        <f t="shared" si="9"/>
        <v>{ORTHO_LEFT, EMPTY, EMPTY, ORTHO_DOWN}</v>
      </c>
      <c r="P139" s="85"/>
      <c r="Q139" s="85"/>
      <c r="R139" s="85"/>
      <c r="S139" s="85"/>
      <c r="T139" s="85"/>
      <c r="W139">
        <v>103</v>
      </c>
    </row>
    <row r="140" spans="1:23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8"/>
        <v>#REF!</v>
      </c>
      <c r="K140" s="19" t="e">
        <f>IF(B140&lt;&gt;"",VLOOKUP(B140,'Formatted NEW'!$D:$M,12,FALSE),"")</f>
        <v>#REF!</v>
      </c>
      <c r="L140" s="19" t="e">
        <f>IF(C140&lt;&gt;"",VLOOKUP(C140,'Formatted NEW'!$D:$M,12,FALSE),"")</f>
        <v>#REF!</v>
      </c>
      <c r="M140" s="19" t="e">
        <f>IF(D140&lt;&gt;"",VLOOKUP(D140,'Formatted NEW'!$D:$M,12,FALSE),"")</f>
        <v>#REF!</v>
      </c>
      <c r="N140" s="19" t="str">
        <f t="shared" si="9"/>
        <v>{ORTHO_RIGHT, EMPTY, ORTHO_DOWN, EMPTY}</v>
      </c>
      <c r="P140" s="85"/>
      <c r="Q140" s="85"/>
      <c r="R140" s="85"/>
      <c r="S140" s="85"/>
      <c r="T140" s="85"/>
      <c r="W140">
        <v>104</v>
      </c>
    </row>
    <row r="141" spans="1:23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8"/>
        <v>#REF!</v>
      </c>
      <c r="K141" s="19" t="e">
        <f>IF(B141&lt;&gt;"",VLOOKUP(B141,'Formatted NEW'!$D:$M,12,FALSE),"")</f>
        <v>#REF!</v>
      </c>
      <c r="L141" s="19" t="e">
        <f>IF(C141&lt;&gt;"",VLOOKUP(C141,'Formatted NEW'!$D:$M,12,FALSE),"")</f>
        <v>#REF!</v>
      </c>
      <c r="M141" s="19" t="e">
        <f>IF(D141&lt;&gt;"",VLOOKUP(D141,'Formatted NEW'!$D:$M,12,FALSE),"")</f>
        <v>#REF!</v>
      </c>
      <c r="N141" s="19" t="str">
        <f t="shared" si="9"/>
        <v>{EMPTY, ORTHO_RIGHT, EMPTY, ORTHO_DOWN}</v>
      </c>
      <c r="P141" s="85"/>
      <c r="Q141" s="85"/>
      <c r="R141" s="85"/>
      <c r="S141" s="85"/>
      <c r="T141" s="85"/>
      <c r="W141">
        <v>105</v>
      </c>
    </row>
    <row r="142" spans="1:23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8"/>
        <v>#REF!</v>
      </c>
      <c r="K142" s="19" t="e">
        <f>IF(B142&lt;&gt;"",VLOOKUP(B142,'Formatted NEW'!$D:$M,12,FALSE),"")</f>
        <v>#REF!</v>
      </c>
      <c r="L142" s="19" t="e">
        <f>IF(C142&lt;&gt;"",VLOOKUP(C142,'Formatted NEW'!$D:$M,12,FALSE),"")</f>
        <v>#REF!</v>
      </c>
      <c r="M142" s="19" t="e">
        <f>IF(D142&lt;&gt;"",VLOOKUP(D142,'Formatted NEW'!$D:$M,12,FALSE),"")</f>
        <v>#REF!</v>
      </c>
      <c r="N142" s="19" t="str">
        <f t="shared" si="9"/>
        <v>{EMPTY, ORTHO_LEFT, ORTHO_DOWN, EMPTY}</v>
      </c>
      <c r="P142" s="85"/>
      <c r="Q142" s="85"/>
      <c r="R142" s="85"/>
      <c r="S142" s="85"/>
      <c r="T142" s="85"/>
      <c r="W142">
        <v>106</v>
      </c>
    </row>
    <row r="143" spans="1:23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8"/>
        <v>#REF!</v>
      </c>
      <c r="K143" s="19" t="e">
        <f>IF(B143&lt;&gt;"",VLOOKUP(B143,'Formatted NEW'!$D:$M,12,FALSE),"")</f>
        <v>#REF!</v>
      </c>
      <c r="L143" s="19" t="e">
        <f>IF(C143&lt;&gt;"",VLOOKUP(C143,'Formatted NEW'!$D:$M,12,FALSE),"")</f>
        <v>#REF!</v>
      </c>
      <c r="M143" s="19" t="e">
        <f>IF(D143&lt;&gt;"",VLOOKUP(D143,'Formatted NEW'!$D:$M,12,FALSE),"")</f>
        <v>#REF!</v>
      </c>
      <c r="N143" s="19" t="str">
        <f t="shared" si="9"/>
        <v>{ORTHO_RIGHT, EMPTY, EMPTY, ORTHO_UP}</v>
      </c>
      <c r="P143" s="85"/>
      <c r="Q143" s="85"/>
      <c r="R143" s="85"/>
      <c r="S143" s="85"/>
      <c r="T143" s="85"/>
      <c r="W143">
        <v>107</v>
      </c>
    </row>
    <row r="144" spans="1:23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8"/>
        <v>#REF!</v>
      </c>
      <c r="K144" s="19" t="e">
        <f>IF(B144&lt;&gt;"",VLOOKUP(B144,'Formatted NEW'!$D:$M,12,FALSE),"")</f>
        <v>#REF!</v>
      </c>
      <c r="L144" s="19" t="e">
        <f>IF(C144&lt;&gt;"",VLOOKUP(C144,'Formatted NEW'!$D:$M,12,FALSE),"")</f>
        <v>#REF!</v>
      </c>
      <c r="M144" s="19" t="e">
        <f>IF(D144&lt;&gt;"",VLOOKUP(D144,'Formatted NEW'!$D:$M,12,FALSE),"")</f>
        <v>#REF!</v>
      </c>
      <c r="N144" s="19" t="str">
        <f t="shared" si="9"/>
        <v>{ORTHO_LEFT, EMPTY, ORTHO_UP, EMPTY}</v>
      </c>
      <c r="P144" s="85"/>
      <c r="Q144" s="85"/>
      <c r="R144" s="85"/>
      <c r="S144" s="85"/>
      <c r="T144" s="85"/>
      <c r="W144">
        <v>108</v>
      </c>
    </row>
    <row r="145" spans="1:23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8"/>
        <v>#REF!</v>
      </c>
      <c r="K145" s="19" t="e">
        <f>IF(B145&lt;&gt;"",VLOOKUP(B145,'Formatted NEW'!$D:$M,12,FALSE),"")</f>
        <v>#REF!</v>
      </c>
      <c r="L145" s="19" t="e">
        <f>IF(C145&lt;&gt;"",VLOOKUP(C145,'Formatted NEW'!$D:$M,12,FALSE),"")</f>
        <v>#REF!</v>
      </c>
      <c r="M145" s="19" t="e">
        <f>IF(D145&lt;&gt;"",VLOOKUP(D145,'Formatted NEW'!$D:$M,12,FALSE),"")</f>
        <v>#REF!</v>
      </c>
      <c r="N145" s="19" t="str">
        <f t="shared" si="9"/>
        <v>{ORTHO_LEFT, ORTHO_RIGHT, EMPTY, EMPTY}</v>
      </c>
      <c r="P145" s="85"/>
      <c r="Q145" s="85"/>
      <c r="R145" s="85"/>
      <c r="S145" s="85"/>
      <c r="T145" s="85"/>
      <c r="W145">
        <v>109</v>
      </c>
    </row>
    <row r="146" spans="1:23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8"/>
        <v>#REF!</v>
      </c>
      <c r="K146" s="19" t="e">
        <f>IF(B146&lt;&gt;"",VLOOKUP(B146,'Formatted NEW'!$D:$M,12,FALSE),"")</f>
        <v>#REF!</v>
      </c>
      <c r="L146" s="19" t="e">
        <f>IF(C146&lt;&gt;"",VLOOKUP(C146,'Formatted NEW'!$D:$M,12,FALSE),"")</f>
        <v>#REF!</v>
      </c>
      <c r="M146" s="19" t="e">
        <f>IF(D146&lt;&gt;"",VLOOKUP(D146,'Formatted NEW'!$D:$M,12,FALSE),"")</f>
        <v>#REF!</v>
      </c>
      <c r="N146" s="19" t="str">
        <f t="shared" si="9"/>
        <v>{ORTHO_RIGHT, ORTHO_LEFT, EMPTY, EMPTY}</v>
      </c>
      <c r="P146" s="85"/>
      <c r="Q146" s="85"/>
      <c r="R146" s="85"/>
      <c r="S146" s="85"/>
      <c r="T146" s="85"/>
      <c r="W146">
        <v>110</v>
      </c>
    </row>
    <row r="147" spans="1:23" ht="45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8"/>
        <v>#REF!</v>
      </c>
      <c r="K147" s="19" t="e">
        <f>IF(B147&lt;&gt;"",VLOOKUP(B147,'Formatted NEW'!$D:$M,12,FALSE),"")</f>
        <v>#REF!</v>
      </c>
      <c r="L147" s="19" t="e">
        <f>IF(C147&lt;&gt;"",VLOOKUP(C147,'Formatted NEW'!$D:$M,12,FALSE),"")</f>
        <v>#REF!</v>
      </c>
      <c r="M147" s="19" t="e">
        <f>IF(D147&lt;&gt;"",VLOOKUP(D147,'Formatted NEW'!$D:$M,12,FALSE),"")</f>
        <v>#REF!</v>
      </c>
      <c r="N147" s="19" t="str">
        <f t="shared" si="9"/>
        <v>{EMPTY, EMPTY, ORTHO_DOWN, ORTHO_UP}</v>
      </c>
      <c r="P147" s="85"/>
      <c r="Q147" s="85"/>
      <c r="R147" s="85"/>
      <c r="S147" s="85"/>
      <c r="T147" s="85"/>
      <c r="W147">
        <v>111</v>
      </c>
    </row>
    <row r="148" spans="1:23" ht="45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8"/>
        <v>#REF!</v>
      </c>
      <c r="K148" s="19" t="e">
        <f>IF(B148&lt;&gt;"",VLOOKUP(B148,'Formatted NEW'!$D:$M,12,FALSE),"")</f>
        <v>#REF!</v>
      </c>
      <c r="L148" s="19" t="e">
        <f>IF(C148&lt;&gt;"",VLOOKUP(C148,'Formatted NEW'!$D:$M,12,FALSE),"")</f>
        <v>#REF!</v>
      </c>
      <c r="M148" s="19" t="e">
        <f>IF(D148&lt;&gt;"",VLOOKUP(D148,'Formatted NEW'!$D:$M,12,FALSE),"")</f>
        <v>#REF!</v>
      </c>
      <c r="N148" s="19" t="str">
        <f t="shared" si="9"/>
        <v>{EMPTY, EMPTY, ORTHO_UP, ORTHO_DOWN}</v>
      </c>
      <c r="P148" s="85"/>
      <c r="Q148" s="85"/>
      <c r="R148" s="85"/>
      <c r="S148" s="85"/>
      <c r="T148" s="85"/>
      <c r="W148">
        <v>112</v>
      </c>
    </row>
    <row r="149" spans="1:23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8"/>
        <v>#REF!</v>
      </c>
      <c r="K149" s="19" t="e">
        <f>IF(B149&lt;&gt;"",VLOOKUP(B149,'Formatted NEW'!$D:$M,12,FALSE),"")</f>
        <v>#REF!</v>
      </c>
      <c r="L149" s="19" t="e">
        <f>IF(C149&lt;&gt;"",VLOOKUP(C149,'Formatted NEW'!$D:$M,12,FALSE),"")</f>
        <v>#REF!</v>
      </c>
      <c r="M149" s="19" t="e">
        <f>IF(D149&lt;&gt;"",VLOOKUP(D149,'Formatted NEW'!$D:$M,12,FALSE),"")</f>
        <v>#REF!</v>
      </c>
      <c r="N149" s="19" t="str">
        <f t="shared" si="9"/>
        <v>{EMPTY, ORTHO_BOTH, ORTHO_BOTH, ORTHO_BOTH}</v>
      </c>
      <c r="P149" s="85"/>
      <c r="Q149" s="85"/>
      <c r="R149" s="85"/>
      <c r="S149" s="85"/>
      <c r="T149" s="85"/>
      <c r="W149">
        <v>113</v>
      </c>
    </row>
    <row r="150" spans="1:23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8"/>
        <v>#REF!</v>
      </c>
      <c r="K150" s="19" t="e">
        <f>IF(B150&lt;&gt;"",VLOOKUP(B150,'Formatted NEW'!$D:$M,12,FALSE),"")</f>
        <v>#REF!</v>
      </c>
      <c r="L150" s="19" t="e">
        <f>IF(C150&lt;&gt;"",VLOOKUP(C150,'Formatted NEW'!$D:$M,12,FALSE),"")</f>
        <v>#REF!</v>
      </c>
      <c r="M150" s="19" t="e">
        <f>IF(D150&lt;&gt;"",VLOOKUP(D150,'Formatted NEW'!$D:$M,12,FALSE),"")</f>
        <v>#REF!</v>
      </c>
      <c r="N150" s="19" t="str">
        <f t="shared" si="9"/>
        <v>{ORTHO_BOTH, ORTHO_BOTH, ORTHO_BOTH, EMPTY}</v>
      </c>
      <c r="P150" s="85"/>
      <c r="Q150" s="85"/>
      <c r="R150" s="85"/>
      <c r="S150" s="85"/>
      <c r="T150" s="85"/>
      <c r="W150">
        <v>114</v>
      </c>
    </row>
    <row r="151" spans="1:23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8"/>
        <v>#REF!</v>
      </c>
      <c r="K151" s="19" t="e">
        <f>IF(B151&lt;&gt;"",VLOOKUP(B151,'Formatted NEW'!$D:$M,12,FALSE),"")</f>
        <v>#REF!</v>
      </c>
      <c r="L151" s="19" t="e">
        <f>IF(C151&lt;&gt;"",VLOOKUP(C151,'Formatted NEW'!$D:$M,12,FALSE),"")</f>
        <v>#REF!</v>
      </c>
      <c r="M151" s="19" t="e">
        <f>IF(D151&lt;&gt;"",VLOOKUP(D151,'Formatted NEW'!$D:$M,12,FALSE),"")</f>
        <v>#REF!</v>
      </c>
      <c r="N151" s="19" t="str">
        <f t="shared" si="9"/>
        <v>{ORTHO_BOTH, EMPTY, ORTHO_BOTH, ORTHO_BOTH}</v>
      </c>
      <c r="P151" s="85"/>
      <c r="Q151" s="85"/>
      <c r="R151" s="85"/>
      <c r="S151" s="85"/>
      <c r="T151" s="85"/>
      <c r="W151">
        <v>115</v>
      </c>
    </row>
    <row r="152" spans="1:23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8"/>
        <v>#REF!</v>
      </c>
      <c r="K152" s="19" t="e">
        <f>IF(B152&lt;&gt;"",VLOOKUP(B152,'Formatted NEW'!$D:$M,12,FALSE),"")</f>
        <v>#REF!</v>
      </c>
      <c r="L152" s="19" t="e">
        <f>IF(C152&lt;&gt;"",VLOOKUP(C152,'Formatted NEW'!$D:$M,12,FALSE),"")</f>
        <v>#REF!</v>
      </c>
      <c r="M152" s="19" t="e">
        <f>IF(D152&lt;&gt;"",VLOOKUP(D152,'Formatted NEW'!$D:$M,12,FALSE),"")</f>
        <v>#REF!</v>
      </c>
      <c r="N152" s="19" t="str">
        <f t="shared" si="9"/>
        <v>{ORTHO_BOTH, ORTHO_BOTH, EMPTY, ORTHO_BOTH}</v>
      </c>
      <c r="P152" s="85"/>
      <c r="Q152" s="85"/>
      <c r="R152" s="85"/>
      <c r="S152" s="85"/>
      <c r="T152" s="85"/>
      <c r="W152">
        <v>116</v>
      </c>
    </row>
    <row r="153" spans="1:23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8"/>
        <v>#REF!</v>
      </c>
      <c r="K153" s="19" t="e">
        <f>IF(B153&lt;&gt;"",VLOOKUP(B153,'Formatted NEW'!$D:$M,12,FALSE),"")</f>
        <v>#REF!</v>
      </c>
      <c r="L153" s="19" t="e">
        <f>IF(C153&lt;&gt;"",VLOOKUP(C153,'Formatted NEW'!$D:$M,12,FALSE),"")</f>
        <v>#REF!</v>
      </c>
      <c r="M153" s="19" t="e">
        <f>IF(D153&lt;&gt;"",VLOOKUP(D153,'Formatted NEW'!$D:$M,12,FALSE),"")</f>
        <v>#REF!</v>
      </c>
      <c r="N153" s="19" t="str">
        <f t="shared" si="9"/>
        <v>{EMPTY, ORTHO_BOTH, ORTHO_BOTH, ORTHO_BOTH}</v>
      </c>
      <c r="P153" s="85"/>
      <c r="Q153" s="85"/>
      <c r="R153" s="85"/>
      <c r="S153" s="85"/>
      <c r="T153" s="85"/>
      <c r="W153">
        <v>117</v>
      </c>
    </row>
    <row r="154" spans="1:23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8"/>
        <v>#REF!</v>
      </c>
      <c r="K154" s="19" t="e">
        <f>IF(B154&lt;&gt;"",VLOOKUP(B154,'Formatted NEW'!$D:$M,12,FALSE),"")</f>
        <v>#REF!</v>
      </c>
      <c r="L154" s="19" t="e">
        <f>IF(C154&lt;&gt;"",VLOOKUP(C154,'Formatted NEW'!$D:$M,12,FALSE),"")</f>
        <v>#REF!</v>
      </c>
      <c r="M154" s="19" t="e">
        <f>IF(D154&lt;&gt;"",VLOOKUP(D154,'Formatted NEW'!$D:$M,12,FALSE),"")</f>
        <v>#REF!</v>
      </c>
      <c r="N154" s="19" t="str">
        <f t="shared" si="9"/>
        <v>{ORTHO_BOTH, ORTHO_BOTH, ORTHO_BOTH, EMPTY}</v>
      </c>
      <c r="P154" s="85"/>
      <c r="Q154" s="85"/>
      <c r="R154" s="85"/>
      <c r="S154" s="85"/>
      <c r="T154" s="85"/>
      <c r="W154">
        <v>118</v>
      </c>
    </row>
    <row r="155" spans="1:23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8"/>
        <v>#REF!</v>
      </c>
      <c r="K155" s="19" t="e">
        <f>IF(B155&lt;&gt;"",VLOOKUP(B155,'Formatted NEW'!$D:$M,12,FALSE),"")</f>
        <v>#REF!</v>
      </c>
      <c r="L155" s="19" t="e">
        <f>IF(C155&lt;&gt;"",VLOOKUP(C155,'Formatted NEW'!$D:$M,12,FALSE),"")</f>
        <v>#REF!</v>
      </c>
      <c r="M155" s="19" t="e">
        <f>IF(D155&lt;&gt;"",VLOOKUP(D155,'Formatted NEW'!$D:$M,12,FALSE),"")</f>
        <v>#REF!</v>
      </c>
      <c r="N155" s="19" t="str">
        <f t="shared" si="9"/>
        <v>{ORTHO_BOTH, EMPTY, ORTHO_BOTH, ORTHO_BOTH}</v>
      </c>
      <c r="P155" s="85"/>
      <c r="Q155" s="85"/>
      <c r="R155" s="85"/>
      <c r="S155" s="85"/>
      <c r="T155" s="85"/>
      <c r="W155">
        <v>119</v>
      </c>
    </row>
    <row r="156" spans="1:23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8"/>
        <v>#REF!</v>
      </c>
      <c r="K156" s="19" t="e">
        <f>IF(B156&lt;&gt;"",VLOOKUP(B156,'Formatted NEW'!$D:$M,12,FALSE),"")</f>
        <v>#REF!</v>
      </c>
      <c r="L156" s="19" t="e">
        <f>IF(C156&lt;&gt;"",VLOOKUP(C156,'Formatted NEW'!$D:$M,12,FALSE),"")</f>
        <v>#REF!</v>
      </c>
      <c r="M156" s="19" t="e">
        <f>IF(D156&lt;&gt;"",VLOOKUP(D156,'Formatted NEW'!$D:$M,12,FALSE),"")</f>
        <v>#REF!</v>
      </c>
      <c r="N156" s="19" t="str">
        <f t="shared" si="9"/>
        <v>{ORTHO_BOTH, ORTHO_BOTH, EMPTY, ORTHO_BOTH}</v>
      </c>
      <c r="P156" s="85"/>
      <c r="Q156" s="85"/>
      <c r="R156" s="85"/>
      <c r="S156" s="85"/>
      <c r="T156" s="85"/>
      <c r="W156">
        <v>120</v>
      </c>
    </row>
    <row r="157" spans="1:23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8"/>
        <v>#REF!</v>
      </c>
      <c r="K157" s="19" t="e">
        <f>IF(B157&lt;&gt;"",VLOOKUP(B157,'Formatted NEW'!$D:$M,12,FALSE),"")</f>
        <v>#REF!</v>
      </c>
      <c r="L157" s="19" t="e">
        <f>IF(C157&lt;&gt;"",VLOOKUP(C157,'Formatted NEW'!$D:$M,12,FALSE),"")</f>
        <v>#REF!</v>
      </c>
      <c r="M157" s="19" t="e">
        <f>IF(D157&lt;&gt;"",VLOOKUP(D157,'Formatted NEW'!$D:$M,12,FALSE),"")</f>
        <v>#REF!</v>
      </c>
      <c r="N157" s="19" t="str">
        <f t="shared" si="9"/>
        <v>{ORTHO_BOTH, ORTHO_BOTH, ORTHO_BOTH, ORTHO_BOTH}</v>
      </c>
      <c r="P157" s="85"/>
      <c r="Q157" s="85"/>
      <c r="R157" s="85"/>
      <c r="S157" s="85"/>
      <c r="T157" s="85"/>
      <c r="W157">
        <v>121</v>
      </c>
    </row>
    <row r="158" spans="1:23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8"/>
        <v>#REF!</v>
      </c>
      <c r="K158" s="19" t="e">
        <f>IF(B158&lt;&gt;"",VLOOKUP(B158,'Formatted NEW'!$D:$M,12,FALSE),"")</f>
        <v>#REF!</v>
      </c>
      <c r="L158" s="19" t="e">
        <f>IF(C158&lt;&gt;"",VLOOKUP(C158,'Formatted NEW'!$D:$M,12,FALSE),"")</f>
        <v>#REF!</v>
      </c>
      <c r="M158" s="19" t="e">
        <f>IF(D158&lt;&gt;"",VLOOKUP(D158,'Formatted NEW'!$D:$M,12,FALSE),"")</f>
        <v>#REF!</v>
      </c>
      <c r="N158" s="19" t="str">
        <f t="shared" si="9"/>
        <v>{ORTHO_RIGHT, ORTHO_BOTH, ORTHO_DOWN, ORTHO_BOTH}</v>
      </c>
      <c r="P158" s="85"/>
      <c r="Q158" s="85"/>
      <c r="R158" s="85"/>
      <c r="S158" s="85"/>
      <c r="T158" s="85"/>
      <c r="W158">
        <v>122</v>
      </c>
    </row>
    <row r="159" spans="1:23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8"/>
        <v>#REF!</v>
      </c>
      <c r="K159" s="19" t="e">
        <f>IF(B159&lt;&gt;"",VLOOKUP(B159,'Formatted NEW'!$D:$M,12,FALSE),"")</f>
        <v>#REF!</v>
      </c>
      <c r="L159" s="19" t="e">
        <f>IF(C159&lt;&gt;"",VLOOKUP(C159,'Formatted NEW'!$D:$M,12,FALSE),"")</f>
        <v>#REF!</v>
      </c>
      <c r="M159" s="19" t="e">
        <f>IF(D159&lt;&gt;"",VLOOKUP(D159,'Formatted NEW'!$D:$M,12,FALSE),"")</f>
        <v>#REF!</v>
      </c>
      <c r="N159" s="19" t="str">
        <f t="shared" si="9"/>
        <v>{ORTHO_LEFT, ORTHO_BOTH, ORTHO_BOTH, ORTHO_DOWN}</v>
      </c>
      <c r="P159" s="85"/>
      <c r="Q159" s="85"/>
      <c r="R159" s="85"/>
      <c r="S159" s="85"/>
      <c r="T159" s="85"/>
      <c r="W159">
        <v>123</v>
      </c>
    </row>
    <row r="160" spans="1:23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8"/>
        <v>#REF!</v>
      </c>
      <c r="K160" s="19" t="e">
        <f>IF(B160&lt;&gt;"",VLOOKUP(B160,'Formatted NEW'!$D:$M,12,FALSE),"")</f>
        <v>#REF!</v>
      </c>
      <c r="L160" s="19" t="e">
        <f>IF(C160&lt;&gt;"",VLOOKUP(C160,'Formatted NEW'!$D:$M,12,FALSE),"")</f>
        <v>#REF!</v>
      </c>
      <c r="M160" s="19" t="e">
        <f>IF(D160&lt;&gt;"",VLOOKUP(D160,'Formatted NEW'!$D:$M,12,FALSE),"")</f>
        <v>#REF!</v>
      </c>
      <c r="N160" s="19" t="str">
        <f t="shared" si="9"/>
        <v>{ORTHO_BOTH, ORTHO_LEFT, ORTHO_BOTH, ORTHO_UP}</v>
      </c>
      <c r="P160" s="85"/>
      <c r="Q160" s="85"/>
      <c r="R160" s="85"/>
      <c r="S160" s="85"/>
      <c r="T160" s="85"/>
      <c r="W160">
        <v>124</v>
      </c>
    </row>
    <row r="161" spans="1:23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8"/>
        <v>#REF!</v>
      </c>
      <c r="K161" s="19" t="e">
        <f>IF(B161&lt;&gt;"",VLOOKUP(B161,'Formatted NEW'!$D:$M,12,FALSE),"")</f>
        <v>#REF!</v>
      </c>
      <c r="L161" s="19" t="e">
        <f>IF(C161&lt;&gt;"",VLOOKUP(C161,'Formatted NEW'!$D:$M,12,FALSE),"")</f>
        <v>#REF!</v>
      </c>
      <c r="M161" s="19" t="e">
        <f>IF(D161&lt;&gt;"",VLOOKUP(D161,'Formatted NEW'!$D:$M,12,FALSE),"")</f>
        <v>#REF!</v>
      </c>
      <c r="N161" s="19" t="str">
        <f t="shared" si="9"/>
        <v>{ORTHO_BOTH, ORTHO_RIGHT, ORTHO_UP, ORTHO_BOTH}</v>
      </c>
      <c r="P161" s="85"/>
      <c r="Q161" s="85"/>
      <c r="R161" s="85"/>
      <c r="S161" s="85"/>
      <c r="T161" s="85"/>
      <c r="W161">
        <v>125</v>
      </c>
    </row>
    <row r="162" spans="1:23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8"/>
        <v/>
      </c>
      <c r="K162" s="19" t="str">
        <f>IF(B162&lt;&gt;"",VLOOKUP(B162,'Formatted NEW'!$D:$M,12,FALSE),"")</f>
        <v/>
      </c>
      <c r="L162" s="19" t="str">
        <f>IF(C162&lt;&gt;"",VLOOKUP(C162,'Formatted NEW'!$D:$M,12,FALSE),"")</f>
        <v/>
      </c>
      <c r="M162" s="19" t="str">
        <f>IF(D162&lt;&gt;"",VLOOKUP(D162,'Formatted NEW'!$D:$M,12,FALSE),"")</f>
        <v/>
      </c>
      <c r="N162" s="19" t="str">
        <f t="shared" si="9"/>
        <v/>
      </c>
      <c r="P162" s="85"/>
      <c r="Q162" s="85"/>
      <c r="R162" s="85"/>
      <c r="S162" s="85"/>
      <c r="T162" s="85"/>
      <c r="W162">
        <v>126</v>
      </c>
    </row>
    <row r="163" spans="1:23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8"/>
        <v/>
      </c>
      <c r="K163" s="19" t="str">
        <f>IF(B163&lt;&gt;"",VLOOKUP(B163,'Formatted NEW'!$D:$M,12,FALSE),"")</f>
        <v/>
      </c>
      <c r="L163" s="19" t="str">
        <f>IF(C163&lt;&gt;"",VLOOKUP(C163,'Formatted NEW'!$D:$M,12,FALSE),"")</f>
        <v/>
      </c>
      <c r="M163" s="19" t="str">
        <f>IF(D163&lt;&gt;"",VLOOKUP(D163,'Formatted NEW'!$D:$M,12,FALSE),"")</f>
        <v/>
      </c>
      <c r="N163" s="19" t="str">
        <f t="shared" si="9"/>
        <v/>
      </c>
      <c r="P163" s="85"/>
      <c r="Q163" s="85"/>
      <c r="R163" s="85"/>
      <c r="S163" s="85"/>
      <c r="T163" s="85"/>
      <c r="W163">
        <v>127</v>
      </c>
    </row>
    <row r="164" spans="1:23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8"/>
        <v/>
      </c>
      <c r="K164" s="19" t="str">
        <f>IF(B164&lt;&gt;"",VLOOKUP(B164,'Formatted NEW'!$D:$M,12,FALSE),"")</f>
        <v/>
      </c>
      <c r="L164" s="19" t="str">
        <f>IF(C164&lt;&gt;"",VLOOKUP(C164,'Formatted NEW'!$D:$M,12,FALSE),"")</f>
        <v/>
      </c>
      <c r="M164" s="19" t="str">
        <f>IF(D164&lt;&gt;"",VLOOKUP(D164,'Formatted NEW'!$D:$M,12,FALSE),"")</f>
        <v/>
      </c>
      <c r="N164" s="19" t="str">
        <f t="shared" si="9"/>
        <v/>
      </c>
      <c r="P164" s="85"/>
      <c r="Q164" s="85"/>
      <c r="R164" s="85"/>
      <c r="S164" s="85"/>
      <c r="T164" s="85"/>
      <c r="W164">
        <v>128</v>
      </c>
    </row>
    <row r="165" spans="1:23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8"/>
        <v/>
      </c>
      <c r="K165" s="19" t="str">
        <f>IF(B165&lt;&gt;"",VLOOKUP(B165,'Formatted NEW'!$D:$M,12,FALSE),"")</f>
        <v/>
      </c>
      <c r="L165" s="19" t="str">
        <f>IF(C165&lt;&gt;"",VLOOKUP(C165,'Formatted NEW'!$D:$M,12,FALSE),"")</f>
        <v/>
      </c>
      <c r="M165" s="19" t="str">
        <f>IF(D165&lt;&gt;"",VLOOKUP(D165,'Formatted NEW'!$D:$M,12,FALSE),"")</f>
        <v/>
      </c>
      <c r="N165" s="19" t="str">
        <f t="shared" si="9"/>
        <v/>
      </c>
      <c r="P165" s="85"/>
      <c r="Q165" s="85"/>
      <c r="R165" s="85"/>
      <c r="S165" s="85"/>
      <c r="T165" s="85"/>
      <c r="W165">
        <v>129</v>
      </c>
    </row>
    <row r="166" spans="1:23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8"/>
        <v/>
      </c>
      <c r="K166" s="19" t="str">
        <f>IF(B166&lt;&gt;"",VLOOKUP(B166,'Formatted NEW'!$D:$M,12,FALSE),"")</f>
        <v/>
      </c>
      <c r="L166" s="19" t="str">
        <f>IF(C166&lt;&gt;"",VLOOKUP(C166,'Formatted NEW'!$D:$M,12,FALSE),"")</f>
        <v/>
      </c>
      <c r="M166" s="19" t="str">
        <f>IF(D166&lt;&gt;"",VLOOKUP(D166,'Formatted NEW'!$D:$M,12,FALSE),"")</f>
        <v/>
      </c>
      <c r="N166" s="19" t="str">
        <f t="shared" si="9"/>
        <v/>
      </c>
      <c r="P166" s="85"/>
      <c r="Q166" s="85"/>
      <c r="R166" s="85"/>
      <c r="S166" s="85"/>
      <c r="T166" s="85"/>
      <c r="W166">
        <v>130</v>
      </c>
    </row>
    <row r="167" spans="1:23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8"/>
        <v/>
      </c>
      <c r="K167" s="19" t="str">
        <f>IF(B167&lt;&gt;"",VLOOKUP(B167,'Formatted NEW'!$D:$M,12,FALSE),"")</f>
        <v/>
      </c>
      <c r="L167" s="19" t="str">
        <f>IF(C167&lt;&gt;"",VLOOKUP(C167,'Formatted NEW'!$D:$M,12,FALSE),"")</f>
        <v/>
      </c>
      <c r="M167" s="19" t="str">
        <f>IF(D167&lt;&gt;"",VLOOKUP(D167,'Formatted NEW'!$D:$M,12,FALSE),"")</f>
        <v/>
      </c>
      <c r="N167" s="19" t="str">
        <f t="shared" si="9"/>
        <v/>
      </c>
      <c r="P167" s="85"/>
      <c r="Q167" s="85"/>
      <c r="R167" s="85"/>
      <c r="S167" s="85"/>
      <c r="T167" s="85"/>
      <c r="W167">
        <v>131</v>
      </c>
    </row>
    <row r="168" spans="1:23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8"/>
        <v/>
      </c>
      <c r="K168" s="19" t="str">
        <f>IF(B168&lt;&gt;"",VLOOKUP(B168,'Formatted NEW'!$D:$M,12,FALSE),"")</f>
        <v/>
      </c>
      <c r="L168" s="19" t="str">
        <f>IF(C168&lt;&gt;"",VLOOKUP(C168,'Formatted NEW'!$D:$M,12,FALSE),"")</f>
        <v/>
      </c>
      <c r="M168" s="19" t="str">
        <f>IF(D168&lt;&gt;"",VLOOKUP(D168,'Formatted NEW'!$D:$M,12,FALSE),"")</f>
        <v/>
      </c>
      <c r="N168" s="19" t="str">
        <f t="shared" si="9"/>
        <v/>
      </c>
      <c r="P168" s="85"/>
      <c r="Q168" s="85"/>
      <c r="R168" s="85"/>
      <c r="S168" s="85"/>
      <c r="T168" s="85"/>
      <c r="W168">
        <v>132</v>
      </c>
    </row>
    <row r="169" spans="1:23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8"/>
        <v/>
      </c>
      <c r="K169" s="19" t="str">
        <f>IF(B169&lt;&gt;"",VLOOKUP(B169,'Formatted NEW'!$D:$M,12,FALSE),"")</f>
        <v/>
      </c>
      <c r="L169" s="19" t="str">
        <f>IF(C169&lt;&gt;"",VLOOKUP(C169,'Formatted NEW'!$D:$M,12,FALSE),"")</f>
        <v/>
      </c>
      <c r="M169" s="19" t="str">
        <f>IF(D169&lt;&gt;"",VLOOKUP(D169,'Formatted NEW'!$D:$M,12,FALSE),"")</f>
        <v/>
      </c>
      <c r="N169" s="19" t="str">
        <f t="shared" si="9"/>
        <v/>
      </c>
      <c r="P169" s="85"/>
      <c r="Q169" s="85"/>
      <c r="R169" s="85"/>
      <c r="S169" s="85"/>
      <c r="T169" s="85"/>
      <c r="W169">
        <v>133</v>
      </c>
    </row>
    <row r="170" spans="1:23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8"/>
        <v/>
      </c>
      <c r="K170" s="19" t="str">
        <f>IF(B170&lt;&gt;"",VLOOKUP(B170,'Formatted NEW'!$D:$M,12,FALSE),"")</f>
        <v/>
      </c>
      <c r="L170" s="19" t="str">
        <f>IF(C170&lt;&gt;"",VLOOKUP(C170,'Formatted NEW'!$D:$M,12,FALSE),"")</f>
        <v/>
      </c>
      <c r="M170" s="19" t="str">
        <f>IF(D170&lt;&gt;"",VLOOKUP(D170,'Formatted NEW'!$D:$M,12,FALSE),"")</f>
        <v/>
      </c>
      <c r="N170" s="19" t="str">
        <f t="shared" si="9"/>
        <v/>
      </c>
      <c r="P170" s="85"/>
      <c r="Q170" s="85"/>
      <c r="R170" s="85"/>
      <c r="S170" s="85"/>
      <c r="T170" s="85"/>
      <c r="W170">
        <v>134</v>
      </c>
    </row>
    <row r="171" spans="1:23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8"/>
        <v/>
      </c>
      <c r="K171" s="19" t="str">
        <f>IF(B171&lt;&gt;"",VLOOKUP(B171,'Formatted NEW'!$D:$M,12,FALSE),"")</f>
        <v/>
      </c>
      <c r="L171" s="19" t="str">
        <f>IF(C171&lt;&gt;"",VLOOKUP(C171,'Formatted NEW'!$D:$M,12,FALSE),"")</f>
        <v/>
      </c>
      <c r="M171" s="19" t="str">
        <f>IF(D171&lt;&gt;"",VLOOKUP(D171,'Formatted NEW'!$D:$M,12,FALSE),"")</f>
        <v/>
      </c>
      <c r="N171" s="19" t="str">
        <f t="shared" si="9"/>
        <v/>
      </c>
      <c r="P171" s="85"/>
      <c r="Q171" s="85"/>
      <c r="R171" s="85"/>
      <c r="S171" s="85"/>
      <c r="T171" s="85"/>
      <c r="W171">
        <v>135</v>
      </c>
    </row>
    <row r="172" spans="1:23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8"/>
        <v/>
      </c>
      <c r="K172" s="19" t="str">
        <f>IF(B172&lt;&gt;"",VLOOKUP(B172,'Formatted NEW'!$D:$M,12,FALSE),"")</f>
        <v/>
      </c>
      <c r="L172" s="19" t="str">
        <f>IF(C172&lt;&gt;"",VLOOKUP(C172,'Formatted NEW'!$D:$M,12,FALSE),"")</f>
        <v/>
      </c>
      <c r="M172" s="19" t="str">
        <f>IF(D172&lt;&gt;"",VLOOKUP(D172,'Formatted NEW'!$D:$M,12,FALSE),"")</f>
        <v/>
      </c>
      <c r="N172" s="19" t="str">
        <f t="shared" si="9"/>
        <v/>
      </c>
      <c r="P172" s="85"/>
      <c r="Q172" s="85"/>
      <c r="R172" s="85"/>
      <c r="S172" s="85"/>
      <c r="T172" s="85"/>
      <c r="W172">
        <v>136</v>
      </c>
    </row>
    <row r="173" spans="1:23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8"/>
        <v>#REF!</v>
      </c>
      <c r="K173" s="19" t="e">
        <f>IF(B173&lt;&gt;"",VLOOKUP(B173,'Formatted NEW'!$D:$M,12,FALSE),"")</f>
        <v>#REF!</v>
      </c>
      <c r="L173" s="19" t="e">
        <f>IF(C173&lt;&gt;"",VLOOKUP(C173,'Formatted NEW'!$D:$M,12,FALSE),"")</f>
        <v>#REF!</v>
      </c>
      <c r="M173" s="19" t="e">
        <f>IF(D173&lt;&gt;"",VLOOKUP(D173,'Formatted NEW'!$D:$M,12,FALSE),"")</f>
        <v>#REF!</v>
      </c>
      <c r="N173" s="19" t="str">
        <f t="shared" si="9"/>
        <v>{EMPTY, EMPTY, DIAG_FRONT, DIAG_BACK}</v>
      </c>
      <c r="P173" s="85"/>
      <c r="Q173" s="85"/>
      <c r="R173" s="85"/>
      <c r="S173" s="85"/>
      <c r="T173" s="85"/>
      <c r="W173">
        <v>137</v>
      </c>
    </row>
    <row r="174" spans="1:23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8"/>
        <v>#REF!</v>
      </c>
      <c r="K174" s="19" t="e">
        <f>IF(B174&lt;&gt;"",VLOOKUP(B174,'Formatted NEW'!$D:$M,12,FALSE),"")</f>
        <v>#REF!</v>
      </c>
      <c r="L174" s="19" t="e">
        <f>IF(C174&lt;&gt;"",VLOOKUP(C174,'Formatted NEW'!$D:$M,12,FALSE),"")</f>
        <v>#REF!</v>
      </c>
      <c r="M174" s="19" t="e">
        <f>IF(D174&lt;&gt;"",VLOOKUP(D174,'Formatted NEW'!$D:$M,12,FALSE),"")</f>
        <v>#REF!</v>
      </c>
      <c r="N174" s="19" t="str">
        <f t="shared" si="9"/>
        <v>{EMPTY, EMPTY, DIAG_BACK, DIAG_FRONT}</v>
      </c>
      <c r="P174" s="85"/>
      <c r="Q174" s="85"/>
      <c r="R174" s="85"/>
      <c r="S174" s="85"/>
      <c r="T174" s="85"/>
      <c r="W174">
        <v>138</v>
      </c>
    </row>
    <row r="175" spans="1:23" ht="45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8"/>
        <v>#REF!</v>
      </c>
      <c r="K175" s="19" t="e">
        <f>IF(B175&lt;&gt;"",VLOOKUP(B175,'Formatted NEW'!$D:$M,12,FALSE),"")</f>
        <v>#REF!</v>
      </c>
      <c r="L175" s="19" t="e">
        <f>IF(C175&lt;&gt;"",VLOOKUP(C175,'Formatted NEW'!$D:$M,12,FALSE),"")</f>
        <v>#REF!</v>
      </c>
      <c r="M175" s="19" t="e">
        <f>IF(D175&lt;&gt;"",VLOOKUP(D175,'Formatted NEW'!$D:$M,12,FALSE),"")</f>
        <v>#REF!</v>
      </c>
      <c r="N175" s="19" t="str">
        <f t="shared" si="9"/>
        <v>{DIAG_BACK, DIAG_FRONT, EMPTY, EMPTY}</v>
      </c>
      <c r="P175" s="85"/>
      <c r="Q175" s="85"/>
      <c r="R175" s="85"/>
      <c r="S175" s="85"/>
      <c r="T175" s="85"/>
      <c r="W175">
        <v>139</v>
      </c>
    </row>
    <row r="176" spans="1:23" ht="45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8"/>
        <v>#REF!</v>
      </c>
      <c r="K176" s="19" t="e">
        <f>IF(B176&lt;&gt;"",VLOOKUP(B176,'Formatted NEW'!$D:$M,12,FALSE),"")</f>
        <v>#REF!</v>
      </c>
      <c r="L176" s="19" t="e">
        <f>IF(C176&lt;&gt;"",VLOOKUP(C176,'Formatted NEW'!$D:$M,12,FALSE),"")</f>
        <v>#REF!</v>
      </c>
      <c r="M176" s="19" t="e">
        <f>IF(D176&lt;&gt;"",VLOOKUP(D176,'Formatted NEW'!$D:$M,12,FALSE),"")</f>
        <v>#REF!</v>
      </c>
      <c r="N176" s="19" t="str">
        <f t="shared" si="9"/>
        <v>{DIAG_FRONT, DIAG_BACK, EMPTY, EMPTY}</v>
      </c>
      <c r="P176" s="85"/>
      <c r="Q176" s="85"/>
      <c r="R176" s="85"/>
      <c r="S176" s="85"/>
      <c r="T176" s="85"/>
      <c r="W176">
        <v>140</v>
      </c>
    </row>
    <row r="177" spans="1:23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8"/>
        <v>#REF!</v>
      </c>
      <c r="K177" s="19" t="e">
        <f>IF(B177&lt;&gt;"",VLOOKUP(B177,'Formatted NEW'!$D:$M,12,FALSE),"")</f>
        <v>#REF!</v>
      </c>
      <c r="L177" s="19" t="e">
        <f>IF(C177&lt;&gt;"",VLOOKUP(C177,'Formatted NEW'!$D:$M,12,FALSE),"")</f>
        <v>#REF!</v>
      </c>
      <c r="M177" s="19" t="e">
        <f>IF(D177&lt;&gt;"",VLOOKUP(D177,'Formatted NEW'!$D:$M,12,FALSE),"")</f>
        <v>#REF!</v>
      </c>
      <c r="N177" s="19" t="str">
        <f t="shared" si="9"/>
        <v>{EMPTY, DIAG_BOTH, EMPTY, ORTHO_BOTH}</v>
      </c>
      <c r="P177" s="85"/>
      <c r="Q177" s="85"/>
      <c r="R177" s="85"/>
      <c r="S177" s="85"/>
      <c r="T177" s="85"/>
      <c r="W177">
        <v>141</v>
      </c>
    </row>
    <row r="178" spans="1:23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8"/>
        <v>#REF!</v>
      </c>
      <c r="K178" s="19" t="e">
        <f>IF(B178&lt;&gt;"",VLOOKUP(B178,'Formatted NEW'!$D:$M,12,FALSE),"")</f>
        <v>#REF!</v>
      </c>
      <c r="L178" s="19" t="e">
        <f>IF(C178&lt;&gt;"",VLOOKUP(C178,'Formatted NEW'!$D:$M,12,FALSE),"")</f>
        <v>#REF!</v>
      </c>
      <c r="M178" s="19" t="e">
        <f>IF(D178&lt;&gt;"",VLOOKUP(D178,'Formatted NEW'!$D:$M,12,FALSE),"")</f>
        <v>#REF!</v>
      </c>
      <c r="N178" s="19" t="str">
        <f t="shared" si="9"/>
        <v>{EMPTY, DIAG_BOTH, ORTHO_BOTH, EMPTY}</v>
      </c>
      <c r="P178" s="85"/>
      <c r="Q178" s="85"/>
      <c r="R178" s="85"/>
      <c r="S178" s="85"/>
      <c r="T178" s="85"/>
      <c r="W178">
        <v>142</v>
      </c>
    </row>
    <row r="179" spans="1:23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8"/>
        <v>#REF!</v>
      </c>
      <c r="K179" s="19" t="e">
        <f>IF(B179&lt;&gt;"",VLOOKUP(B179,'Formatted NEW'!$D:$M,12,FALSE),"")</f>
        <v>#REF!</v>
      </c>
      <c r="L179" s="19" t="e">
        <f>IF(C179&lt;&gt;"",VLOOKUP(C179,'Formatted NEW'!$D:$M,12,FALSE),"")</f>
        <v>#REF!</v>
      </c>
      <c r="M179" s="19" t="e">
        <f>IF(D179&lt;&gt;"",VLOOKUP(D179,'Formatted NEW'!$D:$M,12,FALSE),"")</f>
        <v>#REF!</v>
      </c>
      <c r="N179" s="19" t="str">
        <f t="shared" si="9"/>
        <v>{DIAG_BOTH, EMPTY, EMPTY, ORTHO_BOTH}</v>
      </c>
      <c r="P179" s="85"/>
      <c r="Q179" s="85"/>
      <c r="R179" s="85"/>
      <c r="S179" s="85"/>
      <c r="T179" s="85"/>
      <c r="W179">
        <v>143</v>
      </c>
    </row>
    <row r="180" spans="1:23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8"/>
        <v>#REF!</v>
      </c>
      <c r="K180" s="19" t="e">
        <f>IF(B180&lt;&gt;"",VLOOKUP(B180,'Formatted NEW'!$D:$M,12,FALSE),"")</f>
        <v>#REF!</v>
      </c>
      <c r="L180" s="19" t="e">
        <f>IF(C180&lt;&gt;"",VLOOKUP(C180,'Formatted NEW'!$D:$M,12,FALSE),"")</f>
        <v>#REF!</v>
      </c>
      <c r="M180" s="19" t="e">
        <f>IF(D180&lt;&gt;"",VLOOKUP(D180,'Formatted NEW'!$D:$M,12,FALSE),"")</f>
        <v>#REF!</v>
      </c>
      <c r="N180" s="19" t="str">
        <f t="shared" si="9"/>
        <v>{DIAG_BOTH, EMPTY, ORTHO_BOTH, EMPTY}</v>
      </c>
      <c r="P180" s="85"/>
      <c r="Q180" s="85"/>
      <c r="R180" s="85"/>
      <c r="S180" s="85"/>
      <c r="T180" s="85"/>
      <c r="W180">
        <v>144</v>
      </c>
    </row>
    <row r="181" spans="1:23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8"/>
        <v>#REF!</v>
      </c>
      <c r="K181" s="19" t="e">
        <f>IF(B181&lt;&gt;"",VLOOKUP(B181,'Formatted NEW'!$D:$M,12,FALSE),"")</f>
        <v>#REF!</v>
      </c>
      <c r="L181" s="19" t="e">
        <f>IF(C181&lt;&gt;"",VLOOKUP(C181,'Formatted NEW'!$D:$M,12,FALSE),"")</f>
        <v>#REF!</v>
      </c>
      <c r="M181" s="19" t="e">
        <f>IF(D181&lt;&gt;"",VLOOKUP(D181,'Formatted NEW'!$D:$M,12,FALSE),"")</f>
        <v>#REF!</v>
      </c>
      <c r="N181" s="19" t="str">
        <f t="shared" si="9"/>
        <v>{EMPTY, ORTHO_BOTH, EMPTY, DIAG_BOTH}</v>
      </c>
      <c r="P181" s="85"/>
      <c r="Q181" s="85"/>
      <c r="R181" s="85"/>
      <c r="S181" s="85"/>
      <c r="T181" s="85"/>
      <c r="W181">
        <v>145</v>
      </c>
    </row>
    <row r="182" spans="1:23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8"/>
        <v>#REF!</v>
      </c>
      <c r="K182" s="19" t="e">
        <f>IF(B182&lt;&gt;"",VLOOKUP(B182,'Formatted NEW'!$D:$M,12,FALSE),"")</f>
        <v>#REF!</v>
      </c>
      <c r="L182" s="19" t="e">
        <f>IF(C182&lt;&gt;"",VLOOKUP(C182,'Formatted NEW'!$D:$M,12,FALSE),"")</f>
        <v>#REF!</v>
      </c>
      <c r="M182" s="19" t="e">
        <f>IF(D182&lt;&gt;"",VLOOKUP(D182,'Formatted NEW'!$D:$M,12,FALSE),"")</f>
        <v>#REF!</v>
      </c>
      <c r="N182" s="19" t="str">
        <f t="shared" si="9"/>
        <v>{EMPTY, ORTHO_BOTH, DIAG_BOTH, EMPTY}</v>
      </c>
      <c r="P182" s="85"/>
      <c r="Q182" s="85"/>
      <c r="R182" s="85"/>
      <c r="S182" s="85"/>
      <c r="T182" s="85"/>
      <c r="W182">
        <v>146</v>
      </c>
    </row>
    <row r="183" spans="1:23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8"/>
        <v>#REF!</v>
      </c>
      <c r="K183" s="19" t="e">
        <f>IF(B183&lt;&gt;"",VLOOKUP(B183,'Formatted NEW'!$D:$M,12,FALSE),"")</f>
        <v>#REF!</v>
      </c>
      <c r="L183" s="19" t="e">
        <f>IF(C183&lt;&gt;"",VLOOKUP(C183,'Formatted NEW'!$D:$M,12,FALSE),"")</f>
        <v>#REF!</v>
      </c>
      <c r="M183" s="19" t="e">
        <f>IF(D183&lt;&gt;"",VLOOKUP(D183,'Formatted NEW'!$D:$M,12,FALSE),"")</f>
        <v>#REF!</v>
      </c>
      <c r="N183" s="19" t="str">
        <f t="shared" si="9"/>
        <v>{ORTHO_BOTH, EMPTY, EMPTY, DIAG_BOTH}</v>
      </c>
      <c r="P183" s="85"/>
      <c r="Q183" s="85"/>
      <c r="R183" s="85"/>
      <c r="S183" s="85"/>
      <c r="T183" s="85"/>
      <c r="W183">
        <v>147</v>
      </c>
    </row>
    <row r="184" spans="1:23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8"/>
        <v>#REF!</v>
      </c>
      <c r="K184" s="19" t="e">
        <f>IF(B184&lt;&gt;"",VLOOKUP(B184,'Formatted NEW'!$D:$M,12,FALSE),"")</f>
        <v>#REF!</v>
      </c>
      <c r="L184" s="19" t="e">
        <f>IF(C184&lt;&gt;"",VLOOKUP(C184,'Formatted NEW'!$D:$M,12,FALSE),"")</f>
        <v>#REF!</v>
      </c>
      <c r="M184" s="19" t="e">
        <f>IF(D184&lt;&gt;"",VLOOKUP(D184,'Formatted NEW'!$D:$M,12,FALSE),"")</f>
        <v>#REF!</v>
      </c>
      <c r="N184" s="19" t="str">
        <f t="shared" si="9"/>
        <v>{ORTHO_BOTH, EMPTY, DIAG_BOTH, EMPTY}</v>
      </c>
      <c r="P184" s="85"/>
      <c r="Q184" s="85"/>
      <c r="R184" s="85"/>
      <c r="S184" s="85"/>
      <c r="T184" s="85"/>
      <c r="W184">
        <v>148</v>
      </c>
    </row>
    <row r="185" spans="1:23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8"/>
        <v>#REF!</v>
      </c>
      <c r="K185" s="19" t="e">
        <f>IF(B185&lt;&gt;"",VLOOKUP(B185,'Formatted NEW'!$D:$M,12,FALSE),"")</f>
        <v>#REF!</v>
      </c>
      <c r="L185" s="19" t="e">
        <f>IF(C185&lt;&gt;"",VLOOKUP(C185,'Formatted NEW'!$D:$M,12,FALSE),"")</f>
        <v>#REF!</v>
      </c>
      <c r="M185" s="19" t="e">
        <f>IF(D185&lt;&gt;"",VLOOKUP(D185,'Formatted NEW'!$D:$M,12,FALSE),"")</f>
        <v>#REF!</v>
      </c>
      <c r="N185" s="19" t="str">
        <f t="shared" si="9"/>
        <v>{EMPTY, DIAG_FRONT, ORTHO_DOWN, EMPTY}</v>
      </c>
      <c r="P185" s="85"/>
      <c r="Q185" s="85"/>
      <c r="R185" s="85"/>
      <c r="S185" s="85"/>
      <c r="T185" s="85"/>
      <c r="W185">
        <v>149</v>
      </c>
    </row>
    <row r="186" spans="1:23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8"/>
        <v>#REF!</v>
      </c>
      <c r="K186" s="19" t="e">
        <f>IF(B186&lt;&gt;"",VLOOKUP(B186,'Formatted NEW'!$D:$M,12,FALSE),"")</f>
        <v>#REF!</v>
      </c>
      <c r="L186" s="19" t="e">
        <f>IF(C186&lt;&gt;"",VLOOKUP(C186,'Formatted NEW'!$D:$M,12,FALSE),"")</f>
        <v>#REF!</v>
      </c>
      <c r="M186" s="19" t="e">
        <f>IF(D186&lt;&gt;"",VLOOKUP(D186,'Formatted NEW'!$D:$M,12,FALSE),"")</f>
        <v>#REF!</v>
      </c>
      <c r="N186" s="19" t="str">
        <f t="shared" si="9"/>
        <v>{ORTHO_LEFT, EMPTY, DIAG_FRONT, EMPTY}</v>
      </c>
      <c r="P186" s="85"/>
      <c r="Q186" s="85"/>
      <c r="R186" s="85"/>
      <c r="S186" s="85"/>
      <c r="T186" s="85"/>
      <c r="W186">
        <v>150</v>
      </c>
    </row>
    <row r="187" spans="1:23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8"/>
        <v>#REF!</v>
      </c>
      <c r="K187" s="19" t="e">
        <f>IF(B187&lt;&gt;"",VLOOKUP(B187,'Formatted NEW'!$D:$M,12,FALSE),"")</f>
        <v>#REF!</v>
      </c>
      <c r="L187" s="19" t="e">
        <f>IF(C187&lt;&gt;"",VLOOKUP(C187,'Formatted NEW'!$D:$M,12,FALSE),"")</f>
        <v>#REF!</v>
      </c>
      <c r="M187" s="19" t="e">
        <f>IF(D187&lt;&gt;"",VLOOKUP(D187,'Formatted NEW'!$D:$M,12,FALSE),"")</f>
        <v>#REF!</v>
      </c>
      <c r="N187" s="19" t="str">
        <f t="shared" si="9"/>
        <v>{DIAG_FRONT, EMPTY, EMPTY, ORTHO_UP}</v>
      </c>
      <c r="P187" s="85"/>
      <c r="Q187" s="85"/>
      <c r="R187" s="85"/>
      <c r="S187" s="85"/>
      <c r="T187" s="85"/>
      <c r="W187">
        <v>151</v>
      </c>
    </row>
    <row r="188" spans="1:23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8"/>
        <v>#REF!</v>
      </c>
      <c r="K188" s="19" t="e">
        <f>IF(B188&lt;&gt;"",VLOOKUP(B188,'Formatted NEW'!$D:$M,12,FALSE),"")</f>
        <v>#REF!</v>
      </c>
      <c r="L188" s="19" t="e">
        <f>IF(C188&lt;&gt;"",VLOOKUP(C188,'Formatted NEW'!$D:$M,12,FALSE),"")</f>
        <v>#REF!</v>
      </c>
      <c r="M188" s="19" t="e">
        <f>IF(D188&lt;&gt;"",VLOOKUP(D188,'Formatted NEW'!$D:$M,12,FALSE),"")</f>
        <v>#REF!</v>
      </c>
      <c r="N188" s="19" t="str">
        <f t="shared" si="9"/>
        <v>{EMPTY, ORTHO_RIGHT, EMPTY, DIAG_FRONT}</v>
      </c>
      <c r="P188" s="85"/>
      <c r="Q188" s="85"/>
      <c r="R188" s="85"/>
      <c r="S188" s="85"/>
      <c r="T188" s="85"/>
      <c r="W188">
        <v>152</v>
      </c>
    </row>
    <row r="189" spans="1:23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8"/>
        <v>#REF!</v>
      </c>
      <c r="K189" s="19" t="e">
        <f>IF(B189&lt;&gt;"",VLOOKUP(B189,'Formatted NEW'!$D:$M,12,FALSE),"")</f>
        <v>#REF!</v>
      </c>
      <c r="L189" s="19" t="e">
        <f>IF(C189&lt;&gt;"",VLOOKUP(C189,'Formatted NEW'!$D:$M,12,FALSE),"")</f>
        <v>#REF!</v>
      </c>
      <c r="M189" s="19" t="e">
        <f>IF(D189&lt;&gt;"",VLOOKUP(D189,'Formatted NEW'!$D:$M,12,FALSE),"")</f>
        <v>#REF!</v>
      </c>
      <c r="N189" s="19" t="str">
        <f t="shared" si="9"/>
        <v>{EMPTY, DIAG_BACK, EMPTY, ORTHO_DOWN}</v>
      </c>
      <c r="P189" s="85"/>
      <c r="Q189" s="85"/>
      <c r="R189" s="85"/>
      <c r="S189" s="85"/>
      <c r="T189" s="85"/>
      <c r="W189">
        <v>153</v>
      </c>
    </row>
    <row r="190" spans="1:23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8"/>
        <v>#REF!</v>
      </c>
      <c r="K190" s="19" t="e">
        <f>IF(B190&lt;&gt;"",VLOOKUP(B190,'Formatted NEW'!$D:$M,12,FALSE),"")</f>
        <v>#REF!</v>
      </c>
      <c r="L190" s="19" t="e">
        <f>IF(C190&lt;&gt;"",VLOOKUP(C190,'Formatted NEW'!$D:$M,12,FALSE),"")</f>
        <v>#REF!</v>
      </c>
      <c r="M190" s="19" t="e">
        <f>IF(D190&lt;&gt;"",VLOOKUP(D190,'Formatted NEW'!$D:$M,12,FALSE),"")</f>
        <v>#REF!</v>
      </c>
      <c r="N190" s="19" t="str">
        <f t="shared" si="9"/>
        <v>{EMPTY, ORTHO_LEFT, DIAG_BACK, EMPTY}</v>
      </c>
      <c r="P190" s="85"/>
      <c r="Q190" s="85"/>
      <c r="R190" s="85"/>
      <c r="S190" s="85"/>
      <c r="T190" s="85"/>
      <c r="W190">
        <v>154</v>
      </c>
    </row>
    <row r="191" spans="1:23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8"/>
        <v>#REF!</v>
      </c>
      <c r="K191" s="19" t="e">
        <f>IF(B191&lt;&gt;"",VLOOKUP(B191,'Formatted NEW'!$D:$M,12,FALSE),"")</f>
        <v>#REF!</v>
      </c>
      <c r="L191" s="19" t="e">
        <f>IF(C191&lt;&gt;"",VLOOKUP(C191,'Formatted NEW'!$D:$M,12,FALSE),"")</f>
        <v>#REF!</v>
      </c>
      <c r="M191" s="19" t="e">
        <f>IF(D191&lt;&gt;"",VLOOKUP(D191,'Formatted NEW'!$D:$M,12,FALSE),"")</f>
        <v>#REF!</v>
      </c>
      <c r="N191" s="19" t="str">
        <f t="shared" si="9"/>
        <v>{DIAG_BACK, EMPTY, ORTHO_UP, EMPTY}</v>
      </c>
      <c r="P191" s="85"/>
      <c r="Q191" s="85"/>
      <c r="R191" s="85"/>
      <c r="S191" s="85"/>
      <c r="T191" s="85"/>
      <c r="W191">
        <v>155</v>
      </c>
    </row>
    <row r="192" spans="1:23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8"/>
        <v>#REF!</v>
      </c>
      <c r="K192" s="19" t="e">
        <f>IF(B192&lt;&gt;"",VLOOKUP(B192,'Formatted NEW'!$D:$M,12,FALSE),"")</f>
        <v>#REF!</v>
      </c>
      <c r="L192" s="19" t="e">
        <f>IF(C192&lt;&gt;"",VLOOKUP(C192,'Formatted NEW'!$D:$M,12,FALSE),"")</f>
        <v>#REF!</v>
      </c>
      <c r="M192" s="19" t="e">
        <f>IF(D192&lt;&gt;"",VLOOKUP(D192,'Formatted NEW'!$D:$M,12,FALSE),"")</f>
        <v>#REF!</v>
      </c>
      <c r="N192" s="19" t="str">
        <f t="shared" si="9"/>
        <v>{ORTHO_RIGHT, EMPTY, EMPTY, DIAG_BACK}</v>
      </c>
      <c r="P192" s="85"/>
      <c r="Q192" s="85"/>
      <c r="R192" s="85"/>
      <c r="S192" s="85"/>
      <c r="T192" s="85"/>
      <c r="W192">
        <v>156</v>
      </c>
    </row>
    <row r="193" spans="1:23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8"/>
        <v>#REF!</v>
      </c>
      <c r="K193" s="19" t="e">
        <f>IF(B193&lt;&gt;"",VLOOKUP(B193,'Formatted NEW'!$D:$M,12,FALSE),"")</f>
        <v>#REF!</v>
      </c>
      <c r="L193" s="19" t="e">
        <f>IF(C193&lt;&gt;"",VLOOKUP(C193,'Formatted NEW'!$D:$M,12,FALSE),"")</f>
        <v>#REF!</v>
      </c>
      <c r="M193" s="19" t="e">
        <f>IF(D193&lt;&gt;"",VLOOKUP(D193,'Formatted NEW'!$D:$M,12,FALSE),"")</f>
        <v>#REF!</v>
      </c>
      <c r="N193" s="19" t="str">
        <f t="shared" si="9"/>
        <v>{EMPTY, EMPTY, ORTHO_BOTH, ORTHO_BOTH}</v>
      </c>
      <c r="P193" s="85"/>
      <c r="Q193" s="85"/>
      <c r="R193" s="85"/>
      <c r="S193" s="85"/>
      <c r="T193" s="85"/>
      <c r="W193">
        <v>157</v>
      </c>
    </row>
    <row r="194" spans="1:23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8"/>
        <v>#REF!</v>
      </c>
      <c r="K194" s="19" t="e">
        <f>IF(B194&lt;&gt;"",VLOOKUP(B194,'Formatted NEW'!$D:$M,12,FALSE),"")</f>
        <v>#REF!</v>
      </c>
      <c r="L194" s="19" t="e">
        <f>IF(C194&lt;&gt;"",VLOOKUP(C194,'Formatted NEW'!$D:$M,12,FALSE),"")</f>
        <v>#REF!</v>
      </c>
      <c r="M194" s="19" t="e">
        <f>IF(D194&lt;&gt;"",VLOOKUP(D194,'Formatted NEW'!$D:$M,12,FALSE),"")</f>
        <v>#REF!</v>
      </c>
      <c r="N194" s="19" t="str">
        <f t="shared" si="9"/>
        <v>{EMPTY, EMPTY, EMPTY, DIAG_BOTH}</v>
      </c>
      <c r="P194" s="85"/>
      <c r="Q194" s="85"/>
      <c r="R194" s="85"/>
      <c r="S194" s="85"/>
      <c r="T194" s="85"/>
      <c r="W194">
        <v>158</v>
      </c>
    </row>
    <row r="195" spans="1:23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0">IF(A195&lt;&gt;"","conv("""&amp;A195&amp;""")","")</f>
        <v>#REF!</v>
      </c>
      <c r="K195" s="19" t="e">
        <f>IF(B195&lt;&gt;"",VLOOKUP(B195,'Formatted NEW'!$D:$M,12,FALSE),"")</f>
        <v>#REF!</v>
      </c>
      <c r="L195" s="19" t="e">
        <f>IF(C195&lt;&gt;"",VLOOKUP(C195,'Formatted NEW'!$D:$M,12,FALSE),"")</f>
        <v>#REF!</v>
      </c>
      <c r="M195" s="19" t="e">
        <f>IF(D195&lt;&gt;"",VLOOKUP(D195,'Formatted NEW'!$D:$M,12,FALSE),"")</f>
        <v>#REF!</v>
      </c>
      <c r="N195" s="19" t="str">
        <f t="shared" ref="N195:N202" si="11">IF(E195&lt;&gt;"","{"&amp;E195&amp;"}","")</f>
        <v>{EMPTY, DIAG_BOTH, EMPTY, EMPTY}</v>
      </c>
      <c r="P195" s="85"/>
      <c r="Q195" s="85"/>
      <c r="R195" s="85"/>
      <c r="S195" s="85"/>
      <c r="T195" s="85"/>
      <c r="W195">
        <v>159</v>
      </c>
    </row>
    <row r="196" spans="1:23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0"/>
        <v>#REF!</v>
      </c>
      <c r="K196" s="19" t="e">
        <f>IF(B196&lt;&gt;"",VLOOKUP(B196,'Formatted NEW'!$D:$M,12,FALSE),"")</f>
        <v>#REF!</v>
      </c>
      <c r="L196" s="19" t="e">
        <f>IF(C196&lt;&gt;"",VLOOKUP(C196,'Formatted NEW'!$D:$M,12,FALSE),"")</f>
        <v>#REF!</v>
      </c>
      <c r="M196" s="19" t="e">
        <f>IF(D196&lt;&gt;"",VLOOKUP(D196,'Formatted NEW'!$D:$M,12,FALSE),"")</f>
        <v>#REF!</v>
      </c>
      <c r="N196" s="19" t="str">
        <f t="shared" si="11"/>
        <v>{ORTHO_BOTH, ORTHO_BOTH, EMPTY, EMPTY}</v>
      </c>
      <c r="P196" s="85"/>
      <c r="Q196" s="85"/>
      <c r="R196" s="85"/>
      <c r="S196" s="85"/>
      <c r="T196" s="85"/>
      <c r="W196">
        <v>160</v>
      </c>
    </row>
    <row r="197" spans="1:23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0"/>
        <v>#REF!</v>
      </c>
      <c r="K197" s="19" t="e">
        <f>IF(B197&lt;&gt;"",VLOOKUP(B197,'Formatted NEW'!$D:$M,12,FALSE),"")</f>
        <v>#REF!</v>
      </c>
      <c r="L197" s="19" t="e">
        <f>IF(C197&lt;&gt;"",VLOOKUP(C197,'Formatted NEW'!$D:$M,12,FALSE),"")</f>
        <v>#REF!</v>
      </c>
      <c r="M197" s="19" t="e">
        <f>IF(D197&lt;&gt;"",VLOOKUP(D197,'Formatted NEW'!$D:$M,12,FALSE),"")</f>
        <v>#REF!</v>
      </c>
      <c r="N197" s="19" t="str">
        <f t="shared" si="11"/>
        <v>{EMPTY, DIAG_BOTH, EMPTY, DIAG_BOTH}</v>
      </c>
      <c r="P197" s="85"/>
      <c r="Q197" s="85"/>
      <c r="R197" s="85"/>
      <c r="S197" s="85"/>
      <c r="T197" s="85"/>
      <c r="W197">
        <v>161</v>
      </c>
    </row>
    <row r="198" spans="1:23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0"/>
        <v>#REF!</v>
      </c>
      <c r="K198" s="19" t="e">
        <f>IF(B198&lt;&gt;"",VLOOKUP(B198,'Formatted NEW'!$D:$M,12,FALSE),"")</f>
        <v>#REF!</v>
      </c>
      <c r="L198" s="19" t="e">
        <f>IF(C198&lt;&gt;"",VLOOKUP(C198,'Formatted NEW'!$D:$M,12,FALSE),"")</f>
        <v>#REF!</v>
      </c>
      <c r="M198" s="19" t="e">
        <f>IF(D198&lt;&gt;"",VLOOKUP(D198,'Formatted NEW'!$D:$M,12,FALSE),"")</f>
        <v>#REF!</v>
      </c>
      <c r="N198" s="19" t="str">
        <f t="shared" si="11"/>
        <v>{DIAG_BOTH, EMPTY, EMPTY, DIAG_BOTH}</v>
      </c>
      <c r="P198" s="85"/>
      <c r="Q198" s="85"/>
      <c r="R198" s="85"/>
      <c r="S198" s="85"/>
      <c r="T198" s="85"/>
      <c r="W198">
        <v>162</v>
      </c>
    </row>
    <row r="199" spans="1:23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0"/>
        <v>#REF!</v>
      </c>
      <c r="K199" s="19" t="e">
        <f>IF(B199&lt;&gt;"",VLOOKUP(B199,'Formatted NEW'!$D:$M,12,FALSE),"")</f>
        <v>#REF!</v>
      </c>
      <c r="L199" s="19" t="e">
        <f>IF(C199&lt;&gt;"",VLOOKUP(C199,'Formatted NEW'!$D:$M,12,FALSE),"")</f>
        <v>#REF!</v>
      </c>
      <c r="M199" s="19" t="e">
        <f>IF(D199&lt;&gt;"",VLOOKUP(D199,'Formatted NEW'!$D:$M,12,FALSE),"")</f>
        <v>#REF!</v>
      </c>
      <c r="N199" s="19" t="str">
        <f t="shared" si="11"/>
        <v>{DIAG_BOTH, EMPTY, DIAG_BOTH, EMPTY}</v>
      </c>
      <c r="P199" s="85"/>
      <c r="Q199" s="85"/>
      <c r="R199" s="85"/>
      <c r="S199" s="85"/>
      <c r="T199" s="85"/>
      <c r="W199">
        <v>163</v>
      </c>
    </row>
    <row r="200" spans="1:23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0"/>
        <v>#REF!</v>
      </c>
      <c r="K200" s="19" t="e">
        <f>IF(B200&lt;&gt;"",VLOOKUP(B200,'Formatted NEW'!$D:$M,12,FALSE),"")</f>
        <v>#REF!</v>
      </c>
      <c r="L200" s="19" t="e">
        <f>IF(C200&lt;&gt;"",VLOOKUP(C200,'Formatted NEW'!$D:$M,12,FALSE),"")</f>
        <v>#REF!</v>
      </c>
      <c r="M200" s="19" t="e">
        <f>IF(D200&lt;&gt;"",VLOOKUP(D200,'Formatted NEW'!$D:$M,12,FALSE),"")</f>
        <v>#REF!</v>
      </c>
      <c r="N200" s="19" t="str">
        <f t="shared" si="11"/>
        <v>{EMPTY, DIAG_BOTH, DIAG_BOTH, EMPTY}</v>
      </c>
      <c r="P200" s="85"/>
      <c r="Q200" s="85"/>
      <c r="R200" s="85"/>
      <c r="S200" s="85"/>
      <c r="T200" s="85"/>
      <c r="W200">
        <v>164</v>
      </c>
    </row>
    <row r="201" spans="1:23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0"/>
        <v>#REF!</v>
      </c>
      <c r="K201" s="19" t="e">
        <f>IF(B201&lt;&gt;"",VLOOKUP(B201,'Formatted NEW'!$D:$M,12,FALSE),"")</f>
        <v>#REF!</v>
      </c>
      <c r="L201" s="19" t="e">
        <f>IF(C201&lt;&gt;"",VLOOKUP(C201,'Formatted NEW'!$D:$M,12,FALSE),"")</f>
        <v>#REF!</v>
      </c>
      <c r="M201" s="19" t="e">
        <f>IF(D201&lt;&gt;"",VLOOKUP(D201,'Formatted NEW'!$D:$M,12,FALSE),"")</f>
        <v>#REF!</v>
      </c>
      <c r="N201" s="19" t="str">
        <f t="shared" si="11"/>
        <v>{DIAG_BOTH, EMPTY, EMPTY, EMPTY}</v>
      </c>
      <c r="P201" s="85"/>
      <c r="Q201" s="85"/>
      <c r="R201" s="85"/>
      <c r="S201" s="85"/>
      <c r="T201" s="85"/>
      <c r="W201">
        <v>165</v>
      </c>
    </row>
    <row r="202" spans="1:23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0"/>
        <v>#REF!</v>
      </c>
      <c r="K202" s="19" t="e">
        <f>IF(B202&lt;&gt;"",VLOOKUP(B202,'Formatted NEW'!$D:$M,12,FALSE),"")</f>
        <v>#REF!</v>
      </c>
      <c r="L202" s="19" t="e">
        <f>IF(C202&lt;&gt;"",VLOOKUP(C202,'Formatted NEW'!$D:$M,12,FALSE),"")</f>
        <v>#REF!</v>
      </c>
      <c r="M202" s="19" t="e">
        <f>IF(D202&lt;&gt;"",VLOOKUP(D202,'Formatted NEW'!$D:$M,12,FALSE),"")</f>
        <v>#REF!</v>
      </c>
      <c r="N202" s="19" t="str">
        <f t="shared" si="11"/>
        <v>{EMPTY, EMPTY, DIAG_BOTH, EMPTY}</v>
      </c>
      <c r="P202" s="85"/>
      <c r="Q202" s="85"/>
      <c r="R202" s="85"/>
      <c r="S202" s="85"/>
      <c r="T202" s="85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4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22" t="s">
        <v>226</v>
      </c>
      <c r="B1" s="23" t="s">
        <v>227</v>
      </c>
      <c r="C1" s="23" t="s">
        <v>228</v>
      </c>
      <c r="D1" s="24" t="s">
        <v>229</v>
      </c>
      <c r="F1" s="25" t="s">
        <v>216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235</v>
      </c>
    </row>
    <row r="2" spans="1:69" ht="15.75" thickBot="1" x14ac:dyDescent="0.3">
      <c r="F2" s="37" t="s">
        <v>217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232</v>
      </c>
      <c r="AW2" t="s">
        <v>233</v>
      </c>
      <c r="AZ2" t="s">
        <v>234</v>
      </c>
      <c r="BC2" s="88" t="s">
        <v>236</v>
      </c>
      <c r="BD2" s="89"/>
      <c r="BE2" s="89"/>
      <c r="BF2" s="90"/>
      <c r="BH2" s="88" t="s">
        <v>237</v>
      </c>
      <c r="BI2" s="89"/>
      <c r="BJ2" s="89"/>
      <c r="BK2" s="90"/>
    </row>
    <row r="3" spans="1:69" ht="15.75" thickBot="1" x14ac:dyDescent="0.3">
      <c r="F3" s="37" t="s">
        <v>218</v>
      </c>
      <c r="BC3" s="38" t="s">
        <v>238</v>
      </c>
      <c r="BD3" s="38" t="s">
        <v>239</v>
      </c>
      <c r="BE3" s="38" t="s">
        <v>240</v>
      </c>
      <c r="BF3" s="38" t="s">
        <v>241</v>
      </c>
      <c r="BH3" s="38" t="s">
        <v>242</v>
      </c>
      <c r="BI3" s="38" t="s">
        <v>243</v>
      </c>
      <c r="BJ3" s="38" t="s">
        <v>244</v>
      </c>
      <c r="BK3" s="38" t="s">
        <v>241</v>
      </c>
    </row>
    <row r="4" spans="1:69" x14ac:dyDescent="0.25">
      <c r="A4" t="str">
        <f>'Formatted NEW'!Q2</f>
        <v>EMPTY</v>
      </c>
      <c r="B4" t="str">
        <f>'Formatted NEW'!R2</f>
        <v>EMPTY</v>
      </c>
      <c r="C4" t="str">
        <f>'Formatted NEW'!S2</f>
        <v>EMPTY</v>
      </c>
      <c r="D4" t="str">
        <f>'Formatted NEW'!T2</f>
        <v>EMPTY</v>
      </c>
      <c r="E4" s="26">
        <f t="shared" ref="E4:E35" si="0">ROW(E4)-ROW(E$4)</f>
        <v>0</v>
      </c>
      <c r="F4" s="37" t="s">
        <v>219</v>
      </c>
      <c r="H4" s="27" t="str" cm="1">
        <f t="array" aca="1" ref="H4" ca="1">IF(ISNUMBER(SEARCH(INDIRECT(ADDRESS(ROW(H4),MOD(H$1,4)+1)),H$2)),$E4,"")</f>
        <v/>
      </c>
      <c r="I4" s="28" t="str" cm="1">
        <f t="array" aca="1" ref="I4" ca="1">IF(ISNUMBER(SEARCH(INDIRECT(ADDRESS(ROW(I4),MOD(I$1,4)+1)),I$2)),$E4,"")</f>
        <v/>
      </c>
      <c r="J4" s="28" t="str" cm="1">
        <f t="array" aca="1" ref="J4" ca="1">IF(ISNUMBER(SEARCH(INDIRECT(ADDRESS(ROW(J4),MOD(J$1,4)+1)),J$2)),$E4,"")</f>
        <v/>
      </c>
      <c r="K4" s="28" t="str" cm="1">
        <f t="array" aca="1" ref="K4" ca="1">IF(ISNUMBER(SEARCH(INDIRECT(ADDRESS(ROW(K4),MOD(K$1,4)+1)),K$2)),$E4,"")</f>
        <v/>
      </c>
      <c r="L4" s="28" t="str" cm="1">
        <f t="array" aca="1" ref="L4" ca="1">IF(ISNUMBER(SEARCH(INDIRECT(ADDRESS(ROW(L4),MOD(L$1,4)+1)),L$2)),$E4,"")</f>
        <v/>
      </c>
      <c r="M4" s="28" t="str" cm="1">
        <f t="array" aca="1" ref="M4" ca="1">IF(ISNUMBER(SEARCH(INDIRECT(ADDRESS(ROW(M4),MOD(M$1,4)+1)),M$2)),$E4,"")</f>
        <v/>
      </c>
      <c r="N4" s="28" t="str" cm="1">
        <f t="array" aca="1" ref="N4" ca="1">IF(ISNUMBER(SEARCH(INDIRECT(ADDRESS(ROW(N4),MOD(N$1,4)+1)),N$2)),$E4,"")</f>
        <v/>
      </c>
      <c r="O4" s="28" t="str" cm="1">
        <f t="array" aca="1" ref="O4" ca="1">IF(ISNUMBER(SEARCH(INDIRECT(ADDRESS(ROW(O4),MOD(O$1,4)+1)),O$2)),$E4,"")</f>
        <v/>
      </c>
      <c r="P4" s="28" t="str" cm="1">
        <f t="array" aca="1" ref="P4" ca="1">IF(ISNUMBER(SEARCH(INDIRECT(ADDRESS(ROW(P4),MOD(P$1,4)+1)),P$2)),$E4,"")</f>
        <v/>
      </c>
      <c r="Q4" s="28" t="str" cm="1">
        <f t="array" aca="1" ref="Q4" ca="1">IF(ISNUMBER(SEARCH(INDIRECT(ADDRESS(ROW(Q4),MOD(Q$1,4)+1)),Q$2)),$E4,"")</f>
        <v/>
      </c>
      <c r="R4" s="28" t="str" cm="1">
        <f t="array" aca="1" ref="R4" ca="1">IF(ISNUMBER(SEARCH(INDIRECT(ADDRESS(ROW(R4),MOD(R$1,4)+1)),R$2)),$E4,"")</f>
        <v/>
      </c>
      <c r="S4" s="28" t="str" cm="1">
        <f t="array" aca="1" ref="S4" ca="1">IF(ISNUMBER(SEARCH(INDIRECT(ADDRESS(ROW(S4),MOD(S$1,4)+1)),S$2)),$E4,"")</f>
        <v/>
      </c>
      <c r="T4" s="28" t="str" cm="1">
        <f t="array" aca="1" ref="T4" ca="1">IF(ISNUMBER(SEARCH(INDIRECT(ADDRESS(ROW(T4),MOD(T$1,4)+1)),T$2)),$E4,"")</f>
        <v/>
      </c>
      <c r="U4" s="28" t="str" cm="1">
        <f t="array" aca="1" ref="U4" ca="1">IF(ISNUMBER(SEARCH(INDIRECT(ADDRESS(ROW(U4),MOD(U$1,4)+1)),U$2)),$E4,"")</f>
        <v/>
      </c>
      <c r="V4" s="28" t="str" cm="1">
        <f t="array" aca="1" ref="V4" ca="1">IF(ISNUMBER(SEARCH(INDIRECT(ADDRESS(ROW(V4),MOD(V$1,4)+1)),V$2)),$E4,"")</f>
        <v/>
      </c>
      <c r="W4" s="28" t="str" cm="1">
        <f t="array" aca="1" ref="W4" ca="1">IF(ISNUMBER(SEARCH(INDIRECT(ADDRESS(ROW(W4),MOD(W$1,4)+1)),W$2)),$E4,"")</f>
        <v/>
      </c>
      <c r="X4" s="28" t="str" cm="1">
        <f t="array" aca="1" ref="X4" ca="1">IF(ISNUMBER(SEARCH(INDIRECT(ADDRESS(ROW(X4),MOD(X$1,4)+1)),X$2)),$E4,"")</f>
        <v/>
      </c>
      <c r="Y4" s="28" t="str" cm="1">
        <f t="array" aca="1" ref="Y4" ca="1">IF(ISNUMBER(SEARCH(INDIRECT(ADDRESS(ROW(Y4),MOD(Y$1,4)+1)),Y$2)),$E4,"")</f>
        <v/>
      </c>
      <c r="Z4" s="28" t="str" cm="1">
        <f t="array" aca="1" ref="Z4" ca="1">IF(ISNUMBER(SEARCH(INDIRECT(ADDRESS(ROW(Z4),MOD(Z$1,4)+1)),Z$2)),$E4,"")</f>
        <v/>
      </c>
      <c r="AA4" s="28" t="str" cm="1">
        <f t="array" aca="1" ref="AA4" ca="1">IF(ISNUMBER(SEARCH(INDIRECT(ADDRESS(ROW(AA4),MOD(AA$1,4)+1)),AA$2)),$E4,"")</f>
        <v/>
      </c>
      <c r="AB4" s="28" t="str" cm="1">
        <f t="array" aca="1" ref="AB4" ca="1">IF(ISNUMBER(SEARCH(INDIRECT(ADDRESS(ROW(AB4),MOD(AB$1,4)+1)),AB$2)),$E4,"")</f>
        <v/>
      </c>
      <c r="AC4" s="28" t="str" cm="1">
        <f t="array" aca="1" ref="AC4" ca="1">IF(ISNUMBER(SEARCH(INDIRECT(ADDRESS(ROW(AC4),MOD(AC$1,4)+1)),AC$2)),$E4,"")</f>
        <v/>
      </c>
      <c r="AD4" s="28" t="str" cm="1">
        <f t="array" aca="1" ref="AD4" ca="1">IF(ISNUMBER(SEARCH(INDIRECT(ADDRESS(ROW(AD4),MOD(AD$1,4)+1)),AD$2)),$E4,"")</f>
        <v/>
      </c>
      <c r="AE4" s="28" t="str" cm="1">
        <f t="array" aca="1" ref="AE4" ca="1">IF(ISNUMBER(SEARCH(INDIRECT(ADDRESS(ROW(AE4),MOD(AE$1,4)+1)),AE$2)),$E4,"")</f>
        <v/>
      </c>
      <c r="AF4" s="28" t="str" cm="1">
        <f t="array" aca="1" ref="AF4" ca="1">IF(ISNUMBER(SEARCH(INDIRECT(ADDRESS(ROW(AF4),MOD(AF$1,4)+1)),AF$2)),$E4,"")</f>
        <v/>
      </c>
      <c r="AG4" s="28" t="str" cm="1">
        <f t="array" aca="1" ref="AG4" ca="1">IF(ISNUMBER(SEARCH(INDIRECT(ADDRESS(ROW(AG4),MOD(AG$1,4)+1)),AG$2)),$E4,"")</f>
        <v/>
      </c>
      <c r="AH4" s="28" t="str" cm="1">
        <f t="array" aca="1" ref="AH4" ca="1">IF(ISNUMBER(SEARCH(INDIRECT(ADDRESS(ROW(AH4),MOD(AH$1,4)+1)),AH$2)),$E4,"")</f>
        <v/>
      </c>
      <c r="AI4" s="28" t="str" cm="1">
        <f t="array" aca="1" ref="AI4" ca="1">IF(ISNUMBER(SEARCH(INDIRECT(ADDRESS(ROW(AI4),MOD(AI$1,4)+1)),AI$2)),$E4,"")</f>
        <v/>
      </c>
      <c r="AJ4" s="28" t="str" cm="1">
        <f t="array" aca="1" ref="AJ4" ca="1">IF(ISNUMBER(SEARCH(INDIRECT(ADDRESS(ROW(AJ4),MOD(AJ$1,4)+1)),AJ$2)),$E4,"")</f>
        <v/>
      </c>
      <c r="AK4" s="28" t="str" cm="1">
        <f t="array" aca="1" ref="AK4" ca="1">IF(ISNUMBER(SEARCH(INDIRECT(ADDRESS(ROW(AK4),MOD(AK$1,4)+1)),AK$2)),$E4,"")</f>
        <v/>
      </c>
      <c r="AL4" s="28" t="str" cm="1">
        <f t="array" aca="1" ref="AL4" ca="1">IF(ISNUMBER(SEARCH(INDIRECT(ADDRESS(ROW(AL4),MOD(AL$1,4)+1)),AL$2)),$E4,"")</f>
        <v/>
      </c>
      <c r="AM4" s="28" t="str" cm="1">
        <f t="array" aca="1" ref="AM4" ca="1">IF(ISNUMBER(SEARCH(INDIRECT(ADDRESS(ROW(AM4),MOD(AM$1,4)+1)),AM$2)),$E4,"")</f>
        <v/>
      </c>
      <c r="AN4" s="28" t="str" cm="1">
        <f t="array" aca="1" ref="AN4" ca="1">IF(ISNUMBER(SEARCH(INDIRECT(ADDRESS(ROW(AN4),MOD(AN$1,4)+1)),AN$2)),$E4,"")</f>
        <v/>
      </c>
      <c r="AO4" s="28" t="str" cm="1">
        <f t="array" aca="1" ref="AO4" ca="1">IF(ISNUMBER(SEARCH(INDIRECT(ADDRESS(ROW(AO4),MOD(AO$1,4)+1)),AO$2)),$E4,"")</f>
        <v/>
      </c>
      <c r="AP4" s="28" t="str" cm="1">
        <f t="array" aca="1" ref="AP4" ca="1">IF(ISNUMBER(SEARCH(INDIRECT(ADDRESS(ROW(AP4),MOD(AP$1,4)+1)),AP$2)),$E4,"")</f>
        <v/>
      </c>
      <c r="AQ4" s="29" t="str" cm="1">
        <f t="array" aca="1" ref="AQ4" ca="1">IF(ISNUMBER(SEARCH(INDIRECT(ADDRESS(ROW(AQ4),MOD(AQ$1,4)+1)),AQ$2)),$E4,"")</f>
        <v/>
      </c>
      <c r="AT4" t="e">
        <f>IF(VLOOKUP($E4,'Formatted NEW'!$B$2:$F$202,5,FALSE)=VLOOKUP($E4,'Formatted NEW'!$B$2:$F$202,8,FALSE),$E4,"")</f>
        <v>#REF!</v>
      </c>
      <c r="AW4" t="e">
        <f>IF(VLOOKUP($E4,'Formatted NEW'!$B$2:$F$202,5,FALSE)=VLOOKUP($E4,'Formatted NEW'!$B$2:$F$202,11,FALSE),$E4,"")</f>
        <v>#REF!</v>
      </c>
      <c r="AZ4" t="e">
        <f>IF(VLOOKUP($E4,'Formatted NEW'!$B$2:$F$202,5,FALSE)=VLOOKUP($E4,'Formatted NEW'!$B$2:$F$202,14,FALSE),$E4,"")</f>
        <v>#REF!</v>
      </c>
      <c r="BC4" t="str">
        <f>VLOOKUP($E4,'Formatted NEW'!$M$2:$T$202,6,FALSE)</f>
        <v>EMPTY</v>
      </c>
      <c r="BD4" s="26" t="e">
        <f>VLOOKUP(VLOOKUP(VLOOKUP($E4,'Formatted NEW'!$M$2:$O$202,2,FALSE),'Formatted NEW'!$D$2:$F$202,7,FALSE),'Formatted NEW'!$D$2:$O$202,12,FALSE)</f>
        <v>#REF!</v>
      </c>
      <c r="BE4" t="e">
        <f>VLOOKUP($BD4,'Formatted NEW'!$M$2:$T$202,5,FALSE)</f>
        <v>#REF!</v>
      </c>
      <c r="BF4" s="26" t="e">
        <f>IF(BC4=BE4,$E4,"")</f>
        <v>#REF!</v>
      </c>
      <c r="BH4">
        <f>VLOOKUP($E4,'Formatted NEW'!$M$2:$T$202,4,FALSE)</f>
        <v>0</v>
      </c>
      <c r="BI4" s="26" t="e">
        <f>VLOOKUP(VLOOKUP(VLOOKUP($E4,'Formatted NEW'!$M$2:$O$202,2,FALSE),'Formatted NEW'!$D$2:$F$202,10,FALSE),'Formatted NEW'!$D$2:$O$202,12,FALSE)</f>
        <v>#REF!</v>
      </c>
      <c r="BJ4" t="e">
        <f>VLOOKUP($BI4,'Formatted NEW'!$M$2:$T$202,3,FALSE)</f>
        <v>#REF!</v>
      </c>
      <c r="BK4" s="26" t="e">
        <f>IF(BH4=BJ4,$E4,"")</f>
        <v>#REF!</v>
      </c>
      <c r="BM4" s="25" t="s">
        <v>216</v>
      </c>
      <c r="BO4" s="25" t="s">
        <v>216</v>
      </c>
      <c r="BQ4" s="25" t="s">
        <v>216</v>
      </c>
    </row>
    <row r="5" spans="1:69" x14ac:dyDescent="0.25">
      <c r="A5" t="str">
        <f>'Formatted NEW'!Q3</f>
        <v>EMPTY</v>
      </c>
      <c r="B5" t="str">
        <f>'Formatted NEW'!R3</f>
        <v>EMPTY</v>
      </c>
      <c r="C5" t="str">
        <f>'Formatted NEW'!S3</f>
        <v>ORTHO_BOTH</v>
      </c>
      <c r="D5" t="str">
        <f>'Formatted NEW'!T3</f>
        <v>ORTHO_BOTH</v>
      </c>
      <c r="E5" s="26">
        <f t="shared" si="0"/>
        <v>1</v>
      </c>
      <c r="F5" s="37" t="s">
        <v>220</v>
      </c>
      <c r="H5" s="30" t="str" cm="1">
        <f t="array" aca="1" ref="H5" ca="1">IF(ISNUMBER(SEARCH(INDIRECT(ADDRESS(ROW(H5),MOD(H$1,4)+1)),H$2)),$E5,"")</f>
        <v/>
      </c>
      <c r="I5" s="26" t="str" cm="1">
        <f t="array" aca="1" ref="I5" ca="1">IF(ISNUMBER(SEARCH(INDIRECT(ADDRESS(ROW(I5),MOD(I$1,4)+1)),I$2)),$E5,"")</f>
        <v/>
      </c>
      <c r="J5" s="26" t="str" cm="1">
        <f t="array" aca="1" ref="J5" ca="1">IF(ISNUMBER(SEARCH(INDIRECT(ADDRESS(ROW(J5),MOD(J$1,4)+1)),J$2)),$E5,"")</f>
        <v/>
      </c>
      <c r="K5" s="26" t="str" cm="1">
        <f t="array" aca="1" ref="K5" ca="1">IF(ISNUMBER(SEARCH(INDIRECT(ADDRESS(ROW(K5),MOD(K$1,4)+1)),K$2)),$E5,"")</f>
        <v/>
      </c>
      <c r="L5" s="26" t="str" cm="1">
        <f t="array" aca="1" ref="L5" ca="1">IF(ISNUMBER(SEARCH(INDIRECT(ADDRESS(ROW(L5),MOD(L$1,4)+1)),L$2)),$E5,"")</f>
        <v/>
      </c>
      <c r="M5" s="26" t="str" cm="1">
        <f t="array" aca="1" ref="M5" ca="1">IF(ISNUMBER(SEARCH(INDIRECT(ADDRESS(ROW(M5),MOD(M$1,4)+1)),M$2)),$E5,"")</f>
        <v/>
      </c>
      <c r="N5" s="26" t="str" cm="1">
        <f t="array" aca="1" ref="N5" ca="1">IF(ISNUMBER(SEARCH(INDIRECT(ADDRESS(ROW(N5),MOD(N$1,4)+1)),N$2)),$E5,"")</f>
        <v/>
      </c>
      <c r="O5" s="26" t="str" cm="1">
        <f t="array" aca="1" ref="O5" ca="1">IF(ISNUMBER(SEARCH(INDIRECT(ADDRESS(ROW(O5),MOD(O$1,4)+1)),O$2)),$E5,"")</f>
        <v/>
      </c>
      <c r="P5" s="26" t="str" cm="1">
        <f t="array" aca="1" ref="P5" ca="1">IF(ISNUMBER(SEARCH(INDIRECT(ADDRESS(ROW(P5),MOD(P$1,4)+1)),P$2)),$E5,"")</f>
        <v/>
      </c>
      <c r="Q5" s="26" t="str" cm="1">
        <f t="array" aca="1" ref="Q5" ca="1">IF(ISNUMBER(SEARCH(INDIRECT(ADDRESS(ROW(Q5),MOD(Q$1,4)+1)),Q$2)),$E5,"")</f>
        <v/>
      </c>
      <c r="R5" s="26" cm="1">
        <f t="array" aca="1" ref="R5" ca="1">IF(ISNUMBER(SEARCH(INDIRECT(ADDRESS(ROW(R5),MOD(R$1,4)+1)),R$2)),$E5,"")</f>
        <v>1</v>
      </c>
      <c r="S5" s="26" cm="1">
        <f t="array" aca="1" ref="S5" ca="1">IF(ISNUMBER(SEARCH(INDIRECT(ADDRESS(ROW(S5),MOD(S$1,4)+1)),S$2)),$E5,"")</f>
        <v>1</v>
      </c>
      <c r="T5" s="26" t="str" cm="1">
        <f t="array" aca="1" ref="T5" ca="1">IF(ISNUMBER(SEARCH(INDIRECT(ADDRESS(ROW(T5),MOD(T$1,4)+1)),T$2)),$E5,"")</f>
        <v/>
      </c>
      <c r="U5" s="26" t="str" cm="1">
        <f t="array" aca="1" ref="U5" ca="1">IF(ISNUMBER(SEARCH(INDIRECT(ADDRESS(ROW(U5),MOD(U$1,4)+1)),U$2)),$E5,"")</f>
        <v/>
      </c>
      <c r="V5" s="26" t="str" cm="1">
        <f t="array" aca="1" ref="V5" ca="1">IF(ISNUMBER(SEARCH(INDIRECT(ADDRESS(ROW(V5),MOD(V$1,4)+1)),V$2)),$E5,"")</f>
        <v/>
      </c>
      <c r="W5" s="26" t="str" cm="1">
        <f t="array" aca="1" ref="W5" ca="1">IF(ISNUMBER(SEARCH(INDIRECT(ADDRESS(ROW(W5),MOD(W$1,4)+1)),W$2)),$E5,"")</f>
        <v/>
      </c>
      <c r="X5" s="26" t="str" cm="1">
        <f t="array" aca="1" ref="X5" ca="1">IF(ISNUMBER(SEARCH(INDIRECT(ADDRESS(ROW(X5),MOD(X$1,4)+1)),X$2)),$E5,"")</f>
        <v/>
      </c>
      <c r="Y5" s="26" t="str" cm="1">
        <f t="array" aca="1" ref="Y5" ca="1">IF(ISNUMBER(SEARCH(INDIRECT(ADDRESS(ROW(Y5),MOD(Y$1,4)+1)),Y$2)),$E5,"")</f>
        <v/>
      </c>
      <c r="Z5" s="26" t="str" cm="1">
        <f t="array" aca="1" ref="Z5" ca="1">IF(ISNUMBER(SEARCH(INDIRECT(ADDRESS(ROW(Z5),MOD(Z$1,4)+1)),Z$2)),$E5,"")</f>
        <v/>
      </c>
      <c r="AA5" s="26" t="str" cm="1">
        <f t="array" aca="1" ref="AA5" ca="1">IF(ISNUMBER(SEARCH(INDIRECT(ADDRESS(ROW(AA5),MOD(AA$1,4)+1)),AA$2)),$E5,"")</f>
        <v/>
      </c>
      <c r="AB5" s="26" t="str" cm="1">
        <f t="array" aca="1" ref="AB5" ca="1">IF(ISNUMBER(SEARCH(INDIRECT(ADDRESS(ROW(AB5),MOD(AB$1,4)+1)),AB$2)),$E5,"")</f>
        <v/>
      </c>
      <c r="AC5" s="26" t="str" cm="1">
        <f t="array" aca="1" ref="AC5" ca="1">IF(ISNUMBER(SEARCH(INDIRECT(ADDRESS(ROW(AC5),MOD(AC$1,4)+1)),AC$2)),$E5,"")</f>
        <v/>
      </c>
      <c r="AD5" s="26" t="str" cm="1">
        <f t="array" aca="1" ref="AD5" ca="1">IF(ISNUMBER(SEARCH(INDIRECT(ADDRESS(ROW(AD5),MOD(AD$1,4)+1)),AD$2)),$E5,"")</f>
        <v/>
      </c>
      <c r="AE5" s="26" t="str" cm="1">
        <f t="array" aca="1" ref="AE5" ca="1">IF(ISNUMBER(SEARCH(INDIRECT(ADDRESS(ROW(AE5),MOD(AE$1,4)+1)),AE$2)),$E5,"")</f>
        <v/>
      </c>
      <c r="AF5" s="26" t="str" cm="1">
        <f t="array" aca="1" ref="AF5" ca="1">IF(ISNUMBER(SEARCH(INDIRECT(ADDRESS(ROW(AF5),MOD(AF$1,4)+1)),AF$2)),$E5,"")</f>
        <v/>
      </c>
      <c r="AG5" s="26" t="str" cm="1">
        <f t="array" aca="1" ref="AG5" ca="1">IF(ISNUMBER(SEARCH(INDIRECT(ADDRESS(ROW(AG5),MOD(AG$1,4)+1)),AG$2)),$E5,"")</f>
        <v/>
      </c>
      <c r="AH5" s="26" t="str" cm="1">
        <f t="array" aca="1" ref="AH5" ca="1">IF(ISNUMBER(SEARCH(INDIRECT(ADDRESS(ROW(AH5),MOD(AH$1,4)+1)),AH$2)),$E5,"")</f>
        <v/>
      </c>
      <c r="AI5" s="26" t="str" cm="1">
        <f t="array" aca="1" ref="AI5" ca="1">IF(ISNUMBER(SEARCH(INDIRECT(ADDRESS(ROW(AI5),MOD(AI$1,4)+1)),AI$2)),$E5,"")</f>
        <v/>
      </c>
      <c r="AJ5" s="26" t="str" cm="1">
        <f t="array" aca="1" ref="AJ5" ca="1">IF(ISNUMBER(SEARCH(INDIRECT(ADDRESS(ROW(AJ5),MOD(AJ$1,4)+1)),AJ$2)),$E5,"")</f>
        <v/>
      </c>
      <c r="AK5" s="26" t="str" cm="1">
        <f t="array" aca="1" ref="AK5" ca="1">IF(ISNUMBER(SEARCH(INDIRECT(ADDRESS(ROW(AK5),MOD(AK$1,4)+1)),AK$2)),$E5,"")</f>
        <v/>
      </c>
      <c r="AL5" s="26" t="str" cm="1">
        <f t="array" aca="1" ref="AL5" ca="1">IF(ISNUMBER(SEARCH(INDIRECT(ADDRESS(ROW(AL5),MOD(AL$1,4)+1)),AL$2)),$E5,"")</f>
        <v/>
      </c>
      <c r="AM5" s="26" t="str" cm="1">
        <f t="array" aca="1" ref="AM5" ca="1">IF(ISNUMBER(SEARCH(INDIRECT(ADDRESS(ROW(AM5),MOD(AM$1,4)+1)),AM$2)),$E5,"")</f>
        <v/>
      </c>
      <c r="AN5" s="26" t="str" cm="1">
        <f t="array" aca="1" ref="AN5" ca="1">IF(ISNUMBER(SEARCH(INDIRECT(ADDRESS(ROW(AN5),MOD(AN$1,4)+1)),AN$2)),$E5,"")</f>
        <v/>
      </c>
      <c r="AO5" s="26" t="str" cm="1">
        <f t="array" aca="1" ref="AO5" ca="1">IF(ISNUMBER(SEARCH(INDIRECT(ADDRESS(ROW(AO5),MOD(AO$1,4)+1)),AO$2)),$E5,"")</f>
        <v/>
      </c>
      <c r="AP5" s="26" t="str" cm="1">
        <f t="array" aca="1" ref="AP5" ca="1">IF(ISNUMBER(SEARCH(INDIRECT(ADDRESS(ROW(AP5),MOD(AP$1,4)+1)),AP$2)),$E5,"")</f>
        <v/>
      </c>
      <c r="AQ5" s="31" t="str" cm="1">
        <f t="array" aca="1" ref="AQ5" ca="1">IF(ISNUMBER(SEARCH(INDIRECT(ADDRESS(ROW(AQ5),MOD(AQ$1,4)+1)),AQ$2)),$E5,"")</f>
        <v/>
      </c>
      <c r="AT5" t="e">
        <f>IF(VLOOKUP($E5,'Formatted NEW'!$B$2:$F$202,5,FALSE)=VLOOKUP($E5,'Formatted NEW'!$B$2:$F$202,8,FALSE),$E5,"")</f>
        <v>#REF!</v>
      </c>
      <c r="AW5" t="e">
        <f>IF(VLOOKUP($E5,'Formatted NEW'!$B$2:$F$202,5,FALSE)=VLOOKUP($E5,'Formatted NEW'!$B$2:$F$202,11,FALSE),$E5,"")</f>
        <v>#REF!</v>
      </c>
      <c r="AZ5" t="e">
        <f>IF(VLOOKUP($E5,'Formatted NEW'!$B$2:$F$202,5,FALSE)=VLOOKUP($E5,'Formatted NEW'!$B$2:$F$202,14,FALSE),$E5,"")</f>
        <v>#REF!</v>
      </c>
      <c r="BC5" t="str">
        <f>VLOOKUP($E5,'Formatted NEW'!$M$2:$T$202,6,FALSE)</f>
        <v>EMPTY</v>
      </c>
      <c r="BD5" s="26" t="e">
        <f>VLOOKUP(VLOOKUP(VLOOKUP($E5,'Formatted NEW'!$M$2:$O$202,2,FALSE),'Formatted NEW'!$D$2:$F$202,7,FALSE),'Formatted NEW'!$D$2:$O$202,12,FALSE)</f>
        <v>#REF!</v>
      </c>
      <c r="BE5" t="e">
        <f>VLOOKUP($BD5,'Formatted NEW'!$M$2:$T$202,5,FALSE)</f>
        <v>#REF!</v>
      </c>
      <c r="BF5" s="26" t="e">
        <f t="shared" ref="BF5:BF68" si="1">IF(BC5=BE5,$E5,"")</f>
        <v>#REF!</v>
      </c>
      <c r="BH5">
        <f>VLOOKUP($E5,'Formatted NEW'!$M$2:$T$202,4,FALSE)</f>
        <v>0</v>
      </c>
      <c r="BI5" s="26" t="e">
        <f>VLOOKUP(VLOOKUP(VLOOKUP($E5,'Formatted NEW'!$M$2:$O$202,2,FALSE),'Formatted NEW'!$D$2:$F$202,10,FALSE),'Formatted NEW'!$D$2:$O$202,12,FALSE)</f>
        <v>#REF!</v>
      </c>
      <c r="BJ5" t="e">
        <f>VLOOKUP($BI5,'Formatted NEW'!$M$2:$T$202,3,FALSE)</f>
        <v>#REF!</v>
      </c>
      <c r="BK5" s="26" t="e">
        <f t="shared" ref="BK5:BK68" si="2">IF(BH5=BJ5,$E5,"")</f>
        <v>#REF!</v>
      </c>
      <c r="BM5" s="37" t="s">
        <v>217</v>
      </c>
      <c r="BO5" s="37" t="s">
        <v>217</v>
      </c>
      <c r="BQ5" s="37" t="s">
        <v>217</v>
      </c>
    </row>
    <row r="6" spans="1:69" x14ac:dyDescent="0.25">
      <c r="A6" t="str">
        <f>'Formatted NEW'!Q4</f>
        <v>ORTHO_BOTH</v>
      </c>
      <c r="B6" t="str">
        <f>'Formatted NEW'!R4</f>
        <v>ORTHO_BOTH</v>
      </c>
      <c r="C6" t="str">
        <f>'Formatted NEW'!S4</f>
        <v>ORTHO_BOTH</v>
      </c>
      <c r="D6" t="str">
        <f>'Formatted NEW'!T4</f>
        <v>ORTHO_BOTH</v>
      </c>
      <c r="E6" s="26">
        <f t="shared" si="0"/>
        <v>2</v>
      </c>
      <c r="F6" s="37" t="s">
        <v>221</v>
      </c>
      <c r="H6" s="30" t="str" cm="1">
        <f t="array" aca="1" ref="H6" ca="1">IF(ISNUMBER(SEARCH(INDIRECT(ADDRESS(ROW(H6),MOD(H$1,4)+1)),H$2)),$E6,"")</f>
        <v/>
      </c>
      <c r="I6" s="26" t="str" cm="1">
        <f t="array" aca="1" ref="I6" ca="1">IF(ISNUMBER(SEARCH(INDIRECT(ADDRESS(ROW(I6),MOD(I$1,4)+1)),I$2)),$E6,"")</f>
        <v/>
      </c>
      <c r="J6" s="26" t="str" cm="1">
        <f t="array" aca="1" ref="J6" ca="1">IF(ISNUMBER(SEARCH(INDIRECT(ADDRESS(ROW(J6),MOD(J$1,4)+1)),J$2)),$E6,"")</f>
        <v/>
      </c>
      <c r="K6" s="26" t="str" cm="1">
        <f t="array" aca="1" ref="K6" ca="1">IF(ISNUMBER(SEARCH(INDIRECT(ADDRESS(ROW(K6),MOD(K$1,4)+1)),K$2)),$E6,"")</f>
        <v/>
      </c>
      <c r="L6" s="26" t="str" cm="1">
        <f t="array" aca="1" ref="L6" ca="1">IF(ISNUMBER(SEARCH(INDIRECT(ADDRESS(ROW(L6),MOD(L$1,4)+1)),L$2)),$E6,"")</f>
        <v/>
      </c>
      <c r="M6" s="26" t="str" cm="1">
        <f t="array" aca="1" ref="M6" ca="1">IF(ISNUMBER(SEARCH(INDIRECT(ADDRESS(ROW(M6),MOD(M$1,4)+1)),M$2)),$E6,"")</f>
        <v/>
      </c>
      <c r="N6" s="26" t="str" cm="1">
        <f t="array" aca="1" ref="N6" ca="1">IF(ISNUMBER(SEARCH(INDIRECT(ADDRESS(ROW(N6),MOD(N$1,4)+1)),N$2)),$E6,"")</f>
        <v/>
      </c>
      <c r="O6" s="26" t="str" cm="1">
        <f t="array" aca="1" ref="O6" ca="1">IF(ISNUMBER(SEARCH(INDIRECT(ADDRESS(ROW(O6),MOD(O$1,4)+1)),O$2)),$E6,"")</f>
        <v/>
      </c>
      <c r="P6" s="26" cm="1">
        <f t="array" aca="1" ref="P6" ca="1">IF(ISNUMBER(SEARCH(INDIRECT(ADDRESS(ROW(P6),MOD(P$1,4)+1)),P$2)),$E6,"")</f>
        <v>2</v>
      </c>
      <c r="Q6" s="26" cm="1">
        <f t="array" aca="1" ref="Q6" ca="1">IF(ISNUMBER(SEARCH(INDIRECT(ADDRESS(ROW(Q6),MOD(Q$1,4)+1)),Q$2)),$E6,"")</f>
        <v>2</v>
      </c>
      <c r="R6" s="26" cm="1">
        <f t="array" aca="1" ref="R6" ca="1">IF(ISNUMBER(SEARCH(INDIRECT(ADDRESS(ROW(R6),MOD(R$1,4)+1)),R$2)),$E6,"")</f>
        <v>2</v>
      </c>
      <c r="S6" s="26" cm="1">
        <f t="array" aca="1" ref="S6" ca="1">IF(ISNUMBER(SEARCH(INDIRECT(ADDRESS(ROW(S6),MOD(S$1,4)+1)),S$2)),$E6,"")</f>
        <v>2</v>
      </c>
      <c r="T6" s="26" t="str" cm="1">
        <f t="array" aca="1" ref="T6" ca="1">IF(ISNUMBER(SEARCH(INDIRECT(ADDRESS(ROW(T6),MOD(T$1,4)+1)),T$2)),$E6,"")</f>
        <v/>
      </c>
      <c r="U6" s="26" t="str" cm="1">
        <f t="array" aca="1" ref="U6" ca="1">IF(ISNUMBER(SEARCH(INDIRECT(ADDRESS(ROW(U6),MOD(U$1,4)+1)),U$2)),$E6,"")</f>
        <v/>
      </c>
      <c r="V6" s="26" t="str" cm="1">
        <f t="array" aca="1" ref="V6" ca="1">IF(ISNUMBER(SEARCH(INDIRECT(ADDRESS(ROW(V6),MOD(V$1,4)+1)),V$2)),$E6,"")</f>
        <v/>
      </c>
      <c r="W6" s="26" t="str" cm="1">
        <f t="array" aca="1" ref="W6" ca="1">IF(ISNUMBER(SEARCH(INDIRECT(ADDRESS(ROW(W6),MOD(W$1,4)+1)),W$2)),$E6,"")</f>
        <v/>
      </c>
      <c r="X6" s="26" t="str" cm="1">
        <f t="array" aca="1" ref="X6" ca="1">IF(ISNUMBER(SEARCH(INDIRECT(ADDRESS(ROW(X6),MOD(X$1,4)+1)),X$2)),$E6,"")</f>
        <v/>
      </c>
      <c r="Y6" s="26" t="str" cm="1">
        <f t="array" aca="1" ref="Y6" ca="1">IF(ISNUMBER(SEARCH(INDIRECT(ADDRESS(ROW(Y6),MOD(Y$1,4)+1)),Y$2)),$E6,"")</f>
        <v/>
      </c>
      <c r="Z6" s="26" t="str" cm="1">
        <f t="array" aca="1" ref="Z6" ca="1">IF(ISNUMBER(SEARCH(INDIRECT(ADDRESS(ROW(Z6),MOD(Z$1,4)+1)),Z$2)),$E6,"")</f>
        <v/>
      </c>
      <c r="AA6" s="26" t="str" cm="1">
        <f t="array" aca="1" ref="AA6" ca="1">IF(ISNUMBER(SEARCH(INDIRECT(ADDRESS(ROW(AA6),MOD(AA$1,4)+1)),AA$2)),$E6,"")</f>
        <v/>
      </c>
      <c r="AB6" s="26" t="str" cm="1">
        <f t="array" aca="1" ref="AB6" ca="1">IF(ISNUMBER(SEARCH(INDIRECT(ADDRESS(ROW(AB6),MOD(AB$1,4)+1)),AB$2)),$E6,"")</f>
        <v/>
      </c>
      <c r="AC6" s="26" t="str" cm="1">
        <f t="array" aca="1" ref="AC6" ca="1">IF(ISNUMBER(SEARCH(INDIRECT(ADDRESS(ROW(AC6),MOD(AC$1,4)+1)),AC$2)),$E6,"")</f>
        <v/>
      </c>
      <c r="AD6" s="26" t="str" cm="1">
        <f t="array" aca="1" ref="AD6" ca="1">IF(ISNUMBER(SEARCH(INDIRECT(ADDRESS(ROW(AD6),MOD(AD$1,4)+1)),AD$2)),$E6,"")</f>
        <v/>
      </c>
      <c r="AE6" s="26" t="str" cm="1">
        <f t="array" aca="1" ref="AE6" ca="1">IF(ISNUMBER(SEARCH(INDIRECT(ADDRESS(ROW(AE6),MOD(AE$1,4)+1)),AE$2)),$E6,"")</f>
        <v/>
      </c>
      <c r="AF6" s="26" t="str" cm="1">
        <f t="array" aca="1" ref="AF6" ca="1">IF(ISNUMBER(SEARCH(INDIRECT(ADDRESS(ROW(AF6),MOD(AF$1,4)+1)),AF$2)),$E6,"")</f>
        <v/>
      </c>
      <c r="AG6" s="26" t="str" cm="1">
        <f t="array" aca="1" ref="AG6" ca="1">IF(ISNUMBER(SEARCH(INDIRECT(ADDRESS(ROW(AG6),MOD(AG$1,4)+1)),AG$2)),$E6,"")</f>
        <v/>
      </c>
      <c r="AH6" s="26" t="str" cm="1">
        <f t="array" aca="1" ref="AH6" ca="1">IF(ISNUMBER(SEARCH(INDIRECT(ADDRESS(ROW(AH6),MOD(AH$1,4)+1)),AH$2)),$E6,"")</f>
        <v/>
      </c>
      <c r="AI6" s="26" t="str" cm="1">
        <f t="array" aca="1" ref="AI6" ca="1">IF(ISNUMBER(SEARCH(INDIRECT(ADDRESS(ROW(AI6),MOD(AI$1,4)+1)),AI$2)),$E6,"")</f>
        <v/>
      </c>
      <c r="AJ6" s="26" t="str" cm="1">
        <f t="array" aca="1" ref="AJ6" ca="1">IF(ISNUMBER(SEARCH(INDIRECT(ADDRESS(ROW(AJ6),MOD(AJ$1,4)+1)),AJ$2)),$E6,"")</f>
        <v/>
      </c>
      <c r="AK6" s="26" t="str" cm="1">
        <f t="array" aca="1" ref="AK6" ca="1">IF(ISNUMBER(SEARCH(INDIRECT(ADDRESS(ROW(AK6),MOD(AK$1,4)+1)),AK$2)),$E6,"")</f>
        <v/>
      </c>
      <c r="AL6" s="26" t="str" cm="1">
        <f t="array" aca="1" ref="AL6" ca="1">IF(ISNUMBER(SEARCH(INDIRECT(ADDRESS(ROW(AL6),MOD(AL$1,4)+1)),AL$2)),$E6,"")</f>
        <v/>
      </c>
      <c r="AM6" s="26" t="str" cm="1">
        <f t="array" aca="1" ref="AM6" ca="1">IF(ISNUMBER(SEARCH(INDIRECT(ADDRESS(ROW(AM6),MOD(AM$1,4)+1)),AM$2)),$E6,"")</f>
        <v/>
      </c>
      <c r="AN6" s="26" t="str" cm="1">
        <f t="array" aca="1" ref="AN6" ca="1">IF(ISNUMBER(SEARCH(INDIRECT(ADDRESS(ROW(AN6),MOD(AN$1,4)+1)),AN$2)),$E6,"")</f>
        <v/>
      </c>
      <c r="AO6" s="26" t="str" cm="1">
        <f t="array" aca="1" ref="AO6" ca="1">IF(ISNUMBER(SEARCH(INDIRECT(ADDRESS(ROW(AO6),MOD(AO$1,4)+1)),AO$2)),$E6,"")</f>
        <v/>
      </c>
      <c r="AP6" s="26" t="str" cm="1">
        <f t="array" aca="1" ref="AP6" ca="1">IF(ISNUMBER(SEARCH(INDIRECT(ADDRESS(ROW(AP6),MOD(AP$1,4)+1)),AP$2)),$E6,"")</f>
        <v/>
      </c>
      <c r="AQ6" s="31" t="str" cm="1">
        <f t="array" aca="1" ref="AQ6" ca="1">IF(ISNUMBER(SEARCH(INDIRECT(ADDRESS(ROW(AQ6),MOD(AQ$1,4)+1)),AQ$2)),$E6,"")</f>
        <v/>
      </c>
      <c r="AT6" t="e">
        <f>IF(VLOOKUP($E6,'Formatted NEW'!$B$2:$F$202,5,FALSE)=VLOOKUP($E6,'Formatted NEW'!$B$2:$F$202,8,FALSE),$E6,"")</f>
        <v>#REF!</v>
      </c>
      <c r="AW6" t="e">
        <f>IF(VLOOKUP($E6,'Formatted NEW'!$B$2:$F$202,5,FALSE)=VLOOKUP($E6,'Formatted NEW'!$B$2:$F$202,11,FALSE),$E6,"")</f>
        <v>#REF!</v>
      </c>
      <c r="AZ6" t="e">
        <f>IF(VLOOKUP($E6,'Formatted NEW'!$B$2:$F$202,5,FALSE)=VLOOKUP($E6,'Formatted NEW'!$B$2:$F$202,14,FALSE),$E6,"")</f>
        <v>#REF!</v>
      </c>
      <c r="BC6" t="str">
        <f>VLOOKUP($E6,'Formatted NEW'!$M$2:$T$202,6,FALSE)</f>
        <v>ORTHO_BOTH</v>
      </c>
      <c r="BD6" s="26" t="e">
        <f>VLOOKUP(VLOOKUP(VLOOKUP($E6,'Formatted NEW'!$M$2:$O$202,2,FALSE),'Formatted NEW'!$D$2:$F$202,7,FALSE),'Formatted NEW'!$D$2:$O$202,12,FALSE)</f>
        <v>#REF!</v>
      </c>
      <c r="BE6" t="e">
        <f>VLOOKUP($BD6,'Formatted NEW'!$M$2:$T$202,5,FALSE)</f>
        <v>#REF!</v>
      </c>
      <c r="BF6" s="26" t="e">
        <f t="shared" si="1"/>
        <v>#REF!</v>
      </c>
      <c r="BH6">
        <f>VLOOKUP($E6,'Formatted NEW'!$M$2:$T$202,4,FALSE)</f>
        <v>0</v>
      </c>
      <c r="BI6" s="26" t="e">
        <f>VLOOKUP(VLOOKUP(VLOOKUP($E6,'Formatted NEW'!$M$2:$O$202,2,FALSE),'Formatted NEW'!$D$2:$F$202,10,FALSE),'Formatted NEW'!$D$2:$O$202,12,FALSE)</f>
        <v>#REF!</v>
      </c>
      <c r="BJ6" t="e">
        <f>VLOOKUP($BI6,'Formatted NEW'!$M$2:$T$202,3,FALSE)</f>
        <v>#REF!</v>
      </c>
      <c r="BK6" s="26" t="e">
        <f t="shared" si="2"/>
        <v>#REF!</v>
      </c>
      <c r="BM6" s="37" t="s">
        <v>218</v>
      </c>
      <c r="BO6" s="37" t="s">
        <v>218</v>
      </c>
      <c r="BQ6" s="37" t="s">
        <v>218</v>
      </c>
    </row>
    <row r="7" spans="1:69" x14ac:dyDescent="0.25">
      <c r="A7" t="str">
        <f>'Formatted NEW'!Q5</f>
        <v>EMPTY</v>
      </c>
      <c r="B7" t="str">
        <f>'Formatted NEW'!R5</f>
        <v>EMPTY</v>
      </c>
      <c r="C7" t="str">
        <f>'Formatted NEW'!S5</f>
        <v>ORTHO_BOTH</v>
      </c>
      <c r="D7" t="str">
        <f>'Formatted NEW'!T5</f>
        <v>ORTHO_BOTH</v>
      </c>
      <c r="E7" s="26">
        <f t="shared" si="0"/>
        <v>3</v>
      </c>
      <c r="F7" s="37" t="s">
        <v>222</v>
      </c>
      <c r="H7" s="30" t="str" cm="1">
        <f t="array" aca="1" ref="H7" ca="1">IF(ISNUMBER(SEARCH(INDIRECT(ADDRESS(ROW(H7),MOD(H$1,4)+1)),H$2)),$E7,"")</f>
        <v/>
      </c>
      <c r="I7" s="26" t="str" cm="1">
        <f t="array" aca="1" ref="I7" ca="1">IF(ISNUMBER(SEARCH(INDIRECT(ADDRESS(ROW(I7),MOD(I$1,4)+1)),I$2)),$E7,"")</f>
        <v/>
      </c>
      <c r="J7" s="26" t="str" cm="1">
        <f t="array" aca="1" ref="J7" ca="1">IF(ISNUMBER(SEARCH(INDIRECT(ADDRESS(ROW(J7),MOD(J$1,4)+1)),J$2)),$E7,"")</f>
        <v/>
      </c>
      <c r="K7" s="26" t="str" cm="1">
        <f t="array" aca="1" ref="K7" ca="1">IF(ISNUMBER(SEARCH(INDIRECT(ADDRESS(ROW(K7),MOD(K$1,4)+1)),K$2)),$E7,"")</f>
        <v/>
      </c>
      <c r="L7" s="26" t="str" cm="1">
        <f t="array" aca="1" ref="L7" ca="1">IF(ISNUMBER(SEARCH(INDIRECT(ADDRESS(ROW(L7),MOD(L$1,4)+1)),L$2)),$E7,"")</f>
        <v/>
      </c>
      <c r="M7" s="26" t="str" cm="1">
        <f t="array" aca="1" ref="M7" ca="1">IF(ISNUMBER(SEARCH(INDIRECT(ADDRESS(ROW(M7),MOD(M$1,4)+1)),M$2)),$E7,"")</f>
        <v/>
      </c>
      <c r="N7" s="26" t="str" cm="1">
        <f t="array" aca="1" ref="N7" ca="1">IF(ISNUMBER(SEARCH(INDIRECT(ADDRESS(ROW(N7),MOD(N$1,4)+1)),N$2)),$E7,"")</f>
        <v/>
      </c>
      <c r="O7" s="26" t="str" cm="1">
        <f t="array" aca="1" ref="O7" ca="1">IF(ISNUMBER(SEARCH(INDIRECT(ADDRESS(ROW(O7),MOD(O$1,4)+1)),O$2)),$E7,"")</f>
        <v/>
      </c>
      <c r="P7" s="26" t="str" cm="1">
        <f t="array" aca="1" ref="P7" ca="1">IF(ISNUMBER(SEARCH(INDIRECT(ADDRESS(ROW(P7),MOD(P$1,4)+1)),P$2)),$E7,"")</f>
        <v/>
      </c>
      <c r="Q7" s="26" t="str" cm="1">
        <f t="array" aca="1" ref="Q7" ca="1">IF(ISNUMBER(SEARCH(INDIRECT(ADDRESS(ROW(Q7),MOD(Q$1,4)+1)),Q$2)),$E7,"")</f>
        <v/>
      </c>
      <c r="R7" s="26" cm="1">
        <f t="array" aca="1" ref="R7" ca="1">IF(ISNUMBER(SEARCH(INDIRECT(ADDRESS(ROW(R7),MOD(R$1,4)+1)),R$2)),$E7,"")</f>
        <v>3</v>
      </c>
      <c r="S7" s="26" cm="1">
        <f t="array" aca="1" ref="S7" ca="1">IF(ISNUMBER(SEARCH(INDIRECT(ADDRESS(ROW(S7),MOD(S$1,4)+1)),S$2)),$E7,"")</f>
        <v>3</v>
      </c>
      <c r="T7" s="26" t="str" cm="1">
        <f t="array" aca="1" ref="T7" ca="1">IF(ISNUMBER(SEARCH(INDIRECT(ADDRESS(ROW(T7),MOD(T$1,4)+1)),T$2)),$E7,"")</f>
        <v/>
      </c>
      <c r="U7" s="26" t="str" cm="1">
        <f t="array" aca="1" ref="U7" ca="1">IF(ISNUMBER(SEARCH(INDIRECT(ADDRESS(ROW(U7),MOD(U$1,4)+1)),U$2)),$E7,"")</f>
        <v/>
      </c>
      <c r="V7" s="26" t="str" cm="1">
        <f t="array" aca="1" ref="V7" ca="1">IF(ISNUMBER(SEARCH(INDIRECT(ADDRESS(ROW(V7),MOD(V$1,4)+1)),V$2)),$E7,"")</f>
        <v/>
      </c>
      <c r="W7" s="26" t="str" cm="1">
        <f t="array" aca="1" ref="W7" ca="1">IF(ISNUMBER(SEARCH(INDIRECT(ADDRESS(ROW(W7),MOD(W$1,4)+1)),W$2)),$E7,"")</f>
        <v/>
      </c>
      <c r="X7" s="26" t="str" cm="1">
        <f t="array" aca="1" ref="X7" ca="1">IF(ISNUMBER(SEARCH(INDIRECT(ADDRESS(ROW(X7),MOD(X$1,4)+1)),X$2)),$E7,"")</f>
        <v/>
      </c>
      <c r="Y7" s="26" t="str" cm="1">
        <f t="array" aca="1" ref="Y7" ca="1">IF(ISNUMBER(SEARCH(INDIRECT(ADDRESS(ROW(Y7),MOD(Y$1,4)+1)),Y$2)),$E7,"")</f>
        <v/>
      </c>
      <c r="Z7" s="26" t="str" cm="1">
        <f t="array" aca="1" ref="Z7" ca="1">IF(ISNUMBER(SEARCH(INDIRECT(ADDRESS(ROW(Z7),MOD(Z$1,4)+1)),Z$2)),$E7,"")</f>
        <v/>
      </c>
      <c r="AA7" s="26" t="str" cm="1">
        <f t="array" aca="1" ref="AA7" ca="1">IF(ISNUMBER(SEARCH(INDIRECT(ADDRESS(ROW(AA7),MOD(AA$1,4)+1)),AA$2)),$E7,"")</f>
        <v/>
      </c>
      <c r="AB7" s="26" t="str" cm="1">
        <f t="array" aca="1" ref="AB7" ca="1">IF(ISNUMBER(SEARCH(INDIRECT(ADDRESS(ROW(AB7),MOD(AB$1,4)+1)),AB$2)),$E7,"")</f>
        <v/>
      </c>
      <c r="AC7" s="26" t="str" cm="1">
        <f t="array" aca="1" ref="AC7" ca="1">IF(ISNUMBER(SEARCH(INDIRECT(ADDRESS(ROW(AC7),MOD(AC$1,4)+1)),AC$2)),$E7,"")</f>
        <v/>
      </c>
      <c r="AD7" s="26" t="str" cm="1">
        <f t="array" aca="1" ref="AD7" ca="1">IF(ISNUMBER(SEARCH(INDIRECT(ADDRESS(ROW(AD7),MOD(AD$1,4)+1)),AD$2)),$E7,"")</f>
        <v/>
      </c>
      <c r="AE7" s="26" t="str" cm="1">
        <f t="array" aca="1" ref="AE7" ca="1">IF(ISNUMBER(SEARCH(INDIRECT(ADDRESS(ROW(AE7),MOD(AE$1,4)+1)),AE$2)),$E7,"")</f>
        <v/>
      </c>
      <c r="AF7" s="26" t="str" cm="1">
        <f t="array" aca="1" ref="AF7" ca="1">IF(ISNUMBER(SEARCH(INDIRECT(ADDRESS(ROW(AF7),MOD(AF$1,4)+1)),AF$2)),$E7,"")</f>
        <v/>
      </c>
      <c r="AG7" s="26" t="str" cm="1">
        <f t="array" aca="1" ref="AG7" ca="1">IF(ISNUMBER(SEARCH(INDIRECT(ADDRESS(ROW(AG7),MOD(AG$1,4)+1)),AG$2)),$E7,"")</f>
        <v/>
      </c>
      <c r="AH7" s="26" t="str" cm="1">
        <f t="array" aca="1" ref="AH7" ca="1">IF(ISNUMBER(SEARCH(INDIRECT(ADDRESS(ROW(AH7),MOD(AH$1,4)+1)),AH$2)),$E7,"")</f>
        <v/>
      </c>
      <c r="AI7" s="26" t="str" cm="1">
        <f t="array" aca="1" ref="AI7" ca="1">IF(ISNUMBER(SEARCH(INDIRECT(ADDRESS(ROW(AI7),MOD(AI$1,4)+1)),AI$2)),$E7,"")</f>
        <v/>
      </c>
      <c r="AJ7" s="26" t="str" cm="1">
        <f t="array" aca="1" ref="AJ7" ca="1">IF(ISNUMBER(SEARCH(INDIRECT(ADDRESS(ROW(AJ7),MOD(AJ$1,4)+1)),AJ$2)),$E7,"")</f>
        <v/>
      </c>
      <c r="AK7" s="26" t="str" cm="1">
        <f t="array" aca="1" ref="AK7" ca="1">IF(ISNUMBER(SEARCH(INDIRECT(ADDRESS(ROW(AK7),MOD(AK$1,4)+1)),AK$2)),$E7,"")</f>
        <v/>
      </c>
      <c r="AL7" s="26" t="str" cm="1">
        <f t="array" aca="1" ref="AL7" ca="1">IF(ISNUMBER(SEARCH(INDIRECT(ADDRESS(ROW(AL7),MOD(AL$1,4)+1)),AL$2)),$E7,"")</f>
        <v/>
      </c>
      <c r="AM7" s="26" t="str" cm="1">
        <f t="array" aca="1" ref="AM7" ca="1">IF(ISNUMBER(SEARCH(INDIRECT(ADDRESS(ROW(AM7),MOD(AM$1,4)+1)),AM$2)),$E7,"")</f>
        <v/>
      </c>
      <c r="AN7" s="26" t="str" cm="1">
        <f t="array" aca="1" ref="AN7" ca="1">IF(ISNUMBER(SEARCH(INDIRECT(ADDRESS(ROW(AN7),MOD(AN$1,4)+1)),AN$2)),$E7,"")</f>
        <v/>
      </c>
      <c r="AO7" s="26" t="str" cm="1">
        <f t="array" aca="1" ref="AO7" ca="1">IF(ISNUMBER(SEARCH(INDIRECT(ADDRESS(ROW(AO7),MOD(AO$1,4)+1)),AO$2)),$E7,"")</f>
        <v/>
      </c>
      <c r="AP7" s="26" t="str" cm="1">
        <f t="array" aca="1" ref="AP7" ca="1">IF(ISNUMBER(SEARCH(INDIRECT(ADDRESS(ROW(AP7),MOD(AP$1,4)+1)),AP$2)),$E7,"")</f>
        <v/>
      </c>
      <c r="AQ7" s="31" t="str" cm="1">
        <f t="array" aca="1" ref="AQ7" ca="1">IF(ISNUMBER(SEARCH(INDIRECT(ADDRESS(ROW(AQ7),MOD(AQ$1,4)+1)),AQ$2)),$E7,"")</f>
        <v/>
      </c>
      <c r="AT7" t="e">
        <f>IF(VLOOKUP($E7,'Formatted NEW'!$B$2:$F$202,5,FALSE)=VLOOKUP($E7,'Formatted NEW'!$B$2:$F$202,8,FALSE),$E7,"")</f>
        <v>#REF!</v>
      </c>
      <c r="AW7" t="e">
        <f>IF(VLOOKUP($E7,'Formatted NEW'!$B$2:$F$202,5,FALSE)=VLOOKUP($E7,'Formatted NEW'!$B$2:$F$202,11,FALSE),$E7,"")</f>
        <v>#REF!</v>
      </c>
      <c r="AZ7" t="e">
        <f>IF(VLOOKUP($E7,'Formatted NEW'!$B$2:$F$202,5,FALSE)=VLOOKUP($E7,'Formatted NEW'!$B$2:$F$202,14,FALSE),$E7,"")</f>
        <v>#REF!</v>
      </c>
      <c r="BC7" t="str">
        <f>VLOOKUP($E7,'Formatted NEW'!$M$2:$T$202,6,FALSE)</f>
        <v>EMPTY</v>
      </c>
      <c r="BD7" s="26" t="e">
        <f>VLOOKUP(VLOOKUP(VLOOKUP($E7,'Formatted NEW'!$M$2:$O$202,2,FALSE),'Formatted NEW'!$D$2:$F$202,7,FALSE),'Formatted NEW'!$D$2:$O$202,12,FALSE)</f>
        <v>#REF!</v>
      </c>
      <c r="BE7" t="e">
        <f>VLOOKUP($BD7,'Formatted NEW'!$M$2:$T$202,5,FALSE)</f>
        <v>#REF!</v>
      </c>
      <c r="BF7" s="26" t="e">
        <f t="shared" si="1"/>
        <v>#REF!</v>
      </c>
      <c r="BH7">
        <f>VLOOKUP($E7,'Formatted NEW'!$M$2:$T$202,4,FALSE)</f>
        <v>0</v>
      </c>
      <c r="BI7" s="26" t="e">
        <f>VLOOKUP(VLOOKUP(VLOOKUP($E7,'Formatted NEW'!$M$2:$O$202,2,FALSE),'Formatted NEW'!$D$2:$F$202,10,FALSE),'Formatted NEW'!$D$2:$O$202,12,FALSE)</f>
        <v>#REF!</v>
      </c>
      <c r="BJ7" t="e">
        <f>VLOOKUP($BI7,'Formatted NEW'!$M$2:$T$202,3,FALSE)</f>
        <v>#REF!</v>
      </c>
      <c r="BK7" s="26" t="e">
        <f t="shared" si="2"/>
        <v>#REF!</v>
      </c>
      <c r="BM7" s="37" t="s">
        <v>219</v>
      </c>
      <c r="BO7" s="37" t="s">
        <v>220</v>
      </c>
      <c r="BQ7" s="37" t="s">
        <v>220</v>
      </c>
    </row>
    <row r="8" spans="1:69" x14ac:dyDescent="0.25">
      <c r="A8" t="str">
        <f>'Formatted NEW'!Q6</f>
        <v>EMPTY</v>
      </c>
      <c r="B8" t="str">
        <f>'Formatted NEW'!R6</f>
        <v>ORTHO_BOTH</v>
      </c>
      <c r="C8" t="str">
        <f>'Formatted NEW'!S6</f>
        <v>EMPTY</v>
      </c>
      <c r="D8" t="str">
        <f>'Formatted NEW'!T6</f>
        <v>EMPTY</v>
      </c>
      <c r="E8" s="26">
        <f t="shared" si="0"/>
        <v>4</v>
      </c>
      <c r="F8" s="37" t="s">
        <v>223</v>
      </c>
      <c r="H8" s="30" t="str" cm="1">
        <f t="array" aca="1" ref="H8" ca="1">IF(ISNUMBER(SEARCH(INDIRECT(ADDRESS(ROW(H8),MOD(H$1,4)+1)),H$2)),$E8,"")</f>
        <v/>
      </c>
      <c r="I8" s="26" t="str" cm="1">
        <f t="array" aca="1" ref="I8" ca="1">IF(ISNUMBER(SEARCH(INDIRECT(ADDRESS(ROW(I8),MOD(I$1,4)+1)),I$2)),$E8,"")</f>
        <v/>
      </c>
      <c r="J8" s="26" t="str" cm="1">
        <f t="array" aca="1" ref="J8" ca="1">IF(ISNUMBER(SEARCH(INDIRECT(ADDRESS(ROW(J8),MOD(J$1,4)+1)),J$2)),$E8,"")</f>
        <v/>
      </c>
      <c r="K8" s="26" t="str" cm="1">
        <f t="array" aca="1" ref="K8" ca="1">IF(ISNUMBER(SEARCH(INDIRECT(ADDRESS(ROW(K8),MOD(K$1,4)+1)),K$2)),$E8,"")</f>
        <v/>
      </c>
      <c r="L8" s="26" t="str" cm="1">
        <f t="array" aca="1" ref="L8" ca="1">IF(ISNUMBER(SEARCH(INDIRECT(ADDRESS(ROW(L8),MOD(L$1,4)+1)),L$2)),$E8,"")</f>
        <v/>
      </c>
      <c r="M8" s="26" t="str" cm="1">
        <f t="array" aca="1" ref="M8" ca="1">IF(ISNUMBER(SEARCH(INDIRECT(ADDRESS(ROW(M8),MOD(M$1,4)+1)),M$2)),$E8,"")</f>
        <v/>
      </c>
      <c r="N8" s="26" t="str" cm="1">
        <f t="array" aca="1" ref="N8" ca="1">IF(ISNUMBER(SEARCH(INDIRECT(ADDRESS(ROW(N8),MOD(N$1,4)+1)),N$2)),$E8,"")</f>
        <v/>
      </c>
      <c r="O8" s="26" t="str" cm="1">
        <f t="array" aca="1" ref="O8" ca="1">IF(ISNUMBER(SEARCH(INDIRECT(ADDRESS(ROW(O8),MOD(O$1,4)+1)),O$2)),$E8,"")</f>
        <v/>
      </c>
      <c r="P8" s="26" t="str" cm="1">
        <f t="array" aca="1" ref="P8" ca="1">IF(ISNUMBER(SEARCH(INDIRECT(ADDRESS(ROW(P8),MOD(P$1,4)+1)),P$2)),$E8,"")</f>
        <v/>
      </c>
      <c r="Q8" s="26" cm="1">
        <f t="array" aca="1" ref="Q8" ca="1">IF(ISNUMBER(SEARCH(INDIRECT(ADDRESS(ROW(Q8),MOD(Q$1,4)+1)),Q$2)),$E8,"")</f>
        <v>4</v>
      </c>
      <c r="R8" s="26" t="str" cm="1">
        <f t="array" aca="1" ref="R8" ca="1">IF(ISNUMBER(SEARCH(INDIRECT(ADDRESS(ROW(R8),MOD(R$1,4)+1)),R$2)),$E8,"")</f>
        <v/>
      </c>
      <c r="S8" s="26" t="str" cm="1">
        <f t="array" aca="1" ref="S8" ca="1">IF(ISNUMBER(SEARCH(INDIRECT(ADDRESS(ROW(S8),MOD(S$1,4)+1)),S$2)),$E8,"")</f>
        <v/>
      </c>
      <c r="T8" s="26" t="str" cm="1">
        <f t="array" aca="1" ref="T8" ca="1">IF(ISNUMBER(SEARCH(INDIRECT(ADDRESS(ROW(T8),MOD(T$1,4)+1)),T$2)),$E8,"")</f>
        <v/>
      </c>
      <c r="U8" s="26" t="str" cm="1">
        <f t="array" aca="1" ref="U8" ca="1">IF(ISNUMBER(SEARCH(INDIRECT(ADDRESS(ROW(U8),MOD(U$1,4)+1)),U$2)),$E8,"")</f>
        <v/>
      </c>
      <c r="V8" s="26" t="str" cm="1">
        <f t="array" aca="1" ref="V8" ca="1">IF(ISNUMBER(SEARCH(INDIRECT(ADDRESS(ROW(V8),MOD(V$1,4)+1)),V$2)),$E8,"")</f>
        <v/>
      </c>
      <c r="W8" s="26" t="str" cm="1">
        <f t="array" aca="1" ref="W8" ca="1">IF(ISNUMBER(SEARCH(INDIRECT(ADDRESS(ROW(W8),MOD(W$1,4)+1)),W$2)),$E8,"")</f>
        <v/>
      </c>
      <c r="X8" s="26" t="str" cm="1">
        <f t="array" aca="1" ref="X8" ca="1">IF(ISNUMBER(SEARCH(INDIRECT(ADDRESS(ROW(X8),MOD(X$1,4)+1)),X$2)),$E8,"")</f>
        <v/>
      </c>
      <c r="Y8" s="26" t="str" cm="1">
        <f t="array" aca="1" ref="Y8" ca="1">IF(ISNUMBER(SEARCH(INDIRECT(ADDRESS(ROW(Y8),MOD(Y$1,4)+1)),Y$2)),$E8,"")</f>
        <v/>
      </c>
      <c r="Z8" s="26" t="str" cm="1">
        <f t="array" aca="1" ref="Z8" ca="1">IF(ISNUMBER(SEARCH(INDIRECT(ADDRESS(ROW(Z8),MOD(Z$1,4)+1)),Z$2)),$E8,"")</f>
        <v/>
      </c>
      <c r="AA8" s="26" t="str" cm="1">
        <f t="array" aca="1" ref="AA8" ca="1">IF(ISNUMBER(SEARCH(INDIRECT(ADDRESS(ROW(AA8),MOD(AA$1,4)+1)),AA$2)),$E8,"")</f>
        <v/>
      </c>
      <c r="AB8" s="26" t="str" cm="1">
        <f t="array" aca="1" ref="AB8" ca="1">IF(ISNUMBER(SEARCH(INDIRECT(ADDRESS(ROW(AB8),MOD(AB$1,4)+1)),AB$2)),$E8,"")</f>
        <v/>
      </c>
      <c r="AC8" s="26" t="str" cm="1">
        <f t="array" aca="1" ref="AC8" ca="1">IF(ISNUMBER(SEARCH(INDIRECT(ADDRESS(ROW(AC8),MOD(AC$1,4)+1)),AC$2)),$E8,"")</f>
        <v/>
      </c>
      <c r="AD8" s="26" t="str" cm="1">
        <f t="array" aca="1" ref="AD8" ca="1">IF(ISNUMBER(SEARCH(INDIRECT(ADDRESS(ROW(AD8),MOD(AD$1,4)+1)),AD$2)),$E8,"")</f>
        <v/>
      </c>
      <c r="AE8" s="26" t="str" cm="1">
        <f t="array" aca="1" ref="AE8" ca="1">IF(ISNUMBER(SEARCH(INDIRECT(ADDRESS(ROW(AE8),MOD(AE$1,4)+1)),AE$2)),$E8,"")</f>
        <v/>
      </c>
      <c r="AF8" s="26" t="str" cm="1">
        <f t="array" aca="1" ref="AF8" ca="1">IF(ISNUMBER(SEARCH(INDIRECT(ADDRESS(ROW(AF8),MOD(AF$1,4)+1)),AF$2)),$E8,"")</f>
        <v/>
      </c>
      <c r="AG8" s="26" t="str" cm="1">
        <f t="array" aca="1" ref="AG8" ca="1">IF(ISNUMBER(SEARCH(INDIRECT(ADDRESS(ROW(AG8),MOD(AG$1,4)+1)),AG$2)),$E8,"")</f>
        <v/>
      </c>
      <c r="AH8" s="26" t="str" cm="1">
        <f t="array" aca="1" ref="AH8" ca="1">IF(ISNUMBER(SEARCH(INDIRECT(ADDRESS(ROW(AH8),MOD(AH$1,4)+1)),AH$2)),$E8,"")</f>
        <v/>
      </c>
      <c r="AI8" s="26" t="str" cm="1">
        <f t="array" aca="1" ref="AI8" ca="1">IF(ISNUMBER(SEARCH(INDIRECT(ADDRESS(ROW(AI8),MOD(AI$1,4)+1)),AI$2)),$E8,"")</f>
        <v/>
      </c>
      <c r="AJ8" s="26" t="str" cm="1">
        <f t="array" aca="1" ref="AJ8" ca="1">IF(ISNUMBER(SEARCH(INDIRECT(ADDRESS(ROW(AJ8),MOD(AJ$1,4)+1)),AJ$2)),$E8,"")</f>
        <v/>
      </c>
      <c r="AK8" s="26" t="str" cm="1">
        <f t="array" aca="1" ref="AK8" ca="1">IF(ISNUMBER(SEARCH(INDIRECT(ADDRESS(ROW(AK8),MOD(AK$1,4)+1)),AK$2)),$E8,"")</f>
        <v/>
      </c>
      <c r="AL8" s="26" t="str" cm="1">
        <f t="array" aca="1" ref="AL8" ca="1">IF(ISNUMBER(SEARCH(INDIRECT(ADDRESS(ROW(AL8),MOD(AL$1,4)+1)),AL$2)),$E8,"")</f>
        <v/>
      </c>
      <c r="AM8" s="26" t="str" cm="1">
        <f t="array" aca="1" ref="AM8" ca="1">IF(ISNUMBER(SEARCH(INDIRECT(ADDRESS(ROW(AM8),MOD(AM$1,4)+1)),AM$2)),$E8,"")</f>
        <v/>
      </c>
      <c r="AN8" s="26" t="str" cm="1">
        <f t="array" aca="1" ref="AN8" ca="1">IF(ISNUMBER(SEARCH(INDIRECT(ADDRESS(ROW(AN8),MOD(AN$1,4)+1)),AN$2)),$E8,"")</f>
        <v/>
      </c>
      <c r="AO8" s="26" t="str" cm="1">
        <f t="array" aca="1" ref="AO8" ca="1">IF(ISNUMBER(SEARCH(INDIRECT(ADDRESS(ROW(AO8),MOD(AO$1,4)+1)),AO$2)),$E8,"")</f>
        <v/>
      </c>
      <c r="AP8" s="26" t="str" cm="1">
        <f t="array" aca="1" ref="AP8" ca="1">IF(ISNUMBER(SEARCH(INDIRECT(ADDRESS(ROW(AP8),MOD(AP$1,4)+1)),AP$2)),$E8,"")</f>
        <v/>
      </c>
      <c r="AQ8" s="31" t="str" cm="1">
        <f t="array" aca="1" ref="AQ8" ca="1">IF(ISNUMBER(SEARCH(INDIRECT(ADDRESS(ROW(AQ8),MOD(AQ$1,4)+1)),AQ$2)),$E8,"")</f>
        <v/>
      </c>
      <c r="AT8" t="e">
        <f>IF(VLOOKUP($E8,'Formatted NEW'!$B$2:$F$202,5,FALSE)=VLOOKUP($E8,'Formatted NEW'!$B$2:$F$202,8,FALSE),$E8,"")</f>
        <v>#REF!</v>
      </c>
      <c r="AW8" t="e">
        <f>IF(VLOOKUP($E8,'Formatted NEW'!$B$2:$F$202,5,FALSE)=VLOOKUP($E8,'Formatted NEW'!$B$2:$F$202,11,FALSE),$E8,"")</f>
        <v>#REF!</v>
      </c>
      <c r="AZ8" t="e">
        <f>IF(VLOOKUP($E8,'Formatted NEW'!$B$2:$F$202,5,FALSE)=VLOOKUP($E8,'Formatted NEW'!$B$2:$F$202,14,FALSE),$E8,"")</f>
        <v>#REF!</v>
      </c>
      <c r="BC8" t="str">
        <f>VLOOKUP($E8,'Formatted NEW'!$M$2:$T$202,6,FALSE)</f>
        <v>ORTHO_BOTH</v>
      </c>
      <c r="BD8" s="26" t="e">
        <f>VLOOKUP(VLOOKUP(VLOOKUP($E8,'Formatted NEW'!$M$2:$O$202,2,FALSE),'Formatted NEW'!$D$2:$F$202,7,FALSE),'Formatted NEW'!$D$2:$O$202,12,FALSE)</f>
        <v>#REF!</v>
      </c>
      <c r="BE8" t="e">
        <f>VLOOKUP($BD8,'Formatted NEW'!$M$2:$T$202,5,FALSE)</f>
        <v>#REF!</v>
      </c>
      <c r="BF8" s="26" t="e">
        <f t="shared" si="1"/>
        <v>#REF!</v>
      </c>
      <c r="BH8">
        <f>VLOOKUP($E8,'Formatted NEW'!$M$2:$T$202,4,FALSE)</f>
        <v>0</v>
      </c>
      <c r="BI8" s="26" t="e">
        <f>VLOOKUP(VLOOKUP(VLOOKUP($E8,'Formatted NEW'!$M$2:$O$202,2,FALSE),'Formatted NEW'!$D$2:$F$202,10,FALSE),'Formatted NEW'!$D$2:$O$202,12,FALSE)</f>
        <v>#REF!</v>
      </c>
      <c r="BJ8" t="e">
        <f>VLOOKUP($BI8,'Formatted NEW'!$M$2:$T$202,3,FALSE)</f>
        <v>#REF!</v>
      </c>
      <c r="BK8" s="26" t="e">
        <f t="shared" si="2"/>
        <v>#REF!</v>
      </c>
      <c r="BM8" s="37" t="s">
        <v>220</v>
      </c>
      <c r="BO8" s="37" t="s">
        <v>219</v>
      </c>
      <c r="BQ8" s="37" t="s">
        <v>219</v>
      </c>
    </row>
    <row r="9" spans="1:69" ht="15.75" thickBot="1" x14ac:dyDescent="0.3">
      <c r="A9" t="str">
        <f>'Formatted NEW'!Q7</f>
        <v>EMPTY</v>
      </c>
      <c r="B9" t="str">
        <f>'Formatted NEW'!R7</f>
        <v>DIAG_BOTH</v>
      </c>
      <c r="C9" t="str">
        <f>'Formatted NEW'!S7</f>
        <v>ORTHO_BOTH</v>
      </c>
      <c r="D9" t="str">
        <f>'Formatted NEW'!T7</f>
        <v>ORTHO_BOTH</v>
      </c>
      <c r="E9" s="26">
        <f t="shared" si="0"/>
        <v>5</v>
      </c>
      <c r="F9" s="36" t="s">
        <v>224</v>
      </c>
      <c r="H9" s="30" t="str" cm="1">
        <f t="array" aca="1" ref="H9" ca="1">IF(ISNUMBER(SEARCH(INDIRECT(ADDRESS(ROW(H9),MOD(H$1,4)+1)),H$2)),$E9,"")</f>
        <v/>
      </c>
      <c r="I9" s="26" t="str" cm="1">
        <f t="array" aca="1" ref="I9" ca="1">IF(ISNUMBER(SEARCH(INDIRECT(ADDRESS(ROW(I9),MOD(I$1,4)+1)),I$2)),$E9,"")</f>
        <v/>
      </c>
      <c r="J9" s="26" t="str" cm="1">
        <f t="array" aca="1" ref="J9" ca="1">IF(ISNUMBER(SEARCH(INDIRECT(ADDRESS(ROW(J9),MOD(J$1,4)+1)),J$2)),$E9,"")</f>
        <v/>
      </c>
      <c r="K9" s="26" t="str" cm="1">
        <f t="array" aca="1" ref="K9" ca="1">IF(ISNUMBER(SEARCH(INDIRECT(ADDRESS(ROW(K9),MOD(K$1,4)+1)),K$2)),$E9,"")</f>
        <v/>
      </c>
      <c r="L9" s="26" t="str" cm="1">
        <f t="array" aca="1" ref="L9" ca="1">IF(ISNUMBER(SEARCH(INDIRECT(ADDRESS(ROW(L9),MOD(L$1,4)+1)),L$2)),$E9,"")</f>
        <v/>
      </c>
      <c r="M9" s="26" cm="1">
        <f t="array" aca="1" ref="M9" ca="1">IF(ISNUMBER(SEARCH(INDIRECT(ADDRESS(ROW(M9),MOD(M$1,4)+1)),M$2)),$E9,"")</f>
        <v>5</v>
      </c>
      <c r="N9" s="26" t="str" cm="1">
        <f t="array" aca="1" ref="N9" ca="1">IF(ISNUMBER(SEARCH(INDIRECT(ADDRESS(ROW(N9),MOD(N$1,4)+1)),N$2)),$E9,"")</f>
        <v/>
      </c>
      <c r="O9" s="26" t="str" cm="1">
        <f t="array" aca="1" ref="O9" ca="1">IF(ISNUMBER(SEARCH(INDIRECT(ADDRESS(ROW(O9),MOD(O$1,4)+1)),O$2)),$E9,"")</f>
        <v/>
      </c>
      <c r="P9" s="26" t="str" cm="1">
        <f t="array" aca="1" ref="P9" ca="1">IF(ISNUMBER(SEARCH(INDIRECT(ADDRESS(ROW(P9),MOD(P$1,4)+1)),P$2)),$E9,"")</f>
        <v/>
      </c>
      <c r="Q9" s="26" t="str" cm="1">
        <f t="array" aca="1" ref="Q9" ca="1">IF(ISNUMBER(SEARCH(INDIRECT(ADDRESS(ROW(Q9),MOD(Q$1,4)+1)),Q$2)),$E9,"")</f>
        <v/>
      </c>
      <c r="R9" s="26" cm="1">
        <f t="array" aca="1" ref="R9" ca="1">IF(ISNUMBER(SEARCH(INDIRECT(ADDRESS(ROW(R9),MOD(R$1,4)+1)),R$2)),$E9,"")</f>
        <v>5</v>
      </c>
      <c r="S9" s="26" cm="1">
        <f t="array" aca="1" ref="S9" ca="1">IF(ISNUMBER(SEARCH(INDIRECT(ADDRESS(ROW(S9),MOD(S$1,4)+1)),S$2)),$E9,"")</f>
        <v>5</v>
      </c>
      <c r="T9" s="26" t="str" cm="1">
        <f t="array" aca="1" ref="T9" ca="1">IF(ISNUMBER(SEARCH(INDIRECT(ADDRESS(ROW(T9),MOD(T$1,4)+1)),T$2)),$E9,"")</f>
        <v/>
      </c>
      <c r="U9" s="26" t="str" cm="1">
        <f t="array" aca="1" ref="U9" ca="1">IF(ISNUMBER(SEARCH(INDIRECT(ADDRESS(ROW(U9),MOD(U$1,4)+1)),U$2)),$E9,"")</f>
        <v/>
      </c>
      <c r="V9" s="26" t="str" cm="1">
        <f t="array" aca="1" ref="V9" ca="1">IF(ISNUMBER(SEARCH(INDIRECT(ADDRESS(ROW(V9),MOD(V$1,4)+1)),V$2)),$E9,"")</f>
        <v/>
      </c>
      <c r="W9" s="26" t="str" cm="1">
        <f t="array" aca="1" ref="W9" ca="1">IF(ISNUMBER(SEARCH(INDIRECT(ADDRESS(ROW(W9),MOD(W$1,4)+1)),W$2)),$E9,"")</f>
        <v/>
      </c>
      <c r="X9" s="26" t="str" cm="1">
        <f t="array" aca="1" ref="X9" ca="1">IF(ISNUMBER(SEARCH(INDIRECT(ADDRESS(ROW(X9),MOD(X$1,4)+1)),X$2)),$E9,"")</f>
        <v/>
      </c>
      <c r="Y9" s="26" t="str" cm="1">
        <f t="array" aca="1" ref="Y9" ca="1">IF(ISNUMBER(SEARCH(INDIRECT(ADDRESS(ROW(Y9),MOD(Y$1,4)+1)),Y$2)),$E9,"")</f>
        <v/>
      </c>
      <c r="Z9" s="26" t="str" cm="1">
        <f t="array" aca="1" ref="Z9" ca="1">IF(ISNUMBER(SEARCH(INDIRECT(ADDRESS(ROW(Z9),MOD(Z$1,4)+1)),Z$2)),$E9,"")</f>
        <v/>
      </c>
      <c r="AA9" s="26" t="str" cm="1">
        <f t="array" aca="1" ref="AA9" ca="1">IF(ISNUMBER(SEARCH(INDIRECT(ADDRESS(ROW(AA9),MOD(AA$1,4)+1)),AA$2)),$E9,"")</f>
        <v/>
      </c>
      <c r="AB9" s="26" t="str" cm="1">
        <f t="array" aca="1" ref="AB9" ca="1">IF(ISNUMBER(SEARCH(INDIRECT(ADDRESS(ROW(AB9),MOD(AB$1,4)+1)),AB$2)),$E9,"")</f>
        <v/>
      </c>
      <c r="AC9" s="26" t="str" cm="1">
        <f t="array" aca="1" ref="AC9" ca="1">IF(ISNUMBER(SEARCH(INDIRECT(ADDRESS(ROW(AC9),MOD(AC$1,4)+1)),AC$2)),$E9,"")</f>
        <v/>
      </c>
      <c r="AD9" s="26" t="str" cm="1">
        <f t="array" aca="1" ref="AD9" ca="1">IF(ISNUMBER(SEARCH(INDIRECT(ADDRESS(ROW(AD9),MOD(AD$1,4)+1)),AD$2)),$E9,"")</f>
        <v/>
      </c>
      <c r="AE9" s="26" t="str" cm="1">
        <f t="array" aca="1" ref="AE9" ca="1">IF(ISNUMBER(SEARCH(INDIRECT(ADDRESS(ROW(AE9),MOD(AE$1,4)+1)),AE$2)),$E9,"")</f>
        <v/>
      </c>
      <c r="AF9" s="26" t="str" cm="1">
        <f t="array" aca="1" ref="AF9" ca="1">IF(ISNUMBER(SEARCH(INDIRECT(ADDRESS(ROW(AF9),MOD(AF$1,4)+1)),AF$2)),$E9,"")</f>
        <v/>
      </c>
      <c r="AG9" s="26" t="str" cm="1">
        <f t="array" aca="1" ref="AG9" ca="1">IF(ISNUMBER(SEARCH(INDIRECT(ADDRESS(ROW(AG9),MOD(AG$1,4)+1)),AG$2)),$E9,"")</f>
        <v/>
      </c>
      <c r="AH9" s="26" t="str" cm="1">
        <f t="array" aca="1" ref="AH9" ca="1">IF(ISNUMBER(SEARCH(INDIRECT(ADDRESS(ROW(AH9),MOD(AH$1,4)+1)),AH$2)),$E9,"")</f>
        <v/>
      </c>
      <c r="AI9" s="26" t="str" cm="1">
        <f t="array" aca="1" ref="AI9" ca="1">IF(ISNUMBER(SEARCH(INDIRECT(ADDRESS(ROW(AI9),MOD(AI$1,4)+1)),AI$2)),$E9,"")</f>
        <v/>
      </c>
      <c r="AJ9" s="26" t="str" cm="1">
        <f t="array" aca="1" ref="AJ9" ca="1">IF(ISNUMBER(SEARCH(INDIRECT(ADDRESS(ROW(AJ9),MOD(AJ$1,4)+1)),AJ$2)),$E9,"")</f>
        <v/>
      </c>
      <c r="AK9" s="26" t="str" cm="1">
        <f t="array" aca="1" ref="AK9" ca="1">IF(ISNUMBER(SEARCH(INDIRECT(ADDRESS(ROW(AK9),MOD(AK$1,4)+1)),AK$2)),$E9,"")</f>
        <v/>
      </c>
      <c r="AL9" s="26" t="str" cm="1">
        <f t="array" aca="1" ref="AL9" ca="1">IF(ISNUMBER(SEARCH(INDIRECT(ADDRESS(ROW(AL9),MOD(AL$1,4)+1)),AL$2)),$E9,"")</f>
        <v/>
      </c>
      <c r="AM9" s="26" t="str" cm="1">
        <f t="array" aca="1" ref="AM9" ca="1">IF(ISNUMBER(SEARCH(INDIRECT(ADDRESS(ROW(AM9),MOD(AM$1,4)+1)),AM$2)),$E9,"")</f>
        <v/>
      </c>
      <c r="AN9" s="26" t="str" cm="1">
        <f t="array" aca="1" ref="AN9" ca="1">IF(ISNUMBER(SEARCH(INDIRECT(ADDRESS(ROW(AN9),MOD(AN$1,4)+1)),AN$2)),$E9,"")</f>
        <v/>
      </c>
      <c r="AO9" s="26" t="str" cm="1">
        <f t="array" aca="1" ref="AO9" ca="1">IF(ISNUMBER(SEARCH(INDIRECT(ADDRESS(ROW(AO9),MOD(AO$1,4)+1)),AO$2)),$E9,"")</f>
        <v/>
      </c>
      <c r="AP9" s="26" t="str" cm="1">
        <f t="array" aca="1" ref="AP9" ca="1">IF(ISNUMBER(SEARCH(INDIRECT(ADDRESS(ROW(AP9),MOD(AP$1,4)+1)),AP$2)),$E9,"")</f>
        <v/>
      </c>
      <c r="AQ9" s="31" t="str" cm="1">
        <f t="array" aca="1" ref="AQ9" ca="1">IF(ISNUMBER(SEARCH(INDIRECT(ADDRESS(ROW(AQ9),MOD(AQ$1,4)+1)),AQ$2)),$E9,"")</f>
        <v/>
      </c>
      <c r="AT9" t="e">
        <f>IF(VLOOKUP($E9,'Formatted NEW'!$B$2:$F$202,5,FALSE)=VLOOKUP($E9,'Formatted NEW'!$B$2:$F$202,8,FALSE),$E9,"")</f>
        <v>#REF!</v>
      </c>
      <c r="AW9" t="e">
        <f>IF(VLOOKUP($E9,'Formatted NEW'!$B$2:$F$202,5,FALSE)=VLOOKUP($E9,'Formatted NEW'!$B$2:$F$202,11,FALSE),$E9,"")</f>
        <v>#REF!</v>
      </c>
      <c r="AZ9" t="e">
        <f>IF(VLOOKUP($E9,'Formatted NEW'!$B$2:$F$202,5,FALSE)=VLOOKUP($E9,'Formatted NEW'!$B$2:$F$202,14,FALSE),$E9,"")</f>
        <v>#REF!</v>
      </c>
      <c r="BC9" t="str">
        <f>VLOOKUP($E9,'Formatted NEW'!$M$2:$T$202,6,FALSE)</f>
        <v>DIAG_BOTH</v>
      </c>
      <c r="BD9" s="26" t="e">
        <f>VLOOKUP(VLOOKUP(VLOOKUP($E9,'Formatted NEW'!$M$2:$O$202,2,FALSE),'Formatted NEW'!$D$2:$F$202,7,FALSE),'Formatted NEW'!$D$2:$O$202,12,FALSE)</f>
        <v>#REF!</v>
      </c>
      <c r="BE9" t="e">
        <f>VLOOKUP($BD9,'Formatted NEW'!$M$2:$T$202,5,FALSE)</f>
        <v>#REF!</v>
      </c>
      <c r="BF9" s="26" t="e">
        <f t="shared" si="1"/>
        <v>#REF!</v>
      </c>
      <c r="BH9">
        <f>VLOOKUP($E9,'Formatted NEW'!$M$2:$T$202,4,FALSE)</f>
        <v>0</v>
      </c>
      <c r="BI9" s="26" t="e">
        <f>VLOOKUP(VLOOKUP(VLOOKUP($E9,'Formatted NEW'!$M$2:$O$202,2,FALSE),'Formatted NEW'!$D$2:$F$202,10,FALSE),'Formatted NEW'!$D$2:$O$202,12,FALSE)</f>
        <v>#REF!</v>
      </c>
      <c r="BJ9" t="e">
        <f>VLOOKUP($BI9,'Formatted NEW'!$M$2:$T$202,3,FALSE)</f>
        <v>#REF!</v>
      </c>
      <c r="BK9" s="26" t="e">
        <f t="shared" si="2"/>
        <v>#REF!</v>
      </c>
      <c r="BM9" s="37" t="s">
        <v>221</v>
      </c>
      <c r="BO9" s="37" t="s">
        <v>221</v>
      </c>
      <c r="BQ9" s="37" t="s">
        <v>222</v>
      </c>
    </row>
    <row r="10" spans="1:69" x14ac:dyDescent="0.25">
      <c r="A10" t="str">
        <f>'Formatted NEW'!Q8</f>
        <v>DIAG_BOTH</v>
      </c>
      <c r="B10" t="str">
        <f>'Formatted NEW'!R8</f>
        <v>ORTHO_BOTH</v>
      </c>
      <c r="C10" t="str">
        <f>'Formatted NEW'!S8</f>
        <v>EMPTY</v>
      </c>
      <c r="D10" t="str">
        <f>'Formatted NEW'!T8</f>
        <v>ORTHO_BOTH</v>
      </c>
      <c r="E10" s="26">
        <f t="shared" si="0"/>
        <v>6</v>
      </c>
      <c r="H10" s="30" t="str" cm="1">
        <f t="array" aca="1" ref="H10" ca="1">IF(ISNUMBER(SEARCH(INDIRECT(ADDRESS(ROW(H10),MOD(H$1,4)+1)),H$2)),$E10,"")</f>
        <v/>
      </c>
      <c r="I10" s="26" t="str" cm="1">
        <f t="array" aca="1" ref="I10" ca="1">IF(ISNUMBER(SEARCH(INDIRECT(ADDRESS(ROW(I10),MOD(I$1,4)+1)),I$2)),$E10,"")</f>
        <v/>
      </c>
      <c r="J10" s="26" t="str" cm="1">
        <f t="array" aca="1" ref="J10" ca="1">IF(ISNUMBER(SEARCH(INDIRECT(ADDRESS(ROW(J10),MOD(J$1,4)+1)),J$2)),$E10,"")</f>
        <v/>
      </c>
      <c r="K10" s="26" t="str" cm="1">
        <f t="array" aca="1" ref="K10" ca="1">IF(ISNUMBER(SEARCH(INDIRECT(ADDRESS(ROW(K10),MOD(K$1,4)+1)),K$2)),$E10,"")</f>
        <v/>
      </c>
      <c r="L10" s="26" cm="1">
        <f t="array" aca="1" ref="L10" ca="1">IF(ISNUMBER(SEARCH(INDIRECT(ADDRESS(ROW(L10),MOD(L$1,4)+1)),L$2)),$E10,"")</f>
        <v>6</v>
      </c>
      <c r="M10" s="26" t="str" cm="1">
        <f t="array" aca="1" ref="M10" ca="1">IF(ISNUMBER(SEARCH(INDIRECT(ADDRESS(ROW(M10),MOD(M$1,4)+1)),M$2)),$E10,"")</f>
        <v/>
      </c>
      <c r="N10" s="26" t="str" cm="1">
        <f t="array" aca="1" ref="N10" ca="1">IF(ISNUMBER(SEARCH(INDIRECT(ADDRESS(ROW(N10),MOD(N$1,4)+1)),N$2)),$E10,"")</f>
        <v/>
      </c>
      <c r="O10" s="26" t="str" cm="1">
        <f t="array" aca="1" ref="O10" ca="1">IF(ISNUMBER(SEARCH(INDIRECT(ADDRESS(ROW(O10),MOD(O$1,4)+1)),O$2)),$E10,"")</f>
        <v/>
      </c>
      <c r="P10" s="26" t="str" cm="1">
        <f t="array" aca="1" ref="P10" ca="1">IF(ISNUMBER(SEARCH(INDIRECT(ADDRESS(ROW(P10),MOD(P$1,4)+1)),P$2)),$E10,"")</f>
        <v/>
      </c>
      <c r="Q10" s="26" cm="1">
        <f t="array" aca="1" ref="Q10" ca="1">IF(ISNUMBER(SEARCH(INDIRECT(ADDRESS(ROW(Q10),MOD(Q$1,4)+1)),Q$2)),$E10,"")</f>
        <v>6</v>
      </c>
      <c r="R10" s="26" t="str" cm="1">
        <f t="array" aca="1" ref="R10" ca="1">IF(ISNUMBER(SEARCH(INDIRECT(ADDRESS(ROW(R10),MOD(R$1,4)+1)),R$2)),$E10,"")</f>
        <v/>
      </c>
      <c r="S10" s="26" cm="1">
        <f t="array" aca="1" ref="S10" ca="1">IF(ISNUMBER(SEARCH(INDIRECT(ADDRESS(ROW(S10),MOD(S$1,4)+1)),S$2)),$E10,"")</f>
        <v>6</v>
      </c>
      <c r="T10" s="26" t="str" cm="1">
        <f t="array" aca="1" ref="T10" ca="1">IF(ISNUMBER(SEARCH(INDIRECT(ADDRESS(ROW(T10),MOD(T$1,4)+1)),T$2)),$E10,"")</f>
        <v/>
      </c>
      <c r="U10" s="26" t="str" cm="1">
        <f t="array" aca="1" ref="U10" ca="1">IF(ISNUMBER(SEARCH(INDIRECT(ADDRESS(ROW(U10),MOD(U$1,4)+1)),U$2)),$E10,"")</f>
        <v/>
      </c>
      <c r="V10" s="26" t="str" cm="1">
        <f t="array" aca="1" ref="V10" ca="1">IF(ISNUMBER(SEARCH(INDIRECT(ADDRESS(ROW(V10),MOD(V$1,4)+1)),V$2)),$E10,"")</f>
        <v/>
      </c>
      <c r="W10" s="26" t="str" cm="1">
        <f t="array" aca="1" ref="W10" ca="1">IF(ISNUMBER(SEARCH(INDIRECT(ADDRESS(ROW(W10),MOD(W$1,4)+1)),W$2)),$E10,"")</f>
        <v/>
      </c>
      <c r="X10" s="26" t="str" cm="1">
        <f t="array" aca="1" ref="X10" ca="1">IF(ISNUMBER(SEARCH(INDIRECT(ADDRESS(ROW(X10),MOD(X$1,4)+1)),X$2)),$E10,"")</f>
        <v/>
      </c>
      <c r="Y10" s="26" t="str" cm="1">
        <f t="array" aca="1" ref="Y10" ca="1">IF(ISNUMBER(SEARCH(INDIRECT(ADDRESS(ROW(Y10),MOD(Y$1,4)+1)),Y$2)),$E10,"")</f>
        <v/>
      </c>
      <c r="Z10" s="26" t="str" cm="1">
        <f t="array" aca="1" ref="Z10" ca="1">IF(ISNUMBER(SEARCH(INDIRECT(ADDRESS(ROW(Z10),MOD(Z$1,4)+1)),Z$2)),$E10,"")</f>
        <v/>
      </c>
      <c r="AA10" s="26" t="str" cm="1">
        <f t="array" aca="1" ref="AA10" ca="1">IF(ISNUMBER(SEARCH(INDIRECT(ADDRESS(ROW(AA10),MOD(AA$1,4)+1)),AA$2)),$E10,"")</f>
        <v/>
      </c>
      <c r="AB10" s="26" t="str" cm="1">
        <f t="array" aca="1" ref="AB10" ca="1">IF(ISNUMBER(SEARCH(INDIRECT(ADDRESS(ROW(AB10),MOD(AB$1,4)+1)),AB$2)),$E10,"")</f>
        <v/>
      </c>
      <c r="AC10" s="26" t="str" cm="1">
        <f t="array" aca="1" ref="AC10" ca="1">IF(ISNUMBER(SEARCH(INDIRECT(ADDRESS(ROW(AC10),MOD(AC$1,4)+1)),AC$2)),$E10,"")</f>
        <v/>
      </c>
      <c r="AD10" s="26" t="str" cm="1">
        <f t="array" aca="1" ref="AD10" ca="1">IF(ISNUMBER(SEARCH(INDIRECT(ADDRESS(ROW(AD10),MOD(AD$1,4)+1)),AD$2)),$E10,"")</f>
        <v/>
      </c>
      <c r="AE10" s="26" t="str" cm="1">
        <f t="array" aca="1" ref="AE10" ca="1">IF(ISNUMBER(SEARCH(INDIRECT(ADDRESS(ROW(AE10),MOD(AE$1,4)+1)),AE$2)),$E10,"")</f>
        <v/>
      </c>
      <c r="AF10" s="26" t="str" cm="1">
        <f t="array" aca="1" ref="AF10" ca="1">IF(ISNUMBER(SEARCH(INDIRECT(ADDRESS(ROW(AF10),MOD(AF$1,4)+1)),AF$2)),$E10,"")</f>
        <v/>
      </c>
      <c r="AG10" s="26" t="str" cm="1">
        <f t="array" aca="1" ref="AG10" ca="1">IF(ISNUMBER(SEARCH(INDIRECT(ADDRESS(ROW(AG10),MOD(AG$1,4)+1)),AG$2)),$E10,"")</f>
        <v/>
      </c>
      <c r="AH10" s="26" t="str" cm="1">
        <f t="array" aca="1" ref="AH10" ca="1">IF(ISNUMBER(SEARCH(INDIRECT(ADDRESS(ROW(AH10),MOD(AH$1,4)+1)),AH$2)),$E10,"")</f>
        <v/>
      </c>
      <c r="AI10" s="26" t="str" cm="1">
        <f t="array" aca="1" ref="AI10" ca="1">IF(ISNUMBER(SEARCH(INDIRECT(ADDRESS(ROW(AI10),MOD(AI$1,4)+1)),AI$2)),$E10,"")</f>
        <v/>
      </c>
      <c r="AJ10" s="26" t="str" cm="1">
        <f t="array" aca="1" ref="AJ10" ca="1">IF(ISNUMBER(SEARCH(INDIRECT(ADDRESS(ROW(AJ10),MOD(AJ$1,4)+1)),AJ$2)),$E10,"")</f>
        <v/>
      </c>
      <c r="AK10" s="26" t="str" cm="1">
        <f t="array" aca="1" ref="AK10" ca="1">IF(ISNUMBER(SEARCH(INDIRECT(ADDRESS(ROW(AK10),MOD(AK$1,4)+1)),AK$2)),$E10,"")</f>
        <v/>
      </c>
      <c r="AL10" s="26" t="str" cm="1">
        <f t="array" aca="1" ref="AL10" ca="1">IF(ISNUMBER(SEARCH(INDIRECT(ADDRESS(ROW(AL10),MOD(AL$1,4)+1)),AL$2)),$E10,"")</f>
        <v/>
      </c>
      <c r="AM10" s="26" t="str" cm="1">
        <f t="array" aca="1" ref="AM10" ca="1">IF(ISNUMBER(SEARCH(INDIRECT(ADDRESS(ROW(AM10),MOD(AM$1,4)+1)),AM$2)),$E10,"")</f>
        <v/>
      </c>
      <c r="AN10" s="26" t="str" cm="1">
        <f t="array" aca="1" ref="AN10" ca="1">IF(ISNUMBER(SEARCH(INDIRECT(ADDRESS(ROW(AN10),MOD(AN$1,4)+1)),AN$2)),$E10,"")</f>
        <v/>
      </c>
      <c r="AO10" s="26" t="str" cm="1">
        <f t="array" aca="1" ref="AO10" ca="1">IF(ISNUMBER(SEARCH(INDIRECT(ADDRESS(ROW(AO10),MOD(AO$1,4)+1)),AO$2)),$E10,"")</f>
        <v/>
      </c>
      <c r="AP10" s="26" t="str" cm="1">
        <f t="array" aca="1" ref="AP10" ca="1">IF(ISNUMBER(SEARCH(INDIRECT(ADDRESS(ROW(AP10),MOD(AP$1,4)+1)),AP$2)),$E10,"")</f>
        <v/>
      </c>
      <c r="AQ10" s="31" t="str" cm="1">
        <f t="array" aca="1" ref="AQ10" ca="1">IF(ISNUMBER(SEARCH(INDIRECT(ADDRESS(ROW(AQ10),MOD(AQ$1,4)+1)),AQ$2)),$E10,"")</f>
        <v/>
      </c>
      <c r="AT10" t="e">
        <f>IF(VLOOKUP($E10,'Formatted NEW'!$B$2:$F$202,5,FALSE)=VLOOKUP($E10,'Formatted NEW'!$B$2:$F$202,8,FALSE),$E10,"")</f>
        <v>#REF!</v>
      </c>
      <c r="AW10" t="e">
        <f>IF(VLOOKUP($E10,'Formatted NEW'!$B$2:$F$202,5,FALSE)=VLOOKUP($E10,'Formatted NEW'!$B$2:$F$202,11,FALSE),$E10,"")</f>
        <v>#REF!</v>
      </c>
      <c r="AZ10" t="e">
        <f>IF(VLOOKUP($E10,'Formatted NEW'!$B$2:$F$202,5,FALSE)=VLOOKUP($E10,'Formatted NEW'!$B$2:$F$202,14,FALSE),$E10,"")</f>
        <v>#REF!</v>
      </c>
      <c r="BC10" t="str">
        <f>VLOOKUP($E10,'Formatted NEW'!$M$2:$T$202,6,FALSE)</f>
        <v>ORTHO_BOTH</v>
      </c>
      <c r="BD10" s="26" t="e">
        <f>VLOOKUP(VLOOKUP(VLOOKUP($E10,'Formatted NEW'!$M$2:$O$202,2,FALSE),'Formatted NEW'!$D$2:$F$202,7,FALSE),'Formatted NEW'!$D$2:$O$202,12,FALSE)</f>
        <v>#REF!</v>
      </c>
      <c r="BE10" t="e">
        <f>VLOOKUP($BD10,'Formatted NEW'!$M$2:$T$202,5,FALSE)</f>
        <v>#REF!</v>
      </c>
      <c r="BF10" s="26" t="e">
        <f t="shared" si="1"/>
        <v>#REF!</v>
      </c>
      <c r="BH10">
        <f>VLOOKUP($E10,'Formatted NEW'!$M$2:$T$202,4,FALSE)</f>
        <v>0</v>
      </c>
      <c r="BI10" s="26" t="e">
        <f>VLOOKUP(VLOOKUP(VLOOKUP($E10,'Formatted NEW'!$M$2:$O$202,2,FALSE),'Formatted NEW'!$D$2:$F$202,10,FALSE),'Formatted NEW'!$D$2:$O$202,12,FALSE)</f>
        <v>#REF!</v>
      </c>
      <c r="BJ10" t="e">
        <f>VLOOKUP($BI10,'Formatted NEW'!$M$2:$T$202,3,FALSE)</f>
        <v>#REF!</v>
      </c>
      <c r="BK10" s="26" t="e">
        <f t="shared" si="2"/>
        <v>#REF!</v>
      </c>
      <c r="BM10" s="37" t="s">
        <v>222</v>
      </c>
      <c r="BO10" s="37" t="s">
        <v>222</v>
      </c>
      <c r="BQ10" s="37" t="s">
        <v>221</v>
      </c>
    </row>
    <row r="11" spans="1:69" x14ac:dyDescent="0.25">
      <c r="A11" t="str">
        <f>'Formatted NEW'!Q9</f>
        <v>DIAG_BOTH</v>
      </c>
      <c r="B11" t="str">
        <f>'Formatted NEW'!R9</f>
        <v>DIAG_BOTH</v>
      </c>
      <c r="C11" t="str">
        <f>'Formatted NEW'!S9</f>
        <v>DIAG_BOTH</v>
      </c>
      <c r="D11" t="str">
        <f>'Formatted NEW'!T9</f>
        <v>DIAG_BOTH</v>
      </c>
      <c r="E11" s="26">
        <f t="shared" si="0"/>
        <v>7</v>
      </c>
      <c r="H11" s="30" t="str" cm="1">
        <f t="array" aca="1" ref="H11" ca="1">IF(ISNUMBER(SEARCH(INDIRECT(ADDRESS(ROW(H11),MOD(H$1,4)+1)),H$2)),$E11,"")</f>
        <v/>
      </c>
      <c r="I11" s="26" t="str" cm="1">
        <f t="array" aca="1" ref="I11" ca="1">IF(ISNUMBER(SEARCH(INDIRECT(ADDRESS(ROW(I11),MOD(I$1,4)+1)),I$2)),$E11,"")</f>
        <v/>
      </c>
      <c r="J11" s="26" t="str" cm="1">
        <f t="array" aca="1" ref="J11" ca="1">IF(ISNUMBER(SEARCH(INDIRECT(ADDRESS(ROW(J11),MOD(J$1,4)+1)),J$2)),$E11,"")</f>
        <v/>
      </c>
      <c r="K11" s="26" t="str" cm="1">
        <f t="array" aca="1" ref="K11" ca="1">IF(ISNUMBER(SEARCH(INDIRECT(ADDRESS(ROW(K11),MOD(K$1,4)+1)),K$2)),$E11,"")</f>
        <v/>
      </c>
      <c r="L11" s="26" cm="1">
        <f t="array" aca="1" ref="L11" ca="1">IF(ISNUMBER(SEARCH(INDIRECT(ADDRESS(ROW(L11),MOD(L$1,4)+1)),L$2)),$E11,"")</f>
        <v>7</v>
      </c>
      <c r="M11" s="26" cm="1">
        <f t="array" aca="1" ref="M11" ca="1">IF(ISNUMBER(SEARCH(INDIRECT(ADDRESS(ROW(M11),MOD(M$1,4)+1)),M$2)),$E11,"")</f>
        <v>7</v>
      </c>
      <c r="N11" s="26" cm="1">
        <f t="array" aca="1" ref="N11" ca="1">IF(ISNUMBER(SEARCH(INDIRECT(ADDRESS(ROW(N11),MOD(N$1,4)+1)),N$2)),$E11,"")</f>
        <v>7</v>
      </c>
      <c r="O11" s="26" cm="1">
        <f t="array" aca="1" ref="O11" ca="1">IF(ISNUMBER(SEARCH(INDIRECT(ADDRESS(ROW(O11),MOD(O$1,4)+1)),O$2)),$E11,"")</f>
        <v>7</v>
      </c>
      <c r="P11" s="26" t="str" cm="1">
        <f t="array" aca="1" ref="P11" ca="1">IF(ISNUMBER(SEARCH(INDIRECT(ADDRESS(ROW(P11),MOD(P$1,4)+1)),P$2)),$E11,"")</f>
        <v/>
      </c>
      <c r="Q11" s="26" t="str" cm="1">
        <f t="array" aca="1" ref="Q11" ca="1">IF(ISNUMBER(SEARCH(INDIRECT(ADDRESS(ROW(Q11),MOD(Q$1,4)+1)),Q$2)),$E11,"")</f>
        <v/>
      </c>
      <c r="R11" s="26" t="str" cm="1">
        <f t="array" aca="1" ref="R11" ca="1">IF(ISNUMBER(SEARCH(INDIRECT(ADDRESS(ROW(R11),MOD(R$1,4)+1)),R$2)),$E11,"")</f>
        <v/>
      </c>
      <c r="S11" s="26" t="str" cm="1">
        <f t="array" aca="1" ref="S11" ca="1">IF(ISNUMBER(SEARCH(INDIRECT(ADDRESS(ROW(S11),MOD(S$1,4)+1)),S$2)),$E11,"")</f>
        <v/>
      </c>
      <c r="T11" s="26" t="str" cm="1">
        <f t="array" aca="1" ref="T11" ca="1">IF(ISNUMBER(SEARCH(INDIRECT(ADDRESS(ROW(T11),MOD(T$1,4)+1)),T$2)),$E11,"")</f>
        <v/>
      </c>
      <c r="U11" s="26" t="str" cm="1">
        <f t="array" aca="1" ref="U11" ca="1">IF(ISNUMBER(SEARCH(INDIRECT(ADDRESS(ROW(U11),MOD(U$1,4)+1)),U$2)),$E11,"")</f>
        <v/>
      </c>
      <c r="V11" s="26" t="str" cm="1">
        <f t="array" aca="1" ref="V11" ca="1">IF(ISNUMBER(SEARCH(INDIRECT(ADDRESS(ROW(V11),MOD(V$1,4)+1)),V$2)),$E11,"")</f>
        <v/>
      </c>
      <c r="W11" s="26" t="str" cm="1">
        <f t="array" aca="1" ref="W11" ca="1">IF(ISNUMBER(SEARCH(INDIRECT(ADDRESS(ROW(W11),MOD(W$1,4)+1)),W$2)),$E11,"")</f>
        <v/>
      </c>
      <c r="X11" s="26" t="str" cm="1">
        <f t="array" aca="1" ref="X11" ca="1">IF(ISNUMBER(SEARCH(INDIRECT(ADDRESS(ROW(X11),MOD(X$1,4)+1)),X$2)),$E11,"")</f>
        <v/>
      </c>
      <c r="Y11" s="26" t="str" cm="1">
        <f t="array" aca="1" ref="Y11" ca="1">IF(ISNUMBER(SEARCH(INDIRECT(ADDRESS(ROW(Y11),MOD(Y$1,4)+1)),Y$2)),$E11,"")</f>
        <v/>
      </c>
      <c r="Z11" s="26" t="str" cm="1">
        <f t="array" aca="1" ref="Z11" ca="1">IF(ISNUMBER(SEARCH(INDIRECT(ADDRESS(ROW(Z11),MOD(Z$1,4)+1)),Z$2)),$E11,"")</f>
        <v/>
      </c>
      <c r="AA11" s="26" t="str" cm="1">
        <f t="array" aca="1" ref="AA11" ca="1">IF(ISNUMBER(SEARCH(INDIRECT(ADDRESS(ROW(AA11),MOD(AA$1,4)+1)),AA$2)),$E11,"")</f>
        <v/>
      </c>
      <c r="AB11" s="26" t="str" cm="1">
        <f t="array" aca="1" ref="AB11" ca="1">IF(ISNUMBER(SEARCH(INDIRECT(ADDRESS(ROW(AB11),MOD(AB$1,4)+1)),AB$2)),$E11,"")</f>
        <v/>
      </c>
      <c r="AC11" s="26" t="str" cm="1">
        <f t="array" aca="1" ref="AC11" ca="1">IF(ISNUMBER(SEARCH(INDIRECT(ADDRESS(ROW(AC11),MOD(AC$1,4)+1)),AC$2)),$E11,"")</f>
        <v/>
      </c>
      <c r="AD11" s="26" t="str" cm="1">
        <f t="array" aca="1" ref="AD11" ca="1">IF(ISNUMBER(SEARCH(INDIRECT(ADDRESS(ROW(AD11),MOD(AD$1,4)+1)),AD$2)),$E11,"")</f>
        <v/>
      </c>
      <c r="AE11" s="26" t="str" cm="1">
        <f t="array" aca="1" ref="AE11" ca="1">IF(ISNUMBER(SEARCH(INDIRECT(ADDRESS(ROW(AE11),MOD(AE$1,4)+1)),AE$2)),$E11,"")</f>
        <v/>
      </c>
      <c r="AF11" s="26" t="str" cm="1">
        <f t="array" aca="1" ref="AF11" ca="1">IF(ISNUMBER(SEARCH(INDIRECT(ADDRESS(ROW(AF11),MOD(AF$1,4)+1)),AF$2)),$E11,"")</f>
        <v/>
      </c>
      <c r="AG11" s="26" t="str" cm="1">
        <f t="array" aca="1" ref="AG11" ca="1">IF(ISNUMBER(SEARCH(INDIRECT(ADDRESS(ROW(AG11),MOD(AG$1,4)+1)),AG$2)),$E11,"")</f>
        <v/>
      </c>
      <c r="AH11" s="26" t="str" cm="1">
        <f t="array" aca="1" ref="AH11" ca="1">IF(ISNUMBER(SEARCH(INDIRECT(ADDRESS(ROW(AH11),MOD(AH$1,4)+1)),AH$2)),$E11,"")</f>
        <v/>
      </c>
      <c r="AI11" s="26" t="str" cm="1">
        <f t="array" aca="1" ref="AI11" ca="1">IF(ISNUMBER(SEARCH(INDIRECT(ADDRESS(ROW(AI11),MOD(AI$1,4)+1)),AI$2)),$E11,"")</f>
        <v/>
      </c>
      <c r="AJ11" s="26" t="str" cm="1">
        <f t="array" aca="1" ref="AJ11" ca="1">IF(ISNUMBER(SEARCH(INDIRECT(ADDRESS(ROW(AJ11),MOD(AJ$1,4)+1)),AJ$2)),$E11,"")</f>
        <v/>
      </c>
      <c r="AK11" s="26" t="str" cm="1">
        <f t="array" aca="1" ref="AK11" ca="1">IF(ISNUMBER(SEARCH(INDIRECT(ADDRESS(ROW(AK11),MOD(AK$1,4)+1)),AK$2)),$E11,"")</f>
        <v/>
      </c>
      <c r="AL11" s="26" t="str" cm="1">
        <f t="array" aca="1" ref="AL11" ca="1">IF(ISNUMBER(SEARCH(INDIRECT(ADDRESS(ROW(AL11),MOD(AL$1,4)+1)),AL$2)),$E11,"")</f>
        <v/>
      </c>
      <c r="AM11" s="26" t="str" cm="1">
        <f t="array" aca="1" ref="AM11" ca="1">IF(ISNUMBER(SEARCH(INDIRECT(ADDRESS(ROW(AM11),MOD(AM$1,4)+1)),AM$2)),$E11,"")</f>
        <v/>
      </c>
      <c r="AN11" s="26" t="str" cm="1">
        <f t="array" aca="1" ref="AN11" ca="1">IF(ISNUMBER(SEARCH(INDIRECT(ADDRESS(ROW(AN11),MOD(AN$1,4)+1)),AN$2)),$E11,"")</f>
        <v/>
      </c>
      <c r="AO11" s="26" t="str" cm="1">
        <f t="array" aca="1" ref="AO11" ca="1">IF(ISNUMBER(SEARCH(INDIRECT(ADDRESS(ROW(AO11),MOD(AO$1,4)+1)),AO$2)),$E11,"")</f>
        <v/>
      </c>
      <c r="AP11" s="26" t="str" cm="1">
        <f t="array" aca="1" ref="AP11" ca="1">IF(ISNUMBER(SEARCH(INDIRECT(ADDRESS(ROW(AP11),MOD(AP$1,4)+1)),AP$2)),$E11,"")</f>
        <v/>
      </c>
      <c r="AQ11" s="31" t="str" cm="1">
        <f t="array" aca="1" ref="AQ11" ca="1">IF(ISNUMBER(SEARCH(INDIRECT(ADDRESS(ROW(AQ11),MOD(AQ$1,4)+1)),AQ$2)),$E11,"")</f>
        <v/>
      </c>
      <c r="AT11" t="e">
        <f>IF(VLOOKUP($E11,'Formatted NEW'!$B$2:$F$202,5,FALSE)=VLOOKUP($E11,'Formatted NEW'!$B$2:$F$202,8,FALSE),$E11,"")</f>
        <v>#REF!</v>
      </c>
      <c r="AW11" t="e">
        <f>IF(VLOOKUP($E11,'Formatted NEW'!$B$2:$F$202,5,FALSE)=VLOOKUP($E11,'Formatted NEW'!$B$2:$F$202,11,FALSE),$E11,"")</f>
        <v>#REF!</v>
      </c>
      <c r="AZ11" t="e">
        <f>IF(VLOOKUP($E11,'Formatted NEW'!$B$2:$F$202,5,FALSE)=VLOOKUP($E11,'Formatted NEW'!$B$2:$F$202,14,FALSE),$E11,"")</f>
        <v>#REF!</v>
      </c>
      <c r="BC11" t="str">
        <f>VLOOKUP($E11,'Formatted NEW'!$M$2:$T$202,6,FALSE)</f>
        <v>DIAG_BOTH</v>
      </c>
      <c r="BD11" s="26" t="e">
        <f>VLOOKUP(VLOOKUP(VLOOKUP($E11,'Formatted NEW'!$M$2:$O$202,2,FALSE),'Formatted NEW'!$D$2:$F$202,7,FALSE),'Formatted NEW'!$D$2:$O$202,12,FALSE)</f>
        <v>#REF!</v>
      </c>
      <c r="BE11" t="e">
        <f>VLOOKUP($BD11,'Formatted NEW'!$M$2:$T$202,5,FALSE)</f>
        <v>#REF!</v>
      </c>
      <c r="BF11" s="26" t="e">
        <f t="shared" si="1"/>
        <v>#REF!</v>
      </c>
      <c r="BH11">
        <f>VLOOKUP($E11,'Formatted NEW'!$M$2:$T$202,4,FALSE)</f>
        <v>0</v>
      </c>
      <c r="BI11" s="26" t="e">
        <f>VLOOKUP(VLOOKUP(VLOOKUP($E11,'Formatted NEW'!$M$2:$O$202,2,FALSE),'Formatted NEW'!$D$2:$F$202,10,FALSE),'Formatted NEW'!$D$2:$O$202,12,FALSE)</f>
        <v>#REF!</v>
      </c>
      <c r="BJ11" t="e">
        <f>VLOOKUP($BI11,'Formatted NEW'!$M$2:$T$202,3,FALSE)</f>
        <v>#REF!</v>
      </c>
      <c r="BK11" s="26" t="e">
        <f t="shared" si="2"/>
        <v>#REF!</v>
      </c>
      <c r="BM11" s="37" t="s">
        <v>223</v>
      </c>
      <c r="BO11" s="37" t="s">
        <v>224</v>
      </c>
      <c r="BQ11" s="37" t="s">
        <v>223</v>
      </c>
    </row>
    <row r="12" spans="1:69" ht="15.75" thickBot="1" x14ac:dyDescent="0.3">
      <c r="A12" t="str">
        <f>'Formatted NEW'!Q10</f>
        <v>EMPTY</v>
      </c>
      <c r="B12" t="str">
        <f>'Formatted NEW'!R10</f>
        <v>ORTHO_BOTH</v>
      </c>
      <c r="C12" t="str">
        <f>'Formatted NEW'!S10</f>
        <v>EMPTY</v>
      </c>
      <c r="D12" t="str">
        <f>'Formatted NEW'!T10</f>
        <v>ORTHO_BOTH</v>
      </c>
      <c r="E12" s="26">
        <f t="shared" si="0"/>
        <v>8</v>
      </c>
      <c r="H12" s="30" t="str" cm="1">
        <f t="array" aca="1" ref="H12" ca="1">IF(ISNUMBER(SEARCH(INDIRECT(ADDRESS(ROW(H12),MOD(H$1,4)+1)),H$2)),$E12,"")</f>
        <v/>
      </c>
      <c r="I12" s="26" t="str" cm="1">
        <f t="array" aca="1" ref="I12" ca="1">IF(ISNUMBER(SEARCH(INDIRECT(ADDRESS(ROW(I12),MOD(I$1,4)+1)),I$2)),$E12,"")</f>
        <v/>
      </c>
      <c r="J12" s="26" t="str" cm="1">
        <f t="array" aca="1" ref="J12" ca="1">IF(ISNUMBER(SEARCH(INDIRECT(ADDRESS(ROW(J12),MOD(J$1,4)+1)),J$2)),$E12,"")</f>
        <v/>
      </c>
      <c r="K12" s="26" t="str" cm="1">
        <f t="array" aca="1" ref="K12" ca="1">IF(ISNUMBER(SEARCH(INDIRECT(ADDRESS(ROW(K12),MOD(K$1,4)+1)),K$2)),$E12,"")</f>
        <v/>
      </c>
      <c r="L12" s="26" t="str" cm="1">
        <f t="array" aca="1" ref="L12" ca="1">IF(ISNUMBER(SEARCH(INDIRECT(ADDRESS(ROW(L12),MOD(L$1,4)+1)),L$2)),$E12,"")</f>
        <v/>
      </c>
      <c r="M12" s="26" t="str" cm="1">
        <f t="array" aca="1" ref="M12" ca="1">IF(ISNUMBER(SEARCH(INDIRECT(ADDRESS(ROW(M12),MOD(M$1,4)+1)),M$2)),$E12,"")</f>
        <v/>
      </c>
      <c r="N12" s="26" t="str" cm="1">
        <f t="array" aca="1" ref="N12" ca="1">IF(ISNUMBER(SEARCH(INDIRECT(ADDRESS(ROW(N12),MOD(N$1,4)+1)),N$2)),$E12,"")</f>
        <v/>
      </c>
      <c r="O12" s="26" t="str" cm="1">
        <f t="array" aca="1" ref="O12" ca="1">IF(ISNUMBER(SEARCH(INDIRECT(ADDRESS(ROW(O12),MOD(O$1,4)+1)),O$2)),$E12,"")</f>
        <v/>
      </c>
      <c r="P12" s="26" t="str" cm="1">
        <f t="array" aca="1" ref="P12" ca="1">IF(ISNUMBER(SEARCH(INDIRECT(ADDRESS(ROW(P12),MOD(P$1,4)+1)),P$2)),$E12,"")</f>
        <v/>
      </c>
      <c r="Q12" s="26" cm="1">
        <f t="array" aca="1" ref="Q12" ca="1">IF(ISNUMBER(SEARCH(INDIRECT(ADDRESS(ROW(Q12),MOD(Q$1,4)+1)),Q$2)),$E12,"")</f>
        <v>8</v>
      </c>
      <c r="R12" s="26" t="str" cm="1">
        <f t="array" aca="1" ref="R12" ca="1">IF(ISNUMBER(SEARCH(INDIRECT(ADDRESS(ROW(R12),MOD(R$1,4)+1)),R$2)),$E12,"")</f>
        <v/>
      </c>
      <c r="S12" s="26" cm="1">
        <f t="array" aca="1" ref="S12" ca="1">IF(ISNUMBER(SEARCH(INDIRECT(ADDRESS(ROW(S12),MOD(S$1,4)+1)),S$2)),$E12,"")</f>
        <v>8</v>
      </c>
      <c r="T12" s="26" t="str" cm="1">
        <f t="array" aca="1" ref="T12" ca="1">IF(ISNUMBER(SEARCH(INDIRECT(ADDRESS(ROW(T12),MOD(T$1,4)+1)),T$2)),$E12,"")</f>
        <v/>
      </c>
      <c r="U12" s="26" t="str" cm="1">
        <f t="array" aca="1" ref="U12" ca="1">IF(ISNUMBER(SEARCH(INDIRECT(ADDRESS(ROW(U12),MOD(U$1,4)+1)),U$2)),$E12,"")</f>
        <v/>
      </c>
      <c r="V12" s="26" t="str" cm="1">
        <f t="array" aca="1" ref="V12" ca="1">IF(ISNUMBER(SEARCH(INDIRECT(ADDRESS(ROW(V12),MOD(V$1,4)+1)),V$2)),$E12,"")</f>
        <v/>
      </c>
      <c r="W12" s="26" t="str" cm="1">
        <f t="array" aca="1" ref="W12" ca="1">IF(ISNUMBER(SEARCH(INDIRECT(ADDRESS(ROW(W12),MOD(W$1,4)+1)),W$2)),$E12,"")</f>
        <v/>
      </c>
      <c r="X12" s="26" t="str" cm="1">
        <f t="array" aca="1" ref="X12" ca="1">IF(ISNUMBER(SEARCH(INDIRECT(ADDRESS(ROW(X12),MOD(X$1,4)+1)),X$2)),$E12,"")</f>
        <v/>
      </c>
      <c r="Y12" s="26" t="str" cm="1">
        <f t="array" aca="1" ref="Y12" ca="1">IF(ISNUMBER(SEARCH(INDIRECT(ADDRESS(ROW(Y12),MOD(Y$1,4)+1)),Y$2)),$E12,"")</f>
        <v/>
      </c>
      <c r="Z12" s="26" t="str" cm="1">
        <f t="array" aca="1" ref="Z12" ca="1">IF(ISNUMBER(SEARCH(INDIRECT(ADDRESS(ROW(Z12),MOD(Z$1,4)+1)),Z$2)),$E12,"")</f>
        <v/>
      </c>
      <c r="AA12" s="26" t="str" cm="1">
        <f t="array" aca="1" ref="AA12" ca="1">IF(ISNUMBER(SEARCH(INDIRECT(ADDRESS(ROW(AA12),MOD(AA$1,4)+1)),AA$2)),$E12,"")</f>
        <v/>
      </c>
      <c r="AB12" s="26" t="str" cm="1">
        <f t="array" aca="1" ref="AB12" ca="1">IF(ISNUMBER(SEARCH(INDIRECT(ADDRESS(ROW(AB12),MOD(AB$1,4)+1)),AB$2)),$E12,"")</f>
        <v/>
      </c>
      <c r="AC12" s="26" t="str" cm="1">
        <f t="array" aca="1" ref="AC12" ca="1">IF(ISNUMBER(SEARCH(INDIRECT(ADDRESS(ROW(AC12),MOD(AC$1,4)+1)),AC$2)),$E12,"")</f>
        <v/>
      </c>
      <c r="AD12" s="26" t="str" cm="1">
        <f t="array" aca="1" ref="AD12" ca="1">IF(ISNUMBER(SEARCH(INDIRECT(ADDRESS(ROW(AD12),MOD(AD$1,4)+1)),AD$2)),$E12,"")</f>
        <v/>
      </c>
      <c r="AE12" s="26" t="str" cm="1">
        <f t="array" aca="1" ref="AE12" ca="1">IF(ISNUMBER(SEARCH(INDIRECT(ADDRESS(ROW(AE12),MOD(AE$1,4)+1)),AE$2)),$E12,"")</f>
        <v/>
      </c>
      <c r="AF12" s="26" t="str" cm="1">
        <f t="array" aca="1" ref="AF12" ca="1">IF(ISNUMBER(SEARCH(INDIRECT(ADDRESS(ROW(AF12),MOD(AF$1,4)+1)),AF$2)),$E12,"")</f>
        <v/>
      </c>
      <c r="AG12" s="26" t="str" cm="1">
        <f t="array" aca="1" ref="AG12" ca="1">IF(ISNUMBER(SEARCH(INDIRECT(ADDRESS(ROW(AG12),MOD(AG$1,4)+1)),AG$2)),$E12,"")</f>
        <v/>
      </c>
      <c r="AH12" s="26" t="str" cm="1">
        <f t="array" aca="1" ref="AH12" ca="1">IF(ISNUMBER(SEARCH(INDIRECT(ADDRESS(ROW(AH12),MOD(AH$1,4)+1)),AH$2)),$E12,"")</f>
        <v/>
      </c>
      <c r="AI12" s="26" t="str" cm="1">
        <f t="array" aca="1" ref="AI12" ca="1">IF(ISNUMBER(SEARCH(INDIRECT(ADDRESS(ROW(AI12),MOD(AI$1,4)+1)),AI$2)),$E12,"")</f>
        <v/>
      </c>
      <c r="AJ12" s="26" t="str" cm="1">
        <f t="array" aca="1" ref="AJ12" ca="1">IF(ISNUMBER(SEARCH(INDIRECT(ADDRESS(ROW(AJ12),MOD(AJ$1,4)+1)),AJ$2)),$E12,"")</f>
        <v/>
      </c>
      <c r="AK12" s="26" t="str" cm="1">
        <f t="array" aca="1" ref="AK12" ca="1">IF(ISNUMBER(SEARCH(INDIRECT(ADDRESS(ROW(AK12),MOD(AK$1,4)+1)),AK$2)),$E12,"")</f>
        <v/>
      </c>
      <c r="AL12" s="26" t="str" cm="1">
        <f t="array" aca="1" ref="AL12" ca="1">IF(ISNUMBER(SEARCH(INDIRECT(ADDRESS(ROW(AL12),MOD(AL$1,4)+1)),AL$2)),$E12,"")</f>
        <v/>
      </c>
      <c r="AM12" s="26" t="str" cm="1">
        <f t="array" aca="1" ref="AM12" ca="1">IF(ISNUMBER(SEARCH(INDIRECT(ADDRESS(ROW(AM12),MOD(AM$1,4)+1)),AM$2)),$E12,"")</f>
        <v/>
      </c>
      <c r="AN12" s="26" t="str" cm="1">
        <f t="array" aca="1" ref="AN12" ca="1">IF(ISNUMBER(SEARCH(INDIRECT(ADDRESS(ROW(AN12),MOD(AN$1,4)+1)),AN$2)),$E12,"")</f>
        <v/>
      </c>
      <c r="AO12" s="26" t="str" cm="1">
        <f t="array" aca="1" ref="AO12" ca="1">IF(ISNUMBER(SEARCH(INDIRECT(ADDRESS(ROW(AO12),MOD(AO$1,4)+1)),AO$2)),$E12,"")</f>
        <v/>
      </c>
      <c r="AP12" s="26" t="str" cm="1">
        <f t="array" aca="1" ref="AP12" ca="1">IF(ISNUMBER(SEARCH(INDIRECT(ADDRESS(ROW(AP12),MOD(AP$1,4)+1)),AP$2)),$E12,"")</f>
        <v/>
      </c>
      <c r="AQ12" s="31" t="str" cm="1">
        <f t="array" aca="1" ref="AQ12" ca="1">IF(ISNUMBER(SEARCH(INDIRECT(ADDRESS(ROW(AQ12),MOD(AQ$1,4)+1)),AQ$2)),$E12,"")</f>
        <v/>
      </c>
      <c r="AT12" t="e">
        <f>IF(VLOOKUP($E12,'Formatted NEW'!$B$2:$F$202,5,FALSE)=VLOOKUP($E12,'Formatted NEW'!$B$2:$F$202,8,FALSE),$E12,"")</f>
        <v>#REF!</v>
      </c>
      <c r="AW12" t="e">
        <f>IF(VLOOKUP($E12,'Formatted NEW'!$B$2:$F$202,5,FALSE)=VLOOKUP($E12,'Formatted NEW'!$B$2:$F$202,11,FALSE),$E12,"")</f>
        <v>#REF!</v>
      </c>
      <c r="AZ12" t="e">
        <f>IF(VLOOKUP($E12,'Formatted NEW'!$B$2:$F$202,5,FALSE)=VLOOKUP($E12,'Formatted NEW'!$B$2:$F$202,14,FALSE),$E12,"")</f>
        <v>#REF!</v>
      </c>
      <c r="BC12" t="str">
        <f>VLOOKUP($E12,'Formatted NEW'!$M$2:$T$202,6,FALSE)</f>
        <v>ORTHO_BOTH</v>
      </c>
      <c r="BD12" s="26" t="e">
        <f>VLOOKUP(VLOOKUP(VLOOKUP($E12,'Formatted NEW'!$M$2:$O$202,2,FALSE),'Formatted NEW'!$D$2:$F$202,7,FALSE),'Formatted NEW'!$D$2:$O$202,12,FALSE)</f>
        <v>#REF!</v>
      </c>
      <c r="BE12" t="e">
        <f>VLOOKUP($BD12,'Formatted NEW'!$M$2:$T$202,5,FALSE)</f>
        <v>#REF!</v>
      </c>
      <c r="BF12" s="26" t="e">
        <f t="shared" si="1"/>
        <v>#REF!</v>
      </c>
      <c r="BH12">
        <f>VLOOKUP($E12,'Formatted NEW'!$M$2:$T$202,4,FALSE)</f>
        <v>0</v>
      </c>
      <c r="BI12" s="26" t="e">
        <f>VLOOKUP(VLOOKUP(VLOOKUP($E12,'Formatted NEW'!$M$2:$O$202,2,FALSE),'Formatted NEW'!$D$2:$F$202,10,FALSE),'Formatted NEW'!$D$2:$O$202,12,FALSE)</f>
        <v>#REF!</v>
      </c>
      <c r="BJ12" t="e">
        <f>VLOOKUP($BI12,'Formatted NEW'!$M$2:$T$202,3,FALSE)</f>
        <v>#REF!</v>
      </c>
      <c r="BK12" s="26" t="e">
        <f t="shared" si="2"/>
        <v>#REF!</v>
      </c>
      <c r="BM12" s="36" t="s">
        <v>224</v>
      </c>
      <c r="BO12" s="36" t="s">
        <v>223</v>
      </c>
      <c r="BQ12" s="36" t="s">
        <v>224</v>
      </c>
    </row>
    <row r="13" spans="1:69" x14ac:dyDescent="0.25">
      <c r="A13" t="str">
        <f>'Formatted NEW'!Q11</f>
        <v>EMPTY</v>
      </c>
      <c r="B13" t="str">
        <f>'Formatted NEW'!R11</f>
        <v>ORTHO_BOTH</v>
      </c>
      <c r="C13" t="str">
        <f>'Formatted NEW'!S11</f>
        <v>ORTHO_BOTH</v>
      </c>
      <c r="D13" t="str">
        <f>'Formatted NEW'!T11</f>
        <v>EMPTY</v>
      </c>
      <c r="E13" s="26">
        <f t="shared" si="0"/>
        <v>9</v>
      </c>
      <c r="H13" s="30" t="str" cm="1">
        <f t="array" aca="1" ref="H13" ca="1">IF(ISNUMBER(SEARCH(INDIRECT(ADDRESS(ROW(H13),MOD(H$1,4)+1)),H$2)),$E13,"")</f>
        <v/>
      </c>
      <c r="I13" s="26" t="str" cm="1">
        <f t="array" aca="1" ref="I13" ca="1">IF(ISNUMBER(SEARCH(INDIRECT(ADDRESS(ROW(I13),MOD(I$1,4)+1)),I$2)),$E13,"")</f>
        <v/>
      </c>
      <c r="J13" s="26" t="str" cm="1">
        <f t="array" aca="1" ref="J13" ca="1">IF(ISNUMBER(SEARCH(INDIRECT(ADDRESS(ROW(J13),MOD(J$1,4)+1)),J$2)),$E13,"")</f>
        <v/>
      </c>
      <c r="K13" s="26" t="str" cm="1">
        <f t="array" aca="1" ref="K13" ca="1">IF(ISNUMBER(SEARCH(INDIRECT(ADDRESS(ROW(K13),MOD(K$1,4)+1)),K$2)),$E13,"")</f>
        <v/>
      </c>
      <c r="L13" s="26" t="str" cm="1">
        <f t="array" aca="1" ref="L13" ca="1">IF(ISNUMBER(SEARCH(INDIRECT(ADDRESS(ROW(L13),MOD(L$1,4)+1)),L$2)),$E13,"")</f>
        <v/>
      </c>
      <c r="M13" s="26" t="str" cm="1">
        <f t="array" aca="1" ref="M13" ca="1">IF(ISNUMBER(SEARCH(INDIRECT(ADDRESS(ROW(M13),MOD(M$1,4)+1)),M$2)),$E13,"")</f>
        <v/>
      </c>
      <c r="N13" s="26" t="str" cm="1">
        <f t="array" aca="1" ref="N13" ca="1">IF(ISNUMBER(SEARCH(INDIRECT(ADDRESS(ROW(N13),MOD(N$1,4)+1)),N$2)),$E13,"")</f>
        <v/>
      </c>
      <c r="O13" s="26" t="str" cm="1">
        <f t="array" aca="1" ref="O13" ca="1">IF(ISNUMBER(SEARCH(INDIRECT(ADDRESS(ROW(O13),MOD(O$1,4)+1)),O$2)),$E13,"")</f>
        <v/>
      </c>
      <c r="P13" s="26" t="str" cm="1">
        <f t="array" aca="1" ref="P13" ca="1">IF(ISNUMBER(SEARCH(INDIRECT(ADDRESS(ROW(P13),MOD(P$1,4)+1)),P$2)),$E13,"")</f>
        <v/>
      </c>
      <c r="Q13" s="26" cm="1">
        <f t="array" aca="1" ref="Q13" ca="1">IF(ISNUMBER(SEARCH(INDIRECT(ADDRESS(ROW(Q13),MOD(Q$1,4)+1)),Q$2)),$E13,"")</f>
        <v>9</v>
      </c>
      <c r="R13" s="26" cm="1">
        <f t="array" aca="1" ref="R13" ca="1">IF(ISNUMBER(SEARCH(INDIRECT(ADDRESS(ROW(R13),MOD(R$1,4)+1)),R$2)),$E13,"")</f>
        <v>9</v>
      </c>
      <c r="S13" s="26" t="str" cm="1">
        <f t="array" aca="1" ref="S13" ca="1">IF(ISNUMBER(SEARCH(INDIRECT(ADDRESS(ROW(S13),MOD(S$1,4)+1)),S$2)),$E13,"")</f>
        <v/>
      </c>
      <c r="T13" s="26" t="str" cm="1">
        <f t="array" aca="1" ref="T13" ca="1">IF(ISNUMBER(SEARCH(INDIRECT(ADDRESS(ROW(T13),MOD(T$1,4)+1)),T$2)),$E13,"")</f>
        <v/>
      </c>
      <c r="U13" s="26" t="str" cm="1">
        <f t="array" aca="1" ref="U13" ca="1">IF(ISNUMBER(SEARCH(INDIRECT(ADDRESS(ROW(U13),MOD(U$1,4)+1)),U$2)),$E13,"")</f>
        <v/>
      </c>
      <c r="V13" s="26" t="str" cm="1">
        <f t="array" aca="1" ref="V13" ca="1">IF(ISNUMBER(SEARCH(INDIRECT(ADDRESS(ROW(V13),MOD(V$1,4)+1)),V$2)),$E13,"")</f>
        <v/>
      </c>
      <c r="W13" s="26" t="str" cm="1">
        <f t="array" aca="1" ref="W13" ca="1">IF(ISNUMBER(SEARCH(INDIRECT(ADDRESS(ROW(W13),MOD(W$1,4)+1)),W$2)),$E13,"")</f>
        <v/>
      </c>
      <c r="X13" s="26" t="str" cm="1">
        <f t="array" aca="1" ref="X13" ca="1">IF(ISNUMBER(SEARCH(INDIRECT(ADDRESS(ROW(X13),MOD(X$1,4)+1)),X$2)),$E13,"")</f>
        <v/>
      </c>
      <c r="Y13" s="26" t="str" cm="1">
        <f t="array" aca="1" ref="Y13" ca="1">IF(ISNUMBER(SEARCH(INDIRECT(ADDRESS(ROW(Y13),MOD(Y$1,4)+1)),Y$2)),$E13,"")</f>
        <v/>
      </c>
      <c r="Z13" s="26" t="str" cm="1">
        <f t="array" aca="1" ref="Z13" ca="1">IF(ISNUMBER(SEARCH(INDIRECT(ADDRESS(ROW(Z13),MOD(Z$1,4)+1)),Z$2)),$E13,"")</f>
        <v/>
      </c>
      <c r="AA13" s="26" t="str" cm="1">
        <f t="array" aca="1" ref="AA13" ca="1">IF(ISNUMBER(SEARCH(INDIRECT(ADDRESS(ROW(AA13),MOD(AA$1,4)+1)),AA$2)),$E13,"")</f>
        <v/>
      </c>
      <c r="AB13" s="26" t="str" cm="1">
        <f t="array" aca="1" ref="AB13" ca="1">IF(ISNUMBER(SEARCH(INDIRECT(ADDRESS(ROW(AB13),MOD(AB$1,4)+1)),AB$2)),$E13,"")</f>
        <v/>
      </c>
      <c r="AC13" s="26" t="str" cm="1">
        <f t="array" aca="1" ref="AC13" ca="1">IF(ISNUMBER(SEARCH(INDIRECT(ADDRESS(ROW(AC13),MOD(AC$1,4)+1)),AC$2)),$E13,"")</f>
        <v/>
      </c>
      <c r="AD13" s="26" t="str" cm="1">
        <f t="array" aca="1" ref="AD13" ca="1">IF(ISNUMBER(SEARCH(INDIRECT(ADDRESS(ROW(AD13),MOD(AD$1,4)+1)),AD$2)),$E13,"")</f>
        <v/>
      </c>
      <c r="AE13" s="26" t="str" cm="1">
        <f t="array" aca="1" ref="AE13" ca="1">IF(ISNUMBER(SEARCH(INDIRECT(ADDRESS(ROW(AE13),MOD(AE$1,4)+1)),AE$2)),$E13,"")</f>
        <v/>
      </c>
      <c r="AF13" s="26" t="str" cm="1">
        <f t="array" aca="1" ref="AF13" ca="1">IF(ISNUMBER(SEARCH(INDIRECT(ADDRESS(ROW(AF13),MOD(AF$1,4)+1)),AF$2)),$E13,"")</f>
        <v/>
      </c>
      <c r="AG13" s="26" t="str" cm="1">
        <f t="array" aca="1" ref="AG13" ca="1">IF(ISNUMBER(SEARCH(INDIRECT(ADDRESS(ROW(AG13),MOD(AG$1,4)+1)),AG$2)),$E13,"")</f>
        <v/>
      </c>
      <c r="AH13" s="26" t="str" cm="1">
        <f t="array" aca="1" ref="AH13" ca="1">IF(ISNUMBER(SEARCH(INDIRECT(ADDRESS(ROW(AH13),MOD(AH$1,4)+1)),AH$2)),$E13,"")</f>
        <v/>
      </c>
      <c r="AI13" s="26" t="str" cm="1">
        <f t="array" aca="1" ref="AI13" ca="1">IF(ISNUMBER(SEARCH(INDIRECT(ADDRESS(ROW(AI13),MOD(AI$1,4)+1)),AI$2)),$E13,"")</f>
        <v/>
      </c>
      <c r="AJ13" s="26" t="str" cm="1">
        <f t="array" aca="1" ref="AJ13" ca="1">IF(ISNUMBER(SEARCH(INDIRECT(ADDRESS(ROW(AJ13),MOD(AJ$1,4)+1)),AJ$2)),$E13,"")</f>
        <v/>
      </c>
      <c r="AK13" s="26" t="str" cm="1">
        <f t="array" aca="1" ref="AK13" ca="1">IF(ISNUMBER(SEARCH(INDIRECT(ADDRESS(ROW(AK13),MOD(AK$1,4)+1)),AK$2)),$E13,"")</f>
        <v/>
      </c>
      <c r="AL13" s="26" t="str" cm="1">
        <f t="array" aca="1" ref="AL13" ca="1">IF(ISNUMBER(SEARCH(INDIRECT(ADDRESS(ROW(AL13),MOD(AL$1,4)+1)),AL$2)),$E13,"")</f>
        <v/>
      </c>
      <c r="AM13" s="26" t="str" cm="1">
        <f t="array" aca="1" ref="AM13" ca="1">IF(ISNUMBER(SEARCH(INDIRECT(ADDRESS(ROW(AM13),MOD(AM$1,4)+1)),AM$2)),$E13,"")</f>
        <v/>
      </c>
      <c r="AN13" s="26" t="str" cm="1">
        <f t="array" aca="1" ref="AN13" ca="1">IF(ISNUMBER(SEARCH(INDIRECT(ADDRESS(ROW(AN13),MOD(AN$1,4)+1)),AN$2)),$E13,"")</f>
        <v/>
      </c>
      <c r="AO13" s="26" t="str" cm="1">
        <f t="array" aca="1" ref="AO13" ca="1">IF(ISNUMBER(SEARCH(INDIRECT(ADDRESS(ROW(AO13),MOD(AO$1,4)+1)),AO$2)),$E13,"")</f>
        <v/>
      </c>
      <c r="AP13" s="26" t="str" cm="1">
        <f t="array" aca="1" ref="AP13" ca="1">IF(ISNUMBER(SEARCH(INDIRECT(ADDRESS(ROW(AP13),MOD(AP$1,4)+1)),AP$2)),$E13,"")</f>
        <v/>
      </c>
      <c r="AQ13" s="31" t="str" cm="1">
        <f t="array" aca="1" ref="AQ13" ca="1">IF(ISNUMBER(SEARCH(INDIRECT(ADDRESS(ROW(AQ13),MOD(AQ$1,4)+1)),AQ$2)),$E13,"")</f>
        <v/>
      </c>
      <c r="AT13" t="e">
        <f>IF(VLOOKUP($E13,'Formatted NEW'!$B$2:$F$202,5,FALSE)=VLOOKUP($E13,'Formatted NEW'!$B$2:$F$202,8,FALSE),$E13,"")</f>
        <v>#REF!</v>
      </c>
      <c r="AW13" t="e">
        <f>IF(VLOOKUP($E13,'Formatted NEW'!$B$2:$F$202,5,FALSE)=VLOOKUP($E13,'Formatted NEW'!$B$2:$F$202,11,FALSE),$E13,"")</f>
        <v>#REF!</v>
      </c>
      <c r="AZ13" t="e">
        <f>IF(VLOOKUP($E13,'Formatted NEW'!$B$2:$F$202,5,FALSE)=VLOOKUP($E13,'Formatted NEW'!$B$2:$F$202,14,FALSE),$E13,"")</f>
        <v>#REF!</v>
      </c>
      <c r="BC13" t="str">
        <f>VLOOKUP($E13,'Formatted NEW'!$M$2:$T$202,6,FALSE)</f>
        <v>ORTHO_BOTH</v>
      </c>
      <c r="BD13" s="26" t="e">
        <f>VLOOKUP(VLOOKUP(VLOOKUP($E13,'Formatted NEW'!$M$2:$O$202,2,FALSE),'Formatted NEW'!$D$2:$F$202,7,FALSE),'Formatted NEW'!$D$2:$O$202,12,FALSE)</f>
        <v>#REF!</v>
      </c>
      <c r="BE13" t="e">
        <f>VLOOKUP($BD13,'Formatted NEW'!$M$2:$T$202,5,FALSE)</f>
        <v>#REF!</v>
      </c>
      <c r="BF13" s="26" t="e">
        <f t="shared" si="1"/>
        <v>#REF!</v>
      </c>
      <c r="BH13">
        <f>VLOOKUP($E13,'Formatted NEW'!$M$2:$T$202,4,FALSE)</f>
        <v>0</v>
      </c>
      <c r="BI13" s="26" t="e">
        <f>VLOOKUP(VLOOKUP(VLOOKUP($E13,'Formatted NEW'!$M$2:$O$202,2,FALSE),'Formatted NEW'!$D$2:$F$202,10,FALSE),'Formatted NEW'!$D$2:$O$202,12,FALSE)</f>
        <v>#REF!</v>
      </c>
      <c r="BJ13" t="e">
        <f>VLOOKUP($BI13,'Formatted NEW'!$M$2:$T$202,3,FALSE)</f>
        <v>#REF!</v>
      </c>
      <c r="BK13" s="26" t="e">
        <f t="shared" si="2"/>
        <v>#REF!</v>
      </c>
    </row>
    <row r="14" spans="1:69" x14ac:dyDescent="0.25">
      <c r="A14" t="str">
        <f>'Formatted NEW'!Q12</f>
        <v>DIAG_BOTH</v>
      </c>
      <c r="B14" t="str">
        <f>'Formatted NEW'!R12</f>
        <v>ORTHO_BOTH</v>
      </c>
      <c r="C14" t="str">
        <f>'Formatted NEW'!S12</f>
        <v>ORTHO_BOTH</v>
      </c>
      <c r="D14" t="str">
        <f>'Formatted NEW'!T12</f>
        <v>EMPTY</v>
      </c>
      <c r="E14" s="26">
        <f t="shared" si="0"/>
        <v>10</v>
      </c>
      <c r="H14" s="30" t="str" cm="1">
        <f t="array" aca="1" ref="H14" ca="1">IF(ISNUMBER(SEARCH(INDIRECT(ADDRESS(ROW(H14),MOD(H$1,4)+1)),H$2)),$E14,"")</f>
        <v/>
      </c>
      <c r="I14" s="26" t="str" cm="1">
        <f t="array" aca="1" ref="I14" ca="1">IF(ISNUMBER(SEARCH(INDIRECT(ADDRESS(ROW(I14),MOD(I$1,4)+1)),I$2)),$E14,"")</f>
        <v/>
      </c>
      <c r="J14" s="26" t="str" cm="1">
        <f t="array" aca="1" ref="J14" ca="1">IF(ISNUMBER(SEARCH(INDIRECT(ADDRESS(ROW(J14),MOD(J$1,4)+1)),J$2)),$E14,"")</f>
        <v/>
      </c>
      <c r="K14" s="26" t="str" cm="1">
        <f t="array" aca="1" ref="K14" ca="1">IF(ISNUMBER(SEARCH(INDIRECT(ADDRESS(ROW(K14),MOD(K$1,4)+1)),K$2)),$E14,"")</f>
        <v/>
      </c>
      <c r="L14" s="26" cm="1">
        <f t="array" aca="1" ref="L14" ca="1">IF(ISNUMBER(SEARCH(INDIRECT(ADDRESS(ROW(L14),MOD(L$1,4)+1)),L$2)),$E14,"")</f>
        <v>10</v>
      </c>
      <c r="M14" s="26" t="str" cm="1">
        <f t="array" aca="1" ref="M14" ca="1">IF(ISNUMBER(SEARCH(INDIRECT(ADDRESS(ROW(M14),MOD(M$1,4)+1)),M$2)),$E14,"")</f>
        <v/>
      </c>
      <c r="N14" s="26" t="str" cm="1">
        <f t="array" aca="1" ref="N14" ca="1">IF(ISNUMBER(SEARCH(INDIRECT(ADDRESS(ROW(N14),MOD(N$1,4)+1)),N$2)),$E14,"")</f>
        <v/>
      </c>
      <c r="O14" s="26" t="str" cm="1">
        <f t="array" aca="1" ref="O14" ca="1">IF(ISNUMBER(SEARCH(INDIRECT(ADDRESS(ROW(O14),MOD(O$1,4)+1)),O$2)),$E14,"")</f>
        <v/>
      </c>
      <c r="P14" s="26" t="str" cm="1">
        <f t="array" aca="1" ref="P14" ca="1">IF(ISNUMBER(SEARCH(INDIRECT(ADDRESS(ROW(P14),MOD(P$1,4)+1)),P$2)),$E14,"")</f>
        <v/>
      </c>
      <c r="Q14" s="26" cm="1">
        <f t="array" aca="1" ref="Q14" ca="1">IF(ISNUMBER(SEARCH(INDIRECT(ADDRESS(ROW(Q14),MOD(Q$1,4)+1)),Q$2)),$E14,"")</f>
        <v>10</v>
      </c>
      <c r="R14" s="26" cm="1">
        <f t="array" aca="1" ref="R14" ca="1">IF(ISNUMBER(SEARCH(INDIRECT(ADDRESS(ROW(R14),MOD(R$1,4)+1)),R$2)),$E14,"")</f>
        <v>10</v>
      </c>
      <c r="S14" s="26" t="str" cm="1">
        <f t="array" aca="1" ref="S14" ca="1">IF(ISNUMBER(SEARCH(INDIRECT(ADDRESS(ROW(S14),MOD(S$1,4)+1)),S$2)),$E14,"")</f>
        <v/>
      </c>
      <c r="T14" s="26" t="str" cm="1">
        <f t="array" aca="1" ref="T14" ca="1">IF(ISNUMBER(SEARCH(INDIRECT(ADDRESS(ROW(T14),MOD(T$1,4)+1)),T$2)),$E14,"")</f>
        <v/>
      </c>
      <c r="U14" s="26" t="str" cm="1">
        <f t="array" aca="1" ref="U14" ca="1">IF(ISNUMBER(SEARCH(INDIRECT(ADDRESS(ROW(U14),MOD(U$1,4)+1)),U$2)),$E14,"")</f>
        <v/>
      </c>
      <c r="V14" s="26" t="str" cm="1">
        <f t="array" aca="1" ref="V14" ca="1">IF(ISNUMBER(SEARCH(INDIRECT(ADDRESS(ROW(V14),MOD(V$1,4)+1)),V$2)),$E14,"")</f>
        <v/>
      </c>
      <c r="W14" s="26" t="str" cm="1">
        <f t="array" aca="1" ref="W14" ca="1">IF(ISNUMBER(SEARCH(INDIRECT(ADDRESS(ROW(W14),MOD(W$1,4)+1)),W$2)),$E14,"")</f>
        <v/>
      </c>
      <c r="X14" s="26" t="str" cm="1">
        <f t="array" aca="1" ref="X14" ca="1">IF(ISNUMBER(SEARCH(INDIRECT(ADDRESS(ROW(X14),MOD(X$1,4)+1)),X$2)),$E14,"")</f>
        <v/>
      </c>
      <c r="Y14" s="26" t="str" cm="1">
        <f t="array" aca="1" ref="Y14" ca="1">IF(ISNUMBER(SEARCH(INDIRECT(ADDRESS(ROW(Y14),MOD(Y$1,4)+1)),Y$2)),$E14,"")</f>
        <v/>
      </c>
      <c r="Z14" s="26" t="str" cm="1">
        <f t="array" aca="1" ref="Z14" ca="1">IF(ISNUMBER(SEARCH(INDIRECT(ADDRESS(ROW(Z14),MOD(Z$1,4)+1)),Z$2)),$E14,"")</f>
        <v/>
      </c>
      <c r="AA14" s="26" t="str" cm="1">
        <f t="array" aca="1" ref="AA14" ca="1">IF(ISNUMBER(SEARCH(INDIRECT(ADDRESS(ROW(AA14),MOD(AA$1,4)+1)),AA$2)),$E14,"")</f>
        <v/>
      </c>
      <c r="AB14" s="26" t="str" cm="1">
        <f t="array" aca="1" ref="AB14" ca="1">IF(ISNUMBER(SEARCH(INDIRECT(ADDRESS(ROW(AB14),MOD(AB$1,4)+1)),AB$2)),$E14,"")</f>
        <v/>
      </c>
      <c r="AC14" s="26" t="str" cm="1">
        <f t="array" aca="1" ref="AC14" ca="1">IF(ISNUMBER(SEARCH(INDIRECT(ADDRESS(ROW(AC14),MOD(AC$1,4)+1)),AC$2)),$E14,"")</f>
        <v/>
      </c>
      <c r="AD14" s="26" t="str" cm="1">
        <f t="array" aca="1" ref="AD14" ca="1">IF(ISNUMBER(SEARCH(INDIRECT(ADDRESS(ROW(AD14),MOD(AD$1,4)+1)),AD$2)),$E14,"")</f>
        <v/>
      </c>
      <c r="AE14" s="26" t="str" cm="1">
        <f t="array" aca="1" ref="AE14" ca="1">IF(ISNUMBER(SEARCH(INDIRECT(ADDRESS(ROW(AE14),MOD(AE$1,4)+1)),AE$2)),$E14,"")</f>
        <v/>
      </c>
      <c r="AF14" s="26" t="str" cm="1">
        <f t="array" aca="1" ref="AF14" ca="1">IF(ISNUMBER(SEARCH(INDIRECT(ADDRESS(ROW(AF14),MOD(AF$1,4)+1)),AF$2)),$E14,"")</f>
        <v/>
      </c>
      <c r="AG14" s="26" t="str" cm="1">
        <f t="array" aca="1" ref="AG14" ca="1">IF(ISNUMBER(SEARCH(INDIRECT(ADDRESS(ROW(AG14),MOD(AG$1,4)+1)),AG$2)),$E14,"")</f>
        <v/>
      </c>
      <c r="AH14" s="26" t="str" cm="1">
        <f t="array" aca="1" ref="AH14" ca="1">IF(ISNUMBER(SEARCH(INDIRECT(ADDRESS(ROW(AH14),MOD(AH$1,4)+1)),AH$2)),$E14,"")</f>
        <v/>
      </c>
      <c r="AI14" s="26" t="str" cm="1">
        <f t="array" aca="1" ref="AI14" ca="1">IF(ISNUMBER(SEARCH(INDIRECT(ADDRESS(ROW(AI14),MOD(AI$1,4)+1)),AI$2)),$E14,"")</f>
        <v/>
      </c>
      <c r="AJ14" s="26" t="str" cm="1">
        <f t="array" aca="1" ref="AJ14" ca="1">IF(ISNUMBER(SEARCH(INDIRECT(ADDRESS(ROW(AJ14),MOD(AJ$1,4)+1)),AJ$2)),$E14,"")</f>
        <v/>
      </c>
      <c r="AK14" s="26" t="str" cm="1">
        <f t="array" aca="1" ref="AK14" ca="1">IF(ISNUMBER(SEARCH(INDIRECT(ADDRESS(ROW(AK14),MOD(AK$1,4)+1)),AK$2)),$E14,"")</f>
        <v/>
      </c>
      <c r="AL14" s="26" t="str" cm="1">
        <f t="array" aca="1" ref="AL14" ca="1">IF(ISNUMBER(SEARCH(INDIRECT(ADDRESS(ROW(AL14),MOD(AL$1,4)+1)),AL$2)),$E14,"")</f>
        <v/>
      </c>
      <c r="AM14" s="26" t="str" cm="1">
        <f t="array" aca="1" ref="AM14" ca="1">IF(ISNUMBER(SEARCH(INDIRECT(ADDRESS(ROW(AM14),MOD(AM$1,4)+1)),AM$2)),$E14,"")</f>
        <v/>
      </c>
      <c r="AN14" s="26" t="str" cm="1">
        <f t="array" aca="1" ref="AN14" ca="1">IF(ISNUMBER(SEARCH(INDIRECT(ADDRESS(ROW(AN14),MOD(AN$1,4)+1)),AN$2)),$E14,"")</f>
        <v/>
      </c>
      <c r="AO14" s="26" t="str" cm="1">
        <f t="array" aca="1" ref="AO14" ca="1">IF(ISNUMBER(SEARCH(INDIRECT(ADDRESS(ROW(AO14),MOD(AO$1,4)+1)),AO$2)),$E14,"")</f>
        <v/>
      </c>
      <c r="AP14" s="26" t="str" cm="1">
        <f t="array" aca="1" ref="AP14" ca="1">IF(ISNUMBER(SEARCH(INDIRECT(ADDRESS(ROW(AP14),MOD(AP$1,4)+1)),AP$2)),$E14,"")</f>
        <v/>
      </c>
      <c r="AQ14" s="31" t="str" cm="1">
        <f t="array" aca="1" ref="AQ14" ca="1">IF(ISNUMBER(SEARCH(INDIRECT(ADDRESS(ROW(AQ14),MOD(AQ$1,4)+1)),AQ$2)),$E14,"")</f>
        <v/>
      </c>
      <c r="AT14" t="e">
        <f>IF(VLOOKUP($E14,'Formatted NEW'!$B$2:$F$202,5,FALSE)=VLOOKUP($E14,'Formatted NEW'!$B$2:$F$202,8,FALSE),$E14,"")</f>
        <v>#N/A</v>
      </c>
      <c r="AW14" t="e">
        <f>IF(VLOOKUP($E14,'Formatted NEW'!$B$2:$F$202,5,FALSE)=VLOOKUP($E14,'Formatted NEW'!$B$2:$F$202,11,FALSE),$E14,"")</f>
        <v>#N/A</v>
      </c>
      <c r="AZ14" t="e">
        <f>IF(VLOOKUP($E14,'Formatted NEW'!$B$2:$F$202,5,FALSE)=VLOOKUP($E14,'Formatted NEW'!$B$2:$F$202,14,FALSE),$E14,"")</f>
        <v>#N/A</v>
      </c>
      <c r="BC14" t="str">
        <f>VLOOKUP($E14,'Formatted NEW'!$M$2:$T$202,6,FALSE)</f>
        <v>ORTHO_BOTH</v>
      </c>
      <c r="BD14" s="26" t="e">
        <f>VLOOKUP(VLOOKUP(VLOOKUP($E14,'Formatted NEW'!$M$2:$O$202,2,FALSE),'Formatted NEW'!$D$2:$F$202,7,FALSE),'Formatted NEW'!$D$2:$O$202,12,FALSE)</f>
        <v>#REF!</v>
      </c>
      <c r="BE14" t="e">
        <f>VLOOKUP($BD14,'Formatted NEW'!$M$2:$T$202,5,FALSE)</f>
        <v>#REF!</v>
      </c>
      <c r="BF14" s="26" t="e">
        <f t="shared" si="1"/>
        <v>#REF!</v>
      </c>
      <c r="BH14">
        <f>VLOOKUP($E14,'Formatted NEW'!$M$2:$T$202,4,FALSE)</f>
        <v>0</v>
      </c>
      <c r="BI14" s="26" t="e">
        <f>VLOOKUP(VLOOKUP(VLOOKUP($E14,'Formatted NEW'!$M$2:$O$202,2,FALSE),'Formatted NEW'!$D$2:$F$202,10,FALSE),'Formatted NEW'!$D$2:$O$202,12,FALSE)</f>
        <v>#REF!</v>
      </c>
      <c r="BJ14" t="e">
        <f>VLOOKUP($BI14,'Formatted NEW'!$M$2:$T$202,3,FALSE)</f>
        <v>#REF!</v>
      </c>
      <c r="BK14" s="26" t="e">
        <f t="shared" si="2"/>
        <v>#REF!</v>
      </c>
    </row>
    <row r="15" spans="1:69" x14ac:dyDescent="0.25">
      <c r="A15" t="str">
        <f>'Formatted NEW'!Q13</f>
        <v>DIAG_BOTH</v>
      </c>
      <c r="B15" t="str">
        <f>'Formatted NEW'!R13</f>
        <v>ORTHO_BOTH</v>
      </c>
      <c r="C15" t="str">
        <f>'Formatted NEW'!S13</f>
        <v>ORTHO_BOTH</v>
      </c>
      <c r="D15" t="str">
        <f>'Formatted NEW'!T13</f>
        <v>DIAG_BOTH</v>
      </c>
      <c r="E15" s="26">
        <f t="shared" si="0"/>
        <v>11</v>
      </c>
      <c r="H15" s="30" t="str" cm="1">
        <f t="array" aca="1" ref="H15" ca="1">IF(ISNUMBER(SEARCH(INDIRECT(ADDRESS(ROW(H15),MOD(H$1,4)+1)),H$2)),$E15,"")</f>
        <v/>
      </c>
      <c r="I15" s="26" t="str" cm="1">
        <f t="array" aca="1" ref="I15" ca="1">IF(ISNUMBER(SEARCH(INDIRECT(ADDRESS(ROW(I15),MOD(I$1,4)+1)),I$2)),$E15,"")</f>
        <v/>
      </c>
      <c r="J15" s="26" t="str" cm="1">
        <f t="array" aca="1" ref="J15" ca="1">IF(ISNUMBER(SEARCH(INDIRECT(ADDRESS(ROW(J15),MOD(J$1,4)+1)),J$2)),$E15,"")</f>
        <v/>
      </c>
      <c r="K15" s="26" t="str" cm="1">
        <f t="array" aca="1" ref="K15" ca="1">IF(ISNUMBER(SEARCH(INDIRECT(ADDRESS(ROW(K15),MOD(K$1,4)+1)),K$2)),$E15,"")</f>
        <v/>
      </c>
      <c r="L15" s="26" cm="1">
        <f t="array" aca="1" ref="L15" ca="1">IF(ISNUMBER(SEARCH(INDIRECT(ADDRESS(ROW(L15),MOD(L$1,4)+1)),L$2)),$E15,"")</f>
        <v>11</v>
      </c>
      <c r="M15" s="26" t="str" cm="1">
        <f t="array" aca="1" ref="M15" ca="1">IF(ISNUMBER(SEARCH(INDIRECT(ADDRESS(ROW(M15),MOD(M$1,4)+1)),M$2)),$E15,"")</f>
        <v/>
      </c>
      <c r="N15" s="26" t="str" cm="1">
        <f t="array" aca="1" ref="N15" ca="1">IF(ISNUMBER(SEARCH(INDIRECT(ADDRESS(ROW(N15),MOD(N$1,4)+1)),N$2)),$E15,"")</f>
        <v/>
      </c>
      <c r="O15" s="26" cm="1">
        <f t="array" aca="1" ref="O15" ca="1">IF(ISNUMBER(SEARCH(INDIRECT(ADDRESS(ROW(O15),MOD(O$1,4)+1)),O$2)),$E15,"")</f>
        <v>11</v>
      </c>
      <c r="P15" s="26" t="str" cm="1">
        <f t="array" aca="1" ref="P15" ca="1">IF(ISNUMBER(SEARCH(INDIRECT(ADDRESS(ROW(P15),MOD(P$1,4)+1)),P$2)),$E15,"")</f>
        <v/>
      </c>
      <c r="Q15" s="26" cm="1">
        <f t="array" aca="1" ref="Q15" ca="1">IF(ISNUMBER(SEARCH(INDIRECT(ADDRESS(ROW(Q15),MOD(Q$1,4)+1)),Q$2)),$E15,"")</f>
        <v>11</v>
      </c>
      <c r="R15" s="26" cm="1">
        <f t="array" aca="1" ref="R15" ca="1">IF(ISNUMBER(SEARCH(INDIRECT(ADDRESS(ROW(R15),MOD(R$1,4)+1)),R$2)),$E15,"")</f>
        <v>11</v>
      </c>
      <c r="S15" s="26" t="str" cm="1">
        <f t="array" aca="1" ref="S15" ca="1">IF(ISNUMBER(SEARCH(INDIRECT(ADDRESS(ROW(S15),MOD(S$1,4)+1)),S$2)),$E15,"")</f>
        <v/>
      </c>
      <c r="T15" s="26" t="str" cm="1">
        <f t="array" aca="1" ref="T15" ca="1">IF(ISNUMBER(SEARCH(INDIRECT(ADDRESS(ROW(T15),MOD(T$1,4)+1)),T$2)),$E15,"")</f>
        <v/>
      </c>
      <c r="U15" s="26" t="str" cm="1">
        <f t="array" aca="1" ref="U15" ca="1">IF(ISNUMBER(SEARCH(INDIRECT(ADDRESS(ROW(U15),MOD(U$1,4)+1)),U$2)),$E15,"")</f>
        <v/>
      </c>
      <c r="V15" s="26" t="str" cm="1">
        <f t="array" aca="1" ref="V15" ca="1">IF(ISNUMBER(SEARCH(INDIRECT(ADDRESS(ROW(V15),MOD(V$1,4)+1)),V$2)),$E15,"")</f>
        <v/>
      </c>
      <c r="W15" s="26" t="str" cm="1">
        <f t="array" aca="1" ref="W15" ca="1">IF(ISNUMBER(SEARCH(INDIRECT(ADDRESS(ROW(W15),MOD(W$1,4)+1)),W$2)),$E15,"")</f>
        <v/>
      </c>
      <c r="X15" s="26" t="str" cm="1">
        <f t="array" aca="1" ref="X15" ca="1">IF(ISNUMBER(SEARCH(INDIRECT(ADDRESS(ROW(X15),MOD(X$1,4)+1)),X$2)),$E15,"")</f>
        <v/>
      </c>
      <c r="Y15" s="26" t="str" cm="1">
        <f t="array" aca="1" ref="Y15" ca="1">IF(ISNUMBER(SEARCH(INDIRECT(ADDRESS(ROW(Y15),MOD(Y$1,4)+1)),Y$2)),$E15,"")</f>
        <v/>
      </c>
      <c r="Z15" s="26" t="str" cm="1">
        <f t="array" aca="1" ref="Z15" ca="1">IF(ISNUMBER(SEARCH(INDIRECT(ADDRESS(ROW(Z15),MOD(Z$1,4)+1)),Z$2)),$E15,"")</f>
        <v/>
      </c>
      <c r="AA15" s="26" t="str" cm="1">
        <f t="array" aca="1" ref="AA15" ca="1">IF(ISNUMBER(SEARCH(INDIRECT(ADDRESS(ROW(AA15),MOD(AA$1,4)+1)),AA$2)),$E15,"")</f>
        <v/>
      </c>
      <c r="AB15" s="26" t="str" cm="1">
        <f t="array" aca="1" ref="AB15" ca="1">IF(ISNUMBER(SEARCH(INDIRECT(ADDRESS(ROW(AB15),MOD(AB$1,4)+1)),AB$2)),$E15,"")</f>
        <v/>
      </c>
      <c r="AC15" s="26" t="str" cm="1">
        <f t="array" aca="1" ref="AC15" ca="1">IF(ISNUMBER(SEARCH(INDIRECT(ADDRESS(ROW(AC15),MOD(AC$1,4)+1)),AC$2)),$E15,"")</f>
        <v/>
      </c>
      <c r="AD15" s="26" t="str" cm="1">
        <f t="array" aca="1" ref="AD15" ca="1">IF(ISNUMBER(SEARCH(INDIRECT(ADDRESS(ROW(AD15),MOD(AD$1,4)+1)),AD$2)),$E15,"")</f>
        <v/>
      </c>
      <c r="AE15" s="26" t="str" cm="1">
        <f t="array" aca="1" ref="AE15" ca="1">IF(ISNUMBER(SEARCH(INDIRECT(ADDRESS(ROW(AE15),MOD(AE$1,4)+1)),AE$2)),$E15,"")</f>
        <v/>
      </c>
      <c r="AF15" s="26" t="str" cm="1">
        <f t="array" aca="1" ref="AF15" ca="1">IF(ISNUMBER(SEARCH(INDIRECT(ADDRESS(ROW(AF15),MOD(AF$1,4)+1)),AF$2)),$E15,"")</f>
        <v/>
      </c>
      <c r="AG15" s="26" t="str" cm="1">
        <f t="array" aca="1" ref="AG15" ca="1">IF(ISNUMBER(SEARCH(INDIRECT(ADDRESS(ROW(AG15),MOD(AG$1,4)+1)),AG$2)),$E15,"")</f>
        <v/>
      </c>
      <c r="AH15" s="26" t="str" cm="1">
        <f t="array" aca="1" ref="AH15" ca="1">IF(ISNUMBER(SEARCH(INDIRECT(ADDRESS(ROW(AH15),MOD(AH$1,4)+1)),AH$2)),$E15,"")</f>
        <v/>
      </c>
      <c r="AI15" s="26" t="str" cm="1">
        <f t="array" aca="1" ref="AI15" ca="1">IF(ISNUMBER(SEARCH(INDIRECT(ADDRESS(ROW(AI15),MOD(AI$1,4)+1)),AI$2)),$E15,"")</f>
        <v/>
      </c>
      <c r="AJ15" s="26" t="str" cm="1">
        <f t="array" aca="1" ref="AJ15" ca="1">IF(ISNUMBER(SEARCH(INDIRECT(ADDRESS(ROW(AJ15),MOD(AJ$1,4)+1)),AJ$2)),$E15,"")</f>
        <v/>
      </c>
      <c r="AK15" s="26" t="str" cm="1">
        <f t="array" aca="1" ref="AK15" ca="1">IF(ISNUMBER(SEARCH(INDIRECT(ADDRESS(ROW(AK15),MOD(AK$1,4)+1)),AK$2)),$E15,"")</f>
        <v/>
      </c>
      <c r="AL15" s="26" t="str" cm="1">
        <f t="array" aca="1" ref="AL15" ca="1">IF(ISNUMBER(SEARCH(INDIRECT(ADDRESS(ROW(AL15),MOD(AL$1,4)+1)),AL$2)),$E15,"")</f>
        <v/>
      </c>
      <c r="AM15" s="26" t="str" cm="1">
        <f t="array" aca="1" ref="AM15" ca="1">IF(ISNUMBER(SEARCH(INDIRECT(ADDRESS(ROW(AM15),MOD(AM$1,4)+1)),AM$2)),$E15,"")</f>
        <v/>
      </c>
      <c r="AN15" s="26" t="str" cm="1">
        <f t="array" aca="1" ref="AN15" ca="1">IF(ISNUMBER(SEARCH(INDIRECT(ADDRESS(ROW(AN15),MOD(AN$1,4)+1)),AN$2)),$E15,"")</f>
        <v/>
      </c>
      <c r="AO15" s="26" t="str" cm="1">
        <f t="array" aca="1" ref="AO15" ca="1">IF(ISNUMBER(SEARCH(INDIRECT(ADDRESS(ROW(AO15),MOD(AO$1,4)+1)),AO$2)),$E15,"")</f>
        <v/>
      </c>
      <c r="AP15" s="26" t="str" cm="1">
        <f t="array" aca="1" ref="AP15" ca="1">IF(ISNUMBER(SEARCH(INDIRECT(ADDRESS(ROW(AP15),MOD(AP$1,4)+1)),AP$2)),$E15,"")</f>
        <v/>
      </c>
      <c r="AQ15" s="31" t="str" cm="1">
        <f t="array" aca="1" ref="AQ15" ca="1">IF(ISNUMBER(SEARCH(INDIRECT(ADDRESS(ROW(AQ15),MOD(AQ$1,4)+1)),AQ$2)),$E15,"")</f>
        <v/>
      </c>
      <c r="AT15" t="e">
        <f>IF(VLOOKUP($E15,'Formatted NEW'!$B$2:$F$202,5,FALSE)=VLOOKUP($E15,'Formatted NEW'!$B$2:$F$202,8,FALSE),$E15,"")</f>
        <v>#N/A</v>
      </c>
      <c r="AW15" t="e">
        <f>IF(VLOOKUP($E15,'Formatted NEW'!$B$2:$F$202,5,FALSE)=VLOOKUP($E15,'Formatted NEW'!$B$2:$F$202,11,FALSE),$E15,"")</f>
        <v>#N/A</v>
      </c>
      <c r="AZ15" t="e">
        <f>IF(VLOOKUP($E15,'Formatted NEW'!$B$2:$F$202,5,FALSE)=VLOOKUP($E15,'Formatted NEW'!$B$2:$F$202,14,FALSE),$E15,"")</f>
        <v>#N/A</v>
      </c>
      <c r="BC15" t="str">
        <f>VLOOKUP($E15,'Formatted NEW'!$M$2:$T$202,6,FALSE)</f>
        <v>ORTHO_BOTH</v>
      </c>
      <c r="BD15" s="26" t="e">
        <f>VLOOKUP(VLOOKUP(VLOOKUP($E15,'Formatted NEW'!$M$2:$O$202,2,FALSE),'Formatted NEW'!$D$2:$F$202,7,FALSE),'Formatted NEW'!$D$2:$O$202,12,FALSE)</f>
        <v>#REF!</v>
      </c>
      <c r="BE15" t="e">
        <f>VLOOKUP($BD15,'Formatted NEW'!$M$2:$T$202,5,FALSE)</f>
        <v>#REF!</v>
      </c>
      <c r="BF15" s="26" t="e">
        <f t="shared" si="1"/>
        <v>#REF!</v>
      </c>
      <c r="BH15">
        <f>VLOOKUP($E15,'Formatted NEW'!$M$2:$T$202,4,FALSE)</f>
        <v>0</v>
      </c>
      <c r="BI15" s="26" t="e">
        <f>VLOOKUP(VLOOKUP(VLOOKUP($E15,'Formatted NEW'!$M$2:$O$202,2,FALSE),'Formatted NEW'!$D$2:$F$202,10,FALSE),'Formatted NEW'!$D$2:$O$202,12,FALSE)</f>
        <v>#REF!</v>
      </c>
      <c r="BJ15" t="e">
        <f>VLOOKUP($BI15,'Formatted NEW'!$M$2:$T$202,3,FALSE)</f>
        <v>#REF!</v>
      </c>
      <c r="BK15" s="26" t="e">
        <f t="shared" si="2"/>
        <v>#REF!</v>
      </c>
    </row>
    <row r="16" spans="1:69" x14ac:dyDescent="0.25">
      <c r="A16" t="str">
        <f>'Formatted NEW'!Q14</f>
        <v>DIAG_BOTH</v>
      </c>
      <c r="B16" t="str">
        <f>'Formatted NEW'!R14</f>
        <v>EMPTY</v>
      </c>
      <c r="C16" t="str">
        <f>'Formatted NEW'!S14</f>
        <v>ORTHO_BOTH</v>
      </c>
      <c r="D16" t="str">
        <f>'Formatted NEW'!T14</f>
        <v>DIAG_BOTH</v>
      </c>
      <c r="E16" s="26">
        <f t="shared" si="0"/>
        <v>12</v>
      </c>
      <c r="H16" s="30" t="str" cm="1">
        <f t="array" aca="1" ref="H16" ca="1">IF(ISNUMBER(SEARCH(INDIRECT(ADDRESS(ROW(H16),MOD(H$1,4)+1)),H$2)),$E16,"")</f>
        <v/>
      </c>
      <c r="I16" s="26" t="str" cm="1">
        <f t="array" aca="1" ref="I16" ca="1">IF(ISNUMBER(SEARCH(INDIRECT(ADDRESS(ROW(I16),MOD(I$1,4)+1)),I$2)),$E16,"")</f>
        <v/>
      </c>
      <c r="J16" s="26" t="str" cm="1">
        <f t="array" aca="1" ref="J16" ca="1">IF(ISNUMBER(SEARCH(INDIRECT(ADDRESS(ROW(J16),MOD(J$1,4)+1)),J$2)),$E16,"")</f>
        <v/>
      </c>
      <c r="K16" s="26" t="str" cm="1">
        <f t="array" aca="1" ref="K16" ca="1">IF(ISNUMBER(SEARCH(INDIRECT(ADDRESS(ROW(K16),MOD(K$1,4)+1)),K$2)),$E16,"")</f>
        <v/>
      </c>
      <c r="L16" s="26" cm="1">
        <f t="array" aca="1" ref="L16" ca="1">IF(ISNUMBER(SEARCH(INDIRECT(ADDRESS(ROW(L16),MOD(L$1,4)+1)),L$2)),$E16,"")</f>
        <v>12</v>
      </c>
      <c r="M16" s="26" t="str" cm="1">
        <f t="array" aca="1" ref="M16" ca="1">IF(ISNUMBER(SEARCH(INDIRECT(ADDRESS(ROW(M16),MOD(M$1,4)+1)),M$2)),$E16,"")</f>
        <v/>
      </c>
      <c r="N16" s="26" t="str" cm="1">
        <f t="array" aca="1" ref="N16" ca="1">IF(ISNUMBER(SEARCH(INDIRECT(ADDRESS(ROW(N16),MOD(N$1,4)+1)),N$2)),$E16,"")</f>
        <v/>
      </c>
      <c r="O16" s="26" cm="1">
        <f t="array" aca="1" ref="O16" ca="1">IF(ISNUMBER(SEARCH(INDIRECT(ADDRESS(ROW(O16),MOD(O$1,4)+1)),O$2)),$E16,"")</f>
        <v>12</v>
      </c>
      <c r="P16" s="26" t="str" cm="1">
        <f t="array" aca="1" ref="P16" ca="1">IF(ISNUMBER(SEARCH(INDIRECT(ADDRESS(ROW(P16),MOD(P$1,4)+1)),P$2)),$E16,"")</f>
        <v/>
      </c>
      <c r="Q16" s="26" t="str" cm="1">
        <f t="array" aca="1" ref="Q16" ca="1">IF(ISNUMBER(SEARCH(INDIRECT(ADDRESS(ROW(Q16),MOD(Q$1,4)+1)),Q$2)),$E16,"")</f>
        <v/>
      </c>
      <c r="R16" s="26" cm="1">
        <f t="array" aca="1" ref="R16" ca="1">IF(ISNUMBER(SEARCH(INDIRECT(ADDRESS(ROW(R16),MOD(R$1,4)+1)),R$2)),$E16,"")</f>
        <v>12</v>
      </c>
      <c r="S16" s="26" t="str" cm="1">
        <f t="array" aca="1" ref="S16" ca="1">IF(ISNUMBER(SEARCH(INDIRECT(ADDRESS(ROW(S16),MOD(S$1,4)+1)),S$2)),$E16,"")</f>
        <v/>
      </c>
      <c r="T16" s="26" t="str" cm="1">
        <f t="array" aca="1" ref="T16" ca="1">IF(ISNUMBER(SEARCH(INDIRECT(ADDRESS(ROW(T16),MOD(T$1,4)+1)),T$2)),$E16,"")</f>
        <v/>
      </c>
      <c r="U16" s="26" t="str" cm="1">
        <f t="array" aca="1" ref="U16" ca="1">IF(ISNUMBER(SEARCH(INDIRECT(ADDRESS(ROW(U16),MOD(U$1,4)+1)),U$2)),$E16,"")</f>
        <v/>
      </c>
      <c r="V16" s="26" t="str" cm="1">
        <f t="array" aca="1" ref="V16" ca="1">IF(ISNUMBER(SEARCH(INDIRECT(ADDRESS(ROW(V16),MOD(V$1,4)+1)),V$2)),$E16,"")</f>
        <v/>
      </c>
      <c r="W16" s="26" t="str" cm="1">
        <f t="array" aca="1" ref="W16" ca="1">IF(ISNUMBER(SEARCH(INDIRECT(ADDRESS(ROW(W16),MOD(W$1,4)+1)),W$2)),$E16,"")</f>
        <v/>
      </c>
      <c r="X16" s="26" t="str" cm="1">
        <f t="array" aca="1" ref="X16" ca="1">IF(ISNUMBER(SEARCH(INDIRECT(ADDRESS(ROW(X16),MOD(X$1,4)+1)),X$2)),$E16,"")</f>
        <v/>
      </c>
      <c r="Y16" s="26" t="str" cm="1">
        <f t="array" aca="1" ref="Y16" ca="1">IF(ISNUMBER(SEARCH(INDIRECT(ADDRESS(ROW(Y16),MOD(Y$1,4)+1)),Y$2)),$E16,"")</f>
        <v/>
      </c>
      <c r="Z16" s="26" t="str" cm="1">
        <f t="array" aca="1" ref="Z16" ca="1">IF(ISNUMBER(SEARCH(INDIRECT(ADDRESS(ROW(Z16),MOD(Z$1,4)+1)),Z$2)),$E16,"")</f>
        <v/>
      </c>
      <c r="AA16" s="26" t="str" cm="1">
        <f t="array" aca="1" ref="AA16" ca="1">IF(ISNUMBER(SEARCH(INDIRECT(ADDRESS(ROW(AA16),MOD(AA$1,4)+1)),AA$2)),$E16,"")</f>
        <v/>
      </c>
      <c r="AB16" s="26" t="str" cm="1">
        <f t="array" aca="1" ref="AB16" ca="1">IF(ISNUMBER(SEARCH(INDIRECT(ADDRESS(ROW(AB16),MOD(AB$1,4)+1)),AB$2)),$E16,"")</f>
        <v/>
      </c>
      <c r="AC16" s="26" t="str" cm="1">
        <f t="array" aca="1" ref="AC16" ca="1">IF(ISNUMBER(SEARCH(INDIRECT(ADDRESS(ROW(AC16),MOD(AC$1,4)+1)),AC$2)),$E16,"")</f>
        <v/>
      </c>
      <c r="AD16" s="26" t="str" cm="1">
        <f t="array" aca="1" ref="AD16" ca="1">IF(ISNUMBER(SEARCH(INDIRECT(ADDRESS(ROW(AD16),MOD(AD$1,4)+1)),AD$2)),$E16,"")</f>
        <v/>
      </c>
      <c r="AE16" s="26" t="str" cm="1">
        <f t="array" aca="1" ref="AE16" ca="1">IF(ISNUMBER(SEARCH(INDIRECT(ADDRESS(ROW(AE16),MOD(AE$1,4)+1)),AE$2)),$E16,"")</f>
        <v/>
      </c>
      <c r="AF16" s="26" t="str" cm="1">
        <f t="array" aca="1" ref="AF16" ca="1">IF(ISNUMBER(SEARCH(INDIRECT(ADDRESS(ROW(AF16),MOD(AF$1,4)+1)),AF$2)),$E16,"")</f>
        <v/>
      </c>
      <c r="AG16" s="26" t="str" cm="1">
        <f t="array" aca="1" ref="AG16" ca="1">IF(ISNUMBER(SEARCH(INDIRECT(ADDRESS(ROW(AG16),MOD(AG$1,4)+1)),AG$2)),$E16,"")</f>
        <v/>
      </c>
      <c r="AH16" s="26" t="str" cm="1">
        <f t="array" aca="1" ref="AH16" ca="1">IF(ISNUMBER(SEARCH(INDIRECT(ADDRESS(ROW(AH16),MOD(AH$1,4)+1)),AH$2)),$E16,"")</f>
        <v/>
      </c>
      <c r="AI16" s="26" t="str" cm="1">
        <f t="array" aca="1" ref="AI16" ca="1">IF(ISNUMBER(SEARCH(INDIRECT(ADDRESS(ROW(AI16),MOD(AI$1,4)+1)),AI$2)),$E16,"")</f>
        <v/>
      </c>
      <c r="AJ16" s="26" t="str" cm="1">
        <f t="array" aca="1" ref="AJ16" ca="1">IF(ISNUMBER(SEARCH(INDIRECT(ADDRESS(ROW(AJ16),MOD(AJ$1,4)+1)),AJ$2)),$E16,"")</f>
        <v/>
      </c>
      <c r="AK16" s="26" t="str" cm="1">
        <f t="array" aca="1" ref="AK16" ca="1">IF(ISNUMBER(SEARCH(INDIRECT(ADDRESS(ROW(AK16),MOD(AK$1,4)+1)),AK$2)),$E16,"")</f>
        <v/>
      </c>
      <c r="AL16" s="26" t="str" cm="1">
        <f t="array" aca="1" ref="AL16" ca="1">IF(ISNUMBER(SEARCH(INDIRECT(ADDRESS(ROW(AL16),MOD(AL$1,4)+1)),AL$2)),$E16,"")</f>
        <v/>
      </c>
      <c r="AM16" s="26" t="str" cm="1">
        <f t="array" aca="1" ref="AM16" ca="1">IF(ISNUMBER(SEARCH(INDIRECT(ADDRESS(ROW(AM16),MOD(AM$1,4)+1)),AM$2)),$E16,"")</f>
        <v/>
      </c>
      <c r="AN16" s="26" t="str" cm="1">
        <f t="array" aca="1" ref="AN16" ca="1">IF(ISNUMBER(SEARCH(INDIRECT(ADDRESS(ROW(AN16),MOD(AN$1,4)+1)),AN$2)),$E16,"")</f>
        <v/>
      </c>
      <c r="AO16" s="26" t="str" cm="1">
        <f t="array" aca="1" ref="AO16" ca="1">IF(ISNUMBER(SEARCH(INDIRECT(ADDRESS(ROW(AO16),MOD(AO$1,4)+1)),AO$2)),$E16,"")</f>
        <v/>
      </c>
      <c r="AP16" s="26" t="str" cm="1">
        <f t="array" aca="1" ref="AP16" ca="1">IF(ISNUMBER(SEARCH(INDIRECT(ADDRESS(ROW(AP16),MOD(AP$1,4)+1)),AP$2)),$E16,"")</f>
        <v/>
      </c>
      <c r="AQ16" s="31" t="str" cm="1">
        <f t="array" aca="1" ref="AQ16" ca="1">IF(ISNUMBER(SEARCH(INDIRECT(ADDRESS(ROW(AQ16),MOD(AQ$1,4)+1)),AQ$2)),$E16,"")</f>
        <v/>
      </c>
      <c r="AT16" t="e">
        <f>IF(VLOOKUP($E16,'Formatted NEW'!$B$2:$F$202,5,FALSE)=VLOOKUP($E16,'Formatted NEW'!$B$2:$F$202,8,FALSE),$E16,"")</f>
        <v>#N/A</v>
      </c>
      <c r="AW16" t="e">
        <f>IF(VLOOKUP($E16,'Formatted NEW'!$B$2:$F$202,5,FALSE)=VLOOKUP($E16,'Formatted NEW'!$B$2:$F$202,11,FALSE),$E16,"")</f>
        <v>#N/A</v>
      </c>
      <c r="AZ16" t="e">
        <f>IF(VLOOKUP($E16,'Formatted NEW'!$B$2:$F$202,5,FALSE)=VLOOKUP($E16,'Formatted NEW'!$B$2:$F$202,14,FALSE),$E16,"")</f>
        <v>#N/A</v>
      </c>
      <c r="BC16" t="str">
        <f>VLOOKUP($E16,'Formatted NEW'!$M$2:$T$202,6,FALSE)</f>
        <v>EMPTY</v>
      </c>
      <c r="BD16" s="26" t="e">
        <f>VLOOKUP(VLOOKUP(VLOOKUP($E16,'Formatted NEW'!$M$2:$O$202,2,FALSE),'Formatted NEW'!$D$2:$F$202,7,FALSE),'Formatted NEW'!$D$2:$O$202,12,FALSE)</f>
        <v>#REF!</v>
      </c>
      <c r="BE16" t="e">
        <f>VLOOKUP($BD16,'Formatted NEW'!$M$2:$T$202,5,FALSE)</f>
        <v>#REF!</v>
      </c>
      <c r="BF16" s="26" t="e">
        <f t="shared" si="1"/>
        <v>#REF!</v>
      </c>
      <c r="BH16">
        <f>VLOOKUP($E16,'Formatted NEW'!$M$2:$T$202,4,FALSE)</f>
        <v>0</v>
      </c>
      <c r="BI16" s="26" t="e">
        <f>VLOOKUP(VLOOKUP(VLOOKUP($E16,'Formatted NEW'!$M$2:$O$202,2,FALSE),'Formatted NEW'!$D$2:$F$202,10,FALSE),'Formatted NEW'!$D$2:$O$202,12,FALSE)</f>
        <v>#REF!</v>
      </c>
      <c r="BJ16" t="e">
        <f>VLOOKUP($BI16,'Formatted NEW'!$M$2:$T$202,3,FALSE)</f>
        <v>#REF!</v>
      </c>
      <c r="BK16" s="26" t="e">
        <f t="shared" si="2"/>
        <v>#REF!</v>
      </c>
    </row>
    <row r="17" spans="1:63" x14ac:dyDescent="0.25">
      <c r="A17" t="str">
        <f>'Formatted NEW'!Q15</f>
        <v>DIAG_BOTH</v>
      </c>
      <c r="B17" t="str">
        <f>'Formatted NEW'!R15</f>
        <v>ORTHO_BOTH</v>
      </c>
      <c r="C17" t="str">
        <f>'Formatted NEW'!S15</f>
        <v>EMPTY</v>
      </c>
      <c r="D17" t="str">
        <f>'Formatted NEW'!T15</f>
        <v>EMPTY</v>
      </c>
      <c r="E17" s="26">
        <f t="shared" si="0"/>
        <v>13</v>
      </c>
      <c r="H17" s="30" t="str" cm="1">
        <f t="array" aca="1" ref="H17" ca="1">IF(ISNUMBER(SEARCH(INDIRECT(ADDRESS(ROW(H17),MOD(H$1,4)+1)),H$2)),$E17,"")</f>
        <v/>
      </c>
      <c r="I17" s="26" t="str" cm="1">
        <f t="array" aca="1" ref="I17" ca="1">IF(ISNUMBER(SEARCH(INDIRECT(ADDRESS(ROW(I17),MOD(I$1,4)+1)),I$2)),$E17,"")</f>
        <v/>
      </c>
      <c r="J17" s="26" t="str" cm="1">
        <f t="array" aca="1" ref="J17" ca="1">IF(ISNUMBER(SEARCH(INDIRECT(ADDRESS(ROW(J17),MOD(J$1,4)+1)),J$2)),$E17,"")</f>
        <v/>
      </c>
      <c r="K17" s="26" t="str" cm="1">
        <f t="array" aca="1" ref="K17" ca="1">IF(ISNUMBER(SEARCH(INDIRECT(ADDRESS(ROW(K17),MOD(K$1,4)+1)),K$2)),$E17,"")</f>
        <v/>
      </c>
      <c r="L17" s="26" cm="1">
        <f t="array" aca="1" ref="L17" ca="1">IF(ISNUMBER(SEARCH(INDIRECT(ADDRESS(ROW(L17),MOD(L$1,4)+1)),L$2)),$E17,"")</f>
        <v>13</v>
      </c>
      <c r="M17" s="26" t="str" cm="1">
        <f t="array" aca="1" ref="M17" ca="1">IF(ISNUMBER(SEARCH(INDIRECT(ADDRESS(ROW(M17),MOD(M$1,4)+1)),M$2)),$E17,"")</f>
        <v/>
      </c>
      <c r="N17" s="26" t="str" cm="1">
        <f t="array" aca="1" ref="N17" ca="1">IF(ISNUMBER(SEARCH(INDIRECT(ADDRESS(ROW(N17),MOD(N$1,4)+1)),N$2)),$E17,"")</f>
        <v/>
      </c>
      <c r="O17" s="26" t="str" cm="1">
        <f t="array" aca="1" ref="O17" ca="1">IF(ISNUMBER(SEARCH(INDIRECT(ADDRESS(ROW(O17),MOD(O$1,4)+1)),O$2)),$E17,"")</f>
        <v/>
      </c>
      <c r="P17" s="26" t="str" cm="1">
        <f t="array" aca="1" ref="P17" ca="1">IF(ISNUMBER(SEARCH(INDIRECT(ADDRESS(ROW(P17),MOD(P$1,4)+1)),P$2)),$E17,"")</f>
        <v/>
      </c>
      <c r="Q17" s="26" cm="1">
        <f t="array" aca="1" ref="Q17" ca="1">IF(ISNUMBER(SEARCH(INDIRECT(ADDRESS(ROW(Q17),MOD(Q$1,4)+1)),Q$2)),$E17,"")</f>
        <v>13</v>
      </c>
      <c r="R17" s="26" t="str" cm="1">
        <f t="array" aca="1" ref="R17" ca="1">IF(ISNUMBER(SEARCH(INDIRECT(ADDRESS(ROW(R17),MOD(R$1,4)+1)),R$2)),$E17,"")</f>
        <v/>
      </c>
      <c r="S17" s="26" t="str" cm="1">
        <f t="array" aca="1" ref="S17" ca="1">IF(ISNUMBER(SEARCH(INDIRECT(ADDRESS(ROW(S17),MOD(S$1,4)+1)),S$2)),$E17,"")</f>
        <v/>
      </c>
      <c r="T17" s="26" t="str" cm="1">
        <f t="array" aca="1" ref="T17" ca="1">IF(ISNUMBER(SEARCH(INDIRECT(ADDRESS(ROW(T17),MOD(T$1,4)+1)),T$2)),$E17,"")</f>
        <v/>
      </c>
      <c r="U17" s="26" t="str" cm="1">
        <f t="array" aca="1" ref="U17" ca="1">IF(ISNUMBER(SEARCH(INDIRECT(ADDRESS(ROW(U17),MOD(U$1,4)+1)),U$2)),$E17,"")</f>
        <v/>
      </c>
      <c r="V17" s="26" t="str" cm="1">
        <f t="array" aca="1" ref="V17" ca="1">IF(ISNUMBER(SEARCH(INDIRECT(ADDRESS(ROW(V17),MOD(V$1,4)+1)),V$2)),$E17,"")</f>
        <v/>
      </c>
      <c r="W17" s="26" t="str" cm="1">
        <f t="array" aca="1" ref="W17" ca="1">IF(ISNUMBER(SEARCH(INDIRECT(ADDRESS(ROW(W17),MOD(W$1,4)+1)),W$2)),$E17,"")</f>
        <v/>
      </c>
      <c r="X17" s="26" t="str" cm="1">
        <f t="array" aca="1" ref="X17" ca="1">IF(ISNUMBER(SEARCH(INDIRECT(ADDRESS(ROW(X17),MOD(X$1,4)+1)),X$2)),$E17,"")</f>
        <v/>
      </c>
      <c r="Y17" s="26" t="str" cm="1">
        <f t="array" aca="1" ref="Y17" ca="1">IF(ISNUMBER(SEARCH(INDIRECT(ADDRESS(ROW(Y17),MOD(Y$1,4)+1)),Y$2)),$E17,"")</f>
        <v/>
      </c>
      <c r="Z17" s="26" t="str" cm="1">
        <f t="array" aca="1" ref="Z17" ca="1">IF(ISNUMBER(SEARCH(INDIRECT(ADDRESS(ROW(Z17),MOD(Z$1,4)+1)),Z$2)),$E17,"")</f>
        <v/>
      </c>
      <c r="AA17" s="26" t="str" cm="1">
        <f t="array" aca="1" ref="AA17" ca="1">IF(ISNUMBER(SEARCH(INDIRECT(ADDRESS(ROW(AA17),MOD(AA$1,4)+1)),AA$2)),$E17,"")</f>
        <v/>
      </c>
      <c r="AB17" s="26" t="str" cm="1">
        <f t="array" aca="1" ref="AB17" ca="1">IF(ISNUMBER(SEARCH(INDIRECT(ADDRESS(ROW(AB17),MOD(AB$1,4)+1)),AB$2)),$E17,"")</f>
        <v/>
      </c>
      <c r="AC17" s="26" t="str" cm="1">
        <f t="array" aca="1" ref="AC17" ca="1">IF(ISNUMBER(SEARCH(INDIRECT(ADDRESS(ROW(AC17),MOD(AC$1,4)+1)),AC$2)),$E17,"")</f>
        <v/>
      </c>
      <c r="AD17" s="26" t="str" cm="1">
        <f t="array" aca="1" ref="AD17" ca="1">IF(ISNUMBER(SEARCH(INDIRECT(ADDRESS(ROW(AD17),MOD(AD$1,4)+1)),AD$2)),$E17,"")</f>
        <v/>
      </c>
      <c r="AE17" s="26" t="str" cm="1">
        <f t="array" aca="1" ref="AE17" ca="1">IF(ISNUMBER(SEARCH(INDIRECT(ADDRESS(ROW(AE17),MOD(AE$1,4)+1)),AE$2)),$E17,"")</f>
        <v/>
      </c>
      <c r="AF17" s="26" t="str" cm="1">
        <f t="array" aca="1" ref="AF17" ca="1">IF(ISNUMBER(SEARCH(INDIRECT(ADDRESS(ROW(AF17),MOD(AF$1,4)+1)),AF$2)),$E17,"")</f>
        <v/>
      </c>
      <c r="AG17" s="26" t="str" cm="1">
        <f t="array" aca="1" ref="AG17" ca="1">IF(ISNUMBER(SEARCH(INDIRECT(ADDRESS(ROW(AG17),MOD(AG$1,4)+1)),AG$2)),$E17,"")</f>
        <v/>
      </c>
      <c r="AH17" s="26" t="str" cm="1">
        <f t="array" aca="1" ref="AH17" ca="1">IF(ISNUMBER(SEARCH(INDIRECT(ADDRESS(ROW(AH17),MOD(AH$1,4)+1)),AH$2)),$E17,"")</f>
        <v/>
      </c>
      <c r="AI17" s="26" t="str" cm="1">
        <f t="array" aca="1" ref="AI17" ca="1">IF(ISNUMBER(SEARCH(INDIRECT(ADDRESS(ROW(AI17),MOD(AI$1,4)+1)),AI$2)),$E17,"")</f>
        <v/>
      </c>
      <c r="AJ17" s="26" t="str" cm="1">
        <f t="array" aca="1" ref="AJ17" ca="1">IF(ISNUMBER(SEARCH(INDIRECT(ADDRESS(ROW(AJ17),MOD(AJ$1,4)+1)),AJ$2)),$E17,"")</f>
        <v/>
      </c>
      <c r="AK17" s="26" t="str" cm="1">
        <f t="array" aca="1" ref="AK17" ca="1">IF(ISNUMBER(SEARCH(INDIRECT(ADDRESS(ROW(AK17),MOD(AK$1,4)+1)),AK$2)),$E17,"")</f>
        <v/>
      </c>
      <c r="AL17" s="26" t="str" cm="1">
        <f t="array" aca="1" ref="AL17" ca="1">IF(ISNUMBER(SEARCH(INDIRECT(ADDRESS(ROW(AL17),MOD(AL$1,4)+1)),AL$2)),$E17,"")</f>
        <v/>
      </c>
      <c r="AM17" s="26" t="str" cm="1">
        <f t="array" aca="1" ref="AM17" ca="1">IF(ISNUMBER(SEARCH(INDIRECT(ADDRESS(ROW(AM17),MOD(AM$1,4)+1)),AM$2)),$E17,"")</f>
        <v/>
      </c>
      <c r="AN17" s="26" t="str" cm="1">
        <f t="array" aca="1" ref="AN17" ca="1">IF(ISNUMBER(SEARCH(INDIRECT(ADDRESS(ROW(AN17),MOD(AN$1,4)+1)),AN$2)),$E17,"")</f>
        <v/>
      </c>
      <c r="AO17" s="26" t="str" cm="1">
        <f t="array" aca="1" ref="AO17" ca="1">IF(ISNUMBER(SEARCH(INDIRECT(ADDRESS(ROW(AO17),MOD(AO$1,4)+1)),AO$2)),$E17,"")</f>
        <v/>
      </c>
      <c r="AP17" s="26" t="str" cm="1">
        <f t="array" aca="1" ref="AP17" ca="1">IF(ISNUMBER(SEARCH(INDIRECT(ADDRESS(ROW(AP17),MOD(AP$1,4)+1)),AP$2)),$E17,"")</f>
        <v/>
      </c>
      <c r="AQ17" s="31" t="str" cm="1">
        <f t="array" aca="1" ref="AQ17" ca="1">IF(ISNUMBER(SEARCH(INDIRECT(ADDRESS(ROW(AQ17),MOD(AQ$1,4)+1)),AQ$2)),$E17,"")</f>
        <v/>
      </c>
      <c r="AT17" t="e">
        <f>IF(VLOOKUP($E17,'Formatted NEW'!$B$2:$F$202,5,FALSE)=VLOOKUP($E17,'Formatted NEW'!$B$2:$F$202,8,FALSE),$E17,"")</f>
        <v>#N/A</v>
      </c>
      <c r="AW17" t="e">
        <f>IF(VLOOKUP($E17,'Formatted NEW'!$B$2:$F$202,5,FALSE)=VLOOKUP($E17,'Formatted NEW'!$B$2:$F$202,11,FALSE),$E17,"")</f>
        <v>#N/A</v>
      </c>
      <c r="AZ17" t="e">
        <f>IF(VLOOKUP($E17,'Formatted NEW'!$B$2:$F$202,5,FALSE)=VLOOKUP($E17,'Formatted NEW'!$B$2:$F$202,14,FALSE),$E17,"")</f>
        <v>#N/A</v>
      </c>
      <c r="BC17" t="str">
        <f>VLOOKUP($E17,'Formatted NEW'!$M$2:$T$202,6,FALSE)</f>
        <v>ORTHO_BOTH</v>
      </c>
      <c r="BD17" s="26" t="e">
        <f>VLOOKUP(VLOOKUP(VLOOKUP($E17,'Formatted NEW'!$M$2:$O$202,2,FALSE),'Formatted NEW'!$D$2:$F$202,7,FALSE),'Formatted NEW'!$D$2:$O$202,12,FALSE)</f>
        <v>#REF!</v>
      </c>
      <c r="BE17" t="e">
        <f>VLOOKUP($BD17,'Formatted NEW'!$M$2:$T$202,5,FALSE)</f>
        <v>#REF!</v>
      </c>
      <c r="BF17" s="26" t="e">
        <f t="shared" si="1"/>
        <v>#REF!</v>
      </c>
      <c r="BH17">
        <f>VLOOKUP($E17,'Formatted NEW'!$M$2:$T$202,4,FALSE)</f>
        <v>0</v>
      </c>
      <c r="BI17" s="26" t="e">
        <f>VLOOKUP(VLOOKUP(VLOOKUP($E17,'Formatted NEW'!$M$2:$O$202,2,FALSE),'Formatted NEW'!$D$2:$F$202,10,FALSE),'Formatted NEW'!$D$2:$O$202,12,FALSE)</f>
        <v>#REF!</v>
      </c>
      <c r="BJ17" t="e">
        <f>VLOOKUP($BI17,'Formatted NEW'!$M$2:$T$202,3,FALSE)</f>
        <v>#REF!</v>
      </c>
      <c r="BK17" s="26" t="e">
        <f t="shared" si="2"/>
        <v>#REF!</v>
      </c>
    </row>
    <row r="18" spans="1:63" x14ac:dyDescent="0.25">
      <c r="A18" t="str">
        <f>'Formatted NEW'!Q16</f>
        <v>DIAG_BOTH</v>
      </c>
      <c r="B18" t="str">
        <f>'Formatted NEW'!R16</f>
        <v>EMPTY</v>
      </c>
      <c r="C18" t="str">
        <f>'Formatted NEW'!S16</f>
        <v>EMPTY</v>
      </c>
      <c r="D18" t="str">
        <f>'Formatted NEW'!T16</f>
        <v>ORTHO_BOTH</v>
      </c>
      <c r="E18" s="26">
        <f t="shared" si="0"/>
        <v>14</v>
      </c>
      <c r="H18" s="30" t="str" cm="1">
        <f t="array" aca="1" ref="H18" ca="1">IF(ISNUMBER(SEARCH(INDIRECT(ADDRESS(ROW(H18),MOD(H$1,4)+1)),H$2)),$E18,"")</f>
        <v/>
      </c>
      <c r="I18" s="26" t="str" cm="1">
        <f t="array" aca="1" ref="I18" ca="1">IF(ISNUMBER(SEARCH(INDIRECT(ADDRESS(ROW(I18),MOD(I$1,4)+1)),I$2)),$E18,"")</f>
        <v/>
      </c>
      <c r="J18" s="26" t="str" cm="1">
        <f t="array" aca="1" ref="J18" ca="1">IF(ISNUMBER(SEARCH(INDIRECT(ADDRESS(ROW(J18),MOD(J$1,4)+1)),J$2)),$E18,"")</f>
        <v/>
      </c>
      <c r="K18" s="26" t="str" cm="1">
        <f t="array" aca="1" ref="K18" ca="1">IF(ISNUMBER(SEARCH(INDIRECT(ADDRESS(ROW(K18),MOD(K$1,4)+1)),K$2)),$E18,"")</f>
        <v/>
      </c>
      <c r="L18" s="26" cm="1">
        <f t="array" aca="1" ref="L18" ca="1">IF(ISNUMBER(SEARCH(INDIRECT(ADDRESS(ROW(L18),MOD(L$1,4)+1)),L$2)),$E18,"")</f>
        <v>14</v>
      </c>
      <c r="M18" s="26" t="str" cm="1">
        <f t="array" aca="1" ref="M18" ca="1">IF(ISNUMBER(SEARCH(INDIRECT(ADDRESS(ROW(M18),MOD(M$1,4)+1)),M$2)),$E18,"")</f>
        <v/>
      </c>
      <c r="N18" s="26" t="str" cm="1">
        <f t="array" aca="1" ref="N18" ca="1">IF(ISNUMBER(SEARCH(INDIRECT(ADDRESS(ROW(N18),MOD(N$1,4)+1)),N$2)),$E18,"")</f>
        <v/>
      </c>
      <c r="O18" s="26" t="str" cm="1">
        <f t="array" aca="1" ref="O18" ca="1">IF(ISNUMBER(SEARCH(INDIRECT(ADDRESS(ROW(O18),MOD(O$1,4)+1)),O$2)),$E18,"")</f>
        <v/>
      </c>
      <c r="P18" s="26" t="str" cm="1">
        <f t="array" aca="1" ref="P18" ca="1">IF(ISNUMBER(SEARCH(INDIRECT(ADDRESS(ROW(P18),MOD(P$1,4)+1)),P$2)),$E18,"")</f>
        <v/>
      </c>
      <c r="Q18" s="26" t="str" cm="1">
        <f t="array" aca="1" ref="Q18" ca="1">IF(ISNUMBER(SEARCH(INDIRECT(ADDRESS(ROW(Q18),MOD(Q$1,4)+1)),Q$2)),$E18,"")</f>
        <v/>
      </c>
      <c r="R18" s="26" t="str" cm="1">
        <f t="array" aca="1" ref="R18" ca="1">IF(ISNUMBER(SEARCH(INDIRECT(ADDRESS(ROW(R18),MOD(R$1,4)+1)),R$2)),$E18,"")</f>
        <v/>
      </c>
      <c r="S18" s="26" cm="1">
        <f t="array" aca="1" ref="S18" ca="1">IF(ISNUMBER(SEARCH(INDIRECT(ADDRESS(ROW(S18),MOD(S$1,4)+1)),S$2)),$E18,"")</f>
        <v>14</v>
      </c>
      <c r="T18" s="26" t="str" cm="1">
        <f t="array" aca="1" ref="T18" ca="1">IF(ISNUMBER(SEARCH(INDIRECT(ADDRESS(ROW(T18),MOD(T$1,4)+1)),T$2)),$E18,"")</f>
        <v/>
      </c>
      <c r="U18" s="26" t="str" cm="1">
        <f t="array" aca="1" ref="U18" ca="1">IF(ISNUMBER(SEARCH(INDIRECT(ADDRESS(ROW(U18),MOD(U$1,4)+1)),U$2)),$E18,"")</f>
        <v/>
      </c>
      <c r="V18" s="26" t="str" cm="1">
        <f t="array" aca="1" ref="V18" ca="1">IF(ISNUMBER(SEARCH(INDIRECT(ADDRESS(ROW(V18),MOD(V$1,4)+1)),V$2)),$E18,"")</f>
        <v/>
      </c>
      <c r="W18" s="26" t="str" cm="1">
        <f t="array" aca="1" ref="W18" ca="1">IF(ISNUMBER(SEARCH(INDIRECT(ADDRESS(ROW(W18),MOD(W$1,4)+1)),W$2)),$E18,"")</f>
        <v/>
      </c>
      <c r="X18" s="26" t="str" cm="1">
        <f t="array" aca="1" ref="X18" ca="1">IF(ISNUMBER(SEARCH(INDIRECT(ADDRESS(ROW(X18),MOD(X$1,4)+1)),X$2)),$E18,"")</f>
        <v/>
      </c>
      <c r="Y18" s="26" t="str" cm="1">
        <f t="array" aca="1" ref="Y18" ca="1">IF(ISNUMBER(SEARCH(INDIRECT(ADDRESS(ROW(Y18),MOD(Y$1,4)+1)),Y$2)),$E18,"")</f>
        <v/>
      </c>
      <c r="Z18" s="26" t="str" cm="1">
        <f t="array" aca="1" ref="Z18" ca="1">IF(ISNUMBER(SEARCH(INDIRECT(ADDRESS(ROW(Z18),MOD(Z$1,4)+1)),Z$2)),$E18,"")</f>
        <v/>
      </c>
      <c r="AA18" s="26" t="str" cm="1">
        <f t="array" aca="1" ref="AA18" ca="1">IF(ISNUMBER(SEARCH(INDIRECT(ADDRESS(ROW(AA18),MOD(AA$1,4)+1)),AA$2)),$E18,"")</f>
        <v/>
      </c>
      <c r="AB18" s="26" t="str" cm="1">
        <f t="array" aca="1" ref="AB18" ca="1">IF(ISNUMBER(SEARCH(INDIRECT(ADDRESS(ROW(AB18),MOD(AB$1,4)+1)),AB$2)),$E18,"")</f>
        <v/>
      </c>
      <c r="AC18" s="26" t="str" cm="1">
        <f t="array" aca="1" ref="AC18" ca="1">IF(ISNUMBER(SEARCH(INDIRECT(ADDRESS(ROW(AC18),MOD(AC$1,4)+1)),AC$2)),$E18,"")</f>
        <v/>
      </c>
      <c r="AD18" s="26" t="str" cm="1">
        <f t="array" aca="1" ref="AD18" ca="1">IF(ISNUMBER(SEARCH(INDIRECT(ADDRESS(ROW(AD18),MOD(AD$1,4)+1)),AD$2)),$E18,"")</f>
        <v/>
      </c>
      <c r="AE18" s="26" t="str" cm="1">
        <f t="array" aca="1" ref="AE18" ca="1">IF(ISNUMBER(SEARCH(INDIRECT(ADDRESS(ROW(AE18),MOD(AE$1,4)+1)),AE$2)),$E18,"")</f>
        <v/>
      </c>
      <c r="AF18" s="26" t="str" cm="1">
        <f t="array" aca="1" ref="AF18" ca="1">IF(ISNUMBER(SEARCH(INDIRECT(ADDRESS(ROW(AF18),MOD(AF$1,4)+1)),AF$2)),$E18,"")</f>
        <v/>
      </c>
      <c r="AG18" s="26" t="str" cm="1">
        <f t="array" aca="1" ref="AG18" ca="1">IF(ISNUMBER(SEARCH(INDIRECT(ADDRESS(ROW(AG18),MOD(AG$1,4)+1)),AG$2)),$E18,"")</f>
        <v/>
      </c>
      <c r="AH18" s="26" t="str" cm="1">
        <f t="array" aca="1" ref="AH18" ca="1">IF(ISNUMBER(SEARCH(INDIRECT(ADDRESS(ROW(AH18),MOD(AH$1,4)+1)),AH$2)),$E18,"")</f>
        <v/>
      </c>
      <c r="AI18" s="26" t="str" cm="1">
        <f t="array" aca="1" ref="AI18" ca="1">IF(ISNUMBER(SEARCH(INDIRECT(ADDRESS(ROW(AI18),MOD(AI$1,4)+1)),AI$2)),$E18,"")</f>
        <v/>
      </c>
      <c r="AJ18" s="26" t="str" cm="1">
        <f t="array" aca="1" ref="AJ18" ca="1">IF(ISNUMBER(SEARCH(INDIRECT(ADDRESS(ROW(AJ18),MOD(AJ$1,4)+1)),AJ$2)),$E18,"")</f>
        <v/>
      </c>
      <c r="AK18" s="26" t="str" cm="1">
        <f t="array" aca="1" ref="AK18" ca="1">IF(ISNUMBER(SEARCH(INDIRECT(ADDRESS(ROW(AK18),MOD(AK$1,4)+1)),AK$2)),$E18,"")</f>
        <v/>
      </c>
      <c r="AL18" s="26" t="str" cm="1">
        <f t="array" aca="1" ref="AL18" ca="1">IF(ISNUMBER(SEARCH(INDIRECT(ADDRESS(ROW(AL18),MOD(AL$1,4)+1)),AL$2)),$E18,"")</f>
        <v/>
      </c>
      <c r="AM18" s="26" t="str" cm="1">
        <f t="array" aca="1" ref="AM18" ca="1">IF(ISNUMBER(SEARCH(INDIRECT(ADDRESS(ROW(AM18),MOD(AM$1,4)+1)),AM$2)),$E18,"")</f>
        <v/>
      </c>
      <c r="AN18" s="26" t="str" cm="1">
        <f t="array" aca="1" ref="AN18" ca="1">IF(ISNUMBER(SEARCH(INDIRECT(ADDRESS(ROW(AN18),MOD(AN$1,4)+1)),AN$2)),$E18,"")</f>
        <v/>
      </c>
      <c r="AO18" s="26" t="str" cm="1">
        <f t="array" aca="1" ref="AO18" ca="1">IF(ISNUMBER(SEARCH(INDIRECT(ADDRESS(ROW(AO18),MOD(AO$1,4)+1)),AO$2)),$E18,"")</f>
        <v/>
      </c>
      <c r="AP18" s="26" t="str" cm="1">
        <f t="array" aca="1" ref="AP18" ca="1">IF(ISNUMBER(SEARCH(INDIRECT(ADDRESS(ROW(AP18),MOD(AP$1,4)+1)),AP$2)),$E18,"")</f>
        <v/>
      </c>
      <c r="AQ18" s="31" t="str" cm="1">
        <f t="array" aca="1" ref="AQ18" ca="1">IF(ISNUMBER(SEARCH(INDIRECT(ADDRESS(ROW(AQ18),MOD(AQ$1,4)+1)),AQ$2)),$E18,"")</f>
        <v/>
      </c>
      <c r="AT18" t="e">
        <f>IF(VLOOKUP($E18,'Formatted NEW'!$B$2:$F$202,5,FALSE)=VLOOKUP($E18,'Formatted NEW'!$B$2:$F$202,8,FALSE),$E18,"")</f>
        <v>#N/A</v>
      </c>
      <c r="AW18" t="e">
        <f>IF(VLOOKUP($E18,'Formatted NEW'!$B$2:$F$202,5,FALSE)=VLOOKUP($E18,'Formatted NEW'!$B$2:$F$202,11,FALSE),$E18,"")</f>
        <v>#N/A</v>
      </c>
      <c r="AZ18" t="e">
        <f>IF(VLOOKUP($E18,'Formatted NEW'!$B$2:$F$202,5,FALSE)=VLOOKUP($E18,'Formatted NEW'!$B$2:$F$202,14,FALSE),$E18,"")</f>
        <v>#N/A</v>
      </c>
      <c r="BC18" t="str">
        <f>VLOOKUP($E18,'Formatted NEW'!$M$2:$T$202,6,FALSE)</f>
        <v>EMPTY</v>
      </c>
      <c r="BD18" s="26" t="e">
        <f>VLOOKUP(VLOOKUP(VLOOKUP($E18,'Formatted NEW'!$M$2:$O$202,2,FALSE),'Formatted NEW'!$D$2:$F$202,7,FALSE),'Formatted NEW'!$D$2:$O$202,12,FALSE)</f>
        <v>#REF!</v>
      </c>
      <c r="BE18" t="e">
        <f>VLOOKUP($BD18,'Formatted NEW'!$M$2:$T$202,5,FALSE)</f>
        <v>#REF!</v>
      </c>
      <c r="BF18" s="26" t="e">
        <f t="shared" si="1"/>
        <v>#REF!</v>
      </c>
      <c r="BH18">
        <f>VLOOKUP($E18,'Formatted NEW'!$M$2:$T$202,4,FALSE)</f>
        <v>0</v>
      </c>
      <c r="BI18" s="26" t="e">
        <f>VLOOKUP(VLOOKUP(VLOOKUP($E18,'Formatted NEW'!$M$2:$O$202,2,FALSE),'Formatted NEW'!$D$2:$F$202,10,FALSE),'Formatted NEW'!$D$2:$O$202,12,FALSE)</f>
        <v>#REF!</v>
      </c>
      <c r="BJ18" t="e">
        <f>VLOOKUP($BI18,'Formatted NEW'!$M$2:$T$202,3,FALSE)</f>
        <v>#REF!</v>
      </c>
      <c r="BK18" s="26" t="e">
        <f t="shared" si="2"/>
        <v>#REF!</v>
      </c>
    </row>
    <row r="19" spans="1:63" x14ac:dyDescent="0.25">
      <c r="A19" t="str">
        <f>'Formatted NEW'!Q17</f>
        <v>DIAG_BOTH</v>
      </c>
      <c r="B19" t="str">
        <f>'Formatted NEW'!R17</f>
        <v>EMPTY</v>
      </c>
      <c r="C19" t="str">
        <f>'Formatted NEW'!S17</f>
        <v>ORTHO_BOTH</v>
      </c>
      <c r="D19" t="str">
        <f>'Formatted NEW'!T17</f>
        <v>EMPTY</v>
      </c>
      <c r="E19" s="26">
        <f t="shared" si="0"/>
        <v>15</v>
      </c>
      <c r="H19" s="30" t="str" cm="1">
        <f t="array" aca="1" ref="H19" ca="1">IF(ISNUMBER(SEARCH(INDIRECT(ADDRESS(ROW(H19),MOD(H$1,4)+1)),H$2)),$E19,"")</f>
        <v/>
      </c>
      <c r="I19" s="26" t="str" cm="1">
        <f t="array" aca="1" ref="I19" ca="1">IF(ISNUMBER(SEARCH(INDIRECT(ADDRESS(ROW(I19),MOD(I$1,4)+1)),I$2)),$E19,"")</f>
        <v/>
      </c>
      <c r="J19" s="26" t="str" cm="1">
        <f t="array" aca="1" ref="J19" ca="1">IF(ISNUMBER(SEARCH(INDIRECT(ADDRESS(ROW(J19),MOD(J$1,4)+1)),J$2)),$E19,"")</f>
        <v/>
      </c>
      <c r="K19" s="26" t="str" cm="1">
        <f t="array" aca="1" ref="K19" ca="1">IF(ISNUMBER(SEARCH(INDIRECT(ADDRESS(ROW(K19),MOD(K$1,4)+1)),K$2)),$E19,"")</f>
        <v/>
      </c>
      <c r="L19" s="26" cm="1">
        <f t="array" aca="1" ref="L19" ca="1">IF(ISNUMBER(SEARCH(INDIRECT(ADDRESS(ROW(L19),MOD(L$1,4)+1)),L$2)),$E19,"")</f>
        <v>15</v>
      </c>
      <c r="M19" s="26" t="str" cm="1">
        <f t="array" aca="1" ref="M19" ca="1">IF(ISNUMBER(SEARCH(INDIRECT(ADDRESS(ROW(M19),MOD(M$1,4)+1)),M$2)),$E19,"")</f>
        <v/>
      </c>
      <c r="N19" s="26" t="str" cm="1">
        <f t="array" aca="1" ref="N19" ca="1">IF(ISNUMBER(SEARCH(INDIRECT(ADDRESS(ROW(N19),MOD(N$1,4)+1)),N$2)),$E19,"")</f>
        <v/>
      </c>
      <c r="O19" s="26" t="str" cm="1">
        <f t="array" aca="1" ref="O19" ca="1">IF(ISNUMBER(SEARCH(INDIRECT(ADDRESS(ROW(O19),MOD(O$1,4)+1)),O$2)),$E19,"")</f>
        <v/>
      </c>
      <c r="P19" s="26" t="str" cm="1">
        <f t="array" aca="1" ref="P19" ca="1">IF(ISNUMBER(SEARCH(INDIRECT(ADDRESS(ROW(P19),MOD(P$1,4)+1)),P$2)),$E19,"")</f>
        <v/>
      </c>
      <c r="Q19" s="26" t="str" cm="1">
        <f t="array" aca="1" ref="Q19" ca="1">IF(ISNUMBER(SEARCH(INDIRECT(ADDRESS(ROW(Q19),MOD(Q$1,4)+1)),Q$2)),$E19,"")</f>
        <v/>
      </c>
      <c r="R19" s="26" cm="1">
        <f t="array" aca="1" ref="R19" ca="1">IF(ISNUMBER(SEARCH(INDIRECT(ADDRESS(ROW(R19),MOD(R$1,4)+1)),R$2)),$E19,"")</f>
        <v>15</v>
      </c>
      <c r="S19" s="26" t="str" cm="1">
        <f t="array" aca="1" ref="S19" ca="1">IF(ISNUMBER(SEARCH(INDIRECT(ADDRESS(ROW(S19),MOD(S$1,4)+1)),S$2)),$E19,"")</f>
        <v/>
      </c>
      <c r="T19" s="26" t="str" cm="1">
        <f t="array" aca="1" ref="T19" ca="1">IF(ISNUMBER(SEARCH(INDIRECT(ADDRESS(ROW(T19),MOD(T$1,4)+1)),T$2)),$E19,"")</f>
        <v/>
      </c>
      <c r="U19" s="26" t="str" cm="1">
        <f t="array" aca="1" ref="U19" ca="1">IF(ISNUMBER(SEARCH(INDIRECT(ADDRESS(ROW(U19),MOD(U$1,4)+1)),U$2)),$E19,"")</f>
        <v/>
      </c>
      <c r="V19" s="26" t="str" cm="1">
        <f t="array" aca="1" ref="V19" ca="1">IF(ISNUMBER(SEARCH(INDIRECT(ADDRESS(ROW(V19),MOD(V$1,4)+1)),V$2)),$E19,"")</f>
        <v/>
      </c>
      <c r="W19" s="26" t="str" cm="1">
        <f t="array" aca="1" ref="W19" ca="1">IF(ISNUMBER(SEARCH(INDIRECT(ADDRESS(ROW(W19),MOD(W$1,4)+1)),W$2)),$E19,"")</f>
        <v/>
      </c>
      <c r="X19" s="26" t="str" cm="1">
        <f t="array" aca="1" ref="X19" ca="1">IF(ISNUMBER(SEARCH(INDIRECT(ADDRESS(ROW(X19),MOD(X$1,4)+1)),X$2)),$E19,"")</f>
        <v/>
      </c>
      <c r="Y19" s="26" t="str" cm="1">
        <f t="array" aca="1" ref="Y19" ca="1">IF(ISNUMBER(SEARCH(INDIRECT(ADDRESS(ROW(Y19),MOD(Y$1,4)+1)),Y$2)),$E19,"")</f>
        <v/>
      </c>
      <c r="Z19" s="26" t="str" cm="1">
        <f t="array" aca="1" ref="Z19" ca="1">IF(ISNUMBER(SEARCH(INDIRECT(ADDRESS(ROW(Z19),MOD(Z$1,4)+1)),Z$2)),$E19,"")</f>
        <v/>
      </c>
      <c r="AA19" s="26" t="str" cm="1">
        <f t="array" aca="1" ref="AA19" ca="1">IF(ISNUMBER(SEARCH(INDIRECT(ADDRESS(ROW(AA19),MOD(AA$1,4)+1)),AA$2)),$E19,"")</f>
        <v/>
      </c>
      <c r="AB19" s="26" t="str" cm="1">
        <f t="array" aca="1" ref="AB19" ca="1">IF(ISNUMBER(SEARCH(INDIRECT(ADDRESS(ROW(AB19),MOD(AB$1,4)+1)),AB$2)),$E19,"")</f>
        <v/>
      </c>
      <c r="AC19" s="26" t="str" cm="1">
        <f t="array" aca="1" ref="AC19" ca="1">IF(ISNUMBER(SEARCH(INDIRECT(ADDRESS(ROW(AC19),MOD(AC$1,4)+1)),AC$2)),$E19,"")</f>
        <v/>
      </c>
      <c r="AD19" s="26" t="str" cm="1">
        <f t="array" aca="1" ref="AD19" ca="1">IF(ISNUMBER(SEARCH(INDIRECT(ADDRESS(ROW(AD19),MOD(AD$1,4)+1)),AD$2)),$E19,"")</f>
        <v/>
      </c>
      <c r="AE19" s="26" t="str" cm="1">
        <f t="array" aca="1" ref="AE19" ca="1">IF(ISNUMBER(SEARCH(INDIRECT(ADDRESS(ROW(AE19),MOD(AE$1,4)+1)),AE$2)),$E19,"")</f>
        <v/>
      </c>
      <c r="AF19" s="26" t="str" cm="1">
        <f t="array" aca="1" ref="AF19" ca="1">IF(ISNUMBER(SEARCH(INDIRECT(ADDRESS(ROW(AF19),MOD(AF$1,4)+1)),AF$2)),$E19,"")</f>
        <v/>
      </c>
      <c r="AG19" s="26" t="str" cm="1">
        <f t="array" aca="1" ref="AG19" ca="1">IF(ISNUMBER(SEARCH(INDIRECT(ADDRESS(ROW(AG19),MOD(AG$1,4)+1)),AG$2)),$E19,"")</f>
        <v/>
      </c>
      <c r="AH19" s="26" t="str" cm="1">
        <f t="array" aca="1" ref="AH19" ca="1">IF(ISNUMBER(SEARCH(INDIRECT(ADDRESS(ROW(AH19),MOD(AH$1,4)+1)),AH$2)),$E19,"")</f>
        <v/>
      </c>
      <c r="AI19" s="26" t="str" cm="1">
        <f t="array" aca="1" ref="AI19" ca="1">IF(ISNUMBER(SEARCH(INDIRECT(ADDRESS(ROW(AI19),MOD(AI$1,4)+1)),AI$2)),$E19,"")</f>
        <v/>
      </c>
      <c r="AJ19" s="26" t="str" cm="1">
        <f t="array" aca="1" ref="AJ19" ca="1">IF(ISNUMBER(SEARCH(INDIRECT(ADDRESS(ROW(AJ19),MOD(AJ$1,4)+1)),AJ$2)),$E19,"")</f>
        <v/>
      </c>
      <c r="AK19" s="26" t="str" cm="1">
        <f t="array" aca="1" ref="AK19" ca="1">IF(ISNUMBER(SEARCH(INDIRECT(ADDRESS(ROW(AK19),MOD(AK$1,4)+1)),AK$2)),$E19,"")</f>
        <v/>
      </c>
      <c r="AL19" s="26" t="str" cm="1">
        <f t="array" aca="1" ref="AL19" ca="1">IF(ISNUMBER(SEARCH(INDIRECT(ADDRESS(ROW(AL19),MOD(AL$1,4)+1)),AL$2)),$E19,"")</f>
        <v/>
      </c>
      <c r="AM19" s="26" t="str" cm="1">
        <f t="array" aca="1" ref="AM19" ca="1">IF(ISNUMBER(SEARCH(INDIRECT(ADDRESS(ROW(AM19),MOD(AM$1,4)+1)),AM$2)),$E19,"")</f>
        <v/>
      </c>
      <c r="AN19" s="26" t="str" cm="1">
        <f t="array" aca="1" ref="AN19" ca="1">IF(ISNUMBER(SEARCH(INDIRECT(ADDRESS(ROW(AN19),MOD(AN$1,4)+1)),AN$2)),$E19,"")</f>
        <v/>
      </c>
      <c r="AO19" s="26" t="str" cm="1">
        <f t="array" aca="1" ref="AO19" ca="1">IF(ISNUMBER(SEARCH(INDIRECT(ADDRESS(ROW(AO19),MOD(AO$1,4)+1)),AO$2)),$E19,"")</f>
        <v/>
      </c>
      <c r="AP19" s="26" t="str" cm="1">
        <f t="array" aca="1" ref="AP19" ca="1">IF(ISNUMBER(SEARCH(INDIRECT(ADDRESS(ROW(AP19),MOD(AP$1,4)+1)),AP$2)),$E19,"")</f>
        <v/>
      </c>
      <c r="AQ19" s="31" t="str" cm="1">
        <f t="array" aca="1" ref="AQ19" ca="1">IF(ISNUMBER(SEARCH(INDIRECT(ADDRESS(ROW(AQ19),MOD(AQ$1,4)+1)),AQ$2)),$E19,"")</f>
        <v/>
      </c>
      <c r="AT19" t="e">
        <f>IF(VLOOKUP($E19,'Formatted NEW'!$B$2:$F$202,5,FALSE)=VLOOKUP($E19,'Formatted NEW'!$B$2:$F$202,8,FALSE),$E19,"")</f>
        <v>#N/A</v>
      </c>
      <c r="AW19" t="e">
        <f>IF(VLOOKUP($E19,'Formatted NEW'!$B$2:$F$202,5,FALSE)=VLOOKUP($E19,'Formatted NEW'!$B$2:$F$202,11,FALSE),$E19,"")</f>
        <v>#N/A</v>
      </c>
      <c r="AZ19" t="e">
        <f>IF(VLOOKUP($E19,'Formatted NEW'!$B$2:$F$202,5,FALSE)=VLOOKUP($E19,'Formatted NEW'!$B$2:$F$202,14,FALSE),$E19,"")</f>
        <v>#N/A</v>
      </c>
      <c r="BC19" t="str">
        <f>VLOOKUP($E19,'Formatted NEW'!$M$2:$T$202,6,FALSE)</f>
        <v>EMPTY</v>
      </c>
      <c r="BD19" s="26" t="e">
        <f>VLOOKUP(VLOOKUP(VLOOKUP($E19,'Formatted NEW'!$M$2:$O$202,2,FALSE),'Formatted NEW'!$D$2:$F$202,7,FALSE),'Formatted NEW'!$D$2:$O$202,12,FALSE)</f>
        <v>#REF!</v>
      </c>
      <c r="BE19" t="e">
        <f>VLOOKUP($BD19,'Formatted NEW'!$M$2:$T$202,5,FALSE)</f>
        <v>#REF!</v>
      </c>
      <c r="BF19" s="26" t="e">
        <f t="shared" si="1"/>
        <v>#REF!</v>
      </c>
      <c r="BH19">
        <f>VLOOKUP($E19,'Formatted NEW'!$M$2:$T$202,4,FALSE)</f>
        <v>0</v>
      </c>
      <c r="BI19" s="26" t="e">
        <f>VLOOKUP(VLOOKUP(VLOOKUP($E19,'Formatted NEW'!$M$2:$O$202,2,FALSE),'Formatted NEW'!$D$2:$F$202,10,FALSE),'Formatted NEW'!$D$2:$O$202,12,FALSE)</f>
        <v>#REF!</v>
      </c>
      <c r="BJ19" t="e">
        <f>VLOOKUP($BI19,'Formatted NEW'!$M$2:$T$202,3,FALSE)</f>
        <v>#REF!</v>
      </c>
      <c r="BK19" s="26" t="e">
        <f t="shared" si="2"/>
        <v>#REF!</v>
      </c>
    </row>
    <row r="20" spans="1:63" x14ac:dyDescent="0.25">
      <c r="A20" t="str">
        <f>'Formatted NEW'!Q18</f>
        <v>EMPTY</v>
      </c>
      <c r="B20" t="str">
        <f>'Formatted NEW'!R18</f>
        <v>ORTHO_BOTH</v>
      </c>
      <c r="C20" t="str">
        <f>'Formatted NEW'!S18</f>
        <v>DIAG_BOTH</v>
      </c>
      <c r="D20" t="str">
        <f>'Formatted NEW'!T18</f>
        <v>EMPTY</v>
      </c>
      <c r="E20" s="26">
        <f t="shared" si="0"/>
        <v>16</v>
      </c>
      <c r="H20" s="30" t="str" cm="1">
        <f t="array" aca="1" ref="H20" ca="1">IF(ISNUMBER(SEARCH(INDIRECT(ADDRESS(ROW(H20),MOD(H$1,4)+1)),H$2)),$E20,"")</f>
        <v/>
      </c>
      <c r="I20" s="26" t="str" cm="1">
        <f t="array" aca="1" ref="I20" ca="1">IF(ISNUMBER(SEARCH(INDIRECT(ADDRESS(ROW(I20),MOD(I$1,4)+1)),I$2)),$E20,"")</f>
        <v/>
      </c>
      <c r="J20" s="26" t="str" cm="1">
        <f t="array" aca="1" ref="J20" ca="1">IF(ISNUMBER(SEARCH(INDIRECT(ADDRESS(ROW(J20),MOD(J$1,4)+1)),J$2)),$E20,"")</f>
        <v/>
      </c>
      <c r="K20" s="26" t="str" cm="1">
        <f t="array" aca="1" ref="K20" ca="1">IF(ISNUMBER(SEARCH(INDIRECT(ADDRESS(ROW(K20),MOD(K$1,4)+1)),K$2)),$E20,"")</f>
        <v/>
      </c>
      <c r="L20" s="26" t="str" cm="1">
        <f t="array" aca="1" ref="L20" ca="1">IF(ISNUMBER(SEARCH(INDIRECT(ADDRESS(ROW(L20),MOD(L$1,4)+1)),L$2)),$E20,"")</f>
        <v/>
      </c>
      <c r="M20" s="26" t="str" cm="1">
        <f t="array" aca="1" ref="M20" ca="1">IF(ISNUMBER(SEARCH(INDIRECT(ADDRESS(ROW(M20),MOD(M$1,4)+1)),M$2)),$E20,"")</f>
        <v/>
      </c>
      <c r="N20" s="26" cm="1">
        <f t="array" aca="1" ref="N20" ca="1">IF(ISNUMBER(SEARCH(INDIRECT(ADDRESS(ROW(N20),MOD(N$1,4)+1)),N$2)),$E20,"")</f>
        <v>16</v>
      </c>
      <c r="O20" s="26" t="str" cm="1">
        <f t="array" aca="1" ref="O20" ca="1">IF(ISNUMBER(SEARCH(INDIRECT(ADDRESS(ROW(O20),MOD(O$1,4)+1)),O$2)),$E20,"")</f>
        <v/>
      </c>
      <c r="P20" s="26" t="str" cm="1">
        <f t="array" aca="1" ref="P20" ca="1">IF(ISNUMBER(SEARCH(INDIRECT(ADDRESS(ROW(P20),MOD(P$1,4)+1)),P$2)),$E20,"")</f>
        <v/>
      </c>
      <c r="Q20" s="26" cm="1">
        <f t="array" aca="1" ref="Q20" ca="1">IF(ISNUMBER(SEARCH(INDIRECT(ADDRESS(ROW(Q20),MOD(Q$1,4)+1)),Q$2)),$E20,"")</f>
        <v>16</v>
      </c>
      <c r="R20" s="26" t="str" cm="1">
        <f t="array" aca="1" ref="R20" ca="1">IF(ISNUMBER(SEARCH(INDIRECT(ADDRESS(ROW(R20),MOD(R$1,4)+1)),R$2)),$E20,"")</f>
        <v/>
      </c>
      <c r="S20" s="26" t="str" cm="1">
        <f t="array" aca="1" ref="S20" ca="1">IF(ISNUMBER(SEARCH(INDIRECT(ADDRESS(ROW(S20),MOD(S$1,4)+1)),S$2)),$E20,"")</f>
        <v/>
      </c>
      <c r="T20" s="26" t="str" cm="1">
        <f t="array" aca="1" ref="T20" ca="1">IF(ISNUMBER(SEARCH(INDIRECT(ADDRESS(ROW(T20),MOD(T$1,4)+1)),T$2)),$E20,"")</f>
        <v/>
      </c>
      <c r="U20" s="26" t="str" cm="1">
        <f t="array" aca="1" ref="U20" ca="1">IF(ISNUMBER(SEARCH(INDIRECT(ADDRESS(ROW(U20),MOD(U$1,4)+1)),U$2)),$E20,"")</f>
        <v/>
      </c>
      <c r="V20" s="26" t="str" cm="1">
        <f t="array" aca="1" ref="V20" ca="1">IF(ISNUMBER(SEARCH(INDIRECT(ADDRESS(ROW(V20),MOD(V$1,4)+1)),V$2)),$E20,"")</f>
        <v/>
      </c>
      <c r="W20" s="26" t="str" cm="1">
        <f t="array" aca="1" ref="W20" ca="1">IF(ISNUMBER(SEARCH(INDIRECT(ADDRESS(ROW(W20),MOD(W$1,4)+1)),W$2)),$E20,"")</f>
        <v/>
      </c>
      <c r="X20" s="26" t="str" cm="1">
        <f t="array" aca="1" ref="X20" ca="1">IF(ISNUMBER(SEARCH(INDIRECT(ADDRESS(ROW(X20),MOD(X$1,4)+1)),X$2)),$E20,"")</f>
        <v/>
      </c>
      <c r="Y20" s="26" t="str" cm="1">
        <f t="array" aca="1" ref="Y20" ca="1">IF(ISNUMBER(SEARCH(INDIRECT(ADDRESS(ROW(Y20),MOD(Y$1,4)+1)),Y$2)),$E20,"")</f>
        <v/>
      </c>
      <c r="Z20" s="26" t="str" cm="1">
        <f t="array" aca="1" ref="Z20" ca="1">IF(ISNUMBER(SEARCH(INDIRECT(ADDRESS(ROW(Z20),MOD(Z$1,4)+1)),Z$2)),$E20,"")</f>
        <v/>
      </c>
      <c r="AA20" s="26" t="str" cm="1">
        <f t="array" aca="1" ref="AA20" ca="1">IF(ISNUMBER(SEARCH(INDIRECT(ADDRESS(ROW(AA20),MOD(AA$1,4)+1)),AA$2)),$E20,"")</f>
        <v/>
      </c>
      <c r="AB20" s="26" t="str" cm="1">
        <f t="array" aca="1" ref="AB20" ca="1">IF(ISNUMBER(SEARCH(INDIRECT(ADDRESS(ROW(AB20),MOD(AB$1,4)+1)),AB$2)),$E20,"")</f>
        <v/>
      </c>
      <c r="AC20" s="26" t="str" cm="1">
        <f t="array" aca="1" ref="AC20" ca="1">IF(ISNUMBER(SEARCH(INDIRECT(ADDRESS(ROW(AC20),MOD(AC$1,4)+1)),AC$2)),$E20,"")</f>
        <v/>
      </c>
      <c r="AD20" s="26" t="str" cm="1">
        <f t="array" aca="1" ref="AD20" ca="1">IF(ISNUMBER(SEARCH(INDIRECT(ADDRESS(ROW(AD20),MOD(AD$1,4)+1)),AD$2)),$E20,"")</f>
        <v/>
      </c>
      <c r="AE20" s="26" t="str" cm="1">
        <f t="array" aca="1" ref="AE20" ca="1">IF(ISNUMBER(SEARCH(INDIRECT(ADDRESS(ROW(AE20),MOD(AE$1,4)+1)),AE$2)),$E20,"")</f>
        <v/>
      </c>
      <c r="AF20" s="26" t="str" cm="1">
        <f t="array" aca="1" ref="AF20" ca="1">IF(ISNUMBER(SEARCH(INDIRECT(ADDRESS(ROW(AF20),MOD(AF$1,4)+1)),AF$2)),$E20,"")</f>
        <v/>
      </c>
      <c r="AG20" s="26" t="str" cm="1">
        <f t="array" aca="1" ref="AG20" ca="1">IF(ISNUMBER(SEARCH(INDIRECT(ADDRESS(ROW(AG20),MOD(AG$1,4)+1)),AG$2)),$E20,"")</f>
        <v/>
      </c>
      <c r="AH20" s="26" t="str" cm="1">
        <f t="array" aca="1" ref="AH20" ca="1">IF(ISNUMBER(SEARCH(INDIRECT(ADDRESS(ROW(AH20),MOD(AH$1,4)+1)),AH$2)),$E20,"")</f>
        <v/>
      </c>
      <c r="AI20" s="26" t="str" cm="1">
        <f t="array" aca="1" ref="AI20" ca="1">IF(ISNUMBER(SEARCH(INDIRECT(ADDRESS(ROW(AI20),MOD(AI$1,4)+1)),AI$2)),$E20,"")</f>
        <v/>
      </c>
      <c r="AJ20" s="26" t="str" cm="1">
        <f t="array" aca="1" ref="AJ20" ca="1">IF(ISNUMBER(SEARCH(INDIRECT(ADDRESS(ROW(AJ20),MOD(AJ$1,4)+1)),AJ$2)),$E20,"")</f>
        <v/>
      </c>
      <c r="AK20" s="26" t="str" cm="1">
        <f t="array" aca="1" ref="AK20" ca="1">IF(ISNUMBER(SEARCH(INDIRECT(ADDRESS(ROW(AK20),MOD(AK$1,4)+1)),AK$2)),$E20,"")</f>
        <v/>
      </c>
      <c r="AL20" s="26" t="str" cm="1">
        <f t="array" aca="1" ref="AL20" ca="1">IF(ISNUMBER(SEARCH(INDIRECT(ADDRESS(ROW(AL20),MOD(AL$1,4)+1)),AL$2)),$E20,"")</f>
        <v/>
      </c>
      <c r="AM20" s="26" t="str" cm="1">
        <f t="array" aca="1" ref="AM20" ca="1">IF(ISNUMBER(SEARCH(INDIRECT(ADDRESS(ROW(AM20),MOD(AM$1,4)+1)),AM$2)),$E20,"")</f>
        <v/>
      </c>
      <c r="AN20" s="26" t="str" cm="1">
        <f t="array" aca="1" ref="AN20" ca="1">IF(ISNUMBER(SEARCH(INDIRECT(ADDRESS(ROW(AN20),MOD(AN$1,4)+1)),AN$2)),$E20,"")</f>
        <v/>
      </c>
      <c r="AO20" s="26" t="str" cm="1">
        <f t="array" aca="1" ref="AO20" ca="1">IF(ISNUMBER(SEARCH(INDIRECT(ADDRESS(ROW(AO20),MOD(AO$1,4)+1)),AO$2)),$E20,"")</f>
        <v/>
      </c>
      <c r="AP20" s="26" t="str" cm="1">
        <f t="array" aca="1" ref="AP20" ca="1">IF(ISNUMBER(SEARCH(INDIRECT(ADDRESS(ROW(AP20),MOD(AP$1,4)+1)),AP$2)),$E20,"")</f>
        <v/>
      </c>
      <c r="AQ20" s="31" t="str" cm="1">
        <f t="array" aca="1" ref="AQ20" ca="1">IF(ISNUMBER(SEARCH(INDIRECT(ADDRESS(ROW(AQ20),MOD(AQ$1,4)+1)),AQ$2)),$E20,"")</f>
        <v/>
      </c>
      <c r="AT20" t="e">
        <f>IF(VLOOKUP($E20,'Formatted NEW'!$B$2:$F$202,5,FALSE)=VLOOKUP($E20,'Formatted NEW'!$B$2:$F$202,8,FALSE),$E20,"")</f>
        <v>#N/A</v>
      </c>
      <c r="AW20" t="e">
        <f>IF(VLOOKUP($E20,'Formatted NEW'!$B$2:$F$202,5,FALSE)=VLOOKUP($E20,'Formatted NEW'!$B$2:$F$202,11,FALSE),$E20,"")</f>
        <v>#N/A</v>
      </c>
      <c r="AZ20" t="e">
        <f>IF(VLOOKUP($E20,'Formatted NEW'!$B$2:$F$202,5,FALSE)=VLOOKUP($E20,'Formatted NEW'!$B$2:$F$202,14,FALSE),$E20,"")</f>
        <v>#N/A</v>
      </c>
      <c r="BC20" t="str">
        <f>VLOOKUP($E20,'Formatted NEW'!$M$2:$T$202,6,FALSE)</f>
        <v>ORTHO_BOTH</v>
      </c>
      <c r="BD20" s="26" t="e">
        <f>VLOOKUP(VLOOKUP(VLOOKUP($E20,'Formatted NEW'!$M$2:$O$202,2,FALSE),'Formatted NEW'!$D$2:$F$202,7,FALSE),'Formatted NEW'!$D$2:$O$202,12,FALSE)</f>
        <v>#REF!</v>
      </c>
      <c r="BE20" t="e">
        <f>VLOOKUP($BD20,'Formatted NEW'!$M$2:$T$202,5,FALSE)</f>
        <v>#REF!</v>
      </c>
      <c r="BF20" s="26" t="e">
        <f t="shared" si="1"/>
        <v>#REF!</v>
      </c>
      <c r="BH20">
        <f>VLOOKUP($E20,'Formatted NEW'!$M$2:$T$202,4,FALSE)</f>
        <v>0</v>
      </c>
      <c r="BI20" s="26" t="e">
        <f>VLOOKUP(VLOOKUP(VLOOKUP($E20,'Formatted NEW'!$M$2:$O$202,2,FALSE),'Formatted NEW'!$D$2:$F$202,10,FALSE),'Formatted NEW'!$D$2:$O$202,12,FALSE)</f>
        <v>#REF!</v>
      </c>
      <c r="BJ20" t="e">
        <f>VLOOKUP($BI20,'Formatted NEW'!$M$2:$T$202,3,FALSE)</f>
        <v>#REF!</v>
      </c>
      <c r="BK20" s="26" t="e">
        <f t="shared" si="2"/>
        <v>#REF!</v>
      </c>
    </row>
    <row r="21" spans="1:63" x14ac:dyDescent="0.25">
      <c r="A21" t="str">
        <f>'Formatted NEW'!Q19</f>
        <v>EMPTY</v>
      </c>
      <c r="B21" t="str">
        <f>'Formatted NEW'!R19</f>
        <v>EMPTY</v>
      </c>
      <c r="C21" t="str">
        <f>'Formatted NEW'!S19</f>
        <v>DIAG_BOTH</v>
      </c>
      <c r="D21" t="str">
        <f>'Formatted NEW'!T19</f>
        <v>DIAG_BOTH</v>
      </c>
      <c r="E21" s="26">
        <f t="shared" si="0"/>
        <v>17</v>
      </c>
      <c r="H21" s="30" t="str" cm="1">
        <f t="array" aca="1" ref="H21" ca="1">IF(ISNUMBER(SEARCH(INDIRECT(ADDRESS(ROW(H21),MOD(H$1,4)+1)),H$2)),$E21,"")</f>
        <v/>
      </c>
      <c r="I21" s="26" t="str" cm="1">
        <f t="array" aca="1" ref="I21" ca="1">IF(ISNUMBER(SEARCH(INDIRECT(ADDRESS(ROW(I21),MOD(I$1,4)+1)),I$2)),$E21,"")</f>
        <v/>
      </c>
      <c r="J21" s="26" t="str" cm="1">
        <f t="array" aca="1" ref="J21" ca="1">IF(ISNUMBER(SEARCH(INDIRECT(ADDRESS(ROW(J21),MOD(J$1,4)+1)),J$2)),$E21,"")</f>
        <v/>
      </c>
      <c r="K21" s="26" t="str" cm="1">
        <f t="array" aca="1" ref="K21" ca="1">IF(ISNUMBER(SEARCH(INDIRECT(ADDRESS(ROW(K21),MOD(K$1,4)+1)),K$2)),$E21,"")</f>
        <v/>
      </c>
      <c r="L21" s="26" t="str" cm="1">
        <f t="array" aca="1" ref="L21" ca="1">IF(ISNUMBER(SEARCH(INDIRECT(ADDRESS(ROW(L21),MOD(L$1,4)+1)),L$2)),$E21,"")</f>
        <v/>
      </c>
      <c r="M21" s="26" t="str" cm="1">
        <f t="array" aca="1" ref="M21" ca="1">IF(ISNUMBER(SEARCH(INDIRECT(ADDRESS(ROW(M21),MOD(M$1,4)+1)),M$2)),$E21,"")</f>
        <v/>
      </c>
      <c r="N21" s="26" cm="1">
        <f t="array" aca="1" ref="N21" ca="1">IF(ISNUMBER(SEARCH(INDIRECT(ADDRESS(ROW(N21),MOD(N$1,4)+1)),N$2)),$E21,"")</f>
        <v>17</v>
      </c>
      <c r="O21" s="26" cm="1">
        <f t="array" aca="1" ref="O21" ca="1">IF(ISNUMBER(SEARCH(INDIRECT(ADDRESS(ROW(O21),MOD(O$1,4)+1)),O$2)),$E21,"")</f>
        <v>17</v>
      </c>
      <c r="P21" s="26" t="str" cm="1">
        <f t="array" aca="1" ref="P21" ca="1">IF(ISNUMBER(SEARCH(INDIRECT(ADDRESS(ROW(P21),MOD(P$1,4)+1)),P$2)),$E21,"")</f>
        <v/>
      </c>
      <c r="Q21" s="26" t="str" cm="1">
        <f t="array" aca="1" ref="Q21" ca="1">IF(ISNUMBER(SEARCH(INDIRECT(ADDRESS(ROW(Q21),MOD(Q$1,4)+1)),Q$2)),$E21,"")</f>
        <v/>
      </c>
      <c r="R21" s="26" t="str" cm="1">
        <f t="array" aca="1" ref="R21" ca="1">IF(ISNUMBER(SEARCH(INDIRECT(ADDRESS(ROW(R21),MOD(R$1,4)+1)),R$2)),$E21,"")</f>
        <v/>
      </c>
      <c r="S21" s="26" t="str" cm="1">
        <f t="array" aca="1" ref="S21" ca="1">IF(ISNUMBER(SEARCH(INDIRECT(ADDRESS(ROW(S21),MOD(S$1,4)+1)),S$2)),$E21,"")</f>
        <v/>
      </c>
      <c r="T21" s="26" t="str" cm="1">
        <f t="array" aca="1" ref="T21" ca="1">IF(ISNUMBER(SEARCH(INDIRECT(ADDRESS(ROW(T21),MOD(T$1,4)+1)),T$2)),$E21,"")</f>
        <v/>
      </c>
      <c r="U21" s="26" t="str" cm="1">
        <f t="array" aca="1" ref="U21" ca="1">IF(ISNUMBER(SEARCH(INDIRECT(ADDRESS(ROW(U21),MOD(U$1,4)+1)),U$2)),$E21,"")</f>
        <v/>
      </c>
      <c r="V21" s="26" t="str" cm="1">
        <f t="array" aca="1" ref="V21" ca="1">IF(ISNUMBER(SEARCH(INDIRECT(ADDRESS(ROW(V21),MOD(V$1,4)+1)),V$2)),$E21,"")</f>
        <v/>
      </c>
      <c r="W21" s="26" t="str" cm="1">
        <f t="array" aca="1" ref="W21" ca="1">IF(ISNUMBER(SEARCH(INDIRECT(ADDRESS(ROW(W21),MOD(W$1,4)+1)),W$2)),$E21,"")</f>
        <v/>
      </c>
      <c r="X21" s="26" t="str" cm="1">
        <f t="array" aca="1" ref="X21" ca="1">IF(ISNUMBER(SEARCH(INDIRECT(ADDRESS(ROW(X21),MOD(X$1,4)+1)),X$2)),$E21,"")</f>
        <v/>
      </c>
      <c r="Y21" s="26" t="str" cm="1">
        <f t="array" aca="1" ref="Y21" ca="1">IF(ISNUMBER(SEARCH(INDIRECT(ADDRESS(ROW(Y21),MOD(Y$1,4)+1)),Y$2)),$E21,"")</f>
        <v/>
      </c>
      <c r="Z21" s="26" t="str" cm="1">
        <f t="array" aca="1" ref="Z21" ca="1">IF(ISNUMBER(SEARCH(INDIRECT(ADDRESS(ROW(Z21),MOD(Z$1,4)+1)),Z$2)),$E21,"")</f>
        <v/>
      </c>
      <c r="AA21" s="26" t="str" cm="1">
        <f t="array" aca="1" ref="AA21" ca="1">IF(ISNUMBER(SEARCH(INDIRECT(ADDRESS(ROW(AA21),MOD(AA$1,4)+1)),AA$2)),$E21,"")</f>
        <v/>
      </c>
      <c r="AB21" s="26" t="str" cm="1">
        <f t="array" aca="1" ref="AB21" ca="1">IF(ISNUMBER(SEARCH(INDIRECT(ADDRESS(ROW(AB21),MOD(AB$1,4)+1)),AB$2)),$E21,"")</f>
        <v/>
      </c>
      <c r="AC21" s="26" t="str" cm="1">
        <f t="array" aca="1" ref="AC21" ca="1">IF(ISNUMBER(SEARCH(INDIRECT(ADDRESS(ROW(AC21),MOD(AC$1,4)+1)),AC$2)),$E21,"")</f>
        <v/>
      </c>
      <c r="AD21" s="26" t="str" cm="1">
        <f t="array" aca="1" ref="AD21" ca="1">IF(ISNUMBER(SEARCH(INDIRECT(ADDRESS(ROW(AD21),MOD(AD$1,4)+1)),AD$2)),$E21,"")</f>
        <v/>
      </c>
      <c r="AE21" s="26" t="str" cm="1">
        <f t="array" aca="1" ref="AE21" ca="1">IF(ISNUMBER(SEARCH(INDIRECT(ADDRESS(ROW(AE21),MOD(AE$1,4)+1)),AE$2)),$E21,"")</f>
        <v/>
      </c>
      <c r="AF21" s="26" t="str" cm="1">
        <f t="array" aca="1" ref="AF21" ca="1">IF(ISNUMBER(SEARCH(INDIRECT(ADDRESS(ROW(AF21),MOD(AF$1,4)+1)),AF$2)),$E21,"")</f>
        <v/>
      </c>
      <c r="AG21" s="26" t="str" cm="1">
        <f t="array" aca="1" ref="AG21" ca="1">IF(ISNUMBER(SEARCH(INDIRECT(ADDRESS(ROW(AG21),MOD(AG$1,4)+1)),AG$2)),$E21,"")</f>
        <v/>
      </c>
      <c r="AH21" s="26" t="str" cm="1">
        <f t="array" aca="1" ref="AH21" ca="1">IF(ISNUMBER(SEARCH(INDIRECT(ADDRESS(ROW(AH21),MOD(AH$1,4)+1)),AH$2)),$E21,"")</f>
        <v/>
      </c>
      <c r="AI21" s="26" t="str" cm="1">
        <f t="array" aca="1" ref="AI21" ca="1">IF(ISNUMBER(SEARCH(INDIRECT(ADDRESS(ROW(AI21),MOD(AI$1,4)+1)),AI$2)),$E21,"")</f>
        <v/>
      </c>
      <c r="AJ21" s="26" t="str" cm="1">
        <f t="array" aca="1" ref="AJ21" ca="1">IF(ISNUMBER(SEARCH(INDIRECT(ADDRESS(ROW(AJ21),MOD(AJ$1,4)+1)),AJ$2)),$E21,"")</f>
        <v/>
      </c>
      <c r="AK21" s="26" t="str" cm="1">
        <f t="array" aca="1" ref="AK21" ca="1">IF(ISNUMBER(SEARCH(INDIRECT(ADDRESS(ROW(AK21),MOD(AK$1,4)+1)),AK$2)),$E21,"")</f>
        <v/>
      </c>
      <c r="AL21" s="26" t="str" cm="1">
        <f t="array" aca="1" ref="AL21" ca="1">IF(ISNUMBER(SEARCH(INDIRECT(ADDRESS(ROW(AL21),MOD(AL$1,4)+1)),AL$2)),$E21,"")</f>
        <v/>
      </c>
      <c r="AM21" s="26" t="str" cm="1">
        <f t="array" aca="1" ref="AM21" ca="1">IF(ISNUMBER(SEARCH(INDIRECT(ADDRESS(ROW(AM21),MOD(AM$1,4)+1)),AM$2)),$E21,"")</f>
        <v/>
      </c>
      <c r="AN21" s="26" t="str" cm="1">
        <f t="array" aca="1" ref="AN21" ca="1">IF(ISNUMBER(SEARCH(INDIRECT(ADDRESS(ROW(AN21),MOD(AN$1,4)+1)),AN$2)),$E21,"")</f>
        <v/>
      </c>
      <c r="AO21" s="26" t="str" cm="1">
        <f t="array" aca="1" ref="AO21" ca="1">IF(ISNUMBER(SEARCH(INDIRECT(ADDRESS(ROW(AO21),MOD(AO$1,4)+1)),AO$2)),$E21,"")</f>
        <v/>
      </c>
      <c r="AP21" s="26" t="str" cm="1">
        <f t="array" aca="1" ref="AP21" ca="1">IF(ISNUMBER(SEARCH(INDIRECT(ADDRESS(ROW(AP21),MOD(AP$1,4)+1)),AP$2)),$E21,"")</f>
        <v/>
      </c>
      <c r="AQ21" s="31" t="str" cm="1">
        <f t="array" aca="1" ref="AQ21" ca="1">IF(ISNUMBER(SEARCH(INDIRECT(ADDRESS(ROW(AQ21),MOD(AQ$1,4)+1)),AQ$2)),$E21,"")</f>
        <v/>
      </c>
      <c r="AT21" t="e">
        <f>IF(VLOOKUP($E21,'Formatted NEW'!$B$2:$F$202,5,FALSE)=VLOOKUP($E21,'Formatted NEW'!$B$2:$F$202,8,FALSE),$E21,"")</f>
        <v>#N/A</v>
      </c>
      <c r="AW21" t="e">
        <f>IF(VLOOKUP($E21,'Formatted NEW'!$B$2:$F$202,5,FALSE)=VLOOKUP($E21,'Formatted NEW'!$B$2:$F$202,11,FALSE),$E21,"")</f>
        <v>#N/A</v>
      </c>
      <c r="AZ21" t="e">
        <f>IF(VLOOKUP($E21,'Formatted NEW'!$B$2:$F$202,5,FALSE)=VLOOKUP($E21,'Formatted NEW'!$B$2:$F$202,14,FALSE),$E21,"")</f>
        <v>#N/A</v>
      </c>
      <c r="BC21" t="str">
        <f>VLOOKUP($E21,'Formatted NEW'!$M$2:$T$202,6,FALSE)</f>
        <v>EMPTY</v>
      </c>
      <c r="BD21" s="26" t="e">
        <f>VLOOKUP(VLOOKUP(VLOOKUP($E21,'Formatted NEW'!$M$2:$O$202,2,FALSE),'Formatted NEW'!$D$2:$F$202,7,FALSE),'Formatted NEW'!$D$2:$O$202,12,FALSE)</f>
        <v>#REF!</v>
      </c>
      <c r="BE21" t="e">
        <f>VLOOKUP($BD21,'Formatted NEW'!$M$2:$T$202,5,FALSE)</f>
        <v>#REF!</v>
      </c>
      <c r="BF21" s="26" t="e">
        <f t="shared" si="1"/>
        <v>#REF!</v>
      </c>
      <c r="BH21">
        <f>VLOOKUP($E21,'Formatted NEW'!$M$2:$T$202,4,FALSE)</f>
        <v>0</v>
      </c>
      <c r="BI21" s="26" t="e">
        <f>VLOOKUP(VLOOKUP(VLOOKUP($E21,'Formatted NEW'!$M$2:$O$202,2,FALSE),'Formatted NEW'!$D$2:$F$202,10,FALSE),'Formatted NEW'!$D$2:$O$202,12,FALSE)</f>
        <v>#REF!</v>
      </c>
      <c r="BJ21" t="e">
        <f>VLOOKUP($BI21,'Formatted NEW'!$M$2:$T$202,3,FALSE)</f>
        <v>#REF!</v>
      </c>
      <c r="BK21" s="26" t="e">
        <f t="shared" si="2"/>
        <v>#REF!</v>
      </c>
    </row>
    <row r="22" spans="1:63" x14ac:dyDescent="0.25">
      <c r="A22" t="str">
        <f>'Formatted NEW'!Q20</f>
        <v>ORTHO_BOTH</v>
      </c>
      <c r="B22" t="str">
        <f>'Formatted NEW'!R20</f>
        <v>ORTHO_BOTH</v>
      </c>
      <c r="C22" t="str">
        <f>'Formatted NEW'!S20</f>
        <v>DIAG_BOTH</v>
      </c>
      <c r="D22" t="str">
        <f>'Formatted NEW'!T20</f>
        <v>DIAG_BOTH</v>
      </c>
      <c r="E22" s="26">
        <f t="shared" si="0"/>
        <v>18</v>
      </c>
      <c r="H22" s="30" t="str" cm="1">
        <f t="array" aca="1" ref="H22" ca="1">IF(ISNUMBER(SEARCH(INDIRECT(ADDRESS(ROW(H22),MOD(H$1,4)+1)),H$2)),$E22,"")</f>
        <v/>
      </c>
      <c r="I22" s="26" t="str" cm="1">
        <f t="array" aca="1" ref="I22" ca="1">IF(ISNUMBER(SEARCH(INDIRECT(ADDRESS(ROW(I22),MOD(I$1,4)+1)),I$2)),$E22,"")</f>
        <v/>
      </c>
      <c r="J22" s="26" t="str" cm="1">
        <f t="array" aca="1" ref="J22" ca="1">IF(ISNUMBER(SEARCH(INDIRECT(ADDRESS(ROW(J22),MOD(J$1,4)+1)),J$2)),$E22,"")</f>
        <v/>
      </c>
      <c r="K22" s="26" t="str" cm="1">
        <f t="array" aca="1" ref="K22" ca="1">IF(ISNUMBER(SEARCH(INDIRECT(ADDRESS(ROW(K22),MOD(K$1,4)+1)),K$2)),$E22,"")</f>
        <v/>
      </c>
      <c r="L22" s="26" t="str" cm="1">
        <f t="array" aca="1" ref="L22" ca="1">IF(ISNUMBER(SEARCH(INDIRECT(ADDRESS(ROW(L22),MOD(L$1,4)+1)),L$2)),$E22,"")</f>
        <v/>
      </c>
      <c r="M22" s="26" t="str" cm="1">
        <f t="array" aca="1" ref="M22" ca="1">IF(ISNUMBER(SEARCH(INDIRECT(ADDRESS(ROW(M22),MOD(M$1,4)+1)),M$2)),$E22,"")</f>
        <v/>
      </c>
      <c r="N22" s="26" cm="1">
        <f t="array" aca="1" ref="N22" ca="1">IF(ISNUMBER(SEARCH(INDIRECT(ADDRESS(ROW(N22),MOD(N$1,4)+1)),N$2)),$E22,"")</f>
        <v>18</v>
      </c>
      <c r="O22" s="26" cm="1">
        <f t="array" aca="1" ref="O22" ca="1">IF(ISNUMBER(SEARCH(INDIRECT(ADDRESS(ROW(O22),MOD(O$1,4)+1)),O$2)),$E22,"")</f>
        <v>18</v>
      </c>
      <c r="P22" s="26" cm="1">
        <f t="array" aca="1" ref="P22" ca="1">IF(ISNUMBER(SEARCH(INDIRECT(ADDRESS(ROW(P22),MOD(P$1,4)+1)),P$2)),$E22,"")</f>
        <v>18</v>
      </c>
      <c r="Q22" s="26" cm="1">
        <f t="array" aca="1" ref="Q22" ca="1">IF(ISNUMBER(SEARCH(INDIRECT(ADDRESS(ROW(Q22),MOD(Q$1,4)+1)),Q$2)),$E22,"")</f>
        <v>18</v>
      </c>
      <c r="R22" s="26" t="str" cm="1">
        <f t="array" aca="1" ref="R22" ca="1">IF(ISNUMBER(SEARCH(INDIRECT(ADDRESS(ROW(R22),MOD(R$1,4)+1)),R$2)),$E22,"")</f>
        <v/>
      </c>
      <c r="S22" s="26" t="str" cm="1">
        <f t="array" aca="1" ref="S22" ca="1">IF(ISNUMBER(SEARCH(INDIRECT(ADDRESS(ROW(S22),MOD(S$1,4)+1)),S$2)),$E22,"")</f>
        <v/>
      </c>
      <c r="T22" s="26" t="str" cm="1">
        <f t="array" aca="1" ref="T22" ca="1">IF(ISNUMBER(SEARCH(INDIRECT(ADDRESS(ROW(T22),MOD(T$1,4)+1)),T$2)),$E22,"")</f>
        <v/>
      </c>
      <c r="U22" s="26" t="str" cm="1">
        <f t="array" aca="1" ref="U22" ca="1">IF(ISNUMBER(SEARCH(INDIRECT(ADDRESS(ROW(U22),MOD(U$1,4)+1)),U$2)),$E22,"")</f>
        <v/>
      </c>
      <c r="V22" s="26" t="str" cm="1">
        <f t="array" aca="1" ref="V22" ca="1">IF(ISNUMBER(SEARCH(INDIRECT(ADDRESS(ROW(V22),MOD(V$1,4)+1)),V$2)),$E22,"")</f>
        <v/>
      </c>
      <c r="W22" s="26" t="str" cm="1">
        <f t="array" aca="1" ref="W22" ca="1">IF(ISNUMBER(SEARCH(INDIRECT(ADDRESS(ROW(W22),MOD(W$1,4)+1)),W$2)),$E22,"")</f>
        <v/>
      </c>
      <c r="X22" s="26" t="str" cm="1">
        <f t="array" aca="1" ref="X22" ca="1">IF(ISNUMBER(SEARCH(INDIRECT(ADDRESS(ROW(X22),MOD(X$1,4)+1)),X$2)),$E22,"")</f>
        <v/>
      </c>
      <c r="Y22" s="26" t="str" cm="1">
        <f t="array" aca="1" ref="Y22" ca="1">IF(ISNUMBER(SEARCH(INDIRECT(ADDRESS(ROW(Y22),MOD(Y$1,4)+1)),Y$2)),$E22,"")</f>
        <v/>
      </c>
      <c r="Z22" s="26" t="str" cm="1">
        <f t="array" aca="1" ref="Z22" ca="1">IF(ISNUMBER(SEARCH(INDIRECT(ADDRESS(ROW(Z22),MOD(Z$1,4)+1)),Z$2)),$E22,"")</f>
        <v/>
      </c>
      <c r="AA22" s="26" t="str" cm="1">
        <f t="array" aca="1" ref="AA22" ca="1">IF(ISNUMBER(SEARCH(INDIRECT(ADDRESS(ROW(AA22),MOD(AA$1,4)+1)),AA$2)),$E22,"")</f>
        <v/>
      </c>
      <c r="AB22" s="26" t="str" cm="1">
        <f t="array" aca="1" ref="AB22" ca="1">IF(ISNUMBER(SEARCH(INDIRECT(ADDRESS(ROW(AB22),MOD(AB$1,4)+1)),AB$2)),$E22,"")</f>
        <v/>
      </c>
      <c r="AC22" s="26" t="str" cm="1">
        <f t="array" aca="1" ref="AC22" ca="1">IF(ISNUMBER(SEARCH(INDIRECT(ADDRESS(ROW(AC22),MOD(AC$1,4)+1)),AC$2)),$E22,"")</f>
        <v/>
      </c>
      <c r="AD22" s="26" t="str" cm="1">
        <f t="array" aca="1" ref="AD22" ca="1">IF(ISNUMBER(SEARCH(INDIRECT(ADDRESS(ROW(AD22),MOD(AD$1,4)+1)),AD$2)),$E22,"")</f>
        <v/>
      </c>
      <c r="AE22" s="26" t="str" cm="1">
        <f t="array" aca="1" ref="AE22" ca="1">IF(ISNUMBER(SEARCH(INDIRECT(ADDRESS(ROW(AE22),MOD(AE$1,4)+1)),AE$2)),$E22,"")</f>
        <v/>
      </c>
      <c r="AF22" s="26" t="str" cm="1">
        <f t="array" aca="1" ref="AF22" ca="1">IF(ISNUMBER(SEARCH(INDIRECT(ADDRESS(ROW(AF22),MOD(AF$1,4)+1)),AF$2)),$E22,"")</f>
        <v/>
      </c>
      <c r="AG22" s="26" t="str" cm="1">
        <f t="array" aca="1" ref="AG22" ca="1">IF(ISNUMBER(SEARCH(INDIRECT(ADDRESS(ROW(AG22),MOD(AG$1,4)+1)),AG$2)),$E22,"")</f>
        <v/>
      </c>
      <c r="AH22" s="26" t="str" cm="1">
        <f t="array" aca="1" ref="AH22" ca="1">IF(ISNUMBER(SEARCH(INDIRECT(ADDRESS(ROW(AH22),MOD(AH$1,4)+1)),AH$2)),$E22,"")</f>
        <v/>
      </c>
      <c r="AI22" s="26" t="str" cm="1">
        <f t="array" aca="1" ref="AI22" ca="1">IF(ISNUMBER(SEARCH(INDIRECT(ADDRESS(ROW(AI22),MOD(AI$1,4)+1)),AI$2)),$E22,"")</f>
        <v/>
      </c>
      <c r="AJ22" s="26" t="str" cm="1">
        <f t="array" aca="1" ref="AJ22" ca="1">IF(ISNUMBER(SEARCH(INDIRECT(ADDRESS(ROW(AJ22),MOD(AJ$1,4)+1)),AJ$2)),$E22,"")</f>
        <v/>
      </c>
      <c r="AK22" s="26" t="str" cm="1">
        <f t="array" aca="1" ref="AK22" ca="1">IF(ISNUMBER(SEARCH(INDIRECT(ADDRESS(ROW(AK22),MOD(AK$1,4)+1)),AK$2)),$E22,"")</f>
        <v/>
      </c>
      <c r="AL22" s="26" t="str" cm="1">
        <f t="array" aca="1" ref="AL22" ca="1">IF(ISNUMBER(SEARCH(INDIRECT(ADDRESS(ROW(AL22),MOD(AL$1,4)+1)),AL$2)),$E22,"")</f>
        <v/>
      </c>
      <c r="AM22" s="26" t="str" cm="1">
        <f t="array" aca="1" ref="AM22" ca="1">IF(ISNUMBER(SEARCH(INDIRECT(ADDRESS(ROW(AM22),MOD(AM$1,4)+1)),AM$2)),$E22,"")</f>
        <v/>
      </c>
      <c r="AN22" s="26" t="str" cm="1">
        <f t="array" aca="1" ref="AN22" ca="1">IF(ISNUMBER(SEARCH(INDIRECT(ADDRESS(ROW(AN22),MOD(AN$1,4)+1)),AN$2)),$E22,"")</f>
        <v/>
      </c>
      <c r="AO22" s="26" t="str" cm="1">
        <f t="array" aca="1" ref="AO22" ca="1">IF(ISNUMBER(SEARCH(INDIRECT(ADDRESS(ROW(AO22),MOD(AO$1,4)+1)),AO$2)),$E22,"")</f>
        <v/>
      </c>
      <c r="AP22" s="26" t="str" cm="1">
        <f t="array" aca="1" ref="AP22" ca="1">IF(ISNUMBER(SEARCH(INDIRECT(ADDRESS(ROW(AP22),MOD(AP$1,4)+1)),AP$2)),$E22,"")</f>
        <v/>
      </c>
      <c r="AQ22" s="31" t="str" cm="1">
        <f t="array" aca="1" ref="AQ22" ca="1">IF(ISNUMBER(SEARCH(INDIRECT(ADDRESS(ROW(AQ22),MOD(AQ$1,4)+1)),AQ$2)),$E22,"")</f>
        <v/>
      </c>
      <c r="AT22" t="e">
        <f>IF(VLOOKUP($E22,'Formatted NEW'!$B$2:$F$202,5,FALSE)=VLOOKUP($E22,'Formatted NEW'!$B$2:$F$202,8,FALSE),$E22,"")</f>
        <v>#N/A</v>
      </c>
      <c r="AW22" t="e">
        <f>IF(VLOOKUP($E22,'Formatted NEW'!$B$2:$F$202,5,FALSE)=VLOOKUP($E22,'Formatted NEW'!$B$2:$F$202,11,FALSE),$E22,"")</f>
        <v>#N/A</v>
      </c>
      <c r="AZ22" t="e">
        <f>IF(VLOOKUP($E22,'Formatted NEW'!$B$2:$F$202,5,FALSE)=VLOOKUP($E22,'Formatted NEW'!$B$2:$F$202,14,FALSE),$E22,"")</f>
        <v>#N/A</v>
      </c>
      <c r="BC22" t="str">
        <f>VLOOKUP($E22,'Formatted NEW'!$M$2:$T$202,6,FALSE)</f>
        <v>ORTHO_BOTH</v>
      </c>
      <c r="BD22" s="26" t="e">
        <f>VLOOKUP(VLOOKUP(VLOOKUP($E22,'Formatted NEW'!$M$2:$O$202,2,FALSE),'Formatted NEW'!$D$2:$F$202,7,FALSE),'Formatted NEW'!$D$2:$O$202,12,FALSE)</f>
        <v>#REF!</v>
      </c>
      <c r="BE22" t="e">
        <f>VLOOKUP($BD22,'Formatted NEW'!$M$2:$T$202,5,FALSE)</f>
        <v>#REF!</v>
      </c>
      <c r="BF22" s="26" t="e">
        <f t="shared" si="1"/>
        <v>#REF!</v>
      </c>
      <c r="BH22">
        <f>VLOOKUP($E22,'Formatted NEW'!$M$2:$T$202,4,FALSE)</f>
        <v>0</v>
      </c>
      <c r="BI22" s="26" t="e">
        <f>VLOOKUP(VLOOKUP(VLOOKUP($E22,'Formatted NEW'!$M$2:$O$202,2,FALSE),'Formatted NEW'!$D$2:$F$202,10,FALSE),'Formatted NEW'!$D$2:$O$202,12,FALSE)</f>
        <v>#REF!</v>
      </c>
      <c r="BJ22" t="e">
        <f>VLOOKUP($BI22,'Formatted NEW'!$M$2:$T$202,3,FALSE)</f>
        <v>#REF!</v>
      </c>
      <c r="BK22" s="26" t="e">
        <f t="shared" si="2"/>
        <v>#REF!</v>
      </c>
    </row>
    <row r="23" spans="1:63" x14ac:dyDescent="0.25">
      <c r="A23" t="str">
        <f>'Formatted NEW'!Q21</f>
        <v>DIAG_BOTH</v>
      </c>
      <c r="B23" t="str">
        <f>'Formatted NEW'!R21</f>
        <v>DIAG_BOTH</v>
      </c>
      <c r="C23" t="str">
        <f>'Formatted NEW'!S21</f>
        <v>ORTHO_BOTH</v>
      </c>
      <c r="D23" t="str">
        <f>'Formatted NEW'!T21</f>
        <v>ORTHO_BOTH</v>
      </c>
      <c r="E23" s="26">
        <f t="shared" si="0"/>
        <v>19</v>
      </c>
      <c r="H23" s="30" t="str" cm="1">
        <f t="array" aca="1" ref="H23" ca="1">IF(ISNUMBER(SEARCH(INDIRECT(ADDRESS(ROW(H23),MOD(H$1,4)+1)),H$2)),$E23,"")</f>
        <v/>
      </c>
      <c r="I23" s="26" t="str" cm="1">
        <f t="array" aca="1" ref="I23" ca="1">IF(ISNUMBER(SEARCH(INDIRECT(ADDRESS(ROW(I23),MOD(I$1,4)+1)),I$2)),$E23,"")</f>
        <v/>
      </c>
      <c r="J23" s="26" t="str" cm="1">
        <f t="array" aca="1" ref="J23" ca="1">IF(ISNUMBER(SEARCH(INDIRECT(ADDRESS(ROW(J23),MOD(J$1,4)+1)),J$2)),$E23,"")</f>
        <v/>
      </c>
      <c r="K23" s="26" t="str" cm="1">
        <f t="array" aca="1" ref="K23" ca="1">IF(ISNUMBER(SEARCH(INDIRECT(ADDRESS(ROW(K23),MOD(K$1,4)+1)),K$2)),$E23,"")</f>
        <v/>
      </c>
      <c r="L23" s="26" cm="1">
        <f t="array" aca="1" ref="L23" ca="1">IF(ISNUMBER(SEARCH(INDIRECT(ADDRESS(ROW(L23),MOD(L$1,4)+1)),L$2)),$E23,"")</f>
        <v>19</v>
      </c>
      <c r="M23" s="26" cm="1">
        <f t="array" aca="1" ref="M23" ca="1">IF(ISNUMBER(SEARCH(INDIRECT(ADDRESS(ROW(M23),MOD(M$1,4)+1)),M$2)),$E23,"")</f>
        <v>19</v>
      </c>
      <c r="N23" s="26" t="str" cm="1">
        <f t="array" aca="1" ref="N23" ca="1">IF(ISNUMBER(SEARCH(INDIRECT(ADDRESS(ROW(N23),MOD(N$1,4)+1)),N$2)),$E23,"")</f>
        <v/>
      </c>
      <c r="O23" s="26" t="str" cm="1">
        <f t="array" aca="1" ref="O23" ca="1">IF(ISNUMBER(SEARCH(INDIRECT(ADDRESS(ROW(O23),MOD(O$1,4)+1)),O$2)),$E23,"")</f>
        <v/>
      </c>
      <c r="P23" s="26" t="str" cm="1">
        <f t="array" aca="1" ref="P23" ca="1">IF(ISNUMBER(SEARCH(INDIRECT(ADDRESS(ROW(P23),MOD(P$1,4)+1)),P$2)),$E23,"")</f>
        <v/>
      </c>
      <c r="Q23" s="26" t="str" cm="1">
        <f t="array" aca="1" ref="Q23" ca="1">IF(ISNUMBER(SEARCH(INDIRECT(ADDRESS(ROW(Q23),MOD(Q$1,4)+1)),Q$2)),$E23,"")</f>
        <v/>
      </c>
      <c r="R23" s="26" cm="1">
        <f t="array" aca="1" ref="R23" ca="1">IF(ISNUMBER(SEARCH(INDIRECT(ADDRESS(ROW(R23),MOD(R$1,4)+1)),R$2)),$E23,"")</f>
        <v>19</v>
      </c>
      <c r="S23" s="26" cm="1">
        <f t="array" aca="1" ref="S23" ca="1">IF(ISNUMBER(SEARCH(INDIRECT(ADDRESS(ROW(S23),MOD(S$1,4)+1)),S$2)),$E23,"")</f>
        <v>19</v>
      </c>
      <c r="T23" s="26" t="str" cm="1">
        <f t="array" aca="1" ref="T23" ca="1">IF(ISNUMBER(SEARCH(INDIRECT(ADDRESS(ROW(T23),MOD(T$1,4)+1)),T$2)),$E23,"")</f>
        <v/>
      </c>
      <c r="U23" s="26" t="str" cm="1">
        <f t="array" aca="1" ref="U23" ca="1">IF(ISNUMBER(SEARCH(INDIRECT(ADDRESS(ROW(U23),MOD(U$1,4)+1)),U$2)),$E23,"")</f>
        <v/>
      </c>
      <c r="V23" s="26" t="str" cm="1">
        <f t="array" aca="1" ref="V23" ca="1">IF(ISNUMBER(SEARCH(INDIRECT(ADDRESS(ROW(V23),MOD(V$1,4)+1)),V$2)),$E23,"")</f>
        <v/>
      </c>
      <c r="W23" s="26" t="str" cm="1">
        <f t="array" aca="1" ref="W23" ca="1">IF(ISNUMBER(SEARCH(INDIRECT(ADDRESS(ROW(W23),MOD(W$1,4)+1)),W$2)),$E23,"")</f>
        <v/>
      </c>
      <c r="X23" s="26" t="str" cm="1">
        <f t="array" aca="1" ref="X23" ca="1">IF(ISNUMBER(SEARCH(INDIRECT(ADDRESS(ROW(X23),MOD(X$1,4)+1)),X$2)),$E23,"")</f>
        <v/>
      </c>
      <c r="Y23" s="26" t="str" cm="1">
        <f t="array" aca="1" ref="Y23" ca="1">IF(ISNUMBER(SEARCH(INDIRECT(ADDRESS(ROW(Y23),MOD(Y$1,4)+1)),Y$2)),$E23,"")</f>
        <v/>
      </c>
      <c r="Z23" s="26" t="str" cm="1">
        <f t="array" aca="1" ref="Z23" ca="1">IF(ISNUMBER(SEARCH(INDIRECT(ADDRESS(ROW(Z23),MOD(Z$1,4)+1)),Z$2)),$E23,"")</f>
        <v/>
      </c>
      <c r="AA23" s="26" t="str" cm="1">
        <f t="array" aca="1" ref="AA23" ca="1">IF(ISNUMBER(SEARCH(INDIRECT(ADDRESS(ROW(AA23),MOD(AA$1,4)+1)),AA$2)),$E23,"")</f>
        <v/>
      </c>
      <c r="AB23" s="26" t="str" cm="1">
        <f t="array" aca="1" ref="AB23" ca="1">IF(ISNUMBER(SEARCH(INDIRECT(ADDRESS(ROW(AB23),MOD(AB$1,4)+1)),AB$2)),$E23,"")</f>
        <v/>
      </c>
      <c r="AC23" s="26" t="str" cm="1">
        <f t="array" aca="1" ref="AC23" ca="1">IF(ISNUMBER(SEARCH(INDIRECT(ADDRESS(ROW(AC23),MOD(AC$1,4)+1)),AC$2)),$E23,"")</f>
        <v/>
      </c>
      <c r="AD23" s="26" t="str" cm="1">
        <f t="array" aca="1" ref="AD23" ca="1">IF(ISNUMBER(SEARCH(INDIRECT(ADDRESS(ROW(AD23),MOD(AD$1,4)+1)),AD$2)),$E23,"")</f>
        <v/>
      </c>
      <c r="AE23" s="26" t="str" cm="1">
        <f t="array" aca="1" ref="AE23" ca="1">IF(ISNUMBER(SEARCH(INDIRECT(ADDRESS(ROW(AE23),MOD(AE$1,4)+1)),AE$2)),$E23,"")</f>
        <v/>
      </c>
      <c r="AF23" s="26" t="str" cm="1">
        <f t="array" aca="1" ref="AF23" ca="1">IF(ISNUMBER(SEARCH(INDIRECT(ADDRESS(ROW(AF23),MOD(AF$1,4)+1)),AF$2)),$E23,"")</f>
        <v/>
      </c>
      <c r="AG23" s="26" t="str" cm="1">
        <f t="array" aca="1" ref="AG23" ca="1">IF(ISNUMBER(SEARCH(INDIRECT(ADDRESS(ROW(AG23),MOD(AG$1,4)+1)),AG$2)),$E23,"")</f>
        <v/>
      </c>
      <c r="AH23" s="26" t="str" cm="1">
        <f t="array" aca="1" ref="AH23" ca="1">IF(ISNUMBER(SEARCH(INDIRECT(ADDRESS(ROW(AH23),MOD(AH$1,4)+1)),AH$2)),$E23,"")</f>
        <v/>
      </c>
      <c r="AI23" s="26" t="str" cm="1">
        <f t="array" aca="1" ref="AI23" ca="1">IF(ISNUMBER(SEARCH(INDIRECT(ADDRESS(ROW(AI23),MOD(AI$1,4)+1)),AI$2)),$E23,"")</f>
        <v/>
      </c>
      <c r="AJ23" s="26" t="str" cm="1">
        <f t="array" aca="1" ref="AJ23" ca="1">IF(ISNUMBER(SEARCH(INDIRECT(ADDRESS(ROW(AJ23),MOD(AJ$1,4)+1)),AJ$2)),$E23,"")</f>
        <v/>
      </c>
      <c r="AK23" s="26" t="str" cm="1">
        <f t="array" aca="1" ref="AK23" ca="1">IF(ISNUMBER(SEARCH(INDIRECT(ADDRESS(ROW(AK23),MOD(AK$1,4)+1)),AK$2)),$E23,"")</f>
        <v/>
      </c>
      <c r="AL23" s="26" t="str" cm="1">
        <f t="array" aca="1" ref="AL23" ca="1">IF(ISNUMBER(SEARCH(INDIRECT(ADDRESS(ROW(AL23),MOD(AL$1,4)+1)),AL$2)),$E23,"")</f>
        <v/>
      </c>
      <c r="AM23" s="26" t="str" cm="1">
        <f t="array" aca="1" ref="AM23" ca="1">IF(ISNUMBER(SEARCH(INDIRECT(ADDRESS(ROW(AM23),MOD(AM$1,4)+1)),AM$2)),$E23,"")</f>
        <v/>
      </c>
      <c r="AN23" s="26" t="str" cm="1">
        <f t="array" aca="1" ref="AN23" ca="1">IF(ISNUMBER(SEARCH(INDIRECT(ADDRESS(ROW(AN23),MOD(AN$1,4)+1)),AN$2)),$E23,"")</f>
        <v/>
      </c>
      <c r="AO23" s="26" t="str" cm="1">
        <f t="array" aca="1" ref="AO23" ca="1">IF(ISNUMBER(SEARCH(INDIRECT(ADDRESS(ROW(AO23),MOD(AO$1,4)+1)),AO$2)),$E23,"")</f>
        <v/>
      </c>
      <c r="AP23" s="26" t="str" cm="1">
        <f t="array" aca="1" ref="AP23" ca="1">IF(ISNUMBER(SEARCH(INDIRECT(ADDRESS(ROW(AP23),MOD(AP$1,4)+1)),AP$2)),$E23,"")</f>
        <v/>
      </c>
      <c r="AQ23" s="31" t="str" cm="1">
        <f t="array" aca="1" ref="AQ23" ca="1">IF(ISNUMBER(SEARCH(INDIRECT(ADDRESS(ROW(AQ23),MOD(AQ$1,4)+1)),AQ$2)),$E23,"")</f>
        <v/>
      </c>
      <c r="AT23" t="e">
        <f>IF(VLOOKUP($E23,'Formatted NEW'!$B$2:$F$202,5,FALSE)=VLOOKUP($E23,'Formatted NEW'!$B$2:$F$202,8,FALSE),$E23,"")</f>
        <v>#N/A</v>
      </c>
      <c r="AW23" t="e">
        <f>IF(VLOOKUP($E23,'Formatted NEW'!$B$2:$F$202,5,FALSE)=VLOOKUP($E23,'Formatted NEW'!$B$2:$F$202,11,FALSE),$E23,"")</f>
        <v>#N/A</v>
      </c>
      <c r="AZ23" t="e">
        <f>IF(VLOOKUP($E23,'Formatted NEW'!$B$2:$F$202,5,FALSE)=VLOOKUP($E23,'Formatted NEW'!$B$2:$F$202,14,FALSE),$E23,"")</f>
        <v>#N/A</v>
      </c>
      <c r="BC23" t="str">
        <f>VLOOKUP($E23,'Formatted NEW'!$M$2:$T$202,6,FALSE)</f>
        <v>DIAG_BOTH</v>
      </c>
      <c r="BD23" s="26" t="e">
        <f>VLOOKUP(VLOOKUP(VLOOKUP($E23,'Formatted NEW'!$M$2:$O$202,2,FALSE),'Formatted NEW'!$D$2:$F$202,7,FALSE),'Formatted NEW'!$D$2:$O$202,12,FALSE)</f>
        <v>#REF!</v>
      </c>
      <c r="BE23" t="e">
        <f>VLOOKUP($BD23,'Formatted NEW'!$M$2:$T$202,5,FALSE)</f>
        <v>#REF!</v>
      </c>
      <c r="BF23" s="26" t="e">
        <f t="shared" si="1"/>
        <v>#REF!</v>
      </c>
      <c r="BH23">
        <f>VLOOKUP($E23,'Formatted NEW'!$M$2:$T$202,4,FALSE)</f>
        <v>0</v>
      </c>
      <c r="BI23" s="26" t="e">
        <f>VLOOKUP(VLOOKUP(VLOOKUP($E23,'Formatted NEW'!$M$2:$O$202,2,FALSE),'Formatted NEW'!$D$2:$F$202,10,FALSE),'Formatted NEW'!$D$2:$O$202,12,FALSE)</f>
        <v>#REF!</v>
      </c>
      <c r="BJ23" t="e">
        <f>VLOOKUP($BI23,'Formatted NEW'!$M$2:$T$202,3,FALSE)</f>
        <v>#REF!</v>
      </c>
      <c r="BK23" s="26" t="e">
        <f t="shared" si="2"/>
        <v>#REF!</v>
      </c>
    </row>
    <row r="24" spans="1:63" x14ac:dyDescent="0.25">
      <c r="A24" t="str">
        <f>'Formatted NEW'!Q22</f>
        <v>EMPTY</v>
      </c>
      <c r="B24" t="str">
        <f>'Formatted NEW'!R22</f>
        <v>DIAG_BOTH</v>
      </c>
      <c r="C24" t="str">
        <f>'Formatted NEW'!S22</f>
        <v>EMPTY</v>
      </c>
      <c r="D24" t="str">
        <f>'Formatted NEW'!T22</f>
        <v>EMPTY</v>
      </c>
      <c r="E24" s="26">
        <f t="shared" si="0"/>
        <v>20</v>
      </c>
      <c r="H24" s="30" t="str" cm="1">
        <f t="array" aca="1" ref="H24" ca="1">IF(ISNUMBER(SEARCH(INDIRECT(ADDRESS(ROW(H24),MOD(H$1,4)+1)),H$2)),$E24,"")</f>
        <v/>
      </c>
      <c r="I24" s="26" t="str" cm="1">
        <f t="array" aca="1" ref="I24" ca="1">IF(ISNUMBER(SEARCH(INDIRECT(ADDRESS(ROW(I24),MOD(I$1,4)+1)),I$2)),$E24,"")</f>
        <v/>
      </c>
      <c r="J24" s="26" t="str" cm="1">
        <f t="array" aca="1" ref="J24" ca="1">IF(ISNUMBER(SEARCH(INDIRECT(ADDRESS(ROW(J24),MOD(J$1,4)+1)),J$2)),$E24,"")</f>
        <v/>
      </c>
      <c r="K24" s="26" t="str" cm="1">
        <f t="array" aca="1" ref="K24" ca="1">IF(ISNUMBER(SEARCH(INDIRECT(ADDRESS(ROW(K24),MOD(K$1,4)+1)),K$2)),$E24,"")</f>
        <v/>
      </c>
      <c r="L24" s="26" t="str" cm="1">
        <f t="array" aca="1" ref="L24" ca="1">IF(ISNUMBER(SEARCH(INDIRECT(ADDRESS(ROW(L24),MOD(L$1,4)+1)),L$2)),$E24,"")</f>
        <v/>
      </c>
      <c r="M24" s="26" cm="1">
        <f t="array" aca="1" ref="M24" ca="1">IF(ISNUMBER(SEARCH(INDIRECT(ADDRESS(ROW(M24),MOD(M$1,4)+1)),M$2)),$E24,"")</f>
        <v>20</v>
      </c>
      <c r="N24" s="26" t="str" cm="1">
        <f t="array" aca="1" ref="N24" ca="1">IF(ISNUMBER(SEARCH(INDIRECT(ADDRESS(ROW(N24),MOD(N$1,4)+1)),N$2)),$E24,"")</f>
        <v/>
      </c>
      <c r="O24" s="26" t="str" cm="1">
        <f t="array" aca="1" ref="O24" ca="1">IF(ISNUMBER(SEARCH(INDIRECT(ADDRESS(ROW(O24),MOD(O$1,4)+1)),O$2)),$E24,"")</f>
        <v/>
      </c>
      <c r="P24" s="26" t="str" cm="1">
        <f t="array" aca="1" ref="P24" ca="1">IF(ISNUMBER(SEARCH(INDIRECT(ADDRESS(ROW(P24),MOD(P$1,4)+1)),P$2)),$E24,"")</f>
        <v/>
      </c>
      <c r="Q24" s="26" t="str" cm="1">
        <f t="array" aca="1" ref="Q24" ca="1">IF(ISNUMBER(SEARCH(INDIRECT(ADDRESS(ROW(Q24),MOD(Q$1,4)+1)),Q$2)),$E24,"")</f>
        <v/>
      </c>
      <c r="R24" s="26" t="str" cm="1">
        <f t="array" aca="1" ref="R24" ca="1">IF(ISNUMBER(SEARCH(INDIRECT(ADDRESS(ROW(R24),MOD(R$1,4)+1)),R$2)),$E24,"")</f>
        <v/>
      </c>
      <c r="S24" s="26" t="str" cm="1">
        <f t="array" aca="1" ref="S24" ca="1">IF(ISNUMBER(SEARCH(INDIRECT(ADDRESS(ROW(S24),MOD(S$1,4)+1)),S$2)),$E24,"")</f>
        <v/>
      </c>
      <c r="T24" s="26" t="str" cm="1">
        <f t="array" aca="1" ref="T24" ca="1">IF(ISNUMBER(SEARCH(INDIRECT(ADDRESS(ROW(T24),MOD(T$1,4)+1)),T$2)),$E24,"")</f>
        <v/>
      </c>
      <c r="U24" s="26" t="str" cm="1">
        <f t="array" aca="1" ref="U24" ca="1">IF(ISNUMBER(SEARCH(INDIRECT(ADDRESS(ROW(U24),MOD(U$1,4)+1)),U$2)),$E24,"")</f>
        <v/>
      </c>
      <c r="V24" s="26" t="str" cm="1">
        <f t="array" aca="1" ref="V24" ca="1">IF(ISNUMBER(SEARCH(INDIRECT(ADDRESS(ROW(V24),MOD(V$1,4)+1)),V$2)),$E24,"")</f>
        <v/>
      </c>
      <c r="W24" s="26" t="str" cm="1">
        <f t="array" aca="1" ref="W24" ca="1">IF(ISNUMBER(SEARCH(INDIRECT(ADDRESS(ROW(W24),MOD(W$1,4)+1)),W$2)),$E24,"")</f>
        <v/>
      </c>
      <c r="X24" s="26" t="str" cm="1">
        <f t="array" aca="1" ref="X24" ca="1">IF(ISNUMBER(SEARCH(INDIRECT(ADDRESS(ROW(X24),MOD(X$1,4)+1)),X$2)),$E24,"")</f>
        <v/>
      </c>
      <c r="Y24" s="26" t="str" cm="1">
        <f t="array" aca="1" ref="Y24" ca="1">IF(ISNUMBER(SEARCH(INDIRECT(ADDRESS(ROW(Y24),MOD(Y$1,4)+1)),Y$2)),$E24,"")</f>
        <v/>
      </c>
      <c r="Z24" s="26" t="str" cm="1">
        <f t="array" aca="1" ref="Z24" ca="1">IF(ISNUMBER(SEARCH(INDIRECT(ADDRESS(ROW(Z24),MOD(Z$1,4)+1)),Z$2)),$E24,"")</f>
        <v/>
      </c>
      <c r="AA24" s="26" t="str" cm="1">
        <f t="array" aca="1" ref="AA24" ca="1">IF(ISNUMBER(SEARCH(INDIRECT(ADDRESS(ROW(AA24),MOD(AA$1,4)+1)),AA$2)),$E24,"")</f>
        <v/>
      </c>
      <c r="AB24" s="26" t="str" cm="1">
        <f t="array" aca="1" ref="AB24" ca="1">IF(ISNUMBER(SEARCH(INDIRECT(ADDRESS(ROW(AB24),MOD(AB$1,4)+1)),AB$2)),$E24,"")</f>
        <v/>
      </c>
      <c r="AC24" s="26" t="str" cm="1">
        <f t="array" aca="1" ref="AC24" ca="1">IF(ISNUMBER(SEARCH(INDIRECT(ADDRESS(ROW(AC24),MOD(AC$1,4)+1)),AC$2)),$E24,"")</f>
        <v/>
      </c>
      <c r="AD24" s="26" t="str" cm="1">
        <f t="array" aca="1" ref="AD24" ca="1">IF(ISNUMBER(SEARCH(INDIRECT(ADDRESS(ROW(AD24),MOD(AD$1,4)+1)),AD$2)),$E24,"")</f>
        <v/>
      </c>
      <c r="AE24" s="26" t="str" cm="1">
        <f t="array" aca="1" ref="AE24" ca="1">IF(ISNUMBER(SEARCH(INDIRECT(ADDRESS(ROW(AE24),MOD(AE$1,4)+1)),AE$2)),$E24,"")</f>
        <v/>
      </c>
      <c r="AF24" s="26" t="str" cm="1">
        <f t="array" aca="1" ref="AF24" ca="1">IF(ISNUMBER(SEARCH(INDIRECT(ADDRESS(ROW(AF24),MOD(AF$1,4)+1)),AF$2)),$E24,"")</f>
        <v/>
      </c>
      <c r="AG24" s="26" t="str" cm="1">
        <f t="array" aca="1" ref="AG24" ca="1">IF(ISNUMBER(SEARCH(INDIRECT(ADDRESS(ROW(AG24),MOD(AG$1,4)+1)),AG$2)),$E24,"")</f>
        <v/>
      </c>
      <c r="AH24" s="26" t="str" cm="1">
        <f t="array" aca="1" ref="AH24" ca="1">IF(ISNUMBER(SEARCH(INDIRECT(ADDRESS(ROW(AH24),MOD(AH$1,4)+1)),AH$2)),$E24,"")</f>
        <v/>
      </c>
      <c r="AI24" s="26" t="str" cm="1">
        <f t="array" aca="1" ref="AI24" ca="1">IF(ISNUMBER(SEARCH(INDIRECT(ADDRESS(ROW(AI24),MOD(AI$1,4)+1)),AI$2)),$E24,"")</f>
        <v/>
      </c>
      <c r="AJ24" s="26" t="str" cm="1">
        <f t="array" aca="1" ref="AJ24" ca="1">IF(ISNUMBER(SEARCH(INDIRECT(ADDRESS(ROW(AJ24),MOD(AJ$1,4)+1)),AJ$2)),$E24,"")</f>
        <v/>
      </c>
      <c r="AK24" s="26" t="str" cm="1">
        <f t="array" aca="1" ref="AK24" ca="1">IF(ISNUMBER(SEARCH(INDIRECT(ADDRESS(ROW(AK24),MOD(AK$1,4)+1)),AK$2)),$E24,"")</f>
        <v/>
      </c>
      <c r="AL24" s="26" t="str" cm="1">
        <f t="array" aca="1" ref="AL24" ca="1">IF(ISNUMBER(SEARCH(INDIRECT(ADDRESS(ROW(AL24),MOD(AL$1,4)+1)),AL$2)),$E24,"")</f>
        <v/>
      </c>
      <c r="AM24" s="26" t="str" cm="1">
        <f t="array" aca="1" ref="AM24" ca="1">IF(ISNUMBER(SEARCH(INDIRECT(ADDRESS(ROW(AM24),MOD(AM$1,4)+1)),AM$2)),$E24,"")</f>
        <v/>
      </c>
      <c r="AN24" s="26" t="str" cm="1">
        <f t="array" aca="1" ref="AN24" ca="1">IF(ISNUMBER(SEARCH(INDIRECT(ADDRESS(ROW(AN24),MOD(AN$1,4)+1)),AN$2)),$E24,"")</f>
        <v/>
      </c>
      <c r="AO24" s="26" t="str" cm="1">
        <f t="array" aca="1" ref="AO24" ca="1">IF(ISNUMBER(SEARCH(INDIRECT(ADDRESS(ROW(AO24),MOD(AO$1,4)+1)),AO$2)),$E24,"")</f>
        <v/>
      </c>
      <c r="AP24" s="26" t="str" cm="1">
        <f t="array" aca="1" ref="AP24" ca="1">IF(ISNUMBER(SEARCH(INDIRECT(ADDRESS(ROW(AP24),MOD(AP$1,4)+1)),AP$2)),$E24,"")</f>
        <v/>
      </c>
      <c r="AQ24" s="31" t="str" cm="1">
        <f t="array" aca="1" ref="AQ24" ca="1">IF(ISNUMBER(SEARCH(INDIRECT(ADDRESS(ROW(AQ24),MOD(AQ$1,4)+1)),AQ$2)),$E24,"")</f>
        <v/>
      </c>
      <c r="AT24" t="e">
        <f>IF(VLOOKUP($E24,'Formatted NEW'!$B$2:$F$202,5,FALSE)=VLOOKUP($E24,'Formatted NEW'!$B$2:$F$202,8,FALSE),$E24,"")</f>
        <v>#N/A</v>
      </c>
      <c r="AW24" t="e">
        <f>IF(VLOOKUP($E24,'Formatted NEW'!$B$2:$F$202,5,FALSE)=VLOOKUP($E24,'Formatted NEW'!$B$2:$F$202,11,FALSE),$E24,"")</f>
        <v>#N/A</v>
      </c>
      <c r="AZ24" t="e">
        <f>IF(VLOOKUP($E24,'Formatted NEW'!$B$2:$F$202,5,FALSE)=VLOOKUP($E24,'Formatted NEW'!$B$2:$F$202,14,FALSE),$E24,"")</f>
        <v>#N/A</v>
      </c>
      <c r="BC24" t="str">
        <f>VLOOKUP($E24,'Formatted NEW'!$M$2:$T$202,6,FALSE)</f>
        <v>DIAG_BOTH</v>
      </c>
      <c r="BD24" s="26" t="e">
        <f>VLOOKUP(VLOOKUP(VLOOKUP($E24,'Formatted NEW'!$M$2:$O$202,2,FALSE),'Formatted NEW'!$D$2:$F$202,7,FALSE),'Formatted NEW'!$D$2:$O$202,12,FALSE)</f>
        <v>#REF!</v>
      </c>
      <c r="BE24" t="e">
        <f>VLOOKUP($BD24,'Formatted NEW'!$M$2:$T$202,5,FALSE)</f>
        <v>#REF!</v>
      </c>
      <c r="BF24" s="26" t="e">
        <f t="shared" si="1"/>
        <v>#REF!</v>
      </c>
      <c r="BH24">
        <f>VLOOKUP($E24,'Formatted NEW'!$M$2:$T$202,4,FALSE)</f>
        <v>0</v>
      </c>
      <c r="BI24" s="26" t="e">
        <f>VLOOKUP(VLOOKUP(VLOOKUP($E24,'Formatted NEW'!$M$2:$O$202,2,FALSE),'Formatted NEW'!$D$2:$F$202,10,FALSE),'Formatted NEW'!$D$2:$O$202,12,FALSE)</f>
        <v>#REF!</v>
      </c>
      <c r="BJ24" t="e">
        <f>VLOOKUP($BI24,'Formatted NEW'!$M$2:$T$202,3,FALSE)</f>
        <v>#REF!</v>
      </c>
      <c r="BK24" s="26" t="e">
        <f t="shared" si="2"/>
        <v>#REF!</v>
      </c>
    </row>
    <row r="25" spans="1:63" x14ac:dyDescent="0.25">
      <c r="A25" t="str">
        <f>'Formatted NEW'!Q23</f>
        <v>DIAG_BOTH</v>
      </c>
      <c r="B25" t="str">
        <f>'Formatted NEW'!R23</f>
        <v>ORTHO_BOTH</v>
      </c>
      <c r="C25" t="str">
        <f>'Formatted NEW'!S23</f>
        <v>DIAG_BOTH</v>
      </c>
      <c r="D25" t="str">
        <f>'Formatted NEW'!T23</f>
        <v>DIAG_BOTH</v>
      </c>
      <c r="E25" s="26">
        <f t="shared" si="0"/>
        <v>21</v>
      </c>
      <c r="H25" s="30" t="str" cm="1">
        <f t="array" aca="1" ref="H25" ca="1">IF(ISNUMBER(SEARCH(INDIRECT(ADDRESS(ROW(H25),MOD(H$1,4)+1)),H$2)),$E25,"")</f>
        <v/>
      </c>
      <c r="I25" s="26" t="str" cm="1">
        <f t="array" aca="1" ref="I25" ca="1">IF(ISNUMBER(SEARCH(INDIRECT(ADDRESS(ROW(I25),MOD(I$1,4)+1)),I$2)),$E25,"")</f>
        <v/>
      </c>
      <c r="J25" s="26" t="str" cm="1">
        <f t="array" aca="1" ref="J25" ca="1">IF(ISNUMBER(SEARCH(INDIRECT(ADDRESS(ROW(J25),MOD(J$1,4)+1)),J$2)),$E25,"")</f>
        <v/>
      </c>
      <c r="K25" s="26" t="str" cm="1">
        <f t="array" aca="1" ref="K25" ca="1">IF(ISNUMBER(SEARCH(INDIRECT(ADDRESS(ROW(K25),MOD(K$1,4)+1)),K$2)),$E25,"")</f>
        <v/>
      </c>
      <c r="L25" s="26" cm="1">
        <f t="array" aca="1" ref="L25" ca="1">IF(ISNUMBER(SEARCH(INDIRECT(ADDRESS(ROW(L25),MOD(L$1,4)+1)),L$2)),$E25,"")</f>
        <v>21</v>
      </c>
      <c r="M25" s="26" t="str" cm="1">
        <f t="array" aca="1" ref="M25" ca="1">IF(ISNUMBER(SEARCH(INDIRECT(ADDRESS(ROW(M25),MOD(M$1,4)+1)),M$2)),$E25,"")</f>
        <v/>
      </c>
      <c r="N25" s="26" cm="1">
        <f t="array" aca="1" ref="N25" ca="1">IF(ISNUMBER(SEARCH(INDIRECT(ADDRESS(ROW(N25),MOD(N$1,4)+1)),N$2)),$E25,"")</f>
        <v>21</v>
      </c>
      <c r="O25" s="26" cm="1">
        <f t="array" aca="1" ref="O25" ca="1">IF(ISNUMBER(SEARCH(INDIRECT(ADDRESS(ROW(O25),MOD(O$1,4)+1)),O$2)),$E25,"")</f>
        <v>21</v>
      </c>
      <c r="P25" s="26" t="str" cm="1">
        <f t="array" aca="1" ref="P25" ca="1">IF(ISNUMBER(SEARCH(INDIRECT(ADDRESS(ROW(P25),MOD(P$1,4)+1)),P$2)),$E25,"")</f>
        <v/>
      </c>
      <c r="Q25" s="26" cm="1">
        <f t="array" aca="1" ref="Q25" ca="1">IF(ISNUMBER(SEARCH(INDIRECT(ADDRESS(ROW(Q25),MOD(Q$1,4)+1)),Q$2)),$E25,"")</f>
        <v>21</v>
      </c>
      <c r="R25" s="26" t="str" cm="1">
        <f t="array" aca="1" ref="R25" ca="1">IF(ISNUMBER(SEARCH(INDIRECT(ADDRESS(ROW(R25),MOD(R$1,4)+1)),R$2)),$E25,"")</f>
        <v/>
      </c>
      <c r="S25" s="26" t="str" cm="1">
        <f t="array" aca="1" ref="S25" ca="1">IF(ISNUMBER(SEARCH(INDIRECT(ADDRESS(ROW(S25),MOD(S$1,4)+1)),S$2)),$E25,"")</f>
        <v/>
      </c>
      <c r="T25" s="26" t="str" cm="1">
        <f t="array" aca="1" ref="T25" ca="1">IF(ISNUMBER(SEARCH(INDIRECT(ADDRESS(ROW(T25),MOD(T$1,4)+1)),T$2)),$E25,"")</f>
        <v/>
      </c>
      <c r="U25" s="26" t="str" cm="1">
        <f t="array" aca="1" ref="U25" ca="1">IF(ISNUMBER(SEARCH(INDIRECT(ADDRESS(ROW(U25),MOD(U$1,4)+1)),U$2)),$E25,"")</f>
        <v/>
      </c>
      <c r="V25" s="26" t="str" cm="1">
        <f t="array" aca="1" ref="V25" ca="1">IF(ISNUMBER(SEARCH(INDIRECT(ADDRESS(ROW(V25),MOD(V$1,4)+1)),V$2)),$E25,"")</f>
        <v/>
      </c>
      <c r="W25" s="26" t="str" cm="1">
        <f t="array" aca="1" ref="W25" ca="1">IF(ISNUMBER(SEARCH(INDIRECT(ADDRESS(ROW(W25),MOD(W$1,4)+1)),W$2)),$E25,"")</f>
        <v/>
      </c>
      <c r="X25" s="26" t="str" cm="1">
        <f t="array" aca="1" ref="X25" ca="1">IF(ISNUMBER(SEARCH(INDIRECT(ADDRESS(ROW(X25),MOD(X$1,4)+1)),X$2)),$E25,"")</f>
        <v/>
      </c>
      <c r="Y25" s="26" t="str" cm="1">
        <f t="array" aca="1" ref="Y25" ca="1">IF(ISNUMBER(SEARCH(INDIRECT(ADDRESS(ROW(Y25),MOD(Y$1,4)+1)),Y$2)),$E25,"")</f>
        <v/>
      </c>
      <c r="Z25" s="26" t="str" cm="1">
        <f t="array" aca="1" ref="Z25" ca="1">IF(ISNUMBER(SEARCH(INDIRECT(ADDRESS(ROW(Z25),MOD(Z$1,4)+1)),Z$2)),$E25,"")</f>
        <v/>
      </c>
      <c r="AA25" s="26" t="str" cm="1">
        <f t="array" aca="1" ref="AA25" ca="1">IF(ISNUMBER(SEARCH(INDIRECT(ADDRESS(ROW(AA25),MOD(AA$1,4)+1)),AA$2)),$E25,"")</f>
        <v/>
      </c>
      <c r="AB25" s="26" t="str" cm="1">
        <f t="array" aca="1" ref="AB25" ca="1">IF(ISNUMBER(SEARCH(INDIRECT(ADDRESS(ROW(AB25),MOD(AB$1,4)+1)),AB$2)),$E25,"")</f>
        <v/>
      </c>
      <c r="AC25" s="26" t="str" cm="1">
        <f t="array" aca="1" ref="AC25" ca="1">IF(ISNUMBER(SEARCH(INDIRECT(ADDRESS(ROW(AC25),MOD(AC$1,4)+1)),AC$2)),$E25,"")</f>
        <v/>
      </c>
      <c r="AD25" s="26" t="str" cm="1">
        <f t="array" aca="1" ref="AD25" ca="1">IF(ISNUMBER(SEARCH(INDIRECT(ADDRESS(ROW(AD25),MOD(AD$1,4)+1)),AD$2)),$E25,"")</f>
        <v/>
      </c>
      <c r="AE25" s="26" t="str" cm="1">
        <f t="array" aca="1" ref="AE25" ca="1">IF(ISNUMBER(SEARCH(INDIRECT(ADDRESS(ROW(AE25),MOD(AE$1,4)+1)),AE$2)),$E25,"")</f>
        <v/>
      </c>
      <c r="AF25" s="26" t="str" cm="1">
        <f t="array" aca="1" ref="AF25" ca="1">IF(ISNUMBER(SEARCH(INDIRECT(ADDRESS(ROW(AF25),MOD(AF$1,4)+1)),AF$2)),$E25,"")</f>
        <v/>
      </c>
      <c r="AG25" s="26" t="str" cm="1">
        <f t="array" aca="1" ref="AG25" ca="1">IF(ISNUMBER(SEARCH(INDIRECT(ADDRESS(ROW(AG25),MOD(AG$1,4)+1)),AG$2)),$E25,"")</f>
        <v/>
      </c>
      <c r="AH25" s="26" t="str" cm="1">
        <f t="array" aca="1" ref="AH25" ca="1">IF(ISNUMBER(SEARCH(INDIRECT(ADDRESS(ROW(AH25),MOD(AH$1,4)+1)),AH$2)),$E25,"")</f>
        <v/>
      </c>
      <c r="AI25" s="26" t="str" cm="1">
        <f t="array" aca="1" ref="AI25" ca="1">IF(ISNUMBER(SEARCH(INDIRECT(ADDRESS(ROW(AI25),MOD(AI$1,4)+1)),AI$2)),$E25,"")</f>
        <v/>
      </c>
      <c r="AJ25" s="26" t="str" cm="1">
        <f t="array" aca="1" ref="AJ25" ca="1">IF(ISNUMBER(SEARCH(INDIRECT(ADDRESS(ROW(AJ25),MOD(AJ$1,4)+1)),AJ$2)),$E25,"")</f>
        <v/>
      </c>
      <c r="AK25" s="26" t="str" cm="1">
        <f t="array" aca="1" ref="AK25" ca="1">IF(ISNUMBER(SEARCH(INDIRECT(ADDRESS(ROW(AK25),MOD(AK$1,4)+1)),AK$2)),$E25,"")</f>
        <v/>
      </c>
      <c r="AL25" s="26" t="str" cm="1">
        <f t="array" aca="1" ref="AL25" ca="1">IF(ISNUMBER(SEARCH(INDIRECT(ADDRESS(ROW(AL25),MOD(AL$1,4)+1)),AL$2)),$E25,"")</f>
        <v/>
      </c>
      <c r="AM25" s="26" t="str" cm="1">
        <f t="array" aca="1" ref="AM25" ca="1">IF(ISNUMBER(SEARCH(INDIRECT(ADDRESS(ROW(AM25),MOD(AM$1,4)+1)),AM$2)),$E25,"")</f>
        <v/>
      </c>
      <c r="AN25" s="26" t="str" cm="1">
        <f t="array" aca="1" ref="AN25" ca="1">IF(ISNUMBER(SEARCH(INDIRECT(ADDRESS(ROW(AN25),MOD(AN$1,4)+1)),AN$2)),$E25,"")</f>
        <v/>
      </c>
      <c r="AO25" s="26" t="str" cm="1">
        <f t="array" aca="1" ref="AO25" ca="1">IF(ISNUMBER(SEARCH(INDIRECT(ADDRESS(ROW(AO25),MOD(AO$1,4)+1)),AO$2)),$E25,"")</f>
        <v/>
      </c>
      <c r="AP25" s="26" t="str" cm="1">
        <f t="array" aca="1" ref="AP25" ca="1">IF(ISNUMBER(SEARCH(INDIRECT(ADDRESS(ROW(AP25),MOD(AP$1,4)+1)),AP$2)),$E25,"")</f>
        <v/>
      </c>
      <c r="AQ25" s="31" t="str" cm="1">
        <f t="array" aca="1" ref="AQ25" ca="1">IF(ISNUMBER(SEARCH(INDIRECT(ADDRESS(ROW(AQ25),MOD(AQ$1,4)+1)),AQ$2)),$E25,"")</f>
        <v/>
      </c>
      <c r="AT25" t="e">
        <f>IF(VLOOKUP($E25,'Formatted NEW'!$B$2:$F$202,5,FALSE)=VLOOKUP($E25,'Formatted NEW'!$B$2:$F$202,8,FALSE),$E25,"")</f>
        <v>#N/A</v>
      </c>
      <c r="AW25" t="e">
        <f>IF(VLOOKUP($E25,'Formatted NEW'!$B$2:$F$202,5,FALSE)=VLOOKUP($E25,'Formatted NEW'!$B$2:$F$202,11,FALSE),$E25,"")</f>
        <v>#N/A</v>
      </c>
      <c r="AZ25" t="e">
        <f>IF(VLOOKUP($E25,'Formatted NEW'!$B$2:$F$202,5,FALSE)=VLOOKUP($E25,'Formatted NEW'!$B$2:$F$202,14,FALSE),$E25,"")</f>
        <v>#N/A</v>
      </c>
      <c r="BC25" t="str">
        <f>VLOOKUP($E25,'Formatted NEW'!$M$2:$T$202,6,FALSE)</f>
        <v>ORTHO_BOTH</v>
      </c>
      <c r="BD25" s="26" t="e">
        <f>VLOOKUP(VLOOKUP(VLOOKUP($E25,'Formatted NEW'!$M$2:$O$202,2,FALSE),'Formatted NEW'!$D$2:$F$202,7,FALSE),'Formatted NEW'!$D$2:$O$202,12,FALSE)</f>
        <v>#REF!</v>
      </c>
      <c r="BE25" t="e">
        <f>VLOOKUP($BD25,'Formatted NEW'!$M$2:$T$202,5,FALSE)</f>
        <v>#REF!</v>
      </c>
      <c r="BF25" s="26" t="e">
        <f t="shared" si="1"/>
        <v>#REF!</v>
      </c>
      <c r="BH25">
        <f>VLOOKUP($E25,'Formatted NEW'!$M$2:$T$202,4,FALSE)</f>
        <v>0</v>
      </c>
      <c r="BI25" s="26" t="e">
        <f>VLOOKUP(VLOOKUP(VLOOKUP($E25,'Formatted NEW'!$M$2:$O$202,2,FALSE),'Formatted NEW'!$D$2:$F$202,10,FALSE),'Formatted NEW'!$D$2:$O$202,12,FALSE)</f>
        <v>#REF!</v>
      </c>
      <c r="BJ25" t="e">
        <f>VLOOKUP($BI25,'Formatted NEW'!$M$2:$T$202,3,FALSE)</f>
        <v>#REF!</v>
      </c>
      <c r="BK25" s="26" t="e">
        <f t="shared" si="2"/>
        <v>#REF!</v>
      </c>
    </row>
    <row r="26" spans="1:63" x14ac:dyDescent="0.25">
      <c r="A26" t="str">
        <f>'Formatted NEW'!Q24</f>
        <v>EMPTY</v>
      </c>
      <c r="B26" t="str">
        <f>'Formatted NEW'!R24</f>
        <v>ORTHO_BOTH</v>
      </c>
      <c r="C26" t="str">
        <f>'Formatted NEW'!S24</f>
        <v>DIAG_BOTH</v>
      </c>
      <c r="D26" t="str">
        <f>'Formatted NEW'!T24</f>
        <v>DIAG_BOTH</v>
      </c>
      <c r="E26" s="26">
        <f t="shared" si="0"/>
        <v>22</v>
      </c>
      <c r="H26" s="30" t="str" cm="1">
        <f t="array" aca="1" ref="H26" ca="1">IF(ISNUMBER(SEARCH(INDIRECT(ADDRESS(ROW(H26),MOD(H$1,4)+1)),H$2)),$E26,"")</f>
        <v/>
      </c>
      <c r="I26" s="26" t="str" cm="1">
        <f t="array" aca="1" ref="I26" ca="1">IF(ISNUMBER(SEARCH(INDIRECT(ADDRESS(ROW(I26),MOD(I$1,4)+1)),I$2)),$E26,"")</f>
        <v/>
      </c>
      <c r="J26" s="26" t="str" cm="1">
        <f t="array" aca="1" ref="J26" ca="1">IF(ISNUMBER(SEARCH(INDIRECT(ADDRESS(ROW(J26),MOD(J$1,4)+1)),J$2)),$E26,"")</f>
        <v/>
      </c>
      <c r="K26" s="26" t="str" cm="1">
        <f t="array" aca="1" ref="K26" ca="1">IF(ISNUMBER(SEARCH(INDIRECT(ADDRESS(ROW(K26),MOD(K$1,4)+1)),K$2)),$E26,"")</f>
        <v/>
      </c>
      <c r="L26" s="26" t="str" cm="1">
        <f t="array" aca="1" ref="L26" ca="1">IF(ISNUMBER(SEARCH(INDIRECT(ADDRESS(ROW(L26),MOD(L$1,4)+1)),L$2)),$E26,"")</f>
        <v/>
      </c>
      <c r="M26" s="26" t="str" cm="1">
        <f t="array" aca="1" ref="M26" ca="1">IF(ISNUMBER(SEARCH(INDIRECT(ADDRESS(ROW(M26),MOD(M$1,4)+1)),M$2)),$E26,"")</f>
        <v/>
      </c>
      <c r="N26" s="26" cm="1">
        <f t="array" aca="1" ref="N26" ca="1">IF(ISNUMBER(SEARCH(INDIRECT(ADDRESS(ROW(N26),MOD(N$1,4)+1)),N$2)),$E26,"")</f>
        <v>22</v>
      </c>
      <c r="O26" s="26" cm="1">
        <f t="array" aca="1" ref="O26" ca="1">IF(ISNUMBER(SEARCH(INDIRECT(ADDRESS(ROW(O26),MOD(O$1,4)+1)),O$2)),$E26,"")</f>
        <v>22</v>
      </c>
      <c r="P26" s="26" t="str" cm="1">
        <f t="array" aca="1" ref="P26" ca="1">IF(ISNUMBER(SEARCH(INDIRECT(ADDRESS(ROW(P26),MOD(P$1,4)+1)),P$2)),$E26,"")</f>
        <v/>
      </c>
      <c r="Q26" s="26" cm="1">
        <f t="array" aca="1" ref="Q26" ca="1">IF(ISNUMBER(SEARCH(INDIRECT(ADDRESS(ROW(Q26),MOD(Q$1,4)+1)),Q$2)),$E26,"")</f>
        <v>22</v>
      </c>
      <c r="R26" s="26" t="str" cm="1">
        <f t="array" aca="1" ref="R26" ca="1">IF(ISNUMBER(SEARCH(INDIRECT(ADDRESS(ROW(R26),MOD(R$1,4)+1)),R$2)),$E26,"")</f>
        <v/>
      </c>
      <c r="S26" s="26" t="str" cm="1">
        <f t="array" aca="1" ref="S26" ca="1">IF(ISNUMBER(SEARCH(INDIRECT(ADDRESS(ROW(S26),MOD(S$1,4)+1)),S$2)),$E26,"")</f>
        <v/>
      </c>
      <c r="T26" s="26" t="str" cm="1">
        <f t="array" aca="1" ref="T26" ca="1">IF(ISNUMBER(SEARCH(INDIRECT(ADDRESS(ROW(T26),MOD(T$1,4)+1)),T$2)),$E26,"")</f>
        <v/>
      </c>
      <c r="U26" s="26" t="str" cm="1">
        <f t="array" aca="1" ref="U26" ca="1">IF(ISNUMBER(SEARCH(INDIRECT(ADDRESS(ROW(U26),MOD(U$1,4)+1)),U$2)),$E26,"")</f>
        <v/>
      </c>
      <c r="V26" s="26" t="str" cm="1">
        <f t="array" aca="1" ref="V26" ca="1">IF(ISNUMBER(SEARCH(INDIRECT(ADDRESS(ROW(V26),MOD(V$1,4)+1)),V$2)),$E26,"")</f>
        <v/>
      </c>
      <c r="W26" s="26" t="str" cm="1">
        <f t="array" aca="1" ref="W26" ca="1">IF(ISNUMBER(SEARCH(INDIRECT(ADDRESS(ROW(W26),MOD(W$1,4)+1)),W$2)),$E26,"")</f>
        <v/>
      </c>
      <c r="X26" s="26" t="str" cm="1">
        <f t="array" aca="1" ref="X26" ca="1">IF(ISNUMBER(SEARCH(INDIRECT(ADDRESS(ROW(X26),MOD(X$1,4)+1)),X$2)),$E26,"")</f>
        <v/>
      </c>
      <c r="Y26" s="26" t="str" cm="1">
        <f t="array" aca="1" ref="Y26" ca="1">IF(ISNUMBER(SEARCH(INDIRECT(ADDRESS(ROW(Y26),MOD(Y$1,4)+1)),Y$2)),$E26,"")</f>
        <v/>
      </c>
      <c r="Z26" s="26" t="str" cm="1">
        <f t="array" aca="1" ref="Z26" ca="1">IF(ISNUMBER(SEARCH(INDIRECT(ADDRESS(ROW(Z26),MOD(Z$1,4)+1)),Z$2)),$E26,"")</f>
        <v/>
      </c>
      <c r="AA26" s="26" t="str" cm="1">
        <f t="array" aca="1" ref="AA26" ca="1">IF(ISNUMBER(SEARCH(INDIRECT(ADDRESS(ROW(AA26),MOD(AA$1,4)+1)),AA$2)),$E26,"")</f>
        <v/>
      </c>
      <c r="AB26" s="26" t="str" cm="1">
        <f t="array" aca="1" ref="AB26" ca="1">IF(ISNUMBER(SEARCH(INDIRECT(ADDRESS(ROW(AB26),MOD(AB$1,4)+1)),AB$2)),$E26,"")</f>
        <v/>
      </c>
      <c r="AC26" s="26" t="str" cm="1">
        <f t="array" aca="1" ref="AC26" ca="1">IF(ISNUMBER(SEARCH(INDIRECT(ADDRESS(ROW(AC26),MOD(AC$1,4)+1)),AC$2)),$E26,"")</f>
        <v/>
      </c>
      <c r="AD26" s="26" t="str" cm="1">
        <f t="array" aca="1" ref="AD26" ca="1">IF(ISNUMBER(SEARCH(INDIRECT(ADDRESS(ROW(AD26),MOD(AD$1,4)+1)),AD$2)),$E26,"")</f>
        <v/>
      </c>
      <c r="AE26" s="26" t="str" cm="1">
        <f t="array" aca="1" ref="AE26" ca="1">IF(ISNUMBER(SEARCH(INDIRECT(ADDRESS(ROW(AE26),MOD(AE$1,4)+1)),AE$2)),$E26,"")</f>
        <v/>
      </c>
      <c r="AF26" s="26" t="str" cm="1">
        <f t="array" aca="1" ref="AF26" ca="1">IF(ISNUMBER(SEARCH(INDIRECT(ADDRESS(ROW(AF26),MOD(AF$1,4)+1)),AF$2)),$E26,"")</f>
        <v/>
      </c>
      <c r="AG26" s="26" t="str" cm="1">
        <f t="array" aca="1" ref="AG26" ca="1">IF(ISNUMBER(SEARCH(INDIRECT(ADDRESS(ROW(AG26),MOD(AG$1,4)+1)),AG$2)),$E26,"")</f>
        <v/>
      </c>
      <c r="AH26" s="26" t="str" cm="1">
        <f t="array" aca="1" ref="AH26" ca="1">IF(ISNUMBER(SEARCH(INDIRECT(ADDRESS(ROW(AH26),MOD(AH$1,4)+1)),AH$2)),$E26,"")</f>
        <v/>
      </c>
      <c r="AI26" s="26" t="str" cm="1">
        <f t="array" aca="1" ref="AI26" ca="1">IF(ISNUMBER(SEARCH(INDIRECT(ADDRESS(ROW(AI26),MOD(AI$1,4)+1)),AI$2)),$E26,"")</f>
        <v/>
      </c>
      <c r="AJ26" s="26" t="str" cm="1">
        <f t="array" aca="1" ref="AJ26" ca="1">IF(ISNUMBER(SEARCH(INDIRECT(ADDRESS(ROW(AJ26),MOD(AJ$1,4)+1)),AJ$2)),$E26,"")</f>
        <v/>
      </c>
      <c r="AK26" s="26" t="str" cm="1">
        <f t="array" aca="1" ref="AK26" ca="1">IF(ISNUMBER(SEARCH(INDIRECT(ADDRESS(ROW(AK26),MOD(AK$1,4)+1)),AK$2)),$E26,"")</f>
        <v/>
      </c>
      <c r="AL26" s="26" t="str" cm="1">
        <f t="array" aca="1" ref="AL26" ca="1">IF(ISNUMBER(SEARCH(INDIRECT(ADDRESS(ROW(AL26),MOD(AL$1,4)+1)),AL$2)),$E26,"")</f>
        <v/>
      </c>
      <c r="AM26" s="26" t="str" cm="1">
        <f t="array" aca="1" ref="AM26" ca="1">IF(ISNUMBER(SEARCH(INDIRECT(ADDRESS(ROW(AM26),MOD(AM$1,4)+1)),AM$2)),$E26,"")</f>
        <v/>
      </c>
      <c r="AN26" s="26" t="str" cm="1">
        <f t="array" aca="1" ref="AN26" ca="1">IF(ISNUMBER(SEARCH(INDIRECT(ADDRESS(ROW(AN26),MOD(AN$1,4)+1)),AN$2)),$E26,"")</f>
        <v/>
      </c>
      <c r="AO26" s="26" t="str" cm="1">
        <f t="array" aca="1" ref="AO26" ca="1">IF(ISNUMBER(SEARCH(INDIRECT(ADDRESS(ROW(AO26),MOD(AO$1,4)+1)),AO$2)),$E26,"")</f>
        <v/>
      </c>
      <c r="AP26" s="26" t="str" cm="1">
        <f t="array" aca="1" ref="AP26" ca="1">IF(ISNUMBER(SEARCH(INDIRECT(ADDRESS(ROW(AP26),MOD(AP$1,4)+1)),AP$2)),$E26,"")</f>
        <v/>
      </c>
      <c r="AQ26" s="31" t="str" cm="1">
        <f t="array" aca="1" ref="AQ26" ca="1">IF(ISNUMBER(SEARCH(INDIRECT(ADDRESS(ROW(AQ26),MOD(AQ$1,4)+1)),AQ$2)),$E26,"")</f>
        <v/>
      </c>
      <c r="AT26" t="e">
        <f>IF(VLOOKUP($E26,'Formatted NEW'!$B$2:$F$202,5,FALSE)=VLOOKUP($E26,'Formatted NEW'!$B$2:$F$202,8,FALSE),$E26,"")</f>
        <v>#N/A</v>
      </c>
      <c r="AW26" t="e">
        <f>IF(VLOOKUP($E26,'Formatted NEW'!$B$2:$F$202,5,FALSE)=VLOOKUP($E26,'Formatted NEW'!$B$2:$F$202,11,FALSE),$E26,"")</f>
        <v>#N/A</v>
      </c>
      <c r="AZ26" t="e">
        <f>IF(VLOOKUP($E26,'Formatted NEW'!$B$2:$F$202,5,FALSE)=VLOOKUP($E26,'Formatted NEW'!$B$2:$F$202,14,FALSE),$E26,"")</f>
        <v>#N/A</v>
      </c>
      <c r="BC26" t="str">
        <f>VLOOKUP($E26,'Formatted NEW'!$M$2:$T$202,6,FALSE)</f>
        <v>ORTHO_BOTH</v>
      </c>
      <c r="BD26" s="26" t="e">
        <f>VLOOKUP(VLOOKUP(VLOOKUP($E26,'Formatted NEW'!$M$2:$O$202,2,FALSE),'Formatted NEW'!$D$2:$F$202,7,FALSE),'Formatted NEW'!$D$2:$O$202,12,FALSE)</f>
        <v>#REF!</v>
      </c>
      <c r="BE26" t="e">
        <f>VLOOKUP($BD26,'Formatted NEW'!$M$2:$T$202,5,FALSE)</f>
        <v>#REF!</v>
      </c>
      <c r="BF26" s="26" t="e">
        <f t="shared" si="1"/>
        <v>#REF!</v>
      </c>
      <c r="BH26">
        <f>VLOOKUP($E26,'Formatted NEW'!$M$2:$T$202,4,FALSE)</f>
        <v>0</v>
      </c>
      <c r="BI26" s="26" t="e">
        <f>VLOOKUP(VLOOKUP(VLOOKUP($E26,'Formatted NEW'!$M$2:$O$202,2,FALSE),'Formatted NEW'!$D$2:$F$202,10,FALSE),'Formatted NEW'!$D$2:$O$202,12,FALSE)</f>
        <v>#REF!</v>
      </c>
      <c r="BJ26" t="e">
        <f>VLOOKUP($BI26,'Formatted NEW'!$M$2:$T$202,3,FALSE)</f>
        <v>#REF!</v>
      </c>
      <c r="BK26" s="26" t="e">
        <f t="shared" si="2"/>
        <v>#REF!</v>
      </c>
    </row>
    <row r="27" spans="1:63" x14ac:dyDescent="0.25">
      <c r="A27" t="str">
        <f>'Formatted NEW'!Q25</f>
        <v>DIAG_BOTH</v>
      </c>
      <c r="B27" t="str">
        <f>'Formatted NEW'!R25</f>
        <v>ORTHO_BOTH</v>
      </c>
      <c r="C27" t="str">
        <f>'Formatted NEW'!S25</f>
        <v>EMPTY</v>
      </c>
      <c r="D27" t="str">
        <f>'Formatted NEW'!T25</f>
        <v>DIAG_BOTH</v>
      </c>
      <c r="E27" s="26">
        <f t="shared" si="0"/>
        <v>23</v>
      </c>
      <c r="H27" s="30" t="str" cm="1">
        <f t="array" aca="1" ref="H27" ca="1">IF(ISNUMBER(SEARCH(INDIRECT(ADDRESS(ROW(H27),MOD(H$1,4)+1)),H$2)),$E27,"")</f>
        <v/>
      </c>
      <c r="I27" s="26" t="str" cm="1">
        <f t="array" aca="1" ref="I27" ca="1">IF(ISNUMBER(SEARCH(INDIRECT(ADDRESS(ROW(I27),MOD(I$1,4)+1)),I$2)),$E27,"")</f>
        <v/>
      </c>
      <c r="J27" s="26" t="str" cm="1">
        <f t="array" aca="1" ref="J27" ca="1">IF(ISNUMBER(SEARCH(INDIRECT(ADDRESS(ROW(J27),MOD(J$1,4)+1)),J$2)),$E27,"")</f>
        <v/>
      </c>
      <c r="K27" s="26" t="str" cm="1">
        <f t="array" aca="1" ref="K27" ca="1">IF(ISNUMBER(SEARCH(INDIRECT(ADDRESS(ROW(K27),MOD(K$1,4)+1)),K$2)),$E27,"")</f>
        <v/>
      </c>
      <c r="L27" s="26" cm="1">
        <f t="array" aca="1" ref="L27" ca="1">IF(ISNUMBER(SEARCH(INDIRECT(ADDRESS(ROW(L27),MOD(L$1,4)+1)),L$2)),$E27,"")</f>
        <v>23</v>
      </c>
      <c r="M27" s="26" t="str" cm="1">
        <f t="array" aca="1" ref="M27" ca="1">IF(ISNUMBER(SEARCH(INDIRECT(ADDRESS(ROW(M27),MOD(M$1,4)+1)),M$2)),$E27,"")</f>
        <v/>
      </c>
      <c r="N27" s="26" t="str" cm="1">
        <f t="array" aca="1" ref="N27" ca="1">IF(ISNUMBER(SEARCH(INDIRECT(ADDRESS(ROW(N27),MOD(N$1,4)+1)),N$2)),$E27,"")</f>
        <v/>
      </c>
      <c r="O27" s="26" cm="1">
        <f t="array" aca="1" ref="O27" ca="1">IF(ISNUMBER(SEARCH(INDIRECT(ADDRESS(ROW(O27),MOD(O$1,4)+1)),O$2)),$E27,"")</f>
        <v>23</v>
      </c>
      <c r="P27" s="26" t="str" cm="1">
        <f t="array" aca="1" ref="P27" ca="1">IF(ISNUMBER(SEARCH(INDIRECT(ADDRESS(ROW(P27),MOD(P$1,4)+1)),P$2)),$E27,"")</f>
        <v/>
      </c>
      <c r="Q27" s="26" cm="1">
        <f t="array" aca="1" ref="Q27" ca="1">IF(ISNUMBER(SEARCH(INDIRECT(ADDRESS(ROW(Q27),MOD(Q$1,4)+1)),Q$2)),$E27,"")</f>
        <v>23</v>
      </c>
      <c r="R27" s="26" t="str" cm="1">
        <f t="array" aca="1" ref="R27" ca="1">IF(ISNUMBER(SEARCH(INDIRECT(ADDRESS(ROW(R27),MOD(R$1,4)+1)),R$2)),$E27,"")</f>
        <v/>
      </c>
      <c r="S27" s="26" t="str" cm="1">
        <f t="array" aca="1" ref="S27" ca="1">IF(ISNUMBER(SEARCH(INDIRECT(ADDRESS(ROW(S27),MOD(S$1,4)+1)),S$2)),$E27,"")</f>
        <v/>
      </c>
      <c r="T27" s="26" t="str" cm="1">
        <f t="array" aca="1" ref="T27" ca="1">IF(ISNUMBER(SEARCH(INDIRECT(ADDRESS(ROW(T27),MOD(T$1,4)+1)),T$2)),$E27,"")</f>
        <v/>
      </c>
      <c r="U27" s="26" t="str" cm="1">
        <f t="array" aca="1" ref="U27" ca="1">IF(ISNUMBER(SEARCH(INDIRECT(ADDRESS(ROW(U27),MOD(U$1,4)+1)),U$2)),$E27,"")</f>
        <v/>
      </c>
      <c r="V27" s="26" t="str" cm="1">
        <f t="array" aca="1" ref="V27" ca="1">IF(ISNUMBER(SEARCH(INDIRECT(ADDRESS(ROW(V27),MOD(V$1,4)+1)),V$2)),$E27,"")</f>
        <v/>
      </c>
      <c r="W27" s="26" t="str" cm="1">
        <f t="array" aca="1" ref="W27" ca="1">IF(ISNUMBER(SEARCH(INDIRECT(ADDRESS(ROW(W27),MOD(W$1,4)+1)),W$2)),$E27,"")</f>
        <v/>
      </c>
      <c r="X27" s="26" t="str" cm="1">
        <f t="array" aca="1" ref="X27" ca="1">IF(ISNUMBER(SEARCH(INDIRECT(ADDRESS(ROW(X27),MOD(X$1,4)+1)),X$2)),$E27,"")</f>
        <v/>
      </c>
      <c r="Y27" s="26" t="str" cm="1">
        <f t="array" aca="1" ref="Y27" ca="1">IF(ISNUMBER(SEARCH(INDIRECT(ADDRESS(ROW(Y27),MOD(Y$1,4)+1)),Y$2)),$E27,"")</f>
        <v/>
      </c>
      <c r="Z27" s="26" t="str" cm="1">
        <f t="array" aca="1" ref="Z27" ca="1">IF(ISNUMBER(SEARCH(INDIRECT(ADDRESS(ROW(Z27),MOD(Z$1,4)+1)),Z$2)),$E27,"")</f>
        <v/>
      </c>
      <c r="AA27" s="26" t="str" cm="1">
        <f t="array" aca="1" ref="AA27" ca="1">IF(ISNUMBER(SEARCH(INDIRECT(ADDRESS(ROW(AA27),MOD(AA$1,4)+1)),AA$2)),$E27,"")</f>
        <v/>
      </c>
      <c r="AB27" s="26" t="str" cm="1">
        <f t="array" aca="1" ref="AB27" ca="1">IF(ISNUMBER(SEARCH(INDIRECT(ADDRESS(ROW(AB27),MOD(AB$1,4)+1)),AB$2)),$E27,"")</f>
        <v/>
      </c>
      <c r="AC27" s="26" t="str" cm="1">
        <f t="array" aca="1" ref="AC27" ca="1">IF(ISNUMBER(SEARCH(INDIRECT(ADDRESS(ROW(AC27),MOD(AC$1,4)+1)),AC$2)),$E27,"")</f>
        <v/>
      </c>
      <c r="AD27" s="26" t="str" cm="1">
        <f t="array" aca="1" ref="AD27" ca="1">IF(ISNUMBER(SEARCH(INDIRECT(ADDRESS(ROW(AD27),MOD(AD$1,4)+1)),AD$2)),$E27,"")</f>
        <v/>
      </c>
      <c r="AE27" s="26" t="str" cm="1">
        <f t="array" aca="1" ref="AE27" ca="1">IF(ISNUMBER(SEARCH(INDIRECT(ADDRESS(ROW(AE27),MOD(AE$1,4)+1)),AE$2)),$E27,"")</f>
        <v/>
      </c>
      <c r="AF27" s="26" t="str" cm="1">
        <f t="array" aca="1" ref="AF27" ca="1">IF(ISNUMBER(SEARCH(INDIRECT(ADDRESS(ROW(AF27),MOD(AF$1,4)+1)),AF$2)),$E27,"")</f>
        <v/>
      </c>
      <c r="AG27" s="26" t="str" cm="1">
        <f t="array" aca="1" ref="AG27" ca="1">IF(ISNUMBER(SEARCH(INDIRECT(ADDRESS(ROW(AG27),MOD(AG$1,4)+1)),AG$2)),$E27,"")</f>
        <v/>
      </c>
      <c r="AH27" s="26" t="str" cm="1">
        <f t="array" aca="1" ref="AH27" ca="1">IF(ISNUMBER(SEARCH(INDIRECT(ADDRESS(ROW(AH27),MOD(AH$1,4)+1)),AH$2)),$E27,"")</f>
        <v/>
      </c>
      <c r="AI27" s="26" t="str" cm="1">
        <f t="array" aca="1" ref="AI27" ca="1">IF(ISNUMBER(SEARCH(INDIRECT(ADDRESS(ROW(AI27),MOD(AI$1,4)+1)),AI$2)),$E27,"")</f>
        <v/>
      </c>
      <c r="AJ27" s="26" t="str" cm="1">
        <f t="array" aca="1" ref="AJ27" ca="1">IF(ISNUMBER(SEARCH(INDIRECT(ADDRESS(ROW(AJ27),MOD(AJ$1,4)+1)),AJ$2)),$E27,"")</f>
        <v/>
      </c>
      <c r="AK27" s="26" t="str" cm="1">
        <f t="array" aca="1" ref="AK27" ca="1">IF(ISNUMBER(SEARCH(INDIRECT(ADDRESS(ROW(AK27),MOD(AK$1,4)+1)),AK$2)),$E27,"")</f>
        <v/>
      </c>
      <c r="AL27" s="26" t="str" cm="1">
        <f t="array" aca="1" ref="AL27" ca="1">IF(ISNUMBER(SEARCH(INDIRECT(ADDRESS(ROW(AL27),MOD(AL$1,4)+1)),AL$2)),$E27,"")</f>
        <v/>
      </c>
      <c r="AM27" s="26" t="str" cm="1">
        <f t="array" aca="1" ref="AM27" ca="1">IF(ISNUMBER(SEARCH(INDIRECT(ADDRESS(ROW(AM27),MOD(AM$1,4)+1)),AM$2)),$E27,"")</f>
        <v/>
      </c>
      <c r="AN27" s="26" t="str" cm="1">
        <f t="array" aca="1" ref="AN27" ca="1">IF(ISNUMBER(SEARCH(INDIRECT(ADDRESS(ROW(AN27),MOD(AN$1,4)+1)),AN$2)),$E27,"")</f>
        <v/>
      </c>
      <c r="AO27" s="26" t="str" cm="1">
        <f t="array" aca="1" ref="AO27" ca="1">IF(ISNUMBER(SEARCH(INDIRECT(ADDRESS(ROW(AO27),MOD(AO$1,4)+1)),AO$2)),$E27,"")</f>
        <v/>
      </c>
      <c r="AP27" s="26" t="str" cm="1">
        <f t="array" aca="1" ref="AP27" ca="1">IF(ISNUMBER(SEARCH(INDIRECT(ADDRESS(ROW(AP27),MOD(AP$1,4)+1)),AP$2)),$E27,"")</f>
        <v/>
      </c>
      <c r="AQ27" s="31" t="str" cm="1">
        <f t="array" aca="1" ref="AQ27" ca="1">IF(ISNUMBER(SEARCH(INDIRECT(ADDRESS(ROW(AQ27),MOD(AQ$1,4)+1)),AQ$2)),$E27,"")</f>
        <v/>
      </c>
      <c r="AT27" t="e">
        <f>IF(VLOOKUP($E27,'Formatted NEW'!$B$2:$F$202,5,FALSE)=VLOOKUP($E27,'Formatted NEW'!$B$2:$F$202,8,FALSE),$E27,"")</f>
        <v>#N/A</v>
      </c>
      <c r="AW27" t="e">
        <f>IF(VLOOKUP($E27,'Formatted NEW'!$B$2:$F$202,5,FALSE)=VLOOKUP($E27,'Formatted NEW'!$B$2:$F$202,11,FALSE),$E27,"")</f>
        <v>#N/A</v>
      </c>
      <c r="AZ27" t="e">
        <f>IF(VLOOKUP($E27,'Formatted NEW'!$B$2:$F$202,5,FALSE)=VLOOKUP($E27,'Formatted NEW'!$B$2:$F$202,14,FALSE),$E27,"")</f>
        <v>#N/A</v>
      </c>
      <c r="BC27" t="str">
        <f>VLOOKUP($E27,'Formatted NEW'!$M$2:$T$202,6,FALSE)</f>
        <v>ORTHO_BOTH</v>
      </c>
      <c r="BD27" s="26" t="e">
        <f>VLOOKUP(VLOOKUP(VLOOKUP($E27,'Formatted NEW'!$M$2:$O$202,2,FALSE),'Formatted NEW'!$D$2:$F$202,7,FALSE),'Formatted NEW'!$D$2:$O$202,12,FALSE)</f>
        <v>#REF!</v>
      </c>
      <c r="BE27" t="e">
        <f>VLOOKUP($BD27,'Formatted NEW'!$M$2:$T$202,5,FALSE)</f>
        <v>#REF!</v>
      </c>
      <c r="BF27" s="26" t="e">
        <f t="shared" si="1"/>
        <v>#REF!</v>
      </c>
      <c r="BH27">
        <f>VLOOKUP($E27,'Formatted NEW'!$M$2:$T$202,4,FALSE)</f>
        <v>0</v>
      </c>
      <c r="BI27" s="26" t="e">
        <f>VLOOKUP(VLOOKUP(VLOOKUP($E27,'Formatted NEW'!$M$2:$O$202,2,FALSE),'Formatted NEW'!$D$2:$F$202,10,FALSE),'Formatted NEW'!$D$2:$O$202,12,FALSE)</f>
        <v>#REF!</v>
      </c>
      <c r="BJ27" t="e">
        <f>VLOOKUP($BI27,'Formatted NEW'!$M$2:$T$202,3,FALSE)</f>
        <v>#REF!</v>
      </c>
      <c r="BK27" s="26" t="e">
        <f t="shared" si="2"/>
        <v>#REF!</v>
      </c>
    </row>
    <row r="28" spans="1:63" x14ac:dyDescent="0.25">
      <c r="A28" t="str">
        <f>'Formatted NEW'!Q26</f>
        <v>DIAG_BOTH</v>
      </c>
      <c r="B28" t="str">
        <f>'Formatted NEW'!R26</f>
        <v>ORTHO_BOTH</v>
      </c>
      <c r="C28" t="str">
        <f>'Formatted NEW'!S26</f>
        <v>DIAG_BOTH</v>
      </c>
      <c r="D28" t="str">
        <f>'Formatted NEW'!T26</f>
        <v>EMPTY</v>
      </c>
      <c r="E28" s="26">
        <f t="shared" si="0"/>
        <v>24</v>
      </c>
      <c r="H28" s="30" t="str" cm="1">
        <f t="array" aca="1" ref="H28" ca="1">IF(ISNUMBER(SEARCH(INDIRECT(ADDRESS(ROW(H28),MOD(H$1,4)+1)),H$2)),$E28,"")</f>
        <v/>
      </c>
      <c r="I28" s="26" t="str" cm="1">
        <f t="array" aca="1" ref="I28" ca="1">IF(ISNUMBER(SEARCH(INDIRECT(ADDRESS(ROW(I28),MOD(I$1,4)+1)),I$2)),$E28,"")</f>
        <v/>
      </c>
      <c r="J28" s="26" t="str" cm="1">
        <f t="array" aca="1" ref="J28" ca="1">IF(ISNUMBER(SEARCH(INDIRECT(ADDRESS(ROW(J28),MOD(J$1,4)+1)),J$2)),$E28,"")</f>
        <v/>
      </c>
      <c r="K28" s="26" t="str" cm="1">
        <f t="array" aca="1" ref="K28" ca="1">IF(ISNUMBER(SEARCH(INDIRECT(ADDRESS(ROW(K28),MOD(K$1,4)+1)),K$2)),$E28,"")</f>
        <v/>
      </c>
      <c r="L28" s="26" cm="1">
        <f t="array" aca="1" ref="L28" ca="1">IF(ISNUMBER(SEARCH(INDIRECT(ADDRESS(ROW(L28),MOD(L$1,4)+1)),L$2)),$E28,"")</f>
        <v>24</v>
      </c>
      <c r="M28" s="26" t="str" cm="1">
        <f t="array" aca="1" ref="M28" ca="1">IF(ISNUMBER(SEARCH(INDIRECT(ADDRESS(ROW(M28),MOD(M$1,4)+1)),M$2)),$E28,"")</f>
        <v/>
      </c>
      <c r="N28" s="26" cm="1">
        <f t="array" aca="1" ref="N28" ca="1">IF(ISNUMBER(SEARCH(INDIRECT(ADDRESS(ROW(N28),MOD(N$1,4)+1)),N$2)),$E28,"")</f>
        <v>24</v>
      </c>
      <c r="O28" s="26" t="str" cm="1">
        <f t="array" aca="1" ref="O28" ca="1">IF(ISNUMBER(SEARCH(INDIRECT(ADDRESS(ROW(O28),MOD(O$1,4)+1)),O$2)),$E28,"")</f>
        <v/>
      </c>
      <c r="P28" s="26" t="str" cm="1">
        <f t="array" aca="1" ref="P28" ca="1">IF(ISNUMBER(SEARCH(INDIRECT(ADDRESS(ROW(P28),MOD(P$1,4)+1)),P$2)),$E28,"")</f>
        <v/>
      </c>
      <c r="Q28" s="26" cm="1">
        <f t="array" aca="1" ref="Q28" ca="1">IF(ISNUMBER(SEARCH(INDIRECT(ADDRESS(ROW(Q28),MOD(Q$1,4)+1)),Q$2)),$E28,"")</f>
        <v>24</v>
      </c>
      <c r="R28" s="26" t="str" cm="1">
        <f t="array" aca="1" ref="R28" ca="1">IF(ISNUMBER(SEARCH(INDIRECT(ADDRESS(ROW(R28),MOD(R$1,4)+1)),R$2)),$E28,"")</f>
        <v/>
      </c>
      <c r="S28" s="26" t="str" cm="1">
        <f t="array" aca="1" ref="S28" ca="1">IF(ISNUMBER(SEARCH(INDIRECT(ADDRESS(ROW(S28),MOD(S$1,4)+1)),S$2)),$E28,"")</f>
        <v/>
      </c>
      <c r="T28" s="26" t="str" cm="1">
        <f t="array" aca="1" ref="T28" ca="1">IF(ISNUMBER(SEARCH(INDIRECT(ADDRESS(ROW(T28),MOD(T$1,4)+1)),T$2)),$E28,"")</f>
        <v/>
      </c>
      <c r="U28" s="26" t="str" cm="1">
        <f t="array" aca="1" ref="U28" ca="1">IF(ISNUMBER(SEARCH(INDIRECT(ADDRESS(ROW(U28),MOD(U$1,4)+1)),U$2)),$E28,"")</f>
        <v/>
      </c>
      <c r="V28" s="26" t="str" cm="1">
        <f t="array" aca="1" ref="V28" ca="1">IF(ISNUMBER(SEARCH(INDIRECT(ADDRESS(ROW(V28),MOD(V$1,4)+1)),V$2)),$E28,"")</f>
        <v/>
      </c>
      <c r="W28" s="26" t="str" cm="1">
        <f t="array" aca="1" ref="W28" ca="1">IF(ISNUMBER(SEARCH(INDIRECT(ADDRESS(ROW(W28),MOD(W$1,4)+1)),W$2)),$E28,"")</f>
        <v/>
      </c>
      <c r="X28" s="26" t="str" cm="1">
        <f t="array" aca="1" ref="X28" ca="1">IF(ISNUMBER(SEARCH(INDIRECT(ADDRESS(ROW(X28),MOD(X$1,4)+1)),X$2)),$E28,"")</f>
        <v/>
      </c>
      <c r="Y28" s="26" t="str" cm="1">
        <f t="array" aca="1" ref="Y28" ca="1">IF(ISNUMBER(SEARCH(INDIRECT(ADDRESS(ROW(Y28),MOD(Y$1,4)+1)),Y$2)),$E28,"")</f>
        <v/>
      </c>
      <c r="Z28" s="26" t="str" cm="1">
        <f t="array" aca="1" ref="Z28" ca="1">IF(ISNUMBER(SEARCH(INDIRECT(ADDRESS(ROW(Z28),MOD(Z$1,4)+1)),Z$2)),$E28,"")</f>
        <v/>
      </c>
      <c r="AA28" s="26" t="str" cm="1">
        <f t="array" aca="1" ref="AA28" ca="1">IF(ISNUMBER(SEARCH(INDIRECT(ADDRESS(ROW(AA28),MOD(AA$1,4)+1)),AA$2)),$E28,"")</f>
        <v/>
      </c>
      <c r="AB28" s="26" t="str" cm="1">
        <f t="array" aca="1" ref="AB28" ca="1">IF(ISNUMBER(SEARCH(INDIRECT(ADDRESS(ROW(AB28),MOD(AB$1,4)+1)),AB$2)),$E28,"")</f>
        <v/>
      </c>
      <c r="AC28" s="26" t="str" cm="1">
        <f t="array" aca="1" ref="AC28" ca="1">IF(ISNUMBER(SEARCH(INDIRECT(ADDRESS(ROW(AC28),MOD(AC$1,4)+1)),AC$2)),$E28,"")</f>
        <v/>
      </c>
      <c r="AD28" s="26" t="str" cm="1">
        <f t="array" aca="1" ref="AD28" ca="1">IF(ISNUMBER(SEARCH(INDIRECT(ADDRESS(ROW(AD28),MOD(AD$1,4)+1)),AD$2)),$E28,"")</f>
        <v/>
      </c>
      <c r="AE28" s="26" t="str" cm="1">
        <f t="array" aca="1" ref="AE28" ca="1">IF(ISNUMBER(SEARCH(INDIRECT(ADDRESS(ROW(AE28),MOD(AE$1,4)+1)),AE$2)),$E28,"")</f>
        <v/>
      </c>
      <c r="AF28" s="26" t="str" cm="1">
        <f t="array" aca="1" ref="AF28" ca="1">IF(ISNUMBER(SEARCH(INDIRECT(ADDRESS(ROW(AF28),MOD(AF$1,4)+1)),AF$2)),$E28,"")</f>
        <v/>
      </c>
      <c r="AG28" s="26" t="str" cm="1">
        <f t="array" aca="1" ref="AG28" ca="1">IF(ISNUMBER(SEARCH(INDIRECT(ADDRESS(ROW(AG28),MOD(AG$1,4)+1)),AG$2)),$E28,"")</f>
        <v/>
      </c>
      <c r="AH28" s="26" t="str" cm="1">
        <f t="array" aca="1" ref="AH28" ca="1">IF(ISNUMBER(SEARCH(INDIRECT(ADDRESS(ROW(AH28),MOD(AH$1,4)+1)),AH$2)),$E28,"")</f>
        <v/>
      </c>
      <c r="AI28" s="26" t="str" cm="1">
        <f t="array" aca="1" ref="AI28" ca="1">IF(ISNUMBER(SEARCH(INDIRECT(ADDRESS(ROW(AI28),MOD(AI$1,4)+1)),AI$2)),$E28,"")</f>
        <v/>
      </c>
      <c r="AJ28" s="26" t="str" cm="1">
        <f t="array" aca="1" ref="AJ28" ca="1">IF(ISNUMBER(SEARCH(INDIRECT(ADDRESS(ROW(AJ28),MOD(AJ$1,4)+1)),AJ$2)),$E28,"")</f>
        <v/>
      </c>
      <c r="AK28" s="26" t="str" cm="1">
        <f t="array" aca="1" ref="AK28" ca="1">IF(ISNUMBER(SEARCH(INDIRECT(ADDRESS(ROW(AK28),MOD(AK$1,4)+1)),AK$2)),$E28,"")</f>
        <v/>
      </c>
      <c r="AL28" s="26" t="str" cm="1">
        <f t="array" aca="1" ref="AL28" ca="1">IF(ISNUMBER(SEARCH(INDIRECT(ADDRESS(ROW(AL28),MOD(AL$1,4)+1)),AL$2)),$E28,"")</f>
        <v/>
      </c>
      <c r="AM28" s="26" t="str" cm="1">
        <f t="array" aca="1" ref="AM28" ca="1">IF(ISNUMBER(SEARCH(INDIRECT(ADDRESS(ROW(AM28),MOD(AM$1,4)+1)),AM$2)),$E28,"")</f>
        <v/>
      </c>
      <c r="AN28" s="26" t="str" cm="1">
        <f t="array" aca="1" ref="AN28" ca="1">IF(ISNUMBER(SEARCH(INDIRECT(ADDRESS(ROW(AN28),MOD(AN$1,4)+1)),AN$2)),$E28,"")</f>
        <v/>
      </c>
      <c r="AO28" s="26" t="str" cm="1">
        <f t="array" aca="1" ref="AO28" ca="1">IF(ISNUMBER(SEARCH(INDIRECT(ADDRESS(ROW(AO28),MOD(AO$1,4)+1)),AO$2)),$E28,"")</f>
        <v/>
      </c>
      <c r="AP28" s="26" t="str" cm="1">
        <f t="array" aca="1" ref="AP28" ca="1">IF(ISNUMBER(SEARCH(INDIRECT(ADDRESS(ROW(AP28),MOD(AP$1,4)+1)),AP$2)),$E28,"")</f>
        <v/>
      </c>
      <c r="AQ28" s="31" t="str" cm="1">
        <f t="array" aca="1" ref="AQ28" ca="1">IF(ISNUMBER(SEARCH(INDIRECT(ADDRESS(ROW(AQ28),MOD(AQ$1,4)+1)),AQ$2)),$E28,"")</f>
        <v/>
      </c>
      <c r="AT28" t="e">
        <f>IF(VLOOKUP($E28,'Formatted NEW'!$B$2:$F$202,5,FALSE)=VLOOKUP($E28,'Formatted NEW'!$B$2:$F$202,8,FALSE),$E28,"")</f>
        <v>#N/A</v>
      </c>
      <c r="AW28" t="e">
        <f>IF(VLOOKUP($E28,'Formatted NEW'!$B$2:$F$202,5,FALSE)=VLOOKUP($E28,'Formatted NEW'!$B$2:$F$202,11,FALSE),$E28,"")</f>
        <v>#N/A</v>
      </c>
      <c r="AZ28" t="e">
        <f>IF(VLOOKUP($E28,'Formatted NEW'!$B$2:$F$202,5,FALSE)=VLOOKUP($E28,'Formatted NEW'!$B$2:$F$202,14,FALSE),$E28,"")</f>
        <v>#N/A</v>
      </c>
      <c r="BC28" t="str">
        <f>VLOOKUP($E28,'Formatted NEW'!$M$2:$T$202,6,FALSE)</f>
        <v>ORTHO_BOTH</v>
      </c>
      <c r="BD28" s="26" t="e">
        <f>VLOOKUP(VLOOKUP(VLOOKUP($E28,'Formatted NEW'!$M$2:$O$202,2,FALSE),'Formatted NEW'!$D$2:$F$202,7,FALSE),'Formatted NEW'!$D$2:$O$202,12,FALSE)</f>
        <v>#REF!</v>
      </c>
      <c r="BE28" t="e">
        <f>VLOOKUP($BD28,'Formatted NEW'!$M$2:$T$202,5,FALSE)</f>
        <v>#REF!</v>
      </c>
      <c r="BF28" s="26" t="e">
        <f t="shared" si="1"/>
        <v>#REF!</v>
      </c>
      <c r="BH28">
        <f>VLOOKUP($E28,'Formatted NEW'!$M$2:$T$202,4,FALSE)</f>
        <v>0</v>
      </c>
      <c r="BI28" s="26" t="e">
        <f>VLOOKUP(VLOOKUP(VLOOKUP($E28,'Formatted NEW'!$M$2:$O$202,2,FALSE),'Formatted NEW'!$D$2:$F$202,10,FALSE),'Formatted NEW'!$D$2:$O$202,12,FALSE)</f>
        <v>#REF!</v>
      </c>
      <c r="BJ28" t="e">
        <f>VLOOKUP($BI28,'Formatted NEW'!$M$2:$T$202,3,FALSE)</f>
        <v>#REF!</v>
      </c>
      <c r="BK28" s="26" t="e">
        <f t="shared" si="2"/>
        <v>#REF!</v>
      </c>
    </row>
    <row r="29" spans="1:63" x14ac:dyDescent="0.25">
      <c r="A29" t="str">
        <f>'Formatted NEW'!Q27</f>
        <v>EMPTY</v>
      </c>
      <c r="B29" t="str">
        <f>'Formatted NEW'!R27</f>
        <v>ORTHO_BOTH</v>
      </c>
      <c r="C29" t="str">
        <f>'Formatted NEW'!S27</f>
        <v>EMPTY</v>
      </c>
      <c r="D29" t="str">
        <f>'Formatted NEW'!T27</f>
        <v>DIAG_BOTH</v>
      </c>
      <c r="E29" s="26">
        <f t="shared" si="0"/>
        <v>25</v>
      </c>
      <c r="H29" s="30" t="str" cm="1">
        <f t="array" aca="1" ref="H29" ca="1">IF(ISNUMBER(SEARCH(INDIRECT(ADDRESS(ROW(H29),MOD(H$1,4)+1)),H$2)),$E29,"")</f>
        <v/>
      </c>
      <c r="I29" s="26" t="str" cm="1">
        <f t="array" aca="1" ref="I29" ca="1">IF(ISNUMBER(SEARCH(INDIRECT(ADDRESS(ROW(I29),MOD(I$1,4)+1)),I$2)),$E29,"")</f>
        <v/>
      </c>
      <c r="J29" s="26" t="str" cm="1">
        <f t="array" aca="1" ref="J29" ca="1">IF(ISNUMBER(SEARCH(INDIRECT(ADDRESS(ROW(J29),MOD(J$1,4)+1)),J$2)),$E29,"")</f>
        <v/>
      </c>
      <c r="K29" s="26" t="str" cm="1">
        <f t="array" aca="1" ref="K29" ca="1">IF(ISNUMBER(SEARCH(INDIRECT(ADDRESS(ROW(K29),MOD(K$1,4)+1)),K$2)),$E29,"")</f>
        <v/>
      </c>
      <c r="L29" s="26" t="str" cm="1">
        <f t="array" aca="1" ref="L29" ca="1">IF(ISNUMBER(SEARCH(INDIRECT(ADDRESS(ROW(L29),MOD(L$1,4)+1)),L$2)),$E29,"")</f>
        <v/>
      </c>
      <c r="M29" s="26" t="str" cm="1">
        <f t="array" aca="1" ref="M29" ca="1">IF(ISNUMBER(SEARCH(INDIRECT(ADDRESS(ROW(M29),MOD(M$1,4)+1)),M$2)),$E29,"")</f>
        <v/>
      </c>
      <c r="N29" s="26" t="str" cm="1">
        <f t="array" aca="1" ref="N29" ca="1">IF(ISNUMBER(SEARCH(INDIRECT(ADDRESS(ROW(N29),MOD(N$1,4)+1)),N$2)),$E29,"")</f>
        <v/>
      </c>
      <c r="O29" s="26" cm="1">
        <f t="array" aca="1" ref="O29" ca="1">IF(ISNUMBER(SEARCH(INDIRECT(ADDRESS(ROW(O29),MOD(O$1,4)+1)),O$2)),$E29,"")</f>
        <v>25</v>
      </c>
      <c r="P29" s="26" t="str" cm="1">
        <f t="array" aca="1" ref="P29" ca="1">IF(ISNUMBER(SEARCH(INDIRECT(ADDRESS(ROW(P29),MOD(P$1,4)+1)),P$2)),$E29,"")</f>
        <v/>
      </c>
      <c r="Q29" s="26" cm="1">
        <f t="array" aca="1" ref="Q29" ca="1">IF(ISNUMBER(SEARCH(INDIRECT(ADDRESS(ROW(Q29),MOD(Q$1,4)+1)),Q$2)),$E29,"")</f>
        <v>25</v>
      </c>
      <c r="R29" s="26" t="str" cm="1">
        <f t="array" aca="1" ref="R29" ca="1">IF(ISNUMBER(SEARCH(INDIRECT(ADDRESS(ROW(R29),MOD(R$1,4)+1)),R$2)),$E29,"")</f>
        <v/>
      </c>
      <c r="S29" s="26" t="str" cm="1">
        <f t="array" aca="1" ref="S29" ca="1">IF(ISNUMBER(SEARCH(INDIRECT(ADDRESS(ROW(S29),MOD(S$1,4)+1)),S$2)),$E29,"")</f>
        <v/>
      </c>
      <c r="T29" s="26" t="str" cm="1">
        <f t="array" aca="1" ref="T29" ca="1">IF(ISNUMBER(SEARCH(INDIRECT(ADDRESS(ROW(T29),MOD(T$1,4)+1)),T$2)),$E29,"")</f>
        <v/>
      </c>
      <c r="U29" s="26" t="str" cm="1">
        <f t="array" aca="1" ref="U29" ca="1">IF(ISNUMBER(SEARCH(INDIRECT(ADDRESS(ROW(U29),MOD(U$1,4)+1)),U$2)),$E29,"")</f>
        <v/>
      </c>
      <c r="V29" s="26" t="str" cm="1">
        <f t="array" aca="1" ref="V29" ca="1">IF(ISNUMBER(SEARCH(INDIRECT(ADDRESS(ROW(V29),MOD(V$1,4)+1)),V$2)),$E29,"")</f>
        <v/>
      </c>
      <c r="W29" s="26" t="str" cm="1">
        <f t="array" aca="1" ref="W29" ca="1">IF(ISNUMBER(SEARCH(INDIRECT(ADDRESS(ROW(W29),MOD(W$1,4)+1)),W$2)),$E29,"")</f>
        <v/>
      </c>
      <c r="X29" s="26" t="str" cm="1">
        <f t="array" aca="1" ref="X29" ca="1">IF(ISNUMBER(SEARCH(INDIRECT(ADDRESS(ROW(X29),MOD(X$1,4)+1)),X$2)),$E29,"")</f>
        <v/>
      </c>
      <c r="Y29" s="26" t="str" cm="1">
        <f t="array" aca="1" ref="Y29" ca="1">IF(ISNUMBER(SEARCH(INDIRECT(ADDRESS(ROW(Y29),MOD(Y$1,4)+1)),Y$2)),$E29,"")</f>
        <v/>
      </c>
      <c r="Z29" s="26" t="str" cm="1">
        <f t="array" aca="1" ref="Z29" ca="1">IF(ISNUMBER(SEARCH(INDIRECT(ADDRESS(ROW(Z29),MOD(Z$1,4)+1)),Z$2)),$E29,"")</f>
        <v/>
      </c>
      <c r="AA29" s="26" t="str" cm="1">
        <f t="array" aca="1" ref="AA29" ca="1">IF(ISNUMBER(SEARCH(INDIRECT(ADDRESS(ROW(AA29),MOD(AA$1,4)+1)),AA$2)),$E29,"")</f>
        <v/>
      </c>
      <c r="AB29" s="26" t="str" cm="1">
        <f t="array" aca="1" ref="AB29" ca="1">IF(ISNUMBER(SEARCH(INDIRECT(ADDRESS(ROW(AB29),MOD(AB$1,4)+1)),AB$2)),$E29,"")</f>
        <v/>
      </c>
      <c r="AC29" s="26" t="str" cm="1">
        <f t="array" aca="1" ref="AC29" ca="1">IF(ISNUMBER(SEARCH(INDIRECT(ADDRESS(ROW(AC29),MOD(AC$1,4)+1)),AC$2)),$E29,"")</f>
        <v/>
      </c>
      <c r="AD29" s="26" t="str" cm="1">
        <f t="array" aca="1" ref="AD29" ca="1">IF(ISNUMBER(SEARCH(INDIRECT(ADDRESS(ROW(AD29),MOD(AD$1,4)+1)),AD$2)),$E29,"")</f>
        <v/>
      </c>
      <c r="AE29" s="26" t="str" cm="1">
        <f t="array" aca="1" ref="AE29" ca="1">IF(ISNUMBER(SEARCH(INDIRECT(ADDRESS(ROW(AE29),MOD(AE$1,4)+1)),AE$2)),$E29,"")</f>
        <v/>
      </c>
      <c r="AF29" s="26" t="str" cm="1">
        <f t="array" aca="1" ref="AF29" ca="1">IF(ISNUMBER(SEARCH(INDIRECT(ADDRESS(ROW(AF29),MOD(AF$1,4)+1)),AF$2)),$E29,"")</f>
        <v/>
      </c>
      <c r="AG29" s="26" t="str" cm="1">
        <f t="array" aca="1" ref="AG29" ca="1">IF(ISNUMBER(SEARCH(INDIRECT(ADDRESS(ROW(AG29),MOD(AG$1,4)+1)),AG$2)),$E29,"")</f>
        <v/>
      </c>
      <c r="AH29" s="26" t="str" cm="1">
        <f t="array" aca="1" ref="AH29" ca="1">IF(ISNUMBER(SEARCH(INDIRECT(ADDRESS(ROW(AH29),MOD(AH$1,4)+1)),AH$2)),$E29,"")</f>
        <v/>
      </c>
      <c r="AI29" s="26" t="str" cm="1">
        <f t="array" aca="1" ref="AI29" ca="1">IF(ISNUMBER(SEARCH(INDIRECT(ADDRESS(ROW(AI29),MOD(AI$1,4)+1)),AI$2)),$E29,"")</f>
        <v/>
      </c>
      <c r="AJ29" s="26" t="str" cm="1">
        <f t="array" aca="1" ref="AJ29" ca="1">IF(ISNUMBER(SEARCH(INDIRECT(ADDRESS(ROW(AJ29),MOD(AJ$1,4)+1)),AJ$2)),$E29,"")</f>
        <v/>
      </c>
      <c r="AK29" s="26" t="str" cm="1">
        <f t="array" aca="1" ref="AK29" ca="1">IF(ISNUMBER(SEARCH(INDIRECT(ADDRESS(ROW(AK29),MOD(AK$1,4)+1)),AK$2)),$E29,"")</f>
        <v/>
      </c>
      <c r="AL29" s="26" t="str" cm="1">
        <f t="array" aca="1" ref="AL29" ca="1">IF(ISNUMBER(SEARCH(INDIRECT(ADDRESS(ROW(AL29),MOD(AL$1,4)+1)),AL$2)),$E29,"")</f>
        <v/>
      </c>
      <c r="AM29" s="26" t="str" cm="1">
        <f t="array" aca="1" ref="AM29" ca="1">IF(ISNUMBER(SEARCH(INDIRECT(ADDRESS(ROW(AM29),MOD(AM$1,4)+1)),AM$2)),$E29,"")</f>
        <v/>
      </c>
      <c r="AN29" s="26" t="str" cm="1">
        <f t="array" aca="1" ref="AN29" ca="1">IF(ISNUMBER(SEARCH(INDIRECT(ADDRESS(ROW(AN29),MOD(AN$1,4)+1)),AN$2)),$E29,"")</f>
        <v/>
      </c>
      <c r="AO29" s="26" t="str" cm="1">
        <f t="array" aca="1" ref="AO29" ca="1">IF(ISNUMBER(SEARCH(INDIRECT(ADDRESS(ROW(AO29),MOD(AO$1,4)+1)),AO$2)),$E29,"")</f>
        <v/>
      </c>
      <c r="AP29" s="26" t="str" cm="1">
        <f t="array" aca="1" ref="AP29" ca="1">IF(ISNUMBER(SEARCH(INDIRECT(ADDRESS(ROW(AP29),MOD(AP$1,4)+1)),AP$2)),$E29,"")</f>
        <v/>
      </c>
      <c r="AQ29" s="31" t="str" cm="1">
        <f t="array" aca="1" ref="AQ29" ca="1">IF(ISNUMBER(SEARCH(INDIRECT(ADDRESS(ROW(AQ29),MOD(AQ$1,4)+1)),AQ$2)),$E29,"")</f>
        <v/>
      </c>
      <c r="AT29" t="e">
        <f>IF(VLOOKUP($E29,'Formatted NEW'!$B$2:$F$202,5,FALSE)=VLOOKUP($E29,'Formatted NEW'!$B$2:$F$202,8,FALSE),$E29,"")</f>
        <v>#N/A</v>
      </c>
      <c r="AW29" t="e">
        <f>IF(VLOOKUP($E29,'Formatted NEW'!$B$2:$F$202,5,FALSE)=VLOOKUP($E29,'Formatted NEW'!$B$2:$F$202,11,FALSE),$E29,"")</f>
        <v>#N/A</v>
      </c>
      <c r="AZ29" t="e">
        <f>IF(VLOOKUP($E29,'Formatted NEW'!$B$2:$F$202,5,FALSE)=VLOOKUP($E29,'Formatted NEW'!$B$2:$F$202,14,FALSE),$E29,"")</f>
        <v>#N/A</v>
      </c>
      <c r="BC29" t="str">
        <f>VLOOKUP($E29,'Formatted NEW'!$M$2:$T$202,6,FALSE)</f>
        <v>ORTHO_BOTH</v>
      </c>
      <c r="BD29" s="26" t="e">
        <f>VLOOKUP(VLOOKUP(VLOOKUP($E29,'Formatted NEW'!$M$2:$O$202,2,FALSE),'Formatted NEW'!$D$2:$F$202,7,FALSE),'Formatted NEW'!$D$2:$O$202,12,FALSE)</f>
        <v>#REF!</v>
      </c>
      <c r="BE29" t="e">
        <f>VLOOKUP($BD29,'Formatted NEW'!$M$2:$T$202,5,FALSE)</f>
        <v>#REF!</v>
      </c>
      <c r="BF29" s="26" t="e">
        <f t="shared" si="1"/>
        <v>#REF!</v>
      </c>
      <c r="BH29">
        <f>VLOOKUP($E29,'Formatted NEW'!$M$2:$T$202,4,FALSE)</f>
        <v>0</v>
      </c>
      <c r="BI29" s="26" t="e">
        <f>VLOOKUP(VLOOKUP(VLOOKUP($E29,'Formatted NEW'!$M$2:$O$202,2,FALSE),'Formatted NEW'!$D$2:$F$202,10,FALSE),'Formatted NEW'!$D$2:$O$202,12,FALSE)</f>
        <v>#REF!</v>
      </c>
      <c r="BJ29" t="e">
        <f>VLOOKUP($BI29,'Formatted NEW'!$M$2:$T$202,3,FALSE)</f>
        <v>#REF!</v>
      </c>
      <c r="BK29" s="26" t="e">
        <f t="shared" si="2"/>
        <v>#REF!</v>
      </c>
    </row>
    <row r="30" spans="1:63" x14ac:dyDescent="0.25">
      <c r="A30" t="str">
        <f>'Formatted NEW'!Q28</f>
        <v>EMPTY</v>
      </c>
      <c r="B30" t="str">
        <f>'Formatted NEW'!R28</f>
        <v>ORTHO_BOTH</v>
      </c>
      <c r="C30" t="str">
        <f>'Formatted NEW'!S28</f>
        <v>ORTHO_BOTH</v>
      </c>
      <c r="D30" t="str">
        <f>'Formatted NEW'!T28</f>
        <v>EMPTY</v>
      </c>
      <c r="E30" s="26">
        <f t="shared" si="0"/>
        <v>26</v>
      </c>
      <c r="H30" s="30" t="str" cm="1">
        <f t="array" aca="1" ref="H30" ca="1">IF(ISNUMBER(SEARCH(INDIRECT(ADDRESS(ROW(H30),MOD(H$1,4)+1)),H$2)),$E30,"")</f>
        <v/>
      </c>
      <c r="I30" s="26" t="str" cm="1">
        <f t="array" aca="1" ref="I30" ca="1">IF(ISNUMBER(SEARCH(INDIRECT(ADDRESS(ROW(I30),MOD(I$1,4)+1)),I$2)),$E30,"")</f>
        <v/>
      </c>
      <c r="J30" s="26" t="str" cm="1">
        <f t="array" aca="1" ref="J30" ca="1">IF(ISNUMBER(SEARCH(INDIRECT(ADDRESS(ROW(J30),MOD(J$1,4)+1)),J$2)),$E30,"")</f>
        <v/>
      </c>
      <c r="K30" s="26" t="str" cm="1">
        <f t="array" aca="1" ref="K30" ca="1">IF(ISNUMBER(SEARCH(INDIRECT(ADDRESS(ROW(K30),MOD(K$1,4)+1)),K$2)),$E30,"")</f>
        <v/>
      </c>
      <c r="L30" s="26" t="str" cm="1">
        <f t="array" aca="1" ref="L30" ca="1">IF(ISNUMBER(SEARCH(INDIRECT(ADDRESS(ROW(L30),MOD(L$1,4)+1)),L$2)),$E30,"")</f>
        <v/>
      </c>
      <c r="M30" s="26" t="str" cm="1">
        <f t="array" aca="1" ref="M30" ca="1">IF(ISNUMBER(SEARCH(INDIRECT(ADDRESS(ROW(M30),MOD(M$1,4)+1)),M$2)),$E30,"")</f>
        <v/>
      </c>
      <c r="N30" s="26" t="str" cm="1">
        <f t="array" aca="1" ref="N30" ca="1">IF(ISNUMBER(SEARCH(INDIRECT(ADDRESS(ROW(N30),MOD(N$1,4)+1)),N$2)),$E30,"")</f>
        <v/>
      </c>
      <c r="O30" s="26" t="str" cm="1">
        <f t="array" aca="1" ref="O30" ca="1">IF(ISNUMBER(SEARCH(INDIRECT(ADDRESS(ROW(O30),MOD(O$1,4)+1)),O$2)),$E30,"")</f>
        <v/>
      </c>
      <c r="P30" s="26" t="str" cm="1">
        <f t="array" aca="1" ref="P30" ca="1">IF(ISNUMBER(SEARCH(INDIRECT(ADDRESS(ROW(P30),MOD(P$1,4)+1)),P$2)),$E30,"")</f>
        <v/>
      </c>
      <c r="Q30" s="26" cm="1">
        <f t="array" aca="1" ref="Q30" ca="1">IF(ISNUMBER(SEARCH(INDIRECT(ADDRESS(ROW(Q30),MOD(Q$1,4)+1)),Q$2)),$E30,"")</f>
        <v>26</v>
      </c>
      <c r="R30" s="26" cm="1">
        <f t="array" aca="1" ref="R30" ca="1">IF(ISNUMBER(SEARCH(INDIRECT(ADDRESS(ROW(R30),MOD(R$1,4)+1)),R$2)),$E30,"")</f>
        <v>26</v>
      </c>
      <c r="S30" s="26" t="str" cm="1">
        <f t="array" aca="1" ref="S30" ca="1">IF(ISNUMBER(SEARCH(INDIRECT(ADDRESS(ROW(S30),MOD(S$1,4)+1)),S$2)),$E30,"")</f>
        <v/>
      </c>
      <c r="T30" s="26" t="str" cm="1">
        <f t="array" aca="1" ref="T30" ca="1">IF(ISNUMBER(SEARCH(INDIRECT(ADDRESS(ROW(T30),MOD(T$1,4)+1)),T$2)),$E30,"")</f>
        <v/>
      </c>
      <c r="U30" s="26" t="str" cm="1">
        <f t="array" aca="1" ref="U30" ca="1">IF(ISNUMBER(SEARCH(INDIRECT(ADDRESS(ROW(U30),MOD(U$1,4)+1)),U$2)),$E30,"")</f>
        <v/>
      </c>
      <c r="V30" s="26" t="str" cm="1">
        <f t="array" aca="1" ref="V30" ca="1">IF(ISNUMBER(SEARCH(INDIRECT(ADDRESS(ROW(V30),MOD(V$1,4)+1)),V$2)),$E30,"")</f>
        <v/>
      </c>
      <c r="W30" s="26" t="str" cm="1">
        <f t="array" aca="1" ref="W30" ca="1">IF(ISNUMBER(SEARCH(INDIRECT(ADDRESS(ROW(W30),MOD(W$1,4)+1)),W$2)),$E30,"")</f>
        <v/>
      </c>
      <c r="X30" s="26" t="str" cm="1">
        <f t="array" aca="1" ref="X30" ca="1">IF(ISNUMBER(SEARCH(INDIRECT(ADDRESS(ROW(X30),MOD(X$1,4)+1)),X$2)),$E30,"")</f>
        <v/>
      </c>
      <c r="Y30" s="26" t="str" cm="1">
        <f t="array" aca="1" ref="Y30" ca="1">IF(ISNUMBER(SEARCH(INDIRECT(ADDRESS(ROW(Y30),MOD(Y$1,4)+1)),Y$2)),$E30,"")</f>
        <v/>
      </c>
      <c r="Z30" s="26" t="str" cm="1">
        <f t="array" aca="1" ref="Z30" ca="1">IF(ISNUMBER(SEARCH(INDIRECT(ADDRESS(ROW(Z30),MOD(Z$1,4)+1)),Z$2)),$E30,"")</f>
        <v/>
      </c>
      <c r="AA30" s="26" t="str" cm="1">
        <f t="array" aca="1" ref="AA30" ca="1">IF(ISNUMBER(SEARCH(INDIRECT(ADDRESS(ROW(AA30),MOD(AA$1,4)+1)),AA$2)),$E30,"")</f>
        <v/>
      </c>
      <c r="AB30" s="26" t="str" cm="1">
        <f t="array" aca="1" ref="AB30" ca="1">IF(ISNUMBER(SEARCH(INDIRECT(ADDRESS(ROW(AB30),MOD(AB$1,4)+1)),AB$2)),$E30,"")</f>
        <v/>
      </c>
      <c r="AC30" s="26" t="str" cm="1">
        <f t="array" aca="1" ref="AC30" ca="1">IF(ISNUMBER(SEARCH(INDIRECT(ADDRESS(ROW(AC30),MOD(AC$1,4)+1)),AC$2)),$E30,"")</f>
        <v/>
      </c>
      <c r="AD30" s="26" t="str" cm="1">
        <f t="array" aca="1" ref="AD30" ca="1">IF(ISNUMBER(SEARCH(INDIRECT(ADDRESS(ROW(AD30),MOD(AD$1,4)+1)),AD$2)),$E30,"")</f>
        <v/>
      </c>
      <c r="AE30" s="26" t="str" cm="1">
        <f t="array" aca="1" ref="AE30" ca="1">IF(ISNUMBER(SEARCH(INDIRECT(ADDRESS(ROW(AE30),MOD(AE$1,4)+1)),AE$2)),$E30,"")</f>
        <v/>
      </c>
      <c r="AF30" s="26" t="str" cm="1">
        <f t="array" aca="1" ref="AF30" ca="1">IF(ISNUMBER(SEARCH(INDIRECT(ADDRESS(ROW(AF30),MOD(AF$1,4)+1)),AF$2)),$E30,"")</f>
        <v/>
      </c>
      <c r="AG30" s="26" t="str" cm="1">
        <f t="array" aca="1" ref="AG30" ca="1">IF(ISNUMBER(SEARCH(INDIRECT(ADDRESS(ROW(AG30),MOD(AG$1,4)+1)),AG$2)),$E30,"")</f>
        <v/>
      </c>
      <c r="AH30" s="26" t="str" cm="1">
        <f t="array" aca="1" ref="AH30" ca="1">IF(ISNUMBER(SEARCH(INDIRECT(ADDRESS(ROW(AH30),MOD(AH$1,4)+1)),AH$2)),$E30,"")</f>
        <v/>
      </c>
      <c r="AI30" s="26" t="str" cm="1">
        <f t="array" aca="1" ref="AI30" ca="1">IF(ISNUMBER(SEARCH(INDIRECT(ADDRESS(ROW(AI30),MOD(AI$1,4)+1)),AI$2)),$E30,"")</f>
        <v/>
      </c>
      <c r="AJ30" s="26" t="str" cm="1">
        <f t="array" aca="1" ref="AJ30" ca="1">IF(ISNUMBER(SEARCH(INDIRECT(ADDRESS(ROW(AJ30),MOD(AJ$1,4)+1)),AJ$2)),$E30,"")</f>
        <v/>
      </c>
      <c r="AK30" s="26" t="str" cm="1">
        <f t="array" aca="1" ref="AK30" ca="1">IF(ISNUMBER(SEARCH(INDIRECT(ADDRESS(ROW(AK30),MOD(AK$1,4)+1)),AK$2)),$E30,"")</f>
        <v/>
      </c>
      <c r="AL30" s="26" t="str" cm="1">
        <f t="array" aca="1" ref="AL30" ca="1">IF(ISNUMBER(SEARCH(INDIRECT(ADDRESS(ROW(AL30),MOD(AL$1,4)+1)),AL$2)),$E30,"")</f>
        <v/>
      </c>
      <c r="AM30" s="26" t="str" cm="1">
        <f t="array" aca="1" ref="AM30" ca="1">IF(ISNUMBER(SEARCH(INDIRECT(ADDRESS(ROW(AM30),MOD(AM$1,4)+1)),AM$2)),$E30,"")</f>
        <v/>
      </c>
      <c r="AN30" s="26" t="str" cm="1">
        <f t="array" aca="1" ref="AN30" ca="1">IF(ISNUMBER(SEARCH(INDIRECT(ADDRESS(ROW(AN30),MOD(AN$1,4)+1)),AN$2)),$E30,"")</f>
        <v/>
      </c>
      <c r="AO30" s="26" t="str" cm="1">
        <f t="array" aca="1" ref="AO30" ca="1">IF(ISNUMBER(SEARCH(INDIRECT(ADDRESS(ROW(AO30),MOD(AO$1,4)+1)),AO$2)),$E30,"")</f>
        <v/>
      </c>
      <c r="AP30" s="26" t="str" cm="1">
        <f t="array" aca="1" ref="AP30" ca="1">IF(ISNUMBER(SEARCH(INDIRECT(ADDRESS(ROW(AP30),MOD(AP$1,4)+1)),AP$2)),$E30,"")</f>
        <v/>
      </c>
      <c r="AQ30" s="31" t="str" cm="1">
        <f t="array" aca="1" ref="AQ30" ca="1">IF(ISNUMBER(SEARCH(INDIRECT(ADDRESS(ROW(AQ30),MOD(AQ$1,4)+1)),AQ$2)),$E30,"")</f>
        <v/>
      </c>
      <c r="AT30" t="e">
        <f>IF(VLOOKUP($E30,'Formatted NEW'!$B$2:$F$202,5,FALSE)=VLOOKUP($E30,'Formatted NEW'!$B$2:$F$202,8,FALSE),$E30,"")</f>
        <v>#N/A</v>
      </c>
      <c r="AW30" t="e">
        <f>IF(VLOOKUP($E30,'Formatted NEW'!$B$2:$F$202,5,FALSE)=VLOOKUP($E30,'Formatted NEW'!$B$2:$F$202,11,FALSE),$E30,"")</f>
        <v>#N/A</v>
      </c>
      <c r="AZ30" t="e">
        <f>IF(VLOOKUP($E30,'Formatted NEW'!$B$2:$F$202,5,FALSE)=VLOOKUP($E30,'Formatted NEW'!$B$2:$F$202,14,FALSE),$E30,"")</f>
        <v>#N/A</v>
      </c>
      <c r="BC30" t="str">
        <f>VLOOKUP($E30,'Formatted NEW'!$M$2:$T$202,6,FALSE)</f>
        <v>ORTHO_BOTH</v>
      </c>
      <c r="BD30" s="26" t="e">
        <f>VLOOKUP(VLOOKUP(VLOOKUP($E30,'Formatted NEW'!$M$2:$O$202,2,FALSE),'Formatted NEW'!$D$2:$F$202,7,FALSE),'Formatted NEW'!$D$2:$O$202,12,FALSE)</f>
        <v>#REF!</v>
      </c>
      <c r="BE30" t="e">
        <f>VLOOKUP($BD30,'Formatted NEW'!$M$2:$T$202,5,FALSE)</f>
        <v>#REF!</v>
      </c>
      <c r="BF30" s="26" t="e">
        <f t="shared" si="1"/>
        <v>#REF!</v>
      </c>
      <c r="BH30">
        <f>VLOOKUP($E30,'Formatted NEW'!$M$2:$T$202,4,FALSE)</f>
        <v>0</v>
      </c>
      <c r="BI30" s="26" t="e">
        <f>VLOOKUP(VLOOKUP(VLOOKUP($E30,'Formatted NEW'!$M$2:$O$202,2,FALSE),'Formatted NEW'!$D$2:$F$202,10,FALSE),'Formatted NEW'!$D$2:$O$202,12,FALSE)</f>
        <v>#REF!</v>
      </c>
      <c r="BJ30" t="e">
        <f>VLOOKUP($BI30,'Formatted NEW'!$M$2:$T$202,3,FALSE)</f>
        <v>#REF!</v>
      </c>
      <c r="BK30" s="26" t="e">
        <f t="shared" si="2"/>
        <v>#REF!</v>
      </c>
    </row>
    <row r="31" spans="1:63" x14ac:dyDescent="0.25">
      <c r="A31" t="str">
        <f>'Formatted NEW'!Q29</f>
        <v>EMPTY</v>
      </c>
      <c r="B31" t="str">
        <f>'Formatted NEW'!R29</f>
        <v>DIAG_BOTH</v>
      </c>
      <c r="C31" t="str">
        <f>'Formatted NEW'!S29</f>
        <v>ORTHO_BOTH</v>
      </c>
      <c r="D31" t="str">
        <f>'Formatted NEW'!T29</f>
        <v>EMPTY</v>
      </c>
      <c r="E31" s="26">
        <f t="shared" si="0"/>
        <v>27</v>
      </c>
      <c r="H31" s="30" t="str" cm="1">
        <f t="array" aca="1" ref="H31" ca="1">IF(ISNUMBER(SEARCH(INDIRECT(ADDRESS(ROW(H31),MOD(H$1,4)+1)),H$2)),$E31,"")</f>
        <v/>
      </c>
      <c r="I31" s="26" t="str" cm="1">
        <f t="array" aca="1" ref="I31" ca="1">IF(ISNUMBER(SEARCH(INDIRECT(ADDRESS(ROW(I31),MOD(I$1,4)+1)),I$2)),$E31,"")</f>
        <v/>
      </c>
      <c r="J31" s="26" t="str" cm="1">
        <f t="array" aca="1" ref="J31" ca="1">IF(ISNUMBER(SEARCH(INDIRECT(ADDRESS(ROW(J31),MOD(J$1,4)+1)),J$2)),$E31,"")</f>
        <v/>
      </c>
      <c r="K31" s="26" t="str" cm="1">
        <f t="array" aca="1" ref="K31" ca="1">IF(ISNUMBER(SEARCH(INDIRECT(ADDRESS(ROW(K31),MOD(K$1,4)+1)),K$2)),$E31,"")</f>
        <v/>
      </c>
      <c r="L31" s="26" t="str" cm="1">
        <f t="array" aca="1" ref="L31" ca="1">IF(ISNUMBER(SEARCH(INDIRECT(ADDRESS(ROW(L31),MOD(L$1,4)+1)),L$2)),$E31,"")</f>
        <v/>
      </c>
      <c r="M31" s="26" cm="1">
        <f t="array" aca="1" ref="M31" ca="1">IF(ISNUMBER(SEARCH(INDIRECT(ADDRESS(ROW(M31),MOD(M$1,4)+1)),M$2)),$E31,"")</f>
        <v>27</v>
      </c>
      <c r="N31" s="26" t="str" cm="1">
        <f t="array" aca="1" ref="N31" ca="1">IF(ISNUMBER(SEARCH(INDIRECT(ADDRESS(ROW(N31),MOD(N$1,4)+1)),N$2)),$E31,"")</f>
        <v/>
      </c>
      <c r="O31" s="26" t="str" cm="1">
        <f t="array" aca="1" ref="O31" ca="1">IF(ISNUMBER(SEARCH(INDIRECT(ADDRESS(ROW(O31),MOD(O$1,4)+1)),O$2)),$E31,"")</f>
        <v/>
      </c>
      <c r="P31" s="26" t="str" cm="1">
        <f t="array" aca="1" ref="P31" ca="1">IF(ISNUMBER(SEARCH(INDIRECT(ADDRESS(ROW(P31),MOD(P$1,4)+1)),P$2)),$E31,"")</f>
        <v/>
      </c>
      <c r="Q31" s="26" t="str" cm="1">
        <f t="array" aca="1" ref="Q31" ca="1">IF(ISNUMBER(SEARCH(INDIRECT(ADDRESS(ROW(Q31),MOD(Q$1,4)+1)),Q$2)),$E31,"")</f>
        <v/>
      </c>
      <c r="R31" s="26" cm="1">
        <f t="array" aca="1" ref="R31" ca="1">IF(ISNUMBER(SEARCH(INDIRECT(ADDRESS(ROW(R31),MOD(R$1,4)+1)),R$2)),$E31,"")</f>
        <v>27</v>
      </c>
      <c r="S31" s="26" t="str" cm="1">
        <f t="array" aca="1" ref="S31" ca="1">IF(ISNUMBER(SEARCH(INDIRECT(ADDRESS(ROW(S31),MOD(S$1,4)+1)),S$2)),$E31,"")</f>
        <v/>
      </c>
      <c r="T31" s="26" t="str" cm="1">
        <f t="array" aca="1" ref="T31" ca="1">IF(ISNUMBER(SEARCH(INDIRECT(ADDRESS(ROW(T31),MOD(T$1,4)+1)),T$2)),$E31,"")</f>
        <v/>
      </c>
      <c r="U31" s="26" t="str" cm="1">
        <f t="array" aca="1" ref="U31" ca="1">IF(ISNUMBER(SEARCH(INDIRECT(ADDRESS(ROW(U31),MOD(U$1,4)+1)),U$2)),$E31,"")</f>
        <v/>
      </c>
      <c r="V31" s="26" t="str" cm="1">
        <f t="array" aca="1" ref="V31" ca="1">IF(ISNUMBER(SEARCH(INDIRECT(ADDRESS(ROW(V31),MOD(V$1,4)+1)),V$2)),$E31,"")</f>
        <v/>
      </c>
      <c r="W31" s="26" t="str" cm="1">
        <f t="array" aca="1" ref="W31" ca="1">IF(ISNUMBER(SEARCH(INDIRECT(ADDRESS(ROW(W31),MOD(W$1,4)+1)),W$2)),$E31,"")</f>
        <v/>
      </c>
      <c r="X31" s="26" t="str" cm="1">
        <f t="array" aca="1" ref="X31" ca="1">IF(ISNUMBER(SEARCH(INDIRECT(ADDRESS(ROW(X31),MOD(X$1,4)+1)),X$2)),$E31,"")</f>
        <v/>
      </c>
      <c r="Y31" s="26" t="str" cm="1">
        <f t="array" aca="1" ref="Y31" ca="1">IF(ISNUMBER(SEARCH(INDIRECT(ADDRESS(ROW(Y31),MOD(Y$1,4)+1)),Y$2)),$E31,"")</f>
        <v/>
      </c>
      <c r="Z31" s="26" t="str" cm="1">
        <f t="array" aca="1" ref="Z31" ca="1">IF(ISNUMBER(SEARCH(INDIRECT(ADDRESS(ROW(Z31),MOD(Z$1,4)+1)),Z$2)),$E31,"")</f>
        <v/>
      </c>
      <c r="AA31" s="26" t="str" cm="1">
        <f t="array" aca="1" ref="AA31" ca="1">IF(ISNUMBER(SEARCH(INDIRECT(ADDRESS(ROW(AA31),MOD(AA$1,4)+1)),AA$2)),$E31,"")</f>
        <v/>
      </c>
      <c r="AB31" s="26" t="str" cm="1">
        <f t="array" aca="1" ref="AB31" ca="1">IF(ISNUMBER(SEARCH(INDIRECT(ADDRESS(ROW(AB31),MOD(AB$1,4)+1)),AB$2)),$E31,"")</f>
        <v/>
      </c>
      <c r="AC31" s="26" t="str" cm="1">
        <f t="array" aca="1" ref="AC31" ca="1">IF(ISNUMBER(SEARCH(INDIRECT(ADDRESS(ROW(AC31),MOD(AC$1,4)+1)),AC$2)),$E31,"")</f>
        <v/>
      </c>
      <c r="AD31" s="26" t="str" cm="1">
        <f t="array" aca="1" ref="AD31" ca="1">IF(ISNUMBER(SEARCH(INDIRECT(ADDRESS(ROW(AD31),MOD(AD$1,4)+1)),AD$2)),$E31,"")</f>
        <v/>
      </c>
      <c r="AE31" s="26" t="str" cm="1">
        <f t="array" aca="1" ref="AE31" ca="1">IF(ISNUMBER(SEARCH(INDIRECT(ADDRESS(ROW(AE31),MOD(AE$1,4)+1)),AE$2)),$E31,"")</f>
        <v/>
      </c>
      <c r="AF31" s="26" t="str" cm="1">
        <f t="array" aca="1" ref="AF31" ca="1">IF(ISNUMBER(SEARCH(INDIRECT(ADDRESS(ROW(AF31),MOD(AF$1,4)+1)),AF$2)),$E31,"")</f>
        <v/>
      </c>
      <c r="AG31" s="26" t="str" cm="1">
        <f t="array" aca="1" ref="AG31" ca="1">IF(ISNUMBER(SEARCH(INDIRECT(ADDRESS(ROW(AG31),MOD(AG$1,4)+1)),AG$2)),$E31,"")</f>
        <v/>
      </c>
      <c r="AH31" s="26" t="str" cm="1">
        <f t="array" aca="1" ref="AH31" ca="1">IF(ISNUMBER(SEARCH(INDIRECT(ADDRESS(ROW(AH31),MOD(AH$1,4)+1)),AH$2)),$E31,"")</f>
        <v/>
      </c>
      <c r="AI31" s="26" t="str" cm="1">
        <f t="array" aca="1" ref="AI31" ca="1">IF(ISNUMBER(SEARCH(INDIRECT(ADDRESS(ROW(AI31),MOD(AI$1,4)+1)),AI$2)),$E31,"")</f>
        <v/>
      </c>
      <c r="AJ31" s="26" t="str" cm="1">
        <f t="array" aca="1" ref="AJ31" ca="1">IF(ISNUMBER(SEARCH(INDIRECT(ADDRESS(ROW(AJ31),MOD(AJ$1,4)+1)),AJ$2)),$E31,"")</f>
        <v/>
      </c>
      <c r="AK31" s="26" t="str" cm="1">
        <f t="array" aca="1" ref="AK31" ca="1">IF(ISNUMBER(SEARCH(INDIRECT(ADDRESS(ROW(AK31),MOD(AK$1,4)+1)),AK$2)),$E31,"")</f>
        <v/>
      </c>
      <c r="AL31" s="26" t="str" cm="1">
        <f t="array" aca="1" ref="AL31" ca="1">IF(ISNUMBER(SEARCH(INDIRECT(ADDRESS(ROW(AL31),MOD(AL$1,4)+1)),AL$2)),$E31,"")</f>
        <v/>
      </c>
      <c r="AM31" s="26" t="str" cm="1">
        <f t="array" aca="1" ref="AM31" ca="1">IF(ISNUMBER(SEARCH(INDIRECT(ADDRESS(ROW(AM31),MOD(AM$1,4)+1)),AM$2)),$E31,"")</f>
        <v/>
      </c>
      <c r="AN31" s="26" t="str" cm="1">
        <f t="array" aca="1" ref="AN31" ca="1">IF(ISNUMBER(SEARCH(INDIRECT(ADDRESS(ROW(AN31),MOD(AN$1,4)+1)),AN$2)),$E31,"")</f>
        <v/>
      </c>
      <c r="AO31" s="26" t="str" cm="1">
        <f t="array" aca="1" ref="AO31" ca="1">IF(ISNUMBER(SEARCH(INDIRECT(ADDRESS(ROW(AO31),MOD(AO$1,4)+1)),AO$2)),$E31,"")</f>
        <v/>
      </c>
      <c r="AP31" s="26" t="str" cm="1">
        <f t="array" aca="1" ref="AP31" ca="1">IF(ISNUMBER(SEARCH(INDIRECT(ADDRESS(ROW(AP31),MOD(AP$1,4)+1)),AP$2)),$E31,"")</f>
        <v/>
      </c>
      <c r="AQ31" s="31" t="str" cm="1">
        <f t="array" aca="1" ref="AQ31" ca="1">IF(ISNUMBER(SEARCH(INDIRECT(ADDRESS(ROW(AQ31),MOD(AQ$1,4)+1)),AQ$2)),$E31,"")</f>
        <v/>
      </c>
      <c r="AT31" t="e">
        <f>IF(VLOOKUP($E31,'Formatted NEW'!$B$2:$F$202,5,FALSE)=VLOOKUP($E31,'Formatted NEW'!$B$2:$F$202,8,FALSE),$E31,"")</f>
        <v>#N/A</v>
      </c>
      <c r="AW31" t="e">
        <f>IF(VLOOKUP($E31,'Formatted NEW'!$B$2:$F$202,5,FALSE)=VLOOKUP($E31,'Formatted NEW'!$B$2:$F$202,11,FALSE),$E31,"")</f>
        <v>#N/A</v>
      </c>
      <c r="AZ31" t="e">
        <f>IF(VLOOKUP($E31,'Formatted NEW'!$B$2:$F$202,5,FALSE)=VLOOKUP($E31,'Formatted NEW'!$B$2:$F$202,14,FALSE),$E31,"")</f>
        <v>#N/A</v>
      </c>
      <c r="BC31" t="str">
        <f>VLOOKUP($E31,'Formatted NEW'!$M$2:$T$202,6,FALSE)</f>
        <v>DIAG_BOTH</v>
      </c>
      <c r="BD31" s="26" t="e">
        <f>VLOOKUP(VLOOKUP(VLOOKUP($E31,'Formatted NEW'!$M$2:$O$202,2,FALSE),'Formatted NEW'!$D$2:$F$202,7,FALSE),'Formatted NEW'!$D$2:$O$202,12,FALSE)</f>
        <v>#REF!</v>
      </c>
      <c r="BE31" t="e">
        <f>VLOOKUP($BD31,'Formatted NEW'!$M$2:$T$202,5,FALSE)</f>
        <v>#REF!</v>
      </c>
      <c r="BF31" s="26" t="e">
        <f t="shared" si="1"/>
        <v>#REF!</v>
      </c>
      <c r="BH31">
        <f>VLOOKUP($E31,'Formatted NEW'!$M$2:$T$202,4,FALSE)</f>
        <v>0</v>
      </c>
      <c r="BI31" s="26" t="e">
        <f>VLOOKUP(VLOOKUP(VLOOKUP($E31,'Formatted NEW'!$M$2:$O$202,2,FALSE),'Formatted NEW'!$D$2:$F$202,10,FALSE),'Formatted NEW'!$D$2:$O$202,12,FALSE)</f>
        <v>#REF!</v>
      </c>
      <c r="BJ31" t="e">
        <f>VLOOKUP($BI31,'Formatted NEW'!$M$2:$T$202,3,FALSE)</f>
        <v>#REF!</v>
      </c>
      <c r="BK31" s="26" t="e">
        <f t="shared" si="2"/>
        <v>#REF!</v>
      </c>
    </row>
    <row r="32" spans="1:63" x14ac:dyDescent="0.25">
      <c r="A32" t="str">
        <f>'Formatted NEW'!Q30</f>
        <v>ORTHO_BOTH</v>
      </c>
      <c r="B32" t="str">
        <f>'Formatted NEW'!R30</f>
        <v>EMPTY</v>
      </c>
      <c r="C32" t="str">
        <f>'Formatted NEW'!S30</f>
        <v>ORTHO_BOTH</v>
      </c>
      <c r="D32" t="str">
        <f>'Formatted NEW'!T30</f>
        <v>DIAG_BOTH</v>
      </c>
      <c r="E32" s="26">
        <f t="shared" si="0"/>
        <v>28</v>
      </c>
      <c r="H32" s="30" t="str" cm="1">
        <f t="array" aca="1" ref="H32" ca="1">IF(ISNUMBER(SEARCH(INDIRECT(ADDRESS(ROW(H32),MOD(H$1,4)+1)),H$2)),$E32,"")</f>
        <v/>
      </c>
      <c r="I32" s="26" t="str" cm="1">
        <f t="array" aca="1" ref="I32" ca="1">IF(ISNUMBER(SEARCH(INDIRECT(ADDRESS(ROW(I32),MOD(I$1,4)+1)),I$2)),$E32,"")</f>
        <v/>
      </c>
      <c r="J32" s="26" t="str" cm="1">
        <f t="array" aca="1" ref="J32" ca="1">IF(ISNUMBER(SEARCH(INDIRECT(ADDRESS(ROW(J32),MOD(J$1,4)+1)),J$2)),$E32,"")</f>
        <v/>
      </c>
      <c r="K32" s="26" t="str" cm="1">
        <f t="array" aca="1" ref="K32" ca="1">IF(ISNUMBER(SEARCH(INDIRECT(ADDRESS(ROW(K32),MOD(K$1,4)+1)),K$2)),$E32,"")</f>
        <v/>
      </c>
      <c r="L32" s="26" t="str" cm="1">
        <f t="array" aca="1" ref="L32" ca="1">IF(ISNUMBER(SEARCH(INDIRECT(ADDRESS(ROW(L32),MOD(L$1,4)+1)),L$2)),$E32,"")</f>
        <v/>
      </c>
      <c r="M32" s="26" t="str" cm="1">
        <f t="array" aca="1" ref="M32" ca="1">IF(ISNUMBER(SEARCH(INDIRECT(ADDRESS(ROW(M32),MOD(M$1,4)+1)),M$2)),$E32,"")</f>
        <v/>
      </c>
      <c r="N32" s="26" t="str" cm="1">
        <f t="array" aca="1" ref="N32" ca="1">IF(ISNUMBER(SEARCH(INDIRECT(ADDRESS(ROW(N32),MOD(N$1,4)+1)),N$2)),$E32,"")</f>
        <v/>
      </c>
      <c r="O32" s="26" cm="1">
        <f t="array" aca="1" ref="O32" ca="1">IF(ISNUMBER(SEARCH(INDIRECT(ADDRESS(ROW(O32),MOD(O$1,4)+1)),O$2)),$E32,"")</f>
        <v>28</v>
      </c>
      <c r="P32" s="26" cm="1">
        <f t="array" aca="1" ref="P32" ca="1">IF(ISNUMBER(SEARCH(INDIRECT(ADDRESS(ROW(P32),MOD(P$1,4)+1)),P$2)),$E32,"")</f>
        <v>28</v>
      </c>
      <c r="Q32" s="26" t="str" cm="1">
        <f t="array" aca="1" ref="Q32" ca="1">IF(ISNUMBER(SEARCH(INDIRECT(ADDRESS(ROW(Q32),MOD(Q$1,4)+1)),Q$2)),$E32,"")</f>
        <v/>
      </c>
      <c r="R32" s="26" cm="1">
        <f t="array" aca="1" ref="R32" ca="1">IF(ISNUMBER(SEARCH(INDIRECT(ADDRESS(ROW(R32),MOD(R$1,4)+1)),R$2)),$E32,"")</f>
        <v>28</v>
      </c>
      <c r="S32" s="26" t="str" cm="1">
        <f t="array" aca="1" ref="S32" ca="1">IF(ISNUMBER(SEARCH(INDIRECT(ADDRESS(ROW(S32),MOD(S$1,4)+1)),S$2)),$E32,"")</f>
        <v/>
      </c>
      <c r="T32" s="26" t="str" cm="1">
        <f t="array" aca="1" ref="T32" ca="1">IF(ISNUMBER(SEARCH(INDIRECT(ADDRESS(ROW(T32),MOD(T$1,4)+1)),T$2)),$E32,"")</f>
        <v/>
      </c>
      <c r="U32" s="26" t="str" cm="1">
        <f t="array" aca="1" ref="U32" ca="1">IF(ISNUMBER(SEARCH(INDIRECT(ADDRESS(ROW(U32),MOD(U$1,4)+1)),U$2)),$E32,"")</f>
        <v/>
      </c>
      <c r="V32" s="26" t="str" cm="1">
        <f t="array" aca="1" ref="V32" ca="1">IF(ISNUMBER(SEARCH(INDIRECT(ADDRESS(ROW(V32),MOD(V$1,4)+1)),V$2)),$E32,"")</f>
        <v/>
      </c>
      <c r="W32" s="26" t="str" cm="1">
        <f t="array" aca="1" ref="W32" ca="1">IF(ISNUMBER(SEARCH(INDIRECT(ADDRESS(ROW(W32),MOD(W$1,4)+1)),W$2)),$E32,"")</f>
        <v/>
      </c>
      <c r="X32" s="26" t="str" cm="1">
        <f t="array" aca="1" ref="X32" ca="1">IF(ISNUMBER(SEARCH(INDIRECT(ADDRESS(ROW(X32),MOD(X$1,4)+1)),X$2)),$E32,"")</f>
        <v/>
      </c>
      <c r="Y32" s="26" t="str" cm="1">
        <f t="array" aca="1" ref="Y32" ca="1">IF(ISNUMBER(SEARCH(INDIRECT(ADDRESS(ROW(Y32),MOD(Y$1,4)+1)),Y$2)),$E32,"")</f>
        <v/>
      </c>
      <c r="Z32" s="26" t="str" cm="1">
        <f t="array" aca="1" ref="Z32" ca="1">IF(ISNUMBER(SEARCH(INDIRECT(ADDRESS(ROW(Z32),MOD(Z$1,4)+1)),Z$2)),$E32,"")</f>
        <v/>
      </c>
      <c r="AA32" s="26" t="str" cm="1">
        <f t="array" aca="1" ref="AA32" ca="1">IF(ISNUMBER(SEARCH(INDIRECT(ADDRESS(ROW(AA32),MOD(AA$1,4)+1)),AA$2)),$E32,"")</f>
        <v/>
      </c>
      <c r="AB32" s="26" t="str" cm="1">
        <f t="array" aca="1" ref="AB32" ca="1">IF(ISNUMBER(SEARCH(INDIRECT(ADDRESS(ROW(AB32),MOD(AB$1,4)+1)),AB$2)),$E32,"")</f>
        <v/>
      </c>
      <c r="AC32" s="26" t="str" cm="1">
        <f t="array" aca="1" ref="AC32" ca="1">IF(ISNUMBER(SEARCH(INDIRECT(ADDRESS(ROW(AC32),MOD(AC$1,4)+1)),AC$2)),$E32,"")</f>
        <v/>
      </c>
      <c r="AD32" s="26" t="str" cm="1">
        <f t="array" aca="1" ref="AD32" ca="1">IF(ISNUMBER(SEARCH(INDIRECT(ADDRESS(ROW(AD32),MOD(AD$1,4)+1)),AD$2)),$E32,"")</f>
        <v/>
      </c>
      <c r="AE32" s="26" t="str" cm="1">
        <f t="array" aca="1" ref="AE32" ca="1">IF(ISNUMBER(SEARCH(INDIRECT(ADDRESS(ROW(AE32),MOD(AE$1,4)+1)),AE$2)),$E32,"")</f>
        <v/>
      </c>
      <c r="AF32" s="26" t="str" cm="1">
        <f t="array" aca="1" ref="AF32" ca="1">IF(ISNUMBER(SEARCH(INDIRECT(ADDRESS(ROW(AF32),MOD(AF$1,4)+1)),AF$2)),$E32,"")</f>
        <v/>
      </c>
      <c r="AG32" s="26" t="str" cm="1">
        <f t="array" aca="1" ref="AG32" ca="1">IF(ISNUMBER(SEARCH(INDIRECT(ADDRESS(ROW(AG32),MOD(AG$1,4)+1)),AG$2)),$E32,"")</f>
        <v/>
      </c>
      <c r="AH32" s="26" t="str" cm="1">
        <f t="array" aca="1" ref="AH32" ca="1">IF(ISNUMBER(SEARCH(INDIRECT(ADDRESS(ROW(AH32),MOD(AH$1,4)+1)),AH$2)),$E32,"")</f>
        <v/>
      </c>
      <c r="AI32" s="26" t="str" cm="1">
        <f t="array" aca="1" ref="AI32" ca="1">IF(ISNUMBER(SEARCH(INDIRECT(ADDRESS(ROW(AI32),MOD(AI$1,4)+1)),AI$2)),$E32,"")</f>
        <v/>
      </c>
      <c r="AJ32" s="26" t="str" cm="1">
        <f t="array" aca="1" ref="AJ32" ca="1">IF(ISNUMBER(SEARCH(INDIRECT(ADDRESS(ROW(AJ32),MOD(AJ$1,4)+1)),AJ$2)),$E32,"")</f>
        <v/>
      </c>
      <c r="AK32" s="26" t="str" cm="1">
        <f t="array" aca="1" ref="AK32" ca="1">IF(ISNUMBER(SEARCH(INDIRECT(ADDRESS(ROW(AK32),MOD(AK$1,4)+1)),AK$2)),$E32,"")</f>
        <v/>
      </c>
      <c r="AL32" s="26" t="str" cm="1">
        <f t="array" aca="1" ref="AL32" ca="1">IF(ISNUMBER(SEARCH(INDIRECT(ADDRESS(ROW(AL32),MOD(AL$1,4)+1)),AL$2)),$E32,"")</f>
        <v/>
      </c>
      <c r="AM32" s="26" t="str" cm="1">
        <f t="array" aca="1" ref="AM32" ca="1">IF(ISNUMBER(SEARCH(INDIRECT(ADDRESS(ROW(AM32),MOD(AM$1,4)+1)),AM$2)),$E32,"")</f>
        <v/>
      </c>
      <c r="AN32" s="26" t="str" cm="1">
        <f t="array" aca="1" ref="AN32" ca="1">IF(ISNUMBER(SEARCH(INDIRECT(ADDRESS(ROW(AN32),MOD(AN$1,4)+1)),AN$2)),$E32,"")</f>
        <v/>
      </c>
      <c r="AO32" s="26" t="str" cm="1">
        <f t="array" aca="1" ref="AO32" ca="1">IF(ISNUMBER(SEARCH(INDIRECT(ADDRESS(ROW(AO32),MOD(AO$1,4)+1)),AO$2)),$E32,"")</f>
        <v/>
      </c>
      <c r="AP32" s="26" t="str" cm="1">
        <f t="array" aca="1" ref="AP32" ca="1">IF(ISNUMBER(SEARCH(INDIRECT(ADDRESS(ROW(AP32),MOD(AP$1,4)+1)),AP$2)),$E32,"")</f>
        <v/>
      </c>
      <c r="AQ32" s="31" t="str" cm="1">
        <f t="array" aca="1" ref="AQ32" ca="1">IF(ISNUMBER(SEARCH(INDIRECT(ADDRESS(ROW(AQ32),MOD(AQ$1,4)+1)),AQ$2)),$E32,"")</f>
        <v/>
      </c>
      <c r="AT32" t="e">
        <f>IF(VLOOKUP($E32,'Formatted NEW'!$B$2:$F$202,5,FALSE)=VLOOKUP($E32,'Formatted NEW'!$B$2:$F$202,8,FALSE),$E32,"")</f>
        <v>#N/A</v>
      </c>
      <c r="AW32" t="e">
        <f>IF(VLOOKUP($E32,'Formatted NEW'!$B$2:$F$202,5,FALSE)=VLOOKUP($E32,'Formatted NEW'!$B$2:$F$202,11,FALSE),$E32,"")</f>
        <v>#N/A</v>
      </c>
      <c r="AZ32" t="e">
        <f>IF(VLOOKUP($E32,'Formatted NEW'!$B$2:$F$202,5,FALSE)=VLOOKUP($E32,'Formatted NEW'!$B$2:$F$202,14,FALSE),$E32,"")</f>
        <v>#N/A</v>
      </c>
      <c r="BC32" t="str">
        <f>VLOOKUP($E32,'Formatted NEW'!$M$2:$T$202,6,FALSE)</f>
        <v>EMPTY</v>
      </c>
      <c r="BD32" s="26" t="e">
        <f>VLOOKUP(VLOOKUP(VLOOKUP($E32,'Formatted NEW'!$M$2:$O$202,2,FALSE),'Formatted NEW'!$D$2:$F$202,7,FALSE),'Formatted NEW'!$D$2:$O$202,12,FALSE)</f>
        <v>#REF!</v>
      </c>
      <c r="BE32" t="e">
        <f>VLOOKUP($BD32,'Formatted NEW'!$M$2:$T$202,5,FALSE)</f>
        <v>#REF!</v>
      </c>
      <c r="BF32" s="26" t="e">
        <f t="shared" si="1"/>
        <v>#REF!</v>
      </c>
      <c r="BH32">
        <f>VLOOKUP($E32,'Formatted NEW'!$M$2:$T$202,4,FALSE)</f>
        <v>0</v>
      </c>
      <c r="BI32" s="26" t="e">
        <f>VLOOKUP(VLOOKUP(VLOOKUP($E32,'Formatted NEW'!$M$2:$O$202,2,FALSE),'Formatted NEW'!$D$2:$F$202,10,FALSE),'Formatted NEW'!$D$2:$O$202,12,FALSE)</f>
        <v>#REF!</v>
      </c>
      <c r="BJ32" t="e">
        <f>VLOOKUP($BI32,'Formatted NEW'!$M$2:$T$202,3,FALSE)</f>
        <v>#REF!</v>
      </c>
      <c r="BK32" s="26" t="e">
        <f t="shared" si="2"/>
        <v>#REF!</v>
      </c>
    </row>
    <row r="33" spans="1:63" x14ac:dyDescent="0.25">
      <c r="A33" t="str">
        <f>'Formatted NEW'!Q31</f>
        <v>ORTHO_BOTH</v>
      </c>
      <c r="B33" t="str">
        <f>'Formatted NEW'!R31</f>
        <v>DIAG_BOTH</v>
      </c>
      <c r="C33" t="str">
        <f>'Formatted NEW'!S31</f>
        <v>EMPTY</v>
      </c>
      <c r="D33" t="str">
        <f>'Formatted NEW'!T31</f>
        <v>EMPTY</v>
      </c>
      <c r="E33" s="26">
        <f t="shared" si="0"/>
        <v>29</v>
      </c>
      <c r="H33" s="30" t="str" cm="1">
        <f t="array" aca="1" ref="H33" ca="1">IF(ISNUMBER(SEARCH(INDIRECT(ADDRESS(ROW(H33),MOD(H$1,4)+1)),H$2)),$E33,"")</f>
        <v/>
      </c>
      <c r="I33" s="26" t="str" cm="1">
        <f t="array" aca="1" ref="I33" ca="1">IF(ISNUMBER(SEARCH(INDIRECT(ADDRESS(ROW(I33),MOD(I$1,4)+1)),I$2)),$E33,"")</f>
        <v/>
      </c>
      <c r="J33" s="26" t="str" cm="1">
        <f t="array" aca="1" ref="J33" ca="1">IF(ISNUMBER(SEARCH(INDIRECT(ADDRESS(ROW(J33),MOD(J$1,4)+1)),J$2)),$E33,"")</f>
        <v/>
      </c>
      <c r="K33" s="26" t="str" cm="1">
        <f t="array" aca="1" ref="K33" ca="1">IF(ISNUMBER(SEARCH(INDIRECT(ADDRESS(ROW(K33),MOD(K$1,4)+1)),K$2)),$E33,"")</f>
        <v/>
      </c>
      <c r="L33" s="26" t="str" cm="1">
        <f t="array" aca="1" ref="L33" ca="1">IF(ISNUMBER(SEARCH(INDIRECT(ADDRESS(ROW(L33),MOD(L$1,4)+1)),L$2)),$E33,"")</f>
        <v/>
      </c>
      <c r="M33" s="26" cm="1">
        <f t="array" aca="1" ref="M33" ca="1">IF(ISNUMBER(SEARCH(INDIRECT(ADDRESS(ROW(M33),MOD(M$1,4)+1)),M$2)),$E33,"")</f>
        <v>29</v>
      </c>
      <c r="N33" s="26" t="str" cm="1">
        <f t="array" aca="1" ref="N33" ca="1">IF(ISNUMBER(SEARCH(INDIRECT(ADDRESS(ROW(N33),MOD(N$1,4)+1)),N$2)),$E33,"")</f>
        <v/>
      </c>
      <c r="O33" s="26" t="str" cm="1">
        <f t="array" aca="1" ref="O33" ca="1">IF(ISNUMBER(SEARCH(INDIRECT(ADDRESS(ROW(O33),MOD(O$1,4)+1)),O$2)),$E33,"")</f>
        <v/>
      </c>
      <c r="P33" s="26" cm="1">
        <f t="array" aca="1" ref="P33" ca="1">IF(ISNUMBER(SEARCH(INDIRECT(ADDRESS(ROW(P33),MOD(P$1,4)+1)),P$2)),$E33,"")</f>
        <v>29</v>
      </c>
      <c r="Q33" s="26" t="str" cm="1">
        <f t="array" aca="1" ref="Q33" ca="1">IF(ISNUMBER(SEARCH(INDIRECT(ADDRESS(ROW(Q33),MOD(Q$1,4)+1)),Q$2)),$E33,"")</f>
        <v/>
      </c>
      <c r="R33" s="26" t="str" cm="1">
        <f t="array" aca="1" ref="R33" ca="1">IF(ISNUMBER(SEARCH(INDIRECT(ADDRESS(ROW(R33),MOD(R$1,4)+1)),R$2)),$E33,"")</f>
        <v/>
      </c>
      <c r="S33" s="26" t="str" cm="1">
        <f t="array" aca="1" ref="S33" ca="1">IF(ISNUMBER(SEARCH(INDIRECT(ADDRESS(ROW(S33),MOD(S$1,4)+1)),S$2)),$E33,"")</f>
        <v/>
      </c>
      <c r="T33" s="26" t="str" cm="1">
        <f t="array" aca="1" ref="T33" ca="1">IF(ISNUMBER(SEARCH(INDIRECT(ADDRESS(ROW(T33),MOD(T$1,4)+1)),T$2)),$E33,"")</f>
        <v/>
      </c>
      <c r="U33" s="26" t="str" cm="1">
        <f t="array" aca="1" ref="U33" ca="1">IF(ISNUMBER(SEARCH(INDIRECT(ADDRESS(ROW(U33),MOD(U$1,4)+1)),U$2)),$E33,"")</f>
        <v/>
      </c>
      <c r="V33" s="26" t="str" cm="1">
        <f t="array" aca="1" ref="V33" ca="1">IF(ISNUMBER(SEARCH(INDIRECT(ADDRESS(ROW(V33),MOD(V$1,4)+1)),V$2)),$E33,"")</f>
        <v/>
      </c>
      <c r="W33" s="26" t="str" cm="1">
        <f t="array" aca="1" ref="W33" ca="1">IF(ISNUMBER(SEARCH(INDIRECT(ADDRESS(ROW(W33),MOD(W$1,4)+1)),W$2)),$E33,"")</f>
        <v/>
      </c>
      <c r="X33" s="26" t="str" cm="1">
        <f t="array" aca="1" ref="X33" ca="1">IF(ISNUMBER(SEARCH(INDIRECT(ADDRESS(ROW(X33),MOD(X$1,4)+1)),X$2)),$E33,"")</f>
        <v/>
      </c>
      <c r="Y33" s="26" t="str" cm="1">
        <f t="array" aca="1" ref="Y33" ca="1">IF(ISNUMBER(SEARCH(INDIRECT(ADDRESS(ROW(Y33),MOD(Y$1,4)+1)),Y$2)),$E33,"")</f>
        <v/>
      </c>
      <c r="Z33" s="26" t="str" cm="1">
        <f t="array" aca="1" ref="Z33" ca="1">IF(ISNUMBER(SEARCH(INDIRECT(ADDRESS(ROW(Z33),MOD(Z$1,4)+1)),Z$2)),$E33,"")</f>
        <v/>
      </c>
      <c r="AA33" s="26" t="str" cm="1">
        <f t="array" aca="1" ref="AA33" ca="1">IF(ISNUMBER(SEARCH(INDIRECT(ADDRESS(ROW(AA33),MOD(AA$1,4)+1)),AA$2)),$E33,"")</f>
        <v/>
      </c>
      <c r="AB33" s="26" t="str" cm="1">
        <f t="array" aca="1" ref="AB33" ca="1">IF(ISNUMBER(SEARCH(INDIRECT(ADDRESS(ROW(AB33),MOD(AB$1,4)+1)),AB$2)),$E33,"")</f>
        <v/>
      </c>
      <c r="AC33" s="26" t="str" cm="1">
        <f t="array" aca="1" ref="AC33" ca="1">IF(ISNUMBER(SEARCH(INDIRECT(ADDRESS(ROW(AC33),MOD(AC$1,4)+1)),AC$2)),$E33,"")</f>
        <v/>
      </c>
      <c r="AD33" s="26" t="str" cm="1">
        <f t="array" aca="1" ref="AD33" ca="1">IF(ISNUMBER(SEARCH(INDIRECT(ADDRESS(ROW(AD33),MOD(AD$1,4)+1)),AD$2)),$E33,"")</f>
        <v/>
      </c>
      <c r="AE33" s="26" t="str" cm="1">
        <f t="array" aca="1" ref="AE33" ca="1">IF(ISNUMBER(SEARCH(INDIRECT(ADDRESS(ROW(AE33),MOD(AE$1,4)+1)),AE$2)),$E33,"")</f>
        <v/>
      </c>
      <c r="AF33" s="26" t="str" cm="1">
        <f t="array" aca="1" ref="AF33" ca="1">IF(ISNUMBER(SEARCH(INDIRECT(ADDRESS(ROW(AF33),MOD(AF$1,4)+1)),AF$2)),$E33,"")</f>
        <v/>
      </c>
      <c r="AG33" s="26" t="str" cm="1">
        <f t="array" aca="1" ref="AG33" ca="1">IF(ISNUMBER(SEARCH(INDIRECT(ADDRESS(ROW(AG33),MOD(AG$1,4)+1)),AG$2)),$E33,"")</f>
        <v/>
      </c>
      <c r="AH33" s="26" t="str" cm="1">
        <f t="array" aca="1" ref="AH33" ca="1">IF(ISNUMBER(SEARCH(INDIRECT(ADDRESS(ROW(AH33),MOD(AH$1,4)+1)),AH$2)),$E33,"")</f>
        <v/>
      </c>
      <c r="AI33" s="26" t="str" cm="1">
        <f t="array" aca="1" ref="AI33" ca="1">IF(ISNUMBER(SEARCH(INDIRECT(ADDRESS(ROW(AI33),MOD(AI$1,4)+1)),AI$2)),$E33,"")</f>
        <v/>
      </c>
      <c r="AJ33" s="26" t="str" cm="1">
        <f t="array" aca="1" ref="AJ33" ca="1">IF(ISNUMBER(SEARCH(INDIRECT(ADDRESS(ROW(AJ33),MOD(AJ$1,4)+1)),AJ$2)),$E33,"")</f>
        <v/>
      </c>
      <c r="AK33" s="26" t="str" cm="1">
        <f t="array" aca="1" ref="AK33" ca="1">IF(ISNUMBER(SEARCH(INDIRECT(ADDRESS(ROW(AK33),MOD(AK$1,4)+1)),AK$2)),$E33,"")</f>
        <v/>
      </c>
      <c r="AL33" s="26" t="str" cm="1">
        <f t="array" aca="1" ref="AL33" ca="1">IF(ISNUMBER(SEARCH(INDIRECT(ADDRESS(ROW(AL33),MOD(AL$1,4)+1)),AL$2)),$E33,"")</f>
        <v/>
      </c>
      <c r="AM33" s="26" t="str" cm="1">
        <f t="array" aca="1" ref="AM33" ca="1">IF(ISNUMBER(SEARCH(INDIRECT(ADDRESS(ROW(AM33),MOD(AM$1,4)+1)),AM$2)),$E33,"")</f>
        <v/>
      </c>
      <c r="AN33" s="26" t="str" cm="1">
        <f t="array" aca="1" ref="AN33" ca="1">IF(ISNUMBER(SEARCH(INDIRECT(ADDRESS(ROW(AN33),MOD(AN$1,4)+1)),AN$2)),$E33,"")</f>
        <v/>
      </c>
      <c r="AO33" s="26" t="str" cm="1">
        <f t="array" aca="1" ref="AO33" ca="1">IF(ISNUMBER(SEARCH(INDIRECT(ADDRESS(ROW(AO33),MOD(AO$1,4)+1)),AO$2)),$E33,"")</f>
        <v/>
      </c>
      <c r="AP33" s="26" t="str" cm="1">
        <f t="array" aca="1" ref="AP33" ca="1">IF(ISNUMBER(SEARCH(INDIRECT(ADDRESS(ROW(AP33),MOD(AP$1,4)+1)),AP$2)),$E33,"")</f>
        <v/>
      </c>
      <c r="AQ33" s="31" t="str" cm="1">
        <f t="array" aca="1" ref="AQ33" ca="1">IF(ISNUMBER(SEARCH(INDIRECT(ADDRESS(ROW(AQ33),MOD(AQ$1,4)+1)),AQ$2)),$E33,"")</f>
        <v/>
      </c>
      <c r="AT33" t="e">
        <f>IF(VLOOKUP($E33,'Formatted NEW'!$B$2:$F$202,5,FALSE)=VLOOKUP($E33,'Formatted NEW'!$B$2:$F$202,8,FALSE),$E33,"")</f>
        <v>#N/A</v>
      </c>
      <c r="AW33" t="e">
        <f>IF(VLOOKUP($E33,'Formatted NEW'!$B$2:$F$202,5,FALSE)=VLOOKUP($E33,'Formatted NEW'!$B$2:$F$202,11,FALSE),$E33,"")</f>
        <v>#N/A</v>
      </c>
      <c r="AZ33" t="e">
        <f>IF(VLOOKUP($E33,'Formatted NEW'!$B$2:$F$202,5,FALSE)=VLOOKUP($E33,'Formatted NEW'!$B$2:$F$202,14,FALSE),$E33,"")</f>
        <v>#N/A</v>
      </c>
      <c r="BC33" t="str">
        <f>VLOOKUP($E33,'Formatted NEW'!$M$2:$T$202,6,FALSE)</f>
        <v>DIAG_BOTH</v>
      </c>
      <c r="BD33" s="26" t="e">
        <f>VLOOKUP(VLOOKUP(VLOOKUP($E33,'Formatted NEW'!$M$2:$O$202,2,FALSE),'Formatted NEW'!$D$2:$F$202,7,FALSE),'Formatted NEW'!$D$2:$O$202,12,FALSE)</f>
        <v>#REF!</v>
      </c>
      <c r="BE33" t="e">
        <f>VLOOKUP($BD33,'Formatted NEW'!$M$2:$T$202,5,FALSE)</f>
        <v>#REF!</v>
      </c>
      <c r="BF33" s="26" t="e">
        <f t="shared" si="1"/>
        <v>#REF!</v>
      </c>
      <c r="BH33">
        <f>VLOOKUP($E33,'Formatted NEW'!$M$2:$T$202,4,FALSE)</f>
        <v>0</v>
      </c>
      <c r="BI33" s="26" t="e">
        <f>VLOOKUP(VLOOKUP(VLOOKUP($E33,'Formatted NEW'!$M$2:$O$202,2,FALSE),'Formatted NEW'!$D$2:$F$202,10,FALSE),'Formatted NEW'!$D$2:$O$202,12,FALSE)</f>
        <v>#REF!</v>
      </c>
      <c r="BJ33" t="e">
        <f>VLOOKUP($BI33,'Formatted NEW'!$M$2:$T$202,3,FALSE)</f>
        <v>#REF!</v>
      </c>
      <c r="BK33" s="26" t="e">
        <f t="shared" si="2"/>
        <v>#REF!</v>
      </c>
    </row>
    <row r="34" spans="1:63" x14ac:dyDescent="0.25">
      <c r="A34" t="str">
        <f>'Formatted NEW'!Q32</f>
        <v>ORTHO_BOTH</v>
      </c>
      <c r="B34" t="str">
        <f>'Formatted NEW'!R32</f>
        <v>EMPTY</v>
      </c>
      <c r="C34" t="str">
        <f>'Formatted NEW'!S32</f>
        <v>EMPTY</v>
      </c>
      <c r="D34" t="str">
        <f>'Formatted NEW'!T32</f>
        <v>ORTHO_BOTH</v>
      </c>
      <c r="E34" s="26">
        <f t="shared" si="0"/>
        <v>30</v>
      </c>
      <c r="H34" s="30" t="str" cm="1">
        <f t="array" aca="1" ref="H34" ca="1">IF(ISNUMBER(SEARCH(INDIRECT(ADDRESS(ROW(H34),MOD(H$1,4)+1)),H$2)),$E34,"")</f>
        <v/>
      </c>
      <c r="I34" s="26" t="str" cm="1">
        <f t="array" aca="1" ref="I34" ca="1">IF(ISNUMBER(SEARCH(INDIRECT(ADDRESS(ROW(I34),MOD(I$1,4)+1)),I$2)),$E34,"")</f>
        <v/>
      </c>
      <c r="J34" s="26" t="str" cm="1">
        <f t="array" aca="1" ref="J34" ca="1">IF(ISNUMBER(SEARCH(INDIRECT(ADDRESS(ROW(J34),MOD(J$1,4)+1)),J$2)),$E34,"")</f>
        <v/>
      </c>
      <c r="K34" s="26" t="str" cm="1">
        <f t="array" aca="1" ref="K34" ca="1">IF(ISNUMBER(SEARCH(INDIRECT(ADDRESS(ROW(K34),MOD(K$1,4)+1)),K$2)),$E34,"")</f>
        <v/>
      </c>
      <c r="L34" s="26" t="str" cm="1">
        <f t="array" aca="1" ref="L34" ca="1">IF(ISNUMBER(SEARCH(INDIRECT(ADDRESS(ROW(L34),MOD(L$1,4)+1)),L$2)),$E34,"")</f>
        <v/>
      </c>
      <c r="M34" s="26" t="str" cm="1">
        <f t="array" aca="1" ref="M34" ca="1">IF(ISNUMBER(SEARCH(INDIRECT(ADDRESS(ROW(M34),MOD(M$1,4)+1)),M$2)),$E34,"")</f>
        <v/>
      </c>
      <c r="N34" s="26" t="str" cm="1">
        <f t="array" aca="1" ref="N34" ca="1">IF(ISNUMBER(SEARCH(INDIRECT(ADDRESS(ROW(N34),MOD(N$1,4)+1)),N$2)),$E34,"")</f>
        <v/>
      </c>
      <c r="O34" s="26" t="str" cm="1">
        <f t="array" aca="1" ref="O34" ca="1">IF(ISNUMBER(SEARCH(INDIRECT(ADDRESS(ROW(O34),MOD(O$1,4)+1)),O$2)),$E34,"")</f>
        <v/>
      </c>
      <c r="P34" s="26" cm="1">
        <f t="array" aca="1" ref="P34" ca="1">IF(ISNUMBER(SEARCH(INDIRECT(ADDRESS(ROW(P34),MOD(P$1,4)+1)),P$2)),$E34,"")</f>
        <v>30</v>
      </c>
      <c r="Q34" s="26" t="str" cm="1">
        <f t="array" aca="1" ref="Q34" ca="1">IF(ISNUMBER(SEARCH(INDIRECT(ADDRESS(ROW(Q34),MOD(Q$1,4)+1)),Q$2)),$E34,"")</f>
        <v/>
      </c>
      <c r="R34" s="26" t="str" cm="1">
        <f t="array" aca="1" ref="R34" ca="1">IF(ISNUMBER(SEARCH(INDIRECT(ADDRESS(ROW(R34),MOD(R$1,4)+1)),R$2)),$E34,"")</f>
        <v/>
      </c>
      <c r="S34" s="26" cm="1">
        <f t="array" aca="1" ref="S34" ca="1">IF(ISNUMBER(SEARCH(INDIRECT(ADDRESS(ROW(S34),MOD(S$1,4)+1)),S$2)),$E34,"")</f>
        <v>30</v>
      </c>
      <c r="T34" s="26" t="str" cm="1">
        <f t="array" aca="1" ref="T34" ca="1">IF(ISNUMBER(SEARCH(INDIRECT(ADDRESS(ROW(T34),MOD(T$1,4)+1)),T$2)),$E34,"")</f>
        <v/>
      </c>
      <c r="U34" s="26" t="str" cm="1">
        <f t="array" aca="1" ref="U34" ca="1">IF(ISNUMBER(SEARCH(INDIRECT(ADDRESS(ROW(U34),MOD(U$1,4)+1)),U$2)),$E34,"")</f>
        <v/>
      </c>
      <c r="V34" s="26" t="str" cm="1">
        <f t="array" aca="1" ref="V34" ca="1">IF(ISNUMBER(SEARCH(INDIRECT(ADDRESS(ROW(V34),MOD(V$1,4)+1)),V$2)),$E34,"")</f>
        <v/>
      </c>
      <c r="W34" s="26" t="str" cm="1">
        <f t="array" aca="1" ref="W34" ca="1">IF(ISNUMBER(SEARCH(INDIRECT(ADDRESS(ROW(W34),MOD(W$1,4)+1)),W$2)),$E34,"")</f>
        <v/>
      </c>
      <c r="X34" s="26" t="str" cm="1">
        <f t="array" aca="1" ref="X34" ca="1">IF(ISNUMBER(SEARCH(INDIRECT(ADDRESS(ROW(X34),MOD(X$1,4)+1)),X$2)),$E34,"")</f>
        <v/>
      </c>
      <c r="Y34" s="26" t="str" cm="1">
        <f t="array" aca="1" ref="Y34" ca="1">IF(ISNUMBER(SEARCH(INDIRECT(ADDRESS(ROW(Y34),MOD(Y$1,4)+1)),Y$2)),$E34,"")</f>
        <v/>
      </c>
      <c r="Z34" s="26" t="str" cm="1">
        <f t="array" aca="1" ref="Z34" ca="1">IF(ISNUMBER(SEARCH(INDIRECT(ADDRESS(ROW(Z34),MOD(Z$1,4)+1)),Z$2)),$E34,"")</f>
        <v/>
      </c>
      <c r="AA34" s="26" t="str" cm="1">
        <f t="array" aca="1" ref="AA34" ca="1">IF(ISNUMBER(SEARCH(INDIRECT(ADDRESS(ROW(AA34),MOD(AA$1,4)+1)),AA$2)),$E34,"")</f>
        <v/>
      </c>
      <c r="AB34" s="26" t="str" cm="1">
        <f t="array" aca="1" ref="AB34" ca="1">IF(ISNUMBER(SEARCH(INDIRECT(ADDRESS(ROW(AB34),MOD(AB$1,4)+1)),AB$2)),$E34,"")</f>
        <v/>
      </c>
      <c r="AC34" s="26" t="str" cm="1">
        <f t="array" aca="1" ref="AC34" ca="1">IF(ISNUMBER(SEARCH(INDIRECT(ADDRESS(ROW(AC34),MOD(AC$1,4)+1)),AC$2)),$E34,"")</f>
        <v/>
      </c>
      <c r="AD34" s="26" t="str" cm="1">
        <f t="array" aca="1" ref="AD34" ca="1">IF(ISNUMBER(SEARCH(INDIRECT(ADDRESS(ROW(AD34),MOD(AD$1,4)+1)),AD$2)),$E34,"")</f>
        <v/>
      </c>
      <c r="AE34" s="26" t="str" cm="1">
        <f t="array" aca="1" ref="AE34" ca="1">IF(ISNUMBER(SEARCH(INDIRECT(ADDRESS(ROW(AE34),MOD(AE$1,4)+1)),AE$2)),$E34,"")</f>
        <v/>
      </c>
      <c r="AF34" s="26" t="str" cm="1">
        <f t="array" aca="1" ref="AF34" ca="1">IF(ISNUMBER(SEARCH(INDIRECT(ADDRESS(ROW(AF34),MOD(AF$1,4)+1)),AF$2)),$E34,"")</f>
        <v/>
      </c>
      <c r="AG34" s="26" t="str" cm="1">
        <f t="array" aca="1" ref="AG34" ca="1">IF(ISNUMBER(SEARCH(INDIRECT(ADDRESS(ROW(AG34),MOD(AG$1,4)+1)),AG$2)),$E34,"")</f>
        <v/>
      </c>
      <c r="AH34" s="26" t="str" cm="1">
        <f t="array" aca="1" ref="AH34" ca="1">IF(ISNUMBER(SEARCH(INDIRECT(ADDRESS(ROW(AH34),MOD(AH$1,4)+1)),AH$2)),$E34,"")</f>
        <v/>
      </c>
      <c r="AI34" s="26" t="str" cm="1">
        <f t="array" aca="1" ref="AI34" ca="1">IF(ISNUMBER(SEARCH(INDIRECT(ADDRESS(ROW(AI34),MOD(AI$1,4)+1)),AI$2)),$E34,"")</f>
        <v/>
      </c>
      <c r="AJ34" s="26" t="str" cm="1">
        <f t="array" aca="1" ref="AJ34" ca="1">IF(ISNUMBER(SEARCH(INDIRECT(ADDRESS(ROW(AJ34),MOD(AJ$1,4)+1)),AJ$2)),$E34,"")</f>
        <v/>
      </c>
      <c r="AK34" s="26" t="str" cm="1">
        <f t="array" aca="1" ref="AK34" ca="1">IF(ISNUMBER(SEARCH(INDIRECT(ADDRESS(ROW(AK34),MOD(AK$1,4)+1)),AK$2)),$E34,"")</f>
        <v/>
      </c>
      <c r="AL34" s="26" t="str" cm="1">
        <f t="array" aca="1" ref="AL34" ca="1">IF(ISNUMBER(SEARCH(INDIRECT(ADDRESS(ROW(AL34),MOD(AL$1,4)+1)),AL$2)),$E34,"")</f>
        <v/>
      </c>
      <c r="AM34" s="26" t="str" cm="1">
        <f t="array" aca="1" ref="AM34" ca="1">IF(ISNUMBER(SEARCH(INDIRECT(ADDRESS(ROW(AM34),MOD(AM$1,4)+1)),AM$2)),$E34,"")</f>
        <v/>
      </c>
      <c r="AN34" s="26" t="str" cm="1">
        <f t="array" aca="1" ref="AN34" ca="1">IF(ISNUMBER(SEARCH(INDIRECT(ADDRESS(ROW(AN34),MOD(AN$1,4)+1)),AN$2)),$E34,"")</f>
        <v/>
      </c>
      <c r="AO34" s="26" t="str" cm="1">
        <f t="array" aca="1" ref="AO34" ca="1">IF(ISNUMBER(SEARCH(INDIRECT(ADDRESS(ROW(AO34),MOD(AO$1,4)+1)),AO$2)),$E34,"")</f>
        <v/>
      </c>
      <c r="AP34" s="26" t="str" cm="1">
        <f t="array" aca="1" ref="AP34" ca="1">IF(ISNUMBER(SEARCH(INDIRECT(ADDRESS(ROW(AP34),MOD(AP$1,4)+1)),AP$2)),$E34,"")</f>
        <v/>
      </c>
      <c r="AQ34" s="31" t="str" cm="1">
        <f t="array" aca="1" ref="AQ34" ca="1">IF(ISNUMBER(SEARCH(INDIRECT(ADDRESS(ROW(AQ34),MOD(AQ$1,4)+1)),AQ$2)),$E34,"")</f>
        <v/>
      </c>
      <c r="AT34" t="e">
        <f>IF(VLOOKUP($E34,'Formatted NEW'!$B$2:$F$202,5,FALSE)=VLOOKUP($E34,'Formatted NEW'!$B$2:$F$202,8,FALSE),$E34,"")</f>
        <v>#N/A</v>
      </c>
      <c r="AW34" t="e">
        <f>IF(VLOOKUP($E34,'Formatted NEW'!$B$2:$F$202,5,FALSE)=VLOOKUP($E34,'Formatted NEW'!$B$2:$F$202,11,FALSE),$E34,"")</f>
        <v>#N/A</v>
      </c>
      <c r="AZ34" t="e">
        <f>IF(VLOOKUP($E34,'Formatted NEW'!$B$2:$F$202,5,FALSE)=VLOOKUP($E34,'Formatted NEW'!$B$2:$F$202,14,FALSE),$E34,"")</f>
        <v>#N/A</v>
      </c>
      <c r="BC34" t="str">
        <f>VLOOKUP($E34,'Formatted NEW'!$M$2:$T$202,6,FALSE)</f>
        <v>EMPTY</v>
      </c>
      <c r="BD34" s="26" t="e">
        <f>VLOOKUP(VLOOKUP(VLOOKUP($E34,'Formatted NEW'!$M$2:$O$202,2,FALSE),'Formatted NEW'!$D$2:$F$202,7,FALSE),'Formatted NEW'!$D$2:$O$202,12,FALSE)</f>
        <v>#REF!</v>
      </c>
      <c r="BE34" t="e">
        <f>VLOOKUP($BD34,'Formatted NEW'!$M$2:$T$202,5,FALSE)</f>
        <v>#REF!</v>
      </c>
      <c r="BF34" s="26" t="e">
        <f t="shared" si="1"/>
        <v>#REF!</v>
      </c>
      <c r="BH34">
        <f>VLOOKUP($E34,'Formatted NEW'!$M$2:$T$202,4,FALSE)</f>
        <v>0</v>
      </c>
      <c r="BI34" s="26" t="e">
        <f>VLOOKUP(VLOOKUP(VLOOKUP($E34,'Formatted NEW'!$M$2:$O$202,2,FALSE),'Formatted NEW'!$D$2:$F$202,10,FALSE),'Formatted NEW'!$D$2:$O$202,12,FALSE)</f>
        <v>#REF!</v>
      </c>
      <c r="BJ34" t="e">
        <f>VLOOKUP($BI34,'Formatted NEW'!$M$2:$T$202,3,FALSE)</f>
        <v>#REF!</v>
      </c>
      <c r="BK34" s="26" t="e">
        <f t="shared" si="2"/>
        <v>#REF!</v>
      </c>
    </row>
    <row r="35" spans="1:63" x14ac:dyDescent="0.25">
      <c r="A35" t="str">
        <f>'Formatted NEW'!Q33</f>
        <v>ORTHO_BOTH</v>
      </c>
      <c r="B35" t="str">
        <f>'Formatted NEW'!R33</f>
        <v>EMPTY</v>
      </c>
      <c r="C35" t="str">
        <f>'Formatted NEW'!S33</f>
        <v>ORTHO_BOTH</v>
      </c>
      <c r="D35" t="str">
        <f>'Formatted NEW'!T33</f>
        <v>EMPTY</v>
      </c>
      <c r="E35" s="26">
        <f t="shared" si="0"/>
        <v>31</v>
      </c>
      <c r="H35" s="30" t="str" cm="1">
        <f t="array" aca="1" ref="H35" ca="1">IF(ISNUMBER(SEARCH(INDIRECT(ADDRESS(ROW(H35),MOD(H$1,4)+1)),H$2)),$E35,"")</f>
        <v/>
      </c>
      <c r="I35" s="26" t="str" cm="1">
        <f t="array" aca="1" ref="I35" ca="1">IF(ISNUMBER(SEARCH(INDIRECT(ADDRESS(ROW(I35),MOD(I$1,4)+1)),I$2)),$E35,"")</f>
        <v/>
      </c>
      <c r="J35" s="26" t="str" cm="1">
        <f t="array" aca="1" ref="J35" ca="1">IF(ISNUMBER(SEARCH(INDIRECT(ADDRESS(ROW(J35),MOD(J$1,4)+1)),J$2)),$E35,"")</f>
        <v/>
      </c>
      <c r="K35" s="26" t="str" cm="1">
        <f t="array" aca="1" ref="K35" ca="1">IF(ISNUMBER(SEARCH(INDIRECT(ADDRESS(ROW(K35),MOD(K$1,4)+1)),K$2)),$E35,"")</f>
        <v/>
      </c>
      <c r="L35" s="26" t="str" cm="1">
        <f t="array" aca="1" ref="L35" ca="1">IF(ISNUMBER(SEARCH(INDIRECT(ADDRESS(ROW(L35),MOD(L$1,4)+1)),L$2)),$E35,"")</f>
        <v/>
      </c>
      <c r="M35" s="26" t="str" cm="1">
        <f t="array" aca="1" ref="M35" ca="1">IF(ISNUMBER(SEARCH(INDIRECT(ADDRESS(ROW(M35),MOD(M$1,4)+1)),M$2)),$E35,"")</f>
        <v/>
      </c>
      <c r="N35" s="26" t="str" cm="1">
        <f t="array" aca="1" ref="N35" ca="1">IF(ISNUMBER(SEARCH(INDIRECT(ADDRESS(ROW(N35),MOD(N$1,4)+1)),N$2)),$E35,"")</f>
        <v/>
      </c>
      <c r="O35" s="26" t="str" cm="1">
        <f t="array" aca="1" ref="O35" ca="1">IF(ISNUMBER(SEARCH(INDIRECT(ADDRESS(ROW(O35),MOD(O$1,4)+1)),O$2)),$E35,"")</f>
        <v/>
      </c>
      <c r="P35" s="26" cm="1">
        <f t="array" aca="1" ref="P35" ca="1">IF(ISNUMBER(SEARCH(INDIRECT(ADDRESS(ROW(P35),MOD(P$1,4)+1)),P$2)),$E35,"")</f>
        <v>31</v>
      </c>
      <c r="Q35" s="26" t="str" cm="1">
        <f t="array" aca="1" ref="Q35" ca="1">IF(ISNUMBER(SEARCH(INDIRECT(ADDRESS(ROW(Q35),MOD(Q$1,4)+1)),Q$2)),$E35,"")</f>
        <v/>
      </c>
      <c r="R35" s="26" cm="1">
        <f t="array" aca="1" ref="R35" ca="1">IF(ISNUMBER(SEARCH(INDIRECT(ADDRESS(ROW(R35),MOD(R$1,4)+1)),R$2)),$E35,"")</f>
        <v>31</v>
      </c>
      <c r="S35" s="26" t="str" cm="1">
        <f t="array" aca="1" ref="S35" ca="1">IF(ISNUMBER(SEARCH(INDIRECT(ADDRESS(ROW(S35),MOD(S$1,4)+1)),S$2)),$E35,"")</f>
        <v/>
      </c>
      <c r="T35" s="26" t="str" cm="1">
        <f t="array" aca="1" ref="T35" ca="1">IF(ISNUMBER(SEARCH(INDIRECT(ADDRESS(ROW(T35),MOD(T$1,4)+1)),T$2)),$E35,"")</f>
        <v/>
      </c>
      <c r="U35" s="26" t="str" cm="1">
        <f t="array" aca="1" ref="U35" ca="1">IF(ISNUMBER(SEARCH(INDIRECT(ADDRESS(ROW(U35),MOD(U$1,4)+1)),U$2)),$E35,"")</f>
        <v/>
      </c>
      <c r="V35" s="26" t="str" cm="1">
        <f t="array" aca="1" ref="V35" ca="1">IF(ISNUMBER(SEARCH(INDIRECT(ADDRESS(ROW(V35),MOD(V$1,4)+1)),V$2)),$E35,"")</f>
        <v/>
      </c>
      <c r="W35" s="26" t="str" cm="1">
        <f t="array" aca="1" ref="W35" ca="1">IF(ISNUMBER(SEARCH(INDIRECT(ADDRESS(ROW(W35),MOD(W$1,4)+1)),W$2)),$E35,"")</f>
        <v/>
      </c>
      <c r="X35" s="26" t="str" cm="1">
        <f t="array" aca="1" ref="X35" ca="1">IF(ISNUMBER(SEARCH(INDIRECT(ADDRESS(ROW(X35),MOD(X$1,4)+1)),X$2)),$E35,"")</f>
        <v/>
      </c>
      <c r="Y35" s="26" t="str" cm="1">
        <f t="array" aca="1" ref="Y35" ca="1">IF(ISNUMBER(SEARCH(INDIRECT(ADDRESS(ROW(Y35),MOD(Y$1,4)+1)),Y$2)),$E35,"")</f>
        <v/>
      </c>
      <c r="Z35" s="26" t="str" cm="1">
        <f t="array" aca="1" ref="Z35" ca="1">IF(ISNUMBER(SEARCH(INDIRECT(ADDRESS(ROW(Z35),MOD(Z$1,4)+1)),Z$2)),$E35,"")</f>
        <v/>
      </c>
      <c r="AA35" s="26" t="str" cm="1">
        <f t="array" aca="1" ref="AA35" ca="1">IF(ISNUMBER(SEARCH(INDIRECT(ADDRESS(ROW(AA35),MOD(AA$1,4)+1)),AA$2)),$E35,"")</f>
        <v/>
      </c>
      <c r="AB35" s="26" t="str" cm="1">
        <f t="array" aca="1" ref="AB35" ca="1">IF(ISNUMBER(SEARCH(INDIRECT(ADDRESS(ROW(AB35),MOD(AB$1,4)+1)),AB$2)),$E35,"")</f>
        <v/>
      </c>
      <c r="AC35" s="26" t="str" cm="1">
        <f t="array" aca="1" ref="AC35" ca="1">IF(ISNUMBER(SEARCH(INDIRECT(ADDRESS(ROW(AC35),MOD(AC$1,4)+1)),AC$2)),$E35,"")</f>
        <v/>
      </c>
      <c r="AD35" s="26" t="str" cm="1">
        <f t="array" aca="1" ref="AD35" ca="1">IF(ISNUMBER(SEARCH(INDIRECT(ADDRESS(ROW(AD35),MOD(AD$1,4)+1)),AD$2)),$E35,"")</f>
        <v/>
      </c>
      <c r="AE35" s="26" t="str" cm="1">
        <f t="array" aca="1" ref="AE35" ca="1">IF(ISNUMBER(SEARCH(INDIRECT(ADDRESS(ROW(AE35),MOD(AE$1,4)+1)),AE$2)),$E35,"")</f>
        <v/>
      </c>
      <c r="AF35" s="26" t="str" cm="1">
        <f t="array" aca="1" ref="AF35" ca="1">IF(ISNUMBER(SEARCH(INDIRECT(ADDRESS(ROW(AF35),MOD(AF$1,4)+1)),AF$2)),$E35,"")</f>
        <v/>
      </c>
      <c r="AG35" s="26" t="str" cm="1">
        <f t="array" aca="1" ref="AG35" ca="1">IF(ISNUMBER(SEARCH(INDIRECT(ADDRESS(ROW(AG35),MOD(AG$1,4)+1)),AG$2)),$E35,"")</f>
        <v/>
      </c>
      <c r="AH35" s="26" t="str" cm="1">
        <f t="array" aca="1" ref="AH35" ca="1">IF(ISNUMBER(SEARCH(INDIRECT(ADDRESS(ROW(AH35),MOD(AH$1,4)+1)),AH$2)),$E35,"")</f>
        <v/>
      </c>
      <c r="AI35" s="26" t="str" cm="1">
        <f t="array" aca="1" ref="AI35" ca="1">IF(ISNUMBER(SEARCH(INDIRECT(ADDRESS(ROW(AI35),MOD(AI$1,4)+1)),AI$2)),$E35,"")</f>
        <v/>
      </c>
      <c r="AJ35" s="26" t="str" cm="1">
        <f t="array" aca="1" ref="AJ35" ca="1">IF(ISNUMBER(SEARCH(INDIRECT(ADDRESS(ROW(AJ35),MOD(AJ$1,4)+1)),AJ$2)),$E35,"")</f>
        <v/>
      </c>
      <c r="AK35" s="26" t="str" cm="1">
        <f t="array" aca="1" ref="AK35" ca="1">IF(ISNUMBER(SEARCH(INDIRECT(ADDRESS(ROW(AK35),MOD(AK$1,4)+1)),AK$2)),$E35,"")</f>
        <v/>
      </c>
      <c r="AL35" s="26" t="str" cm="1">
        <f t="array" aca="1" ref="AL35" ca="1">IF(ISNUMBER(SEARCH(INDIRECT(ADDRESS(ROW(AL35),MOD(AL$1,4)+1)),AL$2)),$E35,"")</f>
        <v/>
      </c>
      <c r="AM35" s="26" t="str" cm="1">
        <f t="array" aca="1" ref="AM35" ca="1">IF(ISNUMBER(SEARCH(INDIRECT(ADDRESS(ROW(AM35),MOD(AM$1,4)+1)),AM$2)),$E35,"")</f>
        <v/>
      </c>
      <c r="AN35" s="26" t="str" cm="1">
        <f t="array" aca="1" ref="AN35" ca="1">IF(ISNUMBER(SEARCH(INDIRECT(ADDRESS(ROW(AN35),MOD(AN$1,4)+1)),AN$2)),$E35,"")</f>
        <v/>
      </c>
      <c r="AO35" s="26" t="str" cm="1">
        <f t="array" aca="1" ref="AO35" ca="1">IF(ISNUMBER(SEARCH(INDIRECT(ADDRESS(ROW(AO35),MOD(AO$1,4)+1)),AO$2)),$E35,"")</f>
        <v/>
      </c>
      <c r="AP35" s="26" t="str" cm="1">
        <f t="array" aca="1" ref="AP35" ca="1">IF(ISNUMBER(SEARCH(INDIRECT(ADDRESS(ROW(AP35),MOD(AP$1,4)+1)),AP$2)),$E35,"")</f>
        <v/>
      </c>
      <c r="AQ35" s="31" t="str" cm="1">
        <f t="array" aca="1" ref="AQ35" ca="1">IF(ISNUMBER(SEARCH(INDIRECT(ADDRESS(ROW(AQ35),MOD(AQ$1,4)+1)),AQ$2)),$E35,"")</f>
        <v/>
      </c>
      <c r="AT35" t="e">
        <f>IF(VLOOKUP($E35,'Formatted NEW'!$B$2:$F$202,5,FALSE)=VLOOKUP($E35,'Formatted NEW'!$B$2:$F$202,8,FALSE),$E35,"")</f>
        <v>#N/A</v>
      </c>
      <c r="AW35" t="e">
        <f>IF(VLOOKUP($E35,'Formatted NEW'!$B$2:$F$202,5,FALSE)=VLOOKUP($E35,'Formatted NEW'!$B$2:$F$202,11,FALSE),$E35,"")</f>
        <v>#N/A</v>
      </c>
      <c r="AZ35" t="e">
        <f>IF(VLOOKUP($E35,'Formatted NEW'!$B$2:$F$202,5,FALSE)=VLOOKUP($E35,'Formatted NEW'!$B$2:$F$202,14,FALSE),$E35,"")</f>
        <v>#N/A</v>
      </c>
      <c r="BC35" t="str">
        <f>VLOOKUP($E35,'Formatted NEW'!$M$2:$T$202,6,FALSE)</f>
        <v>EMPTY</v>
      </c>
      <c r="BD35" s="26" t="e">
        <f>VLOOKUP(VLOOKUP(VLOOKUP($E35,'Formatted NEW'!$M$2:$O$202,2,FALSE),'Formatted NEW'!$D$2:$F$202,7,FALSE),'Formatted NEW'!$D$2:$O$202,12,FALSE)</f>
        <v>#REF!</v>
      </c>
      <c r="BE35" t="e">
        <f>VLOOKUP($BD35,'Formatted NEW'!$M$2:$T$202,5,FALSE)</f>
        <v>#REF!</v>
      </c>
      <c r="BF35" s="26" t="e">
        <f t="shared" si="1"/>
        <v>#REF!</v>
      </c>
      <c r="BH35">
        <f>VLOOKUP($E35,'Formatted NEW'!$M$2:$T$202,4,FALSE)</f>
        <v>0</v>
      </c>
      <c r="BI35" s="26" t="e">
        <f>VLOOKUP(VLOOKUP(VLOOKUP($E35,'Formatted NEW'!$M$2:$O$202,2,FALSE),'Formatted NEW'!$D$2:$F$202,10,FALSE),'Formatted NEW'!$D$2:$O$202,12,FALSE)</f>
        <v>#REF!</v>
      </c>
      <c r="BJ35" t="e">
        <f>VLOOKUP($BI35,'Formatted NEW'!$M$2:$T$202,3,FALSE)</f>
        <v>#REF!</v>
      </c>
      <c r="BK35" s="26" t="e">
        <f t="shared" si="2"/>
        <v>#REF!</v>
      </c>
    </row>
    <row r="36" spans="1:63" x14ac:dyDescent="0.25">
      <c r="A36" t="str">
        <f>'Formatted NEW'!Q34</f>
        <v>ORTHO_BOTH</v>
      </c>
      <c r="B36" t="str">
        <f>'Formatted NEW'!R34</f>
        <v>ORTHO_BOTH</v>
      </c>
      <c r="C36" t="str">
        <f>'Formatted NEW'!S34</f>
        <v>EMPTY</v>
      </c>
      <c r="D36" t="str">
        <f>'Formatted NEW'!T34</f>
        <v>EMPTY</v>
      </c>
      <c r="E36" s="26">
        <f t="shared" ref="E36:E67" si="3">ROW(E36)-ROW(E$4)</f>
        <v>32</v>
      </c>
      <c r="H36" s="30" t="str" cm="1">
        <f t="array" aca="1" ref="H36" ca="1">IF(ISNUMBER(SEARCH(INDIRECT(ADDRESS(ROW(H36),MOD(H$1,4)+1)),H$2)),$E36,"")</f>
        <v/>
      </c>
      <c r="I36" s="26" t="str" cm="1">
        <f t="array" aca="1" ref="I36" ca="1">IF(ISNUMBER(SEARCH(INDIRECT(ADDRESS(ROW(I36),MOD(I$1,4)+1)),I$2)),$E36,"")</f>
        <v/>
      </c>
      <c r="J36" s="26" t="str" cm="1">
        <f t="array" aca="1" ref="J36" ca="1">IF(ISNUMBER(SEARCH(INDIRECT(ADDRESS(ROW(J36),MOD(J$1,4)+1)),J$2)),$E36,"")</f>
        <v/>
      </c>
      <c r="K36" s="26" t="str" cm="1">
        <f t="array" aca="1" ref="K36" ca="1">IF(ISNUMBER(SEARCH(INDIRECT(ADDRESS(ROW(K36),MOD(K$1,4)+1)),K$2)),$E36,"")</f>
        <v/>
      </c>
      <c r="L36" s="26" t="str" cm="1">
        <f t="array" aca="1" ref="L36" ca="1">IF(ISNUMBER(SEARCH(INDIRECT(ADDRESS(ROW(L36),MOD(L$1,4)+1)),L$2)),$E36,"")</f>
        <v/>
      </c>
      <c r="M36" s="26" t="str" cm="1">
        <f t="array" aca="1" ref="M36" ca="1">IF(ISNUMBER(SEARCH(INDIRECT(ADDRESS(ROW(M36),MOD(M$1,4)+1)),M$2)),$E36,"")</f>
        <v/>
      </c>
      <c r="N36" s="26" t="str" cm="1">
        <f t="array" aca="1" ref="N36" ca="1">IF(ISNUMBER(SEARCH(INDIRECT(ADDRESS(ROW(N36),MOD(N$1,4)+1)),N$2)),$E36,"")</f>
        <v/>
      </c>
      <c r="O36" s="26" t="str" cm="1">
        <f t="array" aca="1" ref="O36" ca="1">IF(ISNUMBER(SEARCH(INDIRECT(ADDRESS(ROW(O36),MOD(O$1,4)+1)),O$2)),$E36,"")</f>
        <v/>
      </c>
      <c r="P36" s="26" cm="1">
        <f t="array" aca="1" ref="P36" ca="1">IF(ISNUMBER(SEARCH(INDIRECT(ADDRESS(ROW(P36),MOD(P$1,4)+1)),P$2)),$E36,"")</f>
        <v>32</v>
      </c>
      <c r="Q36" s="26" cm="1">
        <f t="array" aca="1" ref="Q36" ca="1">IF(ISNUMBER(SEARCH(INDIRECT(ADDRESS(ROW(Q36),MOD(Q$1,4)+1)),Q$2)),$E36,"")</f>
        <v>32</v>
      </c>
      <c r="R36" s="26" t="str" cm="1">
        <f t="array" aca="1" ref="R36" ca="1">IF(ISNUMBER(SEARCH(INDIRECT(ADDRESS(ROW(R36),MOD(R$1,4)+1)),R$2)),$E36,"")</f>
        <v/>
      </c>
      <c r="S36" s="26" t="str" cm="1">
        <f t="array" aca="1" ref="S36" ca="1">IF(ISNUMBER(SEARCH(INDIRECT(ADDRESS(ROW(S36),MOD(S$1,4)+1)),S$2)),$E36,"")</f>
        <v/>
      </c>
      <c r="T36" s="26" t="str" cm="1">
        <f t="array" aca="1" ref="T36" ca="1">IF(ISNUMBER(SEARCH(INDIRECT(ADDRESS(ROW(T36),MOD(T$1,4)+1)),T$2)),$E36,"")</f>
        <v/>
      </c>
      <c r="U36" s="26" t="str" cm="1">
        <f t="array" aca="1" ref="U36" ca="1">IF(ISNUMBER(SEARCH(INDIRECT(ADDRESS(ROW(U36),MOD(U$1,4)+1)),U$2)),$E36,"")</f>
        <v/>
      </c>
      <c r="V36" s="26" t="str" cm="1">
        <f t="array" aca="1" ref="V36" ca="1">IF(ISNUMBER(SEARCH(INDIRECT(ADDRESS(ROW(V36),MOD(V$1,4)+1)),V$2)),$E36,"")</f>
        <v/>
      </c>
      <c r="W36" s="26" t="str" cm="1">
        <f t="array" aca="1" ref="W36" ca="1">IF(ISNUMBER(SEARCH(INDIRECT(ADDRESS(ROW(W36),MOD(W$1,4)+1)),W$2)),$E36,"")</f>
        <v/>
      </c>
      <c r="X36" s="26" t="str" cm="1">
        <f t="array" aca="1" ref="X36" ca="1">IF(ISNUMBER(SEARCH(INDIRECT(ADDRESS(ROW(X36),MOD(X$1,4)+1)),X$2)),$E36,"")</f>
        <v/>
      </c>
      <c r="Y36" s="26" t="str" cm="1">
        <f t="array" aca="1" ref="Y36" ca="1">IF(ISNUMBER(SEARCH(INDIRECT(ADDRESS(ROW(Y36),MOD(Y$1,4)+1)),Y$2)),$E36,"")</f>
        <v/>
      </c>
      <c r="Z36" s="26" t="str" cm="1">
        <f t="array" aca="1" ref="Z36" ca="1">IF(ISNUMBER(SEARCH(INDIRECT(ADDRESS(ROW(Z36),MOD(Z$1,4)+1)),Z$2)),$E36,"")</f>
        <v/>
      </c>
      <c r="AA36" s="26" t="str" cm="1">
        <f t="array" aca="1" ref="AA36" ca="1">IF(ISNUMBER(SEARCH(INDIRECT(ADDRESS(ROW(AA36),MOD(AA$1,4)+1)),AA$2)),$E36,"")</f>
        <v/>
      </c>
      <c r="AB36" s="26" t="str" cm="1">
        <f t="array" aca="1" ref="AB36" ca="1">IF(ISNUMBER(SEARCH(INDIRECT(ADDRESS(ROW(AB36),MOD(AB$1,4)+1)),AB$2)),$E36,"")</f>
        <v/>
      </c>
      <c r="AC36" s="26" t="str" cm="1">
        <f t="array" aca="1" ref="AC36" ca="1">IF(ISNUMBER(SEARCH(INDIRECT(ADDRESS(ROW(AC36),MOD(AC$1,4)+1)),AC$2)),$E36,"")</f>
        <v/>
      </c>
      <c r="AD36" s="26" t="str" cm="1">
        <f t="array" aca="1" ref="AD36" ca="1">IF(ISNUMBER(SEARCH(INDIRECT(ADDRESS(ROW(AD36),MOD(AD$1,4)+1)),AD$2)),$E36,"")</f>
        <v/>
      </c>
      <c r="AE36" s="26" t="str" cm="1">
        <f t="array" aca="1" ref="AE36" ca="1">IF(ISNUMBER(SEARCH(INDIRECT(ADDRESS(ROW(AE36),MOD(AE$1,4)+1)),AE$2)),$E36,"")</f>
        <v/>
      </c>
      <c r="AF36" s="26" t="str" cm="1">
        <f t="array" aca="1" ref="AF36" ca="1">IF(ISNUMBER(SEARCH(INDIRECT(ADDRESS(ROW(AF36),MOD(AF$1,4)+1)),AF$2)),$E36,"")</f>
        <v/>
      </c>
      <c r="AG36" s="26" t="str" cm="1">
        <f t="array" aca="1" ref="AG36" ca="1">IF(ISNUMBER(SEARCH(INDIRECT(ADDRESS(ROW(AG36),MOD(AG$1,4)+1)),AG$2)),$E36,"")</f>
        <v/>
      </c>
      <c r="AH36" s="26" t="str" cm="1">
        <f t="array" aca="1" ref="AH36" ca="1">IF(ISNUMBER(SEARCH(INDIRECT(ADDRESS(ROW(AH36),MOD(AH$1,4)+1)),AH$2)),$E36,"")</f>
        <v/>
      </c>
      <c r="AI36" s="26" t="str" cm="1">
        <f t="array" aca="1" ref="AI36" ca="1">IF(ISNUMBER(SEARCH(INDIRECT(ADDRESS(ROW(AI36),MOD(AI$1,4)+1)),AI$2)),$E36,"")</f>
        <v/>
      </c>
      <c r="AJ36" s="26" t="str" cm="1">
        <f t="array" aca="1" ref="AJ36" ca="1">IF(ISNUMBER(SEARCH(INDIRECT(ADDRESS(ROW(AJ36),MOD(AJ$1,4)+1)),AJ$2)),$E36,"")</f>
        <v/>
      </c>
      <c r="AK36" s="26" t="str" cm="1">
        <f t="array" aca="1" ref="AK36" ca="1">IF(ISNUMBER(SEARCH(INDIRECT(ADDRESS(ROW(AK36),MOD(AK$1,4)+1)),AK$2)),$E36,"")</f>
        <v/>
      </c>
      <c r="AL36" s="26" t="str" cm="1">
        <f t="array" aca="1" ref="AL36" ca="1">IF(ISNUMBER(SEARCH(INDIRECT(ADDRESS(ROW(AL36),MOD(AL$1,4)+1)),AL$2)),$E36,"")</f>
        <v/>
      </c>
      <c r="AM36" s="26" t="str" cm="1">
        <f t="array" aca="1" ref="AM36" ca="1">IF(ISNUMBER(SEARCH(INDIRECT(ADDRESS(ROW(AM36),MOD(AM$1,4)+1)),AM$2)),$E36,"")</f>
        <v/>
      </c>
      <c r="AN36" s="26" t="str" cm="1">
        <f t="array" aca="1" ref="AN36" ca="1">IF(ISNUMBER(SEARCH(INDIRECT(ADDRESS(ROW(AN36),MOD(AN$1,4)+1)),AN$2)),$E36,"")</f>
        <v/>
      </c>
      <c r="AO36" s="26" t="str" cm="1">
        <f t="array" aca="1" ref="AO36" ca="1">IF(ISNUMBER(SEARCH(INDIRECT(ADDRESS(ROW(AO36),MOD(AO$1,4)+1)),AO$2)),$E36,"")</f>
        <v/>
      </c>
      <c r="AP36" s="26" t="str" cm="1">
        <f t="array" aca="1" ref="AP36" ca="1">IF(ISNUMBER(SEARCH(INDIRECT(ADDRESS(ROW(AP36),MOD(AP$1,4)+1)),AP$2)),$E36,"")</f>
        <v/>
      </c>
      <c r="AQ36" s="31" t="str" cm="1">
        <f t="array" aca="1" ref="AQ36" ca="1">IF(ISNUMBER(SEARCH(INDIRECT(ADDRESS(ROW(AQ36),MOD(AQ$1,4)+1)),AQ$2)),$E36,"")</f>
        <v/>
      </c>
      <c r="AT36" t="e">
        <f>IF(VLOOKUP($E36,'Formatted NEW'!$B$2:$F$202,5,FALSE)=VLOOKUP($E36,'Formatted NEW'!$B$2:$F$202,8,FALSE),$E36,"")</f>
        <v>#N/A</v>
      </c>
      <c r="AW36" t="e">
        <f>IF(VLOOKUP($E36,'Formatted NEW'!$B$2:$F$202,5,FALSE)=VLOOKUP($E36,'Formatted NEW'!$B$2:$F$202,11,FALSE),$E36,"")</f>
        <v>#N/A</v>
      </c>
      <c r="AZ36" t="e">
        <f>IF(VLOOKUP($E36,'Formatted NEW'!$B$2:$F$202,5,FALSE)=VLOOKUP($E36,'Formatted NEW'!$B$2:$F$202,14,FALSE),$E36,"")</f>
        <v>#N/A</v>
      </c>
      <c r="BC36" t="str">
        <f>VLOOKUP($E36,'Formatted NEW'!$M$2:$T$202,6,FALSE)</f>
        <v>ORTHO_BOTH</v>
      </c>
      <c r="BD36" s="26" t="e">
        <f>VLOOKUP(VLOOKUP(VLOOKUP($E36,'Formatted NEW'!$M$2:$O$202,2,FALSE),'Formatted NEW'!$D$2:$F$202,7,FALSE),'Formatted NEW'!$D$2:$O$202,12,FALSE)</f>
        <v>#REF!</v>
      </c>
      <c r="BE36" t="e">
        <f>VLOOKUP($BD36,'Formatted NEW'!$M$2:$T$202,5,FALSE)</f>
        <v>#REF!</v>
      </c>
      <c r="BF36" s="26" t="e">
        <f t="shared" si="1"/>
        <v>#REF!</v>
      </c>
      <c r="BH36">
        <f>VLOOKUP($E36,'Formatted NEW'!$M$2:$T$202,4,FALSE)</f>
        <v>0</v>
      </c>
      <c r="BI36" s="26" t="e">
        <f>VLOOKUP(VLOOKUP(VLOOKUP($E36,'Formatted NEW'!$M$2:$O$202,2,FALSE),'Formatted NEW'!$D$2:$F$202,10,FALSE),'Formatted NEW'!$D$2:$O$202,12,FALSE)</f>
        <v>#REF!</v>
      </c>
      <c r="BJ36" t="e">
        <f>VLOOKUP($BI36,'Formatted NEW'!$M$2:$T$202,3,FALSE)</f>
        <v>#REF!</v>
      </c>
      <c r="BK36" s="26" t="e">
        <f t="shared" si="2"/>
        <v>#REF!</v>
      </c>
    </row>
    <row r="37" spans="1:63" x14ac:dyDescent="0.25">
      <c r="A37" t="str">
        <f>'Formatted NEW'!Q35</f>
        <v>ORTHO_BOTH</v>
      </c>
      <c r="B37" t="str">
        <f>'Formatted NEW'!R35</f>
        <v>ORTHO_BOTH</v>
      </c>
      <c r="C37" t="str">
        <f>'Formatted NEW'!S35</f>
        <v>EMPTY</v>
      </c>
      <c r="D37" t="str">
        <f>'Formatted NEW'!T35</f>
        <v>ORTHO_BOTH</v>
      </c>
      <c r="E37" s="26">
        <f t="shared" si="3"/>
        <v>33</v>
      </c>
      <c r="H37" s="30" t="str" cm="1">
        <f t="array" aca="1" ref="H37" ca="1">IF(ISNUMBER(SEARCH(INDIRECT(ADDRESS(ROW(H37),MOD(H$1,4)+1)),H$2)),$E37,"")</f>
        <v/>
      </c>
      <c r="I37" s="26" t="str" cm="1">
        <f t="array" aca="1" ref="I37" ca="1">IF(ISNUMBER(SEARCH(INDIRECT(ADDRESS(ROW(I37),MOD(I$1,4)+1)),I$2)),$E37,"")</f>
        <v/>
      </c>
      <c r="J37" s="26" t="str" cm="1">
        <f t="array" aca="1" ref="J37" ca="1">IF(ISNUMBER(SEARCH(INDIRECT(ADDRESS(ROW(J37),MOD(J$1,4)+1)),J$2)),$E37,"")</f>
        <v/>
      </c>
      <c r="K37" s="26" t="str" cm="1">
        <f t="array" aca="1" ref="K37" ca="1">IF(ISNUMBER(SEARCH(INDIRECT(ADDRESS(ROW(K37),MOD(K$1,4)+1)),K$2)),$E37,"")</f>
        <v/>
      </c>
      <c r="L37" s="26" t="str" cm="1">
        <f t="array" aca="1" ref="L37" ca="1">IF(ISNUMBER(SEARCH(INDIRECT(ADDRESS(ROW(L37),MOD(L$1,4)+1)),L$2)),$E37,"")</f>
        <v/>
      </c>
      <c r="M37" s="26" t="str" cm="1">
        <f t="array" aca="1" ref="M37" ca="1">IF(ISNUMBER(SEARCH(INDIRECT(ADDRESS(ROW(M37),MOD(M$1,4)+1)),M$2)),$E37,"")</f>
        <v/>
      </c>
      <c r="N37" s="26" t="str" cm="1">
        <f t="array" aca="1" ref="N37" ca="1">IF(ISNUMBER(SEARCH(INDIRECT(ADDRESS(ROW(N37),MOD(N$1,4)+1)),N$2)),$E37,"")</f>
        <v/>
      </c>
      <c r="O37" s="26" t="str" cm="1">
        <f t="array" aca="1" ref="O37" ca="1">IF(ISNUMBER(SEARCH(INDIRECT(ADDRESS(ROW(O37),MOD(O$1,4)+1)),O$2)),$E37,"")</f>
        <v/>
      </c>
      <c r="P37" s="26" cm="1">
        <f t="array" aca="1" ref="P37" ca="1">IF(ISNUMBER(SEARCH(INDIRECT(ADDRESS(ROW(P37),MOD(P$1,4)+1)),P$2)),$E37,"")</f>
        <v>33</v>
      </c>
      <c r="Q37" s="26" cm="1">
        <f t="array" aca="1" ref="Q37" ca="1">IF(ISNUMBER(SEARCH(INDIRECT(ADDRESS(ROW(Q37),MOD(Q$1,4)+1)),Q$2)),$E37,"")</f>
        <v>33</v>
      </c>
      <c r="R37" s="26" t="str" cm="1">
        <f t="array" aca="1" ref="R37" ca="1">IF(ISNUMBER(SEARCH(INDIRECT(ADDRESS(ROW(R37),MOD(R$1,4)+1)),R$2)),$E37,"")</f>
        <v/>
      </c>
      <c r="S37" s="26" cm="1">
        <f t="array" aca="1" ref="S37" ca="1">IF(ISNUMBER(SEARCH(INDIRECT(ADDRESS(ROW(S37),MOD(S$1,4)+1)),S$2)),$E37,"")</f>
        <v>33</v>
      </c>
      <c r="T37" s="26" t="str" cm="1">
        <f t="array" aca="1" ref="T37" ca="1">IF(ISNUMBER(SEARCH(INDIRECT(ADDRESS(ROW(T37),MOD(T$1,4)+1)),T$2)),$E37,"")</f>
        <v/>
      </c>
      <c r="U37" s="26" t="str" cm="1">
        <f t="array" aca="1" ref="U37" ca="1">IF(ISNUMBER(SEARCH(INDIRECT(ADDRESS(ROW(U37),MOD(U$1,4)+1)),U$2)),$E37,"")</f>
        <v/>
      </c>
      <c r="V37" s="26" t="str" cm="1">
        <f t="array" aca="1" ref="V37" ca="1">IF(ISNUMBER(SEARCH(INDIRECT(ADDRESS(ROW(V37),MOD(V$1,4)+1)),V$2)),$E37,"")</f>
        <v/>
      </c>
      <c r="W37" s="26" t="str" cm="1">
        <f t="array" aca="1" ref="W37" ca="1">IF(ISNUMBER(SEARCH(INDIRECT(ADDRESS(ROW(W37),MOD(W$1,4)+1)),W$2)),$E37,"")</f>
        <v/>
      </c>
      <c r="X37" s="26" t="str" cm="1">
        <f t="array" aca="1" ref="X37" ca="1">IF(ISNUMBER(SEARCH(INDIRECT(ADDRESS(ROW(X37),MOD(X$1,4)+1)),X$2)),$E37,"")</f>
        <v/>
      </c>
      <c r="Y37" s="26" t="str" cm="1">
        <f t="array" aca="1" ref="Y37" ca="1">IF(ISNUMBER(SEARCH(INDIRECT(ADDRESS(ROW(Y37),MOD(Y$1,4)+1)),Y$2)),$E37,"")</f>
        <v/>
      </c>
      <c r="Z37" s="26" t="str" cm="1">
        <f t="array" aca="1" ref="Z37" ca="1">IF(ISNUMBER(SEARCH(INDIRECT(ADDRESS(ROW(Z37),MOD(Z$1,4)+1)),Z$2)),$E37,"")</f>
        <v/>
      </c>
      <c r="AA37" s="26" t="str" cm="1">
        <f t="array" aca="1" ref="AA37" ca="1">IF(ISNUMBER(SEARCH(INDIRECT(ADDRESS(ROW(AA37),MOD(AA$1,4)+1)),AA$2)),$E37,"")</f>
        <v/>
      </c>
      <c r="AB37" s="26" t="str" cm="1">
        <f t="array" aca="1" ref="AB37" ca="1">IF(ISNUMBER(SEARCH(INDIRECT(ADDRESS(ROW(AB37),MOD(AB$1,4)+1)),AB$2)),$E37,"")</f>
        <v/>
      </c>
      <c r="AC37" s="26" t="str" cm="1">
        <f t="array" aca="1" ref="AC37" ca="1">IF(ISNUMBER(SEARCH(INDIRECT(ADDRESS(ROW(AC37),MOD(AC$1,4)+1)),AC$2)),$E37,"")</f>
        <v/>
      </c>
      <c r="AD37" s="26" t="str" cm="1">
        <f t="array" aca="1" ref="AD37" ca="1">IF(ISNUMBER(SEARCH(INDIRECT(ADDRESS(ROW(AD37),MOD(AD$1,4)+1)),AD$2)),$E37,"")</f>
        <v/>
      </c>
      <c r="AE37" s="26" t="str" cm="1">
        <f t="array" aca="1" ref="AE37" ca="1">IF(ISNUMBER(SEARCH(INDIRECT(ADDRESS(ROW(AE37),MOD(AE$1,4)+1)),AE$2)),$E37,"")</f>
        <v/>
      </c>
      <c r="AF37" s="26" t="str" cm="1">
        <f t="array" aca="1" ref="AF37" ca="1">IF(ISNUMBER(SEARCH(INDIRECT(ADDRESS(ROW(AF37),MOD(AF$1,4)+1)),AF$2)),$E37,"")</f>
        <v/>
      </c>
      <c r="AG37" s="26" t="str" cm="1">
        <f t="array" aca="1" ref="AG37" ca="1">IF(ISNUMBER(SEARCH(INDIRECT(ADDRESS(ROW(AG37),MOD(AG$1,4)+1)),AG$2)),$E37,"")</f>
        <v/>
      </c>
      <c r="AH37" s="26" t="str" cm="1">
        <f t="array" aca="1" ref="AH37" ca="1">IF(ISNUMBER(SEARCH(INDIRECT(ADDRESS(ROW(AH37),MOD(AH$1,4)+1)),AH$2)),$E37,"")</f>
        <v/>
      </c>
      <c r="AI37" s="26" t="str" cm="1">
        <f t="array" aca="1" ref="AI37" ca="1">IF(ISNUMBER(SEARCH(INDIRECT(ADDRESS(ROW(AI37),MOD(AI$1,4)+1)),AI$2)),$E37,"")</f>
        <v/>
      </c>
      <c r="AJ37" s="26" t="str" cm="1">
        <f t="array" aca="1" ref="AJ37" ca="1">IF(ISNUMBER(SEARCH(INDIRECT(ADDRESS(ROW(AJ37),MOD(AJ$1,4)+1)),AJ$2)),$E37,"")</f>
        <v/>
      </c>
      <c r="AK37" s="26" t="str" cm="1">
        <f t="array" aca="1" ref="AK37" ca="1">IF(ISNUMBER(SEARCH(INDIRECT(ADDRESS(ROW(AK37),MOD(AK$1,4)+1)),AK$2)),$E37,"")</f>
        <v/>
      </c>
      <c r="AL37" s="26" t="str" cm="1">
        <f t="array" aca="1" ref="AL37" ca="1">IF(ISNUMBER(SEARCH(INDIRECT(ADDRESS(ROW(AL37),MOD(AL$1,4)+1)),AL$2)),$E37,"")</f>
        <v/>
      </c>
      <c r="AM37" s="26" t="str" cm="1">
        <f t="array" aca="1" ref="AM37" ca="1">IF(ISNUMBER(SEARCH(INDIRECT(ADDRESS(ROW(AM37),MOD(AM$1,4)+1)),AM$2)),$E37,"")</f>
        <v/>
      </c>
      <c r="AN37" s="26" t="str" cm="1">
        <f t="array" aca="1" ref="AN37" ca="1">IF(ISNUMBER(SEARCH(INDIRECT(ADDRESS(ROW(AN37),MOD(AN$1,4)+1)),AN$2)),$E37,"")</f>
        <v/>
      </c>
      <c r="AO37" s="26" t="str" cm="1">
        <f t="array" aca="1" ref="AO37" ca="1">IF(ISNUMBER(SEARCH(INDIRECT(ADDRESS(ROW(AO37),MOD(AO$1,4)+1)),AO$2)),$E37,"")</f>
        <v/>
      </c>
      <c r="AP37" s="26" t="str" cm="1">
        <f t="array" aca="1" ref="AP37" ca="1">IF(ISNUMBER(SEARCH(INDIRECT(ADDRESS(ROW(AP37),MOD(AP$1,4)+1)),AP$2)),$E37,"")</f>
        <v/>
      </c>
      <c r="AQ37" s="31" t="str" cm="1">
        <f t="array" aca="1" ref="AQ37" ca="1">IF(ISNUMBER(SEARCH(INDIRECT(ADDRESS(ROW(AQ37),MOD(AQ$1,4)+1)),AQ$2)),$E37,"")</f>
        <v/>
      </c>
      <c r="AT37" t="e">
        <f>IF(VLOOKUP($E37,'Formatted NEW'!$B$2:$F$202,5,FALSE)=VLOOKUP($E37,'Formatted NEW'!$B$2:$F$202,8,FALSE),$E37,"")</f>
        <v>#N/A</v>
      </c>
      <c r="AW37" t="e">
        <f>IF(VLOOKUP($E37,'Formatted NEW'!$B$2:$F$202,5,FALSE)=VLOOKUP($E37,'Formatted NEW'!$B$2:$F$202,11,FALSE),$E37,"")</f>
        <v>#N/A</v>
      </c>
      <c r="AZ37" t="e">
        <f>IF(VLOOKUP($E37,'Formatted NEW'!$B$2:$F$202,5,FALSE)=VLOOKUP($E37,'Formatted NEW'!$B$2:$F$202,14,FALSE),$E37,"")</f>
        <v>#N/A</v>
      </c>
      <c r="BC37" t="str">
        <f>VLOOKUP($E37,'Formatted NEW'!$M$2:$T$202,6,FALSE)</f>
        <v>ORTHO_BOTH</v>
      </c>
      <c r="BD37" s="26" t="e">
        <f>VLOOKUP(VLOOKUP(VLOOKUP($E37,'Formatted NEW'!$M$2:$O$202,2,FALSE),'Formatted NEW'!$D$2:$F$202,7,FALSE),'Formatted NEW'!$D$2:$O$202,12,FALSE)</f>
        <v>#REF!</v>
      </c>
      <c r="BE37" t="e">
        <f>VLOOKUP($BD37,'Formatted NEW'!$M$2:$T$202,5,FALSE)</f>
        <v>#REF!</v>
      </c>
      <c r="BF37" s="26" t="e">
        <f t="shared" si="1"/>
        <v>#REF!</v>
      </c>
      <c r="BH37">
        <f>VLOOKUP($E37,'Formatted NEW'!$M$2:$T$202,4,FALSE)</f>
        <v>0</v>
      </c>
      <c r="BI37" s="26" t="e">
        <f>VLOOKUP(VLOOKUP(VLOOKUP($E37,'Formatted NEW'!$M$2:$O$202,2,FALSE),'Formatted NEW'!$D$2:$F$202,10,FALSE),'Formatted NEW'!$D$2:$O$202,12,FALSE)</f>
        <v>#REF!</v>
      </c>
      <c r="BJ37" t="e">
        <f>VLOOKUP($BI37,'Formatted NEW'!$M$2:$T$202,3,FALSE)</f>
        <v>#REF!</v>
      </c>
      <c r="BK37" s="26" t="e">
        <f t="shared" si="2"/>
        <v>#REF!</v>
      </c>
    </row>
    <row r="38" spans="1:63" x14ac:dyDescent="0.25">
      <c r="A38" t="str">
        <f>'Formatted NEW'!Q36</f>
        <v>ORTHO_BOTH</v>
      </c>
      <c r="B38" t="str">
        <f>'Formatted NEW'!R36</f>
        <v>ORTHO_BOTH</v>
      </c>
      <c r="C38" t="str">
        <f>'Formatted NEW'!S36</f>
        <v>ORTHO_BOTH</v>
      </c>
      <c r="D38" t="str">
        <f>'Formatted NEW'!T36</f>
        <v>DIAG_BOTH</v>
      </c>
      <c r="E38" s="26">
        <f t="shared" si="3"/>
        <v>34</v>
      </c>
      <c r="H38" s="30" t="str" cm="1">
        <f t="array" aca="1" ref="H38" ca="1">IF(ISNUMBER(SEARCH(INDIRECT(ADDRESS(ROW(H38),MOD(H$1,4)+1)),H$2)),$E38,"")</f>
        <v/>
      </c>
      <c r="I38" s="26" t="str" cm="1">
        <f t="array" aca="1" ref="I38" ca="1">IF(ISNUMBER(SEARCH(INDIRECT(ADDRESS(ROW(I38),MOD(I$1,4)+1)),I$2)),$E38,"")</f>
        <v/>
      </c>
      <c r="J38" s="26" t="str" cm="1">
        <f t="array" aca="1" ref="J38" ca="1">IF(ISNUMBER(SEARCH(INDIRECT(ADDRESS(ROW(J38),MOD(J$1,4)+1)),J$2)),$E38,"")</f>
        <v/>
      </c>
      <c r="K38" s="26" t="str" cm="1">
        <f t="array" aca="1" ref="K38" ca="1">IF(ISNUMBER(SEARCH(INDIRECT(ADDRESS(ROW(K38),MOD(K$1,4)+1)),K$2)),$E38,"")</f>
        <v/>
      </c>
      <c r="L38" s="26" t="str" cm="1">
        <f t="array" aca="1" ref="L38" ca="1">IF(ISNUMBER(SEARCH(INDIRECT(ADDRESS(ROW(L38),MOD(L$1,4)+1)),L$2)),$E38,"")</f>
        <v/>
      </c>
      <c r="M38" s="26" t="str" cm="1">
        <f t="array" aca="1" ref="M38" ca="1">IF(ISNUMBER(SEARCH(INDIRECT(ADDRESS(ROW(M38),MOD(M$1,4)+1)),M$2)),$E38,"")</f>
        <v/>
      </c>
      <c r="N38" s="26" t="str" cm="1">
        <f t="array" aca="1" ref="N38" ca="1">IF(ISNUMBER(SEARCH(INDIRECT(ADDRESS(ROW(N38),MOD(N$1,4)+1)),N$2)),$E38,"")</f>
        <v/>
      </c>
      <c r="O38" s="26" cm="1">
        <f t="array" aca="1" ref="O38" ca="1">IF(ISNUMBER(SEARCH(INDIRECT(ADDRESS(ROW(O38),MOD(O$1,4)+1)),O$2)),$E38,"")</f>
        <v>34</v>
      </c>
      <c r="P38" s="26" cm="1">
        <f t="array" aca="1" ref="P38" ca="1">IF(ISNUMBER(SEARCH(INDIRECT(ADDRESS(ROW(P38),MOD(P$1,4)+1)),P$2)),$E38,"")</f>
        <v>34</v>
      </c>
      <c r="Q38" s="26" cm="1">
        <f t="array" aca="1" ref="Q38" ca="1">IF(ISNUMBER(SEARCH(INDIRECT(ADDRESS(ROW(Q38),MOD(Q$1,4)+1)),Q$2)),$E38,"")</f>
        <v>34</v>
      </c>
      <c r="R38" s="26" cm="1">
        <f t="array" aca="1" ref="R38" ca="1">IF(ISNUMBER(SEARCH(INDIRECT(ADDRESS(ROW(R38),MOD(R$1,4)+1)),R$2)),$E38,"")</f>
        <v>34</v>
      </c>
      <c r="S38" s="26" t="str" cm="1">
        <f t="array" aca="1" ref="S38" ca="1">IF(ISNUMBER(SEARCH(INDIRECT(ADDRESS(ROW(S38),MOD(S$1,4)+1)),S$2)),$E38,"")</f>
        <v/>
      </c>
      <c r="T38" s="26" t="str" cm="1">
        <f t="array" aca="1" ref="T38" ca="1">IF(ISNUMBER(SEARCH(INDIRECT(ADDRESS(ROW(T38),MOD(T$1,4)+1)),T$2)),$E38,"")</f>
        <v/>
      </c>
      <c r="U38" s="26" t="str" cm="1">
        <f t="array" aca="1" ref="U38" ca="1">IF(ISNUMBER(SEARCH(INDIRECT(ADDRESS(ROW(U38),MOD(U$1,4)+1)),U$2)),$E38,"")</f>
        <v/>
      </c>
      <c r="V38" s="26" t="str" cm="1">
        <f t="array" aca="1" ref="V38" ca="1">IF(ISNUMBER(SEARCH(INDIRECT(ADDRESS(ROW(V38),MOD(V$1,4)+1)),V$2)),$E38,"")</f>
        <v/>
      </c>
      <c r="W38" s="26" t="str" cm="1">
        <f t="array" aca="1" ref="W38" ca="1">IF(ISNUMBER(SEARCH(INDIRECT(ADDRESS(ROW(W38),MOD(W$1,4)+1)),W$2)),$E38,"")</f>
        <v/>
      </c>
      <c r="X38" s="26" t="str" cm="1">
        <f t="array" aca="1" ref="X38" ca="1">IF(ISNUMBER(SEARCH(INDIRECT(ADDRESS(ROW(X38),MOD(X$1,4)+1)),X$2)),$E38,"")</f>
        <v/>
      </c>
      <c r="Y38" s="26" t="str" cm="1">
        <f t="array" aca="1" ref="Y38" ca="1">IF(ISNUMBER(SEARCH(INDIRECT(ADDRESS(ROW(Y38),MOD(Y$1,4)+1)),Y$2)),$E38,"")</f>
        <v/>
      </c>
      <c r="Z38" s="26" t="str" cm="1">
        <f t="array" aca="1" ref="Z38" ca="1">IF(ISNUMBER(SEARCH(INDIRECT(ADDRESS(ROW(Z38),MOD(Z$1,4)+1)),Z$2)),$E38,"")</f>
        <v/>
      </c>
      <c r="AA38" s="26" t="str" cm="1">
        <f t="array" aca="1" ref="AA38" ca="1">IF(ISNUMBER(SEARCH(INDIRECT(ADDRESS(ROW(AA38),MOD(AA$1,4)+1)),AA$2)),$E38,"")</f>
        <v/>
      </c>
      <c r="AB38" s="26" t="str" cm="1">
        <f t="array" aca="1" ref="AB38" ca="1">IF(ISNUMBER(SEARCH(INDIRECT(ADDRESS(ROW(AB38),MOD(AB$1,4)+1)),AB$2)),$E38,"")</f>
        <v/>
      </c>
      <c r="AC38" s="26" t="str" cm="1">
        <f t="array" aca="1" ref="AC38" ca="1">IF(ISNUMBER(SEARCH(INDIRECT(ADDRESS(ROW(AC38),MOD(AC$1,4)+1)),AC$2)),$E38,"")</f>
        <v/>
      </c>
      <c r="AD38" s="26" t="str" cm="1">
        <f t="array" aca="1" ref="AD38" ca="1">IF(ISNUMBER(SEARCH(INDIRECT(ADDRESS(ROW(AD38),MOD(AD$1,4)+1)),AD$2)),$E38,"")</f>
        <v/>
      </c>
      <c r="AE38" s="26" t="str" cm="1">
        <f t="array" aca="1" ref="AE38" ca="1">IF(ISNUMBER(SEARCH(INDIRECT(ADDRESS(ROW(AE38),MOD(AE$1,4)+1)),AE$2)),$E38,"")</f>
        <v/>
      </c>
      <c r="AF38" s="26" t="str" cm="1">
        <f t="array" aca="1" ref="AF38" ca="1">IF(ISNUMBER(SEARCH(INDIRECT(ADDRESS(ROW(AF38),MOD(AF$1,4)+1)),AF$2)),$E38,"")</f>
        <v/>
      </c>
      <c r="AG38" s="26" t="str" cm="1">
        <f t="array" aca="1" ref="AG38" ca="1">IF(ISNUMBER(SEARCH(INDIRECT(ADDRESS(ROW(AG38),MOD(AG$1,4)+1)),AG$2)),$E38,"")</f>
        <v/>
      </c>
      <c r="AH38" s="26" t="str" cm="1">
        <f t="array" aca="1" ref="AH38" ca="1">IF(ISNUMBER(SEARCH(INDIRECT(ADDRESS(ROW(AH38),MOD(AH$1,4)+1)),AH$2)),$E38,"")</f>
        <v/>
      </c>
      <c r="AI38" s="26" t="str" cm="1">
        <f t="array" aca="1" ref="AI38" ca="1">IF(ISNUMBER(SEARCH(INDIRECT(ADDRESS(ROW(AI38),MOD(AI$1,4)+1)),AI$2)),$E38,"")</f>
        <v/>
      </c>
      <c r="AJ38" s="26" t="str" cm="1">
        <f t="array" aca="1" ref="AJ38" ca="1">IF(ISNUMBER(SEARCH(INDIRECT(ADDRESS(ROW(AJ38),MOD(AJ$1,4)+1)),AJ$2)),$E38,"")</f>
        <v/>
      </c>
      <c r="AK38" s="26" t="str" cm="1">
        <f t="array" aca="1" ref="AK38" ca="1">IF(ISNUMBER(SEARCH(INDIRECT(ADDRESS(ROW(AK38),MOD(AK$1,4)+1)),AK$2)),$E38,"")</f>
        <v/>
      </c>
      <c r="AL38" s="26" t="str" cm="1">
        <f t="array" aca="1" ref="AL38" ca="1">IF(ISNUMBER(SEARCH(INDIRECT(ADDRESS(ROW(AL38),MOD(AL$1,4)+1)),AL$2)),$E38,"")</f>
        <v/>
      </c>
      <c r="AM38" s="26" t="str" cm="1">
        <f t="array" aca="1" ref="AM38" ca="1">IF(ISNUMBER(SEARCH(INDIRECT(ADDRESS(ROW(AM38),MOD(AM$1,4)+1)),AM$2)),$E38,"")</f>
        <v/>
      </c>
      <c r="AN38" s="26" t="str" cm="1">
        <f t="array" aca="1" ref="AN38" ca="1">IF(ISNUMBER(SEARCH(INDIRECT(ADDRESS(ROW(AN38),MOD(AN$1,4)+1)),AN$2)),$E38,"")</f>
        <v/>
      </c>
      <c r="AO38" s="26" t="str" cm="1">
        <f t="array" aca="1" ref="AO38" ca="1">IF(ISNUMBER(SEARCH(INDIRECT(ADDRESS(ROW(AO38),MOD(AO$1,4)+1)),AO$2)),$E38,"")</f>
        <v/>
      </c>
      <c r="AP38" s="26" t="str" cm="1">
        <f t="array" aca="1" ref="AP38" ca="1">IF(ISNUMBER(SEARCH(INDIRECT(ADDRESS(ROW(AP38),MOD(AP$1,4)+1)),AP$2)),$E38,"")</f>
        <v/>
      </c>
      <c r="AQ38" s="31" t="str" cm="1">
        <f t="array" aca="1" ref="AQ38" ca="1">IF(ISNUMBER(SEARCH(INDIRECT(ADDRESS(ROW(AQ38),MOD(AQ$1,4)+1)),AQ$2)),$E38,"")</f>
        <v/>
      </c>
      <c r="AT38" t="e">
        <f>IF(VLOOKUP($E38,'Formatted NEW'!$B$2:$F$202,5,FALSE)=VLOOKUP($E38,'Formatted NEW'!$B$2:$F$202,8,FALSE),$E38,"")</f>
        <v>#N/A</v>
      </c>
      <c r="AW38" t="e">
        <f>IF(VLOOKUP($E38,'Formatted NEW'!$B$2:$F$202,5,FALSE)=VLOOKUP($E38,'Formatted NEW'!$B$2:$F$202,11,FALSE),$E38,"")</f>
        <v>#N/A</v>
      </c>
      <c r="AZ38" t="e">
        <f>IF(VLOOKUP($E38,'Formatted NEW'!$B$2:$F$202,5,FALSE)=VLOOKUP($E38,'Formatted NEW'!$B$2:$F$202,14,FALSE),$E38,"")</f>
        <v>#N/A</v>
      </c>
      <c r="BC38" t="str">
        <f>VLOOKUP($E38,'Formatted NEW'!$M$2:$T$202,6,FALSE)</f>
        <v>ORTHO_BOTH</v>
      </c>
      <c r="BD38" s="26" t="e">
        <f>VLOOKUP(VLOOKUP(VLOOKUP($E38,'Formatted NEW'!$M$2:$O$202,2,FALSE),'Formatted NEW'!$D$2:$F$202,7,FALSE),'Formatted NEW'!$D$2:$O$202,12,FALSE)</f>
        <v>#REF!</v>
      </c>
      <c r="BE38" t="e">
        <f>VLOOKUP($BD38,'Formatted NEW'!$M$2:$T$202,5,FALSE)</f>
        <v>#REF!</v>
      </c>
      <c r="BF38" s="26" t="e">
        <f t="shared" si="1"/>
        <v>#REF!</v>
      </c>
      <c r="BH38">
        <f>VLOOKUP($E38,'Formatted NEW'!$M$2:$T$202,4,FALSE)</f>
        <v>0</v>
      </c>
      <c r="BI38" s="26" t="e">
        <f>VLOOKUP(VLOOKUP(VLOOKUP($E38,'Formatted NEW'!$M$2:$O$202,2,FALSE),'Formatted NEW'!$D$2:$F$202,10,FALSE),'Formatted NEW'!$D$2:$O$202,12,FALSE)</f>
        <v>#REF!</v>
      </c>
      <c r="BJ38" t="e">
        <f>VLOOKUP($BI38,'Formatted NEW'!$M$2:$T$202,3,FALSE)</f>
        <v>#REF!</v>
      </c>
      <c r="BK38" s="26" t="e">
        <f t="shared" si="2"/>
        <v>#REF!</v>
      </c>
    </row>
    <row r="39" spans="1:63" x14ac:dyDescent="0.25">
      <c r="A39" t="str">
        <f>'Formatted NEW'!Q37</f>
        <v>ORTHO_BOTH</v>
      </c>
      <c r="B39" t="str">
        <f>'Formatted NEW'!R37</f>
        <v>EMPTY</v>
      </c>
      <c r="C39" t="str">
        <f>'Formatted NEW'!S37</f>
        <v>ORTHO_BOTH</v>
      </c>
      <c r="D39" t="str">
        <f>'Formatted NEW'!T37</f>
        <v>EMPTY</v>
      </c>
      <c r="E39" s="26">
        <f t="shared" si="3"/>
        <v>35</v>
      </c>
      <c r="H39" s="30" t="str" cm="1">
        <f t="array" aca="1" ref="H39" ca="1">IF(ISNUMBER(SEARCH(INDIRECT(ADDRESS(ROW(H39),MOD(H$1,4)+1)),H$2)),$E39,"")</f>
        <v/>
      </c>
      <c r="I39" s="26" t="str" cm="1">
        <f t="array" aca="1" ref="I39" ca="1">IF(ISNUMBER(SEARCH(INDIRECT(ADDRESS(ROW(I39),MOD(I$1,4)+1)),I$2)),$E39,"")</f>
        <v/>
      </c>
      <c r="J39" s="26" t="str" cm="1">
        <f t="array" aca="1" ref="J39" ca="1">IF(ISNUMBER(SEARCH(INDIRECT(ADDRESS(ROW(J39),MOD(J$1,4)+1)),J$2)),$E39,"")</f>
        <v/>
      </c>
      <c r="K39" s="26" t="str" cm="1">
        <f t="array" aca="1" ref="K39" ca="1">IF(ISNUMBER(SEARCH(INDIRECT(ADDRESS(ROW(K39),MOD(K$1,4)+1)),K$2)),$E39,"")</f>
        <v/>
      </c>
      <c r="L39" s="26" t="str" cm="1">
        <f t="array" aca="1" ref="L39" ca="1">IF(ISNUMBER(SEARCH(INDIRECT(ADDRESS(ROW(L39),MOD(L$1,4)+1)),L$2)),$E39,"")</f>
        <v/>
      </c>
      <c r="M39" s="26" t="str" cm="1">
        <f t="array" aca="1" ref="M39" ca="1">IF(ISNUMBER(SEARCH(INDIRECT(ADDRESS(ROW(M39),MOD(M$1,4)+1)),M$2)),$E39,"")</f>
        <v/>
      </c>
      <c r="N39" s="26" t="str" cm="1">
        <f t="array" aca="1" ref="N39" ca="1">IF(ISNUMBER(SEARCH(INDIRECT(ADDRESS(ROW(N39),MOD(N$1,4)+1)),N$2)),$E39,"")</f>
        <v/>
      </c>
      <c r="O39" s="26" t="str" cm="1">
        <f t="array" aca="1" ref="O39" ca="1">IF(ISNUMBER(SEARCH(INDIRECT(ADDRESS(ROW(O39),MOD(O$1,4)+1)),O$2)),$E39,"")</f>
        <v/>
      </c>
      <c r="P39" s="26" cm="1">
        <f t="array" aca="1" ref="P39" ca="1">IF(ISNUMBER(SEARCH(INDIRECT(ADDRESS(ROW(P39),MOD(P$1,4)+1)),P$2)),$E39,"")</f>
        <v>35</v>
      </c>
      <c r="Q39" s="26" t="str" cm="1">
        <f t="array" aca="1" ref="Q39" ca="1">IF(ISNUMBER(SEARCH(INDIRECT(ADDRESS(ROW(Q39),MOD(Q$1,4)+1)),Q$2)),$E39,"")</f>
        <v/>
      </c>
      <c r="R39" s="26" cm="1">
        <f t="array" aca="1" ref="R39" ca="1">IF(ISNUMBER(SEARCH(INDIRECT(ADDRESS(ROW(R39),MOD(R$1,4)+1)),R$2)),$E39,"")</f>
        <v>35</v>
      </c>
      <c r="S39" s="26" t="str" cm="1">
        <f t="array" aca="1" ref="S39" ca="1">IF(ISNUMBER(SEARCH(INDIRECT(ADDRESS(ROW(S39),MOD(S$1,4)+1)),S$2)),$E39,"")</f>
        <v/>
      </c>
      <c r="T39" s="26" t="str" cm="1">
        <f t="array" aca="1" ref="T39" ca="1">IF(ISNUMBER(SEARCH(INDIRECT(ADDRESS(ROW(T39),MOD(T$1,4)+1)),T$2)),$E39,"")</f>
        <v/>
      </c>
      <c r="U39" s="26" t="str" cm="1">
        <f t="array" aca="1" ref="U39" ca="1">IF(ISNUMBER(SEARCH(INDIRECT(ADDRESS(ROW(U39),MOD(U$1,4)+1)),U$2)),$E39,"")</f>
        <v/>
      </c>
      <c r="V39" s="26" t="str" cm="1">
        <f t="array" aca="1" ref="V39" ca="1">IF(ISNUMBER(SEARCH(INDIRECT(ADDRESS(ROW(V39),MOD(V$1,4)+1)),V$2)),$E39,"")</f>
        <v/>
      </c>
      <c r="W39" s="26" t="str" cm="1">
        <f t="array" aca="1" ref="W39" ca="1">IF(ISNUMBER(SEARCH(INDIRECT(ADDRESS(ROW(W39),MOD(W$1,4)+1)),W$2)),$E39,"")</f>
        <v/>
      </c>
      <c r="X39" s="26" t="str" cm="1">
        <f t="array" aca="1" ref="X39" ca="1">IF(ISNUMBER(SEARCH(INDIRECT(ADDRESS(ROW(X39),MOD(X$1,4)+1)),X$2)),$E39,"")</f>
        <v/>
      </c>
      <c r="Y39" s="26" t="str" cm="1">
        <f t="array" aca="1" ref="Y39" ca="1">IF(ISNUMBER(SEARCH(INDIRECT(ADDRESS(ROW(Y39),MOD(Y$1,4)+1)),Y$2)),$E39,"")</f>
        <v/>
      </c>
      <c r="Z39" s="26" t="str" cm="1">
        <f t="array" aca="1" ref="Z39" ca="1">IF(ISNUMBER(SEARCH(INDIRECT(ADDRESS(ROW(Z39),MOD(Z$1,4)+1)),Z$2)),$E39,"")</f>
        <v/>
      </c>
      <c r="AA39" s="26" t="str" cm="1">
        <f t="array" aca="1" ref="AA39" ca="1">IF(ISNUMBER(SEARCH(INDIRECT(ADDRESS(ROW(AA39),MOD(AA$1,4)+1)),AA$2)),$E39,"")</f>
        <v/>
      </c>
      <c r="AB39" s="26" t="str" cm="1">
        <f t="array" aca="1" ref="AB39" ca="1">IF(ISNUMBER(SEARCH(INDIRECT(ADDRESS(ROW(AB39),MOD(AB$1,4)+1)),AB$2)),$E39,"")</f>
        <v/>
      </c>
      <c r="AC39" s="26" t="str" cm="1">
        <f t="array" aca="1" ref="AC39" ca="1">IF(ISNUMBER(SEARCH(INDIRECT(ADDRESS(ROW(AC39),MOD(AC$1,4)+1)),AC$2)),$E39,"")</f>
        <v/>
      </c>
      <c r="AD39" s="26" t="str" cm="1">
        <f t="array" aca="1" ref="AD39" ca="1">IF(ISNUMBER(SEARCH(INDIRECT(ADDRESS(ROW(AD39),MOD(AD$1,4)+1)),AD$2)),$E39,"")</f>
        <v/>
      </c>
      <c r="AE39" s="26" t="str" cm="1">
        <f t="array" aca="1" ref="AE39" ca="1">IF(ISNUMBER(SEARCH(INDIRECT(ADDRESS(ROW(AE39),MOD(AE$1,4)+1)),AE$2)),$E39,"")</f>
        <v/>
      </c>
      <c r="AF39" s="26" t="str" cm="1">
        <f t="array" aca="1" ref="AF39" ca="1">IF(ISNUMBER(SEARCH(INDIRECT(ADDRESS(ROW(AF39),MOD(AF$1,4)+1)),AF$2)),$E39,"")</f>
        <v/>
      </c>
      <c r="AG39" s="26" t="str" cm="1">
        <f t="array" aca="1" ref="AG39" ca="1">IF(ISNUMBER(SEARCH(INDIRECT(ADDRESS(ROW(AG39),MOD(AG$1,4)+1)),AG$2)),$E39,"")</f>
        <v/>
      </c>
      <c r="AH39" s="26" t="str" cm="1">
        <f t="array" aca="1" ref="AH39" ca="1">IF(ISNUMBER(SEARCH(INDIRECT(ADDRESS(ROW(AH39),MOD(AH$1,4)+1)),AH$2)),$E39,"")</f>
        <v/>
      </c>
      <c r="AI39" s="26" t="str" cm="1">
        <f t="array" aca="1" ref="AI39" ca="1">IF(ISNUMBER(SEARCH(INDIRECT(ADDRESS(ROW(AI39),MOD(AI$1,4)+1)),AI$2)),$E39,"")</f>
        <v/>
      </c>
      <c r="AJ39" s="26" t="str" cm="1">
        <f t="array" aca="1" ref="AJ39" ca="1">IF(ISNUMBER(SEARCH(INDIRECT(ADDRESS(ROW(AJ39),MOD(AJ$1,4)+1)),AJ$2)),$E39,"")</f>
        <v/>
      </c>
      <c r="AK39" s="26" t="str" cm="1">
        <f t="array" aca="1" ref="AK39" ca="1">IF(ISNUMBER(SEARCH(INDIRECT(ADDRESS(ROW(AK39),MOD(AK$1,4)+1)),AK$2)),$E39,"")</f>
        <v/>
      </c>
      <c r="AL39" s="26" t="str" cm="1">
        <f t="array" aca="1" ref="AL39" ca="1">IF(ISNUMBER(SEARCH(INDIRECT(ADDRESS(ROW(AL39),MOD(AL$1,4)+1)),AL$2)),$E39,"")</f>
        <v/>
      </c>
      <c r="AM39" s="26" t="str" cm="1">
        <f t="array" aca="1" ref="AM39" ca="1">IF(ISNUMBER(SEARCH(INDIRECT(ADDRESS(ROW(AM39),MOD(AM$1,4)+1)),AM$2)),$E39,"")</f>
        <v/>
      </c>
      <c r="AN39" s="26" t="str" cm="1">
        <f t="array" aca="1" ref="AN39" ca="1">IF(ISNUMBER(SEARCH(INDIRECT(ADDRESS(ROW(AN39),MOD(AN$1,4)+1)),AN$2)),$E39,"")</f>
        <v/>
      </c>
      <c r="AO39" s="26" t="str" cm="1">
        <f t="array" aca="1" ref="AO39" ca="1">IF(ISNUMBER(SEARCH(INDIRECT(ADDRESS(ROW(AO39),MOD(AO$1,4)+1)),AO$2)),$E39,"")</f>
        <v/>
      </c>
      <c r="AP39" s="26" t="str" cm="1">
        <f t="array" aca="1" ref="AP39" ca="1">IF(ISNUMBER(SEARCH(INDIRECT(ADDRESS(ROW(AP39),MOD(AP$1,4)+1)),AP$2)),$E39,"")</f>
        <v/>
      </c>
      <c r="AQ39" s="31" t="str" cm="1">
        <f t="array" aca="1" ref="AQ39" ca="1">IF(ISNUMBER(SEARCH(INDIRECT(ADDRESS(ROW(AQ39),MOD(AQ$1,4)+1)),AQ$2)),$E39,"")</f>
        <v/>
      </c>
      <c r="AT39" t="e">
        <f>IF(VLOOKUP($E39,'Formatted NEW'!$B$2:$F$202,5,FALSE)=VLOOKUP($E39,'Formatted NEW'!$B$2:$F$202,8,FALSE),$E39,"")</f>
        <v>#N/A</v>
      </c>
      <c r="AW39" t="e">
        <f>IF(VLOOKUP($E39,'Formatted NEW'!$B$2:$F$202,5,FALSE)=VLOOKUP($E39,'Formatted NEW'!$B$2:$F$202,11,FALSE),$E39,"")</f>
        <v>#N/A</v>
      </c>
      <c r="AZ39" t="e">
        <f>IF(VLOOKUP($E39,'Formatted NEW'!$B$2:$F$202,5,FALSE)=VLOOKUP($E39,'Formatted NEW'!$B$2:$F$202,14,FALSE),$E39,"")</f>
        <v>#N/A</v>
      </c>
      <c r="BC39" t="str">
        <f>VLOOKUP($E39,'Formatted NEW'!$M$2:$T$202,6,FALSE)</f>
        <v>EMPTY</v>
      </c>
      <c r="BD39" s="26" t="e">
        <f>VLOOKUP(VLOOKUP(VLOOKUP($E39,'Formatted NEW'!$M$2:$O$202,2,FALSE),'Formatted NEW'!$D$2:$F$202,7,FALSE),'Formatted NEW'!$D$2:$O$202,12,FALSE)</f>
        <v>#REF!</v>
      </c>
      <c r="BE39" t="e">
        <f>VLOOKUP($BD39,'Formatted NEW'!$M$2:$T$202,5,FALSE)</f>
        <v>#REF!</v>
      </c>
      <c r="BF39" s="26" t="e">
        <f t="shared" si="1"/>
        <v>#REF!</v>
      </c>
      <c r="BH39">
        <f>VLOOKUP($E39,'Formatted NEW'!$M$2:$T$202,4,FALSE)</f>
        <v>0</v>
      </c>
      <c r="BI39" s="26" t="e">
        <f>VLOOKUP(VLOOKUP(VLOOKUP($E39,'Formatted NEW'!$M$2:$O$202,2,FALSE),'Formatted NEW'!$D$2:$F$202,10,FALSE),'Formatted NEW'!$D$2:$O$202,12,FALSE)</f>
        <v>#REF!</v>
      </c>
      <c r="BJ39" t="e">
        <f>VLOOKUP($BI39,'Formatted NEW'!$M$2:$T$202,3,FALSE)</f>
        <v>#REF!</v>
      </c>
      <c r="BK39" s="26" t="e">
        <f t="shared" si="2"/>
        <v>#REF!</v>
      </c>
    </row>
    <row r="40" spans="1:63" x14ac:dyDescent="0.25">
      <c r="A40" t="str">
        <f>'Formatted NEW'!Q38</f>
        <v>ORTHO_BOTH</v>
      </c>
      <c r="B40" t="str">
        <f>'Formatted NEW'!R38</f>
        <v>ORTHO_BOTH</v>
      </c>
      <c r="C40" t="str">
        <f>'Formatted NEW'!S38</f>
        <v>ORTHO_BOTH</v>
      </c>
      <c r="D40" t="str">
        <f>'Formatted NEW'!T38</f>
        <v>EMPTY</v>
      </c>
      <c r="E40" s="26">
        <f t="shared" si="3"/>
        <v>36</v>
      </c>
      <c r="H40" s="30" t="str" cm="1">
        <f t="array" aca="1" ref="H40" ca="1">IF(ISNUMBER(SEARCH(INDIRECT(ADDRESS(ROW(H40),MOD(H$1,4)+1)),H$2)),$E40,"")</f>
        <v/>
      </c>
      <c r="I40" s="26" t="str" cm="1">
        <f t="array" aca="1" ref="I40" ca="1">IF(ISNUMBER(SEARCH(INDIRECT(ADDRESS(ROW(I40),MOD(I$1,4)+1)),I$2)),$E40,"")</f>
        <v/>
      </c>
      <c r="J40" s="26" t="str" cm="1">
        <f t="array" aca="1" ref="J40" ca="1">IF(ISNUMBER(SEARCH(INDIRECT(ADDRESS(ROW(J40),MOD(J$1,4)+1)),J$2)),$E40,"")</f>
        <v/>
      </c>
      <c r="K40" s="26" t="str" cm="1">
        <f t="array" aca="1" ref="K40" ca="1">IF(ISNUMBER(SEARCH(INDIRECT(ADDRESS(ROW(K40),MOD(K$1,4)+1)),K$2)),$E40,"")</f>
        <v/>
      </c>
      <c r="L40" s="26" t="str" cm="1">
        <f t="array" aca="1" ref="L40" ca="1">IF(ISNUMBER(SEARCH(INDIRECT(ADDRESS(ROW(L40),MOD(L$1,4)+1)),L$2)),$E40,"")</f>
        <v/>
      </c>
      <c r="M40" s="26" t="str" cm="1">
        <f t="array" aca="1" ref="M40" ca="1">IF(ISNUMBER(SEARCH(INDIRECT(ADDRESS(ROW(M40),MOD(M$1,4)+1)),M$2)),$E40,"")</f>
        <v/>
      </c>
      <c r="N40" s="26" t="str" cm="1">
        <f t="array" aca="1" ref="N40" ca="1">IF(ISNUMBER(SEARCH(INDIRECT(ADDRESS(ROW(N40),MOD(N$1,4)+1)),N$2)),$E40,"")</f>
        <v/>
      </c>
      <c r="O40" s="26" t="str" cm="1">
        <f t="array" aca="1" ref="O40" ca="1">IF(ISNUMBER(SEARCH(INDIRECT(ADDRESS(ROW(O40),MOD(O$1,4)+1)),O$2)),$E40,"")</f>
        <v/>
      </c>
      <c r="P40" s="26" cm="1">
        <f t="array" aca="1" ref="P40" ca="1">IF(ISNUMBER(SEARCH(INDIRECT(ADDRESS(ROW(P40),MOD(P$1,4)+1)),P$2)),$E40,"")</f>
        <v>36</v>
      </c>
      <c r="Q40" s="26" cm="1">
        <f t="array" aca="1" ref="Q40" ca="1">IF(ISNUMBER(SEARCH(INDIRECT(ADDRESS(ROW(Q40),MOD(Q$1,4)+1)),Q$2)),$E40,"")</f>
        <v>36</v>
      </c>
      <c r="R40" s="26" cm="1">
        <f t="array" aca="1" ref="R40" ca="1">IF(ISNUMBER(SEARCH(INDIRECT(ADDRESS(ROW(R40),MOD(R$1,4)+1)),R$2)),$E40,"")</f>
        <v>36</v>
      </c>
      <c r="S40" s="26" t="str" cm="1">
        <f t="array" aca="1" ref="S40" ca="1">IF(ISNUMBER(SEARCH(INDIRECT(ADDRESS(ROW(S40),MOD(S$1,4)+1)),S$2)),$E40,"")</f>
        <v/>
      </c>
      <c r="T40" s="26" t="str" cm="1">
        <f t="array" aca="1" ref="T40" ca="1">IF(ISNUMBER(SEARCH(INDIRECT(ADDRESS(ROW(T40),MOD(T$1,4)+1)),T$2)),$E40,"")</f>
        <v/>
      </c>
      <c r="U40" s="26" t="str" cm="1">
        <f t="array" aca="1" ref="U40" ca="1">IF(ISNUMBER(SEARCH(INDIRECT(ADDRESS(ROW(U40),MOD(U$1,4)+1)),U$2)),$E40,"")</f>
        <v/>
      </c>
      <c r="V40" s="26" t="str" cm="1">
        <f t="array" aca="1" ref="V40" ca="1">IF(ISNUMBER(SEARCH(INDIRECT(ADDRESS(ROW(V40),MOD(V$1,4)+1)),V$2)),$E40,"")</f>
        <v/>
      </c>
      <c r="W40" s="26" t="str" cm="1">
        <f t="array" aca="1" ref="W40" ca="1">IF(ISNUMBER(SEARCH(INDIRECT(ADDRESS(ROW(W40),MOD(W$1,4)+1)),W$2)),$E40,"")</f>
        <v/>
      </c>
      <c r="X40" s="26" t="str" cm="1">
        <f t="array" aca="1" ref="X40" ca="1">IF(ISNUMBER(SEARCH(INDIRECT(ADDRESS(ROW(X40),MOD(X$1,4)+1)),X$2)),$E40,"")</f>
        <v/>
      </c>
      <c r="Y40" s="26" t="str" cm="1">
        <f t="array" aca="1" ref="Y40" ca="1">IF(ISNUMBER(SEARCH(INDIRECT(ADDRESS(ROW(Y40),MOD(Y$1,4)+1)),Y$2)),$E40,"")</f>
        <v/>
      </c>
      <c r="Z40" s="26" t="str" cm="1">
        <f t="array" aca="1" ref="Z40" ca="1">IF(ISNUMBER(SEARCH(INDIRECT(ADDRESS(ROW(Z40),MOD(Z$1,4)+1)),Z$2)),$E40,"")</f>
        <v/>
      </c>
      <c r="AA40" s="26" t="str" cm="1">
        <f t="array" aca="1" ref="AA40" ca="1">IF(ISNUMBER(SEARCH(INDIRECT(ADDRESS(ROW(AA40),MOD(AA$1,4)+1)),AA$2)),$E40,"")</f>
        <v/>
      </c>
      <c r="AB40" s="26" t="str" cm="1">
        <f t="array" aca="1" ref="AB40" ca="1">IF(ISNUMBER(SEARCH(INDIRECT(ADDRESS(ROW(AB40),MOD(AB$1,4)+1)),AB$2)),$E40,"")</f>
        <v/>
      </c>
      <c r="AC40" s="26" t="str" cm="1">
        <f t="array" aca="1" ref="AC40" ca="1">IF(ISNUMBER(SEARCH(INDIRECT(ADDRESS(ROW(AC40),MOD(AC$1,4)+1)),AC$2)),$E40,"")</f>
        <v/>
      </c>
      <c r="AD40" s="26" t="str" cm="1">
        <f t="array" aca="1" ref="AD40" ca="1">IF(ISNUMBER(SEARCH(INDIRECT(ADDRESS(ROW(AD40),MOD(AD$1,4)+1)),AD$2)),$E40,"")</f>
        <v/>
      </c>
      <c r="AE40" s="26" t="str" cm="1">
        <f t="array" aca="1" ref="AE40" ca="1">IF(ISNUMBER(SEARCH(INDIRECT(ADDRESS(ROW(AE40),MOD(AE$1,4)+1)),AE$2)),$E40,"")</f>
        <v/>
      </c>
      <c r="AF40" s="26" t="str" cm="1">
        <f t="array" aca="1" ref="AF40" ca="1">IF(ISNUMBER(SEARCH(INDIRECT(ADDRESS(ROW(AF40),MOD(AF$1,4)+1)),AF$2)),$E40,"")</f>
        <v/>
      </c>
      <c r="AG40" s="26" t="str" cm="1">
        <f t="array" aca="1" ref="AG40" ca="1">IF(ISNUMBER(SEARCH(INDIRECT(ADDRESS(ROW(AG40),MOD(AG$1,4)+1)),AG$2)),$E40,"")</f>
        <v/>
      </c>
      <c r="AH40" s="26" t="str" cm="1">
        <f t="array" aca="1" ref="AH40" ca="1">IF(ISNUMBER(SEARCH(INDIRECT(ADDRESS(ROW(AH40),MOD(AH$1,4)+1)),AH$2)),$E40,"")</f>
        <v/>
      </c>
      <c r="AI40" s="26" t="str" cm="1">
        <f t="array" aca="1" ref="AI40" ca="1">IF(ISNUMBER(SEARCH(INDIRECT(ADDRESS(ROW(AI40),MOD(AI$1,4)+1)),AI$2)),$E40,"")</f>
        <v/>
      </c>
      <c r="AJ40" s="26" t="str" cm="1">
        <f t="array" aca="1" ref="AJ40" ca="1">IF(ISNUMBER(SEARCH(INDIRECT(ADDRESS(ROW(AJ40),MOD(AJ$1,4)+1)),AJ$2)),$E40,"")</f>
        <v/>
      </c>
      <c r="AK40" s="26" t="str" cm="1">
        <f t="array" aca="1" ref="AK40" ca="1">IF(ISNUMBER(SEARCH(INDIRECT(ADDRESS(ROW(AK40),MOD(AK$1,4)+1)),AK$2)),$E40,"")</f>
        <v/>
      </c>
      <c r="AL40" s="26" t="str" cm="1">
        <f t="array" aca="1" ref="AL40" ca="1">IF(ISNUMBER(SEARCH(INDIRECT(ADDRESS(ROW(AL40),MOD(AL$1,4)+1)),AL$2)),$E40,"")</f>
        <v/>
      </c>
      <c r="AM40" s="26" t="str" cm="1">
        <f t="array" aca="1" ref="AM40" ca="1">IF(ISNUMBER(SEARCH(INDIRECT(ADDRESS(ROW(AM40),MOD(AM$1,4)+1)),AM$2)),$E40,"")</f>
        <v/>
      </c>
      <c r="AN40" s="26" t="str" cm="1">
        <f t="array" aca="1" ref="AN40" ca="1">IF(ISNUMBER(SEARCH(INDIRECT(ADDRESS(ROW(AN40),MOD(AN$1,4)+1)),AN$2)),$E40,"")</f>
        <v/>
      </c>
      <c r="AO40" s="26" t="str" cm="1">
        <f t="array" aca="1" ref="AO40" ca="1">IF(ISNUMBER(SEARCH(INDIRECT(ADDRESS(ROW(AO40),MOD(AO$1,4)+1)),AO$2)),$E40,"")</f>
        <v/>
      </c>
      <c r="AP40" s="26" t="str" cm="1">
        <f t="array" aca="1" ref="AP40" ca="1">IF(ISNUMBER(SEARCH(INDIRECT(ADDRESS(ROW(AP40),MOD(AP$1,4)+1)),AP$2)),$E40,"")</f>
        <v/>
      </c>
      <c r="AQ40" s="31" t="str" cm="1">
        <f t="array" aca="1" ref="AQ40" ca="1">IF(ISNUMBER(SEARCH(INDIRECT(ADDRESS(ROW(AQ40),MOD(AQ$1,4)+1)),AQ$2)),$E40,"")</f>
        <v/>
      </c>
      <c r="AT40" t="e">
        <f>IF(VLOOKUP($E40,'Formatted NEW'!$B$2:$F$202,5,FALSE)=VLOOKUP($E40,'Formatted NEW'!$B$2:$F$202,8,FALSE),$E40,"")</f>
        <v>#N/A</v>
      </c>
      <c r="AW40" t="e">
        <f>IF(VLOOKUP($E40,'Formatted NEW'!$B$2:$F$202,5,FALSE)=VLOOKUP($E40,'Formatted NEW'!$B$2:$F$202,11,FALSE),$E40,"")</f>
        <v>#N/A</v>
      </c>
      <c r="AZ40" t="e">
        <f>IF(VLOOKUP($E40,'Formatted NEW'!$B$2:$F$202,5,FALSE)=VLOOKUP($E40,'Formatted NEW'!$B$2:$F$202,14,FALSE),$E40,"")</f>
        <v>#N/A</v>
      </c>
      <c r="BC40" t="str">
        <f>VLOOKUP($E40,'Formatted NEW'!$M$2:$T$202,6,FALSE)</f>
        <v>ORTHO_BOTH</v>
      </c>
      <c r="BD40" s="26" t="e">
        <f>VLOOKUP(VLOOKUP(VLOOKUP($E40,'Formatted NEW'!$M$2:$O$202,2,FALSE),'Formatted NEW'!$D$2:$F$202,7,FALSE),'Formatted NEW'!$D$2:$O$202,12,FALSE)</f>
        <v>#REF!</v>
      </c>
      <c r="BE40" t="e">
        <f>VLOOKUP($BD40,'Formatted NEW'!$M$2:$T$202,5,FALSE)</f>
        <v>#REF!</v>
      </c>
      <c r="BF40" s="26" t="e">
        <f t="shared" si="1"/>
        <v>#REF!</v>
      </c>
      <c r="BH40">
        <f>VLOOKUP($E40,'Formatted NEW'!$M$2:$T$202,4,FALSE)</f>
        <v>0</v>
      </c>
      <c r="BI40" s="26" t="e">
        <f>VLOOKUP(VLOOKUP(VLOOKUP($E40,'Formatted NEW'!$M$2:$O$202,2,FALSE),'Formatted NEW'!$D$2:$F$202,10,FALSE),'Formatted NEW'!$D$2:$O$202,12,FALSE)</f>
        <v>#REF!</v>
      </c>
      <c r="BJ40" t="e">
        <f>VLOOKUP($BI40,'Formatted NEW'!$M$2:$T$202,3,FALSE)</f>
        <v>#REF!</v>
      </c>
      <c r="BK40" s="26" t="e">
        <f t="shared" si="2"/>
        <v>#REF!</v>
      </c>
    </row>
    <row r="41" spans="1:63" x14ac:dyDescent="0.25">
      <c r="A41" t="str">
        <f>'Formatted NEW'!Q39</f>
        <v>EMPTY</v>
      </c>
      <c r="B41" t="str">
        <f>'Formatted NEW'!R39</f>
        <v>ORTHO_BOTH</v>
      </c>
      <c r="C41" t="str">
        <f>'Formatted NEW'!S39</f>
        <v>ORTHO_BOTH</v>
      </c>
      <c r="D41" t="str">
        <f>'Formatted NEW'!T39</f>
        <v>EMPTY</v>
      </c>
      <c r="E41" s="26">
        <f t="shared" si="3"/>
        <v>37</v>
      </c>
      <c r="H41" s="30" t="str" cm="1">
        <f t="array" aca="1" ref="H41" ca="1">IF(ISNUMBER(SEARCH(INDIRECT(ADDRESS(ROW(H41),MOD(H$1,4)+1)),H$2)),$E41,"")</f>
        <v/>
      </c>
      <c r="I41" s="26" t="str" cm="1">
        <f t="array" aca="1" ref="I41" ca="1">IF(ISNUMBER(SEARCH(INDIRECT(ADDRESS(ROW(I41),MOD(I$1,4)+1)),I$2)),$E41,"")</f>
        <v/>
      </c>
      <c r="J41" s="26" t="str" cm="1">
        <f t="array" aca="1" ref="J41" ca="1">IF(ISNUMBER(SEARCH(INDIRECT(ADDRESS(ROW(J41),MOD(J$1,4)+1)),J$2)),$E41,"")</f>
        <v/>
      </c>
      <c r="K41" s="26" t="str" cm="1">
        <f t="array" aca="1" ref="K41" ca="1">IF(ISNUMBER(SEARCH(INDIRECT(ADDRESS(ROW(K41),MOD(K$1,4)+1)),K$2)),$E41,"")</f>
        <v/>
      </c>
      <c r="L41" s="26" t="str" cm="1">
        <f t="array" aca="1" ref="L41" ca="1">IF(ISNUMBER(SEARCH(INDIRECT(ADDRESS(ROW(L41),MOD(L$1,4)+1)),L$2)),$E41,"")</f>
        <v/>
      </c>
      <c r="M41" s="26" t="str" cm="1">
        <f t="array" aca="1" ref="M41" ca="1">IF(ISNUMBER(SEARCH(INDIRECT(ADDRESS(ROW(M41),MOD(M$1,4)+1)),M$2)),$E41,"")</f>
        <v/>
      </c>
      <c r="N41" s="26" t="str" cm="1">
        <f t="array" aca="1" ref="N41" ca="1">IF(ISNUMBER(SEARCH(INDIRECT(ADDRESS(ROW(N41),MOD(N$1,4)+1)),N$2)),$E41,"")</f>
        <v/>
      </c>
      <c r="O41" s="26" t="str" cm="1">
        <f t="array" aca="1" ref="O41" ca="1">IF(ISNUMBER(SEARCH(INDIRECT(ADDRESS(ROW(O41),MOD(O$1,4)+1)),O$2)),$E41,"")</f>
        <v/>
      </c>
      <c r="P41" s="26" t="str" cm="1">
        <f t="array" aca="1" ref="P41" ca="1">IF(ISNUMBER(SEARCH(INDIRECT(ADDRESS(ROW(P41),MOD(P$1,4)+1)),P$2)),$E41,"")</f>
        <v/>
      </c>
      <c r="Q41" s="26" cm="1">
        <f t="array" aca="1" ref="Q41" ca="1">IF(ISNUMBER(SEARCH(INDIRECT(ADDRESS(ROW(Q41),MOD(Q$1,4)+1)),Q$2)),$E41,"")</f>
        <v>37</v>
      </c>
      <c r="R41" s="26" cm="1">
        <f t="array" aca="1" ref="R41" ca="1">IF(ISNUMBER(SEARCH(INDIRECT(ADDRESS(ROW(R41),MOD(R$1,4)+1)),R$2)),$E41,"")</f>
        <v>37</v>
      </c>
      <c r="S41" s="26" t="str" cm="1">
        <f t="array" aca="1" ref="S41" ca="1">IF(ISNUMBER(SEARCH(INDIRECT(ADDRESS(ROW(S41),MOD(S$1,4)+1)),S$2)),$E41,"")</f>
        <v/>
      </c>
      <c r="T41" s="26" t="str" cm="1">
        <f t="array" aca="1" ref="T41" ca="1">IF(ISNUMBER(SEARCH(INDIRECT(ADDRESS(ROW(T41),MOD(T$1,4)+1)),T$2)),$E41,"")</f>
        <v/>
      </c>
      <c r="U41" s="26" t="str" cm="1">
        <f t="array" aca="1" ref="U41" ca="1">IF(ISNUMBER(SEARCH(INDIRECT(ADDRESS(ROW(U41),MOD(U$1,4)+1)),U$2)),$E41,"")</f>
        <v/>
      </c>
      <c r="V41" s="26" t="str" cm="1">
        <f t="array" aca="1" ref="V41" ca="1">IF(ISNUMBER(SEARCH(INDIRECT(ADDRESS(ROW(V41),MOD(V$1,4)+1)),V$2)),$E41,"")</f>
        <v/>
      </c>
      <c r="W41" s="26" t="str" cm="1">
        <f t="array" aca="1" ref="W41" ca="1">IF(ISNUMBER(SEARCH(INDIRECT(ADDRESS(ROW(W41),MOD(W$1,4)+1)),W$2)),$E41,"")</f>
        <v/>
      </c>
      <c r="X41" s="26" t="str" cm="1">
        <f t="array" aca="1" ref="X41" ca="1">IF(ISNUMBER(SEARCH(INDIRECT(ADDRESS(ROW(X41),MOD(X$1,4)+1)),X$2)),$E41,"")</f>
        <v/>
      </c>
      <c r="Y41" s="26" t="str" cm="1">
        <f t="array" aca="1" ref="Y41" ca="1">IF(ISNUMBER(SEARCH(INDIRECT(ADDRESS(ROW(Y41),MOD(Y$1,4)+1)),Y$2)),$E41,"")</f>
        <v/>
      </c>
      <c r="Z41" s="26" t="str" cm="1">
        <f t="array" aca="1" ref="Z41" ca="1">IF(ISNUMBER(SEARCH(INDIRECT(ADDRESS(ROW(Z41),MOD(Z$1,4)+1)),Z$2)),$E41,"")</f>
        <v/>
      </c>
      <c r="AA41" s="26" t="str" cm="1">
        <f t="array" aca="1" ref="AA41" ca="1">IF(ISNUMBER(SEARCH(INDIRECT(ADDRESS(ROW(AA41),MOD(AA$1,4)+1)),AA$2)),$E41,"")</f>
        <v/>
      </c>
      <c r="AB41" s="26" t="str" cm="1">
        <f t="array" aca="1" ref="AB41" ca="1">IF(ISNUMBER(SEARCH(INDIRECT(ADDRESS(ROW(AB41),MOD(AB$1,4)+1)),AB$2)),$E41,"")</f>
        <v/>
      </c>
      <c r="AC41" s="26" t="str" cm="1">
        <f t="array" aca="1" ref="AC41" ca="1">IF(ISNUMBER(SEARCH(INDIRECT(ADDRESS(ROW(AC41),MOD(AC$1,4)+1)),AC$2)),$E41,"")</f>
        <v/>
      </c>
      <c r="AD41" s="26" t="str" cm="1">
        <f t="array" aca="1" ref="AD41" ca="1">IF(ISNUMBER(SEARCH(INDIRECT(ADDRESS(ROW(AD41),MOD(AD$1,4)+1)),AD$2)),$E41,"")</f>
        <v/>
      </c>
      <c r="AE41" s="26" t="str" cm="1">
        <f t="array" aca="1" ref="AE41" ca="1">IF(ISNUMBER(SEARCH(INDIRECT(ADDRESS(ROW(AE41),MOD(AE$1,4)+1)),AE$2)),$E41,"")</f>
        <v/>
      </c>
      <c r="AF41" s="26" t="str" cm="1">
        <f t="array" aca="1" ref="AF41" ca="1">IF(ISNUMBER(SEARCH(INDIRECT(ADDRESS(ROW(AF41),MOD(AF$1,4)+1)),AF$2)),$E41,"")</f>
        <v/>
      </c>
      <c r="AG41" s="26" t="str" cm="1">
        <f t="array" aca="1" ref="AG41" ca="1">IF(ISNUMBER(SEARCH(INDIRECT(ADDRESS(ROW(AG41),MOD(AG$1,4)+1)),AG$2)),$E41,"")</f>
        <v/>
      </c>
      <c r="AH41" s="26" t="str" cm="1">
        <f t="array" aca="1" ref="AH41" ca="1">IF(ISNUMBER(SEARCH(INDIRECT(ADDRESS(ROW(AH41),MOD(AH$1,4)+1)),AH$2)),$E41,"")</f>
        <v/>
      </c>
      <c r="AI41" s="26" t="str" cm="1">
        <f t="array" aca="1" ref="AI41" ca="1">IF(ISNUMBER(SEARCH(INDIRECT(ADDRESS(ROW(AI41),MOD(AI$1,4)+1)),AI$2)),$E41,"")</f>
        <v/>
      </c>
      <c r="AJ41" s="26" t="str" cm="1">
        <f t="array" aca="1" ref="AJ41" ca="1">IF(ISNUMBER(SEARCH(INDIRECT(ADDRESS(ROW(AJ41),MOD(AJ$1,4)+1)),AJ$2)),$E41,"")</f>
        <v/>
      </c>
      <c r="AK41" s="26" t="str" cm="1">
        <f t="array" aca="1" ref="AK41" ca="1">IF(ISNUMBER(SEARCH(INDIRECT(ADDRESS(ROW(AK41),MOD(AK$1,4)+1)),AK$2)),$E41,"")</f>
        <v/>
      </c>
      <c r="AL41" s="26" t="str" cm="1">
        <f t="array" aca="1" ref="AL41" ca="1">IF(ISNUMBER(SEARCH(INDIRECT(ADDRESS(ROW(AL41),MOD(AL$1,4)+1)),AL$2)),$E41,"")</f>
        <v/>
      </c>
      <c r="AM41" s="26" t="str" cm="1">
        <f t="array" aca="1" ref="AM41" ca="1">IF(ISNUMBER(SEARCH(INDIRECT(ADDRESS(ROW(AM41),MOD(AM$1,4)+1)),AM$2)),$E41,"")</f>
        <v/>
      </c>
      <c r="AN41" s="26" t="str" cm="1">
        <f t="array" aca="1" ref="AN41" ca="1">IF(ISNUMBER(SEARCH(INDIRECT(ADDRESS(ROW(AN41),MOD(AN$1,4)+1)),AN$2)),$E41,"")</f>
        <v/>
      </c>
      <c r="AO41" s="26" t="str" cm="1">
        <f t="array" aca="1" ref="AO41" ca="1">IF(ISNUMBER(SEARCH(INDIRECT(ADDRESS(ROW(AO41),MOD(AO$1,4)+1)),AO$2)),$E41,"")</f>
        <v/>
      </c>
      <c r="AP41" s="26" t="str" cm="1">
        <f t="array" aca="1" ref="AP41" ca="1">IF(ISNUMBER(SEARCH(INDIRECT(ADDRESS(ROW(AP41),MOD(AP$1,4)+1)),AP$2)),$E41,"")</f>
        <v/>
      </c>
      <c r="AQ41" s="31" t="str" cm="1">
        <f t="array" aca="1" ref="AQ41" ca="1">IF(ISNUMBER(SEARCH(INDIRECT(ADDRESS(ROW(AQ41),MOD(AQ$1,4)+1)),AQ$2)),$E41,"")</f>
        <v/>
      </c>
      <c r="AT41" t="e">
        <f>IF(VLOOKUP($E41,'Formatted NEW'!$B$2:$F$202,5,FALSE)=VLOOKUP($E41,'Formatted NEW'!$B$2:$F$202,8,FALSE),$E41,"")</f>
        <v>#N/A</v>
      </c>
      <c r="AW41" t="e">
        <f>IF(VLOOKUP($E41,'Formatted NEW'!$B$2:$F$202,5,FALSE)=VLOOKUP($E41,'Formatted NEW'!$B$2:$F$202,11,FALSE),$E41,"")</f>
        <v>#N/A</v>
      </c>
      <c r="AZ41" t="e">
        <f>IF(VLOOKUP($E41,'Formatted NEW'!$B$2:$F$202,5,FALSE)=VLOOKUP($E41,'Formatted NEW'!$B$2:$F$202,14,FALSE),$E41,"")</f>
        <v>#N/A</v>
      </c>
      <c r="BC41" t="str">
        <f>VLOOKUP($E41,'Formatted NEW'!$M$2:$T$202,6,FALSE)</f>
        <v>ORTHO_BOTH</v>
      </c>
      <c r="BD41" s="26" t="e">
        <f>VLOOKUP(VLOOKUP(VLOOKUP($E41,'Formatted NEW'!$M$2:$O$202,2,FALSE),'Formatted NEW'!$D$2:$F$202,7,FALSE),'Formatted NEW'!$D$2:$O$202,12,FALSE)</f>
        <v>#REF!</v>
      </c>
      <c r="BE41" t="e">
        <f>VLOOKUP($BD41,'Formatted NEW'!$M$2:$T$202,5,FALSE)</f>
        <v>#REF!</v>
      </c>
      <c r="BF41" s="26" t="e">
        <f t="shared" si="1"/>
        <v>#REF!</v>
      </c>
      <c r="BH41">
        <f>VLOOKUP($E41,'Formatted NEW'!$M$2:$T$202,4,FALSE)</f>
        <v>0</v>
      </c>
      <c r="BI41" s="26" t="e">
        <f>VLOOKUP(VLOOKUP(VLOOKUP($E41,'Formatted NEW'!$M$2:$O$202,2,FALSE),'Formatted NEW'!$D$2:$F$202,10,FALSE),'Formatted NEW'!$D$2:$O$202,12,FALSE)</f>
        <v>#REF!</v>
      </c>
      <c r="BJ41" t="e">
        <f>VLOOKUP($BI41,'Formatted NEW'!$M$2:$T$202,3,FALSE)</f>
        <v>#REF!</v>
      </c>
      <c r="BK41" s="26" t="e">
        <f t="shared" si="2"/>
        <v>#REF!</v>
      </c>
    </row>
    <row r="42" spans="1:63" x14ac:dyDescent="0.25">
      <c r="A42" t="str">
        <f>'Formatted NEW'!Q40</f>
        <v>EMPTY</v>
      </c>
      <c r="B42" t="str">
        <f>'Formatted NEW'!R40</f>
        <v>EMPTY</v>
      </c>
      <c r="C42" t="str">
        <f>'Formatted NEW'!S40</f>
        <v>EMPTY</v>
      </c>
      <c r="D42" t="str">
        <f>'Formatted NEW'!T40</f>
        <v>ORTHO_BOTH</v>
      </c>
      <c r="E42" s="26">
        <f t="shared" si="3"/>
        <v>38</v>
      </c>
      <c r="H42" s="30" t="str" cm="1">
        <f t="array" aca="1" ref="H42" ca="1">IF(ISNUMBER(SEARCH(INDIRECT(ADDRESS(ROW(H42),MOD(H$1,4)+1)),H$2)),$E42,"")</f>
        <v/>
      </c>
      <c r="I42" s="26" t="str" cm="1">
        <f t="array" aca="1" ref="I42" ca="1">IF(ISNUMBER(SEARCH(INDIRECT(ADDRESS(ROW(I42),MOD(I$1,4)+1)),I$2)),$E42,"")</f>
        <v/>
      </c>
      <c r="J42" s="26" t="str" cm="1">
        <f t="array" aca="1" ref="J42" ca="1">IF(ISNUMBER(SEARCH(INDIRECT(ADDRESS(ROW(J42),MOD(J$1,4)+1)),J$2)),$E42,"")</f>
        <v/>
      </c>
      <c r="K42" s="26" t="str" cm="1">
        <f t="array" aca="1" ref="K42" ca="1">IF(ISNUMBER(SEARCH(INDIRECT(ADDRESS(ROW(K42),MOD(K$1,4)+1)),K$2)),$E42,"")</f>
        <v/>
      </c>
      <c r="L42" s="26" t="str" cm="1">
        <f t="array" aca="1" ref="L42" ca="1">IF(ISNUMBER(SEARCH(INDIRECT(ADDRESS(ROW(L42),MOD(L$1,4)+1)),L$2)),$E42,"")</f>
        <v/>
      </c>
      <c r="M42" s="26" t="str" cm="1">
        <f t="array" aca="1" ref="M42" ca="1">IF(ISNUMBER(SEARCH(INDIRECT(ADDRESS(ROW(M42),MOD(M$1,4)+1)),M$2)),$E42,"")</f>
        <v/>
      </c>
      <c r="N42" s="26" t="str" cm="1">
        <f t="array" aca="1" ref="N42" ca="1">IF(ISNUMBER(SEARCH(INDIRECT(ADDRESS(ROW(N42),MOD(N$1,4)+1)),N$2)),$E42,"")</f>
        <v/>
      </c>
      <c r="O42" s="26" t="str" cm="1">
        <f t="array" aca="1" ref="O42" ca="1">IF(ISNUMBER(SEARCH(INDIRECT(ADDRESS(ROW(O42),MOD(O$1,4)+1)),O$2)),$E42,"")</f>
        <v/>
      </c>
      <c r="P42" s="26" t="str" cm="1">
        <f t="array" aca="1" ref="P42" ca="1">IF(ISNUMBER(SEARCH(INDIRECT(ADDRESS(ROW(P42),MOD(P$1,4)+1)),P$2)),$E42,"")</f>
        <v/>
      </c>
      <c r="Q42" s="26" t="str" cm="1">
        <f t="array" aca="1" ref="Q42" ca="1">IF(ISNUMBER(SEARCH(INDIRECT(ADDRESS(ROW(Q42),MOD(Q$1,4)+1)),Q$2)),$E42,"")</f>
        <v/>
      </c>
      <c r="R42" s="26" t="str" cm="1">
        <f t="array" aca="1" ref="R42" ca="1">IF(ISNUMBER(SEARCH(INDIRECT(ADDRESS(ROW(R42),MOD(R$1,4)+1)),R$2)),$E42,"")</f>
        <v/>
      </c>
      <c r="S42" s="26" cm="1">
        <f t="array" aca="1" ref="S42" ca="1">IF(ISNUMBER(SEARCH(INDIRECT(ADDRESS(ROW(S42),MOD(S$1,4)+1)),S$2)),$E42,"")</f>
        <v>38</v>
      </c>
      <c r="T42" s="26" t="str" cm="1">
        <f t="array" aca="1" ref="T42" ca="1">IF(ISNUMBER(SEARCH(INDIRECT(ADDRESS(ROW(T42),MOD(T$1,4)+1)),T$2)),$E42,"")</f>
        <v/>
      </c>
      <c r="U42" s="26" t="str" cm="1">
        <f t="array" aca="1" ref="U42" ca="1">IF(ISNUMBER(SEARCH(INDIRECT(ADDRESS(ROW(U42),MOD(U$1,4)+1)),U$2)),$E42,"")</f>
        <v/>
      </c>
      <c r="V42" s="26" t="str" cm="1">
        <f t="array" aca="1" ref="V42" ca="1">IF(ISNUMBER(SEARCH(INDIRECT(ADDRESS(ROW(V42),MOD(V$1,4)+1)),V$2)),$E42,"")</f>
        <v/>
      </c>
      <c r="W42" s="26" t="str" cm="1">
        <f t="array" aca="1" ref="W42" ca="1">IF(ISNUMBER(SEARCH(INDIRECT(ADDRESS(ROW(W42),MOD(W$1,4)+1)),W$2)),$E42,"")</f>
        <v/>
      </c>
      <c r="X42" s="26" t="str" cm="1">
        <f t="array" aca="1" ref="X42" ca="1">IF(ISNUMBER(SEARCH(INDIRECT(ADDRESS(ROW(X42),MOD(X$1,4)+1)),X$2)),$E42,"")</f>
        <v/>
      </c>
      <c r="Y42" s="26" t="str" cm="1">
        <f t="array" aca="1" ref="Y42" ca="1">IF(ISNUMBER(SEARCH(INDIRECT(ADDRESS(ROW(Y42),MOD(Y$1,4)+1)),Y$2)),$E42,"")</f>
        <v/>
      </c>
      <c r="Z42" s="26" t="str" cm="1">
        <f t="array" aca="1" ref="Z42" ca="1">IF(ISNUMBER(SEARCH(INDIRECT(ADDRESS(ROW(Z42),MOD(Z$1,4)+1)),Z$2)),$E42,"")</f>
        <v/>
      </c>
      <c r="AA42" s="26" t="str" cm="1">
        <f t="array" aca="1" ref="AA42" ca="1">IF(ISNUMBER(SEARCH(INDIRECT(ADDRESS(ROW(AA42),MOD(AA$1,4)+1)),AA$2)),$E42,"")</f>
        <v/>
      </c>
      <c r="AB42" s="26" t="str" cm="1">
        <f t="array" aca="1" ref="AB42" ca="1">IF(ISNUMBER(SEARCH(INDIRECT(ADDRESS(ROW(AB42),MOD(AB$1,4)+1)),AB$2)),$E42,"")</f>
        <v/>
      </c>
      <c r="AC42" s="26" t="str" cm="1">
        <f t="array" aca="1" ref="AC42" ca="1">IF(ISNUMBER(SEARCH(INDIRECT(ADDRESS(ROW(AC42),MOD(AC$1,4)+1)),AC$2)),$E42,"")</f>
        <v/>
      </c>
      <c r="AD42" s="26" t="str" cm="1">
        <f t="array" aca="1" ref="AD42" ca="1">IF(ISNUMBER(SEARCH(INDIRECT(ADDRESS(ROW(AD42),MOD(AD$1,4)+1)),AD$2)),$E42,"")</f>
        <v/>
      </c>
      <c r="AE42" s="26" t="str" cm="1">
        <f t="array" aca="1" ref="AE42" ca="1">IF(ISNUMBER(SEARCH(INDIRECT(ADDRESS(ROW(AE42),MOD(AE$1,4)+1)),AE$2)),$E42,"")</f>
        <v/>
      </c>
      <c r="AF42" s="26" t="str" cm="1">
        <f t="array" aca="1" ref="AF42" ca="1">IF(ISNUMBER(SEARCH(INDIRECT(ADDRESS(ROW(AF42),MOD(AF$1,4)+1)),AF$2)),$E42,"")</f>
        <v/>
      </c>
      <c r="AG42" s="26" t="str" cm="1">
        <f t="array" aca="1" ref="AG42" ca="1">IF(ISNUMBER(SEARCH(INDIRECT(ADDRESS(ROW(AG42),MOD(AG$1,4)+1)),AG$2)),$E42,"")</f>
        <v/>
      </c>
      <c r="AH42" s="26" t="str" cm="1">
        <f t="array" aca="1" ref="AH42" ca="1">IF(ISNUMBER(SEARCH(INDIRECT(ADDRESS(ROW(AH42),MOD(AH$1,4)+1)),AH$2)),$E42,"")</f>
        <v/>
      </c>
      <c r="AI42" s="26" t="str" cm="1">
        <f t="array" aca="1" ref="AI42" ca="1">IF(ISNUMBER(SEARCH(INDIRECT(ADDRESS(ROW(AI42),MOD(AI$1,4)+1)),AI$2)),$E42,"")</f>
        <v/>
      </c>
      <c r="AJ42" s="26" t="str" cm="1">
        <f t="array" aca="1" ref="AJ42" ca="1">IF(ISNUMBER(SEARCH(INDIRECT(ADDRESS(ROW(AJ42),MOD(AJ$1,4)+1)),AJ$2)),$E42,"")</f>
        <v/>
      </c>
      <c r="AK42" s="26" t="str" cm="1">
        <f t="array" aca="1" ref="AK42" ca="1">IF(ISNUMBER(SEARCH(INDIRECT(ADDRESS(ROW(AK42),MOD(AK$1,4)+1)),AK$2)),$E42,"")</f>
        <v/>
      </c>
      <c r="AL42" s="26" t="str" cm="1">
        <f t="array" aca="1" ref="AL42" ca="1">IF(ISNUMBER(SEARCH(INDIRECT(ADDRESS(ROW(AL42),MOD(AL$1,4)+1)),AL$2)),$E42,"")</f>
        <v/>
      </c>
      <c r="AM42" s="26" t="str" cm="1">
        <f t="array" aca="1" ref="AM42" ca="1">IF(ISNUMBER(SEARCH(INDIRECT(ADDRESS(ROW(AM42),MOD(AM$1,4)+1)),AM$2)),$E42,"")</f>
        <v/>
      </c>
      <c r="AN42" s="26" t="str" cm="1">
        <f t="array" aca="1" ref="AN42" ca="1">IF(ISNUMBER(SEARCH(INDIRECT(ADDRESS(ROW(AN42),MOD(AN$1,4)+1)),AN$2)),$E42,"")</f>
        <v/>
      </c>
      <c r="AO42" s="26" t="str" cm="1">
        <f t="array" aca="1" ref="AO42" ca="1">IF(ISNUMBER(SEARCH(INDIRECT(ADDRESS(ROW(AO42),MOD(AO$1,4)+1)),AO$2)),$E42,"")</f>
        <v/>
      </c>
      <c r="AP42" s="26" t="str" cm="1">
        <f t="array" aca="1" ref="AP42" ca="1">IF(ISNUMBER(SEARCH(INDIRECT(ADDRESS(ROW(AP42),MOD(AP$1,4)+1)),AP$2)),$E42,"")</f>
        <v/>
      </c>
      <c r="AQ42" s="31" t="str" cm="1">
        <f t="array" aca="1" ref="AQ42" ca="1">IF(ISNUMBER(SEARCH(INDIRECT(ADDRESS(ROW(AQ42),MOD(AQ$1,4)+1)),AQ$2)),$E42,"")</f>
        <v/>
      </c>
      <c r="AT42" t="e">
        <f>IF(VLOOKUP($E42,'Formatted NEW'!$B$2:$F$202,5,FALSE)=VLOOKUP($E42,'Formatted NEW'!$B$2:$F$202,8,FALSE),$E42,"")</f>
        <v>#N/A</v>
      </c>
      <c r="AW42" t="e">
        <f>IF(VLOOKUP($E42,'Formatted NEW'!$B$2:$F$202,5,FALSE)=VLOOKUP($E42,'Formatted NEW'!$B$2:$F$202,11,FALSE),$E42,"")</f>
        <v>#N/A</v>
      </c>
      <c r="AZ42" t="e">
        <f>IF(VLOOKUP($E42,'Formatted NEW'!$B$2:$F$202,5,FALSE)=VLOOKUP($E42,'Formatted NEW'!$B$2:$F$202,14,FALSE),$E42,"")</f>
        <v>#N/A</v>
      </c>
      <c r="BC42" t="str">
        <f>VLOOKUP($E42,'Formatted NEW'!$M$2:$T$202,6,FALSE)</f>
        <v>EMPTY</v>
      </c>
      <c r="BD42" s="26" t="e">
        <f>VLOOKUP(VLOOKUP(VLOOKUP($E42,'Formatted NEW'!$M$2:$O$202,2,FALSE),'Formatted NEW'!$D$2:$F$202,7,FALSE),'Formatted NEW'!$D$2:$O$202,12,FALSE)</f>
        <v>#REF!</v>
      </c>
      <c r="BE42" t="e">
        <f>VLOOKUP($BD42,'Formatted NEW'!$M$2:$T$202,5,FALSE)</f>
        <v>#REF!</v>
      </c>
      <c r="BF42" s="26" t="e">
        <f t="shared" si="1"/>
        <v>#REF!</v>
      </c>
      <c r="BH42">
        <f>VLOOKUP($E42,'Formatted NEW'!$M$2:$T$202,4,FALSE)</f>
        <v>0</v>
      </c>
      <c r="BI42" s="26" t="e">
        <f>VLOOKUP(VLOOKUP(VLOOKUP($E42,'Formatted NEW'!$M$2:$O$202,2,FALSE),'Formatted NEW'!$D$2:$F$202,10,FALSE),'Formatted NEW'!$D$2:$O$202,12,FALSE)</f>
        <v>#REF!</v>
      </c>
      <c r="BJ42" t="e">
        <f>VLOOKUP($BI42,'Formatted NEW'!$M$2:$T$202,3,FALSE)</f>
        <v>#REF!</v>
      </c>
      <c r="BK42" s="26" t="e">
        <f t="shared" si="2"/>
        <v>#REF!</v>
      </c>
    </row>
    <row r="43" spans="1:63" x14ac:dyDescent="0.25">
      <c r="A43" t="str">
        <f>'Formatted NEW'!Q41</f>
        <v>ORTHO_BOTH</v>
      </c>
      <c r="B43" t="str">
        <f>'Formatted NEW'!R41</f>
        <v>ORTHO_BOTH</v>
      </c>
      <c r="C43" t="str">
        <f>'Formatted NEW'!S41</f>
        <v>EMPTY</v>
      </c>
      <c r="D43" t="str">
        <f>'Formatted NEW'!T41</f>
        <v>DIAG_BOTH</v>
      </c>
      <c r="E43" s="26">
        <f t="shared" si="3"/>
        <v>39</v>
      </c>
      <c r="H43" s="30" t="str" cm="1">
        <f t="array" aca="1" ref="H43" ca="1">IF(ISNUMBER(SEARCH(INDIRECT(ADDRESS(ROW(H43),MOD(H$1,4)+1)),H$2)),$E43,"")</f>
        <v/>
      </c>
      <c r="I43" s="26" t="str" cm="1">
        <f t="array" aca="1" ref="I43" ca="1">IF(ISNUMBER(SEARCH(INDIRECT(ADDRESS(ROW(I43),MOD(I$1,4)+1)),I$2)),$E43,"")</f>
        <v/>
      </c>
      <c r="J43" s="26" t="str" cm="1">
        <f t="array" aca="1" ref="J43" ca="1">IF(ISNUMBER(SEARCH(INDIRECT(ADDRESS(ROW(J43),MOD(J$1,4)+1)),J$2)),$E43,"")</f>
        <v/>
      </c>
      <c r="K43" s="26" t="str" cm="1">
        <f t="array" aca="1" ref="K43" ca="1">IF(ISNUMBER(SEARCH(INDIRECT(ADDRESS(ROW(K43),MOD(K$1,4)+1)),K$2)),$E43,"")</f>
        <v/>
      </c>
      <c r="L43" s="26" t="str" cm="1">
        <f t="array" aca="1" ref="L43" ca="1">IF(ISNUMBER(SEARCH(INDIRECT(ADDRESS(ROW(L43),MOD(L$1,4)+1)),L$2)),$E43,"")</f>
        <v/>
      </c>
      <c r="M43" s="26" t="str" cm="1">
        <f t="array" aca="1" ref="M43" ca="1">IF(ISNUMBER(SEARCH(INDIRECT(ADDRESS(ROW(M43),MOD(M$1,4)+1)),M$2)),$E43,"")</f>
        <v/>
      </c>
      <c r="N43" s="26" t="str" cm="1">
        <f t="array" aca="1" ref="N43" ca="1">IF(ISNUMBER(SEARCH(INDIRECT(ADDRESS(ROW(N43),MOD(N$1,4)+1)),N$2)),$E43,"")</f>
        <v/>
      </c>
      <c r="O43" s="26" cm="1">
        <f t="array" aca="1" ref="O43" ca="1">IF(ISNUMBER(SEARCH(INDIRECT(ADDRESS(ROW(O43),MOD(O$1,4)+1)),O$2)),$E43,"")</f>
        <v>39</v>
      </c>
      <c r="P43" s="26" cm="1">
        <f t="array" aca="1" ref="P43" ca="1">IF(ISNUMBER(SEARCH(INDIRECT(ADDRESS(ROW(P43),MOD(P$1,4)+1)),P$2)),$E43,"")</f>
        <v>39</v>
      </c>
      <c r="Q43" s="26" cm="1">
        <f t="array" aca="1" ref="Q43" ca="1">IF(ISNUMBER(SEARCH(INDIRECT(ADDRESS(ROW(Q43),MOD(Q$1,4)+1)),Q$2)),$E43,"")</f>
        <v>39</v>
      </c>
      <c r="R43" s="26" t="str" cm="1">
        <f t="array" aca="1" ref="R43" ca="1">IF(ISNUMBER(SEARCH(INDIRECT(ADDRESS(ROW(R43),MOD(R$1,4)+1)),R$2)),$E43,"")</f>
        <v/>
      </c>
      <c r="S43" s="26" t="str" cm="1">
        <f t="array" aca="1" ref="S43" ca="1">IF(ISNUMBER(SEARCH(INDIRECT(ADDRESS(ROW(S43),MOD(S$1,4)+1)),S$2)),$E43,"")</f>
        <v/>
      </c>
      <c r="T43" s="26" t="str" cm="1">
        <f t="array" aca="1" ref="T43" ca="1">IF(ISNUMBER(SEARCH(INDIRECT(ADDRESS(ROW(T43),MOD(T$1,4)+1)),T$2)),$E43,"")</f>
        <v/>
      </c>
      <c r="U43" s="26" t="str" cm="1">
        <f t="array" aca="1" ref="U43" ca="1">IF(ISNUMBER(SEARCH(INDIRECT(ADDRESS(ROW(U43),MOD(U$1,4)+1)),U$2)),$E43,"")</f>
        <v/>
      </c>
      <c r="V43" s="26" t="str" cm="1">
        <f t="array" aca="1" ref="V43" ca="1">IF(ISNUMBER(SEARCH(INDIRECT(ADDRESS(ROW(V43),MOD(V$1,4)+1)),V$2)),$E43,"")</f>
        <v/>
      </c>
      <c r="W43" s="26" t="str" cm="1">
        <f t="array" aca="1" ref="W43" ca="1">IF(ISNUMBER(SEARCH(INDIRECT(ADDRESS(ROW(W43),MOD(W$1,4)+1)),W$2)),$E43,"")</f>
        <v/>
      </c>
      <c r="X43" s="26" t="str" cm="1">
        <f t="array" aca="1" ref="X43" ca="1">IF(ISNUMBER(SEARCH(INDIRECT(ADDRESS(ROW(X43),MOD(X$1,4)+1)),X$2)),$E43,"")</f>
        <v/>
      </c>
      <c r="Y43" s="26" t="str" cm="1">
        <f t="array" aca="1" ref="Y43" ca="1">IF(ISNUMBER(SEARCH(INDIRECT(ADDRESS(ROW(Y43),MOD(Y$1,4)+1)),Y$2)),$E43,"")</f>
        <v/>
      </c>
      <c r="Z43" s="26" t="str" cm="1">
        <f t="array" aca="1" ref="Z43" ca="1">IF(ISNUMBER(SEARCH(INDIRECT(ADDRESS(ROW(Z43),MOD(Z$1,4)+1)),Z$2)),$E43,"")</f>
        <v/>
      </c>
      <c r="AA43" s="26" t="str" cm="1">
        <f t="array" aca="1" ref="AA43" ca="1">IF(ISNUMBER(SEARCH(INDIRECT(ADDRESS(ROW(AA43),MOD(AA$1,4)+1)),AA$2)),$E43,"")</f>
        <v/>
      </c>
      <c r="AB43" s="26" t="str" cm="1">
        <f t="array" aca="1" ref="AB43" ca="1">IF(ISNUMBER(SEARCH(INDIRECT(ADDRESS(ROW(AB43),MOD(AB$1,4)+1)),AB$2)),$E43,"")</f>
        <v/>
      </c>
      <c r="AC43" s="26" t="str" cm="1">
        <f t="array" aca="1" ref="AC43" ca="1">IF(ISNUMBER(SEARCH(INDIRECT(ADDRESS(ROW(AC43),MOD(AC$1,4)+1)),AC$2)),$E43,"")</f>
        <v/>
      </c>
      <c r="AD43" s="26" t="str" cm="1">
        <f t="array" aca="1" ref="AD43" ca="1">IF(ISNUMBER(SEARCH(INDIRECT(ADDRESS(ROW(AD43),MOD(AD$1,4)+1)),AD$2)),$E43,"")</f>
        <v/>
      </c>
      <c r="AE43" s="26" t="str" cm="1">
        <f t="array" aca="1" ref="AE43" ca="1">IF(ISNUMBER(SEARCH(INDIRECT(ADDRESS(ROW(AE43),MOD(AE$1,4)+1)),AE$2)),$E43,"")</f>
        <v/>
      </c>
      <c r="AF43" s="26" t="str" cm="1">
        <f t="array" aca="1" ref="AF43" ca="1">IF(ISNUMBER(SEARCH(INDIRECT(ADDRESS(ROW(AF43),MOD(AF$1,4)+1)),AF$2)),$E43,"")</f>
        <v/>
      </c>
      <c r="AG43" s="26" t="str" cm="1">
        <f t="array" aca="1" ref="AG43" ca="1">IF(ISNUMBER(SEARCH(INDIRECT(ADDRESS(ROW(AG43),MOD(AG$1,4)+1)),AG$2)),$E43,"")</f>
        <v/>
      </c>
      <c r="AH43" s="26" t="str" cm="1">
        <f t="array" aca="1" ref="AH43" ca="1">IF(ISNUMBER(SEARCH(INDIRECT(ADDRESS(ROW(AH43),MOD(AH$1,4)+1)),AH$2)),$E43,"")</f>
        <v/>
      </c>
      <c r="AI43" s="26" t="str" cm="1">
        <f t="array" aca="1" ref="AI43" ca="1">IF(ISNUMBER(SEARCH(INDIRECT(ADDRESS(ROW(AI43),MOD(AI$1,4)+1)),AI$2)),$E43,"")</f>
        <v/>
      </c>
      <c r="AJ43" s="26" t="str" cm="1">
        <f t="array" aca="1" ref="AJ43" ca="1">IF(ISNUMBER(SEARCH(INDIRECT(ADDRESS(ROW(AJ43),MOD(AJ$1,4)+1)),AJ$2)),$E43,"")</f>
        <v/>
      </c>
      <c r="AK43" s="26" t="str" cm="1">
        <f t="array" aca="1" ref="AK43" ca="1">IF(ISNUMBER(SEARCH(INDIRECT(ADDRESS(ROW(AK43),MOD(AK$1,4)+1)),AK$2)),$E43,"")</f>
        <v/>
      </c>
      <c r="AL43" s="26" t="str" cm="1">
        <f t="array" aca="1" ref="AL43" ca="1">IF(ISNUMBER(SEARCH(INDIRECT(ADDRESS(ROW(AL43),MOD(AL$1,4)+1)),AL$2)),$E43,"")</f>
        <v/>
      </c>
      <c r="AM43" s="26" t="str" cm="1">
        <f t="array" aca="1" ref="AM43" ca="1">IF(ISNUMBER(SEARCH(INDIRECT(ADDRESS(ROW(AM43),MOD(AM$1,4)+1)),AM$2)),$E43,"")</f>
        <v/>
      </c>
      <c r="AN43" s="26" t="str" cm="1">
        <f t="array" aca="1" ref="AN43" ca="1">IF(ISNUMBER(SEARCH(INDIRECT(ADDRESS(ROW(AN43),MOD(AN$1,4)+1)),AN$2)),$E43,"")</f>
        <v/>
      </c>
      <c r="AO43" s="26" t="str" cm="1">
        <f t="array" aca="1" ref="AO43" ca="1">IF(ISNUMBER(SEARCH(INDIRECT(ADDRESS(ROW(AO43),MOD(AO$1,4)+1)),AO$2)),$E43,"")</f>
        <v/>
      </c>
      <c r="AP43" s="26" t="str" cm="1">
        <f t="array" aca="1" ref="AP43" ca="1">IF(ISNUMBER(SEARCH(INDIRECT(ADDRESS(ROW(AP43),MOD(AP$1,4)+1)),AP$2)),$E43,"")</f>
        <v/>
      </c>
      <c r="AQ43" s="31" t="str" cm="1">
        <f t="array" aca="1" ref="AQ43" ca="1">IF(ISNUMBER(SEARCH(INDIRECT(ADDRESS(ROW(AQ43),MOD(AQ$1,4)+1)),AQ$2)),$E43,"")</f>
        <v/>
      </c>
      <c r="AT43" t="e">
        <f>IF(VLOOKUP($E43,'Formatted NEW'!$B$2:$F$202,5,FALSE)=VLOOKUP($E43,'Formatted NEW'!$B$2:$F$202,8,FALSE),$E43,"")</f>
        <v>#N/A</v>
      </c>
      <c r="AW43" t="e">
        <f>IF(VLOOKUP($E43,'Formatted NEW'!$B$2:$F$202,5,FALSE)=VLOOKUP($E43,'Formatted NEW'!$B$2:$F$202,11,FALSE),$E43,"")</f>
        <v>#N/A</v>
      </c>
      <c r="AZ43" t="e">
        <f>IF(VLOOKUP($E43,'Formatted NEW'!$B$2:$F$202,5,FALSE)=VLOOKUP($E43,'Formatted NEW'!$B$2:$F$202,14,FALSE),$E43,"")</f>
        <v>#N/A</v>
      </c>
      <c r="BC43" t="str">
        <f>VLOOKUP($E43,'Formatted NEW'!$M$2:$T$202,6,FALSE)</f>
        <v>ORTHO_BOTH</v>
      </c>
      <c r="BD43" s="26" t="e">
        <f>VLOOKUP(VLOOKUP(VLOOKUP($E43,'Formatted NEW'!$M$2:$O$202,2,FALSE),'Formatted NEW'!$D$2:$F$202,7,FALSE),'Formatted NEW'!$D$2:$O$202,12,FALSE)</f>
        <v>#REF!</v>
      </c>
      <c r="BE43" t="e">
        <f>VLOOKUP($BD43,'Formatted NEW'!$M$2:$T$202,5,FALSE)</f>
        <v>#REF!</v>
      </c>
      <c r="BF43" s="26" t="e">
        <f t="shared" si="1"/>
        <v>#REF!</v>
      </c>
      <c r="BH43">
        <f>VLOOKUP($E43,'Formatted NEW'!$M$2:$T$202,4,FALSE)</f>
        <v>0</v>
      </c>
      <c r="BI43" s="26" t="e">
        <f>VLOOKUP(VLOOKUP(VLOOKUP($E43,'Formatted NEW'!$M$2:$O$202,2,FALSE),'Formatted NEW'!$D$2:$F$202,10,FALSE),'Formatted NEW'!$D$2:$O$202,12,FALSE)</f>
        <v>#REF!</v>
      </c>
      <c r="BJ43" t="e">
        <f>VLOOKUP($BI43,'Formatted NEW'!$M$2:$T$202,3,FALSE)</f>
        <v>#REF!</v>
      </c>
      <c r="BK43" s="26" t="e">
        <f t="shared" si="2"/>
        <v>#REF!</v>
      </c>
    </row>
    <row r="44" spans="1:63" x14ac:dyDescent="0.25">
      <c r="A44" t="str">
        <f>'Formatted NEW'!Q42</f>
        <v>ORTHO_BOTH</v>
      </c>
      <c r="B44" t="str">
        <f>'Formatted NEW'!R42</f>
        <v>ORTHO_BOTH</v>
      </c>
      <c r="C44" t="str">
        <f>'Formatted NEW'!S42</f>
        <v>DIAG_BOTH</v>
      </c>
      <c r="D44" t="str">
        <f>'Formatted NEW'!T42</f>
        <v>EMPTY</v>
      </c>
      <c r="E44" s="26">
        <f t="shared" si="3"/>
        <v>40</v>
      </c>
      <c r="H44" s="30" t="str" cm="1">
        <f t="array" aca="1" ref="H44" ca="1">IF(ISNUMBER(SEARCH(INDIRECT(ADDRESS(ROW(H44),MOD(H$1,4)+1)),H$2)),$E44,"")</f>
        <v/>
      </c>
      <c r="I44" s="26" t="str" cm="1">
        <f t="array" aca="1" ref="I44" ca="1">IF(ISNUMBER(SEARCH(INDIRECT(ADDRESS(ROW(I44),MOD(I$1,4)+1)),I$2)),$E44,"")</f>
        <v/>
      </c>
      <c r="J44" s="26" t="str" cm="1">
        <f t="array" aca="1" ref="J44" ca="1">IF(ISNUMBER(SEARCH(INDIRECT(ADDRESS(ROW(J44),MOD(J$1,4)+1)),J$2)),$E44,"")</f>
        <v/>
      </c>
      <c r="K44" s="26" t="str" cm="1">
        <f t="array" aca="1" ref="K44" ca="1">IF(ISNUMBER(SEARCH(INDIRECT(ADDRESS(ROW(K44),MOD(K$1,4)+1)),K$2)),$E44,"")</f>
        <v/>
      </c>
      <c r="L44" s="26" t="str" cm="1">
        <f t="array" aca="1" ref="L44" ca="1">IF(ISNUMBER(SEARCH(INDIRECT(ADDRESS(ROW(L44),MOD(L$1,4)+1)),L$2)),$E44,"")</f>
        <v/>
      </c>
      <c r="M44" s="26" t="str" cm="1">
        <f t="array" aca="1" ref="M44" ca="1">IF(ISNUMBER(SEARCH(INDIRECT(ADDRESS(ROW(M44),MOD(M$1,4)+1)),M$2)),$E44,"")</f>
        <v/>
      </c>
      <c r="N44" s="26" cm="1">
        <f t="array" aca="1" ref="N44" ca="1">IF(ISNUMBER(SEARCH(INDIRECT(ADDRESS(ROW(N44),MOD(N$1,4)+1)),N$2)),$E44,"")</f>
        <v>40</v>
      </c>
      <c r="O44" s="26" t="str" cm="1">
        <f t="array" aca="1" ref="O44" ca="1">IF(ISNUMBER(SEARCH(INDIRECT(ADDRESS(ROW(O44),MOD(O$1,4)+1)),O$2)),$E44,"")</f>
        <v/>
      </c>
      <c r="P44" s="26" cm="1">
        <f t="array" aca="1" ref="P44" ca="1">IF(ISNUMBER(SEARCH(INDIRECT(ADDRESS(ROW(P44),MOD(P$1,4)+1)),P$2)),$E44,"")</f>
        <v>40</v>
      </c>
      <c r="Q44" s="26" cm="1">
        <f t="array" aca="1" ref="Q44" ca="1">IF(ISNUMBER(SEARCH(INDIRECT(ADDRESS(ROW(Q44),MOD(Q$1,4)+1)),Q$2)),$E44,"")</f>
        <v>40</v>
      </c>
      <c r="R44" s="26" t="str" cm="1">
        <f t="array" aca="1" ref="R44" ca="1">IF(ISNUMBER(SEARCH(INDIRECT(ADDRESS(ROW(R44),MOD(R$1,4)+1)),R$2)),$E44,"")</f>
        <v/>
      </c>
      <c r="S44" s="26" t="str" cm="1">
        <f t="array" aca="1" ref="S44" ca="1">IF(ISNUMBER(SEARCH(INDIRECT(ADDRESS(ROW(S44),MOD(S$1,4)+1)),S$2)),$E44,"")</f>
        <v/>
      </c>
      <c r="T44" s="26" t="str" cm="1">
        <f t="array" aca="1" ref="T44" ca="1">IF(ISNUMBER(SEARCH(INDIRECT(ADDRESS(ROW(T44),MOD(T$1,4)+1)),T$2)),$E44,"")</f>
        <v/>
      </c>
      <c r="U44" s="26" t="str" cm="1">
        <f t="array" aca="1" ref="U44" ca="1">IF(ISNUMBER(SEARCH(INDIRECT(ADDRESS(ROW(U44),MOD(U$1,4)+1)),U$2)),$E44,"")</f>
        <v/>
      </c>
      <c r="V44" s="26" t="str" cm="1">
        <f t="array" aca="1" ref="V44" ca="1">IF(ISNUMBER(SEARCH(INDIRECT(ADDRESS(ROW(V44),MOD(V$1,4)+1)),V$2)),$E44,"")</f>
        <v/>
      </c>
      <c r="W44" s="26" t="str" cm="1">
        <f t="array" aca="1" ref="W44" ca="1">IF(ISNUMBER(SEARCH(INDIRECT(ADDRESS(ROW(W44),MOD(W$1,4)+1)),W$2)),$E44,"")</f>
        <v/>
      </c>
      <c r="X44" s="26" t="str" cm="1">
        <f t="array" aca="1" ref="X44" ca="1">IF(ISNUMBER(SEARCH(INDIRECT(ADDRESS(ROW(X44),MOD(X$1,4)+1)),X$2)),$E44,"")</f>
        <v/>
      </c>
      <c r="Y44" s="26" t="str" cm="1">
        <f t="array" aca="1" ref="Y44" ca="1">IF(ISNUMBER(SEARCH(INDIRECT(ADDRESS(ROW(Y44),MOD(Y$1,4)+1)),Y$2)),$E44,"")</f>
        <v/>
      </c>
      <c r="Z44" s="26" t="str" cm="1">
        <f t="array" aca="1" ref="Z44" ca="1">IF(ISNUMBER(SEARCH(INDIRECT(ADDRESS(ROW(Z44),MOD(Z$1,4)+1)),Z$2)),$E44,"")</f>
        <v/>
      </c>
      <c r="AA44" s="26" t="str" cm="1">
        <f t="array" aca="1" ref="AA44" ca="1">IF(ISNUMBER(SEARCH(INDIRECT(ADDRESS(ROW(AA44),MOD(AA$1,4)+1)),AA$2)),$E44,"")</f>
        <v/>
      </c>
      <c r="AB44" s="26" t="str" cm="1">
        <f t="array" aca="1" ref="AB44" ca="1">IF(ISNUMBER(SEARCH(INDIRECT(ADDRESS(ROW(AB44),MOD(AB$1,4)+1)),AB$2)),$E44,"")</f>
        <v/>
      </c>
      <c r="AC44" s="26" t="str" cm="1">
        <f t="array" aca="1" ref="AC44" ca="1">IF(ISNUMBER(SEARCH(INDIRECT(ADDRESS(ROW(AC44),MOD(AC$1,4)+1)),AC$2)),$E44,"")</f>
        <v/>
      </c>
      <c r="AD44" s="26" t="str" cm="1">
        <f t="array" aca="1" ref="AD44" ca="1">IF(ISNUMBER(SEARCH(INDIRECT(ADDRESS(ROW(AD44),MOD(AD$1,4)+1)),AD$2)),$E44,"")</f>
        <v/>
      </c>
      <c r="AE44" s="26" t="str" cm="1">
        <f t="array" aca="1" ref="AE44" ca="1">IF(ISNUMBER(SEARCH(INDIRECT(ADDRESS(ROW(AE44),MOD(AE$1,4)+1)),AE$2)),$E44,"")</f>
        <v/>
      </c>
      <c r="AF44" s="26" t="str" cm="1">
        <f t="array" aca="1" ref="AF44" ca="1">IF(ISNUMBER(SEARCH(INDIRECT(ADDRESS(ROW(AF44),MOD(AF$1,4)+1)),AF$2)),$E44,"")</f>
        <v/>
      </c>
      <c r="AG44" s="26" t="str" cm="1">
        <f t="array" aca="1" ref="AG44" ca="1">IF(ISNUMBER(SEARCH(INDIRECT(ADDRESS(ROW(AG44),MOD(AG$1,4)+1)),AG$2)),$E44,"")</f>
        <v/>
      </c>
      <c r="AH44" s="26" t="str" cm="1">
        <f t="array" aca="1" ref="AH44" ca="1">IF(ISNUMBER(SEARCH(INDIRECT(ADDRESS(ROW(AH44),MOD(AH$1,4)+1)),AH$2)),$E44,"")</f>
        <v/>
      </c>
      <c r="AI44" s="26" t="str" cm="1">
        <f t="array" aca="1" ref="AI44" ca="1">IF(ISNUMBER(SEARCH(INDIRECT(ADDRESS(ROW(AI44),MOD(AI$1,4)+1)),AI$2)),$E44,"")</f>
        <v/>
      </c>
      <c r="AJ44" s="26" t="str" cm="1">
        <f t="array" aca="1" ref="AJ44" ca="1">IF(ISNUMBER(SEARCH(INDIRECT(ADDRESS(ROW(AJ44),MOD(AJ$1,4)+1)),AJ$2)),$E44,"")</f>
        <v/>
      </c>
      <c r="AK44" s="26" t="str" cm="1">
        <f t="array" aca="1" ref="AK44" ca="1">IF(ISNUMBER(SEARCH(INDIRECT(ADDRESS(ROW(AK44),MOD(AK$1,4)+1)),AK$2)),$E44,"")</f>
        <v/>
      </c>
      <c r="AL44" s="26" t="str" cm="1">
        <f t="array" aca="1" ref="AL44" ca="1">IF(ISNUMBER(SEARCH(INDIRECT(ADDRESS(ROW(AL44),MOD(AL$1,4)+1)),AL$2)),$E44,"")</f>
        <v/>
      </c>
      <c r="AM44" s="26" t="str" cm="1">
        <f t="array" aca="1" ref="AM44" ca="1">IF(ISNUMBER(SEARCH(INDIRECT(ADDRESS(ROW(AM44),MOD(AM$1,4)+1)),AM$2)),$E44,"")</f>
        <v/>
      </c>
      <c r="AN44" s="26" t="str" cm="1">
        <f t="array" aca="1" ref="AN44" ca="1">IF(ISNUMBER(SEARCH(INDIRECT(ADDRESS(ROW(AN44),MOD(AN$1,4)+1)),AN$2)),$E44,"")</f>
        <v/>
      </c>
      <c r="AO44" s="26" t="str" cm="1">
        <f t="array" aca="1" ref="AO44" ca="1">IF(ISNUMBER(SEARCH(INDIRECT(ADDRESS(ROW(AO44),MOD(AO$1,4)+1)),AO$2)),$E44,"")</f>
        <v/>
      </c>
      <c r="AP44" s="26" t="str" cm="1">
        <f t="array" aca="1" ref="AP44" ca="1">IF(ISNUMBER(SEARCH(INDIRECT(ADDRESS(ROW(AP44),MOD(AP$1,4)+1)),AP$2)),$E44,"")</f>
        <v/>
      </c>
      <c r="AQ44" s="31" t="str" cm="1">
        <f t="array" aca="1" ref="AQ44" ca="1">IF(ISNUMBER(SEARCH(INDIRECT(ADDRESS(ROW(AQ44),MOD(AQ$1,4)+1)),AQ$2)),$E44,"")</f>
        <v/>
      </c>
      <c r="AT44" t="e">
        <f>IF(VLOOKUP($E44,'Formatted NEW'!$B$2:$F$202,5,FALSE)=VLOOKUP($E44,'Formatted NEW'!$B$2:$F$202,8,FALSE),$E44,"")</f>
        <v>#N/A</v>
      </c>
      <c r="AW44" t="e">
        <f>IF(VLOOKUP($E44,'Formatted NEW'!$B$2:$F$202,5,FALSE)=VLOOKUP($E44,'Formatted NEW'!$B$2:$F$202,11,FALSE),$E44,"")</f>
        <v>#N/A</v>
      </c>
      <c r="AZ44" t="e">
        <f>IF(VLOOKUP($E44,'Formatted NEW'!$B$2:$F$202,5,FALSE)=VLOOKUP($E44,'Formatted NEW'!$B$2:$F$202,14,FALSE),$E44,"")</f>
        <v>#N/A</v>
      </c>
      <c r="BC44" t="str">
        <f>VLOOKUP($E44,'Formatted NEW'!$M$2:$T$202,6,FALSE)</f>
        <v>ORTHO_BOTH</v>
      </c>
      <c r="BD44" s="26" t="e">
        <f>VLOOKUP(VLOOKUP(VLOOKUP($E44,'Formatted NEW'!$M$2:$O$202,2,FALSE),'Formatted NEW'!$D$2:$F$202,7,FALSE),'Formatted NEW'!$D$2:$O$202,12,FALSE)</f>
        <v>#REF!</v>
      </c>
      <c r="BE44" t="e">
        <f>VLOOKUP($BD44,'Formatted NEW'!$M$2:$T$202,5,FALSE)</f>
        <v>#REF!</v>
      </c>
      <c r="BF44" s="26" t="e">
        <f t="shared" si="1"/>
        <v>#REF!</v>
      </c>
      <c r="BH44">
        <f>VLOOKUP($E44,'Formatted NEW'!$M$2:$T$202,4,FALSE)</f>
        <v>0</v>
      </c>
      <c r="BI44" s="26" t="e">
        <f>VLOOKUP(VLOOKUP(VLOOKUP($E44,'Formatted NEW'!$M$2:$O$202,2,FALSE),'Formatted NEW'!$D$2:$F$202,10,FALSE),'Formatted NEW'!$D$2:$O$202,12,FALSE)</f>
        <v>#REF!</v>
      </c>
      <c r="BJ44" t="e">
        <f>VLOOKUP($BI44,'Formatted NEW'!$M$2:$T$202,3,FALSE)</f>
        <v>#REF!</v>
      </c>
      <c r="BK44" s="26" t="e">
        <f t="shared" si="2"/>
        <v>#REF!</v>
      </c>
    </row>
    <row r="45" spans="1:63" x14ac:dyDescent="0.25">
      <c r="A45" t="str">
        <f>'Formatted NEW'!Q43</f>
        <v>ORTHO_BOTH</v>
      </c>
      <c r="B45" t="str">
        <f>'Formatted NEW'!R43</f>
        <v>DIAG_BOTH</v>
      </c>
      <c r="C45" t="str">
        <f>'Formatted NEW'!S43</f>
        <v>ORTHO_BOTH</v>
      </c>
      <c r="D45" t="str">
        <f>'Formatted NEW'!T43</f>
        <v>EMPTY</v>
      </c>
      <c r="E45" s="26">
        <f t="shared" si="3"/>
        <v>41</v>
      </c>
      <c r="H45" s="30" t="str" cm="1">
        <f t="array" aca="1" ref="H45" ca="1">IF(ISNUMBER(SEARCH(INDIRECT(ADDRESS(ROW(H45),MOD(H$1,4)+1)),H$2)),$E45,"")</f>
        <v/>
      </c>
      <c r="I45" s="26" t="str" cm="1">
        <f t="array" aca="1" ref="I45" ca="1">IF(ISNUMBER(SEARCH(INDIRECT(ADDRESS(ROW(I45),MOD(I$1,4)+1)),I$2)),$E45,"")</f>
        <v/>
      </c>
      <c r="J45" s="26" t="str" cm="1">
        <f t="array" aca="1" ref="J45" ca="1">IF(ISNUMBER(SEARCH(INDIRECT(ADDRESS(ROW(J45),MOD(J$1,4)+1)),J$2)),$E45,"")</f>
        <v/>
      </c>
      <c r="K45" s="26" t="str" cm="1">
        <f t="array" aca="1" ref="K45" ca="1">IF(ISNUMBER(SEARCH(INDIRECT(ADDRESS(ROW(K45),MOD(K$1,4)+1)),K$2)),$E45,"")</f>
        <v/>
      </c>
      <c r="L45" s="26" t="str" cm="1">
        <f t="array" aca="1" ref="L45" ca="1">IF(ISNUMBER(SEARCH(INDIRECT(ADDRESS(ROW(L45),MOD(L$1,4)+1)),L$2)),$E45,"")</f>
        <v/>
      </c>
      <c r="M45" s="26" cm="1">
        <f t="array" aca="1" ref="M45" ca="1">IF(ISNUMBER(SEARCH(INDIRECT(ADDRESS(ROW(M45),MOD(M$1,4)+1)),M$2)),$E45,"")</f>
        <v>41</v>
      </c>
      <c r="N45" s="26" t="str" cm="1">
        <f t="array" aca="1" ref="N45" ca="1">IF(ISNUMBER(SEARCH(INDIRECT(ADDRESS(ROW(N45),MOD(N$1,4)+1)),N$2)),$E45,"")</f>
        <v/>
      </c>
      <c r="O45" s="26" t="str" cm="1">
        <f t="array" aca="1" ref="O45" ca="1">IF(ISNUMBER(SEARCH(INDIRECT(ADDRESS(ROW(O45),MOD(O$1,4)+1)),O$2)),$E45,"")</f>
        <v/>
      </c>
      <c r="P45" s="26" cm="1">
        <f t="array" aca="1" ref="P45" ca="1">IF(ISNUMBER(SEARCH(INDIRECT(ADDRESS(ROW(P45),MOD(P$1,4)+1)),P$2)),$E45,"")</f>
        <v>41</v>
      </c>
      <c r="Q45" s="26" t="str" cm="1">
        <f t="array" aca="1" ref="Q45" ca="1">IF(ISNUMBER(SEARCH(INDIRECT(ADDRESS(ROW(Q45),MOD(Q$1,4)+1)),Q$2)),$E45,"")</f>
        <v/>
      </c>
      <c r="R45" s="26" cm="1">
        <f t="array" aca="1" ref="R45" ca="1">IF(ISNUMBER(SEARCH(INDIRECT(ADDRESS(ROW(R45),MOD(R$1,4)+1)),R$2)),$E45,"")</f>
        <v>41</v>
      </c>
      <c r="S45" s="26" t="str" cm="1">
        <f t="array" aca="1" ref="S45" ca="1">IF(ISNUMBER(SEARCH(INDIRECT(ADDRESS(ROW(S45),MOD(S$1,4)+1)),S$2)),$E45,"")</f>
        <v/>
      </c>
      <c r="T45" s="26" t="str" cm="1">
        <f t="array" aca="1" ref="T45" ca="1">IF(ISNUMBER(SEARCH(INDIRECT(ADDRESS(ROW(T45),MOD(T$1,4)+1)),T$2)),$E45,"")</f>
        <v/>
      </c>
      <c r="U45" s="26" t="str" cm="1">
        <f t="array" aca="1" ref="U45" ca="1">IF(ISNUMBER(SEARCH(INDIRECT(ADDRESS(ROW(U45),MOD(U$1,4)+1)),U$2)),$E45,"")</f>
        <v/>
      </c>
      <c r="V45" s="26" t="str" cm="1">
        <f t="array" aca="1" ref="V45" ca="1">IF(ISNUMBER(SEARCH(INDIRECT(ADDRESS(ROW(V45),MOD(V$1,4)+1)),V$2)),$E45,"")</f>
        <v/>
      </c>
      <c r="W45" s="26" t="str" cm="1">
        <f t="array" aca="1" ref="W45" ca="1">IF(ISNUMBER(SEARCH(INDIRECT(ADDRESS(ROW(W45),MOD(W$1,4)+1)),W$2)),$E45,"")</f>
        <v/>
      </c>
      <c r="X45" s="26" t="str" cm="1">
        <f t="array" aca="1" ref="X45" ca="1">IF(ISNUMBER(SEARCH(INDIRECT(ADDRESS(ROW(X45),MOD(X$1,4)+1)),X$2)),$E45,"")</f>
        <v/>
      </c>
      <c r="Y45" s="26" t="str" cm="1">
        <f t="array" aca="1" ref="Y45" ca="1">IF(ISNUMBER(SEARCH(INDIRECT(ADDRESS(ROW(Y45),MOD(Y$1,4)+1)),Y$2)),$E45,"")</f>
        <v/>
      </c>
      <c r="Z45" s="26" t="str" cm="1">
        <f t="array" aca="1" ref="Z45" ca="1">IF(ISNUMBER(SEARCH(INDIRECT(ADDRESS(ROW(Z45),MOD(Z$1,4)+1)),Z$2)),$E45,"")</f>
        <v/>
      </c>
      <c r="AA45" s="26" t="str" cm="1">
        <f t="array" aca="1" ref="AA45" ca="1">IF(ISNUMBER(SEARCH(INDIRECT(ADDRESS(ROW(AA45),MOD(AA$1,4)+1)),AA$2)),$E45,"")</f>
        <v/>
      </c>
      <c r="AB45" s="26" t="str" cm="1">
        <f t="array" aca="1" ref="AB45" ca="1">IF(ISNUMBER(SEARCH(INDIRECT(ADDRESS(ROW(AB45),MOD(AB$1,4)+1)),AB$2)),$E45,"")</f>
        <v/>
      </c>
      <c r="AC45" s="26" t="str" cm="1">
        <f t="array" aca="1" ref="AC45" ca="1">IF(ISNUMBER(SEARCH(INDIRECT(ADDRESS(ROW(AC45),MOD(AC$1,4)+1)),AC$2)),$E45,"")</f>
        <v/>
      </c>
      <c r="AD45" s="26" t="str" cm="1">
        <f t="array" aca="1" ref="AD45" ca="1">IF(ISNUMBER(SEARCH(INDIRECT(ADDRESS(ROW(AD45),MOD(AD$1,4)+1)),AD$2)),$E45,"")</f>
        <v/>
      </c>
      <c r="AE45" s="26" t="str" cm="1">
        <f t="array" aca="1" ref="AE45" ca="1">IF(ISNUMBER(SEARCH(INDIRECT(ADDRESS(ROW(AE45),MOD(AE$1,4)+1)),AE$2)),$E45,"")</f>
        <v/>
      </c>
      <c r="AF45" s="26" t="str" cm="1">
        <f t="array" aca="1" ref="AF45" ca="1">IF(ISNUMBER(SEARCH(INDIRECT(ADDRESS(ROW(AF45),MOD(AF$1,4)+1)),AF$2)),$E45,"")</f>
        <v/>
      </c>
      <c r="AG45" s="26" t="str" cm="1">
        <f t="array" aca="1" ref="AG45" ca="1">IF(ISNUMBER(SEARCH(INDIRECT(ADDRESS(ROW(AG45),MOD(AG$1,4)+1)),AG$2)),$E45,"")</f>
        <v/>
      </c>
      <c r="AH45" s="26" t="str" cm="1">
        <f t="array" aca="1" ref="AH45" ca="1">IF(ISNUMBER(SEARCH(INDIRECT(ADDRESS(ROW(AH45),MOD(AH$1,4)+1)),AH$2)),$E45,"")</f>
        <v/>
      </c>
      <c r="AI45" s="26" t="str" cm="1">
        <f t="array" aca="1" ref="AI45" ca="1">IF(ISNUMBER(SEARCH(INDIRECT(ADDRESS(ROW(AI45),MOD(AI$1,4)+1)),AI$2)),$E45,"")</f>
        <v/>
      </c>
      <c r="AJ45" s="26" t="str" cm="1">
        <f t="array" aca="1" ref="AJ45" ca="1">IF(ISNUMBER(SEARCH(INDIRECT(ADDRESS(ROW(AJ45),MOD(AJ$1,4)+1)),AJ$2)),$E45,"")</f>
        <v/>
      </c>
      <c r="AK45" s="26" t="str" cm="1">
        <f t="array" aca="1" ref="AK45" ca="1">IF(ISNUMBER(SEARCH(INDIRECT(ADDRESS(ROW(AK45),MOD(AK$1,4)+1)),AK$2)),$E45,"")</f>
        <v/>
      </c>
      <c r="AL45" s="26" t="str" cm="1">
        <f t="array" aca="1" ref="AL45" ca="1">IF(ISNUMBER(SEARCH(INDIRECT(ADDRESS(ROW(AL45),MOD(AL$1,4)+1)),AL$2)),$E45,"")</f>
        <v/>
      </c>
      <c r="AM45" s="26" t="str" cm="1">
        <f t="array" aca="1" ref="AM45" ca="1">IF(ISNUMBER(SEARCH(INDIRECT(ADDRESS(ROW(AM45),MOD(AM$1,4)+1)),AM$2)),$E45,"")</f>
        <v/>
      </c>
      <c r="AN45" s="26" t="str" cm="1">
        <f t="array" aca="1" ref="AN45" ca="1">IF(ISNUMBER(SEARCH(INDIRECT(ADDRESS(ROW(AN45),MOD(AN$1,4)+1)),AN$2)),$E45,"")</f>
        <v/>
      </c>
      <c r="AO45" s="26" t="str" cm="1">
        <f t="array" aca="1" ref="AO45" ca="1">IF(ISNUMBER(SEARCH(INDIRECT(ADDRESS(ROW(AO45),MOD(AO$1,4)+1)),AO$2)),$E45,"")</f>
        <v/>
      </c>
      <c r="AP45" s="26" t="str" cm="1">
        <f t="array" aca="1" ref="AP45" ca="1">IF(ISNUMBER(SEARCH(INDIRECT(ADDRESS(ROW(AP45),MOD(AP$1,4)+1)),AP$2)),$E45,"")</f>
        <v/>
      </c>
      <c r="AQ45" s="31" t="str" cm="1">
        <f t="array" aca="1" ref="AQ45" ca="1">IF(ISNUMBER(SEARCH(INDIRECT(ADDRESS(ROW(AQ45),MOD(AQ$1,4)+1)),AQ$2)),$E45,"")</f>
        <v/>
      </c>
      <c r="AT45" t="e">
        <f>IF(VLOOKUP($E45,'Formatted NEW'!$B$2:$F$202,5,FALSE)=VLOOKUP($E45,'Formatted NEW'!$B$2:$F$202,8,FALSE),$E45,"")</f>
        <v>#N/A</v>
      </c>
      <c r="AW45" t="e">
        <f>IF(VLOOKUP($E45,'Formatted NEW'!$B$2:$F$202,5,FALSE)=VLOOKUP($E45,'Formatted NEW'!$B$2:$F$202,11,FALSE),$E45,"")</f>
        <v>#N/A</v>
      </c>
      <c r="AZ45" t="e">
        <f>IF(VLOOKUP($E45,'Formatted NEW'!$B$2:$F$202,5,FALSE)=VLOOKUP($E45,'Formatted NEW'!$B$2:$F$202,14,FALSE),$E45,"")</f>
        <v>#N/A</v>
      </c>
      <c r="BC45" t="str">
        <f>VLOOKUP($E45,'Formatted NEW'!$M$2:$T$202,6,FALSE)</f>
        <v>DIAG_BOTH</v>
      </c>
      <c r="BD45" s="26" t="e">
        <f>VLOOKUP(VLOOKUP(VLOOKUP($E45,'Formatted NEW'!$M$2:$O$202,2,FALSE),'Formatted NEW'!$D$2:$F$202,7,FALSE),'Formatted NEW'!$D$2:$O$202,12,FALSE)</f>
        <v>#REF!</v>
      </c>
      <c r="BE45" t="e">
        <f>VLOOKUP($BD45,'Formatted NEW'!$M$2:$T$202,5,FALSE)</f>
        <v>#REF!</v>
      </c>
      <c r="BF45" s="26" t="e">
        <f t="shared" si="1"/>
        <v>#REF!</v>
      </c>
      <c r="BH45">
        <f>VLOOKUP($E45,'Formatted NEW'!$M$2:$T$202,4,FALSE)</f>
        <v>0</v>
      </c>
      <c r="BI45" s="26" t="e">
        <f>VLOOKUP(VLOOKUP(VLOOKUP($E45,'Formatted NEW'!$M$2:$O$202,2,FALSE),'Formatted NEW'!$D$2:$F$202,10,FALSE),'Formatted NEW'!$D$2:$O$202,12,FALSE)</f>
        <v>#REF!</v>
      </c>
      <c r="BJ45" t="e">
        <f>VLOOKUP($BI45,'Formatted NEW'!$M$2:$T$202,3,FALSE)</f>
        <v>#REF!</v>
      </c>
      <c r="BK45" s="26" t="e">
        <f t="shared" si="2"/>
        <v>#REF!</v>
      </c>
    </row>
    <row r="46" spans="1:63" x14ac:dyDescent="0.25">
      <c r="A46" t="str">
        <f>'Formatted NEW'!Q44</f>
        <v>EMPTY</v>
      </c>
      <c r="B46" t="str">
        <f>'Formatted NEW'!R44</f>
        <v>ORTHO_BOTH</v>
      </c>
      <c r="C46" t="str">
        <f>'Formatted NEW'!S44</f>
        <v>DIAG_BOTH</v>
      </c>
      <c r="D46" t="str">
        <f>'Formatted NEW'!T44</f>
        <v>ORTHO_BOTH</v>
      </c>
      <c r="E46" s="26">
        <f t="shared" si="3"/>
        <v>42</v>
      </c>
      <c r="H46" s="30" t="str" cm="1">
        <f t="array" aca="1" ref="H46" ca="1">IF(ISNUMBER(SEARCH(INDIRECT(ADDRESS(ROW(H46),MOD(H$1,4)+1)),H$2)),$E46,"")</f>
        <v/>
      </c>
      <c r="I46" s="26" t="str" cm="1">
        <f t="array" aca="1" ref="I46" ca="1">IF(ISNUMBER(SEARCH(INDIRECT(ADDRESS(ROW(I46),MOD(I$1,4)+1)),I$2)),$E46,"")</f>
        <v/>
      </c>
      <c r="J46" s="26" t="str" cm="1">
        <f t="array" aca="1" ref="J46" ca="1">IF(ISNUMBER(SEARCH(INDIRECT(ADDRESS(ROW(J46),MOD(J$1,4)+1)),J$2)),$E46,"")</f>
        <v/>
      </c>
      <c r="K46" s="26" t="str" cm="1">
        <f t="array" aca="1" ref="K46" ca="1">IF(ISNUMBER(SEARCH(INDIRECT(ADDRESS(ROW(K46),MOD(K$1,4)+1)),K$2)),$E46,"")</f>
        <v/>
      </c>
      <c r="L46" s="26" t="str" cm="1">
        <f t="array" aca="1" ref="L46" ca="1">IF(ISNUMBER(SEARCH(INDIRECT(ADDRESS(ROW(L46),MOD(L$1,4)+1)),L$2)),$E46,"")</f>
        <v/>
      </c>
      <c r="M46" s="26" t="str" cm="1">
        <f t="array" aca="1" ref="M46" ca="1">IF(ISNUMBER(SEARCH(INDIRECT(ADDRESS(ROW(M46),MOD(M$1,4)+1)),M$2)),$E46,"")</f>
        <v/>
      </c>
      <c r="N46" s="26" cm="1">
        <f t="array" aca="1" ref="N46" ca="1">IF(ISNUMBER(SEARCH(INDIRECT(ADDRESS(ROW(N46),MOD(N$1,4)+1)),N$2)),$E46,"")</f>
        <v>42</v>
      </c>
      <c r="O46" s="26" t="str" cm="1">
        <f t="array" aca="1" ref="O46" ca="1">IF(ISNUMBER(SEARCH(INDIRECT(ADDRESS(ROW(O46),MOD(O$1,4)+1)),O$2)),$E46,"")</f>
        <v/>
      </c>
      <c r="P46" s="26" t="str" cm="1">
        <f t="array" aca="1" ref="P46" ca="1">IF(ISNUMBER(SEARCH(INDIRECT(ADDRESS(ROW(P46),MOD(P$1,4)+1)),P$2)),$E46,"")</f>
        <v/>
      </c>
      <c r="Q46" s="26" cm="1">
        <f t="array" aca="1" ref="Q46" ca="1">IF(ISNUMBER(SEARCH(INDIRECT(ADDRESS(ROW(Q46),MOD(Q$1,4)+1)),Q$2)),$E46,"")</f>
        <v>42</v>
      </c>
      <c r="R46" s="26" t="str" cm="1">
        <f t="array" aca="1" ref="R46" ca="1">IF(ISNUMBER(SEARCH(INDIRECT(ADDRESS(ROW(R46),MOD(R$1,4)+1)),R$2)),$E46,"")</f>
        <v/>
      </c>
      <c r="S46" s="26" cm="1">
        <f t="array" aca="1" ref="S46" ca="1">IF(ISNUMBER(SEARCH(INDIRECT(ADDRESS(ROW(S46),MOD(S$1,4)+1)),S$2)),$E46,"")</f>
        <v>42</v>
      </c>
      <c r="T46" s="26" t="str" cm="1">
        <f t="array" aca="1" ref="T46" ca="1">IF(ISNUMBER(SEARCH(INDIRECT(ADDRESS(ROW(T46),MOD(T$1,4)+1)),T$2)),$E46,"")</f>
        <v/>
      </c>
      <c r="U46" s="26" t="str" cm="1">
        <f t="array" aca="1" ref="U46" ca="1">IF(ISNUMBER(SEARCH(INDIRECT(ADDRESS(ROW(U46),MOD(U$1,4)+1)),U$2)),$E46,"")</f>
        <v/>
      </c>
      <c r="V46" s="26" t="str" cm="1">
        <f t="array" aca="1" ref="V46" ca="1">IF(ISNUMBER(SEARCH(INDIRECT(ADDRESS(ROW(V46),MOD(V$1,4)+1)),V$2)),$E46,"")</f>
        <v/>
      </c>
      <c r="W46" s="26" t="str" cm="1">
        <f t="array" aca="1" ref="W46" ca="1">IF(ISNUMBER(SEARCH(INDIRECT(ADDRESS(ROW(W46),MOD(W$1,4)+1)),W$2)),$E46,"")</f>
        <v/>
      </c>
      <c r="X46" s="26" t="str" cm="1">
        <f t="array" aca="1" ref="X46" ca="1">IF(ISNUMBER(SEARCH(INDIRECT(ADDRESS(ROW(X46),MOD(X$1,4)+1)),X$2)),$E46,"")</f>
        <v/>
      </c>
      <c r="Y46" s="26" t="str" cm="1">
        <f t="array" aca="1" ref="Y46" ca="1">IF(ISNUMBER(SEARCH(INDIRECT(ADDRESS(ROW(Y46),MOD(Y$1,4)+1)),Y$2)),$E46,"")</f>
        <v/>
      </c>
      <c r="Z46" s="26" t="str" cm="1">
        <f t="array" aca="1" ref="Z46" ca="1">IF(ISNUMBER(SEARCH(INDIRECT(ADDRESS(ROW(Z46),MOD(Z$1,4)+1)),Z$2)),$E46,"")</f>
        <v/>
      </c>
      <c r="AA46" s="26" t="str" cm="1">
        <f t="array" aca="1" ref="AA46" ca="1">IF(ISNUMBER(SEARCH(INDIRECT(ADDRESS(ROW(AA46),MOD(AA$1,4)+1)),AA$2)),$E46,"")</f>
        <v/>
      </c>
      <c r="AB46" s="26" t="str" cm="1">
        <f t="array" aca="1" ref="AB46" ca="1">IF(ISNUMBER(SEARCH(INDIRECT(ADDRESS(ROW(AB46),MOD(AB$1,4)+1)),AB$2)),$E46,"")</f>
        <v/>
      </c>
      <c r="AC46" s="26" t="str" cm="1">
        <f t="array" aca="1" ref="AC46" ca="1">IF(ISNUMBER(SEARCH(INDIRECT(ADDRESS(ROW(AC46),MOD(AC$1,4)+1)),AC$2)),$E46,"")</f>
        <v/>
      </c>
      <c r="AD46" s="26" t="str" cm="1">
        <f t="array" aca="1" ref="AD46" ca="1">IF(ISNUMBER(SEARCH(INDIRECT(ADDRESS(ROW(AD46),MOD(AD$1,4)+1)),AD$2)),$E46,"")</f>
        <v/>
      </c>
      <c r="AE46" s="26" t="str" cm="1">
        <f t="array" aca="1" ref="AE46" ca="1">IF(ISNUMBER(SEARCH(INDIRECT(ADDRESS(ROW(AE46),MOD(AE$1,4)+1)),AE$2)),$E46,"")</f>
        <v/>
      </c>
      <c r="AF46" s="26" t="str" cm="1">
        <f t="array" aca="1" ref="AF46" ca="1">IF(ISNUMBER(SEARCH(INDIRECT(ADDRESS(ROW(AF46),MOD(AF$1,4)+1)),AF$2)),$E46,"")</f>
        <v/>
      </c>
      <c r="AG46" s="26" t="str" cm="1">
        <f t="array" aca="1" ref="AG46" ca="1">IF(ISNUMBER(SEARCH(INDIRECT(ADDRESS(ROW(AG46),MOD(AG$1,4)+1)),AG$2)),$E46,"")</f>
        <v/>
      </c>
      <c r="AH46" s="26" t="str" cm="1">
        <f t="array" aca="1" ref="AH46" ca="1">IF(ISNUMBER(SEARCH(INDIRECT(ADDRESS(ROW(AH46),MOD(AH$1,4)+1)),AH$2)),$E46,"")</f>
        <v/>
      </c>
      <c r="AI46" s="26" t="str" cm="1">
        <f t="array" aca="1" ref="AI46" ca="1">IF(ISNUMBER(SEARCH(INDIRECT(ADDRESS(ROW(AI46),MOD(AI$1,4)+1)),AI$2)),$E46,"")</f>
        <v/>
      </c>
      <c r="AJ46" s="26" t="str" cm="1">
        <f t="array" aca="1" ref="AJ46" ca="1">IF(ISNUMBER(SEARCH(INDIRECT(ADDRESS(ROW(AJ46),MOD(AJ$1,4)+1)),AJ$2)),$E46,"")</f>
        <v/>
      </c>
      <c r="AK46" s="26" t="str" cm="1">
        <f t="array" aca="1" ref="AK46" ca="1">IF(ISNUMBER(SEARCH(INDIRECT(ADDRESS(ROW(AK46),MOD(AK$1,4)+1)),AK$2)),$E46,"")</f>
        <v/>
      </c>
      <c r="AL46" s="26" t="str" cm="1">
        <f t="array" aca="1" ref="AL46" ca="1">IF(ISNUMBER(SEARCH(INDIRECT(ADDRESS(ROW(AL46),MOD(AL$1,4)+1)),AL$2)),$E46,"")</f>
        <v/>
      </c>
      <c r="AM46" s="26" t="str" cm="1">
        <f t="array" aca="1" ref="AM46" ca="1">IF(ISNUMBER(SEARCH(INDIRECT(ADDRESS(ROW(AM46),MOD(AM$1,4)+1)),AM$2)),$E46,"")</f>
        <v/>
      </c>
      <c r="AN46" s="26" t="str" cm="1">
        <f t="array" aca="1" ref="AN46" ca="1">IF(ISNUMBER(SEARCH(INDIRECT(ADDRESS(ROW(AN46),MOD(AN$1,4)+1)),AN$2)),$E46,"")</f>
        <v/>
      </c>
      <c r="AO46" s="26" t="str" cm="1">
        <f t="array" aca="1" ref="AO46" ca="1">IF(ISNUMBER(SEARCH(INDIRECT(ADDRESS(ROW(AO46),MOD(AO$1,4)+1)),AO$2)),$E46,"")</f>
        <v/>
      </c>
      <c r="AP46" s="26" t="str" cm="1">
        <f t="array" aca="1" ref="AP46" ca="1">IF(ISNUMBER(SEARCH(INDIRECT(ADDRESS(ROW(AP46),MOD(AP$1,4)+1)),AP$2)),$E46,"")</f>
        <v/>
      </c>
      <c r="AQ46" s="31" t="str" cm="1">
        <f t="array" aca="1" ref="AQ46" ca="1">IF(ISNUMBER(SEARCH(INDIRECT(ADDRESS(ROW(AQ46),MOD(AQ$1,4)+1)),AQ$2)),$E46,"")</f>
        <v/>
      </c>
      <c r="AT46" t="e">
        <f>IF(VLOOKUP($E46,'Formatted NEW'!$B$2:$F$202,5,FALSE)=VLOOKUP($E46,'Formatted NEW'!$B$2:$F$202,8,FALSE),$E46,"")</f>
        <v>#N/A</v>
      </c>
      <c r="AW46" t="e">
        <f>IF(VLOOKUP($E46,'Formatted NEW'!$B$2:$F$202,5,FALSE)=VLOOKUP($E46,'Formatted NEW'!$B$2:$F$202,11,FALSE),$E46,"")</f>
        <v>#N/A</v>
      </c>
      <c r="AZ46" t="e">
        <f>IF(VLOOKUP($E46,'Formatted NEW'!$B$2:$F$202,5,FALSE)=VLOOKUP($E46,'Formatted NEW'!$B$2:$F$202,14,FALSE),$E46,"")</f>
        <v>#N/A</v>
      </c>
      <c r="BC46" t="str">
        <f>VLOOKUP($E46,'Formatted NEW'!$M$2:$T$202,6,FALSE)</f>
        <v>ORTHO_BOTH</v>
      </c>
      <c r="BD46" s="26" t="e">
        <f>VLOOKUP(VLOOKUP(VLOOKUP($E46,'Formatted NEW'!$M$2:$O$202,2,FALSE),'Formatted NEW'!$D$2:$F$202,7,FALSE),'Formatted NEW'!$D$2:$O$202,12,FALSE)</f>
        <v>#REF!</v>
      </c>
      <c r="BE46" t="e">
        <f>VLOOKUP($BD46,'Formatted NEW'!$M$2:$T$202,5,FALSE)</f>
        <v>#REF!</v>
      </c>
      <c r="BF46" s="26" t="e">
        <f t="shared" si="1"/>
        <v>#REF!</v>
      </c>
      <c r="BH46">
        <f>VLOOKUP($E46,'Formatted NEW'!$M$2:$T$202,4,FALSE)</f>
        <v>0</v>
      </c>
      <c r="BI46" s="26" t="e">
        <f>VLOOKUP(VLOOKUP(VLOOKUP($E46,'Formatted NEW'!$M$2:$O$202,2,FALSE),'Formatted NEW'!$D$2:$F$202,10,FALSE),'Formatted NEW'!$D$2:$O$202,12,FALSE)</f>
        <v>#REF!</v>
      </c>
      <c r="BJ46" t="e">
        <f>VLOOKUP($BI46,'Formatted NEW'!$M$2:$T$202,3,FALSE)</f>
        <v>#REF!</v>
      </c>
      <c r="BK46" s="26" t="e">
        <f t="shared" si="2"/>
        <v>#REF!</v>
      </c>
    </row>
    <row r="47" spans="1:63" x14ac:dyDescent="0.25">
      <c r="A47" t="str">
        <f>'Formatted NEW'!Q45</f>
        <v>EMPTY</v>
      </c>
      <c r="B47" t="str">
        <f>'Formatted NEW'!R45</f>
        <v>ORTHO_BOTH</v>
      </c>
      <c r="C47" t="str">
        <f>'Formatted NEW'!S45</f>
        <v>ORTHO_BOTH</v>
      </c>
      <c r="D47" t="str">
        <f>'Formatted NEW'!T45</f>
        <v>DIAG_BOTH</v>
      </c>
      <c r="E47" s="26">
        <f t="shared" si="3"/>
        <v>43</v>
      </c>
      <c r="H47" s="30" t="str" cm="1">
        <f t="array" aca="1" ref="H47" ca="1">IF(ISNUMBER(SEARCH(INDIRECT(ADDRESS(ROW(H47),MOD(H$1,4)+1)),H$2)),$E47,"")</f>
        <v/>
      </c>
      <c r="I47" s="26" t="str" cm="1">
        <f t="array" aca="1" ref="I47" ca="1">IF(ISNUMBER(SEARCH(INDIRECT(ADDRESS(ROW(I47),MOD(I$1,4)+1)),I$2)),$E47,"")</f>
        <v/>
      </c>
      <c r="J47" s="26" t="str" cm="1">
        <f t="array" aca="1" ref="J47" ca="1">IF(ISNUMBER(SEARCH(INDIRECT(ADDRESS(ROW(J47),MOD(J$1,4)+1)),J$2)),$E47,"")</f>
        <v/>
      </c>
      <c r="K47" s="26" t="str" cm="1">
        <f t="array" aca="1" ref="K47" ca="1">IF(ISNUMBER(SEARCH(INDIRECT(ADDRESS(ROW(K47),MOD(K$1,4)+1)),K$2)),$E47,"")</f>
        <v/>
      </c>
      <c r="L47" s="26" t="str" cm="1">
        <f t="array" aca="1" ref="L47" ca="1">IF(ISNUMBER(SEARCH(INDIRECT(ADDRESS(ROW(L47),MOD(L$1,4)+1)),L$2)),$E47,"")</f>
        <v/>
      </c>
      <c r="M47" s="26" t="str" cm="1">
        <f t="array" aca="1" ref="M47" ca="1">IF(ISNUMBER(SEARCH(INDIRECT(ADDRESS(ROW(M47),MOD(M$1,4)+1)),M$2)),$E47,"")</f>
        <v/>
      </c>
      <c r="N47" s="26" t="str" cm="1">
        <f t="array" aca="1" ref="N47" ca="1">IF(ISNUMBER(SEARCH(INDIRECT(ADDRESS(ROW(N47),MOD(N$1,4)+1)),N$2)),$E47,"")</f>
        <v/>
      </c>
      <c r="O47" s="26" cm="1">
        <f t="array" aca="1" ref="O47" ca="1">IF(ISNUMBER(SEARCH(INDIRECT(ADDRESS(ROW(O47),MOD(O$1,4)+1)),O$2)),$E47,"")</f>
        <v>43</v>
      </c>
      <c r="P47" s="26" t="str" cm="1">
        <f t="array" aca="1" ref="P47" ca="1">IF(ISNUMBER(SEARCH(INDIRECT(ADDRESS(ROW(P47),MOD(P$1,4)+1)),P$2)),$E47,"")</f>
        <v/>
      </c>
      <c r="Q47" s="26" cm="1">
        <f t="array" aca="1" ref="Q47" ca="1">IF(ISNUMBER(SEARCH(INDIRECT(ADDRESS(ROW(Q47),MOD(Q$1,4)+1)),Q$2)),$E47,"")</f>
        <v>43</v>
      </c>
      <c r="R47" s="26" cm="1">
        <f t="array" aca="1" ref="R47" ca="1">IF(ISNUMBER(SEARCH(INDIRECT(ADDRESS(ROW(R47),MOD(R$1,4)+1)),R$2)),$E47,"")</f>
        <v>43</v>
      </c>
      <c r="S47" s="26" t="str" cm="1">
        <f t="array" aca="1" ref="S47" ca="1">IF(ISNUMBER(SEARCH(INDIRECT(ADDRESS(ROW(S47),MOD(S$1,4)+1)),S$2)),$E47,"")</f>
        <v/>
      </c>
      <c r="T47" s="26" t="str" cm="1">
        <f t="array" aca="1" ref="T47" ca="1">IF(ISNUMBER(SEARCH(INDIRECT(ADDRESS(ROW(T47),MOD(T$1,4)+1)),T$2)),$E47,"")</f>
        <v/>
      </c>
      <c r="U47" s="26" t="str" cm="1">
        <f t="array" aca="1" ref="U47" ca="1">IF(ISNUMBER(SEARCH(INDIRECT(ADDRESS(ROW(U47),MOD(U$1,4)+1)),U$2)),$E47,"")</f>
        <v/>
      </c>
      <c r="V47" s="26" t="str" cm="1">
        <f t="array" aca="1" ref="V47" ca="1">IF(ISNUMBER(SEARCH(INDIRECT(ADDRESS(ROW(V47),MOD(V$1,4)+1)),V$2)),$E47,"")</f>
        <v/>
      </c>
      <c r="W47" s="26" t="str" cm="1">
        <f t="array" aca="1" ref="W47" ca="1">IF(ISNUMBER(SEARCH(INDIRECT(ADDRESS(ROW(W47),MOD(W$1,4)+1)),W$2)),$E47,"")</f>
        <v/>
      </c>
      <c r="X47" s="26" t="str" cm="1">
        <f t="array" aca="1" ref="X47" ca="1">IF(ISNUMBER(SEARCH(INDIRECT(ADDRESS(ROW(X47),MOD(X$1,4)+1)),X$2)),$E47,"")</f>
        <v/>
      </c>
      <c r="Y47" s="26" t="str" cm="1">
        <f t="array" aca="1" ref="Y47" ca="1">IF(ISNUMBER(SEARCH(INDIRECT(ADDRESS(ROW(Y47),MOD(Y$1,4)+1)),Y$2)),$E47,"")</f>
        <v/>
      </c>
      <c r="Z47" s="26" t="str" cm="1">
        <f t="array" aca="1" ref="Z47" ca="1">IF(ISNUMBER(SEARCH(INDIRECT(ADDRESS(ROW(Z47),MOD(Z$1,4)+1)),Z$2)),$E47,"")</f>
        <v/>
      </c>
      <c r="AA47" s="26" t="str" cm="1">
        <f t="array" aca="1" ref="AA47" ca="1">IF(ISNUMBER(SEARCH(INDIRECT(ADDRESS(ROW(AA47),MOD(AA$1,4)+1)),AA$2)),$E47,"")</f>
        <v/>
      </c>
      <c r="AB47" s="26" t="str" cm="1">
        <f t="array" aca="1" ref="AB47" ca="1">IF(ISNUMBER(SEARCH(INDIRECT(ADDRESS(ROW(AB47),MOD(AB$1,4)+1)),AB$2)),$E47,"")</f>
        <v/>
      </c>
      <c r="AC47" s="26" t="str" cm="1">
        <f t="array" aca="1" ref="AC47" ca="1">IF(ISNUMBER(SEARCH(INDIRECT(ADDRESS(ROW(AC47),MOD(AC$1,4)+1)),AC$2)),$E47,"")</f>
        <v/>
      </c>
      <c r="AD47" s="26" t="str" cm="1">
        <f t="array" aca="1" ref="AD47" ca="1">IF(ISNUMBER(SEARCH(INDIRECT(ADDRESS(ROW(AD47),MOD(AD$1,4)+1)),AD$2)),$E47,"")</f>
        <v/>
      </c>
      <c r="AE47" s="26" t="str" cm="1">
        <f t="array" aca="1" ref="AE47" ca="1">IF(ISNUMBER(SEARCH(INDIRECT(ADDRESS(ROW(AE47),MOD(AE$1,4)+1)),AE$2)),$E47,"")</f>
        <v/>
      </c>
      <c r="AF47" s="26" t="str" cm="1">
        <f t="array" aca="1" ref="AF47" ca="1">IF(ISNUMBER(SEARCH(INDIRECT(ADDRESS(ROW(AF47),MOD(AF$1,4)+1)),AF$2)),$E47,"")</f>
        <v/>
      </c>
      <c r="AG47" s="26" t="str" cm="1">
        <f t="array" aca="1" ref="AG47" ca="1">IF(ISNUMBER(SEARCH(INDIRECT(ADDRESS(ROW(AG47),MOD(AG$1,4)+1)),AG$2)),$E47,"")</f>
        <v/>
      </c>
      <c r="AH47" s="26" t="str" cm="1">
        <f t="array" aca="1" ref="AH47" ca="1">IF(ISNUMBER(SEARCH(INDIRECT(ADDRESS(ROW(AH47),MOD(AH$1,4)+1)),AH$2)),$E47,"")</f>
        <v/>
      </c>
      <c r="AI47" s="26" t="str" cm="1">
        <f t="array" aca="1" ref="AI47" ca="1">IF(ISNUMBER(SEARCH(INDIRECT(ADDRESS(ROW(AI47),MOD(AI$1,4)+1)),AI$2)),$E47,"")</f>
        <v/>
      </c>
      <c r="AJ47" s="26" t="str" cm="1">
        <f t="array" aca="1" ref="AJ47" ca="1">IF(ISNUMBER(SEARCH(INDIRECT(ADDRESS(ROW(AJ47),MOD(AJ$1,4)+1)),AJ$2)),$E47,"")</f>
        <v/>
      </c>
      <c r="AK47" s="26" t="str" cm="1">
        <f t="array" aca="1" ref="AK47" ca="1">IF(ISNUMBER(SEARCH(INDIRECT(ADDRESS(ROW(AK47),MOD(AK$1,4)+1)),AK$2)),$E47,"")</f>
        <v/>
      </c>
      <c r="AL47" s="26" t="str" cm="1">
        <f t="array" aca="1" ref="AL47" ca="1">IF(ISNUMBER(SEARCH(INDIRECT(ADDRESS(ROW(AL47),MOD(AL$1,4)+1)),AL$2)),$E47,"")</f>
        <v/>
      </c>
      <c r="AM47" s="26" t="str" cm="1">
        <f t="array" aca="1" ref="AM47" ca="1">IF(ISNUMBER(SEARCH(INDIRECT(ADDRESS(ROW(AM47),MOD(AM$1,4)+1)),AM$2)),$E47,"")</f>
        <v/>
      </c>
      <c r="AN47" s="26" t="str" cm="1">
        <f t="array" aca="1" ref="AN47" ca="1">IF(ISNUMBER(SEARCH(INDIRECT(ADDRESS(ROW(AN47),MOD(AN$1,4)+1)),AN$2)),$E47,"")</f>
        <v/>
      </c>
      <c r="AO47" s="26" t="str" cm="1">
        <f t="array" aca="1" ref="AO47" ca="1">IF(ISNUMBER(SEARCH(INDIRECT(ADDRESS(ROW(AO47),MOD(AO$1,4)+1)),AO$2)),$E47,"")</f>
        <v/>
      </c>
      <c r="AP47" s="26" t="str" cm="1">
        <f t="array" aca="1" ref="AP47" ca="1">IF(ISNUMBER(SEARCH(INDIRECT(ADDRESS(ROW(AP47),MOD(AP$1,4)+1)),AP$2)),$E47,"")</f>
        <v/>
      </c>
      <c r="AQ47" s="31" t="str" cm="1">
        <f t="array" aca="1" ref="AQ47" ca="1">IF(ISNUMBER(SEARCH(INDIRECT(ADDRESS(ROW(AQ47),MOD(AQ$1,4)+1)),AQ$2)),$E47,"")</f>
        <v/>
      </c>
      <c r="AT47" t="e">
        <f>IF(VLOOKUP($E47,'Formatted NEW'!$B$2:$F$202,5,FALSE)=VLOOKUP($E47,'Formatted NEW'!$B$2:$F$202,8,FALSE),$E47,"")</f>
        <v>#N/A</v>
      </c>
      <c r="AW47" t="e">
        <f>IF(VLOOKUP($E47,'Formatted NEW'!$B$2:$F$202,5,FALSE)=VLOOKUP($E47,'Formatted NEW'!$B$2:$F$202,11,FALSE),$E47,"")</f>
        <v>#N/A</v>
      </c>
      <c r="AZ47" t="e">
        <f>IF(VLOOKUP($E47,'Formatted NEW'!$B$2:$F$202,5,FALSE)=VLOOKUP($E47,'Formatted NEW'!$B$2:$F$202,14,FALSE),$E47,"")</f>
        <v>#N/A</v>
      </c>
      <c r="BC47" t="str">
        <f>VLOOKUP($E47,'Formatted NEW'!$M$2:$T$202,6,FALSE)</f>
        <v>ORTHO_BOTH</v>
      </c>
      <c r="BD47" s="26" t="e">
        <f>VLOOKUP(VLOOKUP(VLOOKUP($E47,'Formatted NEW'!$M$2:$O$202,2,FALSE),'Formatted NEW'!$D$2:$F$202,7,FALSE),'Formatted NEW'!$D$2:$O$202,12,FALSE)</f>
        <v>#REF!</v>
      </c>
      <c r="BE47" t="e">
        <f>VLOOKUP($BD47,'Formatted NEW'!$M$2:$T$202,5,FALSE)</f>
        <v>#REF!</v>
      </c>
      <c r="BF47" s="26" t="e">
        <f t="shared" si="1"/>
        <v>#REF!</v>
      </c>
      <c r="BH47">
        <f>VLOOKUP($E47,'Formatted NEW'!$M$2:$T$202,4,FALSE)</f>
        <v>0</v>
      </c>
      <c r="BI47" s="26" t="e">
        <f>VLOOKUP(VLOOKUP(VLOOKUP($E47,'Formatted NEW'!$M$2:$O$202,2,FALSE),'Formatted NEW'!$D$2:$F$202,10,FALSE),'Formatted NEW'!$D$2:$O$202,12,FALSE)</f>
        <v>#REF!</v>
      </c>
      <c r="BJ47" t="e">
        <f>VLOOKUP($BI47,'Formatted NEW'!$M$2:$T$202,3,FALSE)</f>
        <v>#REF!</v>
      </c>
      <c r="BK47" s="26" t="e">
        <f t="shared" si="2"/>
        <v>#REF!</v>
      </c>
    </row>
    <row r="48" spans="1:63" x14ac:dyDescent="0.25">
      <c r="A48" t="str">
        <f>'Formatted NEW'!Q46</f>
        <v>EMPTY</v>
      </c>
      <c r="B48" t="str">
        <f>'Formatted NEW'!R46</f>
        <v>ORTHO_BOTH</v>
      </c>
      <c r="C48" t="str">
        <f>'Formatted NEW'!S46</f>
        <v>EMPTY</v>
      </c>
      <c r="D48" t="str">
        <f>'Formatted NEW'!T46</f>
        <v>ORTHO_BOTH</v>
      </c>
      <c r="E48" s="26">
        <f t="shared" si="3"/>
        <v>44</v>
      </c>
      <c r="H48" s="30" t="str" cm="1">
        <f t="array" aca="1" ref="H48" ca="1">IF(ISNUMBER(SEARCH(INDIRECT(ADDRESS(ROW(H48),MOD(H$1,4)+1)),H$2)),$E48,"")</f>
        <v/>
      </c>
      <c r="I48" s="26" t="str" cm="1">
        <f t="array" aca="1" ref="I48" ca="1">IF(ISNUMBER(SEARCH(INDIRECT(ADDRESS(ROW(I48),MOD(I$1,4)+1)),I$2)),$E48,"")</f>
        <v/>
      </c>
      <c r="J48" s="26" t="str" cm="1">
        <f t="array" aca="1" ref="J48" ca="1">IF(ISNUMBER(SEARCH(INDIRECT(ADDRESS(ROW(J48),MOD(J$1,4)+1)),J$2)),$E48,"")</f>
        <v/>
      </c>
      <c r="K48" s="26" t="str" cm="1">
        <f t="array" aca="1" ref="K48" ca="1">IF(ISNUMBER(SEARCH(INDIRECT(ADDRESS(ROW(K48),MOD(K$1,4)+1)),K$2)),$E48,"")</f>
        <v/>
      </c>
      <c r="L48" s="26" t="str" cm="1">
        <f t="array" aca="1" ref="L48" ca="1">IF(ISNUMBER(SEARCH(INDIRECT(ADDRESS(ROW(L48),MOD(L$1,4)+1)),L$2)),$E48,"")</f>
        <v/>
      </c>
      <c r="M48" s="26" t="str" cm="1">
        <f t="array" aca="1" ref="M48" ca="1">IF(ISNUMBER(SEARCH(INDIRECT(ADDRESS(ROW(M48),MOD(M$1,4)+1)),M$2)),$E48,"")</f>
        <v/>
      </c>
      <c r="N48" s="26" t="str" cm="1">
        <f t="array" aca="1" ref="N48" ca="1">IF(ISNUMBER(SEARCH(INDIRECT(ADDRESS(ROW(N48),MOD(N$1,4)+1)),N$2)),$E48,"")</f>
        <v/>
      </c>
      <c r="O48" s="26" t="str" cm="1">
        <f t="array" aca="1" ref="O48" ca="1">IF(ISNUMBER(SEARCH(INDIRECT(ADDRESS(ROW(O48),MOD(O$1,4)+1)),O$2)),$E48,"")</f>
        <v/>
      </c>
      <c r="P48" s="26" t="str" cm="1">
        <f t="array" aca="1" ref="P48" ca="1">IF(ISNUMBER(SEARCH(INDIRECT(ADDRESS(ROW(P48),MOD(P$1,4)+1)),P$2)),$E48,"")</f>
        <v/>
      </c>
      <c r="Q48" s="26" cm="1">
        <f t="array" aca="1" ref="Q48" ca="1">IF(ISNUMBER(SEARCH(INDIRECT(ADDRESS(ROW(Q48),MOD(Q$1,4)+1)),Q$2)),$E48,"")</f>
        <v>44</v>
      </c>
      <c r="R48" s="26" t="str" cm="1">
        <f t="array" aca="1" ref="R48" ca="1">IF(ISNUMBER(SEARCH(INDIRECT(ADDRESS(ROW(R48),MOD(R$1,4)+1)),R$2)),$E48,"")</f>
        <v/>
      </c>
      <c r="S48" s="26" cm="1">
        <f t="array" aca="1" ref="S48" ca="1">IF(ISNUMBER(SEARCH(INDIRECT(ADDRESS(ROW(S48),MOD(S$1,4)+1)),S$2)),$E48,"")</f>
        <v>44</v>
      </c>
      <c r="T48" s="26" t="str" cm="1">
        <f t="array" aca="1" ref="T48" ca="1">IF(ISNUMBER(SEARCH(INDIRECT(ADDRESS(ROW(T48),MOD(T$1,4)+1)),T$2)),$E48,"")</f>
        <v/>
      </c>
      <c r="U48" s="26" t="str" cm="1">
        <f t="array" aca="1" ref="U48" ca="1">IF(ISNUMBER(SEARCH(INDIRECT(ADDRESS(ROW(U48),MOD(U$1,4)+1)),U$2)),$E48,"")</f>
        <v/>
      </c>
      <c r="V48" s="26" t="str" cm="1">
        <f t="array" aca="1" ref="V48" ca="1">IF(ISNUMBER(SEARCH(INDIRECT(ADDRESS(ROW(V48),MOD(V$1,4)+1)),V$2)),$E48,"")</f>
        <v/>
      </c>
      <c r="W48" s="26" t="str" cm="1">
        <f t="array" aca="1" ref="W48" ca="1">IF(ISNUMBER(SEARCH(INDIRECT(ADDRESS(ROW(W48),MOD(W$1,4)+1)),W$2)),$E48,"")</f>
        <v/>
      </c>
      <c r="X48" s="26" t="str" cm="1">
        <f t="array" aca="1" ref="X48" ca="1">IF(ISNUMBER(SEARCH(INDIRECT(ADDRESS(ROW(X48),MOD(X$1,4)+1)),X$2)),$E48,"")</f>
        <v/>
      </c>
      <c r="Y48" s="26" t="str" cm="1">
        <f t="array" aca="1" ref="Y48" ca="1">IF(ISNUMBER(SEARCH(INDIRECT(ADDRESS(ROW(Y48),MOD(Y$1,4)+1)),Y$2)),$E48,"")</f>
        <v/>
      </c>
      <c r="Z48" s="26" t="str" cm="1">
        <f t="array" aca="1" ref="Z48" ca="1">IF(ISNUMBER(SEARCH(INDIRECT(ADDRESS(ROW(Z48),MOD(Z$1,4)+1)),Z$2)),$E48,"")</f>
        <v/>
      </c>
      <c r="AA48" s="26" t="str" cm="1">
        <f t="array" aca="1" ref="AA48" ca="1">IF(ISNUMBER(SEARCH(INDIRECT(ADDRESS(ROW(AA48),MOD(AA$1,4)+1)),AA$2)),$E48,"")</f>
        <v/>
      </c>
      <c r="AB48" s="26" t="str" cm="1">
        <f t="array" aca="1" ref="AB48" ca="1">IF(ISNUMBER(SEARCH(INDIRECT(ADDRESS(ROW(AB48),MOD(AB$1,4)+1)),AB$2)),$E48,"")</f>
        <v/>
      </c>
      <c r="AC48" s="26" t="str" cm="1">
        <f t="array" aca="1" ref="AC48" ca="1">IF(ISNUMBER(SEARCH(INDIRECT(ADDRESS(ROW(AC48),MOD(AC$1,4)+1)),AC$2)),$E48,"")</f>
        <v/>
      </c>
      <c r="AD48" s="26" t="str" cm="1">
        <f t="array" aca="1" ref="AD48" ca="1">IF(ISNUMBER(SEARCH(INDIRECT(ADDRESS(ROW(AD48),MOD(AD$1,4)+1)),AD$2)),$E48,"")</f>
        <v/>
      </c>
      <c r="AE48" s="26" t="str" cm="1">
        <f t="array" aca="1" ref="AE48" ca="1">IF(ISNUMBER(SEARCH(INDIRECT(ADDRESS(ROW(AE48),MOD(AE$1,4)+1)),AE$2)),$E48,"")</f>
        <v/>
      </c>
      <c r="AF48" s="26" t="str" cm="1">
        <f t="array" aca="1" ref="AF48" ca="1">IF(ISNUMBER(SEARCH(INDIRECT(ADDRESS(ROW(AF48),MOD(AF$1,4)+1)),AF$2)),$E48,"")</f>
        <v/>
      </c>
      <c r="AG48" s="26" t="str" cm="1">
        <f t="array" aca="1" ref="AG48" ca="1">IF(ISNUMBER(SEARCH(INDIRECT(ADDRESS(ROW(AG48),MOD(AG$1,4)+1)),AG$2)),$E48,"")</f>
        <v/>
      </c>
      <c r="AH48" s="26" t="str" cm="1">
        <f t="array" aca="1" ref="AH48" ca="1">IF(ISNUMBER(SEARCH(INDIRECT(ADDRESS(ROW(AH48),MOD(AH$1,4)+1)),AH$2)),$E48,"")</f>
        <v/>
      </c>
      <c r="AI48" s="26" t="str" cm="1">
        <f t="array" aca="1" ref="AI48" ca="1">IF(ISNUMBER(SEARCH(INDIRECT(ADDRESS(ROW(AI48),MOD(AI$1,4)+1)),AI$2)),$E48,"")</f>
        <v/>
      </c>
      <c r="AJ48" s="26" t="str" cm="1">
        <f t="array" aca="1" ref="AJ48" ca="1">IF(ISNUMBER(SEARCH(INDIRECT(ADDRESS(ROW(AJ48),MOD(AJ$1,4)+1)),AJ$2)),$E48,"")</f>
        <v/>
      </c>
      <c r="AK48" s="26" t="str" cm="1">
        <f t="array" aca="1" ref="AK48" ca="1">IF(ISNUMBER(SEARCH(INDIRECT(ADDRESS(ROW(AK48),MOD(AK$1,4)+1)),AK$2)),$E48,"")</f>
        <v/>
      </c>
      <c r="AL48" s="26" t="str" cm="1">
        <f t="array" aca="1" ref="AL48" ca="1">IF(ISNUMBER(SEARCH(INDIRECT(ADDRESS(ROW(AL48),MOD(AL$1,4)+1)),AL$2)),$E48,"")</f>
        <v/>
      </c>
      <c r="AM48" s="26" t="str" cm="1">
        <f t="array" aca="1" ref="AM48" ca="1">IF(ISNUMBER(SEARCH(INDIRECT(ADDRESS(ROW(AM48),MOD(AM$1,4)+1)),AM$2)),$E48,"")</f>
        <v/>
      </c>
      <c r="AN48" s="26" t="str" cm="1">
        <f t="array" aca="1" ref="AN48" ca="1">IF(ISNUMBER(SEARCH(INDIRECT(ADDRESS(ROW(AN48),MOD(AN$1,4)+1)),AN$2)),$E48,"")</f>
        <v/>
      </c>
      <c r="AO48" s="26" t="str" cm="1">
        <f t="array" aca="1" ref="AO48" ca="1">IF(ISNUMBER(SEARCH(INDIRECT(ADDRESS(ROW(AO48),MOD(AO$1,4)+1)),AO$2)),$E48,"")</f>
        <v/>
      </c>
      <c r="AP48" s="26" t="str" cm="1">
        <f t="array" aca="1" ref="AP48" ca="1">IF(ISNUMBER(SEARCH(INDIRECT(ADDRESS(ROW(AP48),MOD(AP$1,4)+1)),AP$2)),$E48,"")</f>
        <v/>
      </c>
      <c r="AQ48" s="31" t="str" cm="1">
        <f t="array" aca="1" ref="AQ48" ca="1">IF(ISNUMBER(SEARCH(INDIRECT(ADDRESS(ROW(AQ48),MOD(AQ$1,4)+1)),AQ$2)),$E48,"")</f>
        <v/>
      </c>
      <c r="AT48" t="e">
        <f>IF(VLOOKUP($E48,'Formatted NEW'!$B$2:$F$202,5,FALSE)=VLOOKUP($E48,'Formatted NEW'!$B$2:$F$202,8,FALSE),$E48,"")</f>
        <v>#N/A</v>
      </c>
      <c r="AW48" t="e">
        <f>IF(VLOOKUP($E48,'Formatted NEW'!$B$2:$F$202,5,FALSE)=VLOOKUP($E48,'Formatted NEW'!$B$2:$F$202,11,FALSE),$E48,"")</f>
        <v>#N/A</v>
      </c>
      <c r="AZ48" t="e">
        <f>IF(VLOOKUP($E48,'Formatted NEW'!$B$2:$F$202,5,FALSE)=VLOOKUP($E48,'Formatted NEW'!$B$2:$F$202,14,FALSE),$E48,"")</f>
        <v>#N/A</v>
      </c>
      <c r="BC48" t="str">
        <f>VLOOKUP($E48,'Formatted NEW'!$M$2:$T$202,6,FALSE)</f>
        <v>ORTHO_BOTH</v>
      </c>
      <c r="BD48" s="26" t="e">
        <f>VLOOKUP(VLOOKUP(VLOOKUP($E48,'Formatted NEW'!$M$2:$O$202,2,FALSE),'Formatted NEW'!$D$2:$F$202,7,FALSE),'Formatted NEW'!$D$2:$O$202,12,FALSE)</f>
        <v>#REF!</v>
      </c>
      <c r="BE48" t="e">
        <f>VLOOKUP($BD48,'Formatted NEW'!$M$2:$T$202,5,FALSE)</f>
        <v>#REF!</v>
      </c>
      <c r="BF48" s="26" t="e">
        <f t="shared" si="1"/>
        <v>#REF!</v>
      </c>
      <c r="BH48">
        <f>VLOOKUP($E48,'Formatted NEW'!$M$2:$T$202,4,FALSE)</f>
        <v>0</v>
      </c>
      <c r="BI48" s="26" t="e">
        <f>VLOOKUP(VLOOKUP(VLOOKUP($E48,'Formatted NEW'!$M$2:$O$202,2,FALSE),'Formatted NEW'!$D$2:$F$202,10,FALSE),'Formatted NEW'!$D$2:$O$202,12,FALSE)</f>
        <v>#REF!</v>
      </c>
      <c r="BJ48" t="e">
        <f>VLOOKUP($BI48,'Formatted NEW'!$M$2:$T$202,3,FALSE)</f>
        <v>#REF!</v>
      </c>
      <c r="BK48" s="26" t="e">
        <f t="shared" si="2"/>
        <v>#REF!</v>
      </c>
    </row>
    <row r="49" spans="1:63" x14ac:dyDescent="0.25">
      <c r="A49" t="str">
        <f>'Formatted NEW'!Q47</f>
        <v>ORTHO_BOTH</v>
      </c>
      <c r="B49" t="str">
        <f>'Formatted NEW'!R47</f>
        <v>EMPTY</v>
      </c>
      <c r="C49" t="str">
        <f>'Formatted NEW'!S47</f>
        <v>DIAG_BOTH</v>
      </c>
      <c r="D49" t="str">
        <f>'Formatted NEW'!T47</f>
        <v>ORTHO_BOTH</v>
      </c>
      <c r="E49" s="26">
        <f t="shared" si="3"/>
        <v>45</v>
      </c>
      <c r="H49" s="30" t="str" cm="1">
        <f t="array" aca="1" ref="H49" ca="1">IF(ISNUMBER(SEARCH(INDIRECT(ADDRESS(ROW(H49),MOD(H$1,4)+1)),H$2)),$E49,"")</f>
        <v/>
      </c>
      <c r="I49" s="26" t="str" cm="1">
        <f t="array" aca="1" ref="I49" ca="1">IF(ISNUMBER(SEARCH(INDIRECT(ADDRESS(ROW(I49),MOD(I$1,4)+1)),I$2)),$E49,"")</f>
        <v/>
      </c>
      <c r="J49" s="26" t="str" cm="1">
        <f t="array" aca="1" ref="J49" ca="1">IF(ISNUMBER(SEARCH(INDIRECT(ADDRESS(ROW(J49),MOD(J$1,4)+1)),J$2)),$E49,"")</f>
        <v/>
      </c>
      <c r="K49" s="26" t="str" cm="1">
        <f t="array" aca="1" ref="K49" ca="1">IF(ISNUMBER(SEARCH(INDIRECT(ADDRESS(ROW(K49),MOD(K$1,4)+1)),K$2)),$E49,"")</f>
        <v/>
      </c>
      <c r="L49" s="26" t="str" cm="1">
        <f t="array" aca="1" ref="L49" ca="1">IF(ISNUMBER(SEARCH(INDIRECT(ADDRESS(ROW(L49),MOD(L$1,4)+1)),L$2)),$E49,"")</f>
        <v/>
      </c>
      <c r="M49" s="26" t="str" cm="1">
        <f t="array" aca="1" ref="M49" ca="1">IF(ISNUMBER(SEARCH(INDIRECT(ADDRESS(ROW(M49),MOD(M$1,4)+1)),M$2)),$E49,"")</f>
        <v/>
      </c>
      <c r="N49" s="26" cm="1">
        <f t="array" aca="1" ref="N49" ca="1">IF(ISNUMBER(SEARCH(INDIRECT(ADDRESS(ROW(N49),MOD(N$1,4)+1)),N$2)),$E49,"")</f>
        <v>45</v>
      </c>
      <c r="O49" s="26" t="str" cm="1">
        <f t="array" aca="1" ref="O49" ca="1">IF(ISNUMBER(SEARCH(INDIRECT(ADDRESS(ROW(O49),MOD(O$1,4)+1)),O$2)),$E49,"")</f>
        <v/>
      </c>
      <c r="P49" s="26" cm="1">
        <f t="array" aca="1" ref="P49" ca="1">IF(ISNUMBER(SEARCH(INDIRECT(ADDRESS(ROW(P49),MOD(P$1,4)+1)),P$2)),$E49,"")</f>
        <v>45</v>
      </c>
      <c r="Q49" s="26" t="str" cm="1">
        <f t="array" aca="1" ref="Q49" ca="1">IF(ISNUMBER(SEARCH(INDIRECT(ADDRESS(ROW(Q49),MOD(Q$1,4)+1)),Q$2)),$E49,"")</f>
        <v/>
      </c>
      <c r="R49" s="26" t="str" cm="1">
        <f t="array" aca="1" ref="R49" ca="1">IF(ISNUMBER(SEARCH(INDIRECT(ADDRESS(ROW(R49),MOD(R$1,4)+1)),R$2)),$E49,"")</f>
        <v/>
      </c>
      <c r="S49" s="26" cm="1">
        <f t="array" aca="1" ref="S49" ca="1">IF(ISNUMBER(SEARCH(INDIRECT(ADDRESS(ROW(S49),MOD(S$1,4)+1)),S$2)),$E49,"")</f>
        <v>45</v>
      </c>
      <c r="T49" s="26" t="str" cm="1">
        <f t="array" aca="1" ref="T49" ca="1">IF(ISNUMBER(SEARCH(INDIRECT(ADDRESS(ROW(T49),MOD(T$1,4)+1)),T$2)),$E49,"")</f>
        <v/>
      </c>
      <c r="U49" s="26" t="str" cm="1">
        <f t="array" aca="1" ref="U49" ca="1">IF(ISNUMBER(SEARCH(INDIRECT(ADDRESS(ROW(U49),MOD(U$1,4)+1)),U$2)),$E49,"")</f>
        <v/>
      </c>
      <c r="V49" s="26" t="str" cm="1">
        <f t="array" aca="1" ref="V49" ca="1">IF(ISNUMBER(SEARCH(INDIRECT(ADDRESS(ROW(V49),MOD(V$1,4)+1)),V$2)),$E49,"")</f>
        <v/>
      </c>
      <c r="W49" s="26" t="str" cm="1">
        <f t="array" aca="1" ref="W49" ca="1">IF(ISNUMBER(SEARCH(INDIRECT(ADDRESS(ROW(W49),MOD(W$1,4)+1)),W$2)),$E49,"")</f>
        <v/>
      </c>
      <c r="X49" s="26" t="str" cm="1">
        <f t="array" aca="1" ref="X49" ca="1">IF(ISNUMBER(SEARCH(INDIRECT(ADDRESS(ROW(X49),MOD(X$1,4)+1)),X$2)),$E49,"")</f>
        <v/>
      </c>
      <c r="Y49" s="26" t="str" cm="1">
        <f t="array" aca="1" ref="Y49" ca="1">IF(ISNUMBER(SEARCH(INDIRECT(ADDRESS(ROW(Y49),MOD(Y$1,4)+1)),Y$2)),$E49,"")</f>
        <v/>
      </c>
      <c r="Z49" s="26" t="str" cm="1">
        <f t="array" aca="1" ref="Z49" ca="1">IF(ISNUMBER(SEARCH(INDIRECT(ADDRESS(ROW(Z49),MOD(Z$1,4)+1)),Z$2)),$E49,"")</f>
        <v/>
      </c>
      <c r="AA49" s="26" t="str" cm="1">
        <f t="array" aca="1" ref="AA49" ca="1">IF(ISNUMBER(SEARCH(INDIRECT(ADDRESS(ROW(AA49),MOD(AA$1,4)+1)),AA$2)),$E49,"")</f>
        <v/>
      </c>
      <c r="AB49" s="26" t="str" cm="1">
        <f t="array" aca="1" ref="AB49" ca="1">IF(ISNUMBER(SEARCH(INDIRECT(ADDRESS(ROW(AB49),MOD(AB$1,4)+1)),AB$2)),$E49,"")</f>
        <v/>
      </c>
      <c r="AC49" s="26" t="str" cm="1">
        <f t="array" aca="1" ref="AC49" ca="1">IF(ISNUMBER(SEARCH(INDIRECT(ADDRESS(ROW(AC49),MOD(AC$1,4)+1)),AC$2)),$E49,"")</f>
        <v/>
      </c>
      <c r="AD49" s="26" t="str" cm="1">
        <f t="array" aca="1" ref="AD49" ca="1">IF(ISNUMBER(SEARCH(INDIRECT(ADDRESS(ROW(AD49),MOD(AD$1,4)+1)),AD$2)),$E49,"")</f>
        <v/>
      </c>
      <c r="AE49" s="26" t="str" cm="1">
        <f t="array" aca="1" ref="AE49" ca="1">IF(ISNUMBER(SEARCH(INDIRECT(ADDRESS(ROW(AE49),MOD(AE$1,4)+1)),AE$2)),$E49,"")</f>
        <v/>
      </c>
      <c r="AF49" s="26" t="str" cm="1">
        <f t="array" aca="1" ref="AF49" ca="1">IF(ISNUMBER(SEARCH(INDIRECT(ADDRESS(ROW(AF49),MOD(AF$1,4)+1)),AF$2)),$E49,"")</f>
        <v/>
      </c>
      <c r="AG49" s="26" t="str" cm="1">
        <f t="array" aca="1" ref="AG49" ca="1">IF(ISNUMBER(SEARCH(INDIRECT(ADDRESS(ROW(AG49),MOD(AG$1,4)+1)),AG$2)),$E49,"")</f>
        <v/>
      </c>
      <c r="AH49" s="26" t="str" cm="1">
        <f t="array" aca="1" ref="AH49" ca="1">IF(ISNUMBER(SEARCH(INDIRECT(ADDRESS(ROW(AH49),MOD(AH$1,4)+1)),AH$2)),$E49,"")</f>
        <v/>
      </c>
      <c r="AI49" s="26" t="str" cm="1">
        <f t="array" aca="1" ref="AI49" ca="1">IF(ISNUMBER(SEARCH(INDIRECT(ADDRESS(ROW(AI49),MOD(AI$1,4)+1)),AI$2)),$E49,"")</f>
        <v/>
      </c>
      <c r="AJ49" s="26" t="str" cm="1">
        <f t="array" aca="1" ref="AJ49" ca="1">IF(ISNUMBER(SEARCH(INDIRECT(ADDRESS(ROW(AJ49),MOD(AJ$1,4)+1)),AJ$2)),$E49,"")</f>
        <v/>
      </c>
      <c r="AK49" s="26" t="str" cm="1">
        <f t="array" aca="1" ref="AK49" ca="1">IF(ISNUMBER(SEARCH(INDIRECT(ADDRESS(ROW(AK49),MOD(AK$1,4)+1)),AK$2)),$E49,"")</f>
        <v/>
      </c>
      <c r="AL49" s="26" t="str" cm="1">
        <f t="array" aca="1" ref="AL49" ca="1">IF(ISNUMBER(SEARCH(INDIRECT(ADDRESS(ROW(AL49),MOD(AL$1,4)+1)),AL$2)),$E49,"")</f>
        <v/>
      </c>
      <c r="AM49" s="26" t="str" cm="1">
        <f t="array" aca="1" ref="AM49" ca="1">IF(ISNUMBER(SEARCH(INDIRECT(ADDRESS(ROW(AM49),MOD(AM$1,4)+1)),AM$2)),$E49,"")</f>
        <v/>
      </c>
      <c r="AN49" s="26" t="str" cm="1">
        <f t="array" aca="1" ref="AN49" ca="1">IF(ISNUMBER(SEARCH(INDIRECT(ADDRESS(ROW(AN49),MOD(AN$1,4)+1)),AN$2)),$E49,"")</f>
        <v/>
      </c>
      <c r="AO49" s="26" t="str" cm="1">
        <f t="array" aca="1" ref="AO49" ca="1">IF(ISNUMBER(SEARCH(INDIRECT(ADDRESS(ROW(AO49),MOD(AO$1,4)+1)),AO$2)),$E49,"")</f>
        <v/>
      </c>
      <c r="AP49" s="26" t="str" cm="1">
        <f t="array" aca="1" ref="AP49" ca="1">IF(ISNUMBER(SEARCH(INDIRECT(ADDRESS(ROW(AP49),MOD(AP$1,4)+1)),AP$2)),$E49,"")</f>
        <v/>
      </c>
      <c r="AQ49" s="31" t="str" cm="1">
        <f t="array" aca="1" ref="AQ49" ca="1">IF(ISNUMBER(SEARCH(INDIRECT(ADDRESS(ROW(AQ49),MOD(AQ$1,4)+1)),AQ$2)),$E49,"")</f>
        <v/>
      </c>
      <c r="AT49" t="e">
        <f>IF(VLOOKUP($E49,'Formatted NEW'!$B$2:$F$202,5,FALSE)=VLOOKUP($E49,'Formatted NEW'!$B$2:$F$202,8,FALSE),$E49,"")</f>
        <v>#N/A</v>
      </c>
      <c r="AW49" t="e">
        <f>IF(VLOOKUP($E49,'Formatted NEW'!$B$2:$F$202,5,FALSE)=VLOOKUP($E49,'Formatted NEW'!$B$2:$F$202,11,FALSE),$E49,"")</f>
        <v>#N/A</v>
      </c>
      <c r="AZ49" t="e">
        <f>IF(VLOOKUP($E49,'Formatted NEW'!$B$2:$F$202,5,FALSE)=VLOOKUP($E49,'Formatted NEW'!$B$2:$F$202,14,FALSE),$E49,"")</f>
        <v>#N/A</v>
      </c>
      <c r="BC49" t="str">
        <f>VLOOKUP($E49,'Formatted NEW'!$M$2:$T$202,6,FALSE)</f>
        <v>EMPTY</v>
      </c>
      <c r="BD49" s="26" t="e">
        <f>VLOOKUP(VLOOKUP(VLOOKUP($E49,'Formatted NEW'!$M$2:$O$202,2,FALSE),'Formatted NEW'!$D$2:$F$202,7,FALSE),'Formatted NEW'!$D$2:$O$202,12,FALSE)</f>
        <v>#REF!</v>
      </c>
      <c r="BE49" t="e">
        <f>VLOOKUP($BD49,'Formatted NEW'!$M$2:$T$202,5,FALSE)</f>
        <v>#REF!</v>
      </c>
      <c r="BF49" s="26" t="e">
        <f t="shared" si="1"/>
        <v>#REF!</v>
      </c>
      <c r="BH49">
        <f>VLOOKUP($E49,'Formatted NEW'!$M$2:$T$202,4,FALSE)</f>
        <v>0</v>
      </c>
      <c r="BI49" s="26" t="e">
        <f>VLOOKUP(VLOOKUP(VLOOKUP($E49,'Formatted NEW'!$M$2:$O$202,2,FALSE),'Formatted NEW'!$D$2:$F$202,10,FALSE),'Formatted NEW'!$D$2:$O$202,12,FALSE)</f>
        <v>#REF!</v>
      </c>
      <c r="BJ49" t="e">
        <f>VLOOKUP($BI49,'Formatted NEW'!$M$2:$T$202,3,FALSE)</f>
        <v>#REF!</v>
      </c>
      <c r="BK49" s="26" t="e">
        <f t="shared" si="2"/>
        <v>#REF!</v>
      </c>
    </row>
    <row r="50" spans="1:63" x14ac:dyDescent="0.25">
      <c r="A50" t="str">
        <f>'Formatted NEW'!Q48</f>
        <v>ORTHO_BOTH</v>
      </c>
      <c r="B50" t="str">
        <f>'Formatted NEW'!R48</f>
        <v>ORTHO_BOTH</v>
      </c>
      <c r="C50" t="str">
        <f>'Formatted NEW'!S48</f>
        <v>DIAG_BOTH</v>
      </c>
      <c r="D50" t="str">
        <f>'Formatted NEW'!T48</f>
        <v>ORTHO_BOTH</v>
      </c>
      <c r="E50" s="26">
        <f t="shared" si="3"/>
        <v>46</v>
      </c>
      <c r="H50" s="30" t="str" cm="1">
        <f t="array" aca="1" ref="H50" ca="1">IF(ISNUMBER(SEARCH(INDIRECT(ADDRESS(ROW(H50),MOD(H$1,4)+1)),H$2)),$E50,"")</f>
        <v/>
      </c>
      <c r="I50" s="26" t="str" cm="1">
        <f t="array" aca="1" ref="I50" ca="1">IF(ISNUMBER(SEARCH(INDIRECT(ADDRESS(ROW(I50),MOD(I$1,4)+1)),I$2)),$E50,"")</f>
        <v/>
      </c>
      <c r="J50" s="26" t="str" cm="1">
        <f t="array" aca="1" ref="J50" ca="1">IF(ISNUMBER(SEARCH(INDIRECT(ADDRESS(ROW(J50),MOD(J$1,4)+1)),J$2)),$E50,"")</f>
        <v/>
      </c>
      <c r="K50" s="26" t="str" cm="1">
        <f t="array" aca="1" ref="K50" ca="1">IF(ISNUMBER(SEARCH(INDIRECT(ADDRESS(ROW(K50),MOD(K$1,4)+1)),K$2)),$E50,"")</f>
        <v/>
      </c>
      <c r="L50" s="26" t="str" cm="1">
        <f t="array" aca="1" ref="L50" ca="1">IF(ISNUMBER(SEARCH(INDIRECT(ADDRESS(ROW(L50),MOD(L$1,4)+1)),L$2)),$E50,"")</f>
        <v/>
      </c>
      <c r="M50" s="26" t="str" cm="1">
        <f t="array" aca="1" ref="M50" ca="1">IF(ISNUMBER(SEARCH(INDIRECT(ADDRESS(ROW(M50),MOD(M$1,4)+1)),M$2)),$E50,"")</f>
        <v/>
      </c>
      <c r="N50" s="26" cm="1">
        <f t="array" aca="1" ref="N50" ca="1">IF(ISNUMBER(SEARCH(INDIRECT(ADDRESS(ROW(N50),MOD(N$1,4)+1)),N$2)),$E50,"")</f>
        <v>46</v>
      </c>
      <c r="O50" s="26" t="str" cm="1">
        <f t="array" aca="1" ref="O50" ca="1">IF(ISNUMBER(SEARCH(INDIRECT(ADDRESS(ROW(O50),MOD(O$1,4)+1)),O$2)),$E50,"")</f>
        <v/>
      </c>
      <c r="P50" s="26" cm="1">
        <f t="array" aca="1" ref="P50" ca="1">IF(ISNUMBER(SEARCH(INDIRECT(ADDRESS(ROW(P50),MOD(P$1,4)+1)),P$2)),$E50,"")</f>
        <v>46</v>
      </c>
      <c r="Q50" s="26" cm="1">
        <f t="array" aca="1" ref="Q50" ca="1">IF(ISNUMBER(SEARCH(INDIRECT(ADDRESS(ROW(Q50),MOD(Q$1,4)+1)),Q$2)),$E50,"")</f>
        <v>46</v>
      </c>
      <c r="R50" s="26" t="str" cm="1">
        <f t="array" aca="1" ref="R50" ca="1">IF(ISNUMBER(SEARCH(INDIRECT(ADDRESS(ROW(R50),MOD(R$1,4)+1)),R$2)),$E50,"")</f>
        <v/>
      </c>
      <c r="S50" s="26" cm="1">
        <f t="array" aca="1" ref="S50" ca="1">IF(ISNUMBER(SEARCH(INDIRECT(ADDRESS(ROW(S50),MOD(S$1,4)+1)),S$2)),$E50,"")</f>
        <v>46</v>
      </c>
      <c r="T50" s="26" t="str" cm="1">
        <f t="array" aca="1" ref="T50" ca="1">IF(ISNUMBER(SEARCH(INDIRECT(ADDRESS(ROW(T50),MOD(T$1,4)+1)),T$2)),$E50,"")</f>
        <v/>
      </c>
      <c r="U50" s="26" t="str" cm="1">
        <f t="array" aca="1" ref="U50" ca="1">IF(ISNUMBER(SEARCH(INDIRECT(ADDRESS(ROW(U50),MOD(U$1,4)+1)),U$2)),$E50,"")</f>
        <v/>
      </c>
      <c r="V50" s="26" t="str" cm="1">
        <f t="array" aca="1" ref="V50" ca="1">IF(ISNUMBER(SEARCH(INDIRECT(ADDRESS(ROW(V50),MOD(V$1,4)+1)),V$2)),$E50,"")</f>
        <v/>
      </c>
      <c r="W50" s="26" t="str" cm="1">
        <f t="array" aca="1" ref="W50" ca="1">IF(ISNUMBER(SEARCH(INDIRECT(ADDRESS(ROW(W50),MOD(W$1,4)+1)),W$2)),$E50,"")</f>
        <v/>
      </c>
      <c r="X50" s="26" t="str" cm="1">
        <f t="array" aca="1" ref="X50" ca="1">IF(ISNUMBER(SEARCH(INDIRECT(ADDRESS(ROW(X50),MOD(X$1,4)+1)),X$2)),$E50,"")</f>
        <v/>
      </c>
      <c r="Y50" s="26" t="str" cm="1">
        <f t="array" aca="1" ref="Y50" ca="1">IF(ISNUMBER(SEARCH(INDIRECT(ADDRESS(ROW(Y50),MOD(Y$1,4)+1)),Y$2)),$E50,"")</f>
        <v/>
      </c>
      <c r="Z50" s="26" t="str" cm="1">
        <f t="array" aca="1" ref="Z50" ca="1">IF(ISNUMBER(SEARCH(INDIRECT(ADDRESS(ROW(Z50),MOD(Z$1,4)+1)),Z$2)),$E50,"")</f>
        <v/>
      </c>
      <c r="AA50" s="26" t="str" cm="1">
        <f t="array" aca="1" ref="AA50" ca="1">IF(ISNUMBER(SEARCH(INDIRECT(ADDRESS(ROW(AA50),MOD(AA$1,4)+1)),AA$2)),$E50,"")</f>
        <v/>
      </c>
      <c r="AB50" s="26" t="str" cm="1">
        <f t="array" aca="1" ref="AB50" ca="1">IF(ISNUMBER(SEARCH(INDIRECT(ADDRESS(ROW(AB50),MOD(AB$1,4)+1)),AB$2)),$E50,"")</f>
        <v/>
      </c>
      <c r="AC50" s="26" t="str" cm="1">
        <f t="array" aca="1" ref="AC50" ca="1">IF(ISNUMBER(SEARCH(INDIRECT(ADDRESS(ROW(AC50),MOD(AC$1,4)+1)),AC$2)),$E50,"")</f>
        <v/>
      </c>
      <c r="AD50" s="26" t="str" cm="1">
        <f t="array" aca="1" ref="AD50" ca="1">IF(ISNUMBER(SEARCH(INDIRECT(ADDRESS(ROW(AD50),MOD(AD$1,4)+1)),AD$2)),$E50,"")</f>
        <v/>
      </c>
      <c r="AE50" s="26" t="str" cm="1">
        <f t="array" aca="1" ref="AE50" ca="1">IF(ISNUMBER(SEARCH(INDIRECT(ADDRESS(ROW(AE50),MOD(AE$1,4)+1)),AE$2)),$E50,"")</f>
        <v/>
      </c>
      <c r="AF50" s="26" t="str" cm="1">
        <f t="array" aca="1" ref="AF50" ca="1">IF(ISNUMBER(SEARCH(INDIRECT(ADDRESS(ROW(AF50),MOD(AF$1,4)+1)),AF$2)),$E50,"")</f>
        <v/>
      </c>
      <c r="AG50" s="26" t="str" cm="1">
        <f t="array" aca="1" ref="AG50" ca="1">IF(ISNUMBER(SEARCH(INDIRECT(ADDRESS(ROW(AG50),MOD(AG$1,4)+1)),AG$2)),$E50,"")</f>
        <v/>
      </c>
      <c r="AH50" s="26" t="str" cm="1">
        <f t="array" aca="1" ref="AH50" ca="1">IF(ISNUMBER(SEARCH(INDIRECT(ADDRESS(ROW(AH50),MOD(AH$1,4)+1)),AH$2)),$E50,"")</f>
        <v/>
      </c>
      <c r="AI50" s="26" t="str" cm="1">
        <f t="array" aca="1" ref="AI50" ca="1">IF(ISNUMBER(SEARCH(INDIRECT(ADDRESS(ROW(AI50),MOD(AI$1,4)+1)),AI$2)),$E50,"")</f>
        <v/>
      </c>
      <c r="AJ50" s="26" t="str" cm="1">
        <f t="array" aca="1" ref="AJ50" ca="1">IF(ISNUMBER(SEARCH(INDIRECT(ADDRESS(ROW(AJ50),MOD(AJ$1,4)+1)),AJ$2)),$E50,"")</f>
        <v/>
      </c>
      <c r="AK50" s="26" t="str" cm="1">
        <f t="array" aca="1" ref="AK50" ca="1">IF(ISNUMBER(SEARCH(INDIRECT(ADDRESS(ROW(AK50),MOD(AK$1,4)+1)),AK$2)),$E50,"")</f>
        <v/>
      </c>
      <c r="AL50" s="26" t="str" cm="1">
        <f t="array" aca="1" ref="AL50" ca="1">IF(ISNUMBER(SEARCH(INDIRECT(ADDRESS(ROW(AL50),MOD(AL$1,4)+1)),AL$2)),$E50,"")</f>
        <v/>
      </c>
      <c r="AM50" s="26" t="str" cm="1">
        <f t="array" aca="1" ref="AM50" ca="1">IF(ISNUMBER(SEARCH(INDIRECT(ADDRESS(ROW(AM50),MOD(AM$1,4)+1)),AM$2)),$E50,"")</f>
        <v/>
      </c>
      <c r="AN50" s="26" t="str" cm="1">
        <f t="array" aca="1" ref="AN50" ca="1">IF(ISNUMBER(SEARCH(INDIRECT(ADDRESS(ROW(AN50),MOD(AN$1,4)+1)),AN$2)),$E50,"")</f>
        <v/>
      </c>
      <c r="AO50" s="26" t="str" cm="1">
        <f t="array" aca="1" ref="AO50" ca="1">IF(ISNUMBER(SEARCH(INDIRECT(ADDRESS(ROW(AO50),MOD(AO$1,4)+1)),AO$2)),$E50,"")</f>
        <v/>
      </c>
      <c r="AP50" s="26" t="str" cm="1">
        <f t="array" aca="1" ref="AP50" ca="1">IF(ISNUMBER(SEARCH(INDIRECT(ADDRESS(ROW(AP50),MOD(AP$1,4)+1)),AP$2)),$E50,"")</f>
        <v/>
      </c>
      <c r="AQ50" s="31" t="str" cm="1">
        <f t="array" aca="1" ref="AQ50" ca="1">IF(ISNUMBER(SEARCH(INDIRECT(ADDRESS(ROW(AQ50),MOD(AQ$1,4)+1)),AQ$2)),$E50,"")</f>
        <v/>
      </c>
      <c r="AT50" t="e">
        <f>IF(VLOOKUP($E50,'Formatted NEW'!$B$2:$F$202,5,FALSE)=VLOOKUP($E50,'Formatted NEW'!$B$2:$F$202,8,FALSE),$E50,"")</f>
        <v>#N/A</v>
      </c>
      <c r="AW50" t="e">
        <f>IF(VLOOKUP($E50,'Formatted NEW'!$B$2:$F$202,5,FALSE)=VLOOKUP($E50,'Formatted NEW'!$B$2:$F$202,11,FALSE),$E50,"")</f>
        <v>#N/A</v>
      </c>
      <c r="AZ50" t="e">
        <f>IF(VLOOKUP($E50,'Formatted NEW'!$B$2:$F$202,5,FALSE)=VLOOKUP($E50,'Formatted NEW'!$B$2:$F$202,14,FALSE),$E50,"")</f>
        <v>#N/A</v>
      </c>
      <c r="BC50" t="str">
        <f>VLOOKUP($E50,'Formatted NEW'!$M$2:$T$202,6,FALSE)</f>
        <v>ORTHO_BOTH</v>
      </c>
      <c r="BD50" s="26" t="e">
        <f>VLOOKUP(VLOOKUP(VLOOKUP($E50,'Formatted NEW'!$M$2:$O$202,2,FALSE),'Formatted NEW'!$D$2:$F$202,7,FALSE),'Formatted NEW'!$D$2:$O$202,12,FALSE)</f>
        <v>#REF!</v>
      </c>
      <c r="BE50" t="e">
        <f>VLOOKUP($BD50,'Formatted NEW'!$M$2:$T$202,5,FALSE)</f>
        <v>#REF!</v>
      </c>
      <c r="BF50" s="26" t="e">
        <f t="shared" si="1"/>
        <v>#REF!</v>
      </c>
      <c r="BH50">
        <f>VLOOKUP($E50,'Formatted NEW'!$M$2:$T$202,4,FALSE)</f>
        <v>0</v>
      </c>
      <c r="BI50" s="26" t="e">
        <f>VLOOKUP(VLOOKUP(VLOOKUP($E50,'Formatted NEW'!$M$2:$O$202,2,FALSE),'Formatted NEW'!$D$2:$F$202,10,FALSE),'Formatted NEW'!$D$2:$O$202,12,FALSE)</f>
        <v>#REF!</v>
      </c>
      <c r="BJ50" t="e">
        <f>VLOOKUP($BI50,'Formatted NEW'!$M$2:$T$202,3,FALSE)</f>
        <v>#REF!</v>
      </c>
      <c r="BK50" s="26" t="e">
        <f t="shared" si="2"/>
        <v>#REF!</v>
      </c>
    </row>
    <row r="51" spans="1:63" x14ac:dyDescent="0.25">
      <c r="A51" t="str">
        <f>'Formatted NEW'!Q49</f>
        <v>ORTHO_BOTH</v>
      </c>
      <c r="B51" t="str">
        <f>'Formatted NEW'!R49</f>
        <v>EMPTY</v>
      </c>
      <c r="C51" t="str">
        <f>'Formatted NEW'!S49</f>
        <v>EMPTY</v>
      </c>
      <c r="D51" t="str">
        <f>'Formatted NEW'!T49</f>
        <v>ORTHO_BOTH</v>
      </c>
      <c r="E51" s="26">
        <f t="shared" si="3"/>
        <v>47</v>
      </c>
      <c r="H51" s="30" t="str" cm="1">
        <f t="array" aca="1" ref="H51" ca="1">IF(ISNUMBER(SEARCH(INDIRECT(ADDRESS(ROW(H51),MOD(H$1,4)+1)),H$2)),$E51,"")</f>
        <v/>
      </c>
      <c r="I51" s="26" t="str" cm="1">
        <f t="array" aca="1" ref="I51" ca="1">IF(ISNUMBER(SEARCH(INDIRECT(ADDRESS(ROW(I51),MOD(I$1,4)+1)),I$2)),$E51,"")</f>
        <v/>
      </c>
      <c r="J51" s="26" t="str" cm="1">
        <f t="array" aca="1" ref="J51" ca="1">IF(ISNUMBER(SEARCH(INDIRECT(ADDRESS(ROW(J51),MOD(J$1,4)+1)),J$2)),$E51,"")</f>
        <v/>
      </c>
      <c r="K51" s="26" t="str" cm="1">
        <f t="array" aca="1" ref="K51" ca="1">IF(ISNUMBER(SEARCH(INDIRECT(ADDRESS(ROW(K51),MOD(K$1,4)+1)),K$2)),$E51,"")</f>
        <v/>
      </c>
      <c r="L51" s="26" t="str" cm="1">
        <f t="array" aca="1" ref="L51" ca="1">IF(ISNUMBER(SEARCH(INDIRECT(ADDRESS(ROW(L51),MOD(L$1,4)+1)),L$2)),$E51,"")</f>
        <v/>
      </c>
      <c r="M51" s="26" t="str" cm="1">
        <f t="array" aca="1" ref="M51" ca="1">IF(ISNUMBER(SEARCH(INDIRECT(ADDRESS(ROW(M51),MOD(M$1,4)+1)),M$2)),$E51,"")</f>
        <v/>
      </c>
      <c r="N51" s="26" t="str" cm="1">
        <f t="array" aca="1" ref="N51" ca="1">IF(ISNUMBER(SEARCH(INDIRECT(ADDRESS(ROW(N51),MOD(N$1,4)+1)),N$2)),$E51,"")</f>
        <v/>
      </c>
      <c r="O51" s="26" t="str" cm="1">
        <f t="array" aca="1" ref="O51" ca="1">IF(ISNUMBER(SEARCH(INDIRECT(ADDRESS(ROW(O51),MOD(O$1,4)+1)),O$2)),$E51,"")</f>
        <v/>
      </c>
      <c r="P51" s="26" cm="1">
        <f t="array" aca="1" ref="P51" ca="1">IF(ISNUMBER(SEARCH(INDIRECT(ADDRESS(ROW(P51),MOD(P$1,4)+1)),P$2)),$E51,"")</f>
        <v>47</v>
      </c>
      <c r="Q51" s="26" t="str" cm="1">
        <f t="array" aca="1" ref="Q51" ca="1">IF(ISNUMBER(SEARCH(INDIRECT(ADDRESS(ROW(Q51),MOD(Q$1,4)+1)),Q$2)),$E51,"")</f>
        <v/>
      </c>
      <c r="R51" s="26" t="str" cm="1">
        <f t="array" aca="1" ref="R51" ca="1">IF(ISNUMBER(SEARCH(INDIRECT(ADDRESS(ROW(R51),MOD(R$1,4)+1)),R$2)),$E51,"")</f>
        <v/>
      </c>
      <c r="S51" s="26" cm="1">
        <f t="array" aca="1" ref="S51" ca="1">IF(ISNUMBER(SEARCH(INDIRECT(ADDRESS(ROW(S51),MOD(S$1,4)+1)),S$2)),$E51,"")</f>
        <v>47</v>
      </c>
      <c r="T51" s="26" t="str" cm="1">
        <f t="array" aca="1" ref="T51" ca="1">IF(ISNUMBER(SEARCH(INDIRECT(ADDRESS(ROW(T51),MOD(T$1,4)+1)),T$2)),$E51,"")</f>
        <v/>
      </c>
      <c r="U51" s="26" t="str" cm="1">
        <f t="array" aca="1" ref="U51" ca="1">IF(ISNUMBER(SEARCH(INDIRECT(ADDRESS(ROW(U51),MOD(U$1,4)+1)),U$2)),$E51,"")</f>
        <v/>
      </c>
      <c r="V51" s="26" t="str" cm="1">
        <f t="array" aca="1" ref="V51" ca="1">IF(ISNUMBER(SEARCH(INDIRECT(ADDRESS(ROW(V51),MOD(V$1,4)+1)),V$2)),$E51,"")</f>
        <v/>
      </c>
      <c r="W51" s="26" t="str" cm="1">
        <f t="array" aca="1" ref="W51" ca="1">IF(ISNUMBER(SEARCH(INDIRECT(ADDRESS(ROW(W51),MOD(W$1,4)+1)),W$2)),$E51,"")</f>
        <v/>
      </c>
      <c r="X51" s="26" t="str" cm="1">
        <f t="array" aca="1" ref="X51" ca="1">IF(ISNUMBER(SEARCH(INDIRECT(ADDRESS(ROW(X51),MOD(X$1,4)+1)),X$2)),$E51,"")</f>
        <v/>
      </c>
      <c r="Y51" s="26" t="str" cm="1">
        <f t="array" aca="1" ref="Y51" ca="1">IF(ISNUMBER(SEARCH(INDIRECT(ADDRESS(ROW(Y51),MOD(Y$1,4)+1)),Y$2)),$E51,"")</f>
        <v/>
      </c>
      <c r="Z51" s="26" t="str" cm="1">
        <f t="array" aca="1" ref="Z51" ca="1">IF(ISNUMBER(SEARCH(INDIRECT(ADDRESS(ROW(Z51),MOD(Z$1,4)+1)),Z$2)),$E51,"")</f>
        <v/>
      </c>
      <c r="AA51" s="26" t="str" cm="1">
        <f t="array" aca="1" ref="AA51" ca="1">IF(ISNUMBER(SEARCH(INDIRECT(ADDRESS(ROW(AA51),MOD(AA$1,4)+1)),AA$2)),$E51,"")</f>
        <v/>
      </c>
      <c r="AB51" s="26" t="str" cm="1">
        <f t="array" aca="1" ref="AB51" ca="1">IF(ISNUMBER(SEARCH(INDIRECT(ADDRESS(ROW(AB51),MOD(AB$1,4)+1)),AB$2)),$E51,"")</f>
        <v/>
      </c>
      <c r="AC51" s="26" t="str" cm="1">
        <f t="array" aca="1" ref="AC51" ca="1">IF(ISNUMBER(SEARCH(INDIRECT(ADDRESS(ROW(AC51),MOD(AC$1,4)+1)),AC$2)),$E51,"")</f>
        <v/>
      </c>
      <c r="AD51" s="26" t="str" cm="1">
        <f t="array" aca="1" ref="AD51" ca="1">IF(ISNUMBER(SEARCH(INDIRECT(ADDRESS(ROW(AD51),MOD(AD$1,4)+1)),AD$2)),$E51,"")</f>
        <v/>
      </c>
      <c r="AE51" s="26" t="str" cm="1">
        <f t="array" aca="1" ref="AE51" ca="1">IF(ISNUMBER(SEARCH(INDIRECT(ADDRESS(ROW(AE51),MOD(AE$1,4)+1)),AE$2)),$E51,"")</f>
        <v/>
      </c>
      <c r="AF51" s="26" t="str" cm="1">
        <f t="array" aca="1" ref="AF51" ca="1">IF(ISNUMBER(SEARCH(INDIRECT(ADDRESS(ROW(AF51),MOD(AF$1,4)+1)),AF$2)),$E51,"")</f>
        <v/>
      </c>
      <c r="AG51" s="26" t="str" cm="1">
        <f t="array" aca="1" ref="AG51" ca="1">IF(ISNUMBER(SEARCH(INDIRECT(ADDRESS(ROW(AG51),MOD(AG$1,4)+1)),AG$2)),$E51,"")</f>
        <v/>
      </c>
      <c r="AH51" s="26" t="str" cm="1">
        <f t="array" aca="1" ref="AH51" ca="1">IF(ISNUMBER(SEARCH(INDIRECT(ADDRESS(ROW(AH51),MOD(AH$1,4)+1)),AH$2)),$E51,"")</f>
        <v/>
      </c>
      <c r="AI51" s="26" t="str" cm="1">
        <f t="array" aca="1" ref="AI51" ca="1">IF(ISNUMBER(SEARCH(INDIRECT(ADDRESS(ROW(AI51),MOD(AI$1,4)+1)),AI$2)),$E51,"")</f>
        <v/>
      </c>
      <c r="AJ51" s="26" t="str" cm="1">
        <f t="array" aca="1" ref="AJ51" ca="1">IF(ISNUMBER(SEARCH(INDIRECT(ADDRESS(ROW(AJ51),MOD(AJ$1,4)+1)),AJ$2)),$E51,"")</f>
        <v/>
      </c>
      <c r="AK51" s="26" t="str" cm="1">
        <f t="array" aca="1" ref="AK51" ca="1">IF(ISNUMBER(SEARCH(INDIRECT(ADDRESS(ROW(AK51),MOD(AK$1,4)+1)),AK$2)),$E51,"")</f>
        <v/>
      </c>
      <c r="AL51" s="26" t="str" cm="1">
        <f t="array" aca="1" ref="AL51" ca="1">IF(ISNUMBER(SEARCH(INDIRECT(ADDRESS(ROW(AL51),MOD(AL$1,4)+1)),AL$2)),$E51,"")</f>
        <v/>
      </c>
      <c r="AM51" s="26" t="str" cm="1">
        <f t="array" aca="1" ref="AM51" ca="1">IF(ISNUMBER(SEARCH(INDIRECT(ADDRESS(ROW(AM51),MOD(AM$1,4)+1)),AM$2)),$E51,"")</f>
        <v/>
      </c>
      <c r="AN51" s="26" t="str" cm="1">
        <f t="array" aca="1" ref="AN51" ca="1">IF(ISNUMBER(SEARCH(INDIRECT(ADDRESS(ROW(AN51),MOD(AN$1,4)+1)),AN$2)),$E51,"")</f>
        <v/>
      </c>
      <c r="AO51" s="26" t="str" cm="1">
        <f t="array" aca="1" ref="AO51" ca="1">IF(ISNUMBER(SEARCH(INDIRECT(ADDRESS(ROW(AO51),MOD(AO$1,4)+1)),AO$2)),$E51,"")</f>
        <v/>
      </c>
      <c r="AP51" s="26" t="str" cm="1">
        <f t="array" aca="1" ref="AP51" ca="1">IF(ISNUMBER(SEARCH(INDIRECT(ADDRESS(ROW(AP51),MOD(AP$1,4)+1)),AP$2)),$E51,"")</f>
        <v/>
      </c>
      <c r="AQ51" s="31" t="str" cm="1">
        <f t="array" aca="1" ref="AQ51" ca="1">IF(ISNUMBER(SEARCH(INDIRECT(ADDRESS(ROW(AQ51),MOD(AQ$1,4)+1)),AQ$2)),$E51,"")</f>
        <v/>
      </c>
      <c r="AT51" t="e">
        <f>IF(VLOOKUP($E51,'Formatted NEW'!$B$2:$F$202,5,FALSE)=VLOOKUP($E51,'Formatted NEW'!$B$2:$F$202,8,FALSE),$E51,"")</f>
        <v>#N/A</v>
      </c>
      <c r="AW51" t="e">
        <f>IF(VLOOKUP($E51,'Formatted NEW'!$B$2:$F$202,5,FALSE)=VLOOKUP($E51,'Formatted NEW'!$B$2:$F$202,11,FALSE),$E51,"")</f>
        <v>#N/A</v>
      </c>
      <c r="AZ51" t="e">
        <f>IF(VLOOKUP($E51,'Formatted NEW'!$B$2:$F$202,5,FALSE)=VLOOKUP($E51,'Formatted NEW'!$B$2:$F$202,14,FALSE),$E51,"")</f>
        <v>#N/A</v>
      </c>
      <c r="BC51" t="str">
        <f>VLOOKUP($E51,'Formatted NEW'!$M$2:$T$202,6,FALSE)</f>
        <v>EMPTY</v>
      </c>
      <c r="BD51" s="26" t="e">
        <f>VLOOKUP(VLOOKUP(VLOOKUP($E51,'Formatted NEW'!$M$2:$O$202,2,FALSE),'Formatted NEW'!$D$2:$F$202,7,FALSE),'Formatted NEW'!$D$2:$O$202,12,FALSE)</f>
        <v>#REF!</v>
      </c>
      <c r="BE51" t="e">
        <f>VLOOKUP($BD51,'Formatted NEW'!$M$2:$T$202,5,FALSE)</f>
        <v>#REF!</v>
      </c>
      <c r="BF51" s="26" t="e">
        <f t="shared" si="1"/>
        <v>#REF!</v>
      </c>
      <c r="BH51">
        <f>VLOOKUP($E51,'Formatted NEW'!$M$2:$T$202,4,FALSE)</f>
        <v>0</v>
      </c>
      <c r="BI51" s="26" t="e">
        <f>VLOOKUP(VLOOKUP(VLOOKUP($E51,'Formatted NEW'!$M$2:$O$202,2,FALSE),'Formatted NEW'!$D$2:$F$202,10,FALSE),'Formatted NEW'!$D$2:$O$202,12,FALSE)</f>
        <v>#REF!</v>
      </c>
      <c r="BJ51" t="e">
        <f>VLOOKUP($BI51,'Formatted NEW'!$M$2:$T$202,3,FALSE)</f>
        <v>#REF!</v>
      </c>
      <c r="BK51" s="26" t="e">
        <f t="shared" si="2"/>
        <v>#REF!</v>
      </c>
    </row>
    <row r="52" spans="1:63" x14ac:dyDescent="0.25">
      <c r="A52" t="str">
        <f>'Formatted NEW'!Q50</f>
        <v>ORTHO_BOTH</v>
      </c>
      <c r="B52" t="str">
        <f>'Formatted NEW'!R50</f>
        <v>EMPTY</v>
      </c>
      <c r="C52" t="str">
        <f>'Formatted NEW'!S50</f>
        <v>ORTHO_BOTH</v>
      </c>
      <c r="D52" t="str">
        <f>'Formatted NEW'!T50</f>
        <v>EMPTY</v>
      </c>
      <c r="E52" s="26">
        <f t="shared" si="3"/>
        <v>48</v>
      </c>
      <c r="H52" s="30" t="str" cm="1">
        <f t="array" aca="1" ref="H52" ca="1">IF(ISNUMBER(SEARCH(INDIRECT(ADDRESS(ROW(H52),MOD(H$1,4)+1)),H$2)),$E52,"")</f>
        <v/>
      </c>
      <c r="I52" s="26" t="str" cm="1">
        <f t="array" aca="1" ref="I52" ca="1">IF(ISNUMBER(SEARCH(INDIRECT(ADDRESS(ROW(I52),MOD(I$1,4)+1)),I$2)),$E52,"")</f>
        <v/>
      </c>
      <c r="J52" s="26" t="str" cm="1">
        <f t="array" aca="1" ref="J52" ca="1">IF(ISNUMBER(SEARCH(INDIRECT(ADDRESS(ROW(J52),MOD(J$1,4)+1)),J$2)),$E52,"")</f>
        <v/>
      </c>
      <c r="K52" s="26" t="str" cm="1">
        <f t="array" aca="1" ref="K52" ca="1">IF(ISNUMBER(SEARCH(INDIRECT(ADDRESS(ROW(K52),MOD(K$1,4)+1)),K$2)),$E52,"")</f>
        <v/>
      </c>
      <c r="L52" s="26" t="str" cm="1">
        <f t="array" aca="1" ref="L52" ca="1">IF(ISNUMBER(SEARCH(INDIRECT(ADDRESS(ROW(L52),MOD(L$1,4)+1)),L$2)),$E52,"")</f>
        <v/>
      </c>
      <c r="M52" s="26" t="str" cm="1">
        <f t="array" aca="1" ref="M52" ca="1">IF(ISNUMBER(SEARCH(INDIRECT(ADDRESS(ROW(M52),MOD(M$1,4)+1)),M$2)),$E52,"")</f>
        <v/>
      </c>
      <c r="N52" s="26" t="str" cm="1">
        <f t="array" aca="1" ref="N52" ca="1">IF(ISNUMBER(SEARCH(INDIRECT(ADDRESS(ROW(N52),MOD(N$1,4)+1)),N$2)),$E52,"")</f>
        <v/>
      </c>
      <c r="O52" s="26" t="str" cm="1">
        <f t="array" aca="1" ref="O52" ca="1">IF(ISNUMBER(SEARCH(INDIRECT(ADDRESS(ROW(O52),MOD(O$1,4)+1)),O$2)),$E52,"")</f>
        <v/>
      </c>
      <c r="P52" s="26" cm="1">
        <f t="array" aca="1" ref="P52" ca="1">IF(ISNUMBER(SEARCH(INDIRECT(ADDRESS(ROW(P52),MOD(P$1,4)+1)),P$2)),$E52,"")</f>
        <v>48</v>
      </c>
      <c r="Q52" s="26" t="str" cm="1">
        <f t="array" aca="1" ref="Q52" ca="1">IF(ISNUMBER(SEARCH(INDIRECT(ADDRESS(ROW(Q52),MOD(Q$1,4)+1)),Q$2)),$E52,"")</f>
        <v/>
      </c>
      <c r="R52" s="26" cm="1">
        <f t="array" aca="1" ref="R52" ca="1">IF(ISNUMBER(SEARCH(INDIRECT(ADDRESS(ROW(R52),MOD(R$1,4)+1)),R$2)),$E52,"")</f>
        <v>48</v>
      </c>
      <c r="S52" s="26" t="str" cm="1">
        <f t="array" aca="1" ref="S52" ca="1">IF(ISNUMBER(SEARCH(INDIRECT(ADDRESS(ROW(S52),MOD(S$1,4)+1)),S$2)),$E52,"")</f>
        <v/>
      </c>
      <c r="T52" s="26" t="str" cm="1">
        <f t="array" aca="1" ref="T52" ca="1">IF(ISNUMBER(SEARCH(INDIRECT(ADDRESS(ROW(T52),MOD(T$1,4)+1)),T$2)),$E52,"")</f>
        <v/>
      </c>
      <c r="U52" s="26" t="str" cm="1">
        <f t="array" aca="1" ref="U52" ca="1">IF(ISNUMBER(SEARCH(INDIRECT(ADDRESS(ROW(U52),MOD(U$1,4)+1)),U$2)),$E52,"")</f>
        <v/>
      </c>
      <c r="V52" s="26" t="str" cm="1">
        <f t="array" aca="1" ref="V52" ca="1">IF(ISNUMBER(SEARCH(INDIRECT(ADDRESS(ROW(V52),MOD(V$1,4)+1)),V$2)),$E52,"")</f>
        <v/>
      </c>
      <c r="W52" s="26" t="str" cm="1">
        <f t="array" aca="1" ref="W52" ca="1">IF(ISNUMBER(SEARCH(INDIRECT(ADDRESS(ROW(W52),MOD(W$1,4)+1)),W$2)),$E52,"")</f>
        <v/>
      </c>
      <c r="X52" s="26" t="str" cm="1">
        <f t="array" aca="1" ref="X52" ca="1">IF(ISNUMBER(SEARCH(INDIRECT(ADDRESS(ROW(X52),MOD(X$1,4)+1)),X$2)),$E52,"")</f>
        <v/>
      </c>
      <c r="Y52" s="26" t="str" cm="1">
        <f t="array" aca="1" ref="Y52" ca="1">IF(ISNUMBER(SEARCH(INDIRECT(ADDRESS(ROW(Y52),MOD(Y$1,4)+1)),Y$2)),$E52,"")</f>
        <v/>
      </c>
      <c r="Z52" s="26" t="str" cm="1">
        <f t="array" aca="1" ref="Z52" ca="1">IF(ISNUMBER(SEARCH(INDIRECT(ADDRESS(ROW(Z52),MOD(Z$1,4)+1)),Z$2)),$E52,"")</f>
        <v/>
      </c>
      <c r="AA52" s="26" t="str" cm="1">
        <f t="array" aca="1" ref="AA52" ca="1">IF(ISNUMBER(SEARCH(INDIRECT(ADDRESS(ROW(AA52),MOD(AA$1,4)+1)),AA$2)),$E52,"")</f>
        <v/>
      </c>
      <c r="AB52" s="26" t="str" cm="1">
        <f t="array" aca="1" ref="AB52" ca="1">IF(ISNUMBER(SEARCH(INDIRECT(ADDRESS(ROW(AB52),MOD(AB$1,4)+1)),AB$2)),$E52,"")</f>
        <v/>
      </c>
      <c r="AC52" s="26" t="str" cm="1">
        <f t="array" aca="1" ref="AC52" ca="1">IF(ISNUMBER(SEARCH(INDIRECT(ADDRESS(ROW(AC52),MOD(AC$1,4)+1)),AC$2)),$E52,"")</f>
        <v/>
      </c>
      <c r="AD52" s="26" t="str" cm="1">
        <f t="array" aca="1" ref="AD52" ca="1">IF(ISNUMBER(SEARCH(INDIRECT(ADDRESS(ROW(AD52),MOD(AD$1,4)+1)),AD$2)),$E52,"")</f>
        <v/>
      </c>
      <c r="AE52" s="26" t="str" cm="1">
        <f t="array" aca="1" ref="AE52" ca="1">IF(ISNUMBER(SEARCH(INDIRECT(ADDRESS(ROW(AE52),MOD(AE$1,4)+1)),AE$2)),$E52,"")</f>
        <v/>
      </c>
      <c r="AF52" s="26" t="str" cm="1">
        <f t="array" aca="1" ref="AF52" ca="1">IF(ISNUMBER(SEARCH(INDIRECT(ADDRESS(ROW(AF52),MOD(AF$1,4)+1)),AF$2)),$E52,"")</f>
        <v/>
      </c>
      <c r="AG52" s="26" t="str" cm="1">
        <f t="array" aca="1" ref="AG52" ca="1">IF(ISNUMBER(SEARCH(INDIRECT(ADDRESS(ROW(AG52),MOD(AG$1,4)+1)),AG$2)),$E52,"")</f>
        <v/>
      </c>
      <c r="AH52" s="26" t="str" cm="1">
        <f t="array" aca="1" ref="AH52" ca="1">IF(ISNUMBER(SEARCH(INDIRECT(ADDRESS(ROW(AH52),MOD(AH$1,4)+1)),AH$2)),$E52,"")</f>
        <v/>
      </c>
      <c r="AI52" s="26" t="str" cm="1">
        <f t="array" aca="1" ref="AI52" ca="1">IF(ISNUMBER(SEARCH(INDIRECT(ADDRESS(ROW(AI52),MOD(AI$1,4)+1)),AI$2)),$E52,"")</f>
        <v/>
      </c>
      <c r="AJ52" s="26" t="str" cm="1">
        <f t="array" aca="1" ref="AJ52" ca="1">IF(ISNUMBER(SEARCH(INDIRECT(ADDRESS(ROW(AJ52),MOD(AJ$1,4)+1)),AJ$2)),$E52,"")</f>
        <v/>
      </c>
      <c r="AK52" s="26" t="str" cm="1">
        <f t="array" aca="1" ref="AK52" ca="1">IF(ISNUMBER(SEARCH(INDIRECT(ADDRESS(ROW(AK52),MOD(AK$1,4)+1)),AK$2)),$E52,"")</f>
        <v/>
      </c>
      <c r="AL52" s="26" t="str" cm="1">
        <f t="array" aca="1" ref="AL52" ca="1">IF(ISNUMBER(SEARCH(INDIRECT(ADDRESS(ROW(AL52),MOD(AL$1,4)+1)),AL$2)),$E52,"")</f>
        <v/>
      </c>
      <c r="AM52" s="26" t="str" cm="1">
        <f t="array" aca="1" ref="AM52" ca="1">IF(ISNUMBER(SEARCH(INDIRECT(ADDRESS(ROW(AM52),MOD(AM$1,4)+1)),AM$2)),$E52,"")</f>
        <v/>
      </c>
      <c r="AN52" s="26" t="str" cm="1">
        <f t="array" aca="1" ref="AN52" ca="1">IF(ISNUMBER(SEARCH(INDIRECT(ADDRESS(ROW(AN52),MOD(AN$1,4)+1)),AN$2)),$E52,"")</f>
        <v/>
      </c>
      <c r="AO52" s="26" t="str" cm="1">
        <f t="array" aca="1" ref="AO52" ca="1">IF(ISNUMBER(SEARCH(INDIRECT(ADDRESS(ROW(AO52),MOD(AO$1,4)+1)),AO$2)),$E52,"")</f>
        <v/>
      </c>
      <c r="AP52" s="26" t="str" cm="1">
        <f t="array" aca="1" ref="AP52" ca="1">IF(ISNUMBER(SEARCH(INDIRECT(ADDRESS(ROW(AP52),MOD(AP$1,4)+1)),AP$2)),$E52,"")</f>
        <v/>
      </c>
      <c r="AQ52" s="31" t="str" cm="1">
        <f t="array" aca="1" ref="AQ52" ca="1">IF(ISNUMBER(SEARCH(INDIRECT(ADDRESS(ROW(AQ52),MOD(AQ$1,4)+1)),AQ$2)),$E52,"")</f>
        <v/>
      </c>
      <c r="AT52" t="e">
        <f>IF(VLOOKUP($E52,'Formatted NEW'!$B$2:$F$202,5,FALSE)=VLOOKUP($E52,'Formatted NEW'!$B$2:$F$202,8,FALSE),$E52,"")</f>
        <v>#N/A</v>
      </c>
      <c r="AW52" t="e">
        <f>IF(VLOOKUP($E52,'Formatted NEW'!$B$2:$F$202,5,FALSE)=VLOOKUP($E52,'Formatted NEW'!$B$2:$F$202,11,FALSE),$E52,"")</f>
        <v>#N/A</v>
      </c>
      <c r="AZ52" t="e">
        <f>IF(VLOOKUP($E52,'Formatted NEW'!$B$2:$F$202,5,FALSE)=VLOOKUP($E52,'Formatted NEW'!$B$2:$F$202,14,FALSE),$E52,"")</f>
        <v>#N/A</v>
      </c>
      <c r="BC52" t="str">
        <f>VLOOKUP($E52,'Formatted NEW'!$M$2:$T$202,6,FALSE)</f>
        <v>EMPTY</v>
      </c>
      <c r="BD52" s="26" t="e">
        <f>VLOOKUP(VLOOKUP(VLOOKUP($E52,'Formatted NEW'!$M$2:$O$202,2,FALSE),'Formatted NEW'!$D$2:$F$202,7,FALSE),'Formatted NEW'!$D$2:$O$202,12,FALSE)</f>
        <v>#REF!</v>
      </c>
      <c r="BE52" t="e">
        <f>VLOOKUP($BD52,'Formatted NEW'!$M$2:$T$202,5,FALSE)</f>
        <v>#REF!</v>
      </c>
      <c r="BF52" s="26" t="e">
        <f t="shared" si="1"/>
        <v>#REF!</v>
      </c>
      <c r="BH52">
        <f>VLOOKUP($E52,'Formatted NEW'!$M$2:$T$202,4,FALSE)</f>
        <v>0</v>
      </c>
      <c r="BI52" s="26" t="e">
        <f>VLOOKUP(VLOOKUP(VLOOKUP($E52,'Formatted NEW'!$M$2:$O$202,2,FALSE),'Formatted NEW'!$D$2:$F$202,10,FALSE),'Formatted NEW'!$D$2:$O$202,12,FALSE)</f>
        <v>#REF!</v>
      </c>
      <c r="BJ52" t="e">
        <f>VLOOKUP($BI52,'Formatted NEW'!$M$2:$T$202,3,FALSE)</f>
        <v>#REF!</v>
      </c>
      <c r="BK52" s="26" t="e">
        <f t="shared" si="2"/>
        <v>#REF!</v>
      </c>
    </row>
    <row r="53" spans="1:63" x14ac:dyDescent="0.25">
      <c r="A53" t="str">
        <f>'Formatted NEW'!Q51</f>
        <v>EMPTY</v>
      </c>
      <c r="B53" t="str">
        <f>'Formatted NEW'!R51</f>
        <v>ORTHO_BOTH</v>
      </c>
      <c r="C53" t="str">
        <f>'Formatted NEW'!S51</f>
        <v>EMPTY</v>
      </c>
      <c r="D53" t="str">
        <f>'Formatted NEW'!T51</f>
        <v>ORTHO_BOTH</v>
      </c>
      <c r="E53" s="26">
        <f t="shared" si="3"/>
        <v>49</v>
      </c>
      <c r="H53" s="30" t="str" cm="1">
        <f t="array" aca="1" ref="H53" ca="1">IF(ISNUMBER(SEARCH(INDIRECT(ADDRESS(ROW(H53),MOD(H$1,4)+1)),H$2)),$E53,"")</f>
        <v/>
      </c>
      <c r="I53" s="26" t="str" cm="1">
        <f t="array" aca="1" ref="I53" ca="1">IF(ISNUMBER(SEARCH(INDIRECT(ADDRESS(ROW(I53),MOD(I$1,4)+1)),I$2)),$E53,"")</f>
        <v/>
      </c>
      <c r="J53" s="26" t="str" cm="1">
        <f t="array" aca="1" ref="J53" ca="1">IF(ISNUMBER(SEARCH(INDIRECT(ADDRESS(ROW(J53),MOD(J$1,4)+1)),J$2)),$E53,"")</f>
        <v/>
      </c>
      <c r="K53" s="26" t="str" cm="1">
        <f t="array" aca="1" ref="K53" ca="1">IF(ISNUMBER(SEARCH(INDIRECT(ADDRESS(ROW(K53),MOD(K$1,4)+1)),K$2)),$E53,"")</f>
        <v/>
      </c>
      <c r="L53" s="26" t="str" cm="1">
        <f t="array" aca="1" ref="L53" ca="1">IF(ISNUMBER(SEARCH(INDIRECT(ADDRESS(ROW(L53),MOD(L$1,4)+1)),L$2)),$E53,"")</f>
        <v/>
      </c>
      <c r="M53" s="26" t="str" cm="1">
        <f t="array" aca="1" ref="M53" ca="1">IF(ISNUMBER(SEARCH(INDIRECT(ADDRESS(ROW(M53),MOD(M$1,4)+1)),M$2)),$E53,"")</f>
        <v/>
      </c>
      <c r="N53" s="26" t="str" cm="1">
        <f t="array" aca="1" ref="N53" ca="1">IF(ISNUMBER(SEARCH(INDIRECT(ADDRESS(ROW(N53),MOD(N$1,4)+1)),N$2)),$E53,"")</f>
        <v/>
      </c>
      <c r="O53" s="26" t="str" cm="1">
        <f t="array" aca="1" ref="O53" ca="1">IF(ISNUMBER(SEARCH(INDIRECT(ADDRESS(ROW(O53),MOD(O$1,4)+1)),O$2)),$E53,"")</f>
        <v/>
      </c>
      <c r="P53" s="26" t="str" cm="1">
        <f t="array" aca="1" ref="P53" ca="1">IF(ISNUMBER(SEARCH(INDIRECT(ADDRESS(ROW(P53),MOD(P$1,4)+1)),P$2)),$E53,"")</f>
        <v/>
      </c>
      <c r="Q53" s="26" cm="1">
        <f t="array" aca="1" ref="Q53" ca="1">IF(ISNUMBER(SEARCH(INDIRECT(ADDRESS(ROW(Q53),MOD(Q$1,4)+1)),Q$2)),$E53,"")</f>
        <v>49</v>
      </c>
      <c r="R53" s="26" t="str" cm="1">
        <f t="array" aca="1" ref="R53" ca="1">IF(ISNUMBER(SEARCH(INDIRECT(ADDRESS(ROW(R53),MOD(R$1,4)+1)),R$2)),$E53,"")</f>
        <v/>
      </c>
      <c r="S53" s="26" cm="1">
        <f t="array" aca="1" ref="S53" ca="1">IF(ISNUMBER(SEARCH(INDIRECT(ADDRESS(ROW(S53),MOD(S$1,4)+1)),S$2)),$E53,"")</f>
        <v>49</v>
      </c>
      <c r="T53" s="26" t="str" cm="1">
        <f t="array" aca="1" ref="T53" ca="1">IF(ISNUMBER(SEARCH(INDIRECT(ADDRESS(ROW(T53),MOD(T$1,4)+1)),T$2)),$E53,"")</f>
        <v/>
      </c>
      <c r="U53" s="26" t="str" cm="1">
        <f t="array" aca="1" ref="U53" ca="1">IF(ISNUMBER(SEARCH(INDIRECT(ADDRESS(ROW(U53),MOD(U$1,4)+1)),U$2)),$E53,"")</f>
        <v/>
      </c>
      <c r="V53" s="26" t="str" cm="1">
        <f t="array" aca="1" ref="V53" ca="1">IF(ISNUMBER(SEARCH(INDIRECT(ADDRESS(ROW(V53),MOD(V$1,4)+1)),V$2)),$E53,"")</f>
        <v/>
      </c>
      <c r="W53" s="26" t="str" cm="1">
        <f t="array" aca="1" ref="W53" ca="1">IF(ISNUMBER(SEARCH(INDIRECT(ADDRESS(ROW(W53),MOD(W$1,4)+1)),W$2)),$E53,"")</f>
        <v/>
      </c>
      <c r="X53" s="26" t="str" cm="1">
        <f t="array" aca="1" ref="X53" ca="1">IF(ISNUMBER(SEARCH(INDIRECT(ADDRESS(ROW(X53),MOD(X$1,4)+1)),X$2)),$E53,"")</f>
        <v/>
      </c>
      <c r="Y53" s="26" t="str" cm="1">
        <f t="array" aca="1" ref="Y53" ca="1">IF(ISNUMBER(SEARCH(INDIRECT(ADDRESS(ROW(Y53),MOD(Y$1,4)+1)),Y$2)),$E53,"")</f>
        <v/>
      </c>
      <c r="Z53" s="26" t="str" cm="1">
        <f t="array" aca="1" ref="Z53" ca="1">IF(ISNUMBER(SEARCH(INDIRECT(ADDRESS(ROW(Z53),MOD(Z$1,4)+1)),Z$2)),$E53,"")</f>
        <v/>
      </c>
      <c r="AA53" s="26" t="str" cm="1">
        <f t="array" aca="1" ref="AA53" ca="1">IF(ISNUMBER(SEARCH(INDIRECT(ADDRESS(ROW(AA53),MOD(AA$1,4)+1)),AA$2)),$E53,"")</f>
        <v/>
      </c>
      <c r="AB53" s="26" t="str" cm="1">
        <f t="array" aca="1" ref="AB53" ca="1">IF(ISNUMBER(SEARCH(INDIRECT(ADDRESS(ROW(AB53),MOD(AB$1,4)+1)),AB$2)),$E53,"")</f>
        <v/>
      </c>
      <c r="AC53" s="26" t="str" cm="1">
        <f t="array" aca="1" ref="AC53" ca="1">IF(ISNUMBER(SEARCH(INDIRECT(ADDRESS(ROW(AC53),MOD(AC$1,4)+1)),AC$2)),$E53,"")</f>
        <v/>
      </c>
      <c r="AD53" s="26" t="str" cm="1">
        <f t="array" aca="1" ref="AD53" ca="1">IF(ISNUMBER(SEARCH(INDIRECT(ADDRESS(ROW(AD53),MOD(AD$1,4)+1)),AD$2)),$E53,"")</f>
        <v/>
      </c>
      <c r="AE53" s="26" t="str" cm="1">
        <f t="array" aca="1" ref="AE53" ca="1">IF(ISNUMBER(SEARCH(INDIRECT(ADDRESS(ROW(AE53),MOD(AE$1,4)+1)),AE$2)),$E53,"")</f>
        <v/>
      </c>
      <c r="AF53" s="26" t="str" cm="1">
        <f t="array" aca="1" ref="AF53" ca="1">IF(ISNUMBER(SEARCH(INDIRECT(ADDRESS(ROW(AF53),MOD(AF$1,4)+1)),AF$2)),$E53,"")</f>
        <v/>
      </c>
      <c r="AG53" s="26" t="str" cm="1">
        <f t="array" aca="1" ref="AG53" ca="1">IF(ISNUMBER(SEARCH(INDIRECT(ADDRESS(ROW(AG53),MOD(AG$1,4)+1)),AG$2)),$E53,"")</f>
        <v/>
      </c>
      <c r="AH53" s="26" t="str" cm="1">
        <f t="array" aca="1" ref="AH53" ca="1">IF(ISNUMBER(SEARCH(INDIRECT(ADDRESS(ROW(AH53),MOD(AH$1,4)+1)),AH$2)),$E53,"")</f>
        <v/>
      </c>
      <c r="AI53" s="26" t="str" cm="1">
        <f t="array" aca="1" ref="AI53" ca="1">IF(ISNUMBER(SEARCH(INDIRECT(ADDRESS(ROW(AI53),MOD(AI$1,4)+1)),AI$2)),$E53,"")</f>
        <v/>
      </c>
      <c r="AJ53" s="26" t="str" cm="1">
        <f t="array" aca="1" ref="AJ53" ca="1">IF(ISNUMBER(SEARCH(INDIRECT(ADDRESS(ROW(AJ53),MOD(AJ$1,4)+1)),AJ$2)),$E53,"")</f>
        <v/>
      </c>
      <c r="AK53" s="26" t="str" cm="1">
        <f t="array" aca="1" ref="AK53" ca="1">IF(ISNUMBER(SEARCH(INDIRECT(ADDRESS(ROW(AK53),MOD(AK$1,4)+1)),AK$2)),$E53,"")</f>
        <v/>
      </c>
      <c r="AL53" s="26" t="str" cm="1">
        <f t="array" aca="1" ref="AL53" ca="1">IF(ISNUMBER(SEARCH(INDIRECT(ADDRESS(ROW(AL53),MOD(AL$1,4)+1)),AL$2)),$E53,"")</f>
        <v/>
      </c>
      <c r="AM53" s="26" t="str" cm="1">
        <f t="array" aca="1" ref="AM53" ca="1">IF(ISNUMBER(SEARCH(INDIRECT(ADDRESS(ROW(AM53),MOD(AM$1,4)+1)),AM$2)),$E53,"")</f>
        <v/>
      </c>
      <c r="AN53" s="26" t="str" cm="1">
        <f t="array" aca="1" ref="AN53" ca="1">IF(ISNUMBER(SEARCH(INDIRECT(ADDRESS(ROW(AN53),MOD(AN$1,4)+1)),AN$2)),$E53,"")</f>
        <v/>
      </c>
      <c r="AO53" s="26" t="str" cm="1">
        <f t="array" aca="1" ref="AO53" ca="1">IF(ISNUMBER(SEARCH(INDIRECT(ADDRESS(ROW(AO53),MOD(AO$1,4)+1)),AO$2)),$E53,"")</f>
        <v/>
      </c>
      <c r="AP53" s="26" t="str" cm="1">
        <f t="array" aca="1" ref="AP53" ca="1">IF(ISNUMBER(SEARCH(INDIRECT(ADDRESS(ROW(AP53),MOD(AP$1,4)+1)),AP$2)),$E53,"")</f>
        <v/>
      </c>
      <c r="AQ53" s="31" t="str" cm="1">
        <f t="array" aca="1" ref="AQ53" ca="1">IF(ISNUMBER(SEARCH(INDIRECT(ADDRESS(ROW(AQ53),MOD(AQ$1,4)+1)),AQ$2)),$E53,"")</f>
        <v/>
      </c>
      <c r="AT53" t="e">
        <f>IF(VLOOKUP($E53,'Formatted NEW'!$B$2:$F$202,5,FALSE)=VLOOKUP($E53,'Formatted NEW'!$B$2:$F$202,8,FALSE),$E53,"")</f>
        <v>#N/A</v>
      </c>
      <c r="AW53" t="e">
        <f>IF(VLOOKUP($E53,'Formatted NEW'!$B$2:$F$202,5,FALSE)=VLOOKUP($E53,'Formatted NEW'!$B$2:$F$202,11,FALSE),$E53,"")</f>
        <v>#N/A</v>
      </c>
      <c r="AZ53" t="e">
        <f>IF(VLOOKUP($E53,'Formatted NEW'!$B$2:$F$202,5,FALSE)=VLOOKUP($E53,'Formatted NEW'!$B$2:$F$202,14,FALSE),$E53,"")</f>
        <v>#N/A</v>
      </c>
      <c r="BC53" t="str">
        <f>VLOOKUP($E53,'Formatted NEW'!$M$2:$T$202,6,FALSE)</f>
        <v>ORTHO_BOTH</v>
      </c>
      <c r="BD53" s="26" t="e">
        <f>VLOOKUP(VLOOKUP(VLOOKUP($E53,'Formatted NEW'!$M$2:$O$202,2,FALSE),'Formatted NEW'!$D$2:$F$202,7,FALSE),'Formatted NEW'!$D$2:$O$202,12,FALSE)</f>
        <v>#REF!</v>
      </c>
      <c r="BE53" t="e">
        <f>VLOOKUP($BD53,'Formatted NEW'!$M$2:$T$202,5,FALSE)</f>
        <v>#REF!</v>
      </c>
      <c r="BF53" s="26" t="e">
        <f t="shared" si="1"/>
        <v>#REF!</v>
      </c>
      <c r="BH53">
        <f>VLOOKUP($E53,'Formatted NEW'!$M$2:$T$202,4,FALSE)</f>
        <v>0</v>
      </c>
      <c r="BI53" s="26" t="e">
        <f>VLOOKUP(VLOOKUP(VLOOKUP($E53,'Formatted NEW'!$M$2:$O$202,2,FALSE),'Formatted NEW'!$D$2:$F$202,10,FALSE),'Formatted NEW'!$D$2:$O$202,12,FALSE)</f>
        <v>#REF!</v>
      </c>
      <c r="BJ53" t="e">
        <f>VLOOKUP($BI53,'Formatted NEW'!$M$2:$T$202,3,FALSE)</f>
        <v>#REF!</v>
      </c>
      <c r="BK53" s="26" t="e">
        <f t="shared" si="2"/>
        <v>#REF!</v>
      </c>
    </row>
    <row r="54" spans="1:63" x14ac:dyDescent="0.25">
      <c r="A54" t="str">
        <f>'Formatted NEW'!Q52</f>
        <v>ORTHO_BOTH</v>
      </c>
      <c r="B54" t="str">
        <f>'Formatted NEW'!R52</f>
        <v>EMPTY</v>
      </c>
      <c r="C54" t="str">
        <f>'Formatted NEW'!S52</f>
        <v>EMPTY</v>
      </c>
      <c r="D54" t="str">
        <f>'Formatted NEW'!T52</f>
        <v>EMPTY</v>
      </c>
      <c r="E54" s="26">
        <f t="shared" si="3"/>
        <v>50</v>
      </c>
      <c r="H54" s="30" t="str" cm="1">
        <f t="array" aca="1" ref="H54" ca="1">IF(ISNUMBER(SEARCH(INDIRECT(ADDRESS(ROW(H54),MOD(H$1,4)+1)),H$2)),$E54,"")</f>
        <v/>
      </c>
      <c r="I54" s="26" t="str" cm="1">
        <f t="array" aca="1" ref="I54" ca="1">IF(ISNUMBER(SEARCH(INDIRECT(ADDRESS(ROW(I54),MOD(I$1,4)+1)),I$2)),$E54,"")</f>
        <v/>
      </c>
      <c r="J54" s="26" t="str" cm="1">
        <f t="array" aca="1" ref="J54" ca="1">IF(ISNUMBER(SEARCH(INDIRECT(ADDRESS(ROW(J54),MOD(J$1,4)+1)),J$2)),$E54,"")</f>
        <v/>
      </c>
      <c r="K54" s="26" t="str" cm="1">
        <f t="array" aca="1" ref="K54" ca="1">IF(ISNUMBER(SEARCH(INDIRECT(ADDRESS(ROW(K54),MOD(K$1,4)+1)),K$2)),$E54,"")</f>
        <v/>
      </c>
      <c r="L54" s="26" t="str" cm="1">
        <f t="array" aca="1" ref="L54" ca="1">IF(ISNUMBER(SEARCH(INDIRECT(ADDRESS(ROW(L54),MOD(L$1,4)+1)),L$2)),$E54,"")</f>
        <v/>
      </c>
      <c r="M54" s="26" t="str" cm="1">
        <f t="array" aca="1" ref="M54" ca="1">IF(ISNUMBER(SEARCH(INDIRECT(ADDRESS(ROW(M54),MOD(M$1,4)+1)),M$2)),$E54,"")</f>
        <v/>
      </c>
      <c r="N54" s="26" t="str" cm="1">
        <f t="array" aca="1" ref="N54" ca="1">IF(ISNUMBER(SEARCH(INDIRECT(ADDRESS(ROW(N54),MOD(N$1,4)+1)),N$2)),$E54,"")</f>
        <v/>
      </c>
      <c r="O54" s="26" t="str" cm="1">
        <f t="array" aca="1" ref="O54" ca="1">IF(ISNUMBER(SEARCH(INDIRECT(ADDRESS(ROW(O54),MOD(O$1,4)+1)),O$2)),$E54,"")</f>
        <v/>
      </c>
      <c r="P54" s="26" cm="1">
        <f t="array" aca="1" ref="P54" ca="1">IF(ISNUMBER(SEARCH(INDIRECT(ADDRESS(ROW(P54),MOD(P$1,4)+1)),P$2)),$E54,"")</f>
        <v>50</v>
      </c>
      <c r="Q54" s="26" t="str" cm="1">
        <f t="array" aca="1" ref="Q54" ca="1">IF(ISNUMBER(SEARCH(INDIRECT(ADDRESS(ROW(Q54),MOD(Q$1,4)+1)),Q$2)),$E54,"")</f>
        <v/>
      </c>
      <c r="R54" s="26" t="str" cm="1">
        <f t="array" aca="1" ref="R54" ca="1">IF(ISNUMBER(SEARCH(INDIRECT(ADDRESS(ROW(R54),MOD(R$1,4)+1)),R$2)),$E54,"")</f>
        <v/>
      </c>
      <c r="S54" s="26" t="str" cm="1">
        <f t="array" aca="1" ref="S54" ca="1">IF(ISNUMBER(SEARCH(INDIRECT(ADDRESS(ROW(S54),MOD(S$1,4)+1)),S$2)),$E54,"")</f>
        <v/>
      </c>
      <c r="T54" s="26" t="str" cm="1">
        <f t="array" aca="1" ref="T54" ca="1">IF(ISNUMBER(SEARCH(INDIRECT(ADDRESS(ROW(T54),MOD(T$1,4)+1)),T$2)),$E54,"")</f>
        <v/>
      </c>
      <c r="U54" s="26" t="str" cm="1">
        <f t="array" aca="1" ref="U54" ca="1">IF(ISNUMBER(SEARCH(INDIRECT(ADDRESS(ROW(U54),MOD(U$1,4)+1)),U$2)),$E54,"")</f>
        <v/>
      </c>
      <c r="V54" s="26" t="str" cm="1">
        <f t="array" aca="1" ref="V54" ca="1">IF(ISNUMBER(SEARCH(INDIRECT(ADDRESS(ROW(V54),MOD(V$1,4)+1)),V$2)),$E54,"")</f>
        <v/>
      </c>
      <c r="W54" s="26" t="str" cm="1">
        <f t="array" aca="1" ref="W54" ca="1">IF(ISNUMBER(SEARCH(INDIRECT(ADDRESS(ROW(W54),MOD(W$1,4)+1)),W$2)),$E54,"")</f>
        <v/>
      </c>
      <c r="X54" s="26" t="str" cm="1">
        <f t="array" aca="1" ref="X54" ca="1">IF(ISNUMBER(SEARCH(INDIRECT(ADDRESS(ROW(X54),MOD(X$1,4)+1)),X$2)),$E54,"")</f>
        <v/>
      </c>
      <c r="Y54" s="26" t="str" cm="1">
        <f t="array" aca="1" ref="Y54" ca="1">IF(ISNUMBER(SEARCH(INDIRECT(ADDRESS(ROW(Y54),MOD(Y$1,4)+1)),Y$2)),$E54,"")</f>
        <v/>
      </c>
      <c r="Z54" s="26" t="str" cm="1">
        <f t="array" aca="1" ref="Z54" ca="1">IF(ISNUMBER(SEARCH(INDIRECT(ADDRESS(ROW(Z54),MOD(Z$1,4)+1)),Z$2)),$E54,"")</f>
        <v/>
      </c>
      <c r="AA54" s="26" t="str" cm="1">
        <f t="array" aca="1" ref="AA54" ca="1">IF(ISNUMBER(SEARCH(INDIRECT(ADDRESS(ROW(AA54),MOD(AA$1,4)+1)),AA$2)),$E54,"")</f>
        <v/>
      </c>
      <c r="AB54" s="26" t="str" cm="1">
        <f t="array" aca="1" ref="AB54" ca="1">IF(ISNUMBER(SEARCH(INDIRECT(ADDRESS(ROW(AB54),MOD(AB$1,4)+1)),AB$2)),$E54,"")</f>
        <v/>
      </c>
      <c r="AC54" s="26" t="str" cm="1">
        <f t="array" aca="1" ref="AC54" ca="1">IF(ISNUMBER(SEARCH(INDIRECT(ADDRESS(ROW(AC54),MOD(AC$1,4)+1)),AC$2)),$E54,"")</f>
        <v/>
      </c>
      <c r="AD54" s="26" t="str" cm="1">
        <f t="array" aca="1" ref="AD54" ca="1">IF(ISNUMBER(SEARCH(INDIRECT(ADDRESS(ROW(AD54),MOD(AD$1,4)+1)),AD$2)),$E54,"")</f>
        <v/>
      </c>
      <c r="AE54" s="26" t="str" cm="1">
        <f t="array" aca="1" ref="AE54" ca="1">IF(ISNUMBER(SEARCH(INDIRECT(ADDRESS(ROW(AE54),MOD(AE$1,4)+1)),AE$2)),$E54,"")</f>
        <v/>
      </c>
      <c r="AF54" s="26" t="str" cm="1">
        <f t="array" aca="1" ref="AF54" ca="1">IF(ISNUMBER(SEARCH(INDIRECT(ADDRESS(ROW(AF54),MOD(AF$1,4)+1)),AF$2)),$E54,"")</f>
        <v/>
      </c>
      <c r="AG54" s="26" t="str" cm="1">
        <f t="array" aca="1" ref="AG54" ca="1">IF(ISNUMBER(SEARCH(INDIRECT(ADDRESS(ROW(AG54),MOD(AG$1,4)+1)),AG$2)),$E54,"")</f>
        <v/>
      </c>
      <c r="AH54" s="26" t="str" cm="1">
        <f t="array" aca="1" ref="AH54" ca="1">IF(ISNUMBER(SEARCH(INDIRECT(ADDRESS(ROW(AH54),MOD(AH$1,4)+1)),AH$2)),$E54,"")</f>
        <v/>
      </c>
      <c r="AI54" s="26" t="str" cm="1">
        <f t="array" aca="1" ref="AI54" ca="1">IF(ISNUMBER(SEARCH(INDIRECT(ADDRESS(ROW(AI54),MOD(AI$1,4)+1)),AI$2)),$E54,"")</f>
        <v/>
      </c>
      <c r="AJ54" s="26" t="str" cm="1">
        <f t="array" aca="1" ref="AJ54" ca="1">IF(ISNUMBER(SEARCH(INDIRECT(ADDRESS(ROW(AJ54),MOD(AJ$1,4)+1)),AJ$2)),$E54,"")</f>
        <v/>
      </c>
      <c r="AK54" s="26" t="str" cm="1">
        <f t="array" aca="1" ref="AK54" ca="1">IF(ISNUMBER(SEARCH(INDIRECT(ADDRESS(ROW(AK54),MOD(AK$1,4)+1)),AK$2)),$E54,"")</f>
        <v/>
      </c>
      <c r="AL54" s="26" t="str" cm="1">
        <f t="array" aca="1" ref="AL54" ca="1">IF(ISNUMBER(SEARCH(INDIRECT(ADDRESS(ROW(AL54),MOD(AL$1,4)+1)),AL$2)),$E54,"")</f>
        <v/>
      </c>
      <c r="AM54" s="26" t="str" cm="1">
        <f t="array" aca="1" ref="AM54" ca="1">IF(ISNUMBER(SEARCH(INDIRECT(ADDRESS(ROW(AM54),MOD(AM$1,4)+1)),AM$2)),$E54,"")</f>
        <v/>
      </c>
      <c r="AN54" s="26" t="str" cm="1">
        <f t="array" aca="1" ref="AN54" ca="1">IF(ISNUMBER(SEARCH(INDIRECT(ADDRESS(ROW(AN54),MOD(AN$1,4)+1)),AN$2)),$E54,"")</f>
        <v/>
      </c>
      <c r="AO54" s="26" t="str" cm="1">
        <f t="array" aca="1" ref="AO54" ca="1">IF(ISNUMBER(SEARCH(INDIRECT(ADDRESS(ROW(AO54),MOD(AO$1,4)+1)),AO$2)),$E54,"")</f>
        <v/>
      </c>
      <c r="AP54" s="26" t="str" cm="1">
        <f t="array" aca="1" ref="AP54" ca="1">IF(ISNUMBER(SEARCH(INDIRECT(ADDRESS(ROW(AP54),MOD(AP$1,4)+1)),AP$2)),$E54,"")</f>
        <v/>
      </c>
      <c r="AQ54" s="31" t="str" cm="1">
        <f t="array" aca="1" ref="AQ54" ca="1">IF(ISNUMBER(SEARCH(INDIRECT(ADDRESS(ROW(AQ54),MOD(AQ$1,4)+1)),AQ$2)),$E54,"")</f>
        <v/>
      </c>
      <c r="AT54" t="e">
        <f>IF(VLOOKUP($E54,'Formatted NEW'!$B$2:$F$202,5,FALSE)=VLOOKUP($E54,'Formatted NEW'!$B$2:$F$202,8,FALSE),$E54,"")</f>
        <v>#N/A</v>
      </c>
      <c r="AW54" t="e">
        <f>IF(VLOOKUP($E54,'Formatted NEW'!$B$2:$F$202,5,FALSE)=VLOOKUP($E54,'Formatted NEW'!$B$2:$F$202,11,FALSE),$E54,"")</f>
        <v>#N/A</v>
      </c>
      <c r="AZ54" t="e">
        <f>IF(VLOOKUP($E54,'Formatted NEW'!$B$2:$F$202,5,FALSE)=VLOOKUP($E54,'Formatted NEW'!$B$2:$F$202,14,FALSE),$E54,"")</f>
        <v>#N/A</v>
      </c>
      <c r="BC54" t="str">
        <f>VLOOKUP($E54,'Formatted NEW'!$M$2:$T$202,6,FALSE)</f>
        <v>EMPTY</v>
      </c>
      <c r="BD54" s="26" t="e">
        <f>VLOOKUP(VLOOKUP(VLOOKUP($E54,'Formatted NEW'!$M$2:$O$202,2,FALSE),'Formatted NEW'!$D$2:$F$202,7,FALSE),'Formatted NEW'!$D$2:$O$202,12,FALSE)</f>
        <v>#REF!</v>
      </c>
      <c r="BE54" t="e">
        <f>VLOOKUP($BD54,'Formatted NEW'!$M$2:$T$202,5,FALSE)</f>
        <v>#REF!</v>
      </c>
      <c r="BF54" s="26" t="e">
        <f t="shared" si="1"/>
        <v>#REF!</v>
      </c>
      <c r="BH54">
        <f>VLOOKUP($E54,'Formatted NEW'!$M$2:$T$202,4,FALSE)</f>
        <v>0</v>
      </c>
      <c r="BI54" s="26" t="e">
        <f>VLOOKUP(VLOOKUP(VLOOKUP($E54,'Formatted NEW'!$M$2:$O$202,2,FALSE),'Formatted NEW'!$D$2:$F$202,10,FALSE),'Formatted NEW'!$D$2:$O$202,12,FALSE)</f>
        <v>#REF!</v>
      </c>
      <c r="BJ54" t="e">
        <f>VLOOKUP($BI54,'Formatted NEW'!$M$2:$T$202,3,FALSE)</f>
        <v>#REF!</v>
      </c>
      <c r="BK54" s="26" t="e">
        <f t="shared" si="2"/>
        <v>#REF!</v>
      </c>
    </row>
    <row r="55" spans="1:63" x14ac:dyDescent="0.25">
      <c r="A55" t="str">
        <f>'Formatted NEW'!Q53</f>
        <v>ORTHO_BOTH</v>
      </c>
      <c r="B55" t="str">
        <f>'Formatted NEW'!R53</f>
        <v>ORTHO_BOTH</v>
      </c>
      <c r="C55" t="str">
        <f>'Formatted NEW'!S53</f>
        <v>ORTHO_BOTH</v>
      </c>
      <c r="D55" t="str">
        <f>'Formatted NEW'!T53</f>
        <v>ORTHO_BOTH</v>
      </c>
      <c r="E55" s="26">
        <f t="shared" si="3"/>
        <v>51</v>
      </c>
      <c r="H55" s="30" t="str" cm="1">
        <f t="array" aca="1" ref="H55" ca="1">IF(ISNUMBER(SEARCH(INDIRECT(ADDRESS(ROW(H55),MOD(H$1,4)+1)),H$2)),$E55,"")</f>
        <v/>
      </c>
      <c r="I55" s="26" t="str" cm="1">
        <f t="array" aca="1" ref="I55" ca="1">IF(ISNUMBER(SEARCH(INDIRECT(ADDRESS(ROW(I55),MOD(I$1,4)+1)),I$2)),$E55,"")</f>
        <v/>
      </c>
      <c r="J55" s="26" t="str" cm="1">
        <f t="array" aca="1" ref="J55" ca="1">IF(ISNUMBER(SEARCH(INDIRECT(ADDRESS(ROW(J55),MOD(J$1,4)+1)),J$2)),$E55,"")</f>
        <v/>
      </c>
      <c r="K55" s="26" t="str" cm="1">
        <f t="array" aca="1" ref="K55" ca="1">IF(ISNUMBER(SEARCH(INDIRECT(ADDRESS(ROW(K55),MOD(K$1,4)+1)),K$2)),$E55,"")</f>
        <v/>
      </c>
      <c r="L55" s="26" t="str" cm="1">
        <f t="array" aca="1" ref="L55" ca="1">IF(ISNUMBER(SEARCH(INDIRECT(ADDRESS(ROW(L55),MOD(L$1,4)+1)),L$2)),$E55,"")</f>
        <v/>
      </c>
      <c r="M55" s="26" t="str" cm="1">
        <f t="array" aca="1" ref="M55" ca="1">IF(ISNUMBER(SEARCH(INDIRECT(ADDRESS(ROW(M55),MOD(M$1,4)+1)),M$2)),$E55,"")</f>
        <v/>
      </c>
      <c r="N55" s="26" t="str" cm="1">
        <f t="array" aca="1" ref="N55" ca="1">IF(ISNUMBER(SEARCH(INDIRECT(ADDRESS(ROW(N55),MOD(N$1,4)+1)),N$2)),$E55,"")</f>
        <v/>
      </c>
      <c r="O55" s="26" t="str" cm="1">
        <f t="array" aca="1" ref="O55" ca="1">IF(ISNUMBER(SEARCH(INDIRECT(ADDRESS(ROW(O55),MOD(O$1,4)+1)),O$2)),$E55,"")</f>
        <v/>
      </c>
      <c r="P55" s="26" cm="1">
        <f t="array" aca="1" ref="P55" ca="1">IF(ISNUMBER(SEARCH(INDIRECT(ADDRESS(ROW(P55),MOD(P$1,4)+1)),P$2)),$E55,"")</f>
        <v>51</v>
      </c>
      <c r="Q55" s="26" cm="1">
        <f t="array" aca="1" ref="Q55" ca="1">IF(ISNUMBER(SEARCH(INDIRECT(ADDRESS(ROW(Q55),MOD(Q$1,4)+1)),Q$2)),$E55,"")</f>
        <v>51</v>
      </c>
      <c r="R55" s="26" cm="1">
        <f t="array" aca="1" ref="R55" ca="1">IF(ISNUMBER(SEARCH(INDIRECT(ADDRESS(ROW(R55),MOD(R$1,4)+1)),R$2)),$E55,"")</f>
        <v>51</v>
      </c>
      <c r="S55" s="26" cm="1">
        <f t="array" aca="1" ref="S55" ca="1">IF(ISNUMBER(SEARCH(INDIRECT(ADDRESS(ROW(S55),MOD(S$1,4)+1)),S$2)),$E55,"")</f>
        <v>51</v>
      </c>
      <c r="T55" s="26" t="str" cm="1">
        <f t="array" aca="1" ref="T55" ca="1">IF(ISNUMBER(SEARCH(INDIRECT(ADDRESS(ROW(T55),MOD(T$1,4)+1)),T$2)),$E55,"")</f>
        <v/>
      </c>
      <c r="U55" s="26" t="str" cm="1">
        <f t="array" aca="1" ref="U55" ca="1">IF(ISNUMBER(SEARCH(INDIRECT(ADDRESS(ROW(U55),MOD(U$1,4)+1)),U$2)),$E55,"")</f>
        <v/>
      </c>
      <c r="V55" s="26" t="str" cm="1">
        <f t="array" aca="1" ref="V55" ca="1">IF(ISNUMBER(SEARCH(INDIRECT(ADDRESS(ROW(V55),MOD(V$1,4)+1)),V$2)),$E55,"")</f>
        <v/>
      </c>
      <c r="W55" s="26" t="str" cm="1">
        <f t="array" aca="1" ref="W55" ca="1">IF(ISNUMBER(SEARCH(INDIRECT(ADDRESS(ROW(W55),MOD(W$1,4)+1)),W$2)),$E55,"")</f>
        <v/>
      </c>
      <c r="X55" s="26" t="str" cm="1">
        <f t="array" aca="1" ref="X55" ca="1">IF(ISNUMBER(SEARCH(INDIRECT(ADDRESS(ROW(X55),MOD(X$1,4)+1)),X$2)),$E55,"")</f>
        <v/>
      </c>
      <c r="Y55" s="26" t="str" cm="1">
        <f t="array" aca="1" ref="Y55" ca="1">IF(ISNUMBER(SEARCH(INDIRECT(ADDRESS(ROW(Y55),MOD(Y$1,4)+1)),Y$2)),$E55,"")</f>
        <v/>
      </c>
      <c r="Z55" s="26" t="str" cm="1">
        <f t="array" aca="1" ref="Z55" ca="1">IF(ISNUMBER(SEARCH(INDIRECT(ADDRESS(ROW(Z55),MOD(Z$1,4)+1)),Z$2)),$E55,"")</f>
        <v/>
      </c>
      <c r="AA55" s="26" t="str" cm="1">
        <f t="array" aca="1" ref="AA55" ca="1">IF(ISNUMBER(SEARCH(INDIRECT(ADDRESS(ROW(AA55),MOD(AA$1,4)+1)),AA$2)),$E55,"")</f>
        <v/>
      </c>
      <c r="AB55" s="26" t="str" cm="1">
        <f t="array" aca="1" ref="AB55" ca="1">IF(ISNUMBER(SEARCH(INDIRECT(ADDRESS(ROW(AB55),MOD(AB$1,4)+1)),AB$2)),$E55,"")</f>
        <v/>
      </c>
      <c r="AC55" s="26" t="str" cm="1">
        <f t="array" aca="1" ref="AC55" ca="1">IF(ISNUMBER(SEARCH(INDIRECT(ADDRESS(ROW(AC55),MOD(AC$1,4)+1)),AC$2)),$E55,"")</f>
        <v/>
      </c>
      <c r="AD55" s="26" t="str" cm="1">
        <f t="array" aca="1" ref="AD55" ca="1">IF(ISNUMBER(SEARCH(INDIRECT(ADDRESS(ROW(AD55),MOD(AD$1,4)+1)),AD$2)),$E55,"")</f>
        <v/>
      </c>
      <c r="AE55" s="26" t="str" cm="1">
        <f t="array" aca="1" ref="AE55" ca="1">IF(ISNUMBER(SEARCH(INDIRECT(ADDRESS(ROW(AE55),MOD(AE$1,4)+1)),AE$2)),$E55,"")</f>
        <v/>
      </c>
      <c r="AF55" s="26" t="str" cm="1">
        <f t="array" aca="1" ref="AF55" ca="1">IF(ISNUMBER(SEARCH(INDIRECT(ADDRESS(ROW(AF55),MOD(AF$1,4)+1)),AF$2)),$E55,"")</f>
        <v/>
      </c>
      <c r="AG55" s="26" t="str" cm="1">
        <f t="array" aca="1" ref="AG55" ca="1">IF(ISNUMBER(SEARCH(INDIRECT(ADDRESS(ROW(AG55),MOD(AG$1,4)+1)),AG$2)),$E55,"")</f>
        <v/>
      </c>
      <c r="AH55" s="26" t="str" cm="1">
        <f t="array" aca="1" ref="AH55" ca="1">IF(ISNUMBER(SEARCH(INDIRECT(ADDRESS(ROW(AH55),MOD(AH$1,4)+1)),AH$2)),$E55,"")</f>
        <v/>
      </c>
      <c r="AI55" s="26" t="str" cm="1">
        <f t="array" aca="1" ref="AI55" ca="1">IF(ISNUMBER(SEARCH(INDIRECT(ADDRESS(ROW(AI55),MOD(AI$1,4)+1)),AI$2)),$E55,"")</f>
        <v/>
      </c>
      <c r="AJ55" s="26" t="str" cm="1">
        <f t="array" aca="1" ref="AJ55" ca="1">IF(ISNUMBER(SEARCH(INDIRECT(ADDRESS(ROW(AJ55),MOD(AJ$1,4)+1)),AJ$2)),$E55,"")</f>
        <v/>
      </c>
      <c r="AK55" s="26" t="str" cm="1">
        <f t="array" aca="1" ref="AK55" ca="1">IF(ISNUMBER(SEARCH(INDIRECT(ADDRESS(ROW(AK55),MOD(AK$1,4)+1)),AK$2)),$E55,"")</f>
        <v/>
      </c>
      <c r="AL55" s="26" t="str" cm="1">
        <f t="array" aca="1" ref="AL55" ca="1">IF(ISNUMBER(SEARCH(INDIRECT(ADDRESS(ROW(AL55),MOD(AL$1,4)+1)),AL$2)),$E55,"")</f>
        <v/>
      </c>
      <c r="AM55" s="26" t="str" cm="1">
        <f t="array" aca="1" ref="AM55" ca="1">IF(ISNUMBER(SEARCH(INDIRECT(ADDRESS(ROW(AM55),MOD(AM$1,4)+1)),AM$2)),$E55,"")</f>
        <v/>
      </c>
      <c r="AN55" s="26" t="str" cm="1">
        <f t="array" aca="1" ref="AN55" ca="1">IF(ISNUMBER(SEARCH(INDIRECT(ADDRESS(ROW(AN55),MOD(AN$1,4)+1)),AN$2)),$E55,"")</f>
        <v/>
      </c>
      <c r="AO55" s="26" t="str" cm="1">
        <f t="array" aca="1" ref="AO55" ca="1">IF(ISNUMBER(SEARCH(INDIRECT(ADDRESS(ROW(AO55),MOD(AO$1,4)+1)),AO$2)),$E55,"")</f>
        <v/>
      </c>
      <c r="AP55" s="26" t="str" cm="1">
        <f t="array" aca="1" ref="AP55" ca="1">IF(ISNUMBER(SEARCH(INDIRECT(ADDRESS(ROW(AP55),MOD(AP$1,4)+1)),AP$2)),$E55,"")</f>
        <v/>
      </c>
      <c r="AQ55" s="31" t="str" cm="1">
        <f t="array" aca="1" ref="AQ55" ca="1">IF(ISNUMBER(SEARCH(INDIRECT(ADDRESS(ROW(AQ55),MOD(AQ$1,4)+1)),AQ$2)),$E55,"")</f>
        <v/>
      </c>
      <c r="AT55" t="e">
        <f>IF(VLOOKUP($E55,'Formatted NEW'!$B$2:$F$202,5,FALSE)=VLOOKUP($E55,'Formatted NEW'!$B$2:$F$202,8,FALSE),$E55,"")</f>
        <v>#N/A</v>
      </c>
      <c r="AW55" t="e">
        <f>IF(VLOOKUP($E55,'Formatted NEW'!$B$2:$F$202,5,FALSE)=VLOOKUP($E55,'Formatted NEW'!$B$2:$F$202,11,FALSE),$E55,"")</f>
        <v>#N/A</v>
      </c>
      <c r="AZ55" t="e">
        <f>IF(VLOOKUP($E55,'Formatted NEW'!$B$2:$F$202,5,FALSE)=VLOOKUP($E55,'Formatted NEW'!$B$2:$F$202,14,FALSE),$E55,"")</f>
        <v>#N/A</v>
      </c>
      <c r="BC55" t="str">
        <f>VLOOKUP($E55,'Formatted NEW'!$M$2:$T$202,6,FALSE)</f>
        <v>ORTHO_BOTH</v>
      </c>
      <c r="BD55" s="26" t="e">
        <f>VLOOKUP(VLOOKUP(VLOOKUP($E55,'Formatted NEW'!$M$2:$O$202,2,FALSE),'Formatted NEW'!$D$2:$F$202,7,FALSE),'Formatted NEW'!$D$2:$O$202,12,FALSE)</f>
        <v>#REF!</v>
      </c>
      <c r="BE55" t="e">
        <f>VLOOKUP($BD55,'Formatted NEW'!$M$2:$T$202,5,FALSE)</f>
        <v>#REF!</v>
      </c>
      <c r="BF55" s="26" t="e">
        <f t="shared" si="1"/>
        <v>#REF!</v>
      </c>
      <c r="BH55">
        <f>VLOOKUP($E55,'Formatted NEW'!$M$2:$T$202,4,FALSE)</f>
        <v>0</v>
      </c>
      <c r="BI55" s="26" t="e">
        <f>VLOOKUP(VLOOKUP(VLOOKUP($E55,'Formatted NEW'!$M$2:$O$202,2,FALSE),'Formatted NEW'!$D$2:$F$202,10,FALSE),'Formatted NEW'!$D$2:$O$202,12,FALSE)</f>
        <v>#REF!</v>
      </c>
      <c r="BJ55" t="e">
        <f>VLOOKUP($BI55,'Formatted NEW'!$M$2:$T$202,3,FALSE)</f>
        <v>#REF!</v>
      </c>
      <c r="BK55" s="26" t="e">
        <f t="shared" si="2"/>
        <v>#REF!</v>
      </c>
    </row>
    <row r="56" spans="1:63" x14ac:dyDescent="0.25">
      <c r="A56" t="str">
        <f>'Formatted NEW'!Q54</f>
        <v>DIAG_BOTH</v>
      </c>
      <c r="B56" t="str">
        <f>'Formatted NEW'!R54</f>
        <v>EMPTY</v>
      </c>
      <c r="C56" t="str">
        <f>'Formatted NEW'!S54</f>
        <v>ORTHO_BOTH</v>
      </c>
      <c r="D56" t="str">
        <f>'Formatted NEW'!T54</f>
        <v>ORTHO_BOTH</v>
      </c>
      <c r="E56" s="26">
        <f t="shared" si="3"/>
        <v>52</v>
      </c>
      <c r="H56" s="30" t="str" cm="1">
        <f t="array" aca="1" ref="H56" ca="1">IF(ISNUMBER(SEARCH(INDIRECT(ADDRESS(ROW(H56),MOD(H$1,4)+1)),H$2)),$E56,"")</f>
        <v/>
      </c>
      <c r="I56" s="26" t="str" cm="1">
        <f t="array" aca="1" ref="I56" ca="1">IF(ISNUMBER(SEARCH(INDIRECT(ADDRESS(ROW(I56),MOD(I$1,4)+1)),I$2)),$E56,"")</f>
        <v/>
      </c>
      <c r="J56" s="26" t="str" cm="1">
        <f t="array" aca="1" ref="J56" ca="1">IF(ISNUMBER(SEARCH(INDIRECT(ADDRESS(ROW(J56),MOD(J$1,4)+1)),J$2)),$E56,"")</f>
        <v/>
      </c>
      <c r="K56" s="26" t="str" cm="1">
        <f t="array" aca="1" ref="K56" ca="1">IF(ISNUMBER(SEARCH(INDIRECT(ADDRESS(ROW(K56),MOD(K$1,4)+1)),K$2)),$E56,"")</f>
        <v/>
      </c>
      <c r="L56" s="26" cm="1">
        <f t="array" aca="1" ref="L56" ca="1">IF(ISNUMBER(SEARCH(INDIRECT(ADDRESS(ROW(L56),MOD(L$1,4)+1)),L$2)),$E56,"")</f>
        <v>52</v>
      </c>
      <c r="M56" s="26" t="str" cm="1">
        <f t="array" aca="1" ref="M56" ca="1">IF(ISNUMBER(SEARCH(INDIRECT(ADDRESS(ROW(M56),MOD(M$1,4)+1)),M$2)),$E56,"")</f>
        <v/>
      </c>
      <c r="N56" s="26" t="str" cm="1">
        <f t="array" aca="1" ref="N56" ca="1">IF(ISNUMBER(SEARCH(INDIRECT(ADDRESS(ROW(N56),MOD(N$1,4)+1)),N$2)),$E56,"")</f>
        <v/>
      </c>
      <c r="O56" s="26" t="str" cm="1">
        <f t="array" aca="1" ref="O56" ca="1">IF(ISNUMBER(SEARCH(INDIRECT(ADDRESS(ROW(O56),MOD(O$1,4)+1)),O$2)),$E56,"")</f>
        <v/>
      </c>
      <c r="P56" s="26" t="str" cm="1">
        <f t="array" aca="1" ref="P56" ca="1">IF(ISNUMBER(SEARCH(INDIRECT(ADDRESS(ROW(P56),MOD(P$1,4)+1)),P$2)),$E56,"")</f>
        <v/>
      </c>
      <c r="Q56" s="26" t="str" cm="1">
        <f t="array" aca="1" ref="Q56" ca="1">IF(ISNUMBER(SEARCH(INDIRECT(ADDRESS(ROW(Q56),MOD(Q$1,4)+1)),Q$2)),$E56,"")</f>
        <v/>
      </c>
      <c r="R56" s="26" cm="1">
        <f t="array" aca="1" ref="R56" ca="1">IF(ISNUMBER(SEARCH(INDIRECT(ADDRESS(ROW(R56),MOD(R$1,4)+1)),R$2)),$E56,"")</f>
        <v>52</v>
      </c>
      <c r="S56" s="26" cm="1">
        <f t="array" aca="1" ref="S56" ca="1">IF(ISNUMBER(SEARCH(INDIRECT(ADDRESS(ROW(S56),MOD(S$1,4)+1)),S$2)),$E56,"")</f>
        <v>52</v>
      </c>
      <c r="T56" s="26" t="str" cm="1">
        <f t="array" aca="1" ref="T56" ca="1">IF(ISNUMBER(SEARCH(INDIRECT(ADDRESS(ROW(T56),MOD(T$1,4)+1)),T$2)),$E56,"")</f>
        <v/>
      </c>
      <c r="U56" s="26" t="str" cm="1">
        <f t="array" aca="1" ref="U56" ca="1">IF(ISNUMBER(SEARCH(INDIRECT(ADDRESS(ROW(U56),MOD(U$1,4)+1)),U$2)),$E56,"")</f>
        <v/>
      </c>
      <c r="V56" s="26" t="str" cm="1">
        <f t="array" aca="1" ref="V56" ca="1">IF(ISNUMBER(SEARCH(INDIRECT(ADDRESS(ROW(V56),MOD(V$1,4)+1)),V$2)),$E56,"")</f>
        <v/>
      </c>
      <c r="W56" s="26" t="str" cm="1">
        <f t="array" aca="1" ref="W56" ca="1">IF(ISNUMBER(SEARCH(INDIRECT(ADDRESS(ROW(W56),MOD(W$1,4)+1)),W$2)),$E56,"")</f>
        <v/>
      </c>
      <c r="X56" s="26" t="str" cm="1">
        <f t="array" aca="1" ref="X56" ca="1">IF(ISNUMBER(SEARCH(INDIRECT(ADDRESS(ROW(X56),MOD(X$1,4)+1)),X$2)),$E56,"")</f>
        <v/>
      </c>
      <c r="Y56" s="26" t="str" cm="1">
        <f t="array" aca="1" ref="Y56" ca="1">IF(ISNUMBER(SEARCH(INDIRECT(ADDRESS(ROW(Y56),MOD(Y$1,4)+1)),Y$2)),$E56,"")</f>
        <v/>
      </c>
      <c r="Z56" s="26" t="str" cm="1">
        <f t="array" aca="1" ref="Z56" ca="1">IF(ISNUMBER(SEARCH(INDIRECT(ADDRESS(ROW(Z56),MOD(Z$1,4)+1)),Z$2)),$E56,"")</f>
        <v/>
      </c>
      <c r="AA56" s="26" t="str" cm="1">
        <f t="array" aca="1" ref="AA56" ca="1">IF(ISNUMBER(SEARCH(INDIRECT(ADDRESS(ROW(AA56),MOD(AA$1,4)+1)),AA$2)),$E56,"")</f>
        <v/>
      </c>
      <c r="AB56" s="26" t="str" cm="1">
        <f t="array" aca="1" ref="AB56" ca="1">IF(ISNUMBER(SEARCH(INDIRECT(ADDRESS(ROW(AB56),MOD(AB$1,4)+1)),AB$2)),$E56,"")</f>
        <v/>
      </c>
      <c r="AC56" s="26" t="str" cm="1">
        <f t="array" aca="1" ref="AC56" ca="1">IF(ISNUMBER(SEARCH(INDIRECT(ADDRESS(ROW(AC56),MOD(AC$1,4)+1)),AC$2)),$E56,"")</f>
        <v/>
      </c>
      <c r="AD56" s="26" t="str" cm="1">
        <f t="array" aca="1" ref="AD56" ca="1">IF(ISNUMBER(SEARCH(INDIRECT(ADDRESS(ROW(AD56),MOD(AD$1,4)+1)),AD$2)),$E56,"")</f>
        <v/>
      </c>
      <c r="AE56" s="26" t="str" cm="1">
        <f t="array" aca="1" ref="AE56" ca="1">IF(ISNUMBER(SEARCH(INDIRECT(ADDRESS(ROW(AE56),MOD(AE$1,4)+1)),AE$2)),$E56,"")</f>
        <v/>
      </c>
      <c r="AF56" s="26" t="str" cm="1">
        <f t="array" aca="1" ref="AF56" ca="1">IF(ISNUMBER(SEARCH(INDIRECT(ADDRESS(ROW(AF56),MOD(AF$1,4)+1)),AF$2)),$E56,"")</f>
        <v/>
      </c>
      <c r="AG56" s="26" t="str" cm="1">
        <f t="array" aca="1" ref="AG56" ca="1">IF(ISNUMBER(SEARCH(INDIRECT(ADDRESS(ROW(AG56),MOD(AG$1,4)+1)),AG$2)),$E56,"")</f>
        <v/>
      </c>
      <c r="AH56" s="26" t="str" cm="1">
        <f t="array" aca="1" ref="AH56" ca="1">IF(ISNUMBER(SEARCH(INDIRECT(ADDRESS(ROW(AH56),MOD(AH$1,4)+1)),AH$2)),$E56,"")</f>
        <v/>
      </c>
      <c r="AI56" s="26" t="str" cm="1">
        <f t="array" aca="1" ref="AI56" ca="1">IF(ISNUMBER(SEARCH(INDIRECT(ADDRESS(ROW(AI56),MOD(AI$1,4)+1)),AI$2)),$E56,"")</f>
        <v/>
      </c>
      <c r="AJ56" s="26" t="str" cm="1">
        <f t="array" aca="1" ref="AJ56" ca="1">IF(ISNUMBER(SEARCH(INDIRECT(ADDRESS(ROW(AJ56),MOD(AJ$1,4)+1)),AJ$2)),$E56,"")</f>
        <v/>
      </c>
      <c r="AK56" s="26" t="str" cm="1">
        <f t="array" aca="1" ref="AK56" ca="1">IF(ISNUMBER(SEARCH(INDIRECT(ADDRESS(ROW(AK56),MOD(AK$1,4)+1)),AK$2)),$E56,"")</f>
        <v/>
      </c>
      <c r="AL56" s="26" t="str" cm="1">
        <f t="array" aca="1" ref="AL56" ca="1">IF(ISNUMBER(SEARCH(INDIRECT(ADDRESS(ROW(AL56),MOD(AL$1,4)+1)),AL$2)),$E56,"")</f>
        <v/>
      </c>
      <c r="AM56" s="26" t="str" cm="1">
        <f t="array" aca="1" ref="AM56" ca="1">IF(ISNUMBER(SEARCH(INDIRECT(ADDRESS(ROW(AM56),MOD(AM$1,4)+1)),AM$2)),$E56,"")</f>
        <v/>
      </c>
      <c r="AN56" s="26" t="str" cm="1">
        <f t="array" aca="1" ref="AN56" ca="1">IF(ISNUMBER(SEARCH(INDIRECT(ADDRESS(ROW(AN56),MOD(AN$1,4)+1)),AN$2)),$E56,"")</f>
        <v/>
      </c>
      <c r="AO56" s="26" t="str" cm="1">
        <f t="array" aca="1" ref="AO56" ca="1">IF(ISNUMBER(SEARCH(INDIRECT(ADDRESS(ROW(AO56),MOD(AO$1,4)+1)),AO$2)),$E56,"")</f>
        <v/>
      </c>
      <c r="AP56" s="26" t="str" cm="1">
        <f t="array" aca="1" ref="AP56" ca="1">IF(ISNUMBER(SEARCH(INDIRECT(ADDRESS(ROW(AP56),MOD(AP$1,4)+1)),AP$2)),$E56,"")</f>
        <v/>
      </c>
      <c r="AQ56" s="31" t="str" cm="1">
        <f t="array" aca="1" ref="AQ56" ca="1">IF(ISNUMBER(SEARCH(INDIRECT(ADDRESS(ROW(AQ56),MOD(AQ$1,4)+1)),AQ$2)),$E56,"")</f>
        <v/>
      </c>
      <c r="AT56" t="e">
        <f>IF(VLOOKUP($E56,'Formatted NEW'!$B$2:$F$202,5,FALSE)=VLOOKUP($E56,'Formatted NEW'!$B$2:$F$202,8,FALSE),$E56,"")</f>
        <v>#N/A</v>
      </c>
      <c r="AW56" t="e">
        <f>IF(VLOOKUP($E56,'Formatted NEW'!$B$2:$F$202,5,FALSE)=VLOOKUP($E56,'Formatted NEW'!$B$2:$F$202,11,FALSE),$E56,"")</f>
        <v>#N/A</v>
      </c>
      <c r="AZ56" t="e">
        <f>IF(VLOOKUP($E56,'Formatted NEW'!$B$2:$F$202,5,FALSE)=VLOOKUP($E56,'Formatted NEW'!$B$2:$F$202,14,FALSE),$E56,"")</f>
        <v>#N/A</v>
      </c>
      <c r="BC56" t="str">
        <f>VLOOKUP($E56,'Formatted NEW'!$M$2:$T$202,6,FALSE)</f>
        <v>EMPTY</v>
      </c>
      <c r="BD56" s="26" t="e">
        <f>VLOOKUP(VLOOKUP(VLOOKUP($E56,'Formatted NEW'!$M$2:$O$202,2,FALSE),'Formatted NEW'!$D$2:$F$202,7,FALSE),'Formatted NEW'!$D$2:$O$202,12,FALSE)</f>
        <v>#REF!</v>
      </c>
      <c r="BE56" t="e">
        <f>VLOOKUP($BD56,'Formatted NEW'!$M$2:$T$202,5,FALSE)</f>
        <v>#REF!</v>
      </c>
      <c r="BF56" s="26" t="e">
        <f t="shared" si="1"/>
        <v>#REF!</v>
      </c>
      <c r="BH56">
        <f>VLOOKUP($E56,'Formatted NEW'!$M$2:$T$202,4,FALSE)</f>
        <v>0</v>
      </c>
      <c r="BI56" s="26" t="e">
        <f>VLOOKUP(VLOOKUP(VLOOKUP($E56,'Formatted NEW'!$M$2:$O$202,2,FALSE),'Formatted NEW'!$D$2:$F$202,10,FALSE),'Formatted NEW'!$D$2:$O$202,12,FALSE)</f>
        <v>#REF!</v>
      </c>
      <c r="BJ56" t="e">
        <f>VLOOKUP($BI56,'Formatted NEW'!$M$2:$T$202,3,FALSE)</f>
        <v>#REF!</v>
      </c>
      <c r="BK56" s="26" t="e">
        <f t="shared" si="2"/>
        <v>#REF!</v>
      </c>
    </row>
    <row r="57" spans="1:63" x14ac:dyDescent="0.25">
      <c r="A57" t="str">
        <f>'Formatted NEW'!Q55</f>
        <v>ORTHO_BOTH</v>
      </c>
      <c r="B57" t="str">
        <f>'Formatted NEW'!R55</f>
        <v>DIAG_BOTH</v>
      </c>
      <c r="C57" t="str">
        <f>'Formatted NEW'!S55</f>
        <v>EMPTY</v>
      </c>
      <c r="D57" t="str">
        <f>'Formatted NEW'!T55</f>
        <v>ORTHO_BOTH</v>
      </c>
      <c r="E57" s="26">
        <f t="shared" si="3"/>
        <v>53</v>
      </c>
      <c r="H57" s="30" t="str" cm="1">
        <f t="array" aca="1" ref="H57" ca="1">IF(ISNUMBER(SEARCH(INDIRECT(ADDRESS(ROW(H57),MOD(H$1,4)+1)),H$2)),$E57,"")</f>
        <v/>
      </c>
      <c r="I57" s="26" t="str" cm="1">
        <f t="array" aca="1" ref="I57" ca="1">IF(ISNUMBER(SEARCH(INDIRECT(ADDRESS(ROW(I57),MOD(I$1,4)+1)),I$2)),$E57,"")</f>
        <v/>
      </c>
      <c r="J57" s="26" t="str" cm="1">
        <f t="array" aca="1" ref="J57" ca="1">IF(ISNUMBER(SEARCH(INDIRECT(ADDRESS(ROW(J57),MOD(J$1,4)+1)),J$2)),$E57,"")</f>
        <v/>
      </c>
      <c r="K57" s="26" t="str" cm="1">
        <f t="array" aca="1" ref="K57" ca="1">IF(ISNUMBER(SEARCH(INDIRECT(ADDRESS(ROW(K57),MOD(K$1,4)+1)),K$2)),$E57,"")</f>
        <v/>
      </c>
      <c r="L57" s="26" t="str" cm="1">
        <f t="array" aca="1" ref="L57" ca="1">IF(ISNUMBER(SEARCH(INDIRECT(ADDRESS(ROW(L57),MOD(L$1,4)+1)),L$2)),$E57,"")</f>
        <v/>
      </c>
      <c r="M57" s="26" cm="1">
        <f t="array" aca="1" ref="M57" ca="1">IF(ISNUMBER(SEARCH(INDIRECT(ADDRESS(ROW(M57),MOD(M$1,4)+1)),M$2)),$E57,"")</f>
        <v>53</v>
      </c>
      <c r="N57" s="26" t="str" cm="1">
        <f t="array" aca="1" ref="N57" ca="1">IF(ISNUMBER(SEARCH(INDIRECT(ADDRESS(ROW(N57),MOD(N$1,4)+1)),N$2)),$E57,"")</f>
        <v/>
      </c>
      <c r="O57" s="26" t="str" cm="1">
        <f t="array" aca="1" ref="O57" ca="1">IF(ISNUMBER(SEARCH(INDIRECT(ADDRESS(ROW(O57),MOD(O$1,4)+1)),O$2)),$E57,"")</f>
        <v/>
      </c>
      <c r="P57" s="26" cm="1">
        <f t="array" aca="1" ref="P57" ca="1">IF(ISNUMBER(SEARCH(INDIRECT(ADDRESS(ROW(P57),MOD(P$1,4)+1)),P$2)),$E57,"")</f>
        <v>53</v>
      </c>
      <c r="Q57" s="26" t="str" cm="1">
        <f t="array" aca="1" ref="Q57" ca="1">IF(ISNUMBER(SEARCH(INDIRECT(ADDRESS(ROW(Q57),MOD(Q$1,4)+1)),Q$2)),$E57,"")</f>
        <v/>
      </c>
      <c r="R57" s="26" t="str" cm="1">
        <f t="array" aca="1" ref="R57" ca="1">IF(ISNUMBER(SEARCH(INDIRECT(ADDRESS(ROW(R57),MOD(R$1,4)+1)),R$2)),$E57,"")</f>
        <v/>
      </c>
      <c r="S57" s="26" cm="1">
        <f t="array" aca="1" ref="S57" ca="1">IF(ISNUMBER(SEARCH(INDIRECT(ADDRESS(ROW(S57),MOD(S$1,4)+1)),S$2)),$E57,"")</f>
        <v>53</v>
      </c>
      <c r="T57" s="26" t="str" cm="1">
        <f t="array" aca="1" ref="T57" ca="1">IF(ISNUMBER(SEARCH(INDIRECT(ADDRESS(ROW(T57),MOD(T$1,4)+1)),T$2)),$E57,"")</f>
        <v/>
      </c>
      <c r="U57" s="26" t="str" cm="1">
        <f t="array" aca="1" ref="U57" ca="1">IF(ISNUMBER(SEARCH(INDIRECT(ADDRESS(ROW(U57),MOD(U$1,4)+1)),U$2)),$E57,"")</f>
        <v/>
      </c>
      <c r="V57" s="26" t="str" cm="1">
        <f t="array" aca="1" ref="V57" ca="1">IF(ISNUMBER(SEARCH(INDIRECT(ADDRESS(ROW(V57),MOD(V$1,4)+1)),V$2)),$E57,"")</f>
        <v/>
      </c>
      <c r="W57" s="26" t="str" cm="1">
        <f t="array" aca="1" ref="W57" ca="1">IF(ISNUMBER(SEARCH(INDIRECT(ADDRESS(ROW(W57),MOD(W$1,4)+1)),W$2)),$E57,"")</f>
        <v/>
      </c>
      <c r="X57" s="26" t="str" cm="1">
        <f t="array" aca="1" ref="X57" ca="1">IF(ISNUMBER(SEARCH(INDIRECT(ADDRESS(ROW(X57),MOD(X$1,4)+1)),X$2)),$E57,"")</f>
        <v/>
      </c>
      <c r="Y57" s="26" t="str" cm="1">
        <f t="array" aca="1" ref="Y57" ca="1">IF(ISNUMBER(SEARCH(INDIRECT(ADDRESS(ROW(Y57),MOD(Y$1,4)+1)),Y$2)),$E57,"")</f>
        <v/>
      </c>
      <c r="Z57" s="26" t="str" cm="1">
        <f t="array" aca="1" ref="Z57" ca="1">IF(ISNUMBER(SEARCH(INDIRECT(ADDRESS(ROW(Z57),MOD(Z$1,4)+1)),Z$2)),$E57,"")</f>
        <v/>
      </c>
      <c r="AA57" s="26" t="str" cm="1">
        <f t="array" aca="1" ref="AA57" ca="1">IF(ISNUMBER(SEARCH(INDIRECT(ADDRESS(ROW(AA57),MOD(AA$1,4)+1)),AA$2)),$E57,"")</f>
        <v/>
      </c>
      <c r="AB57" s="26" t="str" cm="1">
        <f t="array" aca="1" ref="AB57" ca="1">IF(ISNUMBER(SEARCH(INDIRECT(ADDRESS(ROW(AB57),MOD(AB$1,4)+1)),AB$2)),$E57,"")</f>
        <v/>
      </c>
      <c r="AC57" s="26" t="str" cm="1">
        <f t="array" aca="1" ref="AC57" ca="1">IF(ISNUMBER(SEARCH(INDIRECT(ADDRESS(ROW(AC57),MOD(AC$1,4)+1)),AC$2)),$E57,"")</f>
        <v/>
      </c>
      <c r="AD57" s="26" t="str" cm="1">
        <f t="array" aca="1" ref="AD57" ca="1">IF(ISNUMBER(SEARCH(INDIRECT(ADDRESS(ROW(AD57),MOD(AD$1,4)+1)),AD$2)),$E57,"")</f>
        <v/>
      </c>
      <c r="AE57" s="26" t="str" cm="1">
        <f t="array" aca="1" ref="AE57" ca="1">IF(ISNUMBER(SEARCH(INDIRECT(ADDRESS(ROW(AE57),MOD(AE$1,4)+1)),AE$2)),$E57,"")</f>
        <v/>
      </c>
      <c r="AF57" s="26" t="str" cm="1">
        <f t="array" aca="1" ref="AF57" ca="1">IF(ISNUMBER(SEARCH(INDIRECT(ADDRESS(ROW(AF57),MOD(AF$1,4)+1)),AF$2)),$E57,"")</f>
        <v/>
      </c>
      <c r="AG57" s="26" t="str" cm="1">
        <f t="array" aca="1" ref="AG57" ca="1">IF(ISNUMBER(SEARCH(INDIRECT(ADDRESS(ROW(AG57),MOD(AG$1,4)+1)),AG$2)),$E57,"")</f>
        <v/>
      </c>
      <c r="AH57" s="26" t="str" cm="1">
        <f t="array" aca="1" ref="AH57" ca="1">IF(ISNUMBER(SEARCH(INDIRECT(ADDRESS(ROW(AH57),MOD(AH$1,4)+1)),AH$2)),$E57,"")</f>
        <v/>
      </c>
      <c r="AI57" s="26" t="str" cm="1">
        <f t="array" aca="1" ref="AI57" ca="1">IF(ISNUMBER(SEARCH(INDIRECT(ADDRESS(ROW(AI57),MOD(AI$1,4)+1)),AI$2)),$E57,"")</f>
        <v/>
      </c>
      <c r="AJ57" s="26" t="str" cm="1">
        <f t="array" aca="1" ref="AJ57" ca="1">IF(ISNUMBER(SEARCH(INDIRECT(ADDRESS(ROW(AJ57),MOD(AJ$1,4)+1)),AJ$2)),$E57,"")</f>
        <v/>
      </c>
      <c r="AK57" s="26" t="str" cm="1">
        <f t="array" aca="1" ref="AK57" ca="1">IF(ISNUMBER(SEARCH(INDIRECT(ADDRESS(ROW(AK57),MOD(AK$1,4)+1)),AK$2)),$E57,"")</f>
        <v/>
      </c>
      <c r="AL57" s="26" t="str" cm="1">
        <f t="array" aca="1" ref="AL57" ca="1">IF(ISNUMBER(SEARCH(INDIRECT(ADDRESS(ROW(AL57),MOD(AL$1,4)+1)),AL$2)),$E57,"")</f>
        <v/>
      </c>
      <c r="AM57" s="26" t="str" cm="1">
        <f t="array" aca="1" ref="AM57" ca="1">IF(ISNUMBER(SEARCH(INDIRECT(ADDRESS(ROW(AM57),MOD(AM$1,4)+1)),AM$2)),$E57,"")</f>
        <v/>
      </c>
      <c r="AN57" s="26" t="str" cm="1">
        <f t="array" aca="1" ref="AN57" ca="1">IF(ISNUMBER(SEARCH(INDIRECT(ADDRESS(ROW(AN57),MOD(AN$1,4)+1)),AN$2)),$E57,"")</f>
        <v/>
      </c>
      <c r="AO57" s="26" t="str" cm="1">
        <f t="array" aca="1" ref="AO57" ca="1">IF(ISNUMBER(SEARCH(INDIRECT(ADDRESS(ROW(AO57),MOD(AO$1,4)+1)),AO$2)),$E57,"")</f>
        <v/>
      </c>
      <c r="AP57" s="26" t="str" cm="1">
        <f t="array" aca="1" ref="AP57" ca="1">IF(ISNUMBER(SEARCH(INDIRECT(ADDRESS(ROW(AP57),MOD(AP$1,4)+1)),AP$2)),$E57,"")</f>
        <v/>
      </c>
      <c r="AQ57" s="31" t="str" cm="1">
        <f t="array" aca="1" ref="AQ57" ca="1">IF(ISNUMBER(SEARCH(INDIRECT(ADDRESS(ROW(AQ57),MOD(AQ$1,4)+1)),AQ$2)),$E57,"")</f>
        <v/>
      </c>
      <c r="AT57" t="e">
        <f>IF(VLOOKUP($E57,'Formatted NEW'!$B$2:$F$202,5,FALSE)=VLOOKUP($E57,'Formatted NEW'!$B$2:$F$202,8,FALSE),$E57,"")</f>
        <v>#N/A</v>
      </c>
      <c r="AW57" t="e">
        <f>IF(VLOOKUP($E57,'Formatted NEW'!$B$2:$F$202,5,FALSE)=VLOOKUP($E57,'Formatted NEW'!$B$2:$F$202,11,FALSE),$E57,"")</f>
        <v>#N/A</v>
      </c>
      <c r="AZ57" t="e">
        <f>IF(VLOOKUP($E57,'Formatted NEW'!$B$2:$F$202,5,FALSE)=VLOOKUP($E57,'Formatted NEW'!$B$2:$F$202,14,FALSE),$E57,"")</f>
        <v>#N/A</v>
      </c>
      <c r="BC57" t="str">
        <f>VLOOKUP($E57,'Formatted NEW'!$M$2:$T$202,6,FALSE)</f>
        <v>DIAG_BOTH</v>
      </c>
      <c r="BD57" s="26" t="e">
        <f>VLOOKUP(VLOOKUP(VLOOKUP($E57,'Formatted NEW'!$M$2:$O$202,2,FALSE),'Formatted NEW'!$D$2:$F$202,7,FALSE),'Formatted NEW'!$D$2:$O$202,12,FALSE)</f>
        <v>#REF!</v>
      </c>
      <c r="BE57" t="e">
        <f>VLOOKUP($BD57,'Formatted NEW'!$M$2:$T$202,5,FALSE)</f>
        <v>#REF!</v>
      </c>
      <c r="BF57" s="26" t="e">
        <f t="shared" si="1"/>
        <v>#REF!</v>
      </c>
      <c r="BH57">
        <f>VLOOKUP($E57,'Formatted NEW'!$M$2:$T$202,4,FALSE)</f>
        <v>0</v>
      </c>
      <c r="BI57" s="26" t="e">
        <f>VLOOKUP(VLOOKUP(VLOOKUP($E57,'Formatted NEW'!$M$2:$O$202,2,FALSE),'Formatted NEW'!$D$2:$F$202,10,FALSE),'Formatted NEW'!$D$2:$O$202,12,FALSE)</f>
        <v>#REF!</v>
      </c>
      <c r="BJ57" t="e">
        <f>VLOOKUP($BI57,'Formatted NEW'!$M$2:$T$202,3,FALSE)</f>
        <v>#REF!</v>
      </c>
      <c r="BK57" s="26" t="e">
        <f t="shared" si="2"/>
        <v>#REF!</v>
      </c>
    </row>
    <row r="58" spans="1:63" x14ac:dyDescent="0.25">
      <c r="A58" t="str">
        <f>'Formatted NEW'!Q56</f>
        <v>EMPTY</v>
      </c>
      <c r="B58" t="str">
        <f>'Formatted NEW'!R56</f>
        <v>EMPTY</v>
      </c>
      <c r="C58" t="str">
        <f>'Formatted NEW'!S56</f>
        <v>ORTHO_BOTH</v>
      </c>
      <c r="D58" t="str">
        <f>'Formatted NEW'!T56</f>
        <v>EMPTY</v>
      </c>
      <c r="E58" s="26">
        <f t="shared" si="3"/>
        <v>54</v>
      </c>
      <c r="H58" s="30" t="str" cm="1">
        <f t="array" aca="1" ref="H58" ca="1">IF(ISNUMBER(SEARCH(INDIRECT(ADDRESS(ROW(H58),MOD(H$1,4)+1)),H$2)),$E58,"")</f>
        <v/>
      </c>
      <c r="I58" s="26" t="str" cm="1">
        <f t="array" aca="1" ref="I58" ca="1">IF(ISNUMBER(SEARCH(INDIRECT(ADDRESS(ROW(I58),MOD(I$1,4)+1)),I$2)),$E58,"")</f>
        <v/>
      </c>
      <c r="J58" s="26" t="str" cm="1">
        <f t="array" aca="1" ref="J58" ca="1">IF(ISNUMBER(SEARCH(INDIRECT(ADDRESS(ROW(J58),MOD(J$1,4)+1)),J$2)),$E58,"")</f>
        <v/>
      </c>
      <c r="K58" s="26" t="str" cm="1">
        <f t="array" aca="1" ref="K58" ca="1">IF(ISNUMBER(SEARCH(INDIRECT(ADDRESS(ROW(K58),MOD(K$1,4)+1)),K$2)),$E58,"")</f>
        <v/>
      </c>
      <c r="L58" s="26" t="str" cm="1">
        <f t="array" aca="1" ref="L58" ca="1">IF(ISNUMBER(SEARCH(INDIRECT(ADDRESS(ROW(L58),MOD(L$1,4)+1)),L$2)),$E58,"")</f>
        <v/>
      </c>
      <c r="M58" s="26" t="str" cm="1">
        <f t="array" aca="1" ref="M58" ca="1">IF(ISNUMBER(SEARCH(INDIRECT(ADDRESS(ROW(M58),MOD(M$1,4)+1)),M$2)),$E58,"")</f>
        <v/>
      </c>
      <c r="N58" s="26" t="str" cm="1">
        <f t="array" aca="1" ref="N58" ca="1">IF(ISNUMBER(SEARCH(INDIRECT(ADDRESS(ROW(N58),MOD(N$1,4)+1)),N$2)),$E58,"")</f>
        <v/>
      </c>
      <c r="O58" s="26" t="str" cm="1">
        <f t="array" aca="1" ref="O58" ca="1">IF(ISNUMBER(SEARCH(INDIRECT(ADDRESS(ROW(O58),MOD(O$1,4)+1)),O$2)),$E58,"")</f>
        <v/>
      </c>
      <c r="P58" s="26" t="str" cm="1">
        <f t="array" aca="1" ref="P58" ca="1">IF(ISNUMBER(SEARCH(INDIRECT(ADDRESS(ROW(P58),MOD(P$1,4)+1)),P$2)),$E58,"")</f>
        <v/>
      </c>
      <c r="Q58" s="26" t="str" cm="1">
        <f t="array" aca="1" ref="Q58" ca="1">IF(ISNUMBER(SEARCH(INDIRECT(ADDRESS(ROW(Q58),MOD(Q$1,4)+1)),Q$2)),$E58,"")</f>
        <v/>
      </c>
      <c r="R58" s="26" cm="1">
        <f t="array" aca="1" ref="R58" ca="1">IF(ISNUMBER(SEARCH(INDIRECT(ADDRESS(ROW(R58),MOD(R$1,4)+1)),R$2)),$E58,"")</f>
        <v>54</v>
      </c>
      <c r="S58" s="26" t="str" cm="1">
        <f t="array" aca="1" ref="S58" ca="1">IF(ISNUMBER(SEARCH(INDIRECT(ADDRESS(ROW(S58),MOD(S$1,4)+1)),S$2)),$E58,"")</f>
        <v/>
      </c>
      <c r="T58" s="26" t="str" cm="1">
        <f t="array" aca="1" ref="T58" ca="1">IF(ISNUMBER(SEARCH(INDIRECT(ADDRESS(ROW(T58),MOD(T$1,4)+1)),T$2)),$E58,"")</f>
        <v/>
      </c>
      <c r="U58" s="26" t="str" cm="1">
        <f t="array" aca="1" ref="U58" ca="1">IF(ISNUMBER(SEARCH(INDIRECT(ADDRESS(ROW(U58),MOD(U$1,4)+1)),U$2)),$E58,"")</f>
        <v/>
      </c>
      <c r="V58" s="26" t="str" cm="1">
        <f t="array" aca="1" ref="V58" ca="1">IF(ISNUMBER(SEARCH(INDIRECT(ADDRESS(ROW(V58),MOD(V$1,4)+1)),V$2)),$E58,"")</f>
        <v/>
      </c>
      <c r="W58" s="26" t="str" cm="1">
        <f t="array" aca="1" ref="W58" ca="1">IF(ISNUMBER(SEARCH(INDIRECT(ADDRESS(ROW(W58),MOD(W$1,4)+1)),W$2)),$E58,"")</f>
        <v/>
      </c>
      <c r="X58" s="26" t="str" cm="1">
        <f t="array" aca="1" ref="X58" ca="1">IF(ISNUMBER(SEARCH(INDIRECT(ADDRESS(ROW(X58),MOD(X$1,4)+1)),X$2)),$E58,"")</f>
        <v/>
      </c>
      <c r="Y58" s="26" t="str" cm="1">
        <f t="array" aca="1" ref="Y58" ca="1">IF(ISNUMBER(SEARCH(INDIRECT(ADDRESS(ROW(Y58),MOD(Y$1,4)+1)),Y$2)),$E58,"")</f>
        <v/>
      </c>
      <c r="Z58" s="26" t="str" cm="1">
        <f t="array" aca="1" ref="Z58" ca="1">IF(ISNUMBER(SEARCH(INDIRECT(ADDRESS(ROW(Z58),MOD(Z$1,4)+1)),Z$2)),$E58,"")</f>
        <v/>
      </c>
      <c r="AA58" s="26" t="str" cm="1">
        <f t="array" aca="1" ref="AA58" ca="1">IF(ISNUMBER(SEARCH(INDIRECT(ADDRESS(ROW(AA58),MOD(AA$1,4)+1)),AA$2)),$E58,"")</f>
        <v/>
      </c>
      <c r="AB58" s="26" t="str" cm="1">
        <f t="array" aca="1" ref="AB58" ca="1">IF(ISNUMBER(SEARCH(INDIRECT(ADDRESS(ROW(AB58),MOD(AB$1,4)+1)),AB$2)),$E58,"")</f>
        <v/>
      </c>
      <c r="AC58" s="26" t="str" cm="1">
        <f t="array" aca="1" ref="AC58" ca="1">IF(ISNUMBER(SEARCH(INDIRECT(ADDRESS(ROW(AC58),MOD(AC$1,4)+1)),AC$2)),$E58,"")</f>
        <v/>
      </c>
      <c r="AD58" s="26" t="str" cm="1">
        <f t="array" aca="1" ref="AD58" ca="1">IF(ISNUMBER(SEARCH(INDIRECT(ADDRESS(ROW(AD58),MOD(AD$1,4)+1)),AD$2)),$E58,"")</f>
        <v/>
      </c>
      <c r="AE58" s="26" t="str" cm="1">
        <f t="array" aca="1" ref="AE58" ca="1">IF(ISNUMBER(SEARCH(INDIRECT(ADDRESS(ROW(AE58),MOD(AE$1,4)+1)),AE$2)),$E58,"")</f>
        <v/>
      </c>
      <c r="AF58" s="26" t="str" cm="1">
        <f t="array" aca="1" ref="AF58" ca="1">IF(ISNUMBER(SEARCH(INDIRECT(ADDRESS(ROW(AF58),MOD(AF$1,4)+1)),AF$2)),$E58,"")</f>
        <v/>
      </c>
      <c r="AG58" s="26" t="str" cm="1">
        <f t="array" aca="1" ref="AG58" ca="1">IF(ISNUMBER(SEARCH(INDIRECT(ADDRESS(ROW(AG58),MOD(AG$1,4)+1)),AG$2)),$E58,"")</f>
        <v/>
      </c>
      <c r="AH58" s="26" t="str" cm="1">
        <f t="array" aca="1" ref="AH58" ca="1">IF(ISNUMBER(SEARCH(INDIRECT(ADDRESS(ROW(AH58),MOD(AH$1,4)+1)),AH$2)),$E58,"")</f>
        <v/>
      </c>
      <c r="AI58" s="26" t="str" cm="1">
        <f t="array" aca="1" ref="AI58" ca="1">IF(ISNUMBER(SEARCH(INDIRECT(ADDRESS(ROW(AI58),MOD(AI$1,4)+1)),AI$2)),$E58,"")</f>
        <v/>
      </c>
      <c r="AJ58" s="26" t="str" cm="1">
        <f t="array" aca="1" ref="AJ58" ca="1">IF(ISNUMBER(SEARCH(INDIRECT(ADDRESS(ROW(AJ58),MOD(AJ$1,4)+1)),AJ$2)),$E58,"")</f>
        <v/>
      </c>
      <c r="AK58" s="26" t="str" cm="1">
        <f t="array" aca="1" ref="AK58" ca="1">IF(ISNUMBER(SEARCH(INDIRECT(ADDRESS(ROW(AK58),MOD(AK$1,4)+1)),AK$2)),$E58,"")</f>
        <v/>
      </c>
      <c r="AL58" s="26" t="str" cm="1">
        <f t="array" aca="1" ref="AL58" ca="1">IF(ISNUMBER(SEARCH(INDIRECT(ADDRESS(ROW(AL58),MOD(AL$1,4)+1)),AL$2)),$E58,"")</f>
        <v/>
      </c>
      <c r="AM58" s="26" t="str" cm="1">
        <f t="array" aca="1" ref="AM58" ca="1">IF(ISNUMBER(SEARCH(INDIRECT(ADDRESS(ROW(AM58),MOD(AM$1,4)+1)),AM$2)),$E58,"")</f>
        <v/>
      </c>
      <c r="AN58" s="26" t="str" cm="1">
        <f t="array" aca="1" ref="AN58" ca="1">IF(ISNUMBER(SEARCH(INDIRECT(ADDRESS(ROW(AN58),MOD(AN$1,4)+1)),AN$2)),$E58,"")</f>
        <v/>
      </c>
      <c r="AO58" s="26" t="str" cm="1">
        <f t="array" aca="1" ref="AO58" ca="1">IF(ISNUMBER(SEARCH(INDIRECT(ADDRESS(ROW(AO58),MOD(AO$1,4)+1)),AO$2)),$E58,"")</f>
        <v/>
      </c>
      <c r="AP58" s="26" t="str" cm="1">
        <f t="array" aca="1" ref="AP58" ca="1">IF(ISNUMBER(SEARCH(INDIRECT(ADDRESS(ROW(AP58),MOD(AP$1,4)+1)),AP$2)),$E58,"")</f>
        <v/>
      </c>
      <c r="AQ58" s="31" t="str" cm="1">
        <f t="array" aca="1" ref="AQ58" ca="1">IF(ISNUMBER(SEARCH(INDIRECT(ADDRESS(ROW(AQ58),MOD(AQ$1,4)+1)),AQ$2)),$E58,"")</f>
        <v/>
      </c>
      <c r="AT58" t="e">
        <f>IF(VLOOKUP($E58,'Formatted NEW'!$B$2:$F$202,5,FALSE)=VLOOKUP($E58,'Formatted NEW'!$B$2:$F$202,8,FALSE),$E58,"")</f>
        <v>#N/A</v>
      </c>
      <c r="AW58" t="e">
        <f>IF(VLOOKUP($E58,'Formatted NEW'!$B$2:$F$202,5,FALSE)=VLOOKUP($E58,'Formatted NEW'!$B$2:$F$202,11,FALSE),$E58,"")</f>
        <v>#N/A</v>
      </c>
      <c r="AZ58" t="e">
        <f>IF(VLOOKUP($E58,'Formatted NEW'!$B$2:$F$202,5,FALSE)=VLOOKUP($E58,'Formatted NEW'!$B$2:$F$202,14,FALSE),$E58,"")</f>
        <v>#N/A</v>
      </c>
      <c r="BC58" t="str">
        <f>VLOOKUP($E58,'Formatted NEW'!$M$2:$T$202,6,FALSE)</f>
        <v>EMPTY</v>
      </c>
      <c r="BD58" s="26" t="e">
        <f>VLOOKUP(VLOOKUP(VLOOKUP($E58,'Formatted NEW'!$M$2:$O$202,2,FALSE),'Formatted NEW'!$D$2:$F$202,7,FALSE),'Formatted NEW'!$D$2:$O$202,12,FALSE)</f>
        <v>#REF!</v>
      </c>
      <c r="BE58" t="e">
        <f>VLOOKUP($BD58,'Formatted NEW'!$M$2:$T$202,5,FALSE)</f>
        <v>#REF!</v>
      </c>
      <c r="BF58" s="26" t="e">
        <f t="shared" si="1"/>
        <v>#REF!</v>
      </c>
      <c r="BH58">
        <f>VLOOKUP($E58,'Formatted NEW'!$M$2:$T$202,4,FALSE)</f>
        <v>0</v>
      </c>
      <c r="BI58" s="26" t="e">
        <f>VLOOKUP(VLOOKUP(VLOOKUP($E58,'Formatted NEW'!$M$2:$O$202,2,FALSE),'Formatted NEW'!$D$2:$F$202,10,FALSE),'Formatted NEW'!$D$2:$O$202,12,FALSE)</f>
        <v>#REF!</v>
      </c>
      <c r="BJ58" t="e">
        <f>VLOOKUP($BI58,'Formatted NEW'!$M$2:$T$202,3,FALSE)</f>
        <v>#REF!</v>
      </c>
      <c r="BK58" s="26" t="e">
        <f t="shared" si="2"/>
        <v>#REF!</v>
      </c>
    </row>
    <row r="59" spans="1:63" x14ac:dyDescent="0.25">
      <c r="A59" t="str">
        <f>'Formatted NEW'!Q57</f>
        <v>EMPTY</v>
      </c>
      <c r="B59" t="str">
        <f>'Formatted NEW'!R57</f>
        <v>ORTHO_BOTH</v>
      </c>
      <c r="C59" t="str">
        <f>'Formatted NEW'!S57</f>
        <v>ORTHO_BOTH</v>
      </c>
      <c r="D59" t="str">
        <f>'Formatted NEW'!T57</f>
        <v>ORTHO_BOTH</v>
      </c>
      <c r="E59" s="26">
        <f t="shared" si="3"/>
        <v>55</v>
      </c>
      <c r="H59" s="30" t="str" cm="1">
        <f t="array" aca="1" ref="H59" ca="1">IF(ISNUMBER(SEARCH(INDIRECT(ADDRESS(ROW(H59),MOD(H$1,4)+1)),H$2)),$E59,"")</f>
        <v/>
      </c>
      <c r="I59" s="26" t="str" cm="1">
        <f t="array" aca="1" ref="I59" ca="1">IF(ISNUMBER(SEARCH(INDIRECT(ADDRESS(ROW(I59),MOD(I$1,4)+1)),I$2)),$E59,"")</f>
        <v/>
      </c>
      <c r="J59" s="26" t="str" cm="1">
        <f t="array" aca="1" ref="J59" ca="1">IF(ISNUMBER(SEARCH(INDIRECT(ADDRESS(ROW(J59),MOD(J$1,4)+1)),J$2)),$E59,"")</f>
        <v/>
      </c>
      <c r="K59" s="26" t="str" cm="1">
        <f t="array" aca="1" ref="K59" ca="1">IF(ISNUMBER(SEARCH(INDIRECT(ADDRESS(ROW(K59),MOD(K$1,4)+1)),K$2)),$E59,"")</f>
        <v/>
      </c>
      <c r="L59" s="26" t="str" cm="1">
        <f t="array" aca="1" ref="L59" ca="1">IF(ISNUMBER(SEARCH(INDIRECT(ADDRESS(ROW(L59),MOD(L$1,4)+1)),L$2)),$E59,"")</f>
        <v/>
      </c>
      <c r="M59" s="26" t="str" cm="1">
        <f t="array" aca="1" ref="M59" ca="1">IF(ISNUMBER(SEARCH(INDIRECT(ADDRESS(ROW(M59),MOD(M$1,4)+1)),M$2)),$E59,"")</f>
        <v/>
      </c>
      <c r="N59" s="26" t="str" cm="1">
        <f t="array" aca="1" ref="N59" ca="1">IF(ISNUMBER(SEARCH(INDIRECT(ADDRESS(ROW(N59),MOD(N$1,4)+1)),N$2)),$E59,"")</f>
        <v/>
      </c>
      <c r="O59" s="26" t="str" cm="1">
        <f t="array" aca="1" ref="O59" ca="1">IF(ISNUMBER(SEARCH(INDIRECT(ADDRESS(ROW(O59),MOD(O$1,4)+1)),O$2)),$E59,"")</f>
        <v/>
      </c>
      <c r="P59" s="26" t="str" cm="1">
        <f t="array" aca="1" ref="P59" ca="1">IF(ISNUMBER(SEARCH(INDIRECT(ADDRESS(ROW(P59),MOD(P$1,4)+1)),P$2)),$E59,"")</f>
        <v/>
      </c>
      <c r="Q59" s="26" cm="1">
        <f t="array" aca="1" ref="Q59" ca="1">IF(ISNUMBER(SEARCH(INDIRECT(ADDRESS(ROW(Q59),MOD(Q$1,4)+1)),Q$2)),$E59,"")</f>
        <v>55</v>
      </c>
      <c r="R59" s="26" cm="1">
        <f t="array" aca="1" ref="R59" ca="1">IF(ISNUMBER(SEARCH(INDIRECT(ADDRESS(ROW(R59),MOD(R$1,4)+1)),R$2)),$E59,"")</f>
        <v>55</v>
      </c>
      <c r="S59" s="26" cm="1">
        <f t="array" aca="1" ref="S59" ca="1">IF(ISNUMBER(SEARCH(INDIRECT(ADDRESS(ROW(S59),MOD(S$1,4)+1)),S$2)),$E59,"")</f>
        <v>55</v>
      </c>
      <c r="T59" s="26" t="str" cm="1">
        <f t="array" aca="1" ref="T59" ca="1">IF(ISNUMBER(SEARCH(INDIRECT(ADDRESS(ROW(T59),MOD(T$1,4)+1)),T$2)),$E59,"")</f>
        <v/>
      </c>
      <c r="U59" s="26" t="str" cm="1">
        <f t="array" aca="1" ref="U59" ca="1">IF(ISNUMBER(SEARCH(INDIRECT(ADDRESS(ROW(U59),MOD(U$1,4)+1)),U$2)),$E59,"")</f>
        <v/>
      </c>
      <c r="V59" s="26" t="str" cm="1">
        <f t="array" aca="1" ref="V59" ca="1">IF(ISNUMBER(SEARCH(INDIRECT(ADDRESS(ROW(V59),MOD(V$1,4)+1)),V$2)),$E59,"")</f>
        <v/>
      </c>
      <c r="W59" s="26" t="str" cm="1">
        <f t="array" aca="1" ref="W59" ca="1">IF(ISNUMBER(SEARCH(INDIRECT(ADDRESS(ROW(W59),MOD(W$1,4)+1)),W$2)),$E59,"")</f>
        <v/>
      </c>
      <c r="X59" s="26" t="str" cm="1">
        <f t="array" aca="1" ref="X59" ca="1">IF(ISNUMBER(SEARCH(INDIRECT(ADDRESS(ROW(X59),MOD(X$1,4)+1)),X$2)),$E59,"")</f>
        <v/>
      </c>
      <c r="Y59" s="26" t="str" cm="1">
        <f t="array" aca="1" ref="Y59" ca="1">IF(ISNUMBER(SEARCH(INDIRECT(ADDRESS(ROW(Y59),MOD(Y$1,4)+1)),Y$2)),$E59,"")</f>
        <v/>
      </c>
      <c r="Z59" s="26" t="str" cm="1">
        <f t="array" aca="1" ref="Z59" ca="1">IF(ISNUMBER(SEARCH(INDIRECT(ADDRESS(ROW(Z59),MOD(Z$1,4)+1)),Z$2)),$E59,"")</f>
        <v/>
      </c>
      <c r="AA59" s="26" t="str" cm="1">
        <f t="array" aca="1" ref="AA59" ca="1">IF(ISNUMBER(SEARCH(INDIRECT(ADDRESS(ROW(AA59),MOD(AA$1,4)+1)),AA$2)),$E59,"")</f>
        <v/>
      </c>
      <c r="AB59" s="26" t="str" cm="1">
        <f t="array" aca="1" ref="AB59" ca="1">IF(ISNUMBER(SEARCH(INDIRECT(ADDRESS(ROW(AB59),MOD(AB$1,4)+1)),AB$2)),$E59,"")</f>
        <v/>
      </c>
      <c r="AC59" s="26" t="str" cm="1">
        <f t="array" aca="1" ref="AC59" ca="1">IF(ISNUMBER(SEARCH(INDIRECT(ADDRESS(ROW(AC59),MOD(AC$1,4)+1)),AC$2)),$E59,"")</f>
        <v/>
      </c>
      <c r="AD59" s="26" t="str" cm="1">
        <f t="array" aca="1" ref="AD59" ca="1">IF(ISNUMBER(SEARCH(INDIRECT(ADDRESS(ROW(AD59),MOD(AD$1,4)+1)),AD$2)),$E59,"")</f>
        <v/>
      </c>
      <c r="AE59" s="26" t="str" cm="1">
        <f t="array" aca="1" ref="AE59" ca="1">IF(ISNUMBER(SEARCH(INDIRECT(ADDRESS(ROW(AE59),MOD(AE$1,4)+1)),AE$2)),$E59,"")</f>
        <v/>
      </c>
      <c r="AF59" s="26" t="str" cm="1">
        <f t="array" aca="1" ref="AF59" ca="1">IF(ISNUMBER(SEARCH(INDIRECT(ADDRESS(ROW(AF59),MOD(AF$1,4)+1)),AF$2)),$E59,"")</f>
        <v/>
      </c>
      <c r="AG59" s="26" t="str" cm="1">
        <f t="array" aca="1" ref="AG59" ca="1">IF(ISNUMBER(SEARCH(INDIRECT(ADDRESS(ROW(AG59),MOD(AG$1,4)+1)),AG$2)),$E59,"")</f>
        <v/>
      </c>
      <c r="AH59" s="26" t="str" cm="1">
        <f t="array" aca="1" ref="AH59" ca="1">IF(ISNUMBER(SEARCH(INDIRECT(ADDRESS(ROW(AH59),MOD(AH$1,4)+1)),AH$2)),$E59,"")</f>
        <v/>
      </c>
      <c r="AI59" s="26" t="str" cm="1">
        <f t="array" aca="1" ref="AI59" ca="1">IF(ISNUMBER(SEARCH(INDIRECT(ADDRESS(ROW(AI59),MOD(AI$1,4)+1)),AI$2)),$E59,"")</f>
        <v/>
      </c>
      <c r="AJ59" s="26" t="str" cm="1">
        <f t="array" aca="1" ref="AJ59" ca="1">IF(ISNUMBER(SEARCH(INDIRECT(ADDRESS(ROW(AJ59),MOD(AJ$1,4)+1)),AJ$2)),$E59,"")</f>
        <v/>
      </c>
      <c r="AK59" s="26" t="str" cm="1">
        <f t="array" aca="1" ref="AK59" ca="1">IF(ISNUMBER(SEARCH(INDIRECT(ADDRESS(ROW(AK59),MOD(AK$1,4)+1)),AK$2)),$E59,"")</f>
        <v/>
      </c>
      <c r="AL59" s="26" t="str" cm="1">
        <f t="array" aca="1" ref="AL59" ca="1">IF(ISNUMBER(SEARCH(INDIRECT(ADDRESS(ROW(AL59),MOD(AL$1,4)+1)),AL$2)),$E59,"")</f>
        <v/>
      </c>
      <c r="AM59" s="26" t="str" cm="1">
        <f t="array" aca="1" ref="AM59" ca="1">IF(ISNUMBER(SEARCH(INDIRECT(ADDRESS(ROW(AM59),MOD(AM$1,4)+1)),AM$2)),$E59,"")</f>
        <v/>
      </c>
      <c r="AN59" s="26" t="str" cm="1">
        <f t="array" aca="1" ref="AN59" ca="1">IF(ISNUMBER(SEARCH(INDIRECT(ADDRESS(ROW(AN59),MOD(AN$1,4)+1)),AN$2)),$E59,"")</f>
        <v/>
      </c>
      <c r="AO59" s="26" t="str" cm="1">
        <f t="array" aca="1" ref="AO59" ca="1">IF(ISNUMBER(SEARCH(INDIRECT(ADDRESS(ROW(AO59),MOD(AO$1,4)+1)),AO$2)),$E59,"")</f>
        <v/>
      </c>
      <c r="AP59" s="26" t="str" cm="1">
        <f t="array" aca="1" ref="AP59" ca="1">IF(ISNUMBER(SEARCH(INDIRECT(ADDRESS(ROW(AP59),MOD(AP$1,4)+1)),AP$2)),$E59,"")</f>
        <v/>
      </c>
      <c r="AQ59" s="31" t="str" cm="1">
        <f t="array" aca="1" ref="AQ59" ca="1">IF(ISNUMBER(SEARCH(INDIRECT(ADDRESS(ROW(AQ59),MOD(AQ$1,4)+1)),AQ$2)),$E59,"")</f>
        <v/>
      </c>
      <c r="AT59" t="e">
        <f>IF(VLOOKUP($E59,'Formatted NEW'!$B$2:$F$202,5,FALSE)=VLOOKUP($E59,'Formatted NEW'!$B$2:$F$202,8,FALSE),$E59,"")</f>
        <v>#N/A</v>
      </c>
      <c r="AW59" t="e">
        <f>IF(VLOOKUP($E59,'Formatted NEW'!$B$2:$F$202,5,FALSE)=VLOOKUP($E59,'Formatted NEW'!$B$2:$F$202,11,FALSE),$E59,"")</f>
        <v>#N/A</v>
      </c>
      <c r="AZ59" t="e">
        <f>IF(VLOOKUP($E59,'Formatted NEW'!$B$2:$F$202,5,FALSE)=VLOOKUP($E59,'Formatted NEW'!$B$2:$F$202,14,FALSE),$E59,"")</f>
        <v>#N/A</v>
      </c>
      <c r="BC59" t="str">
        <f>VLOOKUP($E59,'Formatted NEW'!$M$2:$T$202,6,FALSE)</f>
        <v>ORTHO_BOTH</v>
      </c>
      <c r="BD59" s="26" t="e">
        <f>VLOOKUP(VLOOKUP(VLOOKUP($E59,'Formatted NEW'!$M$2:$O$202,2,FALSE),'Formatted NEW'!$D$2:$F$202,7,FALSE),'Formatted NEW'!$D$2:$O$202,12,FALSE)</f>
        <v>#REF!</v>
      </c>
      <c r="BE59" t="e">
        <f>VLOOKUP($BD59,'Formatted NEW'!$M$2:$T$202,5,FALSE)</f>
        <v>#REF!</v>
      </c>
      <c r="BF59" s="26" t="e">
        <f t="shared" si="1"/>
        <v>#REF!</v>
      </c>
      <c r="BH59">
        <f>VLOOKUP($E59,'Formatted NEW'!$M$2:$T$202,4,FALSE)</f>
        <v>0</v>
      </c>
      <c r="BI59" s="26" t="e">
        <f>VLOOKUP(VLOOKUP(VLOOKUP($E59,'Formatted NEW'!$M$2:$O$202,2,FALSE),'Formatted NEW'!$D$2:$F$202,10,FALSE),'Formatted NEW'!$D$2:$O$202,12,FALSE)</f>
        <v>#REF!</v>
      </c>
      <c r="BJ59" t="e">
        <f>VLOOKUP($BI59,'Formatted NEW'!$M$2:$T$202,3,FALSE)</f>
        <v>#REF!</v>
      </c>
      <c r="BK59" s="26" t="e">
        <f t="shared" si="2"/>
        <v>#REF!</v>
      </c>
    </row>
    <row r="60" spans="1:63" x14ac:dyDescent="0.25">
      <c r="A60" t="str">
        <f>'Formatted NEW'!Q58</f>
        <v>ORTHO_BOTH</v>
      </c>
      <c r="B60" t="str">
        <f>'Formatted NEW'!R58</f>
        <v>EMPTY</v>
      </c>
      <c r="C60" t="str">
        <f>'Formatted NEW'!S58</f>
        <v>ORTHO_BOTH</v>
      </c>
      <c r="D60" t="str">
        <f>'Formatted NEW'!T58</f>
        <v>ORTHO_BOTH</v>
      </c>
      <c r="E60" s="26">
        <f t="shared" si="3"/>
        <v>56</v>
      </c>
      <c r="H60" s="30" t="str" cm="1">
        <f t="array" aca="1" ref="H60" ca="1">IF(ISNUMBER(SEARCH(INDIRECT(ADDRESS(ROW(H60),MOD(H$1,4)+1)),H$2)),$E60,"")</f>
        <v/>
      </c>
      <c r="I60" s="26" t="str" cm="1">
        <f t="array" aca="1" ref="I60" ca="1">IF(ISNUMBER(SEARCH(INDIRECT(ADDRESS(ROW(I60),MOD(I$1,4)+1)),I$2)),$E60,"")</f>
        <v/>
      </c>
      <c r="J60" s="26" t="str" cm="1">
        <f t="array" aca="1" ref="J60" ca="1">IF(ISNUMBER(SEARCH(INDIRECT(ADDRESS(ROW(J60),MOD(J$1,4)+1)),J$2)),$E60,"")</f>
        <v/>
      </c>
      <c r="K60" s="26" t="str" cm="1">
        <f t="array" aca="1" ref="K60" ca="1">IF(ISNUMBER(SEARCH(INDIRECT(ADDRESS(ROW(K60),MOD(K$1,4)+1)),K$2)),$E60,"")</f>
        <v/>
      </c>
      <c r="L60" s="26" t="str" cm="1">
        <f t="array" aca="1" ref="L60" ca="1">IF(ISNUMBER(SEARCH(INDIRECT(ADDRESS(ROW(L60),MOD(L$1,4)+1)),L$2)),$E60,"")</f>
        <v/>
      </c>
      <c r="M60" s="26" t="str" cm="1">
        <f t="array" aca="1" ref="M60" ca="1">IF(ISNUMBER(SEARCH(INDIRECT(ADDRESS(ROW(M60),MOD(M$1,4)+1)),M$2)),$E60,"")</f>
        <v/>
      </c>
      <c r="N60" s="26" t="str" cm="1">
        <f t="array" aca="1" ref="N60" ca="1">IF(ISNUMBER(SEARCH(INDIRECT(ADDRESS(ROW(N60),MOD(N$1,4)+1)),N$2)),$E60,"")</f>
        <v/>
      </c>
      <c r="O60" s="26" t="str" cm="1">
        <f t="array" aca="1" ref="O60" ca="1">IF(ISNUMBER(SEARCH(INDIRECT(ADDRESS(ROW(O60),MOD(O$1,4)+1)),O$2)),$E60,"")</f>
        <v/>
      </c>
      <c r="P60" s="26" cm="1">
        <f t="array" aca="1" ref="P60" ca="1">IF(ISNUMBER(SEARCH(INDIRECT(ADDRESS(ROW(P60),MOD(P$1,4)+1)),P$2)),$E60,"")</f>
        <v>56</v>
      </c>
      <c r="Q60" s="26" t="str" cm="1">
        <f t="array" aca="1" ref="Q60" ca="1">IF(ISNUMBER(SEARCH(INDIRECT(ADDRESS(ROW(Q60),MOD(Q$1,4)+1)),Q$2)),$E60,"")</f>
        <v/>
      </c>
      <c r="R60" s="26" cm="1">
        <f t="array" aca="1" ref="R60" ca="1">IF(ISNUMBER(SEARCH(INDIRECT(ADDRESS(ROW(R60),MOD(R$1,4)+1)),R$2)),$E60,"")</f>
        <v>56</v>
      </c>
      <c r="S60" s="26" cm="1">
        <f t="array" aca="1" ref="S60" ca="1">IF(ISNUMBER(SEARCH(INDIRECT(ADDRESS(ROW(S60),MOD(S$1,4)+1)),S$2)),$E60,"")</f>
        <v>56</v>
      </c>
      <c r="T60" s="26" t="str" cm="1">
        <f t="array" aca="1" ref="T60" ca="1">IF(ISNUMBER(SEARCH(INDIRECT(ADDRESS(ROW(T60),MOD(T$1,4)+1)),T$2)),$E60,"")</f>
        <v/>
      </c>
      <c r="U60" s="26" t="str" cm="1">
        <f t="array" aca="1" ref="U60" ca="1">IF(ISNUMBER(SEARCH(INDIRECT(ADDRESS(ROW(U60),MOD(U$1,4)+1)),U$2)),$E60,"")</f>
        <v/>
      </c>
      <c r="V60" s="26" t="str" cm="1">
        <f t="array" aca="1" ref="V60" ca="1">IF(ISNUMBER(SEARCH(INDIRECT(ADDRESS(ROW(V60),MOD(V$1,4)+1)),V$2)),$E60,"")</f>
        <v/>
      </c>
      <c r="W60" s="26" t="str" cm="1">
        <f t="array" aca="1" ref="W60" ca="1">IF(ISNUMBER(SEARCH(INDIRECT(ADDRESS(ROW(W60),MOD(W$1,4)+1)),W$2)),$E60,"")</f>
        <v/>
      </c>
      <c r="X60" s="26" t="str" cm="1">
        <f t="array" aca="1" ref="X60" ca="1">IF(ISNUMBER(SEARCH(INDIRECT(ADDRESS(ROW(X60),MOD(X$1,4)+1)),X$2)),$E60,"")</f>
        <v/>
      </c>
      <c r="Y60" s="26" t="str" cm="1">
        <f t="array" aca="1" ref="Y60" ca="1">IF(ISNUMBER(SEARCH(INDIRECT(ADDRESS(ROW(Y60),MOD(Y$1,4)+1)),Y$2)),$E60,"")</f>
        <v/>
      </c>
      <c r="Z60" s="26" t="str" cm="1">
        <f t="array" aca="1" ref="Z60" ca="1">IF(ISNUMBER(SEARCH(INDIRECT(ADDRESS(ROW(Z60),MOD(Z$1,4)+1)),Z$2)),$E60,"")</f>
        <v/>
      </c>
      <c r="AA60" s="26" t="str" cm="1">
        <f t="array" aca="1" ref="AA60" ca="1">IF(ISNUMBER(SEARCH(INDIRECT(ADDRESS(ROW(AA60),MOD(AA$1,4)+1)),AA$2)),$E60,"")</f>
        <v/>
      </c>
      <c r="AB60" s="26" t="str" cm="1">
        <f t="array" aca="1" ref="AB60" ca="1">IF(ISNUMBER(SEARCH(INDIRECT(ADDRESS(ROW(AB60),MOD(AB$1,4)+1)),AB$2)),$E60,"")</f>
        <v/>
      </c>
      <c r="AC60" s="26" t="str" cm="1">
        <f t="array" aca="1" ref="AC60" ca="1">IF(ISNUMBER(SEARCH(INDIRECT(ADDRESS(ROW(AC60),MOD(AC$1,4)+1)),AC$2)),$E60,"")</f>
        <v/>
      </c>
      <c r="AD60" s="26" t="str" cm="1">
        <f t="array" aca="1" ref="AD60" ca="1">IF(ISNUMBER(SEARCH(INDIRECT(ADDRESS(ROW(AD60),MOD(AD$1,4)+1)),AD$2)),$E60,"")</f>
        <v/>
      </c>
      <c r="AE60" s="26" t="str" cm="1">
        <f t="array" aca="1" ref="AE60" ca="1">IF(ISNUMBER(SEARCH(INDIRECT(ADDRESS(ROW(AE60),MOD(AE$1,4)+1)),AE$2)),$E60,"")</f>
        <v/>
      </c>
      <c r="AF60" s="26" t="str" cm="1">
        <f t="array" aca="1" ref="AF60" ca="1">IF(ISNUMBER(SEARCH(INDIRECT(ADDRESS(ROW(AF60),MOD(AF$1,4)+1)),AF$2)),$E60,"")</f>
        <v/>
      </c>
      <c r="AG60" s="26" t="str" cm="1">
        <f t="array" aca="1" ref="AG60" ca="1">IF(ISNUMBER(SEARCH(INDIRECT(ADDRESS(ROW(AG60),MOD(AG$1,4)+1)),AG$2)),$E60,"")</f>
        <v/>
      </c>
      <c r="AH60" s="26" t="str" cm="1">
        <f t="array" aca="1" ref="AH60" ca="1">IF(ISNUMBER(SEARCH(INDIRECT(ADDRESS(ROW(AH60),MOD(AH$1,4)+1)),AH$2)),$E60,"")</f>
        <v/>
      </c>
      <c r="AI60" s="26" t="str" cm="1">
        <f t="array" aca="1" ref="AI60" ca="1">IF(ISNUMBER(SEARCH(INDIRECT(ADDRESS(ROW(AI60),MOD(AI$1,4)+1)),AI$2)),$E60,"")</f>
        <v/>
      </c>
      <c r="AJ60" s="26" t="str" cm="1">
        <f t="array" aca="1" ref="AJ60" ca="1">IF(ISNUMBER(SEARCH(INDIRECT(ADDRESS(ROW(AJ60),MOD(AJ$1,4)+1)),AJ$2)),$E60,"")</f>
        <v/>
      </c>
      <c r="AK60" s="26" t="str" cm="1">
        <f t="array" aca="1" ref="AK60" ca="1">IF(ISNUMBER(SEARCH(INDIRECT(ADDRESS(ROW(AK60),MOD(AK$1,4)+1)),AK$2)),$E60,"")</f>
        <v/>
      </c>
      <c r="AL60" s="26" t="str" cm="1">
        <f t="array" aca="1" ref="AL60" ca="1">IF(ISNUMBER(SEARCH(INDIRECT(ADDRESS(ROW(AL60),MOD(AL$1,4)+1)),AL$2)),$E60,"")</f>
        <v/>
      </c>
      <c r="AM60" s="26" t="str" cm="1">
        <f t="array" aca="1" ref="AM60" ca="1">IF(ISNUMBER(SEARCH(INDIRECT(ADDRESS(ROW(AM60),MOD(AM$1,4)+1)),AM$2)),$E60,"")</f>
        <v/>
      </c>
      <c r="AN60" s="26" t="str" cm="1">
        <f t="array" aca="1" ref="AN60" ca="1">IF(ISNUMBER(SEARCH(INDIRECT(ADDRESS(ROW(AN60),MOD(AN$1,4)+1)),AN$2)),$E60,"")</f>
        <v/>
      </c>
      <c r="AO60" s="26" t="str" cm="1">
        <f t="array" aca="1" ref="AO60" ca="1">IF(ISNUMBER(SEARCH(INDIRECT(ADDRESS(ROW(AO60),MOD(AO$1,4)+1)),AO$2)),$E60,"")</f>
        <v/>
      </c>
      <c r="AP60" s="26" t="str" cm="1">
        <f t="array" aca="1" ref="AP60" ca="1">IF(ISNUMBER(SEARCH(INDIRECT(ADDRESS(ROW(AP60),MOD(AP$1,4)+1)),AP$2)),$E60,"")</f>
        <v/>
      </c>
      <c r="AQ60" s="31" t="str" cm="1">
        <f t="array" aca="1" ref="AQ60" ca="1">IF(ISNUMBER(SEARCH(INDIRECT(ADDRESS(ROW(AQ60),MOD(AQ$1,4)+1)),AQ$2)),$E60,"")</f>
        <v/>
      </c>
      <c r="AT60" t="e">
        <f>IF(VLOOKUP($E60,'Formatted NEW'!$B$2:$F$202,5,FALSE)=VLOOKUP($E60,'Formatted NEW'!$B$2:$F$202,8,FALSE),$E60,"")</f>
        <v>#N/A</v>
      </c>
      <c r="AW60" t="e">
        <f>IF(VLOOKUP($E60,'Formatted NEW'!$B$2:$F$202,5,FALSE)=VLOOKUP($E60,'Formatted NEW'!$B$2:$F$202,11,FALSE),$E60,"")</f>
        <v>#N/A</v>
      </c>
      <c r="AZ60" t="e">
        <f>IF(VLOOKUP($E60,'Formatted NEW'!$B$2:$F$202,5,FALSE)=VLOOKUP($E60,'Formatted NEW'!$B$2:$F$202,14,FALSE),$E60,"")</f>
        <v>#N/A</v>
      </c>
      <c r="BC60" t="str">
        <f>VLOOKUP($E60,'Formatted NEW'!$M$2:$T$202,6,FALSE)</f>
        <v>EMPTY</v>
      </c>
      <c r="BD60" s="26" t="e">
        <f>VLOOKUP(VLOOKUP(VLOOKUP($E60,'Formatted NEW'!$M$2:$O$202,2,FALSE),'Formatted NEW'!$D$2:$F$202,7,FALSE),'Formatted NEW'!$D$2:$O$202,12,FALSE)</f>
        <v>#REF!</v>
      </c>
      <c r="BE60" t="e">
        <f>VLOOKUP($BD60,'Formatted NEW'!$M$2:$T$202,5,FALSE)</f>
        <v>#REF!</v>
      </c>
      <c r="BF60" s="26" t="e">
        <f t="shared" si="1"/>
        <v>#REF!</v>
      </c>
      <c r="BH60">
        <f>VLOOKUP($E60,'Formatted NEW'!$M$2:$T$202,4,FALSE)</f>
        <v>0</v>
      </c>
      <c r="BI60" s="26" t="e">
        <f>VLOOKUP(VLOOKUP(VLOOKUP($E60,'Formatted NEW'!$M$2:$O$202,2,FALSE),'Formatted NEW'!$D$2:$F$202,10,FALSE),'Formatted NEW'!$D$2:$O$202,12,FALSE)</f>
        <v>#REF!</v>
      </c>
      <c r="BJ60" t="e">
        <f>VLOOKUP($BI60,'Formatted NEW'!$M$2:$T$202,3,FALSE)</f>
        <v>#REF!</v>
      </c>
      <c r="BK60" s="26" t="e">
        <f t="shared" si="2"/>
        <v>#REF!</v>
      </c>
    </row>
    <row r="61" spans="1:63" x14ac:dyDescent="0.25">
      <c r="A61" t="str">
        <f>'Formatted NEW'!Q59</f>
        <v>DIAG_BOTH</v>
      </c>
      <c r="B61" t="str">
        <f>'Formatted NEW'!R59</f>
        <v>ORTHO_BOTH</v>
      </c>
      <c r="C61" t="str">
        <f>'Formatted NEW'!S59</f>
        <v>ORTHO_BOTH</v>
      </c>
      <c r="D61" t="str">
        <f>'Formatted NEW'!T59</f>
        <v>ORTHO_BOTH</v>
      </c>
      <c r="E61" s="26">
        <f t="shared" si="3"/>
        <v>57</v>
      </c>
      <c r="H61" s="30" t="str" cm="1">
        <f t="array" aca="1" ref="H61" ca="1">IF(ISNUMBER(SEARCH(INDIRECT(ADDRESS(ROW(H61),MOD(H$1,4)+1)),H$2)),$E61,"")</f>
        <v/>
      </c>
      <c r="I61" s="26" t="str" cm="1">
        <f t="array" aca="1" ref="I61" ca="1">IF(ISNUMBER(SEARCH(INDIRECT(ADDRESS(ROW(I61),MOD(I$1,4)+1)),I$2)),$E61,"")</f>
        <v/>
      </c>
      <c r="J61" s="26" t="str" cm="1">
        <f t="array" aca="1" ref="J61" ca="1">IF(ISNUMBER(SEARCH(INDIRECT(ADDRESS(ROW(J61),MOD(J$1,4)+1)),J$2)),$E61,"")</f>
        <v/>
      </c>
      <c r="K61" s="26" t="str" cm="1">
        <f t="array" aca="1" ref="K61" ca="1">IF(ISNUMBER(SEARCH(INDIRECT(ADDRESS(ROW(K61),MOD(K$1,4)+1)),K$2)),$E61,"")</f>
        <v/>
      </c>
      <c r="L61" s="26" cm="1">
        <f t="array" aca="1" ref="L61" ca="1">IF(ISNUMBER(SEARCH(INDIRECT(ADDRESS(ROW(L61),MOD(L$1,4)+1)),L$2)),$E61,"")</f>
        <v>57</v>
      </c>
      <c r="M61" s="26" t="str" cm="1">
        <f t="array" aca="1" ref="M61" ca="1">IF(ISNUMBER(SEARCH(INDIRECT(ADDRESS(ROW(M61),MOD(M$1,4)+1)),M$2)),$E61,"")</f>
        <v/>
      </c>
      <c r="N61" s="26" t="str" cm="1">
        <f t="array" aca="1" ref="N61" ca="1">IF(ISNUMBER(SEARCH(INDIRECT(ADDRESS(ROW(N61),MOD(N$1,4)+1)),N$2)),$E61,"")</f>
        <v/>
      </c>
      <c r="O61" s="26" t="str" cm="1">
        <f t="array" aca="1" ref="O61" ca="1">IF(ISNUMBER(SEARCH(INDIRECT(ADDRESS(ROW(O61),MOD(O$1,4)+1)),O$2)),$E61,"")</f>
        <v/>
      </c>
      <c r="P61" s="26" t="str" cm="1">
        <f t="array" aca="1" ref="P61" ca="1">IF(ISNUMBER(SEARCH(INDIRECT(ADDRESS(ROW(P61),MOD(P$1,4)+1)),P$2)),$E61,"")</f>
        <v/>
      </c>
      <c r="Q61" s="26" cm="1">
        <f t="array" aca="1" ref="Q61" ca="1">IF(ISNUMBER(SEARCH(INDIRECT(ADDRESS(ROW(Q61),MOD(Q$1,4)+1)),Q$2)),$E61,"")</f>
        <v>57</v>
      </c>
      <c r="R61" s="26" cm="1">
        <f t="array" aca="1" ref="R61" ca="1">IF(ISNUMBER(SEARCH(INDIRECT(ADDRESS(ROW(R61),MOD(R$1,4)+1)),R$2)),$E61,"")</f>
        <v>57</v>
      </c>
      <c r="S61" s="26" cm="1">
        <f t="array" aca="1" ref="S61" ca="1">IF(ISNUMBER(SEARCH(INDIRECT(ADDRESS(ROW(S61),MOD(S$1,4)+1)),S$2)),$E61,"")</f>
        <v>57</v>
      </c>
      <c r="T61" s="26" t="str" cm="1">
        <f t="array" aca="1" ref="T61" ca="1">IF(ISNUMBER(SEARCH(INDIRECT(ADDRESS(ROW(T61),MOD(T$1,4)+1)),T$2)),$E61,"")</f>
        <v/>
      </c>
      <c r="U61" s="26" t="str" cm="1">
        <f t="array" aca="1" ref="U61" ca="1">IF(ISNUMBER(SEARCH(INDIRECT(ADDRESS(ROW(U61),MOD(U$1,4)+1)),U$2)),$E61,"")</f>
        <v/>
      </c>
      <c r="V61" s="26" t="str" cm="1">
        <f t="array" aca="1" ref="V61" ca="1">IF(ISNUMBER(SEARCH(INDIRECT(ADDRESS(ROW(V61),MOD(V$1,4)+1)),V$2)),$E61,"")</f>
        <v/>
      </c>
      <c r="W61" s="26" t="str" cm="1">
        <f t="array" aca="1" ref="W61" ca="1">IF(ISNUMBER(SEARCH(INDIRECT(ADDRESS(ROW(W61),MOD(W$1,4)+1)),W$2)),$E61,"")</f>
        <v/>
      </c>
      <c r="X61" s="26" t="str" cm="1">
        <f t="array" aca="1" ref="X61" ca="1">IF(ISNUMBER(SEARCH(INDIRECT(ADDRESS(ROW(X61),MOD(X$1,4)+1)),X$2)),$E61,"")</f>
        <v/>
      </c>
      <c r="Y61" s="26" t="str" cm="1">
        <f t="array" aca="1" ref="Y61" ca="1">IF(ISNUMBER(SEARCH(INDIRECT(ADDRESS(ROW(Y61),MOD(Y$1,4)+1)),Y$2)),$E61,"")</f>
        <v/>
      </c>
      <c r="Z61" s="26" t="str" cm="1">
        <f t="array" aca="1" ref="Z61" ca="1">IF(ISNUMBER(SEARCH(INDIRECT(ADDRESS(ROW(Z61),MOD(Z$1,4)+1)),Z$2)),$E61,"")</f>
        <v/>
      </c>
      <c r="AA61" s="26" t="str" cm="1">
        <f t="array" aca="1" ref="AA61" ca="1">IF(ISNUMBER(SEARCH(INDIRECT(ADDRESS(ROW(AA61),MOD(AA$1,4)+1)),AA$2)),$E61,"")</f>
        <v/>
      </c>
      <c r="AB61" s="26" t="str" cm="1">
        <f t="array" aca="1" ref="AB61" ca="1">IF(ISNUMBER(SEARCH(INDIRECT(ADDRESS(ROW(AB61),MOD(AB$1,4)+1)),AB$2)),$E61,"")</f>
        <v/>
      </c>
      <c r="AC61" s="26" t="str" cm="1">
        <f t="array" aca="1" ref="AC61" ca="1">IF(ISNUMBER(SEARCH(INDIRECT(ADDRESS(ROW(AC61),MOD(AC$1,4)+1)),AC$2)),$E61,"")</f>
        <v/>
      </c>
      <c r="AD61" s="26" t="str" cm="1">
        <f t="array" aca="1" ref="AD61" ca="1">IF(ISNUMBER(SEARCH(INDIRECT(ADDRESS(ROW(AD61),MOD(AD$1,4)+1)),AD$2)),$E61,"")</f>
        <v/>
      </c>
      <c r="AE61" s="26" t="str" cm="1">
        <f t="array" aca="1" ref="AE61" ca="1">IF(ISNUMBER(SEARCH(INDIRECT(ADDRESS(ROW(AE61),MOD(AE$1,4)+1)),AE$2)),$E61,"")</f>
        <v/>
      </c>
      <c r="AF61" s="26" t="str" cm="1">
        <f t="array" aca="1" ref="AF61" ca="1">IF(ISNUMBER(SEARCH(INDIRECT(ADDRESS(ROW(AF61),MOD(AF$1,4)+1)),AF$2)),$E61,"")</f>
        <v/>
      </c>
      <c r="AG61" s="26" t="str" cm="1">
        <f t="array" aca="1" ref="AG61" ca="1">IF(ISNUMBER(SEARCH(INDIRECT(ADDRESS(ROW(AG61),MOD(AG$1,4)+1)),AG$2)),$E61,"")</f>
        <v/>
      </c>
      <c r="AH61" s="26" t="str" cm="1">
        <f t="array" aca="1" ref="AH61" ca="1">IF(ISNUMBER(SEARCH(INDIRECT(ADDRESS(ROW(AH61),MOD(AH$1,4)+1)),AH$2)),$E61,"")</f>
        <v/>
      </c>
      <c r="AI61" s="26" t="str" cm="1">
        <f t="array" aca="1" ref="AI61" ca="1">IF(ISNUMBER(SEARCH(INDIRECT(ADDRESS(ROW(AI61),MOD(AI$1,4)+1)),AI$2)),$E61,"")</f>
        <v/>
      </c>
      <c r="AJ61" s="26" t="str" cm="1">
        <f t="array" aca="1" ref="AJ61" ca="1">IF(ISNUMBER(SEARCH(INDIRECT(ADDRESS(ROW(AJ61),MOD(AJ$1,4)+1)),AJ$2)),$E61,"")</f>
        <v/>
      </c>
      <c r="AK61" s="26" t="str" cm="1">
        <f t="array" aca="1" ref="AK61" ca="1">IF(ISNUMBER(SEARCH(INDIRECT(ADDRESS(ROW(AK61),MOD(AK$1,4)+1)),AK$2)),$E61,"")</f>
        <v/>
      </c>
      <c r="AL61" s="26" t="str" cm="1">
        <f t="array" aca="1" ref="AL61" ca="1">IF(ISNUMBER(SEARCH(INDIRECT(ADDRESS(ROW(AL61),MOD(AL$1,4)+1)),AL$2)),$E61,"")</f>
        <v/>
      </c>
      <c r="AM61" s="26" t="str" cm="1">
        <f t="array" aca="1" ref="AM61" ca="1">IF(ISNUMBER(SEARCH(INDIRECT(ADDRESS(ROW(AM61),MOD(AM$1,4)+1)),AM$2)),$E61,"")</f>
        <v/>
      </c>
      <c r="AN61" s="26" t="str" cm="1">
        <f t="array" aca="1" ref="AN61" ca="1">IF(ISNUMBER(SEARCH(INDIRECT(ADDRESS(ROW(AN61),MOD(AN$1,4)+1)),AN$2)),$E61,"")</f>
        <v/>
      </c>
      <c r="AO61" s="26" t="str" cm="1">
        <f t="array" aca="1" ref="AO61" ca="1">IF(ISNUMBER(SEARCH(INDIRECT(ADDRESS(ROW(AO61),MOD(AO$1,4)+1)),AO$2)),$E61,"")</f>
        <v/>
      </c>
      <c r="AP61" s="26" t="str" cm="1">
        <f t="array" aca="1" ref="AP61" ca="1">IF(ISNUMBER(SEARCH(INDIRECT(ADDRESS(ROW(AP61),MOD(AP$1,4)+1)),AP$2)),$E61,"")</f>
        <v/>
      </c>
      <c r="AQ61" s="31" t="str" cm="1">
        <f t="array" aca="1" ref="AQ61" ca="1">IF(ISNUMBER(SEARCH(INDIRECT(ADDRESS(ROW(AQ61),MOD(AQ$1,4)+1)),AQ$2)),$E61,"")</f>
        <v/>
      </c>
      <c r="AT61" t="e">
        <f>IF(VLOOKUP($E61,'Formatted NEW'!$B$2:$F$202,5,FALSE)=VLOOKUP($E61,'Formatted NEW'!$B$2:$F$202,8,FALSE),$E61,"")</f>
        <v>#N/A</v>
      </c>
      <c r="AW61" t="e">
        <f>IF(VLOOKUP($E61,'Formatted NEW'!$B$2:$F$202,5,FALSE)=VLOOKUP($E61,'Formatted NEW'!$B$2:$F$202,11,FALSE),$E61,"")</f>
        <v>#N/A</v>
      </c>
      <c r="AZ61" t="e">
        <f>IF(VLOOKUP($E61,'Formatted NEW'!$B$2:$F$202,5,FALSE)=VLOOKUP($E61,'Formatted NEW'!$B$2:$F$202,14,FALSE),$E61,"")</f>
        <v>#N/A</v>
      </c>
      <c r="BC61" t="str">
        <f>VLOOKUP($E61,'Formatted NEW'!$M$2:$T$202,6,FALSE)</f>
        <v>ORTHO_BOTH</v>
      </c>
      <c r="BD61" s="26" t="e">
        <f>VLOOKUP(VLOOKUP(VLOOKUP($E61,'Formatted NEW'!$M$2:$O$202,2,FALSE),'Formatted NEW'!$D$2:$F$202,7,FALSE),'Formatted NEW'!$D$2:$O$202,12,FALSE)</f>
        <v>#REF!</v>
      </c>
      <c r="BE61" t="e">
        <f>VLOOKUP($BD61,'Formatted NEW'!$M$2:$T$202,5,FALSE)</f>
        <v>#REF!</v>
      </c>
      <c r="BF61" s="26" t="e">
        <f t="shared" si="1"/>
        <v>#REF!</v>
      </c>
      <c r="BH61">
        <f>VLOOKUP($E61,'Formatted NEW'!$M$2:$T$202,4,FALSE)</f>
        <v>0</v>
      </c>
      <c r="BI61" s="26" t="e">
        <f>VLOOKUP(VLOOKUP(VLOOKUP($E61,'Formatted NEW'!$M$2:$O$202,2,FALSE),'Formatted NEW'!$D$2:$F$202,10,FALSE),'Formatted NEW'!$D$2:$O$202,12,FALSE)</f>
        <v>#REF!</v>
      </c>
      <c r="BJ61" t="e">
        <f>VLOOKUP($BI61,'Formatted NEW'!$M$2:$T$202,3,FALSE)</f>
        <v>#REF!</v>
      </c>
      <c r="BK61" s="26" t="e">
        <f t="shared" si="2"/>
        <v>#REF!</v>
      </c>
    </row>
    <row r="62" spans="1:63" x14ac:dyDescent="0.25">
      <c r="A62" t="str">
        <f>'Formatted NEW'!Q60</f>
        <v>ORTHO_BOTH</v>
      </c>
      <c r="B62" t="str">
        <f>'Formatted NEW'!R60</f>
        <v>EMPTY</v>
      </c>
      <c r="C62" t="str">
        <f>'Formatted NEW'!S60</f>
        <v>EMPTY</v>
      </c>
      <c r="D62" t="str">
        <f>'Formatted NEW'!T60</f>
        <v>ORTHO_BOTH</v>
      </c>
      <c r="E62" s="26">
        <f t="shared" si="3"/>
        <v>58</v>
      </c>
      <c r="H62" s="30" t="str" cm="1">
        <f t="array" aca="1" ref="H62" ca="1">IF(ISNUMBER(SEARCH(INDIRECT(ADDRESS(ROW(H62),MOD(H$1,4)+1)),H$2)),$E62,"")</f>
        <v/>
      </c>
      <c r="I62" s="26" t="str" cm="1">
        <f t="array" aca="1" ref="I62" ca="1">IF(ISNUMBER(SEARCH(INDIRECT(ADDRESS(ROW(I62),MOD(I$1,4)+1)),I$2)),$E62,"")</f>
        <v/>
      </c>
      <c r="J62" s="26" t="str" cm="1">
        <f t="array" aca="1" ref="J62" ca="1">IF(ISNUMBER(SEARCH(INDIRECT(ADDRESS(ROW(J62),MOD(J$1,4)+1)),J$2)),$E62,"")</f>
        <v/>
      </c>
      <c r="K62" s="26" t="str" cm="1">
        <f t="array" aca="1" ref="K62" ca="1">IF(ISNUMBER(SEARCH(INDIRECT(ADDRESS(ROW(K62),MOD(K$1,4)+1)),K$2)),$E62,"")</f>
        <v/>
      </c>
      <c r="L62" s="26" t="str" cm="1">
        <f t="array" aca="1" ref="L62" ca="1">IF(ISNUMBER(SEARCH(INDIRECT(ADDRESS(ROW(L62),MOD(L$1,4)+1)),L$2)),$E62,"")</f>
        <v/>
      </c>
      <c r="M62" s="26" t="str" cm="1">
        <f t="array" aca="1" ref="M62" ca="1">IF(ISNUMBER(SEARCH(INDIRECT(ADDRESS(ROW(M62),MOD(M$1,4)+1)),M$2)),$E62,"")</f>
        <v/>
      </c>
      <c r="N62" s="26" t="str" cm="1">
        <f t="array" aca="1" ref="N62" ca="1">IF(ISNUMBER(SEARCH(INDIRECT(ADDRESS(ROW(N62),MOD(N$1,4)+1)),N$2)),$E62,"")</f>
        <v/>
      </c>
      <c r="O62" s="26" t="str" cm="1">
        <f t="array" aca="1" ref="O62" ca="1">IF(ISNUMBER(SEARCH(INDIRECT(ADDRESS(ROW(O62),MOD(O$1,4)+1)),O$2)),$E62,"")</f>
        <v/>
      </c>
      <c r="P62" s="26" cm="1">
        <f t="array" aca="1" ref="P62" ca="1">IF(ISNUMBER(SEARCH(INDIRECT(ADDRESS(ROW(P62),MOD(P$1,4)+1)),P$2)),$E62,"")</f>
        <v>58</v>
      </c>
      <c r="Q62" s="26" t="str" cm="1">
        <f t="array" aca="1" ref="Q62" ca="1">IF(ISNUMBER(SEARCH(INDIRECT(ADDRESS(ROW(Q62),MOD(Q$1,4)+1)),Q$2)),$E62,"")</f>
        <v/>
      </c>
      <c r="R62" s="26" t="str" cm="1">
        <f t="array" aca="1" ref="R62" ca="1">IF(ISNUMBER(SEARCH(INDIRECT(ADDRESS(ROW(R62),MOD(R$1,4)+1)),R$2)),$E62,"")</f>
        <v/>
      </c>
      <c r="S62" s="26" cm="1">
        <f t="array" aca="1" ref="S62" ca="1">IF(ISNUMBER(SEARCH(INDIRECT(ADDRESS(ROW(S62),MOD(S$1,4)+1)),S$2)),$E62,"")</f>
        <v>58</v>
      </c>
      <c r="T62" s="26" t="str" cm="1">
        <f t="array" aca="1" ref="T62" ca="1">IF(ISNUMBER(SEARCH(INDIRECT(ADDRESS(ROW(T62),MOD(T$1,4)+1)),T$2)),$E62,"")</f>
        <v/>
      </c>
      <c r="U62" s="26" t="str" cm="1">
        <f t="array" aca="1" ref="U62" ca="1">IF(ISNUMBER(SEARCH(INDIRECT(ADDRESS(ROW(U62),MOD(U$1,4)+1)),U$2)),$E62,"")</f>
        <v/>
      </c>
      <c r="V62" s="26" t="str" cm="1">
        <f t="array" aca="1" ref="V62" ca="1">IF(ISNUMBER(SEARCH(INDIRECT(ADDRESS(ROW(V62),MOD(V$1,4)+1)),V$2)),$E62,"")</f>
        <v/>
      </c>
      <c r="W62" s="26" t="str" cm="1">
        <f t="array" aca="1" ref="W62" ca="1">IF(ISNUMBER(SEARCH(INDIRECT(ADDRESS(ROW(W62),MOD(W$1,4)+1)),W$2)),$E62,"")</f>
        <v/>
      </c>
      <c r="X62" s="26" t="str" cm="1">
        <f t="array" aca="1" ref="X62" ca="1">IF(ISNUMBER(SEARCH(INDIRECT(ADDRESS(ROW(X62),MOD(X$1,4)+1)),X$2)),$E62,"")</f>
        <v/>
      </c>
      <c r="Y62" s="26" t="str" cm="1">
        <f t="array" aca="1" ref="Y62" ca="1">IF(ISNUMBER(SEARCH(INDIRECT(ADDRESS(ROW(Y62),MOD(Y$1,4)+1)),Y$2)),$E62,"")</f>
        <v/>
      </c>
      <c r="Z62" s="26" t="str" cm="1">
        <f t="array" aca="1" ref="Z62" ca="1">IF(ISNUMBER(SEARCH(INDIRECT(ADDRESS(ROW(Z62),MOD(Z$1,4)+1)),Z$2)),$E62,"")</f>
        <v/>
      </c>
      <c r="AA62" s="26" t="str" cm="1">
        <f t="array" aca="1" ref="AA62" ca="1">IF(ISNUMBER(SEARCH(INDIRECT(ADDRESS(ROW(AA62),MOD(AA$1,4)+1)),AA$2)),$E62,"")</f>
        <v/>
      </c>
      <c r="AB62" s="26" t="str" cm="1">
        <f t="array" aca="1" ref="AB62" ca="1">IF(ISNUMBER(SEARCH(INDIRECT(ADDRESS(ROW(AB62),MOD(AB$1,4)+1)),AB$2)),$E62,"")</f>
        <v/>
      </c>
      <c r="AC62" s="26" t="str" cm="1">
        <f t="array" aca="1" ref="AC62" ca="1">IF(ISNUMBER(SEARCH(INDIRECT(ADDRESS(ROW(AC62),MOD(AC$1,4)+1)),AC$2)),$E62,"")</f>
        <v/>
      </c>
      <c r="AD62" s="26" t="str" cm="1">
        <f t="array" aca="1" ref="AD62" ca="1">IF(ISNUMBER(SEARCH(INDIRECT(ADDRESS(ROW(AD62),MOD(AD$1,4)+1)),AD$2)),$E62,"")</f>
        <v/>
      </c>
      <c r="AE62" s="26" t="str" cm="1">
        <f t="array" aca="1" ref="AE62" ca="1">IF(ISNUMBER(SEARCH(INDIRECT(ADDRESS(ROW(AE62),MOD(AE$1,4)+1)),AE$2)),$E62,"")</f>
        <v/>
      </c>
      <c r="AF62" s="26" t="str" cm="1">
        <f t="array" aca="1" ref="AF62" ca="1">IF(ISNUMBER(SEARCH(INDIRECT(ADDRESS(ROW(AF62),MOD(AF$1,4)+1)),AF$2)),$E62,"")</f>
        <v/>
      </c>
      <c r="AG62" s="26" t="str" cm="1">
        <f t="array" aca="1" ref="AG62" ca="1">IF(ISNUMBER(SEARCH(INDIRECT(ADDRESS(ROW(AG62),MOD(AG$1,4)+1)),AG$2)),$E62,"")</f>
        <v/>
      </c>
      <c r="AH62" s="26" t="str" cm="1">
        <f t="array" aca="1" ref="AH62" ca="1">IF(ISNUMBER(SEARCH(INDIRECT(ADDRESS(ROW(AH62),MOD(AH$1,4)+1)),AH$2)),$E62,"")</f>
        <v/>
      </c>
      <c r="AI62" s="26" t="str" cm="1">
        <f t="array" aca="1" ref="AI62" ca="1">IF(ISNUMBER(SEARCH(INDIRECT(ADDRESS(ROW(AI62),MOD(AI$1,4)+1)),AI$2)),$E62,"")</f>
        <v/>
      </c>
      <c r="AJ62" s="26" t="str" cm="1">
        <f t="array" aca="1" ref="AJ62" ca="1">IF(ISNUMBER(SEARCH(INDIRECT(ADDRESS(ROW(AJ62),MOD(AJ$1,4)+1)),AJ$2)),$E62,"")</f>
        <v/>
      </c>
      <c r="AK62" s="26" t="str" cm="1">
        <f t="array" aca="1" ref="AK62" ca="1">IF(ISNUMBER(SEARCH(INDIRECT(ADDRESS(ROW(AK62),MOD(AK$1,4)+1)),AK$2)),$E62,"")</f>
        <v/>
      </c>
      <c r="AL62" s="26" t="str" cm="1">
        <f t="array" aca="1" ref="AL62" ca="1">IF(ISNUMBER(SEARCH(INDIRECT(ADDRESS(ROW(AL62),MOD(AL$1,4)+1)),AL$2)),$E62,"")</f>
        <v/>
      </c>
      <c r="AM62" s="26" t="str" cm="1">
        <f t="array" aca="1" ref="AM62" ca="1">IF(ISNUMBER(SEARCH(INDIRECT(ADDRESS(ROW(AM62),MOD(AM$1,4)+1)),AM$2)),$E62,"")</f>
        <v/>
      </c>
      <c r="AN62" s="26" t="str" cm="1">
        <f t="array" aca="1" ref="AN62" ca="1">IF(ISNUMBER(SEARCH(INDIRECT(ADDRESS(ROW(AN62),MOD(AN$1,4)+1)),AN$2)),$E62,"")</f>
        <v/>
      </c>
      <c r="AO62" s="26" t="str" cm="1">
        <f t="array" aca="1" ref="AO62" ca="1">IF(ISNUMBER(SEARCH(INDIRECT(ADDRESS(ROW(AO62),MOD(AO$1,4)+1)),AO$2)),$E62,"")</f>
        <v/>
      </c>
      <c r="AP62" s="26" t="str" cm="1">
        <f t="array" aca="1" ref="AP62" ca="1">IF(ISNUMBER(SEARCH(INDIRECT(ADDRESS(ROW(AP62),MOD(AP$1,4)+1)),AP$2)),$E62,"")</f>
        <v/>
      </c>
      <c r="AQ62" s="31" t="str" cm="1">
        <f t="array" aca="1" ref="AQ62" ca="1">IF(ISNUMBER(SEARCH(INDIRECT(ADDRESS(ROW(AQ62),MOD(AQ$1,4)+1)),AQ$2)),$E62,"")</f>
        <v/>
      </c>
      <c r="AT62" t="e">
        <f>IF(VLOOKUP($E62,'Formatted NEW'!$B$2:$F$202,5,FALSE)=VLOOKUP($E62,'Formatted NEW'!$B$2:$F$202,8,FALSE),$E62,"")</f>
        <v>#N/A</v>
      </c>
      <c r="AW62" t="e">
        <f>IF(VLOOKUP($E62,'Formatted NEW'!$B$2:$F$202,5,FALSE)=VLOOKUP($E62,'Formatted NEW'!$B$2:$F$202,11,FALSE),$E62,"")</f>
        <v>#N/A</v>
      </c>
      <c r="AZ62" t="e">
        <f>IF(VLOOKUP($E62,'Formatted NEW'!$B$2:$F$202,5,FALSE)=VLOOKUP($E62,'Formatted NEW'!$B$2:$F$202,14,FALSE),$E62,"")</f>
        <v>#N/A</v>
      </c>
      <c r="BC62" t="str">
        <f>VLOOKUP($E62,'Formatted NEW'!$M$2:$T$202,6,FALSE)</f>
        <v>EMPTY</v>
      </c>
      <c r="BD62" s="26" t="e">
        <f>VLOOKUP(VLOOKUP(VLOOKUP($E62,'Formatted NEW'!$M$2:$O$202,2,FALSE),'Formatted NEW'!$D$2:$F$202,7,FALSE),'Formatted NEW'!$D$2:$O$202,12,FALSE)</f>
        <v>#REF!</v>
      </c>
      <c r="BE62" t="e">
        <f>VLOOKUP($BD62,'Formatted NEW'!$M$2:$T$202,5,FALSE)</f>
        <v>#REF!</v>
      </c>
      <c r="BF62" s="26" t="e">
        <f t="shared" si="1"/>
        <v>#REF!</v>
      </c>
      <c r="BH62">
        <f>VLOOKUP($E62,'Formatted NEW'!$M$2:$T$202,4,FALSE)</f>
        <v>0</v>
      </c>
      <c r="BI62" s="26" t="e">
        <f>VLOOKUP(VLOOKUP(VLOOKUP($E62,'Formatted NEW'!$M$2:$O$202,2,FALSE),'Formatted NEW'!$D$2:$F$202,10,FALSE),'Formatted NEW'!$D$2:$O$202,12,FALSE)</f>
        <v>#REF!</v>
      </c>
      <c r="BJ62" t="e">
        <f>VLOOKUP($BI62,'Formatted NEW'!$M$2:$T$202,3,FALSE)</f>
        <v>#REF!</v>
      </c>
      <c r="BK62" s="26" t="e">
        <f t="shared" si="2"/>
        <v>#REF!</v>
      </c>
    </row>
    <row r="63" spans="1:63" x14ac:dyDescent="0.25">
      <c r="A63" t="str">
        <f>'Formatted NEW'!Q61</f>
        <v>EMPTY</v>
      </c>
      <c r="B63" t="str">
        <f>'Formatted NEW'!R61</f>
        <v>EMPTY</v>
      </c>
      <c r="C63" t="str">
        <f>'Formatted NEW'!S61</f>
        <v>DIAG_BOTH</v>
      </c>
      <c r="D63" t="str">
        <f>'Formatted NEW'!T61</f>
        <v>ORTHO_BOTH</v>
      </c>
      <c r="E63" s="26">
        <f t="shared" si="3"/>
        <v>59</v>
      </c>
      <c r="H63" s="30" t="str" cm="1">
        <f t="array" aca="1" ref="H63" ca="1">IF(ISNUMBER(SEARCH(INDIRECT(ADDRESS(ROW(H63),MOD(H$1,4)+1)),H$2)),$E63,"")</f>
        <v/>
      </c>
      <c r="I63" s="26" t="str" cm="1">
        <f t="array" aca="1" ref="I63" ca="1">IF(ISNUMBER(SEARCH(INDIRECT(ADDRESS(ROW(I63),MOD(I$1,4)+1)),I$2)),$E63,"")</f>
        <v/>
      </c>
      <c r="J63" s="26" t="str" cm="1">
        <f t="array" aca="1" ref="J63" ca="1">IF(ISNUMBER(SEARCH(INDIRECT(ADDRESS(ROW(J63),MOD(J$1,4)+1)),J$2)),$E63,"")</f>
        <v/>
      </c>
      <c r="K63" s="26" t="str" cm="1">
        <f t="array" aca="1" ref="K63" ca="1">IF(ISNUMBER(SEARCH(INDIRECT(ADDRESS(ROW(K63),MOD(K$1,4)+1)),K$2)),$E63,"")</f>
        <v/>
      </c>
      <c r="L63" s="26" t="str" cm="1">
        <f t="array" aca="1" ref="L63" ca="1">IF(ISNUMBER(SEARCH(INDIRECT(ADDRESS(ROW(L63),MOD(L$1,4)+1)),L$2)),$E63,"")</f>
        <v/>
      </c>
      <c r="M63" s="26" t="str" cm="1">
        <f t="array" aca="1" ref="M63" ca="1">IF(ISNUMBER(SEARCH(INDIRECT(ADDRESS(ROW(M63),MOD(M$1,4)+1)),M$2)),$E63,"")</f>
        <v/>
      </c>
      <c r="N63" s="26" cm="1">
        <f t="array" aca="1" ref="N63" ca="1">IF(ISNUMBER(SEARCH(INDIRECT(ADDRESS(ROW(N63),MOD(N$1,4)+1)),N$2)),$E63,"")</f>
        <v>59</v>
      </c>
      <c r="O63" s="26" t="str" cm="1">
        <f t="array" aca="1" ref="O63" ca="1">IF(ISNUMBER(SEARCH(INDIRECT(ADDRESS(ROW(O63),MOD(O$1,4)+1)),O$2)),$E63,"")</f>
        <v/>
      </c>
      <c r="P63" s="26" t="str" cm="1">
        <f t="array" aca="1" ref="P63" ca="1">IF(ISNUMBER(SEARCH(INDIRECT(ADDRESS(ROW(P63),MOD(P$1,4)+1)),P$2)),$E63,"")</f>
        <v/>
      </c>
      <c r="Q63" s="26" t="str" cm="1">
        <f t="array" aca="1" ref="Q63" ca="1">IF(ISNUMBER(SEARCH(INDIRECT(ADDRESS(ROW(Q63),MOD(Q$1,4)+1)),Q$2)),$E63,"")</f>
        <v/>
      </c>
      <c r="R63" s="26" t="str" cm="1">
        <f t="array" aca="1" ref="R63" ca="1">IF(ISNUMBER(SEARCH(INDIRECT(ADDRESS(ROW(R63),MOD(R$1,4)+1)),R$2)),$E63,"")</f>
        <v/>
      </c>
      <c r="S63" s="26" cm="1">
        <f t="array" aca="1" ref="S63" ca="1">IF(ISNUMBER(SEARCH(INDIRECT(ADDRESS(ROW(S63),MOD(S$1,4)+1)),S$2)),$E63,"")</f>
        <v>59</v>
      </c>
      <c r="T63" s="26" t="str" cm="1">
        <f t="array" aca="1" ref="T63" ca="1">IF(ISNUMBER(SEARCH(INDIRECT(ADDRESS(ROW(T63),MOD(T$1,4)+1)),T$2)),$E63,"")</f>
        <v/>
      </c>
      <c r="U63" s="26" t="str" cm="1">
        <f t="array" aca="1" ref="U63" ca="1">IF(ISNUMBER(SEARCH(INDIRECT(ADDRESS(ROW(U63),MOD(U$1,4)+1)),U$2)),$E63,"")</f>
        <v/>
      </c>
      <c r="V63" s="26" t="str" cm="1">
        <f t="array" aca="1" ref="V63" ca="1">IF(ISNUMBER(SEARCH(INDIRECT(ADDRESS(ROW(V63),MOD(V$1,4)+1)),V$2)),$E63,"")</f>
        <v/>
      </c>
      <c r="W63" s="26" t="str" cm="1">
        <f t="array" aca="1" ref="W63" ca="1">IF(ISNUMBER(SEARCH(INDIRECT(ADDRESS(ROW(W63),MOD(W$1,4)+1)),W$2)),$E63,"")</f>
        <v/>
      </c>
      <c r="X63" s="26" t="str" cm="1">
        <f t="array" aca="1" ref="X63" ca="1">IF(ISNUMBER(SEARCH(INDIRECT(ADDRESS(ROW(X63),MOD(X$1,4)+1)),X$2)),$E63,"")</f>
        <v/>
      </c>
      <c r="Y63" s="26" t="str" cm="1">
        <f t="array" aca="1" ref="Y63" ca="1">IF(ISNUMBER(SEARCH(INDIRECT(ADDRESS(ROW(Y63),MOD(Y$1,4)+1)),Y$2)),$E63,"")</f>
        <v/>
      </c>
      <c r="Z63" s="26" t="str" cm="1">
        <f t="array" aca="1" ref="Z63" ca="1">IF(ISNUMBER(SEARCH(INDIRECT(ADDRESS(ROW(Z63),MOD(Z$1,4)+1)),Z$2)),$E63,"")</f>
        <v/>
      </c>
      <c r="AA63" s="26" t="str" cm="1">
        <f t="array" aca="1" ref="AA63" ca="1">IF(ISNUMBER(SEARCH(INDIRECT(ADDRESS(ROW(AA63),MOD(AA$1,4)+1)),AA$2)),$E63,"")</f>
        <v/>
      </c>
      <c r="AB63" s="26" t="str" cm="1">
        <f t="array" aca="1" ref="AB63" ca="1">IF(ISNUMBER(SEARCH(INDIRECT(ADDRESS(ROW(AB63),MOD(AB$1,4)+1)),AB$2)),$E63,"")</f>
        <v/>
      </c>
      <c r="AC63" s="26" t="str" cm="1">
        <f t="array" aca="1" ref="AC63" ca="1">IF(ISNUMBER(SEARCH(INDIRECT(ADDRESS(ROW(AC63),MOD(AC$1,4)+1)),AC$2)),$E63,"")</f>
        <v/>
      </c>
      <c r="AD63" s="26" t="str" cm="1">
        <f t="array" aca="1" ref="AD63" ca="1">IF(ISNUMBER(SEARCH(INDIRECT(ADDRESS(ROW(AD63),MOD(AD$1,4)+1)),AD$2)),$E63,"")</f>
        <v/>
      </c>
      <c r="AE63" s="26" t="str" cm="1">
        <f t="array" aca="1" ref="AE63" ca="1">IF(ISNUMBER(SEARCH(INDIRECT(ADDRESS(ROW(AE63),MOD(AE$1,4)+1)),AE$2)),$E63,"")</f>
        <v/>
      </c>
      <c r="AF63" s="26" t="str" cm="1">
        <f t="array" aca="1" ref="AF63" ca="1">IF(ISNUMBER(SEARCH(INDIRECT(ADDRESS(ROW(AF63),MOD(AF$1,4)+1)),AF$2)),$E63,"")</f>
        <v/>
      </c>
      <c r="AG63" s="26" t="str" cm="1">
        <f t="array" aca="1" ref="AG63" ca="1">IF(ISNUMBER(SEARCH(INDIRECT(ADDRESS(ROW(AG63),MOD(AG$1,4)+1)),AG$2)),$E63,"")</f>
        <v/>
      </c>
      <c r="AH63" s="26" t="str" cm="1">
        <f t="array" aca="1" ref="AH63" ca="1">IF(ISNUMBER(SEARCH(INDIRECT(ADDRESS(ROW(AH63),MOD(AH$1,4)+1)),AH$2)),$E63,"")</f>
        <v/>
      </c>
      <c r="AI63" s="26" t="str" cm="1">
        <f t="array" aca="1" ref="AI63" ca="1">IF(ISNUMBER(SEARCH(INDIRECT(ADDRESS(ROW(AI63),MOD(AI$1,4)+1)),AI$2)),$E63,"")</f>
        <v/>
      </c>
      <c r="AJ63" s="26" t="str" cm="1">
        <f t="array" aca="1" ref="AJ63" ca="1">IF(ISNUMBER(SEARCH(INDIRECT(ADDRESS(ROW(AJ63),MOD(AJ$1,4)+1)),AJ$2)),$E63,"")</f>
        <v/>
      </c>
      <c r="AK63" s="26" t="str" cm="1">
        <f t="array" aca="1" ref="AK63" ca="1">IF(ISNUMBER(SEARCH(INDIRECT(ADDRESS(ROW(AK63),MOD(AK$1,4)+1)),AK$2)),$E63,"")</f>
        <v/>
      </c>
      <c r="AL63" s="26" t="str" cm="1">
        <f t="array" aca="1" ref="AL63" ca="1">IF(ISNUMBER(SEARCH(INDIRECT(ADDRESS(ROW(AL63),MOD(AL$1,4)+1)),AL$2)),$E63,"")</f>
        <v/>
      </c>
      <c r="AM63" s="26" t="str" cm="1">
        <f t="array" aca="1" ref="AM63" ca="1">IF(ISNUMBER(SEARCH(INDIRECT(ADDRESS(ROW(AM63),MOD(AM$1,4)+1)),AM$2)),$E63,"")</f>
        <v/>
      </c>
      <c r="AN63" s="26" t="str" cm="1">
        <f t="array" aca="1" ref="AN63" ca="1">IF(ISNUMBER(SEARCH(INDIRECT(ADDRESS(ROW(AN63),MOD(AN$1,4)+1)),AN$2)),$E63,"")</f>
        <v/>
      </c>
      <c r="AO63" s="26" t="str" cm="1">
        <f t="array" aca="1" ref="AO63" ca="1">IF(ISNUMBER(SEARCH(INDIRECT(ADDRESS(ROW(AO63),MOD(AO$1,4)+1)),AO$2)),$E63,"")</f>
        <v/>
      </c>
      <c r="AP63" s="26" t="str" cm="1">
        <f t="array" aca="1" ref="AP63" ca="1">IF(ISNUMBER(SEARCH(INDIRECT(ADDRESS(ROW(AP63),MOD(AP$1,4)+1)),AP$2)),$E63,"")</f>
        <v/>
      </c>
      <c r="AQ63" s="31" t="str" cm="1">
        <f t="array" aca="1" ref="AQ63" ca="1">IF(ISNUMBER(SEARCH(INDIRECT(ADDRESS(ROW(AQ63),MOD(AQ$1,4)+1)),AQ$2)),$E63,"")</f>
        <v/>
      </c>
      <c r="AT63" t="e">
        <f>IF(VLOOKUP($E63,'Formatted NEW'!$B$2:$F$202,5,FALSE)=VLOOKUP($E63,'Formatted NEW'!$B$2:$F$202,8,FALSE),$E63,"")</f>
        <v>#N/A</v>
      </c>
      <c r="AW63" t="e">
        <f>IF(VLOOKUP($E63,'Formatted NEW'!$B$2:$F$202,5,FALSE)=VLOOKUP($E63,'Formatted NEW'!$B$2:$F$202,11,FALSE),$E63,"")</f>
        <v>#N/A</v>
      </c>
      <c r="AZ63" t="e">
        <f>IF(VLOOKUP($E63,'Formatted NEW'!$B$2:$F$202,5,FALSE)=VLOOKUP($E63,'Formatted NEW'!$B$2:$F$202,14,FALSE),$E63,"")</f>
        <v>#N/A</v>
      </c>
      <c r="BC63" t="str">
        <f>VLOOKUP($E63,'Formatted NEW'!$M$2:$T$202,6,FALSE)</f>
        <v>EMPTY</v>
      </c>
      <c r="BD63" s="26" t="e">
        <f>VLOOKUP(VLOOKUP(VLOOKUP($E63,'Formatted NEW'!$M$2:$O$202,2,FALSE),'Formatted NEW'!$D$2:$F$202,7,FALSE),'Formatted NEW'!$D$2:$O$202,12,FALSE)</f>
        <v>#REF!</v>
      </c>
      <c r="BE63" t="e">
        <f>VLOOKUP($BD63,'Formatted NEW'!$M$2:$T$202,5,FALSE)</f>
        <v>#REF!</v>
      </c>
      <c r="BF63" s="26" t="e">
        <f t="shared" si="1"/>
        <v>#REF!</v>
      </c>
      <c r="BH63">
        <f>VLOOKUP($E63,'Formatted NEW'!$M$2:$T$202,4,FALSE)</f>
        <v>0</v>
      </c>
      <c r="BI63" s="26" t="e">
        <f>VLOOKUP(VLOOKUP(VLOOKUP($E63,'Formatted NEW'!$M$2:$O$202,2,FALSE),'Formatted NEW'!$D$2:$F$202,10,FALSE),'Formatted NEW'!$D$2:$O$202,12,FALSE)</f>
        <v>#REF!</v>
      </c>
      <c r="BJ63" t="e">
        <f>VLOOKUP($BI63,'Formatted NEW'!$M$2:$T$202,3,FALSE)</f>
        <v>#REF!</v>
      </c>
      <c r="BK63" s="26" t="e">
        <f t="shared" si="2"/>
        <v>#REF!</v>
      </c>
    </row>
    <row r="64" spans="1:63" x14ac:dyDescent="0.25">
      <c r="A64" t="str">
        <f>'Formatted NEW'!Q62</f>
        <v>ORTHO_BOTH</v>
      </c>
      <c r="B64" t="str">
        <f>'Formatted NEW'!R62</f>
        <v>ORTHO_BOTH</v>
      </c>
      <c r="C64" t="str">
        <f>'Formatted NEW'!S62</f>
        <v>EMPTY</v>
      </c>
      <c r="D64" t="str">
        <f>'Formatted NEW'!T62</f>
        <v>EMPTY</v>
      </c>
      <c r="E64" s="26">
        <f t="shared" si="3"/>
        <v>60</v>
      </c>
      <c r="H64" s="30" t="str" cm="1">
        <f t="array" aca="1" ref="H64" ca="1">IF(ISNUMBER(SEARCH(INDIRECT(ADDRESS(ROW(H64),MOD(H$1,4)+1)),H$2)),$E64,"")</f>
        <v/>
      </c>
      <c r="I64" s="26" t="str" cm="1">
        <f t="array" aca="1" ref="I64" ca="1">IF(ISNUMBER(SEARCH(INDIRECT(ADDRESS(ROW(I64),MOD(I$1,4)+1)),I$2)),$E64,"")</f>
        <v/>
      </c>
      <c r="J64" s="26" t="str" cm="1">
        <f t="array" aca="1" ref="J64" ca="1">IF(ISNUMBER(SEARCH(INDIRECT(ADDRESS(ROW(J64),MOD(J$1,4)+1)),J$2)),$E64,"")</f>
        <v/>
      </c>
      <c r="K64" s="26" t="str" cm="1">
        <f t="array" aca="1" ref="K64" ca="1">IF(ISNUMBER(SEARCH(INDIRECT(ADDRESS(ROW(K64),MOD(K$1,4)+1)),K$2)),$E64,"")</f>
        <v/>
      </c>
      <c r="L64" s="26" t="str" cm="1">
        <f t="array" aca="1" ref="L64" ca="1">IF(ISNUMBER(SEARCH(INDIRECT(ADDRESS(ROW(L64),MOD(L$1,4)+1)),L$2)),$E64,"")</f>
        <v/>
      </c>
      <c r="M64" s="26" t="str" cm="1">
        <f t="array" aca="1" ref="M64" ca="1">IF(ISNUMBER(SEARCH(INDIRECT(ADDRESS(ROW(M64),MOD(M$1,4)+1)),M$2)),$E64,"")</f>
        <v/>
      </c>
      <c r="N64" s="26" t="str" cm="1">
        <f t="array" aca="1" ref="N64" ca="1">IF(ISNUMBER(SEARCH(INDIRECT(ADDRESS(ROW(N64),MOD(N$1,4)+1)),N$2)),$E64,"")</f>
        <v/>
      </c>
      <c r="O64" s="26" t="str" cm="1">
        <f t="array" aca="1" ref="O64" ca="1">IF(ISNUMBER(SEARCH(INDIRECT(ADDRESS(ROW(O64),MOD(O$1,4)+1)),O$2)),$E64,"")</f>
        <v/>
      </c>
      <c r="P64" s="26" cm="1">
        <f t="array" aca="1" ref="P64" ca="1">IF(ISNUMBER(SEARCH(INDIRECT(ADDRESS(ROW(P64),MOD(P$1,4)+1)),P$2)),$E64,"")</f>
        <v>60</v>
      </c>
      <c r="Q64" s="26" cm="1">
        <f t="array" aca="1" ref="Q64" ca="1">IF(ISNUMBER(SEARCH(INDIRECT(ADDRESS(ROW(Q64),MOD(Q$1,4)+1)),Q$2)),$E64,"")</f>
        <v>60</v>
      </c>
      <c r="R64" s="26" t="str" cm="1">
        <f t="array" aca="1" ref="R64" ca="1">IF(ISNUMBER(SEARCH(INDIRECT(ADDRESS(ROW(R64),MOD(R$1,4)+1)),R$2)),$E64,"")</f>
        <v/>
      </c>
      <c r="S64" s="26" t="str" cm="1">
        <f t="array" aca="1" ref="S64" ca="1">IF(ISNUMBER(SEARCH(INDIRECT(ADDRESS(ROW(S64),MOD(S$1,4)+1)),S$2)),$E64,"")</f>
        <v/>
      </c>
      <c r="T64" s="26" t="str" cm="1">
        <f t="array" aca="1" ref="T64" ca="1">IF(ISNUMBER(SEARCH(INDIRECT(ADDRESS(ROW(T64),MOD(T$1,4)+1)),T$2)),$E64,"")</f>
        <v/>
      </c>
      <c r="U64" s="26" t="str" cm="1">
        <f t="array" aca="1" ref="U64" ca="1">IF(ISNUMBER(SEARCH(INDIRECT(ADDRESS(ROW(U64),MOD(U$1,4)+1)),U$2)),$E64,"")</f>
        <v/>
      </c>
      <c r="V64" s="26" t="str" cm="1">
        <f t="array" aca="1" ref="V64" ca="1">IF(ISNUMBER(SEARCH(INDIRECT(ADDRESS(ROW(V64),MOD(V$1,4)+1)),V$2)),$E64,"")</f>
        <v/>
      </c>
      <c r="W64" s="26" t="str" cm="1">
        <f t="array" aca="1" ref="W64" ca="1">IF(ISNUMBER(SEARCH(INDIRECT(ADDRESS(ROW(W64),MOD(W$1,4)+1)),W$2)),$E64,"")</f>
        <v/>
      </c>
      <c r="X64" s="26" t="str" cm="1">
        <f t="array" aca="1" ref="X64" ca="1">IF(ISNUMBER(SEARCH(INDIRECT(ADDRESS(ROW(X64),MOD(X$1,4)+1)),X$2)),$E64,"")</f>
        <v/>
      </c>
      <c r="Y64" s="26" t="str" cm="1">
        <f t="array" aca="1" ref="Y64" ca="1">IF(ISNUMBER(SEARCH(INDIRECT(ADDRESS(ROW(Y64),MOD(Y$1,4)+1)),Y$2)),$E64,"")</f>
        <v/>
      </c>
      <c r="Z64" s="26" t="str" cm="1">
        <f t="array" aca="1" ref="Z64" ca="1">IF(ISNUMBER(SEARCH(INDIRECT(ADDRESS(ROW(Z64),MOD(Z$1,4)+1)),Z$2)),$E64,"")</f>
        <v/>
      </c>
      <c r="AA64" s="26" t="str" cm="1">
        <f t="array" aca="1" ref="AA64" ca="1">IF(ISNUMBER(SEARCH(INDIRECT(ADDRESS(ROW(AA64),MOD(AA$1,4)+1)),AA$2)),$E64,"")</f>
        <v/>
      </c>
      <c r="AB64" s="26" t="str" cm="1">
        <f t="array" aca="1" ref="AB64" ca="1">IF(ISNUMBER(SEARCH(INDIRECT(ADDRESS(ROW(AB64),MOD(AB$1,4)+1)),AB$2)),$E64,"")</f>
        <v/>
      </c>
      <c r="AC64" s="26" t="str" cm="1">
        <f t="array" aca="1" ref="AC64" ca="1">IF(ISNUMBER(SEARCH(INDIRECT(ADDRESS(ROW(AC64),MOD(AC$1,4)+1)),AC$2)),$E64,"")</f>
        <v/>
      </c>
      <c r="AD64" s="26" t="str" cm="1">
        <f t="array" aca="1" ref="AD64" ca="1">IF(ISNUMBER(SEARCH(INDIRECT(ADDRESS(ROW(AD64),MOD(AD$1,4)+1)),AD$2)),$E64,"")</f>
        <v/>
      </c>
      <c r="AE64" s="26" t="str" cm="1">
        <f t="array" aca="1" ref="AE64" ca="1">IF(ISNUMBER(SEARCH(INDIRECT(ADDRESS(ROW(AE64),MOD(AE$1,4)+1)),AE$2)),$E64,"")</f>
        <v/>
      </c>
      <c r="AF64" s="26" t="str" cm="1">
        <f t="array" aca="1" ref="AF64" ca="1">IF(ISNUMBER(SEARCH(INDIRECT(ADDRESS(ROW(AF64),MOD(AF$1,4)+1)),AF$2)),$E64,"")</f>
        <v/>
      </c>
      <c r="AG64" s="26" t="str" cm="1">
        <f t="array" aca="1" ref="AG64" ca="1">IF(ISNUMBER(SEARCH(INDIRECT(ADDRESS(ROW(AG64),MOD(AG$1,4)+1)),AG$2)),$E64,"")</f>
        <v/>
      </c>
      <c r="AH64" s="26" t="str" cm="1">
        <f t="array" aca="1" ref="AH64" ca="1">IF(ISNUMBER(SEARCH(INDIRECT(ADDRESS(ROW(AH64),MOD(AH$1,4)+1)),AH$2)),$E64,"")</f>
        <v/>
      </c>
      <c r="AI64" s="26" t="str" cm="1">
        <f t="array" aca="1" ref="AI64" ca="1">IF(ISNUMBER(SEARCH(INDIRECT(ADDRESS(ROW(AI64),MOD(AI$1,4)+1)),AI$2)),$E64,"")</f>
        <v/>
      </c>
      <c r="AJ64" s="26" t="str" cm="1">
        <f t="array" aca="1" ref="AJ64" ca="1">IF(ISNUMBER(SEARCH(INDIRECT(ADDRESS(ROW(AJ64),MOD(AJ$1,4)+1)),AJ$2)),$E64,"")</f>
        <v/>
      </c>
      <c r="AK64" s="26" t="str" cm="1">
        <f t="array" aca="1" ref="AK64" ca="1">IF(ISNUMBER(SEARCH(INDIRECT(ADDRESS(ROW(AK64),MOD(AK$1,4)+1)),AK$2)),$E64,"")</f>
        <v/>
      </c>
      <c r="AL64" s="26" t="str" cm="1">
        <f t="array" aca="1" ref="AL64" ca="1">IF(ISNUMBER(SEARCH(INDIRECT(ADDRESS(ROW(AL64),MOD(AL$1,4)+1)),AL$2)),$E64,"")</f>
        <v/>
      </c>
      <c r="AM64" s="26" t="str" cm="1">
        <f t="array" aca="1" ref="AM64" ca="1">IF(ISNUMBER(SEARCH(INDIRECT(ADDRESS(ROW(AM64),MOD(AM$1,4)+1)),AM$2)),$E64,"")</f>
        <v/>
      </c>
      <c r="AN64" s="26" t="str" cm="1">
        <f t="array" aca="1" ref="AN64" ca="1">IF(ISNUMBER(SEARCH(INDIRECT(ADDRESS(ROW(AN64),MOD(AN$1,4)+1)),AN$2)),$E64,"")</f>
        <v/>
      </c>
      <c r="AO64" s="26" t="str" cm="1">
        <f t="array" aca="1" ref="AO64" ca="1">IF(ISNUMBER(SEARCH(INDIRECT(ADDRESS(ROW(AO64),MOD(AO$1,4)+1)),AO$2)),$E64,"")</f>
        <v/>
      </c>
      <c r="AP64" s="26" t="str" cm="1">
        <f t="array" aca="1" ref="AP64" ca="1">IF(ISNUMBER(SEARCH(INDIRECT(ADDRESS(ROW(AP64),MOD(AP$1,4)+1)),AP$2)),$E64,"")</f>
        <v/>
      </c>
      <c r="AQ64" s="31" t="str" cm="1">
        <f t="array" aca="1" ref="AQ64" ca="1">IF(ISNUMBER(SEARCH(INDIRECT(ADDRESS(ROW(AQ64),MOD(AQ$1,4)+1)),AQ$2)),$E64,"")</f>
        <v/>
      </c>
      <c r="AT64" t="e">
        <f>IF(VLOOKUP($E64,'Formatted NEW'!$B$2:$F$202,5,FALSE)=VLOOKUP($E64,'Formatted NEW'!$B$2:$F$202,8,FALSE),$E64,"")</f>
        <v>#N/A</v>
      </c>
      <c r="AW64" t="e">
        <f>IF(VLOOKUP($E64,'Formatted NEW'!$B$2:$F$202,5,FALSE)=VLOOKUP($E64,'Formatted NEW'!$B$2:$F$202,11,FALSE),$E64,"")</f>
        <v>#N/A</v>
      </c>
      <c r="AZ64" t="e">
        <f>IF(VLOOKUP($E64,'Formatted NEW'!$B$2:$F$202,5,FALSE)=VLOOKUP($E64,'Formatted NEW'!$B$2:$F$202,14,FALSE),$E64,"")</f>
        <v>#N/A</v>
      </c>
      <c r="BC64" t="str">
        <f>VLOOKUP($E64,'Formatted NEW'!$M$2:$T$202,6,FALSE)</f>
        <v>ORTHO_BOTH</v>
      </c>
      <c r="BD64" s="26" t="e">
        <f>VLOOKUP(VLOOKUP(VLOOKUP($E64,'Formatted NEW'!$M$2:$O$202,2,FALSE),'Formatted NEW'!$D$2:$F$202,7,FALSE),'Formatted NEW'!$D$2:$O$202,12,FALSE)</f>
        <v>#REF!</v>
      </c>
      <c r="BE64" t="e">
        <f>VLOOKUP($BD64,'Formatted NEW'!$M$2:$T$202,5,FALSE)</f>
        <v>#REF!</v>
      </c>
      <c r="BF64" s="26" t="e">
        <f t="shared" si="1"/>
        <v>#REF!</v>
      </c>
      <c r="BH64">
        <f>VLOOKUP($E64,'Formatted NEW'!$M$2:$T$202,4,FALSE)</f>
        <v>0</v>
      </c>
      <c r="BI64" s="26" t="e">
        <f>VLOOKUP(VLOOKUP(VLOOKUP($E64,'Formatted NEW'!$M$2:$O$202,2,FALSE),'Formatted NEW'!$D$2:$F$202,10,FALSE),'Formatted NEW'!$D$2:$O$202,12,FALSE)</f>
        <v>#REF!</v>
      </c>
      <c r="BJ64" t="e">
        <f>VLOOKUP($BI64,'Formatted NEW'!$M$2:$T$202,3,FALSE)</f>
        <v>#REF!</v>
      </c>
      <c r="BK64" s="26" t="e">
        <f t="shared" si="2"/>
        <v>#REF!</v>
      </c>
    </row>
    <row r="65" spans="1:63" x14ac:dyDescent="0.25">
      <c r="A65" t="str">
        <f>'Formatted NEW'!Q63</f>
        <v>EMPTY</v>
      </c>
      <c r="B65" t="str">
        <f>'Formatted NEW'!R63</f>
        <v>EMPTY</v>
      </c>
      <c r="C65" t="str">
        <f>'Formatted NEW'!S63</f>
        <v>ORTHO_BOTH</v>
      </c>
      <c r="D65" t="str">
        <f>'Formatted NEW'!T63</f>
        <v>DIAG_BOTH</v>
      </c>
      <c r="E65" s="26">
        <f t="shared" si="3"/>
        <v>61</v>
      </c>
      <c r="H65" s="30" t="str" cm="1">
        <f t="array" aca="1" ref="H65" ca="1">IF(ISNUMBER(SEARCH(INDIRECT(ADDRESS(ROW(H65),MOD(H$1,4)+1)),H$2)),$E65,"")</f>
        <v/>
      </c>
      <c r="I65" s="26" t="str" cm="1">
        <f t="array" aca="1" ref="I65" ca="1">IF(ISNUMBER(SEARCH(INDIRECT(ADDRESS(ROW(I65),MOD(I$1,4)+1)),I$2)),$E65,"")</f>
        <v/>
      </c>
      <c r="J65" s="26" t="str" cm="1">
        <f t="array" aca="1" ref="J65" ca="1">IF(ISNUMBER(SEARCH(INDIRECT(ADDRESS(ROW(J65),MOD(J$1,4)+1)),J$2)),$E65,"")</f>
        <v/>
      </c>
      <c r="K65" s="26" t="str" cm="1">
        <f t="array" aca="1" ref="K65" ca="1">IF(ISNUMBER(SEARCH(INDIRECT(ADDRESS(ROW(K65),MOD(K$1,4)+1)),K$2)),$E65,"")</f>
        <v/>
      </c>
      <c r="L65" s="26" t="str" cm="1">
        <f t="array" aca="1" ref="L65" ca="1">IF(ISNUMBER(SEARCH(INDIRECT(ADDRESS(ROW(L65),MOD(L$1,4)+1)),L$2)),$E65,"")</f>
        <v/>
      </c>
      <c r="M65" s="26" t="str" cm="1">
        <f t="array" aca="1" ref="M65" ca="1">IF(ISNUMBER(SEARCH(INDIRECT(ADDRESS(ROW(M65),MOD(M$1,4)+1)),M$2)),$E65,"")</f>
        <v/>
      </c>
      <c r="N65" s="26" t="str" cm="1">
        <f t="array" aca="1" ref="N65" ca="1">IF(ISNUMBER(SEARCH(INDIRECT(ADDRESS(ROW(N65),MOD(N$1,4)+1)),N$2)),$E65,"")</f>
        <v/>
      </c>
      <c r="O65" s="26" cm="1">
        <f t="array" aca="1" ref="O65" ca="1">IF(ISNUMBER(SEARCH(INDIRECT(ADDRESS(ROW(O65),MOD(O$1,4)+1)),O$2)),$E65,"")</f>
        <v>61</v>
      </c>
      <c r="P65" s="26" t="str" cm="1">
        <f t="array" aca="1" ref="P65" ca="1">IF(ISNUMBER(SEARCH(INDIRECT(ADDRESS(ROW(P65),MOD(P$1,4)+1)),P$2)),$E65,"")</f>
        <v/>
      </c>
      <c r="Q65" s="26" t="str" cm="1">
        <f t="array" aca="1" ref="Q65" ca="1">IF(ISNUMBER(SEARCH(INDIRECT(ADDRESS(ROW(Q65),MOD(Q$1,4)+1)),Q$2)),$E65,"")</f>
        <v/>
      </c>
      <c r="R65" s="26" cm="1">
        <f t="array" aca="1" ref="R65" ca="1">IF(ISNUMBER(SEARCH(INDIRECT(ADDRESS(ROW(R65),MOD(R$1,4)+1)),R$2)),$E65,"")</f>
        <v>61</v>
      </c>
      <c r="S65" s="26" t="str" cm="1">
        <f t="array" aca="1" ref="S65" ca="1">IF(ISNUMBER(SEARCH(INDIRECT(ADDRESS(ROW(S65),MOD(S$1,4)+1)),S$2)),$E65,"")</f>
        <v/>
      </c>
      <c r="T65" s="26" t="str" cm="1">
        <f t="array" aca="1" ref="T65" ca="1">IF(ISNUMBER(SEARCH(INDIRECT(ADDRESS(ROW(T65),MOD(T$1,4)+1)),T$2)),$E65,"")</f>
        <v/>
      </c>
      <c r="U65" s="26" t="str" cm="1">
        <f t="array" aca="1" ref="U65" ca="1">IF(ISNUMBER(SEARCH(INDIRECT(ADDRESS(ROW(U65),MOD(U$1,4)+1)),U$2)),$E65,"")</f>
        <v/>
      </c>
      <c r="V65" s="26" t="str" cm="1">
        <f t="array" aca="1" ref="V65" ca="1">IF(ISNUMBER(SEARCH(INDIRECT(ADDRESS(ROW(V65),MOD(V$1,4)+1)),V$2)),$E65,"")</f>
        <v/>
      </c>
      <c r="W65" s="26" t="str" cm="1">
        <f t="array" aca="1" ref="W65" ca="1">IF(ISNUMBER(SEARCH(INDIRECT(ADDRESS(ROW(W65),MOD(W$1,4)+1)),W$2)),$E65,"")</f>
        <v/>
      </c>
      <c r="X65" s="26" t="str" cm="1">
        <f t="array" aca="1" ref="X65" ca="1">IF(ISNUMBER(SEARCH(INDIRECT(ADDRESS(ROW(X65),MOD(X$1,4)+1)),X$2)),$E65,"")</f>
        <v/>
      </c>
      <c r="Y65" s="26" t="str" cm="1">
        <f t="array" aca="1" ref="Y65" ca="1">IF(ISNUMBER(SEARCH(INDIRECT(ADDRESS(ROW(Y65),MOD(Y$1,4)+1)),Y$2)),$E65,"")</f>
        <v/>
      </c>
      <c r="Z65" s="26" t="str" cm="1">
        <f t="array" aca="1" ref="Z65" ca="1">IF(ISNUMBER(SEARCH(INDIRECT(ADDRESS(ROW(Z65),MOD(Z$1,4)+1)),Z$2)),$E65,"")</f>
        <v/>
      </c>
      <c r="AA65" s="26" t="str" cm="1">
        <f t="array" aca="1" ref="AA65" ca="1">IF(ISNUMBER(SEARCH(INDIRECT(ADDRESS(ROW(AA65),MOD(AA$1,4)+1)),AA$2)),$E65,"")</f>
        <v/>
      </c>
      <c r="AB65" s="26" t="str" cm="1">
        <f t="array" aca="1" ref="AB65" ca="1">IF(ISNUMBER(SEARCH(INDIRECT(ADDRESS(ROW(AB65),MOD(AB$1,4)+1)),AB$2)),$E65,"")</f>
        <v/>
      </c>
      <c r="AC65" s="26" t="str" cm="1">
        <f t="array" aca="1" ref="AC65" ca="1">IF(ISNUMBER(SEARCH(INDIRECT(ADDRESS(ROW(AC65),MOD(AC$1,4)+1)),AC$2)),$E65,"")</f>
        <v/>
      </c>
      <c r="AD65" s="26" t="str" cm="1">
        <f t="array" aca="1" ref="AD65" ca="1">IF(ISNUMBER(SEARCH(INDIRECT(ADDRESS(ROW(AD65),MOD(AD$1,4)+1)),AD$2)),$E65,"")</f>
        <v/>
      </c>
      <c r="AE65" s="26" t="str" cm="1">
        <f t="array" aca="1" ref="AE65" ca="1">IF(ISNUMBER(SEARCH(INDIRECT(ADDRESS(ROW(AE65),MOD(AE$1,4)+1)),AE$2)),$E65,"")</f>
        <v/>
      </c>
      <c r="AF65" s="26" t="str" cm="1">
        <f t="array" aca="1" ref="AF65" ca="1">IF(ISNUMBER(SEARCH(INDIRECT(ADDRESS(ROW(AF65),MOD(AF$1,4)+1)),AF$2)),$E65,"")</f>
        <v/>
      </c>
      <c r="AG65" s="26" t="str" cm="1">
        <f t="array" aca="1" ref="AG65" ca="1">IF(ISNUMBER(SEARCH(INDIRECT(ADDRESS(ROW(AG65),MOD(AG$1,4)+1)),AG$2)),$E65,"")</f>
        <v/>
      </c>
      <c r="AH65" s="26" t="str" cm="1">
        <f t="array" aca="1" ref="AH65" ca="1">IF(ISNUMBER(SEARCH(INDIRECT(ADDRESS(ROW(AH65),MOD(AH$1,4)+1)),AH$2)),$E65,"")</f>
        <v/>
      </c>
      <c r="AI65" s="26" t="str" cm="1">
        <f t="array" aca="1" ref="AI65" ca="1">IF(ISNUMBER(SEARCH(INDIRECT(ADDRESS(ROW(AI65),MOD(AI$1,4)+1)),AI$2)),$E65,"")</f>
        <v/>
      </c>
      <c r="AJ65" s="26" t="str" cm="1">
        <f t="array" aca="1" ref="AJ65" ca="1">IF(ISNUMBER(SEARCH(INDIRECT(ADDRESS(ROW(AJ65),MOD(AJ$1,4)+1)),AJ$2)),$E65,"")</f>
        <v/>
      </c>
      <c r="AK65" s="26" t="str" cm="1">
        <f t="array" aca="1" ref="AK65" ca="1">IF(ISNUMBER(SEARCH(INDIRECT(ADDRESS(ROW(AK65),MOD(AK$1,4)+1)),AK$2)),$E65,"")</f>
        <v/>
      </c>
      <c r="AL65" s="26" t="str" cm="1">
        <f t="array" aca="1" ref="AL65" ca="1">IF(ISNUMBER(SEARCH(INDIRECT(ADDRESS(ROW(AL65),MOD(AL$1,4)+1)),AL$2)),$E65,"")</f>
        <v/>
      </c>
      <c r="AM65" s="26" t="str" cm="1">
        <f t="array" aca="1" ref="AM65" ca="1">IF(ISNUMBER(SEARCH(INDIRECT(ADDRESS(ROW(AM65),MOD(AM$1,4)+1)),AM$2)),$E65,"")</f>
        <v/>
      </c>
      <c r="AN65" s="26" t="str" cm="1">
        <f t="array" aca="1" ref="AN65" ca="1">IF(ISNUMBER(SEARCH(INDIRECT(ADDRESS(ROW(AN65),MOD(AN$1,4)+1)),AN$2)),$E65,"")</f>
        <v/>
      </c>
      <c r="AO65" s="26" t="str" cm="1">
        <f t="array" aca="1" ref="AO65" ca="1">IF(ISNUMBER(SEARCH(INDIRECT(ADDRESS(ROW(AO65),MOD(AO$1,4)+1)),AO$2)),$E65,"")</f>
        <v/>
      </c>
      <c r="AP65" s="26" t="str" cm="1">
        <f t="array" aca="1" ref="AP65" ca="1">IF(ISNUMBER(SEARCH(INDIRECT(ADDRESS(ROW(AP65),MOD(AP$1,4)+1)),AP$2)),$E65,"")</f>
        <v/>
      </c>
      <c r="AQ65" s="31" t="str" cm="1">
        <f t="array" aca="1" ref="AQ65" ca="1">IF(ISNUMBER(SEARCH(INDIRECT(ADDRESS(ROW(AQ65),MOD(AQ$1,4)+1)),AQ$2)),$E65,"")</f>
        <v/>
      </c>
      <c r="AT65" t="e">
        <f>IF(VLOOKUP($E65,'Formatted NEW'!$B$2:$F$202,5,FALSE)=VLOOKUP($E65,'Formatted NEW'!$B$2:$F$202,8,FALSE),$E65,"")</f>
        <v>#N/A</v>
      </c>
      <c r="AW65" t="e">
        <f>IF(VLOOKUP($E65,'Formatted NEW'!$B$2:$F$202,5,FALSE)=VLOOKUP($E65,'Formatted NEW'!$B$2:$F$202,11,FALSE),$E65,"")</f>
        <v>#N/A</v>
      </c>
      <c r="AZ65" t="e">
        <f>IF(VLOOKUP($E65,'Formatted NEW'!$B$2:$F$202,5,FALSE)=VLOOKUP($E65,'Formatted NEW'!$B$2:$F$202,14,FALSE),$E65,"")</f>
        <v>#N/A</v>
      </c>
      <c r="BC65" t="str">
        <f>VLOOKUP($E65,'Formatted NEW'!$M$2:$T$202,6,FALSE)</f>
        <v>EMPTY</v>
      </c>
      <c r="BD65" s="26" t="e">
        <f>VLOOKUP(VLOOKUP(VLOOKUP($E65,'Formatted NEW'!$M$2:$O$202,2,FALSE),'Formatted NEW'!$D$2:$F$202,7,FALSE),'Formatted NEW'!$D$2:$O$202,12,FALSE)</f>
        <v>#REF!</v>
      </c>
      <c r="BE65" t="e">
        <f>VLOOKUP($BD65,'Formatted NEW'!$M$2:$T$202,5,FALSE)</f>
        <v>#REF!</v>
      </c>
      <c r="BF65" s="26" t="e">
        <f t="shared" si="1"/>
        <v>#REF!</v>
      </c>
      <c r="BH65">
        <f>VLOOKUP($E65,'Formatted NEW'!$M$2:$T$202,4,FALSE)</f>
        <v>0</v>
      </c>
      <c r="BI65" s="26" t="e">
        <f>VLOOKUP(VLOOKUP(VLOOKUP($E65,'Formatted NEW'!$M$2:$O$202,2,FALSE),'Formatted NEW'!$D$2:$F$202,10,FALSE),'Formatted NEW'!$D$2:$O$202,12,FALSE)</f>
        <v>#REF!</v>
      </c>
      <c r="BJ65" t="e">
        <f>VLOOKUP($BI65,'Formatted NEW'!$M$2:$T$202,3,FALSE)</f>
        <v>#REF!</v>
      </c>
      <c r="BK65" s="26" t="e">
        <f t="shared" si="2"/>
        <v>#REF!</v>
      </c>
    </row>
    <row r="66" spans="1:63" x14ac:dyDescent="0.25">
      <c r="A66" t="str">
        <f>'Formatted NEW'!Q64</f>
        <v>ORTHO_BOTH</v>
      </c>
      <c r="B66" t="str">
        <f>'Formatted NEW'!R64</f>
        <v>DIAG_BOTH</v>
      </c>
      <c r="C66" t="str">
        <f>'Formatted NEW'!S64</f>
        <v>ORTHO_BOTH</v>
      </c>
      <c r="D66" t="str">
        <f>'Formatted NEW'!T64</f>
        <v>ORTHO_BOTH</v>
      </c>
      <c r="E66" s="26">
        <f t="shared" si="3"/>
        <v>62</v>
      </c>
      <c r="H66" s="30" t="str" cm="1">
        <f t="array" aca="1" ref="H66" ca="1">IF(ISNUMBER(SEARCH(INDIRECT(ADDRESS(ROW(H66),MOD(H$1,4)+1)),H$2)),$E66,"")</f>
        <v/>
      </c>
      <c r="I66" s="26" t="str" cm="1">
        <f t="array" aca="1" ref="I66" ca="1">IF(ISNUMBER(SEARCH(INDIRECT(ADDRESS(ROW(I66),MOD(I$1,4)+1)),I$2)),$E66,"")</f>
        <v/>
      </c>
      <c r="J66" s="26" t="str" cm="1">
        <f t="array" aca="1" ref="J66" ca="1">IF(ISNUMBER(SEARCH(INDIRECT(ADDRESS(ROW(J66),MOD(J$1,4)+1)),J$2)),$E66,"")</f>
        <v/>
      </c>
      <c r="K66" s="26" t="str" cm="1">
        <f t="array" aca="1" ref="K66" ca="1">IF(ISNUMBER(SEARCH(INDIRECT(ADDRESS(ROW(K66),MOD(K$1,4)+1)),K$2)),$E66,"")</f>
        <v/>
      </c>
      <c r="L66" s="26" t="str" cm="1">
        <f t="array" aca="1" ref="L66" ca="1">IF(ISNUMBER(SEARCH(INDIRECT(ADDRESS(ROW(L66),MOD(L$1,4)+1)),L$2)),$E66,"")</f>
        <v/>
      </c>
      <c r="M66" s="26" cm="1">
        <f t="array" aca="1" ref="M66" ca="1">IF(ISNUMBER(SEARCH(INDIRECT(ADDRESS(ROW(M66),MOD(M$1,4)+1)),M$2)),$E66,"")</f>
        <v>62</v>
      </c>
      <c r="N66" s="26" t="str" cm="1">
        <f t="array" aca="1" ref="N66" ca="1">IF(ISNUMBER(SEARCH(INDIRECT(ADDRESS(ROW(N66),MOD(N$1,4)+1)),N$2)),$E66,"")</f>
        <v/>
      </c>
      <c r="O66" s="26" t="str" cm="1">
        <f t="array" aca="1" ref="O66" ca="1">IF(ISNUMBER(SEARCH(INDIRECT(ADDRESS(ROW(O66),MOD(O$1,4)+1)),O$2)),$E66,"")</f>
        <v/>
      </c>
      <c r="P66" s="26" cm="1">
        <f t="array" aca="1" ref="P66" ca="1">IF(ISNUMBER(SEARCH(INDIRECT(ADDRESS(ROW(P66),MOD(P$1,4)+1)),P$2)),$E66,"")</f>
        <v>62</v>
      </c>
      <c r="Q66" s="26" t="str" cm="1">
        <f t="array" aca="1" ref="Q66" ca="1">IF(ISNUMBER(SEARCH(INDIRECT(ADDRESS(ROW(Q66),MOD(Q$1,4)+1)),Q$2)),$E66,"")</f>
        <v/>
      </c>
      <c r="R66" s="26" cm="1">
        <f t="array" aca="1" ref="R66" ca="1">IF(ISNUMBER(SEARCH(INDIRECT(ADDRESS(ROW(R66),MOD(R$1,4)+1)),R$2)),$E66,"")</f>
        <v>62</v>
      </c>
      <c r="S66" s="26" cm="1">
        <f t="array" aca="1" ref="S66" ca="1">IF(ISNUMBER(SEARCH(INDIRECT(ADDRESS(ROW(S66),MOD(S$1,4)+1)),S$2)),$E66,"")</f>
        <v>62</v>
      </c>
      <c r="T66" s="26" t="str" cm="1">
        <f t="array" aca="1" ref="T66" ca="1">IF(ISNUMBER(SEARCH(INDIRECT(ADDRESS(ROW(T66),MOD(T$1,4)+1)),T$2)),$E66,"")</f>
        <v/>
      </c>
      <c r="U66" s="26" t="str" cm="1">
        <f t="array" aca="1" ref="U66" ca="1">IF(ISNUMBER(SEARCH(INDIRECT(ADDRESS(ROW(U66),MOD(U$1,4)+1)),U$2)),$E66,"")</f>
        <v/>
      </c>
      <c r="V66" s="26" t="str" cm="1">
        <f t="array" aca="1" ref="V66" ca="1">IF(ISNUMBER(SEARCH(INDIRECT(ADDRESS(ROW(V66),MOD(V$1,4)+1)),V$2)),$E66,"")</f>
        <v/>
      </c>
      <c r="W66" s="26" t="str" cm="1">
        <f t="array" aca="1" ref="W66" ca="1">IF(ISNUMBER(SEARCH(INDIRECT(ADDRESS(ROW(W66),MOD(W$1,4)+1)),W$2)),$E66,"")</f>
        <v/>
      </c>
      <c r="X66" s="26" t="str" cm="1">
        <f t="array" aca="1" ref="X66" ca="1">IF(ISNUMBER(SEARCH(INDIRECT(ADDRESS(ROW(X66),MOD(X$1,4)+1)),X$2)),$E66,"")</f>
        <v/>
      </c>
      <c r="Y66" s="26" t="str" cm="1">
        <f t="array" aca="1" ref="Y66" ca="1">IF(ISNUMBER(SEARCH(INDIRECT(ADDRESS(ROW(Y66),MOD(Y$1,4)+1)),Y$2)),$E66,"")</f>
        <v/>
      </c>
      <c r="Z66" s="26" t="str" cm="1">
        <f t="array" aca="1" ref="Z66" ca="1">IF(ISNUMBER(SEARCH(INDIRECT(ADDRESS(ROW(Z66),MOD(Z$1,4)+1)),Z$2)),$E66,"")</f>
        <v/>
      </c>
      <c r="AA66" s="26" t="str" cm="1">
        <f t="array" aca="1" ref="AA66" ca="1">IF(ISNUMBER(SEARCH(INDIRECT(ADDRESS(ROW(AA66),MOD(AA$1,4)+1)),AA$2)),$E66,"")</f>
        <v/>
      </c>
      <c r="AB66" s="26" t="str" cm="1">
        <f t="array" aca="1" ref="AB66" ca="1">IF(ISNUMBER(SEARCH(INDIRECT(ADDRESS(ROW(AB66),MOD(AB$1,4)+1)),AB$2)),$E66,"")</f>
        <v/>
      </c>
      <c r="AC66" s="26" t="str" cm="1">
        <f t="array" aca="1" ref="AC66" ca="1">IF(ISNUMBER(SEARCH(INDIRECT(ADDRESS(ROW(AC66),MOD(AC$1,4)+1)),AC$2)),$E66,"")</f>
        <v/>
      </c>
      <c r="AD66" s="26" t="str" cm="1">
        <f t="array" aca="1" ref="AD66" ca="1">IF(ISNUMBER(SEARCH(INDIRECT(ADDRESS(ROW(AD66),MOD(AD$1,4)+1)),AD$2)),$E66,"")</f>
        <v/>
      </c>
      <c r="AE66" s="26" t="str" cm="1">
        <f t="array" aca="1" ref="AE66" ca="1">IF(ISNUMBER(SEARCH(INDIRECT(ADDRESS(ROW(AE66),MOD(AE$1,4)+1)),AE$2)),$E66,"")</f>
        <v/>
      </c>
      <c r="AF66" s="26" t="str" cm="1">
        <f t="array" aca="1" ref="AF66" ca="1">IF(ISNUMBER(SEARCH(INDIRECT(ADDRESS(ROW(AF66),MOD(AF$1,4)+1)),AF$2)),$E66,"")</f>
        <v/>
      </c>
      <c r="AG66" s="26" t="str" cm="1">
        <f t="array" aca="1" ref="AG66" ca="1">IF(ISNUMBER(SEARCH(INDIRECT(ADDRESS(ROW(AG66),MOD(AG$1,4)+1)),AG$2)),$E66,"")</f>
        <v/>
      </c>
      <c r="AH66" s="26" t="str" cm="1">
        <f t="array" aca="1" ref="AH66" ca="1">IF(ISNUMBER(SEARCH(INDIRECT(ADDRESS(ROW(AH66),MOD(AH$1,4)+1)),AH$2)),$E66,"")</f>
        <v/>
      </c>
      <c r="AI66" s="26" t="str" cm="1">
        <f t="array" aca="1" ref="AI66" ca="1">IF(ISNUMBER(SEARCH(INDIRECT(ADDRESS(ROW(AI66),MOD(AI$1,4)+1)),AI$2)),$E66,"")</f>
        <v/>
      </c>
      <c r="AJ66" s="26" t="str" cm="1">
        <f t="array" aca="1" ref="AJ66" ca="1">IF(ISNUMBER(SEARCH(INDIRECT(ADDRESS(ROW(AJ66),MOD(AJ$1,4)+1)),AJ$2)),$E66,"")</f>
        <v/>
      </c>
      <c r="AK66" s="26" t="str" cm="1">
        <f t="array" aca="1" ref="AK66" ca="1">IF(ISNUMBER(SEARCH(INDIRECT(ADDRESS(ROW(AK66),MOD(AK$1,4)+1)),AK$2)),$E66,"")</f>
        <v/>
      </c>
      <c r="AL66" s="26" t="str" cm="1">
        <f t="array" aca="1" ref="AL66" ca="1">IF(ISNUMBER(SEARCH(INDIRECT(ADDRESS(ROW(AL66),MOD(AL$1,4)+1)),AL$2)),$E66,"")</f>
        <v/>
      </c>
      <c r="AM66" s="26" t="str" cm="1">
        <f t="array" aca="1" ref="AM66" ca="1">IF(ISNUMBER(SEARCH(INDIRECT(ADDRESS(ROW(AM66),MOD(AM$1,4)+1)),AM$2)),$E66,"")</f>
        <v/>
      </c>
      <c r="AN66" s="26" t="str" cm="1">
        <f t="array" aca="1" ref="AN66" ca="1">IF(ISNUMBER(SEARCH(INDIRECT(ADDRESS(ROW(AN66),MOD(AN$1,4)+1)),AN$2)),$E66,"")</f>
        <v/>
      </c>
      <c r="AO66" s="26" t="str" cm="1">
        <f t="array" aca="1" ref="AO66" ca="1">IF(ISNUMBER(SEARCH(INDIRECT(ADDRESS(ROW(AO66),MOD(AO$1,4)+1)),AO$2)),$E66,"")</f>
        <v/>
      </c>
      <c r="AP66" s="26" t="str" cm="1">
        <f t="array" aca="1" ref="AP66" ca="1">IF(ISNUMBER(SEARCH(INDIRECT(ADDRESS(ROW(AP66),MOD(AP$1,4)+1)),AP$2)),$E66,"")</f>
        <v/>
      </c>
      <c r="AQ66" s="31" t="str" cm="1">
        <f t="array" aca="1" ref="AQ66" ca="1">IF(ISNUMBER(SEARCH(INDIRECT(ADDRESS(ROW(AQ66),MOD(AQ$1,4)+1)),AQ$2)),$E66,"")</f>
        <v/>
      </c>
      <c r="AT66" t="e">
        <f>IF(VLOOKUP($E66,'Formatted NEW'!$B$2:$F$202,5,FALSE)=VLOOKUP($E66,'Formatted NEW'!$B$2:$F$202,8,FALSE),$E66,"")</f>
        <v>#N/A</v>
      </c>
      <c r="AW66" t="e">
        <f>IF(VLOOKUP($E66,'Formatted NEW'!$B$2:$F$202,5,FALSE)=VLOOKUP($E66,'Formatted NEW'!$B$2:$F$202,11,FALSE),$E66,"")</f>
        <v>#N/A</v>
      </c>
      <c r="AZ66" t="e">
        <f>IF(VLOOKUP($E66,'Formatted NEW'!$B$2:$F$202,5,FALSE)=VLOOKUP($E66,'Formatted NEW'!$B$2:$F$202,14,FALSE),$E66,"")</f>
        <v>#N/A</v>
      </c>
      <c r="BC66" t="str">
        <f>VLOOKUP($E66,'Formatted NEW'!$M$2:$T$202,6,FALSE)</f>
        <v>DIAG_BOTH</v>
      </c>
      <c r="BD66" s="26" t="e">
        <f>VLOOKUP(VLOOKUP(VLOOKUP($E66,'Formatted NEW'!$M$2:$O$202,2,FALSE),'Formatted NEW'!$D$2:$F$202,7,FALSE),'Formatted NEW'!$D$2:$O$202,12,FALSE)</f>
        <v>#REF!</v>
      </c>
      <c r="BE66" t="e">
        <f>VLOOKUP($BD66,'Formatted NEW'!$M$2:$T$202,5,FALSE)</f>
        <v>#REF!</v>
      </c>
      <c r="BF66" s="26" t="e">
        <f t="shared" si="1"/>
        <v>#REF!</v>
      </c>
      <c r="BH66">
        <f>VLOOKUP($E66,'Formatted NEW'!$M$2:$T$202,4,FALSE)</f>
        <v>0</v>
      </c>
      <c r="BI66" s="26" t="e">
        <f>VLOOKUP(VLOOKUP(VLOOKUP($E66,'Formatted NEW'!$M$2:$O$202,2,FALSE),'Formatted NEW'!$D$2:$F$202,10,FALSE),'Formatted NEW'!$D$2:$O$202,12,FALSE)</f>
        <v>#REF!</v>
      </c>
      <c r="BJ66" t="e">
        <f>VLOOKUP($BI66,'Formatted NEW'!$M$2:$T$202,3,FALSE)</f>
        <v>#REF!</v>
      </c>
      <c r="BK66" s="26" t="e">
        <f t="shared" si="2"/>
        <v>#REF!</v>
      </c>
    </row>
    <row r="67" spans="1:63" x14ac:dyDescent="0.25">
      <c r="A67" t="str">
        <f>'Formatted NEW'!Q65</f>
        <v>DIAG_BOTH</v>
      </c>
      <c r="B67" t="str">
        <f>'Formatted NEW'!R65</f>
        <v>ORTHO_BOTH</v>
      </c>
      <c r="C67" t="str">
        <f>'Formatted NEW'!S65</f>
        <v>DIAG_BOTH</v>
      </c>
      <c r="D67" t="str">
        <f>'Formatted NEW'!T65</f>
        <v>ORTHO_BOTH</v>
      </c>
      <c r="E67" s="26">
        <f t="shared" si="3"/>
        <v>63</v>
      </c>
      <c r="H67" s="30" t="str" cm="1">
        <f t="array" aca="1" ref="H67" ca="1">IF(ISNUMBER(SEARCH(INDIRECT(ADDRESS(ROW(H67),MOD(H$1,4)+1)),H$2)),$E67,"")</f>
        <v/>
      </c>
      <c r="I67" s="26" t="str" cm="1">
        <f t="array" aca="1" ref="I67" ca="1">IF(ISNUMBER(SEARCH(INDIRECT(ADDRESS(ROW(I67),MOD(I$1,4)+1)),I$2)),$E67,"")</f>
        <v/>
      </c>
      <c r="J67" s="26" t="str" cm="1">
        <f t="array" aca="1" ref="J67" ca="1">IF(ISNUMBER(SEARCH(INDIRECT(ADDRESS(ROW(J67),MOD(J$1,4)+1)),J$2)),$E67,"")</f>
        <v/>
      </c>
      <c r="K67" s="26" t="str" cm="1">
        <f t="array" aca="1" ref="K67" ca="1">IF(ISNUMBER(SEARCH(INDIRECT(ADDRESS(ROW(K67),MOD(K$1,4)+1)),K$2)),$E67,"")</f>
        <v/>
      </c>
      <c r="L67" s="26" cm="1">
        <f t="array" aca="1" ref="L67" ca="1">IF(ISNUMBER(SEARCH(INDIRECT(ADDRESS(ROW(L67),MOD(L$1,4)+1)),L$2)),$E67,"")</f>
        <v>63</v>
      </c>
      <c r="M67" s="26" t="str" cm="1">
        <f t="array" aca="1" ref="M67" ca="1">IF(ISNUMBER(SEARCH(INDIRECT(ADDRESS(ROW(M67),MOD(M$1,4)+1)),M$2)),$E67,"")</f>
        <v/>
      </c>
      <c r="N67" s="26" cm="1">
        <f t="array" aca="1" ref="N67" ca="1">IF(ISNUMBER(SEARCH(INDIRECT(ADDRESS(ROW(N67),MOD(N$1,4)+1)),N$2)),$E67,"")</f>
        <v>63</v>
      </c>
      <c r="O67" s="26" t="str" cm="1">
        <f t="array" aca="1" ref="O67" ca="1">IF(ISNUMBER(SEARCH(INDIRECT(ADDRESS(ROW(O67),MOD(O$1,4)+1)),O$2)),$E67,"")</f>
        <v/>
      </c>
      <c r="P67" s="26" t="str" cm="1">
        <f t="array" aca="1" ref="P67" ca="1">IF(ISNUMBER(SEARCH(INDIRECT(ADDRESS(ROW(P67),MOD(P$1,4)+1)),P$2)),$E67,"")</f>
        <v/>
      </c>
      <c r="Q67" s="26" cm="1">
        <f t="array" aca="1" ref="Q67" ca="1">IF(ISNUMBER(SEARCH(INDIRECT(ADDRESS(ROW(Q67),MOD(Q$1,4)+1)),Q$2)),$E67,"")</f>
        <v>63</v>
      </c>
      <c r="R67" s="26" t="str" cm="1">
        <f t="array" aca="1" ref="R67" ca="1">IF(ISNUMBER(SEARCH(INDIRECT(ADDRESS(ROW(R67),MOD(R$1,4)+1)),R$2)),$E67,"")</f>
        <v/>
      </c>
      <c r="S67" s="26" cm="1">
        <f t="array" aca="1" ref="S67" ca="1">IF(ISNUMBER(SEARCH(INDIRECT(ADDRESS(ROW(S67),MOD(S$1,4)+1)),S$2)),$E67,"")</f>
        <v>63</v>
      </c>
      <c r="T67" s="26" t="str" cm="1">
        <f t="array" aca="1" ref="T67" ca="1">IF(ISNUMBER(SEARCH(INDIRECT(ADDRESS(ROW(T67),MOD(T$1,4)+1)),T$2)),$E67,"")</f>
        <v/>
      </c>
      <c r="U67" s="26" t="str" cm="1">
        <f t="array" aca="1" ref="U67" ca="1">IF(ISNUMBER(SEARCH(INDIRECT(ADDRESS(ROW(U67),MOD(U$1,4)+1)),U$2)),$E67,"")</f>
        <v/>
      </c>
      <c r="V67" s="26" t="str" cm="1">
        <f t="array" aca="1" ref="V67" ca="1">IF(ISNUMBER(SEARCH(INDIRECT(ADDRESS(ROW(V67),MOD(V$1,4)+1)),V$2)),$E67,"")</f>
        <v/>
      </c>
      <c r="W67" s="26" t="str" cm="1">
        <f t="array" aca="1" ref="W67" ca="1">IF(ISNUMBER(SEARCH(INDIRECT(ADDRESS(ROW(W67),MOD(W$1,4)+1)),W$2)),$E67,"")</f>
        <v/>
      </c>
      <c r="X67" s="26" t="str" cm="1">
        <f t="array" aca="1" ref="X67" ca="1">IF(ISNUMBER(SEARCH(INDIRECT(ADDRESS(ROW(X67),MOD(X$1,4)+1)),X$2)),$E67,"")</f>
        <v/>
      </c>
      <c r="Y67" s="26" t="str" cm="1">
        <f t="array" aca="1" ref="Y67" ca="1">IF(ISNUMBER(SEARCH(INDIRECT(ADDRESS(ROW(Y67),MOD(Y$1,4)+1)),Y$2)),$E67,"")</f>
        <v/>
      </c>
      <c r="Z67" s="26" t="str" cm="1">
        <f t="array" aca="1" ref="Z67" ca="1">IF(ISNUMBER(SEARCH(INDIRECT(ADDRESS(ROW(Z67),MOD(Z$1,4)+1)),Z$2)),$E67,"")</f>
        <v/>
      </c>
      <c r="AA67" s="26" t="str" cm="1">
        <f t="array" aca="1" ref="AA67" ca="1">IF(ISNUMBER(SEARCH(INDIRECT(ADDRESS(ROW(AA67),MOD(AA$1,4)+1)),AA$2)),$E67,"")</f>
        <v/>
      </c>
      <c r="AB67" s="26" t="str" cm="1">
        <f t="array" aca="1" ref="AB67" ca="1">IF(ISNUMBER(SEARCH(INDIRECT(ADDRESS(ROW(AB67),MOD(AB$1,4)+1)),AB$2)),$E67,"")</f>
        <v/>
      </c>
      <c r="AC67" s="26" t="str" cm="1">
        <f t="array" aca="1" ref="AC67" ca="1">IF(ISNUMBER(SEARCH(INDIRECT(ADDRESS(ROW(AC67),MOD(AC$1,4)+1)),AC$2)),$E67,"")</f>
        <v/>
      </c>
      <c r="AD67" s="26" t="str" cm="1">
        <f t="array" aca="1" ref="AD67" ca="1">IF(ISNUMBER(SEARCH(INDIRECT(ADDRESS(ROW(AD67),MOD(AD$1,4)+1)),AD$2)),$E67,"")</f>
        <v/>
      </c>
      <c r="AE67" s="26" t="str" cm="1">
        <f t="array" aca="1" ref="AE67" ca="1">IF(ISNUMBER(SEARCH(INDIRECT(ADDRESS(ROW(AE67),MOD(AE$1,4)+1)),AE$2)),$E67,"")</f>
        <v/>
      </c>
      <c r="AF67" s="26" t="str" cm="1">
        <f t="array" aca="1" ref="AF67" ca="1">IF(ISNUMBER(SEARCH(INDIRECT(ADDRESS(ROW(AF67),MOD(AF$1,4)+1)),AF$2)),$E67,"")</f>
        <v/>
      </c>
      <c r="AG67" s="26" t="str" cm="1">
        <f t="array" aca="1" ref="AG67" ca="1">IF(ISNUMBER(SEARCH(INDIRECT(ADDRESS(ROW(AG67),MOD(AG$1,4)+1)),AG$2)),$E67,"")</f>
        <v/>
      </c>
      <c r="AH67" s="26" t="str" cm="1">
        <f t="array" aca="1" ref="AH67" ca="1">IF(ISNUMBER(SEARCH(INDIRECT(ADDRESS(ROW(AH67),MOD(AH$1,4)+1)),AH$2)),$E67,"")</f>
        <v/>
      </c>
      <c r="AI67" s="26" t="str" cm="1">
        <f t="array" aca="1" ref="AI67" ca="1">IF(ISNUMBER(SEARCH(INDIRECT(ADDRESS(ROW(AI67),MOD(AI$1,4)+1)),AI$2)),$E67,"")</f>
        <v/>
      </c>
      <c r="AJ67" s="26" t="str" cm="1">
        <f t="array" aca="1" ref="AJ67" ca="1">IF(ISNUMBER(SEARCH(INDIRECT(ADDRESS(ROW(AJ67),MOD(AJ$1,4)+1)),AJ$2)),$E67,"")</f>
        <v/>
      </c>
      <c r="AK67" s="26" t="str" cm="1">
        <f t="array" aca="1" ref="AK67" ca="1">IF(ISNUMBER(SEARCH(INDIRECT(ADDRESS(ROW(AK67),MOD(AK$1,4)+1)),AK$2)),$E67,"")</f>
        <v/>
      </c>
      <c r="AL67" s="26" t="str" cm="1">
        <f t="array" aca="1" ref="AL67" ca="1">IF(ISNUMBER(SEARCH(INDIRECT(ADDRESS(ROW(AL67),MOD(AL$1,4)+1)),AL$2)),$E67,"")</f>
        <v/>
      </c>
      <c r="AM67" s="26" t="str" cm="1">
        <f t="array" aca="1" ref="AM67" ca="1">IF(ISNUMBER(SEARCH(INDIRECT(ADDRESS(ROW(AM67),MOD(AM$1,4)+1)),AM$2)),$E67,"")</f>
        <v/>
      </c>
      <c r="AN67" s="26" t="str" cm="1">
        <f t="array" aca="1" ref="AN67" ca="1">IF(ISNUMBER(SEARCH(INDIRECT(ADDRESS(ROW(AN67),MOD(AN$1,4)+1)),AN$2)),$E67,"")</f>
        <v/>
      </c>
      <c r="AO67" s="26" t="str" cm="1">
        <f t="array" aca="1" ref="AO67" ca="1">IF(ISNUMBER(SEARCH(INDIRECT(ADDRESS(ROW(AO67),MOD(AO$1,4)+1)),AO$2)),$E67,"")</f>
        <v/>
      </c>
      <c r="AP67" s="26" t="str" cm="1">
        <f t="array" aca="1" ref="AP67" ca="1">IF(ISNUMBER(SEARCH(INDIRECT(ADDRESS(ROW(AP67),MOD(AP$1,4)+1)),AP$2)),$E67,"")</f>
        <v/>
      </c>
      <c r="AQ67" s="31" t="str" cm="1">
        <f t="array" aca="1" ref="AQ67" ca="1">IF(ISNUMBER(SEARCH(INDIRECT(ADDRESS(ROW(AQ67),MOD(AQ$1,4)+1)),AQ$2)),$E67,"")</f>
        <v/>
      </c>
      <c r="AT67" t="e">
        <f>IF(VLOOKUP($E67,'Formatted NEW'!$B$2:$F$202,5,FALSE)=VLOOKUP($E67,'Formatted NEW'!$B$2:$F$202,8,FALSE),$E67,"")</f>
        <v>#N/A</v>
      </c>
      <c r="AW67" t="e">
        <f>IF(VLOOKUP($E67,'Formatted NEW'!$B$2:$F$202,5,FALSE)=VLOOKUP($E67,'Formatted NEW'!$B$2:$F$202,11,FALSE),$E67,"")</f>
        <v>#N/A</v>
      </c>
      <c r="AZ67" t="e">
        <f>IF(VLOOKUP($E67,'Formatted NEW'!$B$2:$F$202,5,FALSE)=VLOOKUP($E67,'Formatted NEW'!$B$2:$F$202,14,FALSE),$E67,"")</f>
        <v>#N/A</v>
      </c>
      <c r="BC67" t="str">
        <f>VLOOKUP($E67,'Formatted NEW'!$M$2:$T$202,6,FALSE)</f>
        <v>ORTHO_BOTH</v>
      </c>
      <c r="BD67" s="26" t="e">
        <f>VLOOKUP(VLOOKUP(VLOOKUP($E67,'Formatted NEW'!$M$2:$O$202,2,FALSE),'Formatted NEW'!$D$2:$F$202,7,FALSE),'Formatted NEW'!$D$2:$O$202,12,FALSE)</f>
        <v>#REF!</v>
      </c>
      <c r="BE67" t="e">
        <f>VLOOKUP($BD67,'Formatted NEW'!$M$2:$T$202,5,FALSE)</f>
        <v>#REF!</v>
      </c>
      <c r="BF67" s="26" t="e">
        <f t="shared" si="1"/>
        <v>#REF!</v>
      </c>
      <c r="BH67">
        <f>VLOOKUP($E67,'Formatted NEW'!$M$2:$T$202,4,FALSE)</f>
        <v>0</v>
      </c>
      <c r="BI67" s="26" t="e">
        <f>VLOOKUP(VLOOKUP(VLOOKUP($E67,'Formatted NEW'!$M$2:$O$202,2,FALSE),'Formatted NEW'!$D$2:$F$202,10,FALSE),'Formatted NEW'!$D$2:$O$202,12,FALSE)</f>
        <v>#REF!</v>
      </c>
      <c r="BJ67" t="e">
        <f>VLOOKUP($BI67,'Formatted NEW'!$M$2:$T$202,3,FALSE)</f>
        <v>#REF!</v>
      </c>
      <c r="BK67" s="26" t="e">
        <f t="shared" si="2"/>
        <v>#REF!</v>
      </c>
    </row>
    <row r="68" spans="1:63" x14ac:dyDescent="0.25">
      <c r="A68" t="str">
        <f>'Formatted NEW'!Q66</f>
        <v>DIAG_BOTH</v>
      </c>
      <c r="B68" t="str">
        <f>'Formatted NEW'!R66</f>
        <v>DIAG_BOTH</v>
      </c>
      <c r="C68" t="str">
        <f>'Formatted NEW'!S66</f>
        <v>EMPTY</v>
      </c>
      <c r="D68" t="str">
        <f>'Formatted NEW'!T66</f>
        <v>EMPTY</v>
      </c>
      <c r="E68" s="26">
        <f t="shared" ref="E68:E99" si="4">ROW(E68)-ROW(E$4)</f>
        <v>64</v>
      </c>
      <c r="H68" s="30" t="str" cm="1">
        <f t="array" aca="1" ref="H68" ca="1">IF(ISNUMBER(SEARCH(INDIRECT(ADDRESS(ROW(H68),MOD(H$1,4)+1)),H$2)),$E68,"")</f>
        <v/>
      </c>
      <c r="I68" s="26" t="str" cm="1">
        <f t="array" aca="1" ref="I68" ca="1">IF(ISNUMBER(SEARCH(INDIRECT(ADDRESS(ROW(I68),MOD(I$1,4)+1)),I$2)),$E68,"")</f>
        <v/>
      </c>
      <c r="J68" s="26" t="str" cm="1">
        <f t="array" aca="1" ref="J68" ca="1">IF(ISNUMBER(SEARCH(INDIRECT(ADDRESS(ROW(J68),MOD(J$1,4)+1)),J$2)),$E68,"")</f>
        <v/>
      </c>
      <c r="K68" s="26" t="str" cm="1">
        <f t="array" aca="1" ref="K68" ca="1">IF(ISNUMBER(SEARCH(INDIRECT(ADDRESS(ROW(K68),MOD(K$1,4)+1)),K$2)),$E68,"")</f>
        <v/>
      </c>
      <c r="L68" s="26" cm="1">
        <f t="array" aca="1" ref="L68" ca="1">IF(ISNUMBER(SEARCH(INDIRECT(ADDRESS(ROW(L68),MOD(L$1,4)+1)),L$2)),$E68,"")</f>
        <v>64</v>
      </c>
      <c r="M68" s="26" cm="1">
        <f t="array" aca="1" ref="M68" ca="1">IF(ISNUMBER(SEARCH(INDIRECT(ADDRESS(ROW(M68),MOD(M$1,4)+1)),M$2)),$E68,"")</f>
        <v>64</v>
      </c>
      <c r="N68" s="26" t="str" cm="1">
        <f t="array" aca="1" ref="N68" ca="1">IF(ISNUMBER(SEARCH(INDIRECT(ADDRESS(ROW(N68),MOD(N$1,4)+1)),N$2)),$E68,"")</f>
        <v/>
      </c>
      <c r="O68" s="26" t="str" cm="1">
        <f t="array" aca="1" ref="O68" ca="1">IF(ISNUMBER(SEARCH(INDIRECT(ADDRESS(ROW(O68),MOD(O$1,4)+1)),O$2)),$E68,"")</f>
        <v/>
      </c>
      <c r="P68" s="26" t="str" cm="1">
        <f t="array" aca="1" ref="P68" ca="1">IF(ISNUMBER(SEARCH(INDIRECT(ADDRESS(ROW(P68),MOD(P$1,4)+1)),P$2)),$E68,"")</f>
        <v/>
      </c>
      <c r="Q68" s="26" t="str" cm="1">
        <f t="array" aca="1" ref="Q68" ca="1">IF(ISNUMBER(SEARCH(INDIRECT(ADDRESS(ROW(Q68),MOD(Q$1,4)+1)),Q$2)),$E68,"")</f>
        <v/>
      </c>
      <c r="R68" s="26" t="str" cm="1">
        <f t="array" aca="1" ref="R68" ca="1">IF(ISNUMBER(SEARCH(INDIRECT(ADDRESS(ROW(R68),MOD(R$1,4)+1)),R$2)),$E68,"")</f>
        <v/>
      </c>
      <c r="S68" s="26" t="str" cm="1">
        <f t="array" aca="1" ref="S68" ca="1">IF(ISNUMBER(SEARCH(INDIRECT(ADDRESS(ROW(S68),MOD(S$1,4)+1)),S$2)),$E68,"")</f>
        <v/>
      </c>
      <c r="T68" s="26" t="str" cm="1">
        <f t="array" aca="1" ref="T68" ca="1">IF(ISNUMBER(SEARCH(INDIRECT(ADDRESS(ROW(T68),MOD(T$1,4)+1)),T$2)),$E68,"")</f>
        <v/>
      </c>
      <c r="U68" s="26" t="str" cm="1">
        <f t="array" aca="1" ref="U68" ca="1">IF(ISNUMBER(SEARCH(INDIRECT(ADDRESS(ROW(U68),MOD(U$1,4)+1)),U$2)),$E68,"")</f>
        <v/>
      </c>
      <c r="V68" s="26" t="str" cm="1">
        <f t="array" aca="1" ref="V68" ca="1">IF(ISNUMBER(SEARCH(INDIRECT(ADDRESS(ROW(V68),MOD(V$1,4)+1)),V$2)),$E68,"")</f>
        <v/>
      </c>
      <c r="W68" s="26" t="str" cm="1">
        <f t="array" aca="1" ref="W68" ca="1">IF(ISNUMBER(SEARCH(INDIRECT(ADDRESS(ROW(W68),MOD(W$1,4)+1)),W$2)),$E68,"")</f>
        <v/>
      </c>
      <c r="X68" s="26" t="str" cm="1">
        <f t="array" aca="1" ref="X68" ca="1">IF(ISNUMBER(SEARCH(INDIRECT(ADDRESS(ROW(X68),MOD(X$1,4)+1)),X$2)),$E68,"")</f>
        <v/>
      </c>
      <c r="Y68" s="26" t="str" cm="1">
        <f t="array" aca="1" ref="Y68" ca="1">IF(ISNUMBER(SEARCH(INDIRECT(ADDRESS(ROW(Y68),MOD(Y$1,4)+1)),Y$2)),$E68,"")</f>
        <v/>
      </c>
      <c r="Z68" s="26" t="str" cm="1">
        <f t="array" aca="1" ref="Z68" ca="1">IF(ISNUMBER(SEARCH(INDIRECT(ADDRESS(ROW(Z68),MOD(Z$1,4)+1)),Z$2)),$E68,"")</f>
        <v/>
      </c>
      <c r="AA68" s="26" t="str" cm="1">
        <f t="array" aca="1" ref="AA68" ca="1">IF(ISNUMBER(SEARCH(INDIRECT(ADDRESS(ROW(AA68),MOD(AA$1,4)+1)),AA$2)),$E68,"")</f>
        <v/>
      </c>
      <c r="AB68" s="26" t="str" cm="1">
        <f t="array" aca="1" ref="AB68" ca="1">IF(ISNUMBER(SEARCH(INDIRECT(ADDRESS(ROW(AB68),MOD(AB$1,4)+1)),AB$2)),$E68,"")</f>
        <v/>
      </c>
      <c r="AC68" s="26" t="str" cm="1">
        <f t="array" aca="1" ref="AC68" ca="1">IF(ISNUMBER(SEARCH(INDIRECT(ADDRESS(ROW(AC68),MOD(AC$1,4)+1)),AC$2)),$E68,"")</f>
        <v/>
      </c>
      <c r="AD68" s="26" t="str" cm="1">
        <f t="array" aca="1" ref="AD68" ca="1">IF(ISNUMBER(SEARCH(INDIRECT(ADDRESS(ROW(AD68),MOD(AD$1,4)+1)),AD$2)),$E68,"")</f>
        <v/>
      </c>
      <c r="AE68" s="26" t="str" cm="1">
        <f t="array" aca="1" ref="AE68" ca="1">IF(ISNUMBER(SEARCH(INDIRECT(ADDRESS(ROW(AE68),MOD(AE$1,4)+1)),AE$2)),$E68,"")</f>
        <v/>
      </c>
      <c r="AF68" s="26" t="str" cm="1">
        <f t="array" aca="1" ref="AF68" ca="1">IF(ISNUMBER(SEARCH(INDIRECT(ADDRESS(ROW(AF68),MOD(AF$1,4)+1)),AF$2)),$E68,"")</f>
        <v/>
      </c>
      <c r="AG68" s="26" t="str" cm="1">
        <f t="array" aca="1" ref="AG68" ca="1">IF(ISNUMBER(SEARCH(INDIRECT(ADDRESS(ROW(AG68),MOD(AG$1,4)+1)),AG$2)),$E68,"")</f>
        <v/>
      </c>
      <c r="AH68" s="26" t="str" cm="1">
        <f t="array" aca="1" ref="AH68" ca="1">IF(ISNUMBER(SEARCH(INDIRECT(ADDRESS(ROW(AH68),MOD(AH$1,4)+1)),AH$2)),$E68,"")</f>
        <v/>
      </c>
      <c r="AI68" s="26" t="str" cm="1">
        <f t="array" aca="1" ref="AI68" ca="1">IF(ISNUMBER(SEARCH(INDIRECT(ADDRESS(ROW(AI68),MOD(AI$1,4)+1)),AI$2)),$E68,"")</f>
        <v/>
      </c>
      <c r="AJ68" s="26" t="str" cm="1">
        <f t="array" aca="1" ref="AJ68" ca="1">IF(ISNUMBER(SEARCH(INDIRECT(ADDRESS(ROW(AJ68),MOD(AJ$1,4)+1)),AJ$2)),$E68,"")</f>
        <v/>
      </c>
      <c r="AK68" s="26" t="str" cm="1">
        <f t="array" aca="1" ref="AK68" ca="1">IF(ISNUMBER(SEARCH(INDIRECT(ADDRESS(ROW(AK68),MOD(AK$1,4)+1)),AK$2)),$E68,"")</f>
        <v/>
      </c>
      <c r="AL68" s="26" t="str" cm="1">
        <f t="array" aca="1" ref="AL68" ca="1">IF(ISNUMBER(SEARCH(INDIRECT(ADDRESS(ROW(AL68),MOD(AL$1,4)+1)),AL$2)),$E68,"")</f>
        <v/>
      </c>
      <c r="AM68" s="26" t="str" cm="1">
        <f t="array" aca="1" ref="AM68" ca="1">IF(ISNUMBER(SEARCH(INDIRECT(ADDRESS(ROW(AM68),MOD(AM$1,4)+1)),AM$2)),$E68,"")</f>
        <v/>
      </c>
      <c r="AN68" s="26" t="str" cm="1">
        <f t="array" aca="1" ref="AN68" ca="1">IF(ISNUMBER(SEARCH(INDIRECT(ADDRESS(ROW(AN68),MOD(AN$1,4)+1)),AN$2)),$E68,"")</f>
        <v/>
      </c>
      <c r="AO68" s="26" t="str" cm="1">
        <f t="array" aca="1" ref="AO68" ca="1">IF(ISNUMBER(SEARCH(INDIRECT(ADDRESS(ROW(AO68),MOD(AO$1,4)+1)),AO$2)),$E68,"")</f>
        <v/>
      </c>
      <c r="AP68" s="26" t="str" cm="1">
        <f t="array" aca="1" ref="AP68" ca="1">IF(ISNUMBER(SEARCH(INDIRECT(ADDRESS(ROW(AP68),MOD(AP$1,4)+1)),AP$2)),$E68,"")</f>
        <v/>
      </c>
      <c r="AQ68" s="31" t="str" cm="1">
        <f t="array" aca="1" ref="AQ68" ca="1">IF(ISNUMBER(SEARCH(INDIRECT(ADDRESS(ROW(AQ68),MOD(AQ$1,4)+1)),AQ$2)),$E68,"")</f>
        <v/>
      </c>
      <c r="AT68" t="e">
        <f>IF(VLOOKUP($E68,'Formatted NEW'!$B$2:$F$202,5,FALSE)=VLOOKUP($E68,'Formatted NEW'!$B$2:$F$202,8,FALSE),$E68,"")</f>
        <v>#N/A</v>
      </c>
      <c r="AW68" t="e">
        <f>IF(VLOOKUP($E68,'Formatted NEW'!$B$2:$F$202,5,FALSE)=VLOOKUP($E68,'Formatted NEW'!$B$2:$F$202,11,FALSE),$E68,"")</f>
        <v>#N/A</v>
      </c>
      <c r="AZ68" t="e">
        <f>IF(VLOOKUP($E68,'Formatted NEW'!$B$2:$F$202,5,FALSE)=VLOOKUP($E68,'Formatted NEW'!$B$2:$F$202,14,FALSE),$E68,"")</f>
        <v>#N/A</v>
      </c>
      <c r="BC68" t="str">
        <f>VLOOKUP($E68,'Formatted NEW'!$M$2:$T$202,6,FALSE)</f>
        <v>DIAG_BOTH</v>
      </c>
      <c r="BD68" s="26" t="e">
        <f>VLOOKUP(VLOOKUP(VLOOKUP($E68,'Formatted NEW'!$M$2:$O$202,2,FALSE),'Formatted NEW'!$D$2:$F$202,7,FALSE),'Formatted NEW'!$D$2:$O$202,12,FALSE)</f>
        <v>#REF!</v>
      </c>
      <c r="BE68" t="e">
        <f>VLOOKUP($BD68,'Formatted NEW'!$M$2:$T$202,5,FALSE)</f>
        <v>#REF!</v>
      </c>
      <c r="BF68" s="26" t="e">
        <f t="shared" si="1"/>
        <v>#REF!</v>
      </c>
      <c r="BH68">
        <f>VLOOKUP($E68,'Formatted NEW'!$M$2:$T$202,4,FALSE)</f>
        <v>0</v>
      </c>
      <c r="BI68" s="26" t="e">
        <f>VLOOKUP(VLOOKUP(VLOOKUP($E68,'Formatted NEW'!$M$2:$O$202,2,FALSE),'Formatted NEW'!$D$2:$F$202,10,FALSE),'Formatted NEW'!$D$2:$O$202,12,FALSE)</f>
        <v>#REF!</v>
      </c>
      <c r="BJ68" t="e">
        <f>VLOOKUP($BI68,'Formatted NEW'!$M$2:$T$202,3,FALSE)</f>
        <v>#REF!</v>
      </c>
      <c r="BK68" s="26" t="e">
        <f t="shared" si="2"/>
        <v>#REF!</v>
      </c>
    </row>
    <row r="69" spans="1:63" x14ac:dyDescent="0.25">
      <c r="A69" t="str">
        <f>'Formatted NEW'!Q67</f>
        <v>DIAG_BOTH</v>
      </c>
      <c r="B69" t="str">
        <f>'Formatted NEW'!R67</f>
        <v>DIAG_BOTH</v>
      </c>
      <c r="C69" t="str">
        <f>'Formatted NEW'!S67</f>
        <v>EMPTY</v>
      </c>
      <c r="D69" t="str">
        <f>'Formatted NEW'!T67</f>
        <v>DIAG_BOTH</v>
      </c>
      <c r="E69" s="26">
        <f t="shared" si="4"/>
        <v>65</v>
      </c>
      <c r="H69" s="30" t="str" cm="1">
        <f t="array" aca="1" ref="H69" ca="1">IF(ISNUMBER(SEARCH(INDIRECT(ADDRESS(ROW(H69),MOD(H$1,4)+1)),H$2)),$E69,"")</f>
        <v/>
      </c>
      <c r="I69" s="26" t="str" cm="1">
        <f t="array" aca="1" ref="I69" ca="1">IF(ISNUMBER(SEARCH(INDIRECT(ADDRESS(ROW(I69),MOD(I$1,4)+1)),I$2)),$E69,"")</f>
        <v/>
      </c>
      <c r="J69" s="26" t="str" cm="1">
        <f t="array" aca="1" ref="J69" ca="1">IF(ISNUMBER(SEARCH(INDIRECT(ADDRESS(ROW(J69),MOD(J$1,4)+1)),J$2)),$E69,"")</f>
        <v/>
      </c>
      <c r="K69" s="26" t="str" cm="1">
        <f t="array" aca="1" ref="K69" ca="1">IF(ISNUMBER(SEARCH(INDIRECT(ADDRESS(ROW(K69),MOD(K$1,4)+1)),K$2)),$E69,"")</f>
        <v/>
      </c>
      <c r="L69" s="26" cm="1">
        <f t="array" aca="1" ref="L69" ca="1">IF(ISNUMBER(SEARCH(INDIRECT(ADDRESS(ROW(L69),MOD(L$1,4)+1)),L$2)),$E69,"")</f>
        <v>65</v>
      </c>
      <c r="M69" s="26" cm="1">
        <f t="array" aca="1" ref="M69" ca="1">IF(ISNUMBER(SEARCH(INDIRECT(ADDRESS(ROW(M69),MOD(M$1,4)+1)),M$2)),$E69,"")</f>
        <v>65</v>
      </c>
      <c r="N69" s="26" t="str" cm="1">
        <f t="array" aca="1" ref="N69" ca="1">IF(ISNUMBER(SEARCH(INDIRECT(ADDRESS(ROW(N69),MOD(N$1,4)+1)),N$2)),$E69,"")</f>
        <v/>
      </c>
      <c r="O69" s="26" cm="1">
        <f t="array" aca="1" ref="O69" ca="1">IF(ISNUMBER(SEARCH(INDIRECT(ADDRESS(ROW(O69),MOD(O$1,4)+1)),O$2)),$E69,"")</f>
        <v>65</v>
      </c>
      <c r="P69" s="26" t="str" cm="1">
        <f t="array" aca="1" ref="P69" ca="1">IF(ISNUMBER(SEARCH(INDIRECT(ADDRESS(ROW(P69),MOD(P$1,4)+1)),P$2)),$E69,"")</f>
        <v/>
      </c>
      <c r="Q69" s="26" t="str" cm="1">
        <f t="array" aca="1" ref="Q69" ca="1">IF(ISNUMBER(SEARCH(INDIRECT(ADDRESS(ROW(Q69),MOD(Q$1,4)+1)),Q$2)),$E69,"")</f>
        <v/>
      </c>
      <c r="R69" s="26" t="str" cm="1">
        <f t="array" aca="1" ref="R69" ca="1">IF(ISNUMBER(SEARCH(INDIRECT(ADDRESS(ROW(R69),MOD(R$1,4)+1)),R$2)),$E69,"")</f>
        <v/>
      </c>
      <c r="S69" s="26" t="str" cm="1">
        <f t="array" aca="1" ref="S69" ca="1">IF(ISNUMBER(SEARCH(INDIRECT(ADDRESS(ROW(S69),MOD(S$1,4)+1)),S$2)),$E69,"")</f>
        <v/>
      </c>
      <c r="T69" s="26" t="str" cm="1">
        <f t="array" aca="1" ref="T69" ca="1">IF(ISNUMBER(SEARCH(INDIRECT(ADDRESS(ROW(T69),MOD(T$1,4)+1)),T$2)),$E69,"")</f>
        <v/>
      </c>
      <c r="U69" s="26" t="str" cm="1">
        <f t="array" aca="1" ref="U69" ca="1">IF(ISNUMBER(SEARCH(INDIRECT(ADDRESS(ROW(U69),MOD(U$1,4)+1)),U$2)),$E69,"")</f>
        <v/>
      </c>
      <c r="V69" s="26" t="str" cm="1">
        <f t="array" aca="1" ref="V69" ca="1">IF(ISNUMBER(SEARCH(INDIRECT(ADDRESS(ROW(V69),MOD(V$1,4)+1)),V$2)),$E69,"")</f>
        <v/>
      </c>
      <c r="W69" s="26" t="str" cm="1">
        <f t="array" aca="1" ref="W69" ca="1">IF(ISNUMBER(SEARCH(INDIRECT(ADDRESS(ROW(W69),MOD(W$1,4)+1)),W$2)),$E69,"")</f>
        <v/>
      </c>
      <c r="X69" s="26" t="str" cm="1">
        <f t="array" aca="1" ref="X69" ca="1">IF(ISNUMBER(SEARCH(INDIRECT(ADDRESS(ROW(X69),MOD(X$1,4)+1)),X$2)),$E69,"")</f>
        <v/>
      </c>
      <c r="Y69" s="26" t="str" cm="1">
        <f t="array" aca="1" ref="Y69" ca="1">IF(ISNUMBER(SEARCH(INDIRECT(ADDRESS(ROW(Y69),MOD(Y$1,4)+1)),Y$2)),$E69,"")</f>
        <v/>
      </c>
      <c r="Z69" s="26" t="str" cm="1">
        <f t="array" aca="1" ref="Z69" ca="1">IF(ISNUMBER(SEARCH(INDIRECT(ADDRESS(ROW(Z69),MOD(Z$1,4)+1)),Z$2)),$E69,"")</f>
        <v/>
      </c>
      <c r="AA69" s="26" t="str" cm="1">
        <f t="array" aca="1" ref="AA69" ca="1">IF(ISNUMBER(SEARCH(INDIRECT(ADDRESS(ROW(AA69),MOD(AA$1,4)+1)),AA$2)),$E69,"")</f>
        <v/>
      </c>
      <c r="AB69" s="26" t="str" cm="1">
        <f t="array" aca="1" ref="AB69" ca="1">IF(ISNUMBER(SEARCH(INDIRECT(ADDRESS(ROW(AB69),MOD(AB$1,4)+1)),AB$2)),$E69,"")</f>
        <v/>
      </c>
      <c r="AC69" s="26" t="str" cm="1">
        <f t="array" aca="1" ref="AC69" ca="1">IF(ISNUMBER(SEARCH(INDIRECT(ADDRESS(ROW(AC69),MOD(AC$1,4)+1)),AC$2)),$E69,"")</f>
        <v/>
      </c>
      <c r="AD69" s="26" t="str" cm="1">
        <f t="array" aca="1" ref="AD69" ca="1">IF(ISNUMBER(SEARCH(INDIRECT(ADDRESS(ROW(AD69),MOD(AD$1,4)+1)),AD$2)),$E69,"")</f>
        <v/>
      </c>
      <c r="AE69" s="26" t="str" cm="1">
        <f t="array" aca="1" ref="AE69" ca="1">IF(ISNUMBER(SEARCH(INDIRECT(ADDRESS(ROW(AE69),MOD(AE$1,4)+1)),AE$2)),$E69,"")</f>
        <v/>
      </c>
      <c r="AF69" s="26" t="str" cm="1">
        <f t="array" aca="1" ref="AF69" ca="1">IF(ISNUMBER(SEARCH(INDIRECT(ADDRESS(ROW(AF69),MOD(AF$1,4)+1)),AF$2)),$E69,"")</f>
        <v/>
      </c>
      <c r="AG69" s="26" t="str" cm="1">
        <f t="array" aca="1" ref="AG69" ca="1">IF(ISNUMBER(SEARCH(INDIRECT(ADDRESS(ROW(AG69),MOD(AG$1,4)+1)),AG$2)),$E69,"")</f>
        <v/>
      </c>
      <c r="AH69" s="26" t="str" cm="1">
        <f t="array" aca="1" ref="AH69" ca="1">IF(ISNUMBER(SEARCH(INDIRECT(ADDRESS(ROW(AH69),MOD(AH$1,4)+1)),AH$2)),$E69,"")</f>
        <v/>
      </c>
      <c r="AI69" s="26" t="str" cm="1">
        <f t="array" aca="1" ref="AI69" ca="1">IF(ISNUMBER(SEARCH(INDIRECT(ADDRESS(ROW(AI69),MOD(AI$1,4)+1)),AI$2)),$E69,"")</f>
        <v/>
      </c>
      <c r="AJ69" s="26" t="str" cm="1">
        <f t="array" aca="1" ref="AJ69" ca="1">IF(ISNUMBER(SEARCH(INDIRECT(ADDRESS(ROW(AJ69),MOD(AJ$1,4)+1)),AJ$2)),$E69,"")</f>
        <v/>
      </c>
      <c r="AK69" s="26" t="str" cm="1">
        <f t="array" aca="1" ref="AK69" ca="1">IF(ISNUMBER(SEARCH(INDIRECT(ADDRESS(ROW(AK69),MOD(AK$1,4)+1)),AK$2)),$E69,"")</f>
        <v/>
      </c>
      <c r="AL69" s="26" t="str" cm="1">
        <f t="array" aca="1" ref="AL69" ca="1">IF(ISNUMBER(SEARCH(INDIRECT(ADDRESS(ROW(AL69),MOD(AL$1,4)+1)),AL$2)),$E69,"")</f>
        <v/>
      </c>
      <c r="AM69" s="26" t="str" cm="1">
        <f t="array" aca="1" ref="AM69" ca="1">IF(ISNUMBER(SEARCH(INDIRECT(ADDRESS(ROW(AM69),MOD(AM$1,4)+1)),AM$2)),$E69,"")</f>
        <v/>
      </c>
      <c r="AN69" s="26" t="str" cm="1">
        <f t="array" aca="1" ref="AN69" ca="1">IF(ISNUMBER(SEARCH(INDIRECT(ADDRESS(ROW(AN69),MOD(AN$1,4)+1)),AN$2)),$E69,"")</f>
        <v/>
      </c>
      <c r="AO69" s="26" t="str" cm="1">
        <f t="array" aca="1" ref="AO69" ca="1">IF(ISNUMBER(SEARCH(INDIRECT(ADDRESS(ROW(AO69),MOD(AO$1,4)+1)),AO$2)),$E69,"")</f>
        <v/>
      </c>
      <c r="AP69" s="26" t="str" cm="1">
        <f t="array" aca="1" ref="AP69" ca="1">IF(ISNUMBER(SEARCH(INDIRECT(ADDRESS(ROW(AP69),MOD(AP$1,4)+1)),AP$2)),$E69,"")</f>
        <v/>
      </c>
      <c r="AQ69" s="31" t="str" cm="1">
        <f t="array" aca="1" ref="AQ69" ca="1">IF(ISNUMBER(SEARCH(INDIRECT(ADDRESS(ROW(AQ69),MOD(AQ$1,4)+1)),AQ$2)),$E69,"")</f>
        <v/>
      </c>
      <c r="AT69" t="e">
        <f>IF(VLOOKUP($E69,'Formatted NEW'!$B$2:$F$202,5,FALSE)=VLOOKUP($E69,'Formatted NEW'!$B$2:$F$202,8,FALSE),$E69,"")</f>
        <v>#N/A</v>
      </c>
      <c r="AW69" t="e">
        <f>IF(VLOOKUP($E69,'Formatted NEW'!$B$2:$F$202,5,FALSE)=VLOOKUP($E69,'Formatted NEW'!$B$2:$F$202,11,FALSE),$E69,"")</f>
        <v>#N/A</v>
      </c>
      <c r="AZ69" t="e">
        <f>IF(VLOOKUP($E69,'Formatted NEW'!$B$2:$F$202,5,FALSE)=VLOOKUP($E69,'Formatted NEW'!$B$2:$F$202,14,FALSE),$E69,"")</f>
        <v>#N/A</v>
      </c>
      <c r="BC69" t="str">
        <f>VLOOKUP($E69,'Formatted NEW'!$M$2:$T$202,6,FALSE)</f>
        <v>DIAG_BOTH</v>
      </c>
      <c r="BD69" s="26" t="e">
        <f>VLOOKUP(VLOOKUP(VLOOKUP($E69,'Formatted NEW'!$M$2:$O$202,2,FALSE),'Formatted NEW'!$D$2:$F$202,7,FALSE),'Formatted NEW'!$D$2:$O$202,12,FALSE)</f>
        <v>#REF!</v>
      </c>
      <c r="BE69" t="e">
        <f>VLOOKUP($BD69,'Formatted NEW'!$M$2:$T$202,5,FALSE)</f>
        <v>#REF!</v>
      </c>
      <c r="BF69" s="26" t="e">
        <f t="shared" ref="BF69:BF132" si="5">IF(BC69=BE69,$E69,"")</f>
        <v>#REF!</v>
      </c>
      <c r="BH69">
        <f>VLOOKUP($E69,'Formatted NEW'!$M$2:$T$202,4,FALSE)</f>
        <v>0</v>
      </c>
      <c r="BI69" s="26" t="e">
        <f>VLOOKUP(VLOOKUP(VLOOKUP($E69,'Formatted NEW'!$M$2:$O$202,2,FALSE),'Formatted NEW'!$D$2:$F$202,10,FALSE),'Formatted NEW'!$D$2:$O$202,12,FALSE)</f>
        <v>#REF!</v>
      </c>
      <c r="BJ69" t="e">
        <f>VLOOKUP($BI69,'Formatted NEW'!$M$2:$T$202,3,FALSE)</f>
        <v>#REF!</v>
      </c>
      <c r="BK69" s="26" t="e">
        <f t="shared" ref="BK69:BK132" si="6">IF(BH69=BJ69,$E69,"")</f>
        <v>#REF!</v>
      </c>
    </row>
    <row r="70" spans="1:63" x14ac:dyDescent="0.25">
      <c r="A70" t="str">
        <f>'Formatted NEW'!Q68</f>
        <v>DIAG_BOTH</v>
      </c>
      <c r="B70" t="str">
        <f>'Formatted NEW'!R68</f>
        <v>DIAG_BOTH</v>
      </c>
      <c r="C70" t="str">
        <f>'Formatted NEW'!S68</f>
        <v>EMPTY</v>
      </c>
      <c r="D70" t="str">
        <f>'Formatted NEW'!T68</f>
        <v>ORTHO_BOTH</v>
      </c>
      <c r="E70" s="26">
        <f t="shared" si="4"/>
        <v>66</v>
      </c>
      <c r="H70" s="30" t="str" cm="1">
        <f t="array" aca="1" ref="H70" ca="1">IF(ISNUMBER(SEARCH(INDIRECT(ADDRESS(ROW(H70),MOD(H$1,4)+1)),H$2)),$E70,"")</f>
        <v/>
      </c>
      <c r="I70" s="26" t="str" cm="1">
        <f t="array" aca="1" ref="I70" ca="1">IF(ISNUMBER(SEARCH(INDIRECT(ADDRESS(ROW(I70),MOD(I$1,4)+1)),I$2)),$E70,"")</f>
        <v/>
      </c>
      <c r="J70" s="26" t="str" cm="1">
        <f t="array" aca="1" ref="J70" ca="1">IF(ISNUMBER(SEARCH(INDIRECT(ADDRESS(ROW(J70),MOD(J$1,4)+1)),J$2)),$E70,"")</f>
        <v/>
      </c>
      <c r="K70" s="26" t="str" cm="1">
        <f t="array" aca="1" ref="K70" ca="1">IF(ISNUMBER(SEARCH(INDIRECT(ADDRESS(ROW(K70),MOD(K$1,4)+1)),K$2)),$E70,"")</f>
        <v/>
      </c>
      <c r="L70" s="26" cm="1">
        <f t="array" aca="1" ref="L70" ca="1">IF(ISNUMBER(SEARCH(INDIRECT(ADDRESS(ROW(L70),MOD(L$1,4)+1)),L$2)),$E70,"")</f>
        <v>66</v>
      </c>
      <c r="M70" s="26" cm="1">
        <f t="array" aca="1" ref="M70" ca="1">IF(ISNUMBER(SEARCH(INDIRECT(ADDRESS(ROW(M70),MOD(M$1,4)+1)),M$2)),$E70,"")</f>
        <v>66</v>
      </c>
      <c r="N70" s="26" t="str" cm="1">
        <f t="array" aca="1" ref="N70" ca="1">IF(ISNUMBER(SEARCH(INDIRECT(ADDRESS(ROW(N70),MOD(N$1,4)+1)),N$2)),$E70,"")</f>
        <v/>
      </c>
      <c r="O70" s="26" t="str" cm="1">
        <f t="array" aca="1" ref="O70" ca="1">IF(ISNUMBER(SEARCH(INDIRECT(ADDRESS(ROW(O70),MOD(O$1,4)+1)),O$2)),$E70,"")</f>
        <v/>
      </c>
      <c r="P70" s="26" t="str" cm="1">
        <f t="array" aca="1" ref="P70" ca="1">IF(ISNUMBER(SEARCH(INDIRECT(ADDRESS(ROW(P70),MOD(P$1,4)+1)),P$2)),$E70,"")</f>
        <v/>
      </c>
      <c r="Q70" s="26" t="str" cm="1">
        <f t="array" aca="1" ref="Q70" ca="1">IF(ISNUMBER(SEARCH(INDIRECT(ADDRESS(ROW(Q70),MOD(Q$1,4)+1)),Q$2)),$E70,"")</f>
        <v/>
      </c>
      <c r="R70" s="26" t="str" cm="1">
        <f t="array" aca="1" ref="R70" ca="1">IF(ISNUMBER(SEARCH(INDIRECT(ADDRESS(ROW(R70),MOD(R$1,4)+1)),R$2)),$E70,"")</f>
        <v/>
      </c>
      <c r="S70" s="26" cm="1">
        <f t="array" aca="1" ref="S70" ca="1">IF(ISNUMBER(SEARCH(INDIRECT(ADDRESS(ROW(S70),MOD(S$1,4)+1)),S$2)),$E70,"")</f>
        <v>66</v>
      </c>
      <c r="T70" s="26" t="str" cm="1">
        <f t="array" aca="1" ref="T70" ca="1">IF(ISNUMBER(SEARCH(INDIRECT(ADDRESS(ROW(T70),MOD(T$1,4)+1)),T$2)),$E70,"")</f>
        <v/>
      </c>
      <c r="U70" s="26" t="str" cm="1">
        <f t="array" aca="1" ref="U70" ca="1">IF(ISNUMBER(SEARCH(INDIRECT(ADDRESS(ROW(U70),MOD(U$1,4)+1)),U$2)),$E70,"")</f>
        <v/>
      </c>
      <c r="V70" s="26" t="str" cm="1">
        <f t="array" aca="1" ref="V70" ca="1">IF(ISNUMBER(SEARCH(INDIRECT(ADDRESS(ROW(V70),MOD(V$1,4)+1)),V$2)),$E70,"")</f>
        <v/>
      </c>
      <c r="W70" s="26" t="str" cm="1">
        <f t="array" aca="1" ref="W70" ca="1">IF(ISNUMBER(SEARCH(INDIRECT(ADDRESS(ROW(W70),MOD(W$1,4)+1)),W$2)),$E70,"")</f>
        <v/>
      </c>
      <c r="X70" s="26" t="str" cm="1">
        <f t="array" aca="1" ref="X70" ca="1">IF(ISNUMBER(SEARCH(INDIRECT(ADDRESS(ROW(X70),MOD(X$1,4)+1)),X$2)),$E70,"")</f>
        <v/>
      </c>
      <c r="Y70" s="26" t="str" cm="1">
        <f t="array" aca="1" ref="Y70" ca="1">IF(ISNUMBER(SEARCH(INDIRECT(ADDRESS(ROW(Y70),MOD(Y$1,4)+1)),Y$2)),$E70,"")</f>
        <v/>
      </c>
      <c r="Z70" s="26" t="str" cm="1">
        <f t="array" aca="1" ref="Z70" ca="1">IF(ISNUMBER(SEARCH(INDIRECT(ADDRESS(ROW(Z70),MOD(Z$1,4)+1)),Z$2)),$E70,"")</f>
        <v/>
      </c>
      <c r="AA70" s="26" t="str" cm="1">
        <f t="array" aca="1" ref="AA70" ca="1">IF(ISNUMBER(SEARCH(INDIRECT(ADDRESS(ROW(AA70),MOD(AA$1,4)+1)),AA$2)),$E70,"")</f>
        <v/>
      </c>
      <c r="AB70" s="26" t="str" cm="1">
        <f t="array" aca="1" ref="AB70" ca="1">IF(ISNUMBER(SEARCH(INDIRECT(ADDRESS(ROW(AB70),MOD(AB$1,4)+1)),AB$2)),$E70,"")</f>
        <v/>
      </c>
      <c r="AC70" s="26" t="str" cm="1">
        <f t="array" aca="1" ref="AC70" ca="1">IF(ISNUMBER(SEARCH(INDIRECT(ADDRESS(ROW(AC70),MOD(AC$1,4)+1)),AC$2)),$E70,"")</f>
        <v/>
      </c>
      <c r="AD70" s="26" t="str" cm="1">
        <f t="array" aca="1" ref="AD70" ca="1">IF(ISNUMBER(SEARCH(INDIRECT(ADDRESS(ROW(AD70),MOD(AD$1,4)+1)),AD$2)),$E70,"")</f>
        <v/>
      </c>
      <c r="AE70" s="26" t="str" cm="1">
        <f t="array" aca="1" ref="AE70" ca="1">IF(ISNUMBER(SEARCH(INDIRECT(ADDRESS(ROW(AE70),MOD(AE$1,4)+1)),AE$2)),$E70,"")</f>
        <v/>
      </c>
      <c r="AF70" s="26" t="str" cm="1">
        <f t="array" aca="1" ref="AF70" ca="1">IF(ISNUMBER(SEARCH(INDIRECT(ADDRESS(ROW(AF70),MOD(AF$1,4)+1)),AF$2)),$E70,"")</f>
        <v/>
      </c>
      <c r="AG70" s="26" t="str" cm="1">
        <f t="array" aca="1" ref="AG70" ca="1">IF(ISNUMBER(SEARCH(INDIRECT(ADDRESS(ROW(AG70),MOD(AG$1,4)+1)),AG$2)),$E70,"")</f>
        <v/>
      </c>
      <c r="AH70" s="26" t="str" cm="1">
        <f t="array" aca="1" ref="AH70" ca="1">IF(ISNUMBER(SEARCH(INDIRECT(ADDRESS(ROW(AH70),MOD(AH$1,4)+1)),AH$2)),$E70,"")</f>
        <v/>
      </c>
      <c r="AI70" s="26" t="str" cm="1">
        <f t="array" aca="1" ref="AI70" ca="1">IF(ISNUMBER(SEARCH(INDIRECT(ADDRESS(ROW(AI70),MOD(AI$1,4)+1)),AI$2)),$E70,"")</f>
        <v/>
      </c>
      <c r="AJ70" s="26" t="str" cm="1">
        <f t="array" aca="1" ref="AJ70" ca="1">IF(ISNUMBER(SEARCH(INDIRECT(ADDRESS(ROW(AJ70),MOD(AJ$1,4)+1)),AJ$2)),$E70,"")</f>
        <v/>
      </c>
      <c r="AK70" s="26" t="str" cm="1">
        <f t="array" aca="1" ref="AK70" ca="1">IF(ISNUMBER(SEARCH(INDIRECT(ADDRESS(ROW(AK70),MOD(AK$1,4)+1)),AK$2)),$E70,"")</f>
        <v/>
      </c>
      <c r="AL70" s="26" t="str" cm="1">
        <f t="array" aca="1" ref="AL70" ca="1">IF(ISNUMBER(SEARCH(INDIRECT(ADDRESS(ROW(AL70),MOD(AL$1,4)+1)),AL$2)),$E70,"")</f>
        <v/>
      </c>
      <c r="AM70" s="26" t="str" cm="1">
        <f t="array" aca="1" ref="AM70" ca="1">IF(ISNUMBER(SEARCH(INDIRECT(ADDRESS(ROW(AM70),MOD(AM$1,4)+1)),AM$2)),$E70,"")</f>
        <v/>
      </c>
      <c r="AN70" s="26" t="str" cm="1">
        <f t="array" aca="1" ref="AN70" ca="1">IF(ISNUMBER(SEARCH(INDIRECT(ADDRESS(ROW(AN70),MOD(AN$1,4)+1)),AN$2)),$E70,"")</f>
        <v/>
      </c>
      <c r="AO70" s="26" t="str" cm="1">
        <f t="array" aca="1" ref="AO70" ca="1">IF(ISNUMBER(SEARCH(INDIRECT(ADDRESS(ROW(AO70),MOD(AO$1,4)+1)),AO$2)),$E70,"")</f>
        <v/>
      </c>
      <c r="AP70" s="26" t="str" cm="1">
        <f t="array" aca="1" ref="AP70" ca="1">IF(ISNUMBER(SEARCH(INDIRECT(ADDRESS(ROW(AP70),MOD(AP$1,4)+1)),AP$2)),$E70,"")</f>
        <v/>
      </c>
      <c r="AQ70" s="31" t="str" cm="1">
        <f t="array" aca="1" ref="AQ70" ca="1">IF(ISNUMBER(SEARCH(INDIRECT(ADDRESS(ROW(AQ70),MOD(AQ$1,4)+1)),AQ$2)),$E70,"")</f>
        <v/>
      </c>
      <c r="AT70" t="e">
        <f>IF(VLOOKUP($E70,'Formatted NEW'!$B$2:$F$202,5,FALSE)=VLOOKUP($E70,'Formatted NEW'!$B$2:$F$202,8,FALSE),$E70,"")</f>
        <v>#N/A</v>
      </c>
      <c r="AW70" t="e">
        <f>IF(VLOOKUP($E70,'Formatted NEW'!$B$2:$F$202,5,FALSE)=VLOOKUP($E70,'Formatted NEW'!$B$2:$F$202,11,FALSE),$E70,"")</f>
        <v>#N/A</v>
      </c>
      <c r="AZ70" t="e">
        <f>IF(VLOOKUP($E70,'Formatted NEW'!$B$2:$F$202,5,FALSE)=VLOOKUP($E70,'Formatted NEW'!$B$2:$F$202,14,FALSE),$E70,"")</f>
        <v>#N/A</v>
      </c>
      <c r="BC70" t="str">
        <f>VLOOKUP($E70,'Formatted NEW'!$M$2:$T$202,6,FALSE)</f>
        <v>DIAG_BOTH</v>
      </c>
      <c r="BD70" s="26" t="e">
        <f>VLOOKUP(VLOOKUP(VLOOKUP($E70,'Formatted NEW'!$M$2:$O$202,2,FALSE),'Formatted NEW'!$D$2:$F$202,7,FALSE),'Formatted NEW'!$D$2:$O$202,12,FALSE)</f>
        <v>#REF!</v>
      </c>
      <c r="BE70" t="e">
        <f>VLOOKUP($BD70,'Formatted NEW'!$M$2:$T$202,5,FALSE)</f>
        <v>#REF!</v>
      </c>
      <c r="BF70" s="26" t="e">
        <f t="shared" si="5"/>
        <v>#REF!</v>
      </c>
      <c r="BH70">
        <f>VLOOKUP($E70,'Formatted NEW'!$M$2:$T$202,4,FALSE)</f>
        <v>0</v>
      </c>
      <c r="BI70" s="26" t="e">
        <f>VLOOKUP(VLOOKUP(VLOOKUP($E70,'Formatted NEW'!$M$2:$O$202,2,FALSE),'Formatted NEW'!$D$2:$F$202,10,FALSE),'Formatted NEW'!$D$2:$O$202,12,FALSE)</f>
        <v>#REF!</v>
      </c>
      <c r="BJ70" t="e">
        <f>VLOOKUP($BI70,'Formatted NEW'!$M$2:$T$202,3,FALSE)</f>
        <v>#REF!</v>
      </c>
      <c r="BK70" s="26" t="e">
        <f t="shared" si="6"/>
        <v>#REF!</v>
      </c>
    </row>
    <row r="71" spans="1:63" x14ac:dyDescent="0.25">
      <c r="A71" t="str">
        <f>'Formatted NEW'!Q69</f>
        <v>DIAG_BOTH</v>
      </c>
      <c r="B71" t="str">
        <f>'Formatted NEW'!R69</f>
        <v>EMPTY</v>
      </c>
      <c r="C71" t="str">
        <f>'Formatted NEW'!S69</f>
        <v>DIAG_BOTH</v>
      </c>
      <c r="D71" t="str">
        <f>'Formatted NEW'!T69</f>
        <v>EMPTY</v>
      </c>
      <c r="E71" s="26">
        <f t="shared" si="4"/>
        <v>67</v>
      </c>
      <c r="H71" s="30" t="str" cm="1">
        <f t="array" aca="1" ref="H71" ca="1">IF(ISNUMBER(SEARCH(INDIRECT(ADDRESS(ROW(H71),MOD(H$1,4)+1)),H$2)),$E71,"")</f>
        <v/>
      </c>
      <c r="I71" s="26" t="str" cm="1">
        <f t="array" aca="1" ref="I71" ca="1">IF(ISNUMBER(SEARCH(INDIRECT(ADDRESS(ROW(I71),MOD(I$1,4)+1)),I$2)),$E71,"")</f>
        <v/>
      </c>
      <c r="J71" s="26" t="str" cm="1">
        <f t="array" aca="1" ref="J71" ca="1">IF(ISNUMBER(SEARCH(INDIRECT(ADDRESS(ROW(J71),MOD(J$1,4)+1)),J$2)),$E71,"")</f>
        <v/>
      </c>
      <c r="K71" s="26" t="str" cm="1">
        <f t="array" aca="1" ref="K71" ca="1">IF(ISNUMBER(SEARCH(INDIRECT(ADDRESS(ROW(K71),MOD(K$1,4)+1)),K$2)),$E71,"")</f>
        <v/>
      </c>
      <c r="L71" s="26" cm="1">
        <f t="array" aca="1" ref="L71" ca="1">IF(ISNUMBER(SEARCH(INDIRECT(ADDRESS(ROW(L71),MOD(L$1,4)+1)),L$2)),$E71,"")</f>
        <v>67</v>
      </c>
      <c r="M71" s="26" t="str" cm="1">
        <f t="array" aca="1" ref="M71" ca="1">IF(ISNUMBER(SEARCH(INDIRECT(ADDRESS(ROW(M71),MOD(M$1,4)+1)),M$2)),$E71,"")</f>
        <v/>
      </c>
      <c r="N71" s="26" cm="1">
        <f t="array" aca="1" ref="N71" ca="1">IF(ISNUMBER(SEARCH(INDIRECT(ADDRESS(ROW(N71),MOD(N$1,4)+1)),N$2)),$E71,"")</f>
        <v>67</v>
      </c>
      <c r="O71" s="26" t="str" cm="1">
        <f t="array" aca="1" ref="O71" ca="1">IF(ISNUMBER(SEARCH(INDIRECT(ADDRESS(ROW(O71),MOD(O$1,4)+1)),O$2)),$E71,"")</f>
        <v/>
      </c>
      <c r="P71" s="26" t="str" cm="1">
        <f t="array" aca="1" ref="P71" ca="1">IF(ISNUMBER(SEARCH(INDIRECT(ADDRESS(ROW(P71),MOD(P$1,4)+1)),P$2)),$E71,"")</f>
        <v/>
      </c>
      <c r="Q71" s="26" t="str" cm="1">
        <f t="array" aca="1" ref="Q71" ca="1">IF(ISNUMBER(SEARCH(INDIRECT(ADDRESS(ROW(Q71),MOD(Q$1,4)+1)),Q$2)),$E71,"")</f>
        <v/>
      </c>
      <c r="R71" s="26" t="str" cm="1">
        <f t="array" aca="1" ref="R71" ca="1">IF(ISNUMBER(SEARCH(INDIRECT(ADDRESS(ROW(R71),MOD(R$1,4)+1)),R$2)),$E71,"")</f>
        <v/>
      </c>
      <c r="S71" s="26" t="str" cm="1">
        <f t="array" aca="1" ref="S71" ca="1">IF(ISNUMBER(SEARCH(INDIRECT(ADDRESS(ROW(S71),MOD(S$1,4)+1)),S$2)),$E71,"")</f>
        <v/>
      </c>
      <c r="T71" s="26" t="str" cm="1">
        <f t="array" aca="1" ref="T71" ca="1">IF(ISNUMBER(SEARCH(INDIRECT(ADDRESS(ROW(T71),MOD(T$1,4)+1)),T$2)),$E71,"")</f>
        <v/>
      </c>
      <c r="U71" s="26" t="str" cm="1">
        <f t="array" aca="1" ref="U71" ca="1">IF(ISNUMBER(SEARCH(INDIRECT(ADDRESS(ROW(U71),MOD(U$1,4)+1)),U$2)),$E71,"")</f>
        <v/>
      </c>
      <c r="V71" s="26" t="str" cm="1">
        <f t="array" aca="1" ref="V71" ca="1">IF(ISNUMBER(SEARCH(INDIRECT(ADDRESS(ROW(V71),MOD(V$1,4)+1)),V$2)),$E71,"")</f>
        <v/>
      </c>
      <c r="W71" s="26" t="str" cm="1">
        <f t="array" aca="1" ref="W71" ca="1">IF(ISNUMBER(SEARCH(INDIRECT(ADDRESS(ROW(W71),MOD(W$1,4)+1)),W$2)),$E71,"")</f>
        <v/>
      </c>
      <c r="X71" s="26" t="str" cm="1">
        <f t="array" aca="1" ref="X71" ca="1">IF(ISNUMBER(SEARCH(INDIRECT(ADDRESS(ROW(X71),MOD(X$1,4)+1)),X$2)),$E71,"")</f>
        <v/>
      </c>
      <c r="Y71" s="26" t="str" cm="1">
        <f t="array" aca="1" ref="Y71" ca="1">IF(ISNUMBER(SEARCH(INDIRECT(ADDRESS(ROW(Y71),MOD(Y$1,4)+1)),Y$2)),$E71,"")</f>
        <v/>
      </c>
      <c r="Z71" s="26" t="str" cm="1">
        <f t="array" aca="1" ref="Z71" ca="1">IF(ISNUMBER(SEARCH(INDIRECT(ADDRESS(ROW(Z71),MOD(Z$1,4)+1)),Z$2)),$E71,"")</f>
        <v/>
      </c>
      <c r="AA71" s="26" t="str" cm="1">
        <f t="array" aca="1" ref="AA71" ca="1">IF(ISNUMBER(SEARCH(INDIRECT(ADDRESS(ROW(AA71),MOD(AA$1,4)+1)),AA$2)),$E71,"")</f>
        <v/>
      </c>
      <c r="AB71" s="26" t="str" cm="1">
        <f t="array" aca="1" ref="AB71" ca="1">IF(ISNUMBER(SEARCH(INDIRECT(ADDRESS(ROW(AB71),MOD(AB$1,4)+1)),AB$2)),$E71,"")</f>
        <v/>
      </c>
      <c r="AC71" s="26" t="str" cm="1">
        <f t="array" aca="1" ref="AC71" ca="1">IF(ISNUMBER(SEARCH(INDIRECT(ADDRESS(ROW(AC71),MOD(AC$1,4)+1)),AC$2)),$E71,"")</f>
        <v/>
      </c>
      <c r="AD71" s="26" t="str" cm="1">
        <f t="array" aca="1" ref="AD71" ca="1">IF(ISNUMBER(SEARCH(INDIRECT(ADDRESS(ROW(AD71),MOD(AD$1,4)+1)),AD$2)),$E71,"")</f>
        <v/>
      </c>
      <c r="AE71" s="26" t="str" cm="1">
        <f t="array" aca="1" ref="AE71" ca="1">IF(ISNUMBER(SEARCH(INDIRECT(ADDRESS(ROW(AE71),MOD(AE$1,4)+1)),AE$2)),$E71,"")</f>
        <v/>
      </c>
      <c r="AF71" s="26" t="str" cm="1">
        <f t="array" aca="1" ref="AF71" ca="1">IF(ISNUMBER(SEARCH(INDIRECT(ADDRESS(ROW(AF71),MOD(AF$1,4)+1)),AF$2)),$E71,"")</f>
        <v/>
      </c>
      <c r="AG71" s="26" t="str" cm="1">
        <f t="array" aca="1" ref="AG71" ca="1">IF(ISNUMBER(SEARCH(INDIRECT(ADDRESS(ROW(AG71),MOD(AG$1,4)+1)),AG$2)),$E71,"")</f>
        <v/>
      </c>
      <c r="AH71" s="26" t="str" cm="1">
        <f t="array" aca="1" ref="AH71" ca="1">IF(ISNUMBER(SEARCH(INDIRECT(ADDRESS(ROW(AH71),MOD(AH$1,4)+1)),AH$2)),$E71,"")</f>
        <v/>
      </c>
      <c r="AI71" s="26" t="str" cm="1">
        <f t="array" aca="1" ref="AI71" ca="1">IF(ISNUMBER(SEARCH(INDIRECT(ADDRESS(ROW(AI71),MOD(AI$1,4)+1)),AI$2)),$E71,"")</f>
        <v/>
      </c>
      <c r="AJ71" s="26" t="str" cm="1">
        <f t="array" aca="1" ref="AJ71" ca="1">IF(ISNUMBER(SEARCH(INDIRECT(ADDRESS(ROW(AJ71),MOD(AJ$1,4)+1)),AJ$2)),$E71,"")</f>
        <v/>
      </c>
      <c r="AK71" s="26" t="str" cm="1">
        <f t="array" aca="1" ref="AK71" ca="1">IF(ISNUMBER(SEARCH(INDIRECT(ADDRESS(ROW(AK71),MOD(AK$1,4)+1)),AK$2)),$E71,"")</f>
        <v/>
      </c>
      <c r="AL71" s="26" t="str" cm="1">
        <f t="array" aca="1" ref="AL71" ca="1">IF(ISNUMBER(SEARCH(INDIRECT(ADDRESS(ROW(AL71),MOD(AL$1,4)+1)),AL$2)),$E71,"")</f>
        <v/>
      </c>
      <c r="AM71" s="26" t="str" cm="1">
        <f t="array" aca="1" ref="AM71" ca="1">IF(ISNUMBER(SEARCH(INDIRECT(ADDRESS(ROW(AM71),MOD(AM$1,4)+1)),AM$2)),$E71,"")</f>
        <v/>
      </c>
      <c r="AN71" s="26" t="str" cm="1">
        <f t="array" aca="1" ref="AN71" ca="1">IF(ISNUMBER(SEARCH(INDIRECT(ADDRESS(ROW(AN71),MOD(AN$1,4)+1)),AN$2)),$E71,"")</f>
        <v/>
      </c>
      <c r="AO71" s="26" t="str" cm="1">
        <f t="array" aca="1" ref="AO71" ca="1">IF(ISNUMBER(SEARCH(INDIRECT(ADDRESS(ROW(AO71),MOD(AO$1,4)+1)),AO$2)),$E71,"")</f>
        <v/>
      </c>
      <c r="AP71" s="26" t="str" cm="1">
        <f t="array" aca="1" ref="AP71" ca="1">IF(ISNUMBER(SEARCH(INDIRECT(ADDRESS(ROW(AP71),MOD(AP$1,4)+1)),AP$2)),$E71,"")</f>
        <v/>
      </c>
      <c r="AQ71" s="31" t="str" cm="1">
        <f t="array" aca="1" ref="AQ71" ca="1">IF(ISNUMBER(SEARCH(INDIRECT(ADDRESS(ROW(AQ71),MOD(AQ$1,4)+1)),AQ$2)),$E71,"")</f>
        <v/>
      </c>
      <c r="AT71" t="e">
        <f>IF(VLOOKUP($E71,'Formatted NEW'!$B$2:$F$202,5,FALSE)=VLOOKUP($E71,'Formatted NEW'!$B$2:$F$202,8,FALSE),$E71,"")</f>
        <v>#N/A</v>
      </c>
      <c r="AW71" t="e">
        <f>IF(VLOOKUP($E71,'Formatted NEW'!$B$2:$F$202,5,FALSE)=VLOOKUP($E71,'Formatted NEW'!$B$2:$F$202,11,FALSE),$E71,"")</f>
        <v>#N/A</v>
      </c>
      <c r="AZ71" t="e">
        <f>IF(VLOOKUP($E71,'Formatted NEW'!$B$2:$F$202,5,FALSE)=VLOOKUP($E71,'Formatted NEW'!$B$2:$F$202,14,FALSE),$E71,"")</f>
        <v>#N/A</v>
      </c>
      <c r="BC71" t="str">
        <f>VLOOKUP($E71,'Formatted NEW'!$M$2:$T$202,6,FALSE)</f>
        <v>EMPTY</v>
      </c>
      <c r="BD71" s="26" t="e">
        <f>VLOOKUP(VLOOKUP(VLOOKUP($E71,'Formatted NEW'!$M$2:$O$202,2,FALSE),'Formatted NEW'!$D$2:$F$202,7,FALSE),'Formatted NEW'!$D$2:$O$202,12,FALSE)</f>
        <v>#REF!</v>
      </c>
      <c r="BE71" t="e">
        <f>VLOOKUP($BD71,'Formatted NEW'!$M$2:$T$202,5,FALSE)</f>
        <v>#REF!</v>
      </c>
      <c r="BF71" s="26" t="e">
        <f t="shared" si="5"/>
        <v>#REF!</v>
      </c>
      <c r="BH71">
        <f>VLOOKUP($E71,'Formatted NEW'!$M$2:$T$202,4,FALSE)</f>
        <v>0</v>
      </c>
      <c r="BI71" s="26" t="e">
        <f>VLOOKUP(VLOOKUP(VLOOKUP($E71,'Formatted NEW'!$M$2:$O$202,2,FALSE),'Formatted NEW'!$D$2:$F$202,10,FALSE),'Formatted NEW'!$D$2:$O$202,12,FALSE)</f>
        <v>#REF!</v>
      </c>
      <c r="BJ71" t="e">
        <f>VLOOKUP($BI71,'Formatted NEW'!$M$2:$T$202,3,FALSE)</f>
        <v>#REF!</v>
      </c>
      <c r="BK71" s="26" t="e">
        <f t="shared" si="6"/>
        <v>#REF!</v>
      </c>
    </row>
    <row r="72" spans="1:63" x14ac:dyDescent="0.25">
      <c r="A72" t="str">
        <f>'Formatted NEW'!Q70</f>
        <v>DIAG_BOTH</v>
      </c>
      <c r="B72" t="str">
        <f>'Formatted NEW'!R70</f>
        <v>DIAG_BOTH</v>
      </c>
      <c r="C72" t="str">
        <f>'Formatted NEW'!S70</f>
        <v>DIAG_BOTH</v>
      </c>
      <c r="D72" t="str">
        <f>'Formatted NEW'!T70</f>
        <v>EMPTY</v>
      </c>
      <c r="E72" s="26">
        <f t="shared" si="4"/>
        <v>68</v>
      </c>
      <c r="H72" s="30" t="str" cm="1">
        <f t="array" aca="1" ref="H72" ca="1">IF(ISNUMBER(SEARCH(INDIRECT(ADDRESS(ROW(H72),MOD(H$1,4)+1)),H$2)),$E72,"")</f>
        <v/>
      </c>
      <c r="I72" s="26" t="str" cm="1">
        <f t="array" aca="1" ref="I72" ca="1">IF(ISNUMBER(SEARCH(INDIRECT(ADDRESS(ROW(I72),MOD(I$1,4)+1)),I$2)),$E72,"")</f>
        <v/>
      </c>
      <c r="J72" s="26" t="str" cm="1">
        <f t="array" aca="1" ref="J72" ca="1">IF(ISNUMBER(SEARCH(INDIRECT(ADDRESS(ROW(J72),MOD(J$1,4)+1)),J$2)),$E72,"")</f>
        <v/>
      </c>
      <c r="K72" s="26" t="str" cm="1">
        <f t="array" aca="1" ref="K72" ca="1">IF(ISNUMBER(SEARCH(INDIRECT(ADDRESS(ROW(K72),MOD(K$1,4)+1)),K$2)),$E72,"")</f>
        <v/>
      </c>
      <c r="L72" s="26" cm="1">
        <f t="array" aca="1" ref="L72" ca="1">IF(ISNUMBER(SEARCH(INDIRECT(ADDRESS(ROW(L72),MOD(L$1,4)+1)),L$2)),$E72,"")</f>
        <v>68</v>
      </c>
      <c r="M72" s="26" cm="1">
        <f t="array" aca="1" ref="M72" ca="1">IF(ISNUMBER(SEARCH(INDIRECT(ADDRESS(ROW(M72),MOD(M$1,4)+1)),M$2)),$E72,"")</f>
        <v>68</v>
      </c>
      <c r="N72" s="26" cm="1">
        <f t="array" aca="1" ref="N72" ca="1">IF(ISNUMBER(SEARCH(INDIRECT(ADDRESS(ROW(N72),MOD(N$1,4)+1)),N$2)),$E72,"")</f>
        <v>68</v>
      </c>
      <c r="O72" s="26" t="str" cm="1">
        <f t="array" aca="1" ref="O72" ca="1">IF(ISNUMBER(SEARCH(INDIRECT(ADDRESS(ROW(O72),MOD(O$1,4)+1)),O$2)),$E72,"")</f>
        <v/>
      </c>
      <c r="P72" s="26" t="str" cm="1">
        <f t="array" aca="1" ref="P72" ca="1">IF(ISNUMBER(SEARCH(INDIRECT(ADDRESS(ROW(P72),MOD(P$1,4)+1)),P$2)),$E72,"")</f>
        <v/>
      </c>
      <c r="Q72" s="26" t="str" cm="1">
        <f t="array" aca="1" ref="Q72" ca="1">IF(ISNUMBER(SEARCH(INDIRECT(ADDRESS(ROW(Q72),MOD(Q$1,4)+1)),Q$2)),$E72,"")</f>
        <v/>
      </c>
      <c r="R72" s="26" t="str" cm="1">
        <f t="array" aca="1" ref="R72" ca="1">IF(ISNUMBER(SEARCH(INDIRECT(ADDRESS(ROW(R72),MOD(R$1,4)+1)),R$2)),$E72,"")</f>
        <v/>
      </c>
      <c r="S72" s="26" t="str" cm="1">
        <f t="array" aca="1" ref="S72" ca="1">IF(ISNUMBER(SEARCH(INDIRECT(ADDRESS(ROW(S72),MOD(S$1,4)+1)),S$2)),$E72,"")</f>
        <v/>
      </c>
      <c r="T72" s="26" t="str" cm="1">
        <f t="array" aca="1" ref="T72" ca="1">IF(ISNUMBER(SEARCH(INDIRECT(ADDRESS(ROW(T72),MOD(T$1,4)+1)),T$2)),$E72,"")</f>
        <v/>
      </c>
      <c r="U72" s="26" t="str" cm="1">
        <f t="array" aca="1" ref="U72" ca="1">IF(ISNUMBER(SEARCH(INDIRECT(ADDRESS(ROW(U72),MOD(U$1,4)+1)),U$2)),$E72,"")</f>
        <v/>
      </c>
      <c r="V72" s="26" t="str" cm="1">
        <f t="array" aca="1" ref="V72" ca="1">IF(ISNUMBER(SEARCH(INDIRECT(ADDRESS(ROW(V72),MOD(V$1,4)+1)),V$2)),$E72,"")</f>
        <v/>
      </c>
      <c r="W72" s="26" t="str" cm="1">
        <f t="array" aca="1" ref="W72" ca="1">IF(ISNUMBER(SEARCH(INDIRECT(ADDRESS(ROW(W72),MOD(W$1,4)+1)),W$2)),$E72,"")</f>
        <v/>
      </c>
      <c r="X72" s="26" t="str" cm="1">
        <f t="array" aca="1" ref="X72" ca="1">IF(ISNUMBER(SEARCH(INDIRECT(ADDRESS(ROW(X72),MOD(X$1,4)+1)),X$2)),$E72,"")</f>
        <v/>
      </c>
      <c r="Y72" s="26" t="str" cm="1">
        <f t="array" aca="1" ref="Y72" ca="1">IF(ISNUMBER(SEARCH(INDIRECT(ADDRESS(ROW(Y72),MOD(Y$1,4)+1)),Y$2)),$E72,"")</f>
        <v/>
      </c>
      <c r="Z72" s="26" t="str" cm="1">
        <f t="array" aca="1" ref="Z72" ca="1">IF(ISNUMBER(SEARCH(INDIRECT(ADDRESS(ROW(Z72),MOD(Z$1,4)+1)),Z$2)),$E72,"")</f>
        <v/>
      </c>
      <c r="AA72" s="26" t="str" cm="1">
        <f t="array" aca="1" ref="AA72" ca="1">IF(ISNUMBER(SEARCH(INDIRECT(ADDRESS(ROW(AA72),MOD(AA$1,4)+1)),AA$2)),$E72,"")</f>
        <v/>
      </c>
      <c r="AB72" s="26" t="str" cm="1">
        <f t="array" aca="1" ref="AB72" ca="1">IF(ISNUMBER(SEARCH(INDIRECT(ADDRESS(ROW(AB72),MOD(AB$1,4)+1)),AB$2)),$E72,"")</f>
        <v/>
      </c>
      <c r="AC72" s="26" t="str" cm="1">
        <f t="array" aca="1" ref="AC72" ca="1">IF(ISNUMBER(SEARCH(INDIRECT(ADDRESS(ROW(AC72),MOD(AC$1,4)+1)),AC$2)),$E72,"")</f>
        <v/>
      </c>
      <c r="AD72" s="26" t="str" cm="1">
        <f t="array" aca="1" ref="AD72" ca="1">IF(ISNUMBER(SEARCH(INDIRECT(ADDRESS(ROW(AD72),MOD(AD$1,4)+1)),AD$2)),$E72,"")</f>
        <v/>
      </c>
      <c r="AE72" s="26" t="str" cm="1">
        <f t="array" aca="1" ref="AE72" ca="1">IF(ISNUMBER(SEARCH(INDIRECT(ADDRESS(ROW(AE72),MOD(AE$1,4)+1)),AE$2)),$E72,"")</f>
        <v/>
      </c>
      <c r="AF72" s="26" t="str" cm="1">
        <f t="array" aca="1" ref="AF72" ca="1">IF(ISNUMBER(SEARCH(INDIRECT(ADDRESS(ROW(AF72),MOD(AF$1,4)+1)),AF$2)),$E72,"")</f>
        <v/>
      </c>
      <c r="AG72" s="26" t="str" cm="1">
        <f t="array" aca="1" ref="AG72" ca="1">IF(ISNUMBER(SEARCH(INDIRECT(ADDRESS(ROW(AG72),MOD(AG$1,4)+1)),AG$2)),$E72,"")</f>
        <v/>
      </c>
      <c r="AH72" s="26" t="str" cm="1">
        <f t="array" aca="1" ref="AH72" ca="1">IF(ISNUMBER(SEARCH(INDIRECT(ADDRESS(ROW(AH72),MOD(AH$1,4)+1)),AH$2)),$E72,"")</f>
        <v/>
      </c>
      <c r="AI72" s="26" t="str" cm="1">
        <f t="array" aca="1" ref="AI72" ca="1">IF(ISNUMBER(SEARCH(INDIRECT(ADDRESS(ROW(AI72),MOD(AI$1,4)+1)),AI$2)),$E72,"")</f>
        <v/>
      </c>
      <c r="AJ72" s="26" t="str" cm="1">
        <f t="array" aca="1" ref="AJ72" ca="1">IF(ISNUMBER(SEARCH(INDIRECT(ADDRESS(ROW(AJ72),MOD(AJ$1,4)+1)),AJ$2)),$E72,"")</f>
        <v/>
      </c>
      <c r="AK72" s="26" t="str" cm="1">
        <f t="array" aca="1" ref="AK72" ca="1">IF(ISNUMBER(SEARCH(INDIRECT(ADDRESS(ROW(AK72),MOD(AK$1,4)+1)),AK$2)),$E72,"")</f>
        <v/>
      </c>
      <c r="AL72" s="26" t="str" cm="1">
        <f t="array" aca="1" ref="AL72" ca="1">IF(ISNUMBER(SEARCH(INDIRECT(ADDRESS(ROW(AL72),MOD(AL$1,4)+1)),AL$2)),$E72,"")</f>
        <v/>
      </c>
      <c r="AM72" s="26" t="str" cm="1">
        <f t="array" aca="1" ref="AM72" ca="1">IF(ISNUMBER(SEARCH(INDIRECT(ADDRESS(ROW(AM72),MOD(AM$1,4)+1)),AM$2)),$E72,"")</f>
        <v/>
      </c>
      <c r="AN72" s="26" t="str" cm="1">
        <f t="array" aca="1" ref="AN72" ca="1">IF(ISNUMBER(SEARCH(INDIRECT(ADDRESS(ROW(AN72),MOD(AN$1,4)+1)),AN$2)),$E72,"")</f>
        <v/>
      </c>
      <c r="AO72" s="26" t="str" cm="1">
        <f t="array" aca="1" ref="AO72" ca="1">IF(ISNUMBER(SEARCH(INDIRECT(ADDRESS(ROW(AO72),MOD(AO$1,4)+1)),AO$2)),$E72,"")</f>
        <v/>
      </c>
      <c r="AP72" s="26" t="str" cm="1">
        <f t="array" aca="1" ref="AP72" ca="1">IF(ISNUMBER(SEARCH(INDIRECT(ADDRESS(ROW(AP72),MOD(AP$1,4)+1)),AP$2)),$E72,"")</f>
        <v/>
      </c>
      <c r="AQ72" s="31" t="str" cm="1">
        <f t="array" aca="1" ref="AQ72" ca="1">IF(ISNUMBER(SEARCH(INDIRECT(ADDRESS(ROW(AQ72),MOD(AQ$1,4)+1)),AQ$2)),$E72,"")</f>
        <v/>
      </c>
      <c r="AT72" t="e">
        <f>IF(VLOOKUP($E72,'Formatted NEW'!$B$2:$F$202,5,FALSE)=VLOOKUP($E72,'Formatted NEW'!$B$2:$F$202,8,FALSE),$E72,"")</f>
        <v>#N/A</v>
      </c>
      <c r="AW72" t="e">
        <f>IF(VLOOKUP($E72,'Formatted NEW'!$B$2:$F$202,5,FALSE)=VLOOKUP($E72,'Formatted NEW'!$B$2:$F$202,11,FALSE),$E72,"")</f>
        <v>#N/A</v>
      </c>
      <c r="AZ72" t="e">
        <f>IF(VLOOKUP($E72,'Formatted NEW'!$B$2:$F$202,5,FALSE)=VLOOKUP($E72,'Formatted NEW'!$B$2:$F$202,14,FALSE),$E72,"")</f>
        <v>#N/A</v>
      </c>
      <c r="BC72" t="str">
        <f>VLOOKUP($E72,'Formatted NEW'!$M$2:$T$202,6,FALSE)</f>
        <v>DIAG_BOTH</v>
      </c>
      <c r="BD72" s="26" t="e">
        <f>VLOOKUP(VLOOKUP(VLOOKUP($E72,'Formatted NEW'!$M$2:$O$202,2,FALSE),'Formatted NEW'!$D$2:$F$202,7,FALSE),'Formatted NEW'!$D$2:$O$202,12,FALSE)</f>
        <v>#REF!</v>
      </c>
      <c r="BE72" t="e">
        <f>VLOOKUP($BD72,'Formatted NEW'!$M$2:$T$202,5,FALSE)</f>
        <v>#REF!</v>
      </c>
      <c r="BF72" s="26" t="e">
        <f t="shared" si="5"/>
        <v>#REF!</v>
      </c>
      <c r="BH72">
        <f>VLOOKUP($E72,'Formatted NEW'!$M$2:$T$202,4,FALSE)</f>
        <v>0</v>
      </c>
      <c r="BI72" s="26" t="e">
        <f>VLOOKUP(VLOOKUP(VLOOKUP($E72,'Formatted NEW'!$M$2:$O$202,2,FALSE),'Formatted NEW'!$D$2:$F$202,10,FALSE),'Formatted NEW'!$D$2:$O$202,12,FALSE)</f>
        <v>#REF!</v>
      </c>
      <c r="BJ72" t="e">
        <f>VLOOKUP($BI72,'Formatted NEW'!$M$2:$T$202,3,FALSE)</f>
        <v>#REF!</v>
      </c>
      <c r="BK72" s="26" t="e">
        <f t="shared" si="6"/>
        <v>#REF!</v>
      </c>
    </row>
    <row r="73" spans="1:63" x14ac:dyDescent="0.25">
      <c r="A73" t="str">
        <f>'Formatted NEW'!Q71</f>
        <v>EMPTY</v>
      </c>
      <c r="B73" t="str">
        <f>'Formatted NEW'!R71</f>
        <v>DIAG_BOTH</v>
      </c>
      <c r="C73" t="str">
        <f>'Formatted NEW'!S71</f>
        <v>DIAG_BOTH</v>
      </c>
      <c r="D73" t="str">
        <f>'Formatted NEW'!T71</f>
        <v>EMPTY</v>
      </c>
      <c r="E73" s="26">
        <f t="shared" si="4"/>
        <v>69</v>
      </c>
      <c r="H73" s="30" t="str" cm="1">
        <f t="array" aca="1" ref="H73" ca="1">IF(ISNUMBER(SEARCH(INDIRECT(ADDRESS(ROW(H73),MOD(H$1,4)+1)),H$2)),$E73,"")</f>
        <v/>
      </c>
      <c r="I73" s="26" t="str" cm="1">
        <f t="array" aca="1" ref="I73" ca="1">IF(ISNUMBER(SEARCH(INDIRECT(ADDRESS(ROW(I73),MOD(I$1,4)+1)),I$2)),$E73,"")</f>
        <v/>
      </c>
      <c r="J73" s="26" t="str" cm="1">
        <f t="array" aca="1" ref="J73" ca="1">IF(ISNUMBER(SEARCH(INDIRECT(ADDRESS(ROW(J73),MOD(J$1,4)+1)),J$2)),$E73,"")</f>
        <v/>
      </c>
      <c r="K73" s="26" t="str" cm="1">
        <f t="array" aca="1" ref="K73" ca="1">IF(ISNUMBER(SEARCH(INDIRECT(ADDRESS(ROW(K73),MOD(K$1,4)+1)),K$2)),$E73,"")</f>
        <v/>
      </c>
      <c r="L73" s="26" t="str" cm="1">
        <f t="array" aca="1" ref="L73" ca="1">IF(ISNUMBER(SEARCH(INDIRECT(ADDRESS(ROW(L73),MOD(L$1,4)+1)),L$2)),$E73,"")</f>
        <v/>
      </c>
      <c r="M73" s="26" cm="1">
        <f t="array" aca="1" ref="M73" ca="1">IF(ISNUMBER(SEARCH(INDIRECT(ADDRESS(ROW(M73),MOD(M$1,4)+1)),M$2)),$E73,"")</f>
        <v>69</v>
      </c>
      <c r="N73" s="26" cm="1">
        <f t="array" aca="1" ref="N73" ca="1">IF(ISNUMBER(SEARCH(INDIRECT(ADDRESS(ROW(N73),MOD(N$1,4)+1)),N$2)),$E73,"")</f>
        <v>69</v>
      </c>
      <c r="O73" s="26" t="str" cm="1">
        <f t="array" aca="1" ref="O73" ca="1">IF(ISNUMBER(SEARCH(INDIRECT(ADDRESS(ROW(O73),MOD(O$1,4)+1)),O$2)),$E73,"")</f>
        <v/>
      </c>
      <c r="P73" s="26" t="str" cm="1">
        <f t="array" aca="1" ref="P73" ca="1">IF(ISNUMBER(SEARCH(INDIRECT(ADDRESS(ROW(P73),MOD(P$1,4)+1)),P$2)),$E73,"")</f>
        <v/>
      </c>
      <c r="Q73" s="26" t="str" cm="1">
        <f t="array" aca="1" ref="Q73" ca="1">IF(ISNUMBER(SEARCH(INDIRECT(ADDRESS(ROW(Q73),MOD(Q$1,4)+1)),Q$2)),$E73,"")</f>
        <v/>
      </c>
      <c r="R73" s="26" t="str" cm="1">
        <f t="array" aca="1" ref="R73" ca="1">IF(ISNUMBER(SEARCH(INDIRECT(ADDRESS(ROW(R73),MOD(R$1,4)+1)),R$2)),$E73,"")</f>
        <v/>
      </c>
      <c r="S73" s="26" t="str" cm="1">
        <f t="array" aca="1" ref="S73" ca="1">IF(ISNUMBER(SEARCH(INDIRECT(ADDRESS(ROW(S73),MOD(S$1,4)+1)),S$2)),$E73,"")</f>
        <v/>
      </c>
      <c r="T73" s="26" t="str" cm="1">
        <f t="array" aca="1" ref="T73" ca="1">IF(ISNUMBER(SEARCH(INDIRECT(ADDRESS(ROW(T73),MOD(T$1,4)+1)),T$2)),$E73,"")</f>
        <v/>
      </c>
      <c r="U73" s="26" t="str" cm="1">
        <f t="array" aca="1" ref="U73" ca="1">IF(ISNUMBER(SEARCH(INDIRECT(ADDRESS(ROW(U73),MOD(U$1,4)+1)),U$2)),$E73,"")</f>
        <v/>
      </c>
      <c r="V73" s="26" t="str" cm="1">
        <f t="array" aca="1" ref="V73" ca="1">IF(ISNUMBER(SEARCH(INDIRECT(ADDRESS(ROW(V73),MOD(V$1,4)+1)),V$2)),$E73,"")</f>
        <v/>
      </c>
      <c r="W73" s="26" t="str" cm="1">
        <f t="array" aca="1" ref="W73" ca="1">IF(ISNUMBER(SEARCH(INDIRECT(ADDRESS(ROW(W73),MOD(W$1,4)+1)),W$2)),$E73,"")</f>
        <v/>
      </c>
      <c r="X73" s="26" t="str" cm="1">
        <f t="array" aca="1" ref="X73" ca="1">IF(ISNUMBER(SEARCH(INDIRECT(ADDRESS(ROW(X73),MOD(X$1,4)+1)),X$2)),$E73,"")</f>
        <v/>
      </c>
      <c r="Y73" s="26" t="str" cm="1">
        <f t="array" aca="1" ref="Y73" ca="1">IF(ISNUMBER(SEARCH(INDIRECT(ADDRESS(ROW(Y73),MOD(Y$1,4)+1)),Y$2)),$E73,"")</f>
        <v/>
      </c>
      <c r="Z73" s="26" t="str" cm="1">
        <f t="array" aca="1" ref="Z73" ca="1">IF(ISNUMBER(SEARCH(INDIRECT(ADDRESS(ROW(Z73),MOD(Z$1,4)+1)),Z$2)),$E73,"")</f>
        <v/>
      </c>
      <c r="AA73" s="26" t="str" cm="1">
        <f t="array" aca="1" ref="AA73" ca="1">IF(ISNUMBER(SEARCH(INDIRECT(ADDRESS(ROW(AA73),MOD(AA$1,4)+1)),AA$2)),$E73,"")</f>
        <v/>
      </c>
      <c r="AB73" s="26" t="str" cm="1">
        <f t="array" aca="1" ref="AB73" ca="1">IF(ISNUMBER(SEARCH(INDIRECT(ADDRESS(ROW(AB73),MOD(AB$1,4)+1)),AB$2)),$E73,"")</f>
        <v/>
      </c>
      <c r="AC73" s="26" t="str" cm="1">
        <f t="array" aca="1" ref="AC73" ca="1">IF(ISNUMBER(SEARCH(INDIRECT(ADDRESS(ROW(AC73),MOD(AC$1,4)+1)),AC$2)),$E73,"")</f>
        <v/>
      </c>
      <c r="AD73" s="26" t="str" cm="1">
        <f t="array" aca="1" ref="AD73" ca="1">IF(ISNUMBER(SEARCH(INDIRECT(ADDRESS(ROW(AD73),MOD(AD$1,4)+1)),AD$2)),$E73,"")</f>
        <v/>
      </c>
      <c r="AE73" s="26" t="str" cm="1">
        <f t="array" aca="1" ref="AE73" ca="1">IF(ISNUMBER(SEARCH(INDIRECT(ADDRESS(ROW(AE73),MOD(AE$1,4)+1)),AE$2)),$E73,"")</f>
        <v/>
      </c>
      <c r="AF73" s="26" t="str" cm="1">
        <f t="array" aca="1" ref="AF73" ca="1">IF(ISNUMBER(SEARCH(INDIRECT(ADDRESS(ROW(AF73),MOD(AF$1,4)+1)),AF$2)),$E73,"")</f>
        <v/>
      </c>
      <c r="AG73" s="26" t="str" cm="1">
        <f t="array" aca="1" ref="AG73" ca="1">IF(ISNUMBER(SEARCH(INDIRECT(ADDRESS(ROW(AG73),MOD(AG$1,4)+1)),AG$2)),$E73,"")</f>
        <v/>
      </c>
      <c r="AH73" s="26" t="str" cm="1">
        <f t="array" aca="1" ref="AH73" ca="1">IF(ISNUMBER(SEARCH(INDIRECT(ADDRESS(ROW(AH73),MOD(AH$1,4)+1)),AH$2)),$E73,"")</f>
        <v/>
      </c>
      <c r="AI73" s="26" t="str" cm="1">
        <f t="array" aca="1" ref="AI73" ca="1">IF(ISNUMBER(SEARCH(INDIRECT(ADDRESS(ROW(AI73),MOD(AI$1,4)+1)),AI$2)),$E73,"")</f>
        <v/>
      </c>
      <c r="AJ73" s="26" t="str" cm="1">
        <f t="array" aca="1" ref="AJ73" ca="1">IF(ISNUMBER(SEARCH(INDIRECT(ADDRESS(ROW(AJ73),MOD(AJ$1,4)+1)),AJ$2)),$E73,"")</f>
        <v/>
      </c>
      <c r="AK73" s="26" t="str" cm="1">
        <f t="array" aca="1" ref="AK73" ca="1">IF(ISNUMBER(SEARCH(INDIRECT(ADDRESS(ROW(AK73),MOD(AK$1,4)+1)),AK$2)),$E73,"")</f>
        <v/>
      </c>
      <c r="AL73" s="26" t="str" cm="1">
        <f t="array" aca="1" ref="AL73" ca="1">IF(ISNUMBER(SEARCH(INDIRECT(ADDRESS(ROW(AL73),MOD(AL$1,4)+1)),AL$2)),$E73,"")</f>
        <v/>
      </c>
      <c r="AM73" s="26" t="str" cm="1">
        <f t="array" aca="1" ref="AM73" ca="1">IF(ISNUMBER(SEARCH(INDIRECT(ADDRESS(ROW(AM73),MOD(AM$1,4)+1)),AM$2)),$E73,"")</f>
        <v/>
      </c>
      <c r="AN73" s="26" t="str" cm="1">
        <f t="array" aca="1" ref="AN73" ca="1">IF(ISNUMBER(SEARCH(INDIRECT(ADDRESS(ROW(AN73),MOD(AN$1,4)+1)),AN$2)),$E73,"")</f>
        <v/>
      </c>
      <c r="AO73" s="26" t="str" cm="1">
        <f t="array" aca="1" ref="AO73" ca="1">IF(ISNUMBER(SEARCH(INDIRECT(ADDRESS(ROW(AO73),MOD(AO$1,4)+1)),AO$2)),$E73,"")</f>
        <v/>
      </c>
      <c r="AP73" s="26" t="str" cm="1">
        <f t="array" aca="1" ref="AP73" ca="1">IF(ISNUMBER(SEARCH(INDIRECT(ADDRESS(ROW(AP73),MOD(AP$1,4)+1)),AP$2)),$E73,"")</f>
        <v/>
      </c>
      <c r="AQ73" s="31" t="str" cm="1">
        <f t="array" aca="1" ref="AQ73" ca="1">IF(ISNUMBER(SEARCH(INDIRECT(ADDRESS(ROW(AQ73),MOD(AQ$1,4)+1)),AQ$2)),$E73,"")</f>
        <v/>
      </c>
      <c r="AT73" t="e">
        <f>IF(VLOOKUP($E73,'Formatted NEW'!$B$2:$F$202,5,FALSE)=VLOOKUP($E73,'Formatted NEW'!$B$2:$F$202,8,FALSE),$E73,"")</f>
        <v>#N/A</v>
      </c>
      <c r="AW73" t="e">
        <f>IF(VLOOKUP($E73,'Formatted NEW'!$B$2:$F$202,5,FALSE)=VLOOKUP($E73,'Formatted NEW'!$B$2:$F$202,11,FALSE),$E73,"")</f>
        <v>#N/A</v>
      </c>
      <c r="AZ73" t="e">
        <f>IF(VLOOKUP($E73,'Formatted NEW'!$B$2:$F$202,5,FALSE)=VLOOKUP($E73,'Formatted NEW'!$B$2:$F$202,14,FALSE),$E73,"")</f>
        <v>#N/A</v>
      </c>
      <c r="BC73" t="str">
        <f>VLOOKUP($E73,'Formatted NEW'!$M$2:$T$202,6,FALSE)</f>
        <v>DIAG_BOTH</v>
      </c>
      <c r="BD73" s="26" t="e">
        <f>VLOOKUP(VLOOKUP(VLOOKUP($E73,'Formatted NEW'!$M$2:$O$202,2,FALSE),'Formatted NEW'!$D$2:$F$202,7,FALSE),'Formatted NEW'!$D$2:$O$202,12,FALSE)</f>
        <v>#REF!</v>
      </c>
      <c r="BE73" t="e">
        <f>VLOOKUP($BD73,'Formatted NEW'!$M$2:$T$202,5,FALSE)</f>
        <v>#REF!</v>
      </c>
      <c r="BF73" s="26" t="e">
        <f t="shared" si="5"/>
        <v>#REF!</v>
      </c>
      <c r="BH73">
        <f>VLOOKUP($E73,'Formatted NEW'!$M$2:$T$202,4,FALSE)</f>
        <v>0</v>
      </c>
      <c r="BI73" s="26" t="e">
        <f>VLOOKUP(VLOOKUP(VLOOKUP($E73,'Formatted NEW'!$M$2:$O$202,2,FALSE),'Formatted NEW'!$D$2:$F$202,10,FALSE),'Formatted NEW'!$D$2:$O$202,12,FALSE)</f>
        <v>#REF!</v>
      </c>
      <c r="BJ73" t="e">
        <f>VLOOKUP($BI73,'Formatted NEW'!$M$2:$T$202,3,FALSE)</f>
        <v>#REF!</v>
      </c>
      <c r="BK73" s="26" t="e">
        <f t="shared" si="6"/>
        <v>#REF!</v>
      </c>
    </row>
    <row r="74" spans="1:63" x14ac:dyDescent="0.25">
      <c r="A74" t="str">
        <f>'Formatted NEW'!Q72</f>
        <v>EMPTY</v>
      </c>
      <c r="B74" t="str">
        <f>'Formatted NEW'!R72</f>
        <v>EMPTY</v>
      </c>
      <c r="C74" t="str">
        <f>'Formatted NEW'!S72</f>
        <v>EMPTY</v>
      </c>
      <c r="D74" t="str">
        <f>'Formatted NEW'!T72</f>
        <v>DIAG_BOTH</v>
      </c>
      <c r="E74" s="26">
        <f t="shared" si="4"/>
        <v>70</v>
      </c>
      <c r="H74" s="30" t="str" cm="1">
        <f t="array" aca="1" ref="H74" ca="1">IF(ISNUMBER(SEARCH(INDIRECT(ADDRESS(ROW(H74),MOD(H$1,4)+1)),H$2)),$E74,"")</f>
        <v/>
      </c>
      <c r="I74" s="26" t="str" cm="1">
        <f t="array" aca="1" ref="I74" ca="1">IF(ISNUMBER(SEARCH(INDIRECT(ADDRESS(ROW(I74),MOD(I$1,4)+1)),I$2)),$E74,"")</f>
        <v/>
      </c>
      <c r="J74" s="26" t="str" cm="1">
        <f t="array" aca="1" ref="J74" ca="1">IF(ISNUMBER(SEARCH(INDIRECT(ADDRESS(ROW(J74),MOD(J$1,4)+1)),J$2)),$E74,"")</f>
        <v/>
      </c>
      <c r="K74" s="26" t="str" cm="1">
        <f t="array" aca="1" ref="K74" ca="1">IF(ISNUMBER(SEARCH(INDIRECT(ADDRESS(ROW(K74),MOD(K$1,4)+1)),K$2)),$E74,"")</f>
        <v/>
      </c>
      <c r="L74" s="26" t="str" cm="1">
        <f t="array" aca="1" ref="L74" ca="1">IF(ISNUMBER(SEARCH(INDIRECT(ADDRESS(ROW(L74),MOD(L$1,4)+1)),L$2)),$E74,"")</f>
        <v/>
      </c>
      <c r="M74" s="26" t="str" cm="1">
        <f t="array" aca="1" ref="M74" ca="1">IF(ISNUMBER(SEARCH(INDIRECT(ADDRESS(ROW(M74),MOD(M$1,4)+1)),M$2)),$E74,"")</f>
        <v/>
      </c>
      <c r="N74" s="26" t="str" cm="1">
        <f t="array" aca="1" ref="N74" ca="1">IF(ISNUMBER(SEARCH(INDIRECT(ADDRESS(ROW(N74),MOD(N$1,4)+1)),N$2)),$E74,"")</f>
        <v/>
      </c>
      <c r="O74" s="26" cm="1">
        <f t="array" aca="1" ref="O74" ca="1">IF(ISNUMBER(SEARCH(INDIRECT(ADDRESS(ROW(O74),MOD(O$1,4)+1)),O$2)),$E74,"")</f>
        <v>70</v>
      </c>
      <c r="P74" s="26" t="str" cm="1">
        <f t="array" aca="1" ref="P74" ca="1">IF(ISNUMBER(SEARCH(INDIRECT(ADDRESS(ROW(P74),MOD(P$1,4)+1)),P$2)),$E74,"")</f>
        <v/>
      </c>
      <c r="Q74" s="26" t="str" cm="1">
        <f t="array" aca="1" ref="Q74" ca="1">IF(ISNUMBER(SEARCH(INDIRECT(ADDRESS(ROW(Q74),MOD(Q$1,4)+1)),Q$2)),$E74,"")</f>
        <v/>
      </c>
      <c r="R74" s="26" t="str" cm="1">
        <f t="array" aca="1" ref="R74" ca="1">IF(ISNUMBER(SEARCH(INDIRECT(ADDRESS(ROW(R74),MOD(R$1,4)+1)),R$2)),$E74,"")</f>
        <v/>
      </c>
      <c r="S74" s="26" t="str" cm="1">
        <f t="array" aca="1" ref="S74" ca="1">IF(ISNUMBER(SEARCH(INDIRECT(ADDRESS(ROW(S74),MOD(S$1,4)+1)),S$2)),$E74,"")</f>
        <v/>
      </c>
      <c r="T74" s="26" t="str" cm="1">
        <f t="array" aca="1" ref="T74" ca="1">IF(ISNUMBER(SEARCH(INDIRECT(ADDRESS(ROW(T74),MOD(T$1,4)+1)),T$2)),$E74,"")</f>
        <v/>
      </c>
      <c r="U74" s="26" t="str" cm="1">
        <f t="array" aca="1" ref="U74" ca="1">IF(ISNUMBER(SEARCH(INDIRECT(ADDRESS(ROW(U74),MOD(U$1,4)+1)),U$2)),$E74,"")</f>
        <v/>
      </c>
      <c r="V74" s="26" t="str" cm="1">
        <f t="array" aca="1" ref="V74" ca="1">IF(ISNUMBER(SEARCH(INDIRECT(ADDRESS(ROW(V74),MOD(V$1,4)+1)),V$2)),$E74,"")</f>
        <v/>
      </c>
      <c r="W74" s="26" t="str" cm="1">
        <f t="array" aca="1" ref="W74" ca="1">IF(ISNUMBER(SEARCH(INDIRECT(ADDRESS(ROW(W74),MOD(W$1,4)+1)),W$2)),$E74,"")</f>
        <v/>
      </c>
      <c r="X74" s="26" t="str" cm="1">
        <f t="array" aca="1" ref="X74" ca="1">IF(ISNUMBER(SEARCH(INDIRECT(ADDRESS(ROW(X74),MOD(X$1,4)+1)),X$2)),$E74,"")</f>
        <v/>
      </c>
      <c r="Y74" s="26" t="str" cm="1">
        <f t="array" aca="1" ref="Y74" ca="1">IF(ISNUMBER(SEARCH(INDIRECT(ADDRESS(ROW(Y74),MOD(Y$1,4)+1)),Y$2)),$E74,"")</f>
        <v/>
      </c>
      <c r="Z74" s="26" t="str" cm="1">
        <f t="array" aca="1" ref="Z74" ca="1">IF(ISNUMBER(SEARCH(INDIRECT(ADDRESS(ROW(Z74),MOD(Z$1,4)+1)),Z$2)),$E74,"")</f>
        <v/>
      </c>
      <c r="AA74" s="26" t="str" cm="1">
        <f t="array" aca="1" ref="AA74" ca="1">IF(ISNUMBER(SEARCH(INDIRECT(ADDRESS(ROW(AA74),MOD(AA$1,4)+1)),AA$2)),$E74,"")</f>
        <v/>
      </c>
      <c r="AB74" s="26" t="str" cm="1">
        <f t="array" aca="1" ref="AB74" ca="1">IF(ISNUMBER(SEARCH(INDIRECT(ADDRESS(ROW(AB74),MOD(AB$1,4)+1)),AB$2)),$E74,"")</f>
        <v/>
      </c>
      <c r="AC74" s="26" t="str" cm="1">
        <f t="array" aca="1" ref="AC74" ca="1">IF(ISNUMBER(SEARCH(INDIRECT(ADDRESS(ROW(AC74),MOD(AC$1,4)+1)),AC$2)),$E74,"")</f>
        <v/>
      </c>
      <c r="AD74" s="26" t="str" cm="1">
        <f t="array" aca="1" ref="AD74" ca="1">IF(ISNUMBER(SEARCH(INDIRECT(ADDRESS(ROW(AD74),MOD(AD$1,4)+1)),AD$2)),$E74,"")</f>
        <v/>
      </c>
      <c r="AE74" s="26" t="str" cm="1">
        <f t="array" aca="1" ref="AE74" ca="1">IF(ISNUMBER(SEARCH(INDIRECT(ADDRESS(ROW(AE74),MOD(AE$1,4)+1)),AE$2)),$E74,"")</f>
        <v/>
      </c>
      <c r="AF74" s="26" t="str" cm="1">
        <f t="array" aca="1" ref="AF74" ca="1">IF(ISNUMBER(SEARCH(INDIRECT(ADDRESS(ROW(AF74),MOD(AF$1,4)+1)),AF$2)),$E74,"")</f>
        <v/>
      </c>
      <c r="AG74" s="26" t="str" cm="1">
        <f t="array" aca="1" ref="AG74" ca="1">IF(ISNUMBER(SEARCH(INDIRECT(ADDRESS(ROW(AG74),MOD(AG$1,4)+1)),AG$2)),$E74,"")</f>
        <v/>
      </c>
      <c r="AH74" s="26" t="str" cm="1">
        <f t="array" aca="1" ref="AH74" ca="1">IF(ISNUMBER(SEARCH(INDIRECT(ADDRESS(ROW(AH74),MOD(AH$1,4)+1)),AH$2)),$E74,"")</f>
        <v/>
      </c>
      <c r="AI74" s="26" t="str" cm="1">
        <f t="array" aca="1" ref="AI74" ca="1">IF(ISNUMBER(SEARCH(INDIRECT(ADDRESS(ROW(AI74),MOD(AI$1,4)+1)),AI$2)),$E74,"")</f>
        <v/>
      </c>
      <c r="AJ74" s="26" t="str" cm="1">
        <f t="array" aca="1" ref="AJ74" ca="1">IF(ISNUMBER(SEARCH(INDIRECT(ADDRESS(ROW(AJ74),MOD(AJ$1,4)+1)),AJ$2)),$E74,"")</f>
        <v/>
      </c>
      <c r="AK74" s="26" t="str" cm="1">
        <f t="array" aca="1" ref="AK74" ca="1">IF(ISNUMBER(SEARCH(INDIRECT(ADDRESS(ROW(AK74),MOD(AK$1,4)+1)),AK$2)),$E74,"")</f>
        <v/>
      </c>
      <c r="AL74" s="26" t="str" cm="1">
        <f t="array" aca="1" ref="AL74" ca="1">IF(ISNUMBER(SEARCH(INDIRECT(ADDRESS(ROW(AL74),MOD(AL$1,4)+1)),AL$2)),$E74,"")</f>
        <v/>
      </c>
      <c r="AM74" s="26" t="str" cm="1">
        <f t="array" aca="1" ref="AM74" ca="1">IF(ISNUMBER(SEARCH(INDIRECT(ADDRESS(ROW(AM74),MOD(AM$1,4)+1)),AM$2)),$E74,"")</f>
        <v/>
      </c>
      <c r="AN74" s="26" t="str" cm="1">
        <f t="array" aca="1" ref="AN74" ca="1">IF(ISNUMBER(SEARCH(INDIRECT(ADDRESS(ROW(AN74),MOD(AN$1,4)+1)),AN$2)),$E74,"")</f>
        <v/>
      </c>
      <c r="AO74" s="26" t="str" cm="1">
        <f t="array" aca="1" ref="AO74" ca="1">IF(ISNUMBER(SEARCH(INDIRECT(ADDRESS(ROW(AO74),MOD(AO$1,4)+1)),AO$2)),$E74,"")</f>
        <v/>
      </c>
      <c r="AP74" s="26" t="str" cm="1">
        <f t="array" aca="1" ref="AP74" ca="1">IF(ISNUMBER(SEARCH(INDIRECT(ADDRESS(ROW(AP74),MOD(AP$1,4)+1)),AP$2)),$E74,"")</f>
        <v/>
      </c>
      <c r="AQ74" s="31" t="str" cm="1">
        <f t="array" aca="1" ref="AQ74" ca="1">IF(ISNUMBER(SEARCH(INDIRECT(ADDRESS(ROW(AQ74),MOD(AQ$1,4)+1)),AQ$2)),$E74,"")</f>
        <v/>
      </c>
      <c r="AT74" t="e">
        <f>IF(VLOOKUP($E74,'Formatted NEW'!$B$2:$F$202,5,FALSE)=VLOOKUP($E74,'Formatted NEW'!$B$2:$F$202,8,FALSE),$E74,"")</f>
        <v>#N/A</v>
      </c>
      <c r="AW74" t="e">
        <f>IF(VLOOKUP($E74,'Formatted NEW'!$B$2:$F$202,5,FALSE)=VLOOKUP($E74,'Formatted NEW'!$B$2:$F$202,11,FALSE),$E74,"")</f>
        <v>#N/A</v>
      </c>
      <c r="AZ74" t="e">
        <f>IF(VLOOKUP($E74,'Formatted NEW'!$B$2:$F$202,5,FALSE)=VLOOKUP($E74,'Formatted NEW'!$B$2:$F$202,14,FALSE),$E74,"")</f>
        <v>#N/A</v>
      </c>
      <c r="BC74" t="str">
        <f>VLOOKUP($E74,'Formatted NEW'!$M$2:$T$202,6,FALSE)</f>
        <v>EMPTY</v>
      </c>
      <c r="BD74" s="26" t="e">
        <f>VLOOKUP(VLOOKUP(VLOOKUP($E74,'Formatted NEW'!$M$2:$O$202,2,FALSE),'Formatted NEW'!$D$2:$F$202,7,FALSE),'Formatted NEW'!$D$2:$O$202,12,FALSE)</f>
        <v>#REF!</v>
      </c>
      <c r="BE74" t="e">
        <f>VLOOKUP($BD74,'Formatted NEW'!$M$2:$T$202,5,FALSE)</f>
        <v>#REF!</v>
      </c>
      <c r="BF74" s="26" t="e">
        <f t="shared" si="5"/>
        <v>#REF!</v>
      </c>
      <c r="BH74">
        <f>VLOOKUP($E74,'Formatted NEW'!$M$2:$T$202,4,FALSE)</f>
        <v>0</v>
      </c>
      <c r="BI74" s="26" t="e">
        <f>VLOOKUP(VLOOKUP(VLOOKUP($E74,'Formatted NEW'!$M$2:$O$202,2,FALSE),'Formatted NEW'!$D$2:$F$202,10,FALSE),'Formatted NEW'!$D$2:$O$202,12,FALSE)</f>
        <v>#REF!</v>
      </c>
      <c r="BJ74" t="e">
        <f>VLOOKUP($BI74,'Formatted NEW'!$M$2:$T$202,3,FALSE)</f>
        <v>#REF!</v>
      </c>
      <c r="BK74" s="26" t="e">
        <f t="shared" si="6"/>
        <v>#REF!</v>
      </c>
    </row>
    <row r="75" spans="1:63" x14ac:dyDescent="0.25">
      <c r="A75" t="str">
        <f>'Formatted NEW'!Q73</f>
        <v>DIAG_BOTH</v>
      </c>
      <c r="B75" t="str">
        <f>'Formatted NEW'!R73</f>
        <v>DIAG_BOTH</v>
      </c>
      <c r="C75" t="str">
        <f>'Formatted NEW'!S73</f>
        <v>DIAG_BOTH</v>
      </c>
      <c r="D75" t="str">
        <f>'Formatted NEW'!T73</f>
        <v>ORTHO_BOTH</v>
      </c>
      <c r="E75" s="26">
        <f t="shared" si="4"/>
        <v>71</v>
      </c>
      <c r="H75" s="30" t="str" cm="1">
        <f t="array" aca="1" ref="H75" ca="1">IF(ISNUMBER(SEARCH(INDIRECT(ADDRESS(ROW(H75),MOD(H$1,4)+1)),H$2)),$E75,"")</f>
        <v/>
      </c>
      <c r="I75" s="26" t="str" cm="1">
        <f t="array" aca="1" ref="I75" ca="1">IF(ISNUMBER(SEARCH(INDIRECT(ADDRESS(ROW(I75),MOD(I$1,4)+1)),I$2)),$E75,"")</f>
        <v/>
      </c>
      <c r="J75" s="26" t="str" cm="1">
        <f t="array" aca="1" ref="J75" ca="1">IF(ISNUMBER(SEARCH(INDIRECT(ADDRESS(ROW(J75),MOD(J$1,4)+1)),J$2)),$E75,"")</f>
        <v/>
      </c>
      <c r="K75" s="26" t="str" cm="1">
        <f t="array" aca="1" ref="K75" ca="1">IF(ISNUMBER(SEARCH(INDIRECT(ADDRESS(ROW(K75),MOD(K$1,4)+1)),K$2)),$E75,"")</f>
        <v/>
      </c>
      <c r="L75" s="26" cm="1">
        <f t="array" aca="1" ref="L75" ca="1">IF(ISNUMBER(SEARCH(INDIRECT(ADDRESS(ROW(L75),MOD(L$1,4)+1)),L$2)),$E75,"")</f>
        <v>71</v>
      </c>
      <c r="M75" s="26" cm="1">
        <f t="array" aca="1" ref="M75" ca="1">IF(ISNUMBER(SEARCH(INDIRECT(ADDRESS(ROW(M75),MOD(M$1,4)+1)),M$2)),$E75,"")</f>
        <v>71</v>
      </c>
      <c r="N75" s="26" cm="1">
        <f t="array" aca="1" ref="N75" ca="1">IF(ISNUMBER(SEARCH(INDIRECT(ADDRESS(ROW(N75),MOD(N$1,4)+1)),N$2)),$E75,"")</f>
        <v>71</v>
      </c>
      <c r="O75" s="26" t="str" cm="1">
        <f t="array" aca="1" ref="O75" ca="1">IF(ISNUMBER(SEARCH(INDIRECT(ADDRESS(ROW(O75),MOD(O$1,4)+1)),O$2)),$E75,"")</f>
        <v/>
      </c>
      <c r="P75" s="26" t="str" cm="1">
        <f t="array" aca="1" ref="P75" ca="1">IF(ISNUMBER(SEARCH(INDIRECT(ADDRESS(ROW(P75),MOD(P$1,4)+1)),P$2)),$E75,"")</f>
        <v/>
      </c>
      <c r="Q75" s="26" t="str" cm="1">
        <f t="array" aca="1" ref="Q75" ca="1">IF(ISNUMBER(SEARCH(INDIRECT(ADDRESS(ROW(Q75),MOD(Q$1,4)+1)),Q$2)),$E75,"")</f>
        <v/>
      </c>
      <c r="R75" s="26" t="str" cm="1">
        <f t="array" aca="1" ref="R75" ca="1">IF(ISNUMBER(SEARCH(INDIRECT(ADDRESS(ROW(R75),MOD(R$1,4)+1)),R$2)),$E75,"")</f>
        <v/>
      </c>
      <c r="S75" s="26" cm="1">
        <f t="array" aca="1" ref="S75" ca="1">IF(ISNUMBER(SEARCH(INDIRECT(ADDRESS(ROW(S75),MOD(S$1,4)+1)),S$2)),$E75,"")</f>
        <v>71</v>
      </c>
      <c r="T75" s="26" t="str" cm="1">
        <f t="array" aca="1" ref="T75" ca="1">IF(ISNUMBER(SEARCH(INDIRECT(ADDRESS(ROW(T75),MOD(T$1,4)+1)),T$2)),$E75,"")</f>
        <v/>
      </c>
      <c r="U75" s="26" t="str" cm="1">
        <f t="array" aca="1" ref="U75" ca="1">IF(ISNUMBER(SEARCH(INDIRECT(ADDRESS(ROW(U75),MOD(U$1,4)+1)),U$2)),$E75,"")</f>
        <v/>
      </c>
      <c r="V75" s="26" t="str" cm="1">
        <f t="array" aca="1" ref="V75" ca="1">IF(ISNUMBER(SEARCH(INDIRECT(ADDRESS(ROW(V75),MOD(V$1,4)+1)),V$2)),$E75,"")</f>
        <v/>
      </c>
      <c r="W75" s="26" t="str" cm="1">
        <f t="array" aca="1" ref="W75" ca="1">IF(ISNUMBER(SEARCH(INDIRECT(ADDRESS(ROW(W75),MOD(W$1,4)+1)),W$2)),$E75,"")</f>
        <v/>
      </c>
      <c r="X75" s="26" t="str" cm="1">
        <f t="array" aca="1" ref="X75" ca="1">IF(ISNUMBER(SEARCH(INDIRECT(ADDRESS(ROW(X75),MOD(X$1,4)+1)),X$2)),$E75,"")</f>
        <v/>
      </c>
      <c r="Y75" s="26" t="str" cm="1">
        <f t="array" aca="1" ref="Y75" ca="1">IF(ISNUMBER(SEARCH(INDIRECT(ADDRESS(ROW(Y75),MOD(Y$1,4)+1)),Y$2)),$E75,"")</f>
        <v/>
      </c>
      <c r="Z75" s="26" t="str" cm="1">
        <f t="array" aca="1" ref="Z75" ca="1">IF(ISNUMBER(SEARCH(INDIRECT(ADDRESS(ROW(Z75),MOD(Z$1,4)+1)),Z$2)),$E75,"")</f>
        <v/>
      </c>
      <c r="AA75" s="26" t="str" cm="1">
        <f t="array" aca="1" ref="AA75" ca="1">IF(ISNUMBER(SEARCH(INDIRECT(ADDRESS(ROW(AA75),MOD(AA$1,4)+1)),AA$2)),$E75,"")</f>
        <v/>
      </c>
      <c r="AB75" s="26" t="str" cm="1">
        <f t="array" aca="1" ref="AB75" ca="1">IF(ISNUMBER(SEARCH(INDIRECT(ADDRESS(ROW(AB75),MOD(AB$1,4)+1)),AB$2)),$E75,"")</f>
        <v/>
      </c>
      <c r="AC75" s="26" t="str" cm="1">
        <f t="array" aca="1" ref="AC75" ca="1">IF(ISNUMBER(SEARCH(INDIRECT(ADDRESS(ROW(AC75),MOD(AC$1,4)+1)),AC$2)),$E75,"")</f>
        <v/>
      </c>
      <c r="AD75" s="26" t="str" cm="1">
        <f t="array" aca="1" ref="AD75" ca="1">IF(ISNUMBER(SEARCH(INDIRECT(ADDRESS(ROW(AD75),MOD(AD$1,4)+1)),AD$2)),$E75,"")</f>
        <v/>
      </c>
      <c r="AE75" s="26" t="str" cm="1">
        <f t="array" aca="1" ref="AE75" ca="1">IF(ISNUMBER(SEARCH(INDIRECT(ADDRESS(ROW(AE75),MOD(AE$1,4)+1)),AE$2)),$E75,"")</f>
        <v/>
      </c>
      <c r="AF75" s="26" t="str" cm="1">
        <f t="array" aca="1" ref="AF75" ca="1">IF(ISNUMBER(SEARCH(INDIRECT(ADDRESS(ROW(AF75),MOD(AF$1,4)+1)),AF$2)),$E75,"")</f>
        <v/>
      </c>
      <c r="AG75" s="26" t="str" cm="1">
        <f t="array" aca="1" ref="AG75" ca="1">IF(ISNUMBER(SEARCH(INDIRECT(ADDRESS(ROW(AG75),MOD(AG$1,4)+1)),AG$2)),$E75,"")</f>
        <v/>
      </c>
      <c r="AH75" s="26" t="str" cm="1">
        <f t="array" aca="1" ref="AH75" ca="1">IF(ISNUMBER(SEARCH(INDIRECT(ADDRESS(ROW(AH75),MOD(AH$1,4)+1)),AH$2)),$E75,"")</f>
        <v/>
      </c>
      <c r="AI75" s="26" t="str" cm="1">
        <f t="array" aca="1" ref="AI75" ca="1">IF(ISNUMBER(SEARCH(INDIRECT(ADDRESS(ROW(AI75),MOD(AI$1,4)+1)),AI$2)),$E75,"")</f>
        <v/>
      </c>
      <c r="AJ75" s="26" t="str" cm="1">
        <f t="array" aca="1" ref="AJ75" ca="1">IF(ISNUMBER(SEARCH(INDIRECT(ADDRESS(ROW(AJ75),MOD(AJ$1,4)+1)),AJ$2)),$E75,"")</f>
        <v/>
      </c>
      <c r="AK75" s="26" t="str" cm="1">
        <f t="array" aca="1" ref="AK75" ca="1">IF(ISNUMBER(SEARCH(INDIRECT(ADDRESS(ROW(AK75),MOD(AK$1,4)+1)),AK$2)),$E75,"")</f>
        <v/>
      </c>
      <c r="AL75" s="26" t="str" cm="1">
        <f t="array" aca="1" ref="AL75" ca="1">IF(ISNUMBER(SEARCH(INDIRECT(ADDRESS(ROW(AL75),MOD(AL$1,4)+1)),AL$2)),$E75,"")</f>
        <v/>
      </c>
      <c r="AM75" s="26" t="str" cm="1">
        <f t="array" aca="1" ref="AM75" ca="1">IF(ISNUMBER(SEARCH(INDIRECT(ADDRESS(ROW(AM75),MOD(AM$1,4)+1)),AM$2)),$E75,"")</f>
        <v/>
      </c>
      <c r="AN75" s="26" t="str" cm="1">
        <f t="array" aca="1" ref="AN75" ca="1">IF(ISNUMBER(SEARCH(INDIRECT(ADDRESS(ROW(AN75),MOD(AN$1,4)+1)),AN$2)),$E75,"")</f>
        <v/>
      </c>
      <c r="AO75" s="26" t="str" cm="1">
        <f t="array" aca="1" ref="AO75" ca="1">IF(ISNUMBER(SEARCH(INDIRECT(ADDRESS(ROW(AO75),MOD(AO$1,4)+1)),AO$2)),$E75,"")</f>
        <v/>
      </c>
      <c r="AP75" s="26" t="str" cm="1">
        <f t="array" aca="1" ref="AP75" ca="1">IF(ISNUMBER(SEARCH(INDIRECT(ADDRESS(ROW(AP75),MOD(AP$1,4)+1)),AP$2)),$E75,"")</f>
        <v/>
      </c>
      <c r="AQ75" s="31" t="str" cm="1">
        <f t="array" aca="1" ref="AQ75" ca="1">IF(ISNUMBER(SEARCH(INDIRECT(ADDRESS(ROW(AQ75),MOD(AQ$1,4)+1)),AQ$2)),$E75,"")</f>
        <v/>
      </c>
      <c r="AT75" t="e">
        <f>IF(VLOOKUP($E75,'Formatted NEW'!$B$2:$F$202,5,FALSE)=VLOOKUP($E75,'Formatted NEW'!$B$2:$F$202,8,FALSE),$E75,"")</f>
        <v>#N/A</v>
      </c>
      <c r="AW75" t="e">
        <f>IF(VLOOKUP($E75,'Formatted NEW'!$B$2:$F$202,5,FALSE)=VLOOKUP($E75,'Formatted NEW'!$B$2:$F$202,11,FALSE),$E75,"")</f>
        <v>#N/A</v>
      </c>
      <c r="AZ75" t="e">
        <f>IF(VLOOKUP($E75,'Formatted NEW'!$B$2:$F$202,5,FALSE)=VLOOKUP($E75,'Formatted NEW'!$B$2:$F$202,14,FALSE),$E75,"")</f>
        <v>#N/A</v>
      </c>
      <c r="BC75" t="str">
        <f>VLOOKUP($E75,'Formatted NEW'!$M$2:$T$202,6,FALSE)</f>
        <v>DIAG_BOTH</v>
      </c>
      <c r="BD75" s="26" t="e">
        <f>VLOOKUP(VLOOKUP(VLOOKUP($E75,'Formatted NEW'!$M$2:$O$202,2,FALSE),'Formatted NEW'!$D$2:$F$202,7,FALSE),'Formatted NEW'!$D$2:$O$202,12,FALSE)</f>
        <v>#REF!</v>
      </c>
      <c r="BE75" t="e">
        <f>VLOOKUP($BD75,'Formatted NEW'!$M$2:$T$202,5,FALSE)</f>
        <v>#REF!</v>
      </c>
      <c r="BF75" s="26" t="e">
        <f t="shared" si="5"/>
        <v>#REF!</v>
      </c>
      <c r="BH75">
        <f>VLOOKUP($E75,'Formatted NEW'!$M$2:$T$202,4,FALSE)</f>
        <v>0</v>
      </c>
      <c r="BI75" s="26" t="e">
        <f>VLOOKUP(VLOOKUP(VLOOKUP($E75,'Formatted NEW'!$M$2:$O$202,2,FALSE),'Formatted NEW'!$D$2:$F$202,10,FALSE),'Formatted NEW'!$D$2:$O$202,12,FALSE)</f>
        <v>#REF!</v>
      </c>
      <c r="BJ75" t="e">
        <f>VLOOKUP($BI75,'Formatted NEW'!$M$2:$T$202,3,FALSE)</f>
        <v>#REF!</v>
      </c>
      <c r="BK75" s="26" t="e">
        <f t="shared" si="6"/>
        <v>#REF!</v>
      </c>
    </row>
    <row r="76" spans="1:63" x14ac:dyDescent="0.25">
      <c r="A76" t="str">
        <f>'Formatted NEW'!Q74</f>
        <v>DIAG_BOTH</v>
      </c>
      <c r="B76" t="str">
        <f>'Formatted NEW'!R74</f>
        <v>DIAG_BOTH</v>
      </c>
      <c r="C76" t="str">
        <f>'Formatted NEW'!S74</f>
        <v>ORTHO_BOTH</v>
      </c>
      <c r="D76" t="str">
        <f>'Formatted NEW'!T74</f>
        <v>DIAG_BOTH</v>
      </c>
      <c r="E76" s="26">
        <f t="shared" si="4"/>
        <v>72</v>
      </c>
      <c r="H76" s="30" t="str" cm="1">
        <f t="array" aca="1" ref="H76" ca="1">IF(ISNUMBER(SEARCH(INDIRECT(ADDRESS(ROW(H76),MOD(H$1,4)+1)),H$2)),$E76,"")</f>
        <v/>
      </c>
      <c r="I76" s="26" t="str" cm="1">
        <f t="array" aca="1" ref="I76" ca="1">IF(ISNUMBER(SEARCH(INDIRECT(ADDRESS(ROW(I76),MOD(I$1,4)+1)),I$2)),$E76,"")</f>
        <v/>
      </c>
      <c r="J76" s="26" t="str" cm="1">
        <f t="array" aca="1" ref="J76" ca="1">IF(ISNUMBER(SEARCH(INDIRECT(ADDRESS(ROW(J76),MOD(J$1,4)+1)),J$2)),$E76,"")</f>
        <v/>
      </c>
      <c r="K76" s="26" t="str" cm="1">
        <f t="array" aca="1" ref="K76" ca="1">IF(ISNUMBER(SEARCH(INDIRECT(ADDRESS(ROW(K76),MOD(K$1,4)+1)),K$2)),$E76,"")</f>
        <v/>
      </c>
      <c r="L76" s="26" cm="1">
        <f t="array" aca="1" ref="L76" ca="1">IF(ISNUMBER(SEARCH(INDIRECT(ADDRESS(ROW(L76),MOD(L$1,4)+1)),L$2)),$E76,"")</f>
        <v>72</v>
      </c>
      <c r="M76" s="26" cm="1">
        <f t="array" aca="1" ref="M76" ca="1">IF(ISNUMBER(SEARCH(INDIRECT(ADDRESS(ROW(M76),MOD(M$1,4)+1)),M$2)),$E76,"")</f>
        <v>72</v>
      </c>
      <c r="N76" s="26" t="str" cm="1">
        <f t="array" aca="1" ref="N76" ca="1">IF(ISNUMBER(SEARCH(INDIRECT(ADDRESS(ROW(N76),MOD(N$1,4)+1)),N$2)),$E76,"")</f>
        <v/>
      </c>
      <c r="O76" s="26" cm="1">
        <f t="array" aca="1" ref="O76" ca="1">IF(ISNUMBER(SEARCH(INDIRECT(ADDRESS(ROW(O76),MOD(O$1,4)+1)),O$2)),$E76,"")</f>
        <v>72</v>
      </c>
      <c r="P76" s="26" t="str" cm="1">
        <f t="array" aca="1" ref="P76" ca="1">IF(ISNUMBER(SEARCH(INDIRECT(ADDRESS(ROW(P76),MOD(P$1,4)+1)),P$2)),$E76,"")</f>
        <v/>
      </c>
      <c r="Q76" s="26" t="str" cm="1">
        <f t="array" aca="1" ref="Q76" ca="1">IF(ISNUMBER(SEARCH(INDIRECT(ADDRESS(ROW(Q76),MOD(Q$1,4)+1)),Q$2)),$E76,"")</f>
        <v/>
      </c>
      <c r="R76" s="26" cm="1">
        <f t="array" aca="1" ref="R76" ca="1">IF(ISNUMBER(SEARCH(INDIRECT(ADDRESS(ROW(R76),MOD(R$1,4)+1)),R$2)),$E76,"")</f>
        <v>72</v>
      </c>
      <c r="S76" s="26" t="str" cm="1">
        <f t="array" aca="1" ref="S76" ca="1">IF(ISNUMBER(SEARCH(INDIRECT(ADDRESS(ROW(S76),MOD(S$1,4)+1)),S$2)),$E76,"")</f>
        <v/>
      </c>
      <c r="T76" s="26" t="str" cm="1">
        <f t="array" aca="1" ref="T76" ca="1">IF(ISNUMBER(SEARCH(INDIRECT(ADDRESS(ROW(T76),MOD(T$1,4)+1)),T$2)),$E76,"")</f>
        <v/>
      </c>
      <c r="U76" s="26" t="str" cm="1">
        <f t="array" aca="1" ref="U76" ca="1">IF(ISNUMBER(SEARCH(INDIRECT(ADDRESS(ROW(U76),MOD(U$1,4)+1)),U$2)),$E76,"")</f>
        <v/>
      </c>
      <c r="V76" s="26" t="str" cm="1">
        <f t="array" aca="1" ref="V76" ca="1">IF(ISNUMBER(SEARCH(INDIRECT(ADDRESS(ROW(V76),MOD(V$1,4)+1)),V$2)),$E76,"")</f>
        <v/>
      </c>
      <c r="W76" s="26" t="str" cm="1">
        <f t="array" aca="1" ref="W76" ca="1">IF(ISNUMBER(SEARCH(INDIRECT(ADDRESS(ROW(W76),MOD(W$1,4)+1)),W$2)),$E76,"")</f>
        <v/>
      </c>
      <c r="X76" s="26" t="str" cm="1">
        <f t="array" aca="1" ref="X76" ca="1">IF(ISNUMBER(SEARCH(INDIRECT(ADDRESS(ROW(X76),MOD(X$1,4)+1)),X$2)),$E76,"")</f>
        <v/>
      </c>
      <c r="Y76" s="26" t="str" cm="1">
        <f t="array" aca="1" ref="Y76" ca="1">IF(ISNUMBER(SEARCH(INDIRECT(ADDRESS(ROW(Y76),MOD(Y$1,4)+1)),Y$2)),$E76,"")</f>
        <v/>
      </c>
      <c r="Z76" s="26" t="str" cm="1">
        <f t="array" aca="1" ref="Z76" ca="1">IF(ISNUMBER(SEARCH(INDIRECT(ADDRESS(ROW(Z76),MOD(Z$1,4)+1)),Z$2)),$E76,"")</f>
        <v/>
      </c>
      <c r="AA76" s="26" t="str" cm="1">
        <f t="array" aca="1" ref="AA76" ca="1">IF(ISNUMBER(SEARCH(INDIRECT(ADDRESS(ROW(AA76),MOD(AA$1,4)+1)),AA$2)),$E76,"")</f>
        <v/>
      </c>
      <c r="AB76" s="26" t="str" cm="1">
        <f t="array" aca="1" ref="AB76" ca="1">IF(ISNUMBER(SEARCH(INDIRECT(ADDRESS(ROW(AB76),MOD(AB$1,4)+1)),AB$2)),$E76,"")</f>
        <v/>
      </c>
      <c r="AC76" s="26" t="str" cm="1">
        <f t="array" aca="1" ref="AC76" ca="1">IF(ISNUMBER(SEARCH(INDIRECT(ADDRESS(ROW(AC76),MOD(AC$1,4)+1)),AC$2)),$E76,"")</f>
        <v/>
      </c>
      <c r="AD76" s="26" t="str" cm="1">
        <f t="array" aca="1" ref="AD76" ca="1">IF(ISNUMBER(SEARCH(INDIRECT(ADDRESS(ROW(AD76),MOD(AD$1,4)+1)),AD$2)),$E76,"")</f>
        <v/>
      </c>
      <c r="AE76" s="26" t="str" cm="1">
        <f t="array" aca="1" ref="AE76" ca="1">IF(ISNUMBER(SEARCH(INDIRECT(ADDRESS(ROW(AE76),MOD(AE$1,4)+1)),AE$2)),$E76,"")</f>
        <v/>
      </c>
      <c r="AF76" s="26" t="str" cm="1">
        <f t="array" aca="1" ref="AF76" ca="1">IF(ISNUMBER(SEARCH(INDIRECT(ADDRESS(ROW(AF76),MOD(AF$1,4)+1)),AF$2)),$E76,"")</f>
        <v/>
      </c>
      <c r="AG76" s="26" t="str" cm="1">
        <f t="array" aca="1" ref="AG76" ca="1">IF(ISNUMBER(SEARCH(INDIRECT(ADDRESS(ROW(AG76),MOD(AG$1,4)+1)),AG$2)),$E76,"")</f>
        <v/>
      </c>
      <c r="AH76" s="26" t="str" cm="1">
        <f t="array" aca="1" ref="AH76" ca="1">IF(ISNUMBER(SEARCH(INDIRECT(ADDRESS(ROW(AH76),MOD(AH$1,4)+1)),AH$2)),$E76,"")</f>
        <v/>
      </c>
      <c r="AI76" s="26" t="str" cm="1">
        <f t="array" aca="1" ref="AI76" ca="1">IF(ISNUMBER(SEARCH(INDIRECT(ADDRESS(ROW(AI76),MOD(AI$1,4)+1)),AI$2)),$E76,"")</f>
        <v/>
      </c>
      <c r="AJ76" s="26" t="str" cm="1">
        <f t="array" aca="1" ref="AJ76" ca="1">IF(ISNUMBER(SEARCH(INDIRECT(ADDRESS(ROW(AJ76),MOD(AJ$1,4)+1)),AJ$2)),$E76,"")</f>
        <v/>
      </c>
      <c r="AK76" s="26" t="str" cm="1">
        <f t="array" aca="1" ref="AK76" ca="1">IF(ISNUMBER(SEARCH(INDIRECT(ADDRESS(ROW(AK76),MOD(AK$1,4)+1)),AK$2)),$E76,"")</f>
        <v/>
      </c>
      <c r="AL76" s="26" t="str" cm="1">
        <f t="array" aca="1" ref="AL76" ca="1">IF(ISNUMBER(SEARCH(INDIRECT(ADDRESS(ROW(AL76),MOD(AL$1,4)+1)),AL$2)),$E76,"")</f>
        <v/>
      </c>
      <c r="AM76" s="26" t="str" cm="1">
        <f t="array" aca="1" ref="AM76" ca="1">IF(ISNUMBER(SEARCH(INDIRECT(ADDRESS(ROW(AM76),MOD(AM$1,4)+1)),AM$2)),$E76,"")</f>
        <v/>
      </c>
      <c r="AN76" s="26" t="str" cm="1">
        <f t="array" aca="1" ref="AN76" ca="1">IF(ISNUMBER(SEARCH(INDIRECT(ADDRESS(ROW(AN76),MOD(AN$1,4)+1)),AN$2)),$E76,"")</f>
        <v/>
      </c>
      <c r="AO76" s="26" t="str" cm="1">
        <f t="array" aca="1" ref="AO76" ca="1">IF(ISNUMBER(SEARCH(INDIRECT(ADDRESS(ROW(AO76),MOD(AO$1,4)+1)),AO$2)),$E76,"")</f>
        <v/>
      </c>
      <c r="AP76" s="26" t="str" cm="1">
        <f t="array" aca="1" ref="AP76" ca="1">IF(ISNUMBER(SEARCH(INDIRECT(ADDRESS(ROW(AP76),MOD(AP$1,4)+1)),AP$2)),$E76,"")</f>
        <v/>
      </c>
      <c r="AQ76" s="31" t="str" cm="1">
        <f t="array" aca="1" ref="AQ76" ca="1">IF(ISNUMBER(SEARCH(INDIRECT(ADDRESS(ROW(AQ76),MOD(AQ$1,4)+1)),AQ$2)),$E76,"")</f>
        <v/>
      </c>
      <c r="AT76" t="e">
        <f>IF(VLOOKUP($E76,'Formatted NEW'!$B$2:$F$202,5,FALSE)=VLOOKUP($E76,'Formatted NEW'!$B$2:$F$202,8,FALSE),$E76,"")</f>
        <v>#N/A</v>
      </c>
      <c r="AW76" t="e">
        <f>IF(VLOOKUP($E76,'Formatted NEW'!$B$2:$F$202,5,FALSE)=VLOOKUP($E76,'Formatted NEW'!$B$2:$F$202,11,FALSE),$E76,"")</f>
        <v>#N/A</v>
      </c>
      <c r="AZ76" t="e">
        <f>IF(VLOOKUP($E76,'Formatted NEW'!$B$2:$F$202,5,FALSE)=VLOOKUP($E76,'Formatted NEW'!$B$2:$F$202,14,FALSE),$E76,"")</f>
        <v>#N/A</v>
      </c>
      <c r="BC76" t="str">
        <f>VLOOKUP($E76,'Formatted NEW'!$M$2:$T$202,6,FALSE)</f>
        <v>DIAG_BOTH</v>
      </c>
      <c r="BD76" s="26" t="e">
        <f>VLOOKUP(VLOOKUP(VLOOKUP($E76,'Formatted NEW'!$M$2:$O$202,2,FALSE),'Formatted NEW'!$D$2:$F$202,7,FALSE),'Formatted NEW'!$D$2:$O$202,12,FALSE)</f>
        <v>#REF!</v>
      </c>
      <c r="BE76" t="e">
        <f>VLOOKUP($BD76,'Formatted NEW'!$M$2:$T$202,5,FALSE)</f>
        <v>#REF!</v>
      </c>
      <c r="BF76" s="26" t="e">
        <f t="shared" si="5"/>
        <v>#REF!</v>
      </c>
      <c r="BH76">
        <f>VLOOKUP($E76,'Formatted NEW'!$M$2:$T$202,4,FALSE)</f>
        <v>0</v>
      </c>
      <c r="BI76" s="26" t="e">
        <f>VLOOKUP(VLOOKUP(VLOOKUP($E76,'Formatted NEW'!$M$2:$O$202,2,FALSE),'Formatted NEW'!$D$2:$F$202,10,FALSE),'Formatted NEW'!$D$2:$O$202,12,FALSE)</f>
        <v>#REF!</v>
      </c>
      <c r="BJ76" t="e">
        <f>VLOOKUP($BI76,'Formatted NEW'!$M$2:$T$202,3,FALSE)</f>
        <v>#REF!</v>
      </c>
      <c r="BK76" s="26" t="e">
        <f t="shared" si="6"/>
        <v>#REF!</v>
      </c>
    </row>
    <row r="77" spans="1:63" x14ac:dyDescent="0.25">
      <c r="A77" t="str">
        <f>'Formatted NEW'!Q75</f>
        <v>ORTHO_BOTH</v>
      </c>
      <c r="B77" t="str">
        <f>'Formatted NEW'!R75</f>
        <v>DIAG_BOTH</v>
      </c>
      <c r="C77" t="str">
        <f>'Formatted NEW'!S75</f>
        <v>DIAG_BOTH</v>
      </c>
      <c r="D77" t="str">
        <f>'Formatted NEW'!T75</f>
        <v>EMPTY</v>
      </c>
      <c r="E77" s="26">
        <f t="shared" si="4"/>
        <v>73</v>
      </c>
      <c r="H77" s="30" t="str" cm="1">
        <f t="array" aca="1" ref="H77" ca="1">IF(ISNUMBER(SEARCH(INDIRECT(ADDRESS(ROW(H77),MOD(H$1,4)+1)),H$2)),$E77,"")</f>
        <v/>
      </c>
      <c r="I77" s="26" t="str" cm="1">
        <f t="array" aca="1" ref="I77" ca="1">IF(ISNUMBER(SEARCH(INDIRECT(ADDRESS(ROW(I77),MOD(I$1,4)+1)),I$2)),$E77,"")</f>
        <v/>
      </c>
      <c r="J77" s="26" t="str" cm="1">
        <f t="array" aca="1" ref="J77" ca="1">IF(ISNUMBER(SEARCH(INDIRECT(ADDRESS(ROW(J77),MOD(J$1,4)+1)),J$2)),$E77,"")</f>
        <v/>
      </c>
      <c r="K77" s="26" t="str" cm="1">
        <f t="array" aca="1" ref="K77" ca="1">IF(ISNUMBER(SEARCH(INDIRECT(ADDRESS(ROW(K77),MOD(K$1,4)+1)),K$2)),$E77,"")</f>
        <v/>
      </c>
      <c r="L77" s="26" t="str" cm="1">
        <f t="array" aca="1" ref="L77" ca="1">IF(ISNUMBER(SEARCH(INDIRECT(ADDRESS(ROW(L77),MOD(L$1,4)+1)),L$2)),$E77,"")</f>
        <v/>
      </c>
      <c r="M77" s="26" cm="1">
        <f t="array" aca="1" ref="M77" ca="1">IF(ISNUMBER(SEARCH(INDIRECT(ADDRESS(ROW(M77),MOD(M$1,4)+1)),M$2)),$E77,"")</f>
        <v>73</v>
      </c>
      <c r="N77" s="26" cm="1">
        <f t="array" aca="1" ref="N77" ca="1">IF(ISNUMBER(SEARCH(INDIRECT(ADDRESS(ROW(N77),MOD(N$1,4)+1)),N$2)),$E77,"")</f>
        <v>73</v>
      </c>
      <c r="O77" s="26" t="str" cm="1">
        <f t="array" aca="1" ref="O77" ca="1">IF(ISNUMBER(SEARCH(INDIRECT(ADDRESS(ROW(O77),MOD(O$1,4)+1)),O$2)),$E77,"")</f>
        <v/>
      </c>
      <c r="P77" s="26" cm="1">
        <f t="array" aca="1" ref="P77" ca="1">IF(ISNUMBER(SEARCH(INDIRECT(ADDRESS(ROW(P77),MOD(P$1,4)+1)),P$2)),$E77,"")</f>
        <v>73</v>
      </c>
      <c r="Q77" s="26" t="str" cm="1">
        <f t="array" aca="1" ref="Q77" ca="1">IF(ISNUMBER(SEARCH(INDIRECT(ADDRESS(ROW(Q77),MOD(Q$1,4)+1)),Q$2)),$E77,"")</f>
        <v/>
      </c>
      <c r="R77" s="26" t="str" cm="1">
        <f t="array" aca="1" ref="R77" ca="1">IF(ISNUMBER(SEARCH(INDIRECT(ADDRESS(ROW(R77),MOD(R$1,4)+1)),R$2)),$E77,"")</f>
        <v/>
      </c>
      <c r="S77" s="26" t="str" cm="1">
        <f t="array" aca="1" ref="S77" ca="1">IF(ISNUMBER(SEARCH(INDIRECT(ADDRESS(ROW(S77),MOD(S$1,4)+1)),S$2)),$E77,"")</f>
        <v/>
      </c>
      <c r="T77" s="26" t="str" cm="1">
        <f t="array" aca="1" ref="T77" ca="1">IF(ISNUMBER(SEARCH(INDIRECT(ADDRESS(ROW(T77),MOD(T$1,4)+1)),T$2)),$E77,"")</f>
        <v/>
      </c>
      <c r="U77" s="26" t="str" cm="1">
        <f t="array" aca="1" ref="U77" ca="1">IF(ISNUMBER(SEARCH(INDIRECT(ADDRESS(ROW(U77),MOD(U$1,4)+1)),U$2)),$E77,"")</f>
        <v/>
      </c>
      <c r="V77" s="26" t="str" cm="1">
        <f t="array" aca="1" ref="V77" ca="1">IF(ISNUMBER(SEARCH(INDIRECT(ADDRESS(ROW(V77),MOD(V$1,4)+1)),V$2)),$E77,"")</f>
        <v/>
      </c>
      <c r="W77" s="26" t="str" cm="1">
        <f t="array" aca="1" ref="W77" ca="1">IF(ISNUMBER(SEARCH(INDIRECT(ADDRESS(ROW(W77),MOD(W$1,4)+1)),W$2)),$E77,"")</f>
        <v/>
      </c>
      <c r="X77" s="26" t="str" cm="1">
        <f t="array" aca="1" ref="X77" ca="1">IF(ISNUMBER(SEARCH(INDIRECT(ADDRESS(ROW(X77),MOD(X$1,4)+1)),X$2)),$E77,"")</f>
        <v/>
      </c>
      <c r="Y77" s="26" t="str" cm="1">
        <f t="array" aca="1" ref="Y77" ca="1">IF(ISNUMBER(SEARCH(INDIRECT(ADDRESS(ROW(Y77),MOD(Y$1,4)+1)),Y$2)),$E77,"")</f>
        <v/>
      </c>
      <c r="Z77" s="26" t="str" cm="1">
        <f t="array" aca="1" ref="Z77" ca="1">IF(ISNUMBER(SEARCH(INDIRECT(ADDRESS(ROW(Z77),MOD(Z$1,4)+1)),Z$2)),$E77,"")</f>
        <v/>
      </c>
      <c r="AA77" s="26" t="str" cm="1">
        <f t="array" aca="1" ref="AA77" ca="1">IF(ISNUMBER(SEARCH(INDIRECT(ADDRESS(ROW(AA77),MOD(AA$1,4)+1)),AA$2)),$E77,"")</f>
        <v/>
      </c>
      <c r="AB77" s="26" t="str" cm="1">
        <f t="array" aca="1" ref="AB77" ca="1">IF(ISNUMBER(SEARCH(INDIRECT(ADDRESS(ROW(AB77),MOD(AB$1,4)+1)),AB$2)),$E77,"")</f>
        <v/>
      </c>
      <c r="AC77" s="26" t="str" cm="1">
        <f t="array" aca="1" ref="AC77" ca="1">IF(ISNUMBER(SEARCH(INDIRECT(ADDRESS(ROW(AC77),MOD(AC$1,4)+1)),AC$2)),$E77,"")</f>
        <v/>
      </c>
      <c r="AD77" s="26" t="str" cm="1">
        <f t="array" aca="1" ref="AD77" ca="1">IF(ISNUMBER(SEARCH(INDIRECT(ADDRESS(ROW(AD77),MOD(AD$1,4)+1)),AD$2)),$E77,"")</f>
        <v/>
      </c>
      <c r="AE77" s="26" t="str" cm="1">
        <f t="array" aca="1" ref="AE77" ca="1">IF(ISNUMBER(SEARCH(INDIRECT(ADDRESS(ROW(AE77),MOD(AE$1,4)+1)),AE$2)),$E77,"")</f>
        <v/>
      </c>
      <c r="AF77" s="26" t="str" cm="1">
        <f t="array" aca="1" ref="AF77" ca="1">IF(ISNUMBER(SEARCH(INDIRECT(ADDRESS(ROW(AF77),MOD(AF$1,4)+1)),AF$2)),$E77,"")</f>
        <v/>
      </c>
      <c r="AG77" s="26" t="str" cm="1">
        <f t="array" aca="1" ref="AG77" ca="1">IF(ISNUMBER(SEARCH(INDIRECT(ADDRESS(ROW(AG77),MOD(AG$1,4)+1)),AG$2)),$E77,"")</f>
        <v/>
      </c>
      <c r="AH77" s="26" t="str" cm="1">
        <f t="array" aca="1" ref="AH77" ca="1">IF(ISNUMBER(SEARCH(INDIRECT(ADDRESS(ROW(AH77),MOD(AH$1,4)+1)),AH$2)),$E77,"")</f>
        <v/>
      </c>
      <c r="AI77" s="26" t="str" cm="1">
        <f t="array" aca="1" ref="AI77" ca="1">IF(ISNUMBER(SEARCH(INDIRECT(ADDRESS(ROW(AI77),MOD(AI$1,4)+1)),AI$2)),$E77,"")</f>
        <v/>
      </c>
      <c r="AJ77" s="26" t="str" cm="1">
        <f t="array" aca="1" ref="AJ77" ca="1">IF(ISNUMBER(SEARCH(INDIRECT(ADDRESS(ROW(AJ77),MOD(AJ$1,4)+1)),AJ$2)),$E77,"")</f>
        <v/>
      </c>
      <c r="AK77" s="26" t="str" cm="1">
        <f t="array" aca="1" ref="AK77" ca="1">IF(ISNUMBER(SEARCH(INDIRECT(ADDRESS(ROW(AK77),MOD(AK$1,4)+1)),AK$2)),$E77,"")</f>
        <v/>
      </c>
      <c r="AL77" s="26" t="str" cm="1">
        <f t="array" aca="1" ref="AL77" ca="1">IF(ISNUMBER(SEARCH(INDIRECT(ADDRESS(ROW(AL77),MOD(AL$1,4)+1)),AL$2)),$E77,"")</f>
        <v/>
      </c>
      <c r="AM77" s="26" t="str" cm="1">
        <f t="array" aca="1" ref="AM77" ca="1">IF(ISNUMBER(SEARCH(INDIRECT(ADDRESS(ROW(AM77),MOD(AM$1,4)+1)),AM$2)),$E77,"")</f>
        <v/>
      </c>
      <c r="AN77" s="26" t="str" cm="1">
        <f t="array" aca="1" ref="AN77" ca="1">IF(ISNUMBER(SEARCH(INDIRECT(ADDRESS(ROW(AN77),MOD(AN$1,4)+1)),AN$2)),$E77,"")</f>
        <v/>
      </c>
      <c r="AO77" s="26" t="str" cm="1">
        <f t="array" aca="1" ref="AO77" ca="1">IF(ISNUMBER(SEARCH(INDIRECT(ADDRESS(ROW(AO77),MOD(AO$1,4)+1)),AO$2)),$E77,"")</f>
        <v/>
      </c>
      <c r="AP77" s="26" t="str" cm="1">
        <f t="array" aca="1" ref="AP77" ca="1">IF(ISNUMBER(SEARCH(INDIRECT(ADDRESS(ROW(AP77),MOD(AP$1,4)+1)),AP$2)),$E77,"")</f>
        <v/>
      </c>
      <c r="AQ77" s="31" t="str" cm="1">
        <f t="array" aca="1" ref="AQ77" ca="1">IF(ISNUMBER(SEARCH(INDIRECT(ADDRESS(ROW(AQ77),MOD(AQ$1,4)+1)),AQ$2)),$E77,"")</f>
        <v/>
      </c>
      <c r="AT77" t="e">
        <f>IF(VLOOKUP($E77,'Formatted NEW'!$B$2:$F$202,5,FALSE)=VLOOKUP($E77,'Formatted NEW'!$B$2:$F$202,8,FALSE),$E77,"")</f>
        <v>#N/A</v>
      </c>
      <c r="AW77" t="e">
        <f>IF(VLOOKUP($E77,'Formatted NEW'!$B$2:$F$202,5,FALSE)=VLOOKUP($E77,'Formatted NEW'!$B$2:$F$202,11,FALSE),$E77,"")</f>
        <v>#N/A</v>
      </c>
      <c r="AZ77" t="e">
        <f>IF(VLOOKUP($E77,'Formatted NEW'!$B$2:$F$202,5,FALSE)=VLOOKUP($E77,'Formatted NEW'!$B$2:$F$202,14,FALSE),$E77,"")</f>
        <v>#N/A</v>
      </c>
      <c r="BC77" t="str">
        <f>VLOOKUP($E77,'Formatted NEW'!$M$2:$T$202,6,FALSE)</f>
        <v>DIAG_BOTH</v>
      </c>
      <c r="BD77" s="26" t="e">
        <f>VLOOKUP(VLOOKUP(VLOOKUP($E77,'Formatted NEW'!$M$2:$O$202,2,FALSE),'Formatted NEW'!$D$2:$F$202,7,FALSE),'Formatted NEW'!$D$2:$O$202,12,FALSE)</f>
        <v>#REF!</v>
      </c>
      <c r="BE77" t="e">
        <f>VLOOKUP($BD77,'Formatted NEW'!$M$2:$T$202,5,FALSE)</f>
        <v>#REF!</v>
      </c>
      <c r="BF77" s="26" t="e">
        <f t="shared" si="5"/>
        <v>#REF!</v>
      </c>
      <c r="BH77">
        <f>VLOOKUP($E77,'Formatted NEW'!$M$2:$T$202,4,FALSE)</f>
        <v>0</v>
      </c>
      <c r="BI77" s="26" t="e">
        <f>VLOOKUP(VLOOKUP(VLOOKUP($E77,'Formatted NEW'!$M$2:$O$202,2,FALSE),'Formatted NEW'!$D$2:$F$202,10,FALSE),'Formatted NEW'!$D$2:$O$202,12,FALSE)</f>
        <v>#REF!</v>
      </c>
      <c r="BJ77" t="e">
        <f>VLOOKUP($BI77,'Formatted NEW'!$M$2:$T$202,3,FALSE)</f>
        <v>#REF!</v>
      </c>
      <c r="BK77" s="26" t="e">
        <f t="shared" si="6"/>
        <v>#REF!</v>
      </c>
    </row>
    <row r="78" spans="1:63" x14ac:dyDescent="0.25">
      <c r="A78" t="str">
        <f>'Formatted NEW'!Q76</f>
        <v>EMPTY</v>
      </c>
      <c r="B78" t="str">
        <f>'Formatted NEW'!R76</f>
        <v>DIAG_BOTH</v>
      </c>
      <c r="C78" t="str">
        <f>'Formatted NEW'!S76</f>
        <v>DIAG_BOTH</v>
      </c>
      <c r="D78" t="str">
        <f>'Formatted NEW'!T76</f>
        <v>ORTHO_BOTH</v>
      </c>
      <c r="E78" s="26">
        <f t="shared" si="4"/>
        <v>74</v>
      </c>
      <c r="H78" s="30" t="str" cm="1">
        <f t="array" aca="1" ref="H78" ca="1">IF(ISNUMBER(SEARCH(INDIRECT(ADDRESS(ROW(H78),MOD(H$1,4)+1)),H$2)),$E78,"")</f>
        <v/>
      </c>
      <c r="I78" s="26" t="str" cm="1">
        <f t="array" aca="1" ref="I78" ca="1">IF(ISNUMBER(SEARCH(INDIRECT(ADDRESS(ROW(I78),MOD(I$1,4)+1)),I$2)),$E78,"")</f>
        <v/>
      </c>
      <c r="J78" s="26" t="str" cm="1">
        <f t="array" aca="1" ref="J78" ca="1">IF(ISNUMBER(SEARCH(INDIRECT(ADDRESS(ROW(J78),MOD(J$1,4)+1)),J$2)),$E78,"")</f>
        <v/>
      </c>
      <c r="K78" s="26" t="str" cm="1">
        <f t="array" aca="1" ref="K78" ca="1">IF(ISNUMBER(SEARCH(INDIRECT(ADDRESS(ROW(K78),MOD(K$1,4)+1)),K$2)),$E78,"")</f>
        <v/>
      </c>
      <c r="L78" s="26" t="str" cm="1">
        <f t="array" aca="1" ref="L78" ca="1">IF(ISNUMBER(SEARCH(INDIRECT(ADDRESS(ROW(L78),MOD(L$1,4)+1)),L$2)),$E78,"")</f>
        <v/>
      </c>
      <c r="M78" s="26" cm="1">
        <f t="array" aca="1" ref="M78" ca="1">IF(ISNUMBER(SEARCH(INDIRECT(ADDRESS(ROW(M78),MOD(M$1,4)+1)),M$2)),$E78,"")</f>
        <v>74</v>
      </c>
      <c r="N78" s="26" cm="1">
        <f t="array" aca="1" ref="N78" ca="1">IF(ISNUMBER(SEARCH(INDIRECT(ADDRESS(ROW(N78),MOD(N$1,4)+1)),N$2)),$E78,"")</f>
        <v>74</v>
      </c>
      <c r="O78" s="26" t="str" cm="1">
        <f t="array" aca="1" ref="O78" ca="1">IF(ISNUMBER(SEARCH(INDIRECT(ADDRESS(ROW(O78),MOD(O$1,4)+1)),O$2)),$E78,"")</f>
        <v/>
      </c>
      <c r="P78" s="26" t="str" cm="1">
        <f t="array" aca="1" ref="P78" ca="1">IF(ISNUMBER(SEARCH(INDIRECT(ADDRESS(ROW(P78),MOD(P$1,4)+1)),P$2)),$E78,"")</f>
        <v/>
      </c>
      <c r="Q78" s="26" t="str" cm="1">
        <f t="array" aca="1" ref="Q78" ca="1">IF(ISNUMBER(SEARCH(INDIRECT(ADDRESS(ROW(Q78),MOD(Q$1,4)+1)),Q$2)),$E78,"")</f>
        <v/>
      </c>
      <c r="R78" s="26" t="str" cm="1">
        <f t="array" aca="1" ref="R78" ca="1">IF(ISNUMBER(SEARCH(INDIRECT(ADDRESS(ROW(R78),MOD(R$1,4)+1)),R$2)),$E78,"")</f>
        <v/>
      </c>
      <c r="S78" s="26" cm="1">
        <f t="array" aca="1" ref="S78" ca="1">IF(ISNUMBER(SEARCH(INDIRECT(ADDRESS(ROW(S78),MOD(S$1,4)+1)),S$2)),$E78,"")</f>
        <v>74</v>
      </c>
      <c r="T78" s="26" t="str" cm="1">
        <f t="array" aca="1" ref="T78" ca="1">IF(ISNUMBER(SEARCH(INDIRECT(ADDRESS(ROW(T78),MOD(T$1,4)+1)),T$2)),$E78,"")</f>
        <v/>
      </c>
      <c r="U78" s="26" t="str" cm="1">
        <f t="array" aca="1" ref="U78" ca="1">IF(ISNUMBER(SEARCH(INDIRECT(ADDRESS(ROW(U78),MOD(U$1,4)+1)),U$2)),$E78,"")</f>
        <v/>
      </c>
      <c r="V78" s="26" t="str" cm="1">
        <f t="array" aca="1" ref="V78" ca="1">IF(ISNUMBER(SEARCH(INDIRECT(ADDRESS(ROW(V78),MOD(V$1,4)+1)),V$2)),$E78,"")</f>
        <v/>
      </c>
      <c r="W78" s="26" t="str" cm="1">
        <f t="array" aca="1" ref="W78" ca="1">IF(ISNUMBER(SEARCH(INDIRECT(ADDRESS(ROW(W78),MOD(W$1,4)+1)),W$2)),$E78,"")</f>
        <v/>
      </c>
      <c r="X78" s="26" t="str" cm="1">
        <f t="array" aca="1" ref="X78" ca="1">IF(ISNUMBER(SEARCH(INDIRECT(ADDRESS(ROW(X78),MOD(X$1,4)+1)),X$2)),$E78,"")</f>
        <v/>
      </c>
      <c r="Y78" s="26" t="str" cm="1">
        <f t="array" aca="1" ref="Y78" ca="1">IF(ISNUMBER(SEARCH(INDIRECT(ADDRESS(ROW(Y78),MOD(Y$1,4)+1)),Y$2)),$E78,"")</f>
        <v/>
      </c>
      <c r="Z78" s="26" t="str" cm="1">
        <f t="array" aca="1" ref="Z78" ca="1">IF(ISNUMBER(SEARCH(INDIRECT(ADDRESS(ROW(Z78),MOD(Z$1,4)+1)),Z$2)),$E78,"")</f>
        <v/>
      </c>
      <c r="AA78" s="26" t="str" cm="1">
        <f t="array" aca="1" ref="AA78" ca="1">IF(ISNUMBER(SEARCH(INDIRECT(ADDRESS(ROW(AA78),MOD(AA$1,4)+1)),AA$2)),$E78,"")</f>
        <v/>
      </c>
      <c r="AB78" s="26" t="str" cm="1">
        <f t="array" aca="1" ref="AB78" ca="1">IF(ISNUMBER(SEARCH(INDIRECT(ADDRESS(ROW(AB78),MOD(AB$1,4)+1)),AB$2)),$E78,"")</f>
        <v/>
      </c>
      <c r="AC78" s="26" t="str" cm="1">
        <f t="array" aca="1" ref="AC78" ca="1">IF(ISNUMBER(SEARCH(INDIRECT(ADDRESS(ROW(AC78),MOD(AC$1,4)+1)),AC$2)),$E78,"")</f>
        <v/>
      </c>
      <c r="AD78" s="26" t="str" cm="1">
        <f t="array" aca="1" ref="AD78" ca="1">IF(ISNUMBER(SEARCH(INDIRECT(ADDRESS(ROW(AD78),MOD(AD$1,4)+1)),AD$2)),$E78,"")</f>
        <v/>
      </c>
      <c r="AE78" s="26" t="str" cm="1">
        <f t="array" aca="1" ref="AE78" ca="1">IF(ISNUMBER(SEARCH(INDIRECT(ADDRESS(ROW(AE78),MOD(AE$1,4)+1)),AE$2)),$E78,"")</f>
        <v/>
      </c>
      <c r="AF78" s="26" t="str" cm="1">
        <f t="array" aca="1" ref="AF78" ca="1">IF(ISNUMBER(SEARCH(INDIRECT(ADDRESS(ROW(AF78),MOD(AF$1,4)+1)),AF$2)),$E78,"")</f>
        <v/>
      </c>
      <c r="AG78" s="26" t="str" cm="1">
        <f t="array" aca="1" ref="AG78" ca="1">IF(ISNUMBER(SEARCH(INDIRECT(ADDRESS(ROW(AG78),MOD(AG$1,4)+1)),AG$2)),$E78,"")</f>
        <v/>
      </c>
      <c r="AH78" s="26" t="str" cm="1">
        <f t="array" aca="1" ref="AH78" ca="1">IF(ISNUMBER(SEARCH(INDIRECT(ADDRESS(ROW(AH78),MOD(AH$1,4)+1)),AH$2)),$E78,"")</f>
        <v/>
      </c>
      <c r="AI78" s="26" t="str" cm="1">
        <f t="array" aca="1" ref="AI78" ca="1">IF(ISNUMBER(SEARCH(INDIRECT(ADDRESS(ROW(AI78),MOD(AI$1,4)+1)),AI$2)),$E78,"")</f>
        <v/>
      </c>
      <c r="AJ78" s="26" t="str" cm="1">
        <f t="array" aca="1" ref="AJ78" ca="1">IF(ISNUMBER(SEARCH(INDIRECT(ADDRESS(ROW(AJ78),MOD(AJ$1,4)+1)),AJ$2)),$E78,"")</f>
        <v/>
      </c>
      <c r="AK78" s="26" t="str" cm="1">
        <f t="array" aca="1" ref="AK78" ca="1">IF(ISNUMBER(SEARCH(INDIRECT(ADDRESS(ROW(AK78),MOD(AK$1,4)+1)),AK$2)),$E78,"")</f>
        <v/>
      </c>
      <c r="AL78" s="26" t="str" cm="1">
        <f t="array" aca="1" ref="AL78" ca="1">IF(ISNUMBER(SEARCH(INDIRECT(ADDRESS(ROW(AL78),MOD(AL$1,4)+1)),AL$2)),$E78,"")</f>
        <v/>
      </c>
      <c r="AM78" s="26" t="str" cm="1">
        <f t="array" aca="1" ref="AM78" ca="1">IF(ISNUMBER(SEARCH(INDIRECT(ADDRESS(ROW(AM78),MOD(AM$1,4)+1)),AM$2)),$E78,"")</f>
        <v/>
      </c>
      <c r="AN78" s="26" t="str" cm="1">
        <f t="array" aca="1" ref="AN78" ca="1">IF(ISNUMBER(SEARCH(INDIRECT(ADDRESS(ROW(AN78),MOD(AN$1,4)+1)),AN$2)),$E78,"")</f>
        <v/>
      </c>
      <c r="AO78" s="26" t="str" cm="1">
        <f t="array" aca="1" ref="AO78" ca="1">IF(ISNUMBER(SEARCH(INDIRECT(ADDRESS(ROW(AO78),MOD(AO$1,4)+1)),AO$2)),$E78,"")</f>
        <v/>
      </c>
      <c r="AP78" s="26" t="str" cm="1">
        <f t="array" aca="1" ref="AP78" ca="1">IF(ISNUMBER(SEARCH(INDIRECT(ADDRESS(ROW(AP78),MOD(AP$1,4)+1)),AP$2)),$E78,"")</f>
        <v/>
      </c>
      <c r="AQ78" s="31" t="str" cm="1">
        <f t="array" aca="1" ref="AQ78" ca="1">IF(ISNUMBER(SEARCH(INDIRECT(ADDRESS(ROW(AQ78),MOD(AQ$1,4)+1)),AQ$2)),$E78,"")</f>
        <v/>
      </c>
      <c r="AT78" t="e">
        <f>IF(VLOOKUP($E78,'Formatted NEW'!$B$2:$F$202,5,FALSE)=VLOOKUP($E78,'Formatted NEW'!$B$2:$F$202,8,FALSE),$E78,"")</f>
        <v>#N/A</v>
      </c>
      <c r="AW78" t="e">
        <f>IF(VLOOKUP($E78,'Formatted NEW'!$B$2:$F$202,5,FALSE)=VLOOKUP($E78,'Formatted NEW'!$B$2:$F$202,11,FALSE),$E78,"")</f>
        <v>#N/A</v>
      </c>
      <c r="AZ78" t="e">
        <f>IF(VLOOKUP($E78,'Formatted NEW'!$B$2:$F$202,5,FALSE)=VLOOKUP($E78,'Formatted NEW'!$B$2:$F$202,14,FALSE),$E78,"")</f>
        <v>#N/A</v>
      </c>
      <c r="BC78" t="str">
        <f>VLOOKUP($E78,'Formatted NEW'!$M$2:$T$202,6,FALSE)</f>
        <v>DIAG_BOTH</v>
      </c>
      <c r="BD78" s="26" t="e">
        <f>VLOOKUP(VLOOKUP(VLOOKUP($E78,'Formatted NEW'!$M$2:$O$202,2,FALSE),'Formatted NEW'!$D$2:$F$202,7,FALSE),'Formatted NEW'!$D$2:$O$202,12,FALSE)</f>
        <v>#REF!</v>
      </c>
      <c r="BE78" t="e">
        <f>VLOOKUP($BD78,'Formatted NEW'!$M$2:$T$202,5,FALSE)</f>
        <v>#REF!</v>
      </c>
      <c r="BF78" s="26" t="e">
        <f t="shared" si="5"/>
        <v>#REF!</v>
      </c>
      <c r="BH78">
        <f>VLOOKUP($E78,'Formatted NEW'!$M$2:$T$202,4,FALSE)</f>
        <v>0</v>
      </c>
      <c r="BI78" s="26" t="e">
        <f>VLOOKUP(VLOOKUP(VLOOKUP($E78,'Formatted NEW'!$M$2:$O$202,2,FALSE),'Formatted NEW'!$D$2:$F$202,10,FALSE),'Formatted NEW'!$D$2:$O$202,12,FALSE)</f>
        <v>#REF!</v>
      </c>
      <c r="BJ78" t="e">
        <f>VLOOKUP($BI78,'Formatted NEW'!$M$2:$T$202,3,FALSE)</f>
        <v>#REF!</v>
      </c>
      <c r="BK78" s="26" t="e">
        <f t="shared" si="6"/>
        <v>#REF!</v>
      </c>
    </row>
    <row r="79" spans="1:63" x14ac:dyDescent="0.25">
      <c r="A79" t="str">
        <f>'Formatted NEW'!Q77</f>
        <v>EMPTY</v>
      </c>
      <c r="B79" t="str">
        <f>'Formatted NEW'!R77</f>
        <v>DIAG_BOTH</v>
      </c>
      <c r="C79" t="str">
        <f>'Formatted NEW'!S77</f>
        <v>ORTHO_BOTH</v>
      </c>
      <c r="D79" t="str">
        <f>'Formatted NEW'!T77</f>
        <v>DIAG_BOTH</v>
      </c>
      <c r="E79" s="26">
        <f t="shared" si="4"/>
        <v>75</v>
      </c>
      <c r="H79" s="30" t="str" cm="1">
        <f t="array" aca="1" ref="H79" ca="1">IF(ISNUMBER(SEARCH(INDIRECT(ADDRESS(ROW(H79),MOD(H$1,4)+1)),H$2)),$E79,"")</f>
        <v/>
      </c>
      <c r="I79" s="26" t="str" cm="1">
        <f t="array" aca="1" ref="I79" ca="1">IF(ISNUMBER(SEARCH(INDIRECT(ADDRESS(ROW(I79),MOD(I$1,4)+1)),I$2)),$E79,"")</f>
        <v/>
      </c>
      <c r="J79" s="26" t="str" cm="1">
        <f t="array" aca="1" ref="J79" ca="1">IF(ISNUMBER(SEARCH(INDIRECT(ADDRESS(ROW(J79),MOD(J$1,4)+1)),J$2)),$E79,"")</f>
        <v/>
      </c>
      <c r="K79" s="26" t="str" cm="1">
        <f t="array" aca="1" ref="K79" ca="1">IF(ISNUMBER(SEARCH(INDIRECT(ADDRESS(ROW(K79),MOD(K$1,4)+1)),K$2)),$E79,"")</f>
        <v/>
      </c>
      <c r="L79" s="26" t="str" cm="1">
        <f t="array" aca="1" ref="L79" ca="1">IF(ISNUMBER(SEARCH(INDIRECT(ADDRESS(ROW(L79),MOD(L$1,4)+1)),L$2)),$E79,"")</f>
        <v/>
      </c>
      <c r="M79" s="26" cm="1">
        <f t="array" aca="1" ref="M79" ca="1">IF(ISNUMBER(SEARCH(INDIRECT(ADDRESS(ROW(M79),MOD(M$1,4)+1)),M$2)),$E79,"")</f>
        <v>75</v>
      </c>
      <c r="N79" s="26" t="str" cm="1">
        <f t="array" aca="1" ref="N79" ca="1">IF(ISNUMBER(SEARCH(INDIRECT(ADDRESS(ROW(N79),MOD(N$1,4)+1)),N$2)),$E79,"")</f>
        <v/>
      </c>
      <c r="O79" s="26" cm="1">
        <f t="array" aca="1" ref="O79" ca="1">IF(ISNUMBER(SEARCH(INDIRECT(ADDRESS(ROW(O79),MOD(O$1,4)+1)),O$2)),$E79,"")</f>
        <v>75</v>
      </c>
      <c r="P79" s="26" t="str" cm="1">
        <f t="array" aca="1" ref="P79" ca="1">IF(ISNUMBER(SEARCH(INDIRECT(ADDRESS(ROW(P79),MOD(P$1,4)+1)),P$2)),$E79,"")</f>
        <v/>
      </c>
      <c r="Q79" s="26" t="str" cm="1">
        <f t="array" aca="1" ref="Q79" ca="1">IF(ISNUMBER(SEARCH(INDIRECT(ADDRESS(ROW(Q79),MOD(Q$1,4)+1)),Q$2)),$E79,"")</f>
        <v/>
      </c>
      <c r="R79" s="26" cm="1">
        <f t="array" aca="1" ref="R79" ca="1">IF(ISNUMBER(SEARCH(INDIRECT(ADDRESS(ROW(R79),MOD(R$1,4)+1)),R$2)),$E79,"")</f>
        <v>75</v>
      </c>
      <c r="S79" s="26" t="str" cm="1">
        <f t="array" aca="1" ref="S79" ca="1">IF(ISNUMBER(SEARCH(INDIRECT(ADDRESS(ROW(S79),MOD(S$1,4)+1)),S$2)),$E79,"")</f>
        <v/>
      </c>
      <c r="T79" s="26" t="str" cm="1">
        <f t="array" aca="1" ref="T79" ca="1">IF(ISNUMBER(SEARCH(INDIRECT(ADDRESS(ROW(T79),MOD(T$1,4)+1)),T$2)),$E79,"")</f>
        <v/>
      </c>
      <c r="U79" s="26" t="str" cm="1">
        <f t="array" aca="1" ref="U79" ca="1">IF(ISNUMBER(SEARCH(INDIRECT(ADDRESS(ROW(U79),MOD(U$1,4)+1)),U$2)),$E79,"")</f>
        <v/>
      </c>
      <c r="V79" s="26" t="str" cm="1">
        <f t="array" aca="1" ref="V79" ca="1">IF(ISNUMBER(SEARCH(INDIRECT(ADDRESS(ROW(V79),MOD(V$1,4)+1)),V$2)),$E79,"")</f>
        <v/>
      </c>
      <c r="W79" s="26" t="str" cm="1">
        <f t="array" aca="1" ref="W79" ca="1">IF(ISNUMBER(SEARCH(INDIRECT(ADDRESS(ROW(W79),MOD(W$1,4)+1)),W$2)),$E79,"")</f>
        <v/>
      </c>
      <c r="X79" s="26" t="str" cm="1">
        <f t="array" aca="1" ref="X79" ca="1">IF(ISNUMBER(SEARCH(INDIRECT(ADDRESS(ROW(X79),MOD(X$1,4)+1)),X$2)),$E79,"")</f>
        <v/>
      </c>
      <c r="Y79" s="26" t="str" cm="1">
        <f t="array" aca="1" ref="Y79" ca="1">IF(ISNUMBER(SEARCH(INDIRECT(ADDRESS(ROW(Y79),MOD(Y$1,4)+1)),Y$2)),$E79,"")</f>
        <v/>
      </c>
      <c r="Z79" s="26" t="str" cm="1">
        <f t="array" aca="1" ref="Z79" ca="1">IF(ISNUMBER(SEARCH(INDIRECT(ADDRESS(ROW(Z79),MOD(Z$1,4)+1)),Z$2)),$E79,"")</f>
        <v/>
      </c>
      <c r="AA79" s="26" t="str" cm="1">
        <f t="array" aca="1" ref="AA79" ca="1">IF(ISNUMBER(SEARCH(INDIRECT(ADDRESS(ROW(AA79),MOD(AA$1,4)+1)),AA$2)),$E79,"")</f>
        <v/>
      </c>
      <c r="AB79" s="26" t="str" cm="1">
        <f t="array" aca="1" ref="AB79" ca="1">IF(ISNUMBER(SEARCH(INDIRECT(ADDRESS(ROW(AB79),MOD(AB$1,4)+1)),AB$2)),$E79,"")</f>
        <v/>
      </c>
      <c r="AC79" s="26" t="str" cm="1">
        <f t="array" aca="1" ref="AC79" ca="1">IF(ISNUMBER(SEARCH(INDIRECT(ADDRESS(ROW(AC79),MOD(AC$1,4)+1)),AC$2)),$E79,"")</f>
        <v/>
      </c>
      <c r="AD79" s="26" t="str" cm="1">
        <f t="array" aca="1" ref="AD79" ca="1">IF(ISNUMBER(SEARCH(INDIRECT(ADDRESS(ROW(AD79),MOD(AD$1,4)+1)),AD$2)),$E79,"")</f>
        <v/>
      </c>
      <c r="AE79" s="26" t="str" cm="1">
        <f t="array" aca="1" ref="AE79" ca="1">IF(ISNUMBER(SEARCH(INDIRECT(ADDRESS(ROW(AE79),MOD(AE$1,4)+1)),AE$2)),$E79,"")</f>
        <v/>
      </c>
      <c r="AF79" s="26" t="str" cm="1">
        <f t="array" aca="1" ref="AF79" ca="1">IF(ISNUMBER(SEARCH(INDIRECT(ADDRESS(ROW(AF79),MOD(AF$1,4)+1)),AF$2)),$E79,"")</f>
        <v/>
      </c>
      <c r="AG79" s="26" t="str" cm="1">
        <f t="array" aca="1" ref="AG79" ca="1">IF(ISNUMBER(SEARCH(INDIRECT(ADDRESS(ROW(AG79),MOD(AG$1,4)+1)),AG$2)),$E79,"")</f>
        <v/>
      </c>
      <c r="AH79" s="26" t="str" cm="1">
        <f t="array" aca="1" ref="AH79" ca="1">IF(ISNUMBER(SEARCH(INDIRECT(ADDRESS(ROW(AH79),MOD(AH$1,4)+1)),AH$2)),$E79,"")</f>
        <v/>
      </c>
      <c r="AI79" s="26" t="str" cm="1">
        <f t="array" aca="1" ref="AI79" ca="1">IF(ISNUMBER(SEARCH(INDIRECT(ADDRESS(ROW(AI79),MOD(AI$1,4)+1)),AI$2)),$E79,"")</f>
        <v/>
      </c>
      <c r="AJ79" s="26" t="str" cm="1">
        <f t="array" aca="1" ref="AJ79" ca="1">IF(ISNUMBER(SEARCH(INDIRECT(ADDRESS(ROW(AJ79),MOD(AJ$1,4)+1)),AJ$2)),$E79,"")</f>
        <v/>
      </c>
      <c r="AK79" s="26" t="str" cm="1">
        <f t="array" aca="1" ref="AK79" ca="1">IF(ISNUMBER(SEARCH(INDIRECT(ADDRESS(ROW(AK79),MOD(AK$1,4)+1)),AK$2)),$E79,"")</f>
        <v/>
      </c>
      <c r="AL79" s="26" t="str" cm="1">
        <f t="array" aca="1" ref="AL79" ca="1">IF(ISNUMBER(SEARCH(INDIRECT(ADDRESS(ROW(AL79),MOD(AL$1,4)+1)),AL$2)),$E79,"")</f>
        <v/>
      </c>
      <c r="AM79" s="26" t="str" cm="1">
        <f t="array" aca="1" ref="AM79" ca="1">IF(ISNUMBER(SEARCH(INDIRECT(ADDRESS(ROW(AM79),MOD(AM$1,4)+1)),AM$2)),$E79,"")</f>
        <v/>
      </c>
      <c r="AN79" s="26" t="str" cm="1">
        <f t="array" aca="1" ref="AN79" ca="1">IF(ISNUMBER(SEARCH(INDIRECT(ADDRESS(ROW(AN79),MOD(AN$1,4)+1)),AN$2)),$E79,"")</f>
        <v/>
      </c>
      <c r="AO79" s="26" t="str" cm="1">
        <f t="array" aca="1" ref="AO79" ca="1">IF(ISNUMBER(SEARCH(INDIRECT(ADDRESS(ROW(AO79),MOD(AO$1,4)+1)),AO$2)),$E79,"")</f>
        <v/>
      </c>
      <c r="AP79" s="26" t="str" cm="1">
        <f t="array" aca="1" ref="AP79" ca="1">IF(ISNUMBER(SEARCH(INDIRECT(ADDRESS(ROW(AP79),MOD(AP$1,4)+1)),AP$2)),$E79,"")</f>
        <v/>
      </c>
      <c r="AQ79" s="31" t="str" cm="1">
        <f t="array" aca="1" ref="AQ79" ca="1">IF(ISNUMBER(SEARCH(INDIRECT(ADDRESS(ROW(AQ79),MOD(AQ$1,4)+1)),AQ$2)),$E79,"")</f>
        <v/>
      </c>
      <c r="AT79" t="e">
        <f>IF(VLOOKUP($E79,'Formatted NEW'!$B$2:$F$202,5,FALSE)=VLOOKUP($E79,'Formatted NEW'!$B$2:$F$202,8,FALSE),$E79,"")</f>
        <v>#N/A</v>
      </c>
      <c r="AW79" t="e">
        <f>IF(VLOOKUP($E79,'Formatted NEW'!$B$2:$F$202,5,FALSE)=VLOOKUP($E79,'Formatted NEW'!$B$2:$F$202,11,FALSE),$E79,"")</f>
        <v>#N/A</v>
      </c>
      <c r="AZ79" t="e">
        <f>IF(VLOOKUP($E79,'Formatted NEW'!$B$2:$F$202,5,FALSE)=VLOOKUP($E79,'Formatted NEW'!$B$2:$F$202,14,FALSE),$E79,"")</f>
        <v>#N/A</v>
      </c>
      <c r="BC79" t="str">
        <f>VLOOKUP($E79,'Formatted NEW'!$M$2:$T$202,6,FALSE)</f>
        <v>DIAG_BOTH</v>
      </c>
      <c r="BD79" s="26" t="e">
        <f>VLOOKUP(VLOOKUP(VLOOKUP($E79,'Formatted NEW'!$M$2:$O$202,2,FALSE),'Formatted NEW'!$D$2:$F$202,7,FALSE),'Formatted NEW'!$D$2:$O$202,12,FALSE)</f>
        <v>#REF!</v>
      </c>
      <c r="BE79" t="e">
        <f>VLOOKUP($BD79,'Formatted NEW'!$M$2:$T$202,5,FALSE)</f>
        <v>#REF!</v>
      </c>
      <c r="BF79" s="26" t="e">
        <f t="shared" si="5"/>
        <v>#REF!</v>
      </c>
      <c r="BH79">
        <f>VLOOKUP($E79,'Formatted NEW'!$M$2:$T$202,4,FALSE)</f>
        <v>0</v>
      </c>
      <c r="BI79" s="26" t="e">
        <f>VLOOKUP(VLOOKUP(VLOOKUP($E79,'Formatted NEW'!$M$2:$O$202,2,FALSE),'Formatted NEW'!$D$2:$F$202,10,FALSE),'Formatted NEW'!$D$2:$O$202,12,FALSE)</f>
        <v>#REF!</v>
      </c>
      <c r="BJ79" t="e">
        <f>VLOOKUP($BI79,'Formatted NEW'!$M$2:$T$202,3,FALSE)</f>
        <v>#REF!</v>
      </c>
      <c r="BK79" s="26" t="e">
        <f t="shared" si="6"/>
        <v>#REF!</v>
      </c>
    </row>
    <row r="80" spans="1:63" x14ac:dyDescent="0.25">
      <c r="A80" t="str">
        <f>'Formatted NEW'!Q78</f>
        <v>EMPTY</v>
      </c>
      <c r="B80" t="str">
        <f>'Formatted NEW'!R78</f>
        <v>DIAG_BOTH</v>
      </c>
      <c r="C80" t="str">
        <f>'Formatted NEW'!S78</f>
        <v>EMPTY</v>
      </c>
      <c r="D80" t="str">
        <f>'Formatted NEW'!T78</f>
        <v>ORTHO_BOTH</v>
      </c>
      <c r="E80" s="26">
        <f t="shared" si="4"/>
        <v>76</v>
      </c>
      <c r="H80" s="30" t="str" cm="1">
        <f t="array" aca="1" ref="H80" ca="1">IF(ISNUMBER(SEARCH(INDIRECT(ADDRESS(ROW(H80),MOD(H$1,4)+1)),H$2)),$E80,"")</f>
        <v/>
      </c>
      <c r="I80" s="26" t="str" cm="1">
        <f t="array" aca="1" ref="I80" ca="1">IF(ISNUMBER(SEARCH(INDIRECT(ADDRESS(ROW(I80),MOD(I$1,4)+1)),I$2)),$E80,"")</f>
        <v/>
      </c>
      <c r="J80" s="26" t="str" cm="1">
        <f t="array" aca="1" ref="J80" ca="1">IF(ISNUMBER(SEARCH(INDIRECT(ADDRESS(ROW(J80),MOD(J$1,4)+1)),J$2)),$E80,"")</f>
        <v/>
      </c>
      <c r="K80" s="26" t="str" cm="1">
        <f t="array" aca="1" ref="K80" ca="1">IF(ISNUMBER(SEARCH(INDIRECT(ADDRESS(ROW(K80),MOD(K$1,4)+1)),K$2)),$E80,"")</f>
        <v/>
      </c>
      <c r="L80" s="26" t="str" cm="1">
        <f t="array" aca="1" ref="L80" ca="1">IF(ISNUMBER(SEARCH(INDIRECT(ADDRESS(ROW(L80),MOD(L$1,4)+1)),L$2)),$E80,"")</f>
        <v/>
      </c>
      <c r="M80" s="26" cm="1">
        <f t="array" aca="1" ref="M80" ca="1">IF(ISNUMBER(SEARCH(INDIRECT(ADDRESS(ROW(M80),MOD(M$1,4)+1)),M$2)),$E80,"")</f>
        <v>76</v>
      </c>
      <c r="N80" s="26" t="str" cm="1">
        <f t="array" aca="1" ref="N80" ca="1">IF(ISNUMBER(SEARCH(INDIRECT(ADDRESS(ROW(N80),MOD(N$1,4)+1)),N$2)),$E80,"")</f>
        <v/>
      </c>
      <c r="O80" s="26" t="str" cm="1">
        <f t="array" aca="1" ref="O80" ca="1">IF(ISNUMBER(SEARCH(INDIRECT(ADDRESS(ROW(O80),MOD(O$1,4)+1)),O$2)),$E80,"")</f>
        <v/>
      </c>
      <c r="P80" s="26" t="str" cm="1">
        <f t="array" aca="1" ref="P80" ca="1">IF(ISNUMBER(SEARCH(INDIRECT(ADDRESS(ROW(P80),MOD(P$1,4)+1)),P$2)),$E80,"")</f>
        <v/>
      </c>
      <c r="Q80" s="26" t="str" cm="1">
        <f t="array" aca="1" ref="Q80" ca="1">IF(ISNUMBER(SEARCH(INDIRECT(ADDRESS(ROW(Q80),MOD(Q$1,4)+1)),Q$2)),$E80,"")</f>
        <v/>
      </c>
      <c r="R80" s="26" t="str" cm="1">
        <f t="array" aca="1" ref="R80" ca="1">IF(ISNUMBER(SEARCH(INDIRECT(ADDRESS(ROW(R80),MOD(R$1,4)+1)),R$2)),$E80,"")</f>
        <v/>
      </c>
      <c r="S80" s="26" cm="1">
        <f t="array" aca="1" ref="S80" ca="1">IF(ISNUMBER(SEARCH(INDIRECT(ADDRESS(ROW(S80),MOD(S$1,4)+1)),S$2)),$E80,"")</f>
        <v>76</v>
      </c>
      <c r="T80" s="26" t="str" cm="1">
        <f t="array" aca="1" ref="T80" ca="1">IF(ISNUMBER(SEARCH(INDIRECT(ADDRESS(ROW(T80),MOD(T$1,4)+1)),T$2)),$E80,"")</f>
        <v/>
      </c>
      <c r="U80" s="26" t="str" cm="1">
        <f t="array" aca="1" ref="U80" ca="1">IF(ISNUMBER(SEARCH(INDIRECT(ADDRESS(ROW(U80),MOD(U$1,4)+1)),U$2)),$E80,"")</f>
        <v/>
      </c>
      <c r="V80" s="26" t="str" cm="1">
        <f t="array" aca="1" ref="V80" ca="1">IF(ISNUMBER(SEARCH(INDIRECT(ADDRESS(ROW(V80),MOD(V$1,4)+1)),V$2)),$E80,"")</f>
        <v/>
      </c>
      <c r="W80" s="26" t="str" cm="1">
        <f t="array" aca="1" ref="W80" ca="1">IF(ISNUMBER(SEARCH(INDIRECT(ADDRESS(ROW(W80),MOD(W$1,4)+1)),W$2)),$E80,"")</f>
        <v/>
      </c>
      <c r="X80" s="26" t="str" cm="1">
        <f t="array" aca="1" ref="X80" ca="1">IF(ISNUMBER(SEARCH(INDIRECT(ADDRESS(ROW(X80),MOD(X$1,4)+1)),X$2)),$E80,"")</f>
        <v/>
      </c>
      <c r="Y80" s="26" t="str" cm="1">
        <f t="array" aca="1" ref="Y80" ca="1">IF(ISNUMBER(SEARCH(INDIRECT(ADDRESS(ROW(Y80),MOD(Y$1,4)+1)),Y$2)),$E80,"")</f>
        <v/>
      </c>
      <c r="Z80" s="26" t="str" cm="1">
        <f t="array" aca="1" ref="Z80" ca="1">IF(ISNUMBER(SEARCH(INDIRECT(ADDRESS(ROW(Z80),MOD(Z$1,4)+1)),Z$2)),$E80,"")</f>
        <v/>
      </c>
      <c r="AA80" s="26" t="str" cm="1">
        <f t="array" aca="1" ref="AA80" ca="1">IF(ISNUMBER(SEARCH(INDIRECT(ADDRESS(ROW(AA80),MOD(AA$1,4)+1)),AA$2)),$E80,"")</f>
        <v/>
      </c>
      <c r="AB80" s="26" t="str" cm="1">
        <f t="array" aca="1" ref="AB80" ca="1">IF(ISNUMBER(SEARCH(INDIRECT(ADDRESS(ROW(AB80),MOD(AB$1,4)+1)),AB$2)),$E80,"")</f>
        <v/>
      </c>
      <c r="AC80" s="26" t="str" cm="1">
        <f t="array" aca="1" ref="AC80" ca="1">IF(ISNUMBER(SEARCH(INDIRECT(ADDRESS(ROW(AC80),MOD(AC$1,4)+1)),AC$2)),$E80,"")</f>
        <v/>
      </c>
      <c r="AD80" s="26" t="str" cm="1">
        <f t="array" aca="1" ref="AD80" ca="1">IF(ISNUMBER(SEARCH(INDIRECT(ADDRESS(ROW(AD80),MOD(AD$1,4)+1)),AD$2)),$E80,"")</f>
        <v/>
      </c>
      <c r="AE80" s="26" t="str" cm="1">
        <f t="array" aca="1" ref="AE80" ca="1">IF(ISNUMBER(SEARCH(INDIRECT(ADDRESS(ROW(AE80),MOD(AE$1,4)+1)),AE$2)),$E80,"")</f>
        <v/>
      </c>
      <c r="AF80" s="26" t="str" cm="1">
        <f t="array" aca="1" ref="AF80" ca="1">IF(ISNUMBER(SEARCH(INDIRECT(ADDRESS(ROW(AF80),MOD(AF$1,4)+1)),AF$2)),$E80,"")</f>
        <v/>
      </c>
      <c r="AG80" s="26" t="str" cm="1">
        <f t="array" aca="1" ref="AG80" ca="1">IF(ISNUMBER(SEARCH(INDIRECT(ADDRESS(ROW(AG80),MOD(AG$1,4)+1)),AG$2)),$E80,"")</f>
        <v/>
      </c>
      <c r="AH80" s="26" t="str" cm="1">
        <f t="array" aca="1" ref="AH80" ca="1">IF(ISNUMBER(SEARCH(INDIRECT(ADDRESS(ROW(AH80),MOD(AH$1,4)+1)),AH$2)),$E80,"")</f>
        <v/>
      </c>
      <c r="AI80" s="26" t="str" cm="1">
        <f t="array" aca="1" ref="AI80" ca="1">IF(ISNUMBER(SEARCH(INDIRECT(ADDRESS(ROW(AI80),MOD(AI$1,4)+1)),AI$2)),$E80,"")</f>
        <v/>
      </c>
      <c r="AJ80" s="26" t="str" cm="1">
        <f t="array" aca="1" ref="AJ80" ca="1">IF(ISNUMBER(SEARCH(INDIRECT(ADDRESS(ROW(AJ80),MOD(AJ$1,4)+1)),AJ$2)),$E80,"")</f>
        <v/>
      </c>
      <c r="AK80" s="26" t="str" cm="1">
        <f t="array" aca="1" ref="AK80" ca="1">IF(ISNUMBER(SEARCH(INDIRECT(ADDRESS(ROW(AK80),MOD(AK$1,4)+1)),AK$2)),$E80,"")</f>
        <v/>
      </c>
      <c r="AL80" s="26" t="str" cm="1">
        <f t="array" aca="1" ref="AL80" ca="1">IF(ISNUMBER(SEARCH(INDIRECT(ADDRESS(ROW(AL80),MOD(AL$1,4)+1)),AL$2)),$E80,"")</f>
        <v/>
      </c>
      <c r="AM80" s="26" t="str" cm="1">
        <f t="array" aca="1" ref="AM80" ca="1">IF(ISNUMBER(SEARCH(INDIRECT(ADDRESS(ROW(AM80),MOD(AM$1,4)+1)),AM$2)),$E80,"")</f>
        <v/>
      </c>
      <c r="AN80" s="26" t="str" cm="1">
        <f t="array" aca="1" ref="AN80" ca="1">IF(ISNUMBER(SEARCH(INDIRECT(ADDRESS(ROW(AN80),MOD(AN$1,4)+1)),AN$2)),$E80,"")</f>
        <v/>
      </c>
      <c r="AO80" s="26" t="str" cm="1">
        <f t="array" aca="1" ref="AO80" ca="1">IF(ISNUMBER(SEARCH(INDIRECT(ADDRESS(ROW(AO80),MOD(AO$1,4)+1)),AO$2)),$E80,"")</f>
        <v/>
      </c>
      <c r="AP80" s="26" t="str" cm="1">
        <f t="array" aca="1" ref="AP80" ca="1">IF(ISNUMBER(SEARCH(INDIRECT(ADDRESS(ROW(AP80),MOD(AP$1,4)+1)),AP$2)),$E80,"")</f>
        <v/>
      </c>
      <c r="AQ80" s="31" t="str" cm="1">
        <f t="array" aca="1" ref="AQ80" ca="1">IF(ISNUMBER(SEARCH(INDIRECT(ADDRESS(ROW(AQ80),MOD(AQ$1,4)+1)),AQ$2)),$E80,"")</f>
        <v/>
      </c>
      <c r="AT80" t="e">
        <f>IF(VLOOKUP($E80,'Formatted NEW'!$B$2:$F$202,5,FALSE)=VLOOKUP($E80,'Formatted NEW'!$B$2:$F$202,8,FALSE),$E80,"")</f>
        <v>#N/A</v>
      </c>
      <c r="AW80" t="e">
        <f>IF(VLOOKUP($E80,'Formatted NEW'!$B$2:$F$202,5,FALSE)=VLOOKUP($E80,'Formatted NEW'!$B$2:$F$202,11,FALSE),$E80,"")</f>
        <v>#N/A</v>
      </c>
      <c r="AZ80" t="e">
        <f>IF(VLOOKUP($E80,'Formatted NEW'!$B$2:$F$202,5,FALSE)=VLOOKUP($E80,'Formatted NEW'!$B$2:$F$202,14,FALSE),$E80,"")</f>
        <v>#N/A</v>
      </c>
      <c r="BC80" t="str">
        <f>VLOOKUP($E80,'Formatted NEW'!$M$2:$T$202,6,FALSE)</f>
        <v>DIAG_BOTH</v>
      </c>
      <c r="BD80" s="26" t="e">
        <f>VLOOKUP(VLOOKUP(VLOOKUP($E80,'Formatted NEW'!$M$2:$O$202,2,FALSE),'Formatted NEW'!$D$2:$F$202,7,FALSE),'Formatted NEW'!$D$2:$O$202,12,FALSE)</f>
        <v>#REF!</v>
      </c>
      <c r="BE80" t="e">
        <f>VLOOKUP($BD80,'Formatted NEW'!$M$2:$T$202,5,FALSE)</f>
        <v>#REF!</v>
      </c>
      <c r="BF80" s="26" t="e">
        <f t="shared" si="5"/>
        <v>#REF!</v>
      </c>
      <c r="BH80">
        <f>VLOOKUP($E80,'Formatted NEW'!$M$2:$T$202,4,FALSE)</f>
        <v>0</v>
      </c>
      <c r="BI80" s="26" t="e">
        <f>VLOOKUP(VLOOKUP(VLOOKUP($E80,'Formatted NEW'!$M$2:$O$202,2,FALSE),'Formatted NEW'!$D$2:$F$202,10,FALSE),'Formatted NEW'!$D$2:$O$202,12,FALSE)</f>
        <v>#REF!</v>
      </c>
      <c r="BJ80" t="e">
        <f>VLOOKUP($BI80,'Formatted NEW'!$M$2:$T$202,3,FALSE)</f>
        <v>#REF!</v>
      </c>
      <c r="BK80" s="26" t="e">
        <f t="shared" si="6"/>
        <v>#REF!</v>
      </c>
    </row>
    <row r="81" spans="1:63" x14ac:dyDescent="0.25">
      <c r="A81" t="str">
        <f>'Formatted NEW'!Q79</f>
        <v>DIAG_BOTH</v>
      </c>
      <c r="B81" t="str">
        <f>'Formatted NEW'!R79</f>
        <v>EMPTY</v>
      </c>
      <c r="C81" t="str">
        <f>'Formatted NEW'!S79</f>
        <v>DIAG_BOTH</v>
      </c>
      <c r="D81" t="str">
        <f>'Formatted NEW'!T79</f>
        <v>ORTHO_BOTH</v>
      </c>
      <c r="E81" s="26">
        <f t="shared" si="4"/>
        <v>77</v>
      </c>
      <c r="H81" s="30" t="str" cm="1">
        <f t="array" aca="1" ref="H81" ca="1">IF(ISNUMBER(SEARCH(INDIRECT(ADDRESS(ROW(H81),MOD(H$1,4)+1)),H$2)),$E81,"")</f>
        <v/>
      </c>
      <c r="I81" s="26" t="str" cm="1">
        <f t="array" aca="1" ref="I81" ca="1">IF(ISNUMBER(SEARCH(INDIRECT(ADDRESS(ROW(I81),MOD(I$1,4)+1)),I$2)),$E81,"")</f>
        <v/>
      </c>
      <c r="J81" s="26" t="str" cm="1">
        <f t="array" aca="1" ref="J81" ca="1">IF(ISNUMBER(SEARCH(INDIRECT(ADDRESS(ROW(J81),MOD(J$1,4)+1)),J$2)),$E81,"")</f>
        <v/>
      </c>
      <c r="K81" s="26" t="str" cm="1">
        <f t="array" aca="1" ref="K81" ca="1">IF(ISNUMBER(SEARCH(INDIRECT(ADDRESS(ROW(K81),MOD(K$1,4)+1)),K$2)),$E81,"")</f>
        <v/>
      </c>
      <c r="L81" s="26" cm="1">
        <f t="array" aca="1" ref="L81" ca="1">IF(ISNUMBER(SEARCH(INDIRECT(ADDRESS(ROW(L81),MOD(L$1,4)+1)),L$2)),$E81,"")</f>
        <v>77</v>
      </c>
      <c r="M81" s="26" t="str" cm="1">
        <f t="array" aca="1" ref="M81" ca="1">IF(ISNUMBER(SEARCH(INDIRECT(ADDRESS(ROW(M81),MOD(M$1,4)+1)),M$2)),$E81,"")</f>
        <v/>
      </c>
      <c r="N81" s="26" cm="1">
        <f t="array" aca="1" ref="N81" ca="1">IF(ISNUMBER(SEARCH(INDIRECT(ADDRESS(ROW(N81),MOD(N$1,4)+1)),N$2)),$E81,"")</f>
        <v>77</v>
      </c>
      <c r="O81" s="26" t="str" cm="1">
        <f t="array" aca="1" ref="O81" ca="1">IF(ISNUMBER(SEARCH(INDIRECT(ADDRESS(ROW(O81),MOD(O$1,4)+1)),O$2)),$E81,"")</f>
        <v/>
      </c>
      <c r="P81" s="26" t="str" cm="1">
        <f t="array" aca="1" ref="P81" ca="1">IF(ISNUMBER(SEARCH(INDIRECT(ADDRESS(ROW(P81),MOD(P$1,4)+1)),P$2)),$E81,"")</f>
        <v/>
      </c>
      <c r="Q81" s="26" t="str" cm="1">
        <f t="array" aca="1" ref="Q81" ca="1">IF(ISNUMBER(SEARCH(INDIRECT(ADDRESS(ROW(Q81),MOD(Q$1,4)+1)),Q$2)),$E81,"")</f>
        <v/>
      </c>
      <c r="R81" s="26" t="str" cm="1">
        <f t="array" aca="1" ref="R81" ca="1">IF(ISNUMBER(SEARCH(INDIRECT(ADDRESS(ROW(R81),MOD(R$1,4)+1)),R$2)),$E81,"")</f>
        <v/>
      </c>
      <c r="S81" s="26" cm="1">
        <f t="array" aca="1" ref="S81" ca="1">IF(ISNUMBER(SEARCH(INDIRECT(ADDRESS(ROW(S81),MOD(S$1,4)+1)),S$2)),$E81,"")</f>
        <v>77</v>
      </c>
      <c r="T81" s="26" t="str" cm="1">
        <f t="array" aca="1" ref="T81" ca="1">IF(ISNUMBER(SEARCH(INDIRECT(ADDRESS(ROW(T81),MOD(T$1,4)+1)),T$2)),$E81,"")</f>
        <v/>
      </c>
      <c r="U81" s="26" t="str" cm="1">
        <f t="array" aca="1" ref="U81" ca="1">IF(ISNUMBER(SEARCH(INDIRECT(ADDRESS(ROW(U81),MOD(U$1,4)+1)),U$2)),$E81,"")</f>
        <v/>
      </c>
      <c r="V81" s="26" t="str" cm="1">
        <f t="array" aca="1" ref="V81" ca="1">IF(ISNUMBER(SEARCH(INDIRECT(ADDRESS(ROW(V81),MOD(V$1,4)+1)),V$2)),$E81,"")</f>
        <v/>
      </c>
      <c r="W81" s="26" t="str" cm="1">
        <f t="array" aca="1" ref="W81" ca="1">IF(ISNUMBER(SEARCH(INDIRECT(ADDRESS(ROW(W81),MOD(W$1,4)+1)),W$2)),$E81,"")</f>
        <v/>
      </c>
      <c r="X81" s="26" t="str" cm="1">
        <f t="array" aca="1" ref="X81" ca="1">IF(ISNUMBER(SEARCH(INDIRECT(ADDRESS(ROW(X81),MOD(X$1,4)+1)),X$2)),$E81,"")</f>
        <v/>
      </c>
      <c r="Y81" s="26" t="str" cm="1">
        <f t="array" aca="1" ref="Y81" ca="1">IF(ISNUMBER(SEARCH(INDIRECT(ADDRESS(ROW(Y81),MOD(Y$1,4)+1)),Y$2)),$E81,"")</f>
        <v/>
      </c>
      <c r="Z81" s="26" t="str" cm="1">
        <f t="array" aca="1" ref="Z81" ca="1">IF(ISNUMBER(SEARCH(INDIRECT(ADDRESS(ROW(Z81),MOD(Z$1,4)+1)),Z$2)),$E81,"")</f>
        <v/>
      </c>
      <c r="AA81" s="26" t="str" cm="1">
        <f t="array" aca="1" ref="AA81" ca="1">IF(ISNUMBER(SEARCH(INDIRECT(ADDRESS(ROW(AA81),MOD(AA$1,4)+1)),AA$2)),$E81,"")</f>
        <v/>
      </c>
      <c r="AB81" s="26" t="str" cm="1">
        <f t="array" aca="1" ref="AB81" ca="1">IF(ISNUMBER(SEARCH(INDIRECT(ADDRESS(ROW(AB81),MOD(AB$1,4)+1)),AB$2)),$E81,"")</f>
        <v/>
      </c>
      <c r="AC81" s="26" t="str" cm="1">
        <f t="array" aca="1" ref="AC81" ca="1">IF(ISNUMBER(SEARCH(INDIRECT(ADDRESS(ROW(AC81),MOD(AC$1,4)+1)),AC$2)),$E81,"")</f>
        <v/>
      </c>
      <c r="AD81" s="26" t="str" cm="1">
        <f t="array" aca="1" ref="AD81" ca="1">IF(ISNUMBER(SEARCH(INDIRECT(ADDRESS(ROW(AD81),MOD(AD$1,4)+1)),AD$2)),$E81,"")</f>
        <v/>
      </c>
      <c r="AE81" s="26" t="str" cm="1">
        <f t="array" aca="1" ref="AE81" ca="1">IF(ISNUMBER(SEARCH(INDIRECT(ADDRESS(ROW(AE81),MOD(AE$1,4)+1)),AE$2)),$E81,"")</f>
        <v/>
      </c>
      <c r="AF81" s="26" t="str" cm="1">
        <f t="array" aca="1" ref="AF81" ca="1">IF(ISNUMBER(SEARCH(INDIRECT(ADDRESS(ROW(AF81),MOD(AF$1,4)+1)),AF$2)),$E81,"")</f>
        <v/>
      </c>
      <c r="AG81" s="26" t="str" cm="1">
        <f t="array" aca="1" ref="AG81" ca="1">IF(ISNUMBER(SEARCH(INDIRECT(ADDRESS(ROW(AG81),MOD(AG$1,4)+1)),AG$2)),$E81,"")</f>
        <v/>
      </c>
      <c r="AH81" s="26" t="str" cm="1">
        <f t="array" aca="1" ref="AH81" ca="1">IF(ISNUMBER(SEARCH(INDIRECT(ADDRESS(ROW(AH81),MOD(AH$1,4)+1)),AH$2)),$E81,"")</f>
        <v/>
      </c>
      <c r="AI81" s="26" t="str" cm="1">
        <f t="array" aca="1" ref="AI81" ca="1">IF(ISNUMBER(SEARCH(INDIRECT(ADDRESS(ROW(AI81),MOD(AI$1,4)+1)),AI$2)),$E81,"")</f>
        <v/>
      </c>
      <c r="AJ81" s="26" t="str" cm="1">
        <f t="array" aca="1" ref="AJ81" ca="1">IF(ISNUMBER(SEARCH(INDIRECT(ADDRESS(ROW(AJ81),MOD(AJ$1,4)+1)),AJ$2)),$E81,"")</f>
        <v/>
      </c>
      <c r="AK81" s="26" t="str" cm="1">
        <f t="array" aca="1" ref="AK81" ca="1">IF(ISNUMBER(SEARCH(INDIRECT(ADDRESS(ROW(AK81),MOD(AK$1,4)+1)),AK$2)),$E81,"")</f>
        <v/>
      </c>
      <c r="AL81" s="26" t="str" cm="1">
        <f t="array" aca="1" ref="AL81" ca="1">IF(ISNUMBER(SEARCH(INDIRECT(ADDRESS(ROW(AL81),MOD(AL$1,4)+1)),AL$2)),$E81,"")</f>
        <v/>
      </c>
      <c r="AM81" s="26" t="str" cm="1">
        <f t="array" aca="1" ref="AM81" ca="1">IF(ISNUMBER(SEARCH(INDIRECT(ADDRESS(ROW(AM81),MOD(AM$1,4)+1)),AM$2)),$E81,"")</f>
        <v/>
      </c>
      <c r="AN81" s="26" t="str" cm="1">
        <f t="array" aca="1" ref="AN81" ca="1">IF(ISNUMBER(SEARCH(INDIRECT(ADDRESS(ROW(AN81),MOD(AN$1,4)+1)),AN$2)),$E81,"")</f>
        <v/>
      </c>
      <c r="AO81" s="26" t="str" cm="1">
        <f t="array" aca="1" ref="AO81" ca="1">IF(ISNUMBER(SEARCH(INDIRECT(ADDRESS(ROW(AO81),MOD(AO$1,4)+1)),AO$2)),$E81,"")</f>
        <v/>
      </c>
      <c r="AP81" s="26" t="str" cm="1">
        <f t="array" aca="1" ref="AP81" ca="1">IF(ISNUMBER(SEARCH(INDIRECT(ADDRESS(ROW(AP81),MOD(AP$1,4)+1)),AP$2)),$E81,"")</f>
        <v/>
      </c>
      <c r="AQ81" s="31" t="str" cm="1">
        <f t="array" aca="1" ref="AQ81" ca="1">IF(ISNUMBER(SEARCH(INDIRECT(ADDRESS(ROW(AQ81),MOD(AQ$1,4)+1)),AQ$2)),$E81,"")</f>
        <v/>
      </c>
      <c r="AT81" t="e">
        <f>IF(VLOOKUP($E81,'Formatted NEW'!$B$2:$F$202,5,FALSE)=VLOOKUP($E81,'Formatted NEW'!$B$2:$F$202,8,FALSE),$E81,"")</f>
        <v>#N/A</v>
      </c>
      <c r="AW81" t="e">
        <f>IF(VLOOKUP($E81,'Formatted NEW'!$B$2:$F$202,5,FALSE)=VLOOKUP($E81,'Formatted NEW'!$B$2:$F$202,11,FALSE),$E81,"")</f>
        <v>#N/A</v>
      </c>
      <c r="AZ81" t="e">
        <f>IF(VLOOKUP($E81,'Formatted NEW'!$B$2:$F$202,5,FALSE)=VLOOKUP($E81,'Formatted NEW'!$B$2:$F$202,14,FALSE),$E81,"")</f>
        <v>#N/A</v>
      </c>
      <c r="BC81" t="str">
        <f>VLOOKUP($E81,'Formatted NEW'!$M$2:$T$202,6,FALSE)</f>
        <v>EMPTY</v>
      </c>
      <c r="BD81" s="26" t="e">
        <f>VLOOKUP(VLOOKUP(VLOOKUP($E81,'Formatted NEW'!$M$2:$O$202,2,FALSE),'Formatted NEW'!$D$2:$F$202,7,FALSE),'Formatted NEW'!$D$2:$O$202,12,FALSE)</f>
        <v>#REF!</v>
      </c>
      <c r="BE81" t="e">
        <f>VLOOKUP($BD81,'Formatted NEW'!$M$2:$T$202,5,FALSE)</f>
        <v>#REF!</v>
      </c>
      <c r="BF81" s="26" t="e">
        <f t="shared" si="5"/>
        <v>#REF!</v>
      </c>
      <c r="BH81">
        <f>VLOOKUP($E81,'Formatted NEW'!$M$2:$T$202,4,FALSE)</f>
        <v>0</v>
      </c>
      <c r="BI81" s="26" t="e">
        <f>VLOOKUP(VLOOKUP(VLOOKUP($E81,'Formatted NEW'!$M$2:$O$202,2,FALSE),'Formatted NEW'!$D$2:$F$202,10,FALSE),'Formatted NEW'!$D$2:$O$202,12,FALSE)</f>
        <v>#REF!</v>
      </c>
      <c r="BJ81" t="e">
        <f>VLOOKUP($BI81,'Formatted NEW'!$M$2:$T$202,3,FALSE)</f>
        <v>#REF!</v>
      </c>
      <c r="BK81" s="26" t="e">
        <f t="shared" si="6"/>
        <v>#REF!</v>
      </c>
    </row>
    <row r="82" spans="1:63" x14ac:dyDescent="0.25">
      <c r="A82" t="str">
        <f>'Formatted NEW'!Q80</f>
        <v>DIAG_BOTH</v>
      </c>
      <c r="B82" t="str">
        <f>'Formatted NEW'!R80</f>
        <v>DIAG_BOTH</v>
      </c>
      <c r="C82" t="str">
        <f>'Formatted NEW'!S80</f>
        <v>ORTHO_BOTH</v>
      </c>
      <c r="D82" t="str">
        <f>'Formatted NEW'!T80</f>
        <v>EMPTY</v>
      </c>
      <c r="E82" s="26">
        <f t="shared" si="4"/>
        <v>78</v>
      </c>
      <c r="H82" s="30" t="str" cm="1">
        <f t="array" aca="1" ref="H82" ca="1">IF(ISNUMBER(SEARCH(INDIRECT(ADDRESS(ROW(H82),MOD(H$1,4)+1)),H$2)),$E82,"")</f>
        <v/>
      </c>
      <c r="I82" s="26" t="str" cm="1">
        <f t="array" aca="1" ref="I82" ca="1">IF(ISNUMBER(SEARCH(INDIRECT(ADDRESS(ROW(I82),MOD(I$1,4)+1)),I$2)),$E82,"")</f>
        <v/>
      </c>
      <c r="J82" s="26" t="str" cm="1">
        <f t="array" aca="1" ref="J82" ca="1">IF(ISNUMBER(SEARCH(INDIRECT(ADDRESS(ROW(J82),MOD(J$1,4)+1)),J$2)),$E82,"")</f>
        <v/>
      </c>
      <c r="K82" s="26" t="str" cm="1">
        <f t="array" aca="1" ref="K82" ca="1">IF(ISNUMBER(SEARCH(INDIRECT(ADDRESS(ROW(K82),MOD(K$1,4)+1)),K$2)),$E82,"")</f>
        <v/>
      </c>
      <c r="L82" s="26" cm="1">
        <f t="array" aca="1" ref="L82" ca="1">IF(ISNUMBER(SEARCH(INDIRECT(ADDRESS(ROW(L82),MOD(L$1,4)+1)),L$2)),$E82,"")</f>
        <v>78</v>
      </c>
      <c r="M82" s="26" cm="1">
        <f t="array" aca="1" ref="M82" ca="1">IF(ISNUMBER(SEARCH(INDIRECT(ADDRESS(ROW(M82),MOD(M$1,4)+1)),M$2)),$E82,"")</f>
        <v>78</v>
      </c>
      <c r="N82" s="26" t="str" cm="1">
        <f t="array" aca="1" ref="N82" ca="1">IF(ISNUMBER(SEARCH(INDIRECT(ADDRESS(ROW(N82),MOD(N$1,4)+1)),N$2)),$E82,"")</f>
        <v/>
      </c>
      <c r="O82" s="26" t="str" cm="1">
        <f t="array" aca="1" ref="O82" ca="1">IF(ISNUMBER(SEARCH(INDIRECT(ADDRESS(ROW(O82),MOD(O$1,4)+1)),O$2)),$E82,"")</f>
        <v/>
      </c>
      <c r="P82" s="26" t="str" cm="1">
        <f t="array" aca="1" ref="P82" ca="1">IF(ISNUMBER(SEARCH(INDIRECT(ADDRESS(ROW(P82),MOD(P$1,4)+1)),P$2)),$E82,"")</f>
        <v/>
      </c>
      <c r="Q82" s="26" t="str" cm="1">
        <f t="array" aca="1" ref="Q82" ca="1">IF(ISNUMBER(SEARCH(INDIRECT(ADDRESS(ROW(Q82),MOD(Q$1,4)+1)),Q$2)),$E82,"")</f>
        <v/>
      </c>
      <c r="R82" s="26" cm="1">
        <f t="array" aca="1" ref="R82" ca="1">IF(ISNUMBER(SEARCH(INDIRECT(ADDRESS(ROW(R82),MOD(R$1,4)+1)),R$2)),$E82,"")</f>
        <v>78</v>
      </c>
      <c r="S82" s="26" t="str" cm="1">
        <f t="array" aca="1" ref="S82" ca="1">IF(ISNUMBER(SEARCH(INDIRECT(ADDRESS(ROW(S82),MOD(S$1,4)+1)),S$2)),$E82,"")</f>
        <v/>
      </c>
      <c r="T82" s="26" t="str" cm="1">
        <f t="array" aca="1" ref="T82" ca="1">IF(ISNUMBER(SEARCH(INDIRECT(ADDRESS(ROW(T82),MOD(T$1,4)+1)),T$2)),$E82,"")</f>
        <v/>
      </c>
      <c r="U82" s="26" t="str" cm="1">
        <f t="array" aca="1" ref="U82" ca="1">IF(ISNUMBER(SEARCH(INDIRECT(ADDRESS(ROW(U82),MOD(U$1,4)+1)),U$2)),$E82,"")</f>
        <v/>
      </c>
      <c r="V82" s="26" t="str" cm="1">
        <f t="array" aca="1" ref="V82" ca="1">IF(ISNUMBER(SEARCH(INDIRECT(ADDRESS(ROW(V82),MOD(V$1,4)+1)),V$2)),$E82,"")</f>
        <v/>
      </c>
      <c r="W82" s="26" t="str" cm="1">
        <f t="array" aca="1" ref="W82" ca="1">IF(ISNUMBER(SEARCH(INDIRECT(ADDRESS(ROW(W82),MOD(W$1,4)+1)),W$2)),$E82,"")</f>
        <v/>
      </c>
      <c r="X82" s="26" t="str" cm="1">
        <f t="array" aca="1" ref="X82" ca="1">IF(ISNUMBER(SEARCH(INDIRECT(ADDRESS(ROW(X82),MOD(X$1,4)+1)),X$2)),$E82,"")</f>
        <v/>
      </c>
      <c r="Y82" s="26" t="str" cm="1">
        <f t="array" aca="1" ref="Y82" ca="1">IF(ISNUMBER(SEARCH(INDIRECT(ADDRESS(ROW(Y82),MOD(Y$1,4)+1)),Y$2)),$E82,"")</f>
        <v/>
      </c>
      <c r="Z82" s="26" t="str" cm="1">
        <f t="array" aca="1" ref="Z82" ca="1">IF(ISNUMBER(SEARCH(INDIRECT(ADDRESS(ROW(Z82),MOD(Z$1,4)+1)),Z$2)),$E82,"")</f>
        <v/>
      </c>
      <c r="AA82" s="26" t="str" cm="1">
        <f t="array" aca="1" ref="AA82" ca="1">IF(ISNUMBER(SEARCH(INDIRECT(ADDRESS(ROW(AA82),MOD(AA$1,4)+1)),AA$2)),$E82,"")</f>
        <v/>
      </c>
      <c r="AB82" s="26" t="str" cm="1">
        <f t="array" aca="1" ref="AB82" ca="1">IF(ISNUMBER(SEARCH(INDIRECT(ADDRESS(ROW(AB82),MOD(AB$1,4)+1)),AB$2)),$E82,"")</f>
        <v/>
      </c>
      <c r="AC82" s="26" t="str" cm="1">
        <f t="array" aca="1" ref="AC82" ca="1">IF(ISNUMBER(SEARCH(INDIRECT(ADDRESS(ROW(AC82),MOD(AC$1,4)+1)),AC$2)),$E82,"")</f>
        <v/>
      </c>
      <c r="AD82" s="26" t="str" cm="1">
        <f t="array" aca="1" ref="AD82" ca="1">IF(ISNUMBER(SEARCH(INDIRECT(ADDRESS(ROW(AD82),MOD(AD$1,4)+1)),AD$2)),$E82,"")</f>
        <v/>
      </c>
      <c r="AE82" s="26" t="str" cm="1">
        <f t="array" aca="1" ref="AE82" ca="1">IF(ISNUMBER(SEARCH(INDIRECT(ADDRESS(ROW(AE82),MOD(AE$1,4)+1)),AE$2)),$E82,"")</f>
        <v/>
      </c>
      <c r="AF82" s="26" t="str" cm="1">
        <f t="array" aca="1" ref="AF82" ca="1">IF(ISNUMBER(SEARCH(INDIRECT(ADDRESS(ROW(AF82),MOD(AF$1,4)+1)),AF$2)),$E82,"")</f>
        <v/>
      </c>
      <c r="AG82" s="26" t="str" cm="1">
        <f t="array" aca="1" ref="AG82" ca="1">IF(ISNUMBER(SEARCH(INDIRECT(ADDRESS(ROW(AG82),MOD(AG$1,4)+1)),AG$2)),$E82,"")</f>
        <v/>
      </c>
      <c r="AH82" s="26" t="str" cm="1">
        <f t="array" aca="1" ref="AH82" ca="1">IF(ISNUMBER(SEARCH(INDIRECT(ADDRESS(ROW(AH82),MOD(AH$1,4)+1)),AH$2)),$E82,"")</f>
        <v/>
      </c>
      <c r="AI82" s="26" t="str" cm="1">
        <f t="array" aca="1" ref="AI82" ca="1">IF(ISNUMBER(SEARCH(INDIRECT(ADDRESS(ROW(AI82),MOD(AI$1,4)+1)),AI$2)),$E82,"")</f>
        <v/>
      </c>
      <c r="AJ82" s="26" t="str" cm="1">
        <f t="array" aca="1" ref="AJ82" ca="1">IF(ISNUMBER(SEARCH(INDIRECT(ADDRESS(ROW(AJ82),MOD(AJ$1,4)+1)),AJ$2)),$E82,"")</f>
        <v/>
      </c>
      <c r="AK82" s="26" t="str" cm="1">
        <f t="array" aca="1" ref="AK82" ca="1">IF(ISNUMBER(SEARCH(INDIRECT(ADDRESS(ROW(AK82),MOD(AK$1,4)+1)),AK$2)),$E82,"")</f>
        <v/>
      </c>
      <c r="AL82" s="26" t="str" cm="1">
        <f t="array" aca="1" ref="AL82" ca="1">IF(ISNUMBER(SEARCH(INDIRECT(ADDRESS(ROW(AL82),MOD(AL$1,4)+1)),AL$2)),$E82,"")</f>
        <v/>
      </c>
      <c r="AM82" s="26" t="str" cm="1">
        <f t="array" aca="1" ref="AM82" ca="1">IF(ISNUMBER(SEARCH(INDIRECT(ADDRESS(ROW(AM82),MOD(AM$1,4)+1)),AM$2)),$E82,"")</f>
        <v/>
      </c>
      <c r="AN82" s="26" t="str" cm="1">
        <f t="array" aca="1" ref="AN82" ca="1">IF(ISNUMBER(SEARCH(INDIRECT(ADDRESS(ROW(AN82),MOD(AN$1,4)+1)),AN$2)),$E82,"")</f>
        <v/>
      </c>
      <c r="AO82" s="26" t="str" cm="1">
        <f t="array" aca="1" ref="AO82" ca="1">IF(ISNUMBER(SEARCH(INDIRECT(ADDRESS(ROW(AO82),MOD(AO$1,4)+1)),AO$2)),$E82,"")</f>
        <v/>
      </c>
      <c r="AP82" s="26" t="str" cm="1">
        <f t="array" aca="1" ref="AP82" ca="1">IF(ISNUMBER(SEARCH(INDIRECT(ADDRESS(ROW(AP82),MOD(AP$1,4)+1)),AP$2)),$E82,"")</f>
        <v/>
      </c>
      <c r="AQ82" s="31" t="str" cm="1">
        <f t="array" aca="1" ref="AQ82" ca="1">IF(ISNUMBER(SEARCH(INDIRECT(ADDRESS(ROW(AQ82),MOD(AQ$1,4)+1)),AQ$2)),$E82,"")</f>
        <v/>
      </c>
      <c r="AT82" t="e">
        <f>IF(VLOOKUP($E82,'Formatted NEW'!$B$2:$F$202,5,FALSE)=VLOOKUP($E82,'Formatted NEW'!$B$2:$F$202,8,FALSE),$E82,"")</f>
        <v>#N/A</v>
      </c>
      <c r="AW82" t="e">
        <f>IF(VLOOKUP($E82,'Formatted NEW'!$B$2:$F$202,5,FALSE)=VLOOKUP($E82,'Formatted NEW'!$B$2:$F$202,11,FALSE),$E82,"")</f>
        <v>#N/A</v>
      </c>
      <c r="AZ82" t="e">
        <f>IF(VLOOKUP($E82,'Formatted NEW'!$B$2:$F$202,5,FALSE)=VLOOKUP($E82,'Formatted NEW'!$B$2:$F$202,14,FALSE),$E82,"")</f>
        <v>#N/A</v>
      </c>
      <c r="BC82" t="str">
        <f>VLOOKUP($E82,'Formatted NEW'!$M$2:$T$202,6,FALSE)</f>
        <v>DIAG_BOTH</v>
      </c>
      <c r="BD82" s="26" t="e">
        <f>VLOOKUP(VLOOKUP(VLOOKUP($E82,'Formatted NEW'!$M$2:$O$202,2,FALSE),'Formatted NEW'!$D$2:$F$202,7,FALSE),'Formatted NEW'!$D$2:$O$202,12,FALSE)</f>
        <v>#REF!</v>
      </c>
      <c r="BE82" t="e">
        <f>VLOOKUP($BD82,'Formatted NEW'!$M$2:$T$202,5,FALSE)</f>
        <v>#REF!</v>
      </c>
      <c r="BF82" s="26" t="e">
        <f t="shared" si="5"/>
        <v>#REF!</v>
      </c>
      <c r="BH82">
        <f>VLOOKUP($E82,'Formatted NEW'!$M$2:$T$202,4,FALSE)</f>
        <v>0</v>
      </c>
      <c r="BI82" s="26" t="e">
        <f>VLOOKUP(VLOOKUP(VLOOKUP($E82,'Formatted NEW'!$M$2:$O$202,2,FALSE),'Formatted NEW'!$D$2:$F$202,10,FALSE),'Formatted NEW'!$D$2:$O$202,12,FALSE)</f>
        <v>#REF!</v>
      </c>
      <c r="BJ82" t="e">
        <f>VLOOKUP($BI82,'Formatted NEW'!$M$2:$T$202,3,FALSE)</f>
        <v>#REF!</v>
      </c>
      <c r="BK82" s="26" t="e">
        <f t="shared" si="6"/>
        <v>#REF!</v>
      </c>
    </row>
    <row r="83" spans="1:63" x14ac:dyDescent="0.25">
      <c r="A83" t="str">
        <f>'Formatted NEW'!Q81</f>
        <v>ORTHO_BOTH</v>
      </c>
      <c r="B83" t="str">
        <f>'Formatted NEW'!R81</f>
        <v>EMPTY</v>
      </c>
      <c r="C83" t="str">
        <f>'Formatted NEW'!S81</f>
        <v>EMPTY</v>
      </c>
      <c r="D83" t="str">
        <f>'Formatted NEW'!T81</f>
        <v>DIAG_BOTH</v>
      </c>
      <c r="E83" s="26">
        <f t="shared" si="4"/>
        <v>79</v>
      </c>
      <c r="H83" s="30" t="str" cm="1">
        <f t="array" aca="1" ref="H83" ca="1">IF(ISNUMBER(SEARCH(INDIRECT(ADDRESS(ROW(H83),MOD(H$1,4)+1)),H$2)),$E83,"")</f>
        <v/>
      </c>
      <c r="I83" s="26" t="str" cm="1">
        <f t="array" aca="1" ref="I83" ca="1">IF(ISNUMBER(SEARCH(INDIRECT(ADDRESS(ROW(I83),MOD(I$1,4)+1)),I$2)),$E83,"")</f>
        <v/>
      </c>
      <c r="J83" s="26" t="str" cm="1">
        <f t="array" aca="1" ref="J83" ca="1">IF(ISNUMBER(SEARCH(INDIRECT(ADDRESS(ROW(J83),MOD(J$1,4)+1)),J$2)),$E83,"")</f>
        <v/>
      </c>
      <c r="K83" s="26" t="str" cm="1">
        <f t="array" aca="1" ref="K83" ca="1">IF(ISNUMBER(SEARCH(INDIRECT(ADDRESS(ROW(K83),MOD(K$1,4)+1)),K$2)),$E83,"")</f>
        <v/>
      </c>
      <c r="L83" s="26" t="str" cm="1">
        <f t="array" aca="1" ref="L83" ca="1">IF(ISNUMBER(SEARCH(INDIRECT(ADDRESS(ROW(L83),MOD(L$1,4)+1)),L$2)),$E83,"")</f>
        <v/>
      </c>
      <c r="M83" s="26" t="str" cm="1">
        <f t="array" aca="1" ref="M83" ca="1">IF(ISNUMBER(SEARCH(INDIRECT(ADDRESS(ROW(M83),MOD(M$1,4)+1)),M$2)),$E83,"")</f>
        <v/>
      </c>
      <c r="N83" s="26" t="str" cm="1">
        <f t="array" aca="1" ref="N83" ca="1">IF(ISNUMBER(SEARCH(INDIRECT(ADDRESS(ROW(N83),MOD(N$1,4)+1)),N$2)),$E83,"")</f>
        <v/>
      </c>
      <c r="O83" s="26" cm="1">
        <f t="array" aca="1" ref="O83" ca="1">IF(ISNUMBER(SEARCH(INDIRECT(ADDRESS(ROW(O83),MOD(O$1,4)+1)),O$2)),$E83,"")</f>
        <v>79</v>
      </c>
      <c r="P83" s="26" cm="1">
        <f t="array" aca="1" ref="P83" ca="1">IF(ISNUMBER(SEARCH(INDIRECT(ADDRESS(ROW(P83),MOD(P$1,4)+1)),P$2)),$E83,"")</f>
        <v>79</v>
      </c>
      <c r="Q83" s="26" t="str" cm="1">
        <f t="array" aca="1" ref="Q83" ca="1">IF(ISNUMBER(SEARCH(INDIRECT(ADDRESS(ROW(Q83),MOD(Q$1,4)+1)),Q$2)),$E83,"")</f>
        <v/>
      </c>
      <c r="R83" s="26" t="str" cm="1">
        <f t="array" aca="1" ref="R83" ca="1">IF(ISNUMBER(SEARCH(INDIRECT(ADDRESS(ROW(R83),MOD(R$1,4)+1)),R$2)),$E83,"")</f>
        <v/>
      </c>
      <c r="S83" s="26" t="str" cm="1">
        <f t="array" aca="1" ref="S83" ca="1">IF(ISNUMBER(SEARCH(INDIRECT(ADDRESS(ROW(S83),MOD(S$1,4)+1)),S$2)),$E83,"")</f>
        <v/>
      </c>
      <c r="T83" s="26" t="str" cm="1">
        <f t="array" aca="1" ref="T83" ca="1">IF(ISNUMBER(SEARCH(INDIRECT(ADDRESS(ROW(T83),MOD(T$1,4)+1)),T$2)),$E83,"")</f>
        <v/>
      </c>
      <c r="U83" s="26" t="str" cm="1">
        <f t="array" aca="1" ref="U83" ca="1">IF(ISNUMBER(SEARCH(INDIRECT(ADDRESS(ROW(U83),MOD(U$1,4)+1)),U$2)),$E83,"")</f>
        <v/>
      </c>
      <c r="V83" s="26" t="str" cm="1">
        <f t="array" aca="1" ref="V83" ca="1">IF(ISNUMBER(SEARCH(INDIRECT(ADDRESS(ROW(V83),MOD(V$1,4)+1)),V$2)),$E83,"")</f>
        <v/>
      </c>
      <c r="W83" s="26" t="str" cm="1">
        <f t="array" aca="1" ref="W83" ca="1">IF(ISNUMBER(SEARCH(INDIRECT(ADDRESS(ROW(W83),MOD(W$1,4)+1)),W$2)),$E83,"")</f>
        <v/>
      </c>
      <c r="X83" s="26" t="str" cm="1">
        <f t="array" aca="1" ref="X83" ca="1">IF(ISNUMBER(SEARCH(INDIRECT(ADDRESS(ROW(X83),MOD(X$1,4)+1)),X$2)),$E83,"")</f>
        <v/>
      </c>
      <c r="Y83" s="26" t="str" cm="1">
        <f t="array" aca="1" ref="Y83" ca="1">IF(ISNUMBER(SEARCH(INDIRECT(ADDRESS(ROW(Y83),MOD(Y$1,4)+1)),Y$2)),$E83,"")</f>
        <v/>
      </c>
      <c r="Z83" s="26" t="str" cm="1">
        <f t="array" aca="1" ref="Z83" ca="1">IF(ISNUMBER(SEARCH(INDIRECT(ADDRESS(ROW(Z83),MOD(Z$1,4)+1)),Z$2)),$E83,"")</f>
        <v/>
      </c>
      <c r="AA83" s="26" t="str" cm="1">
        <f t="array" aca="1" ref="AA83" ca="1">IF(ISNUMBER(SEARCH(INDIRECT(ADDRESS(ROW(AA83),MOD(AA$1,4)+1)),AA$2)),$E83,"")</f>
        <v/>
      </c>
      <c r="AB83" s="26" t="str" cm="1">
        <f t="array" aca="1" ref="AB83" ca="1">IF(ISNUMBER(SEARCH(INDIRECT(ADDRESS(ROW(AB83),MOD(AB$1,4)+1)),AB$2)),$E83,"")</f>
        <v/>
      </c>
      <c r="AC83" s="26" t="str" cm="1">
        <f t="array" aca="1" ref="AC83" ca="1">IF(ISNUMBER(SEARCH(INDIRECT(ADDRESS(ROW(AC83),MOD(AC$1,4)+1)),AC$2)),$E83,"")</f>
        <v/>
      </c>
      <c r="AD83" s="26" t="str" cm="1">
        <f t="array" aca="1" ref="AD83" ca="1">IF(ISNUMBER(SEARCH(INDIRECT(ADDRESS(ROW(AD83),MOD(AD$1,4)+1)),AD$2)),$E83,"")</f>
        <v/>
      </c>
      <c r="AE83" s="26" t="str" cm="1">
        <f t="array" aca="1" ref="AE83" ca="1">IF(ISNUMBER(SEARCH(INDIRECT(ADDRESS(ROW(AE83),MOD(AE$1,4)+1)),AE$2)),$E83,"")</f>
        <v/>
      </c>
      <c r="AF83" s="26" t="str" cm="1">
        <f t="array" aca="1" ref="AF83" ca="1">IF(ISNUMBER(SEARCH(INDIRECT(ADDRESS(ROW(AF83),MOD(AF$1,4)+1)),AF$2)),$E83,"")</f>
        <v/>
      </c>
      <c r="AG83" s="26" t="str" cm="1">
        <f t="array" aca="1" ref="AG83" ca="1">IF(ISNUMBER(SEARCH(INDIRECT(ADDRESS(ROW(AG83),MOD(AG$1,4)+1)),AG$2)),$E83,"")</f>
        <v/>
      </c>
      <c r="AH83" s="26" t="str" cm="1">
        <f t="array" aca="1" ref="AH83" ca="1">IF(ISNUMBER(SEARCH(INDIRECT(ADDRESS(ROW(AH83),MOD(AH$1,4)+1)),AH$2)),$E83,"")</f>
        <v/>
      </c>
      <c r="AI83" s="26" t="str" cm="1">
        <f t="array" aca="1" ref="AI83" ca="1">IF(ISNUMBER(SEARCH(INDIRECT(ADDRESS(ROW(AI83),MOD(AI$1,4)+1)),AI$2)),$E83,"")</f>
        <v/>
      </c>
      <c r="AJ83" s="26" t="str" cm="1">
        <f t="array" aca="1" ref="AJ83" ca="1">IF(ISNUMBER(SEARCH(INDIRECT(ADDRESS(ROW(AJ83),MOD(AJ$1,4)+1)),AJ$2)),$E83,"")</f>
        <v/>
      </c>
      <c r="AK83" s="26" t="str" cm="1">
        <f t="array" aca="1" ref="AK83" ca="1">IF(ISNUMBER(SEARCH(INDIRECT(ADDRESS(ROW(AK83),MOD(AK$1,4)+1)),AK$2)),$E83,"")</f>
        <v/>
      </c>
      <c r="AL83" s="26" t="str" cm="1">
        <f t="array" aca="1" ref="AL83" ca="1">IF(ISNUMBER(SEARCH(INDIRECT(ADDRESS(ROW(AL83),MOD(AL$1,4)+1)),AL$2)),$E83,"")</f>
        <v/>
      </c>
      <c r="AM83" s="26" t="str" cm="1">
        <f t="array" aca="1" ref="AM83" ca="1">IF(ISNUMBER(SEARCH(INDIRECT(ADDRESS(ROW(AM83),MOD(AM$1,4)+1)),AM$2)),$E83,"")</f>
        <v/>
      </c>
      <c r="AN83" s="26" t="str" cm="1">
        <f t="array" aca="1" ref="AN83" ca="1">IF(ISNUMBER(SEARCH(INDIRECT(ADDRESS(ROW(AN83),MOD(AN$1,4)+1)),AN$2)),$E83,"")</f>
        <v/>
      </c>
      <c r="AO83" s="26" t="str" cm="1">
        <f t="array" aca="1" ref="AO83" ca="1">IF(ISNUMBER(SEARCH(INDIRECT(ADDRESS(ROW(AO83),MOD(AO$1,4)+1)),AO$2)),$E83,"")</f>
        <v/>
      </c>
      <c r="AP83" s="26" t="str" cm="1">
        <f t="array" aca="1" ref="AP83" ca="1">IF(ISNUMBER(SEARCH(INDIRECT(ADDRESS(ROW(AP83),MOD(AP$1,4)+1)),AP$2)),$E83,"")</f>
        <v/>
      </c>
      <c r="AQ83" s="31" t="str" cm="1">
        <f t="array" aca="1" ref="AQ83" ca="1">IF(ISNUMBER(SEARCH(INDIRECT(ADDRESS(ROW(AQ83),MOD(AQ$1,4)+1)),AQ$2)),$E83,"")</f>
        <v/>
      </c>
      <c r="AT83" t="e">
        <f>IF(VLOOKUP($E83,'Formatted NEW'!$B$2:$F$202,5,FALSE)=VLOOKUP($E83,'Formatted NEW'!$B$2:$F$202,8,FALSE),$E83,"")</f>
        <v>#N/A</v>
      </c>
      <c r="AW83" t="e">
        <f>IF(VLOOKUP($E83,'Formatted NEW'!$B$2:$F$202,5,FALSE)=VLOOKUP($E83,'Formatted NEW'!$B$2:$F$202,11,FALSE),$E83,"")</f>
        <v>#N/A</v>
      </c>
      <c r="AZ83" t="e">
        <f>IF(VLOOKUP($E83,'Formatted NEW'!$B$2:$F$202,5,FALSE)=VLOOKUP($E83,'Formatted NEW'!$B$2:$F$202,14,FALSE),$E83,"")</f>
        <v>#N/A</v>
      </c>
      <c r="BC83" t="str">
        <f>VLOOKUP($E83,'Formatted NEW'!$M$2:$T$202,6,FALSE)</f>
        <v>EMPTY</v>
      </c>
      <c r="BD83" s="26" t="e">
        <f>VLOOKUP(VLOOKUP(VLOOKUP($E83,'Formatted NEW'!$M$2:$O$202,2,FALSE),'Formatted NEW'!$D$2:$F$202,7,FALSE),'Formatted NEW'!$D$2:$O$202,12,FALSE)</f>
        <v>#REF!</v>
      </c>
      <c r="BE83" t="e">
        <f>VLOOKUP($BD83,'Formatted NEW'!$M$2:$T$202,5,FALSE)</f>
        <v>#REF!</v>
      </c>
      <c r="BF83" s="26" t="e">
        <f t="shared" si="5"/>
        <v>#REF!</v>
      </c>
      <c r="BH83">
        <f>VLOOKUP($E83,'Formatted NEW'!$M$2:$T$202,4,FALSE)</f>
        <v>0</v>
      </c>
      <c r="BI83" s="26" t="e">
        <f>VLOOKUP(VLOOKUP(VLOOKUP($E83,'Formatted NEW'!$M$2:$O$202,2,FALSE),'Formatted NEW'!$D$2:$F$202,10,FALSE),'Formatted NEW'!$D$2:$O$202,12,FALSE)</f>
        <v>#REF!</v>
      </c>
      <c r="BJ83" t="e">
        <f>VLOOKUP($BI83,'Formatted NEW'!$M$2:$T$202,3,FALSE)</f>
        <v>#REF!</v>
      </c>
      <c r="BK83" s="26" t="e">
        <f t="shared" si="6"/>
        <v>#REF!</v>
      </c>
    </row>
    <row r="84" spans="1:63" x14ac:dyDescent="0.25">
      <c r="A84" t="str">
        <f>'Formatted NEW'!Q82</f>
        <v>ORTHO_BOTH</v>
      </c>
      <c r="B84" t="str">
        <f>'Formatted NEW'!R82</f>
        <v>EMPTY</v>
      </c>
      <c r="C84" t="str">
        <f>'Formatted NEW'!S82</f>
        <v>DIAG_BOTH</v>
      </c>
      <c r="D84" t="str">
        <f>'Formatted NEW'!T82</f>
        <v>EMPTY</v>
      </c>
      <c r="E84" s="26">
        <f t="shared" si="4"/>
        <v>80</v>
      </c>
      <c r="H84" s="30" t="str" cm="1">
        <f t="array" aca="1" ref="H84" ca="1">IF(ISNUMBER(SEARCH(INDIRECT(ADDRESS(ROW(H84),MOD(H$1,4)+1)),H$2)),$E84,"")</f>
        <v/>
      </c>
      <c r="I84" s="26" t="str" cm="1">
        <f t="array" aca="1" ref="I84" ca="1">IF(ISNUMBER(SEARCH(INDIRECT(ADDRESS(ROW(I84),MOD(I$1,4)+1)),I$2)),$E84,"")</f>
        <v/>
      </c>
      <c r="J84" s="26" t="str" cm="1">
        <f t="array" aca="1" ref="J84" ca="1">IF(ISNUMBER(SEARCH(INDIRECT(ADDRESS(ROW(J84),MOD(J$1,4)+1)),J$2)),$E84,"")</f>
        <v/>
      </c>
      <c r="K84" s="26" t="str" cm="1">
        <f t="array" aca="1" ref="K84" ca="1">IF(ISNUMBER(SEARCH(INDIRECT(ADDRESS(ROW(K84),MOD(K$1,4)+1)),K$2)),$E84,"")</f>
        <v/>
      </c>
      <c r="L84" s="26" t="str" cm="1">
        <f t="array" aca="1" ref="L84" ca="1">IF(ISNUMBER(SEARCH(INDIRECT(ADDRESS(ROW(L84),MOD(L$1,4)+1)),L$2)),$E84,"")</f>
        <v/>
      </c>
      <c r="M84" s="26" t="str" cm="1">
        <f t="array" aca="1" ref="M84" ca="1">IF(ISNUMBER(SEARCH(INDIRECT(ADDRESS(ROW(M84),MOD(M$1,4)+1)),M$2)),$E84,"")</f>
        <v/>
      </c>
      <c r="N84" s="26" cm="1">
        <f t="array" aca="1" ref="N84" ca="1">IF(ISNUMBER(SEARCH(INDIRECT(ADDRESS(ROW(N84),MOD(N$1,4)+1)),N$2)),$E84,"")</f>
        <v>80</v>
      </c>
      <c r="O84" s="26" t="str" cm="1">
        <f t="array" aca="1" ref="O84" ca="1">IF(ISNUMBER(SEARCH(INDIRECT(ADDRESS(ROW(O84),MOD(O$1,4)+1)),O$2)),$E84,"")</f>
        <v/>
      </c>
      <c r="P84" s="26" cm="1">
        <f t="array" aca="1" ref="P84" ca="1">IF(ISNUMBER(SEARCH(INDIRECT(ADDRESS(ROW(P84),MOD(P$1,4)+1)),P$2)),$E84,"")</f>
        <v>80</v>
      </c>
      <c r="Q84" s="26" t="str" cm="1">
        <f t="array" aca="1" ref="Q84" ca="1">IF(ISNUMBER(SEARCH(INDIRECT(ADDRESS(ROW(Q84),MOD(Q$1,4)+1)),Q$2)),$E84,"")</f>
        <v/>
      </c>
      <c r="R84" s="26" t="str" cm="1">
        <f t="array" aca="1" ref="R84" ca="1">IF(ISNUMBER(SEARCH(INDIRECT(ADDRESS(ROW(R84),MOD(R$1,4)+1)),R$2)),$E84,"")</f>
        <v/>
      </c>
      <c r="S84" s="26" t="str" cm="1">
        <f t="array" aca="1" ref="S84" ca="1">IF(ISNUMBER(SEARCH(INDIRECT(ADDRESS(ROW(S84),MOD(S$1,4)+1)),S$2)),$E84,"")</f>
        <v/>
      </c>
      <c r="T84" s="26" t="str" cm="1">
        <f t="array" aca="1" ref="T84" ca="1">IF(ISNUMBER(SEARCH(INDIRECT(ADDRESS(ROW(T84),MOD(T$1,4)+1)),T$2)),$E84,"")</f>
        <v/>
      </c>
      <c r="U84" s="26" t="str" cm="1">
        <f t="array" aca="1" ref="U84" ca="1">IF(ISNUMBER(SEARCH(INDIRECT(ADDRESS(ROW(U84),MOD(U$1,4)+1)),U$2)),$E84,"")</f>
        <v/>
      </c>
      <c r="V84" s="26" t="str" cm="1">
        <f t="array" aca="1" ref="V84" ca="1">IF(ISNUMBER(SEARCH(INDIRECT(ADDRESS(ROW(V84),MOD(V$1,4)+1)),V$2)),$E84,"")</f>
        <v/>
      </c>
      <c r="W84" s="26" t="str" cm="1">
        <f t="array" aca="1" ref="W84" ca="1">IF(ISNUMBER(SEARCH(INDIRECT(ADDRESS(ROW(W84),MOD(W$1,4)+1)),W$2)),$E84,"")</f>
        <v/>
      </c>
      <c r="X84" s="26" t="str" cm="1">
        <f t="array" aca="1" ref="X84" ca="1">IF(ISNUMBER(SEARCH(INDIRECT(ADDRESS(ROW(X84),MOD(X$1,4)+1)),X$2)),$E84,"")</f>
        <v/>
      </c>
      <c r="Y84" s="26" t="str" cm="1">
        <f t="array" aca="1" ref="Y84" ca="1">IF(ISNUMBER(SEARCH(INDIRECT(ADDRESS(ROW(Y84),MOD(Y$1,4)+1)),Y$2)),$E84,"")</f>
        <v/>
      </c>
      <c r="Z84" s="26" t="str" cm="1">
        <f t="array" aca="1" ref="Z84" ca="1">IF(ISNUMBER(SEARCH(INDIRECT(ADDRESS(ROW(Z84),MOD(Z$1,4)+1)),Z$2)),$E84,"")</f>
        <v/>
      </c>
      <c r="AA84" s="26" t="str" cm="1">
        <f t="array" aca="1" ref="AA84" ca="1">IF(ISNUMBER(SEARCH(INDIRECT(ADDRESS(ROW(AA84),MOD(AA$1,4)+1)),AA$2)),$E84,"")</f>
        <v/>
      </c>
      <c r="AB84" s="26" t="str" cm="1">
        <f t="array" aca="1" ref="AB84" ca="1">IF(ISNUMBER(SEARCH(INDIRECT(ADDRESS(ROW(AB84),MOD(AB$1,4)+1)),AB$2)),$E84,"")</f>
        <v/>
      </c>
      <c r="AC84" s="26" t="str" cm="1">
        <f t="array" aca="1" ref="AC84" ca="1">IF(ISNUMBER(SEARCH(INDIRECT(ADDRESS(ROW(AC84),MOD(AC$1,4)+1)),AC$2)),$E84,"")</f>
        <v/>
      </c>
      <c r="AD84" s="26" t="str" cm="1">
        <f t="array" aca="1" ref="AD84" ca="1">IF(ISNUMBER(SEARCH(INDIRECT(ADDRESS(ROW(AD84),MOD(AD$1,4)+1)),AD$2)),$E84,"")</f>
        <v/>
      </c>
      <c r="AE84" s="26" t="str" cm="1">
        <f t="array" aca="1" ref="AE84" ca="1">IF(ISNUMBER(SEARCH(INDIRECT(ADDRESS(ROW(AE84),MOD(AE$1,4)+1)),AE$2)),$E84,"")</f>
        <v/>
      </c>
      <c r="AF84" s="26" t="str" cm="1">
        <f t="array" aca="1" ref="AF84" ca="1">IF(ISNUMBER(SEARCH(INDIRECT(ADDRESS(ROW(AF84),MOD(AF$1,4)+1)),AF$2)),$E84,"")</f>
        <v/>
      </c>
      <c r="AG84" s="26" t="str" cm="1">
        <f t="array" aca="1" ref="AG84" ca="1">IF(ISNUMBER(SEARCH(INDIRECT(ADDRESS(ROW(AG84),MOD(AG$1,4)+1)),AG$2)),$E84,"")</f>
        <v/>
      </c>
      <c r="AH84" s="26" t="str" cm="1">
        <f t="array" aca="1" ref="AH84" ca="1">IF(ISNUMBER(SEARCH(INDIRECT(ADDRESS(ROW(AH84),MOD(AH$1,4)+1)),AH$2)),$E84,"")</f>
        <v/>
      </c>
      <c r="AI84" s="26" t="str" cm="1">
        <f t="array" aca="1" ref="AI84" ca="1">IF(ISNUMBER(SEARCH(INDIRECT(ADDRESS(ROW(AI84),MOD(AI$1,4)+1)),AI$2)),$E84,"")</f>
        <v/>
      </c>
      <c r="AJ84" s="26" t="str" cm="1">
        <f t="array" aca="1" ref="AJ84" ca="1">IF(ISNUMBER(SEARCH(INDIRECT(ADDRESS(ROW(AJ84),MOD(AJ$1,4)+1)),AJ$2)),$E84,"")</f>
        <v/>
      </c>
      <c r="AK84" s="26" t="str" cm="1">
        <f t="array" aca="1" ref="AK84" ca="1">IF(ISNUMBER(SEARCH(INDIRECT(ADDRESS(ROW(AK84),MOD(AK$1,4)+1)),AK$2)),$E84,"")</f>
        <v/>
      </c>
      <c r="AL84" s="26" t="str" cm="1">
        <f t="array" aca="1" ref="AL84" ca="1">IF(ISNUMBER(SEARCH(INDIRECT(ADDRESS(ROW(AL84),MOD(AL$1,4)+1)),AL$2)),$E84,"")</f>
        <v/>
      </c>
      <c r="AM84" s="26" t="str" cm="1">
        <f t="array" aca="1" ref="AM84" ca="1">IF(ISNUMBER(SEARCH(INDIRECT(ADDRESS(ROW(AM84),MOD(AM$1,4)+1)),AM$2)),$E84,"")</f>
        <v/>
      </c>
      <c r="AN84" s="26" t="str" cm="1">
        <f t="array" aca="1" ref="AN84" ca="1">IF(ISNUMBER(SEARCH(INDIRECT(ADDRESS(ROW(AN84),MOD(AN$1,4)+1)),AN$2)),$E84,"")</f>
        <v/>
      </c>
      <c r="AO84" s="26" t="str" cm="1">
        <f t="array" aca="1" ref="AO84" ca="1">IF(ISNUMBER(SEARCH(INDIRECT(ADDRESS(ROW(AO84),MOD(AO$1,4)+1)),AO$2)),$E84,"")</f>
        <v/>
      </c>
      <c r="AP84" s="26" t="str" cm="1">
        <f t="array" aca="1" ref="AP84" ca="1">IF(ISNUMBER(SEARCH(INDIRECT(ADDRESS(ROW(AP84),MOD(AP$1,4)+1)),AP$2)),$E84,"")</f>
        <v/>
      </c>
      <c r="AQ84" s="31" t="str" cm="1">
        <f t="array" aca="1" ref="AQ84" ca="1">IF(ISNUMBER(SEARCH(INDIRECT(ADDRESS(ROW(AQ84),MOD(AQ$1,4)+1)),AQ$2)),$E84,"")</f>
        <v/>
      </c>
      <c r="AT84" t="e">
        <f>IF(VLOOKUP($E84,'Formatted NEW'!$B$2:$F$202,5,FALSE)=VLOOKUP($E84,'Formatted NEW'!$B$2:$F$202,8,FALSE),$E84,"")</f>
        <v>#N/A</v>
      </c>
      <c r="AW84" t="e">
        <f>IF(VLOOKUP($E84,'Formatted NEW'!$B$2:$F$202,5,FALSE)=VLOOKUP($E84,'Formatted NEW'!$B$2:$F$202,11,FALSE),$E84,"")</f>
        <v>#N/A</v>
      </c>
      <c r="AZ84" t="e">
        <f>IF(VLOOKUP($E84,'Formatted NEW'!$B$2:$F$202,5,FALSE)=VLOOKUP($E84,'Formatted NEW'!$B$2:$F$202,14,FALSE),$E84,"")</f>
        <v>#N/A</v>
      </c>
      <c r="BC84" t="str">
        <f>VLOOKUP($E84,'Formatted NEW'!$M$2:$T$202,6,FALSE)</f>
        <v>EMPTY</v>
      </c>
      <c r="BD84" s="26" t="e">
        <f>VLOOKUP(VLOOKUP(VLOOKUP($E84,'Formatted NEW'!$M$2:$O$202,2,FALSE),'Formatted NEW'!$D$2:$F$202,7,FALSE),'Formatted NEW'!$D$2:$O$202,12,FALSE)</f>
        <v>#REF!</v>
      </c>
      <c r="BE84" t="e">
        <f>VLOOKUP($BD84,'Formatted NEW'!$M$2:$T$202,5,FALSE)</f>
        <v>#REF!</v>
      </c>
      <c r="BF84" s="26" t="e">
        <f t="shared" si="5"/>
        <v>#REF!</v>
      </c>
      <c r="BH84">
        <f>VLOOKUP($E84,'Formatted NEW'!$M$2:$T$202,4,FALSE)</f>
        <v>0</v>
      </c>
      <c r="BI84" s="26" t="e">
        <f>VLOOKUP(VLOOKUP(VLOOKUP($E84,'Formatted NEW'!$M$2:$O$202,2,FALSE),'Formatted NEW'!$D$2:$F$202,10,FALSE),'Formatted NEW'!$D$2:$O$202,12,FALSE)</f>
        <v>#REF!</v>
      </c>
      <c r="BJ84" t="e">
        <f>VLOOKUP($BI84,'Formatted NEW'!$M$2:$T$202,3,FALSE)</f>
        <v>#REF!</v>
      </c>
      <c r="BK84" s="26" t="e">
        <f t="shared" si="6"/>
        <v>#REF!</v>
      </c>
    </row>
    <row r="85" spans="1:63" x14ac:dyDescent="0.25">
      <c r="A85" t="str">
        <f>'Formatted NEW'!Q83</f>
        <v>EMPTY</v>
      </c>
      <c r="B85" t="str">
        <f>'Formatted NEW'!R83</f>
        <v>DIAG_BOTH</v>
      </c>
      <c r="C85" t="str">
        <f>'Formatted NEW'!S83</f>
        <v>EMPTY</v>
      </c>
      <c r="D85" t="str">
        <f>'Formatted NEW'!T83</f>
        <v>DIAG_BOTH</v>
      </c>
      <c r="E85" s="26">
        <f t="shared" si="4"/>
        <v>81</v>
      </c>
      <c r="H85" s="30" t="str" cm="1">
        <f t="array" aca="1" ref="H85" ca="1">IF(ISNUMBER(SEARCH(INDIRECT(ADDRESS(ROW(H85),MOD(H$1,4)+1)),H$2)),$E85,"")</f>
        <v/>
      </c>
      <c r="I85" s="26" t="str" cm="1">
        <f t="array" aca="1" ref="I85" ca="1">IF(ISNUMBER(SEARCH(INDIRECT(ADDRESS(ROW(I85),MOD(I$1,4)+1)),I$2)),$E85,"")</f>
        <v/>
      </c>
      <c r="J85" s="26" t="str" cm="1">
        <f t="array" aca="1" ref="J85" ca="1">IF(ISNUMBER(SEARCH(INDIRECT(ADDRESS(ROW(J85),MOD(J$1,4)+1)),J$2)),$E85,"")</f>
        <v/>
      </c>
      <c r="K85" s="26" t="str" cm="1">
        <f t="array" aca="1" ref="K85" ca="1">IF(ISNUMBER(SEARCH(INDIRECT(ADDRESS(ROW(K85),MOD(K$1,4)+1)),K$2)),$E85,"")</f>
        <v/>
      </c>
      <c r="L85" s="26" t="str" cm="1">
        <f t="array" aca="1" ref="L85" ca="1">IF(ISNUMBER(SEARCH(INDIRECT(ADDRESS(ROW(L85),MOD(L$1,4)+1)),L$2)),$E85,"")</f>
        <v/>
      </c>
      <c r="M85" s="26" cm="1">
        <f t="array" aca="1" ref="M85" ca="1">IF(ISNUMBER(SEARCH(INDIRECT(ADDRESS(ROW(M85),MOD(M$1,4)+1)),M$2)),$E85,"")</f>
        <v>81</v>
      </c>
      <c r="N85" s="26" t="str" cm="1">
        <f t="array" aca="1" ref="N85" ca="1">IF(ISNUMBER(SEARCH(INDIRECT(ADDRESS(ROW(N85),MOD(N$1,4)+1)),N$2)),$E85,"")</f>
        <v/>
      </c>
      <c r="O85" s="26" cm="1">
        <f t="array" aca="1" ref="O85" ca="1">IF(ISNUMBER(SEARCH(INDIRECT(ADDRESS(ROW(O85),MOD(O$1,4)+1)),O$2)),$E85,"")</f>
        <v>81</v>
      </c>
      <c r="P85" s="26" t="str" cm="1">
        <f t="array" aca="1" ref="P85" ca="1">IF(ISNUMBER(SEARCH(INDIRECT(ADDRESS(ROW(P85),MOD(P$1,4)+1)),P$2)),$E85,"")</f>
        <v/>
      </c>
      <c r="Q85" s="26" t="str" cm="1">
        <f t="array" aca="1" ref="Q85" ca="1">IF(ISNUMBER(SEARCH(INDIRECT(ADDRESS(ROW(Q85),MOD(Q$1,4)+1)),Q$2)),$E85,"")</f>
        <v/>
      </c>
      <c r="R85" s="26" t="str" cm="1">
        <f t="array" aca="1" ref="R85" ca="1">IF(ISNUMBER(SEARCH(INDIRECT(ADDRESS(ROW(R85),MOD(R$1,4)+1)),R$2)),$E85,"")</f>
        <v/>
      </c>
      <c r="S85" s="26" t="str" cm="1">
        <f t="array" aca="1" ref="S85" ca="1">IF(ISNUMBER(SEARCH(INDIRECT(ADDRESS(ROW(S85),MOD(S$1,4)+1)),S$2)),$E85,"")</f>
        <v/>
      </c>
      <c r="T85" s="26" t="str" cm="1">
        <f t="array" aca="1" ref="T85" ca="1">IF(ISNUMBER(SEARCH(INDIRECT(ADDRESS(ROW(T85),MOD(T$1,4)+1)),T$2)),$E85,"")</f>
        <v/>
      </c>
      <c r="U85" s="26" t="str" cm="1">
        <f t="array" aca="1" ref="U85" ca="1">IF(ISNUMBER(SEARCH(INDIRECT(ADDRESS(ROW(U85),MOD(U$1,4)+1)),U$2)),$E85,"")</f>
        <v/>
      </c>
      <c r="V85" s="26" t="str" cm="1">
        <f t="array" aca="1" ref="V85" ca="1">IF(ISNUMBER(SEARCH(INDIRECT(ADDRESS(ROW(V85),MOD(V$1,4)+1)),V$2)),$E85,"")</f>
        <v/>
      </c>
      <c r="W85" s="26" t="str" cm="1">
        <f t="array" aca="1" ref="W85" ca="1">IF(ISNUMBER(SEARCH(INDIRECT(ADDRESS(ROW(W85),MOD(W$1,4)+1)),W$2)),$E85,"")</f>
        <v/>
      </c>
      <c r="X85" s="26" t="str" cm="1">
        <f t="array" aca="1" ref="X85" ca="1">IF(ISNUMBER(SEARCH(INDIRECT(ADDRESS(ROW(X85),MOD(X$1,4)+1)),X$2)),$E85,"")</f>
        <v/>
      </c>
      <c r="Y85" s="26" t="str" cm="1">
        <f t="array" aca="1" ref="Y85" ca="1">IF(ISNUMBER(SEARCH(INDIRECT(ADDRESS(ROW(Y85),MOD(Y$1,4)+1)),Y$2)),$E85,"")</f>
        <v/>
      </c>
      <c r="Z85" s="26" t="str" cm="1">
        <f t="array" aca="1" ref="Z85" ca="1">IF(ISNUMBER(SEARCH(INDIRECT(ADDRESS(ROW(Z85),MOD(Z$1,4)+1)),Z$2)),$E85,"")</f>
        <v/>
      </c>
      <c r="AA85" s="26" t="str" cm="1">
        <f t="array" aca="1" ref="AA85" ca="1">IF(ISNUMBER(SEARCH(INDIRECT(ADDRESS(ROW(AA85),MOD(AA$1,4)+1)),AA$2)),$E85,"")</f>
        <v/>
      </c>
      <c r="AB85" s="26" t="str" cm="1">
        <f t="array" aca="1" ref="AB85" ca="1">IF(ISNUMBER(SEARCH(INDIRECT(ADDRESS(ROW(AB85),MOD(AB$1,4)+1)),AB$2)),$E85,"")</f>
        <v/>
      </c>
      <c r="AC85" s="26" t="str" cm="1">
        <f t="array" aca="1" ref="AC85" ca="1">IF(ISNUMBER(SEARCH(INDIRECT(ADDRESS(ROW(AC85),MOD(AC$1,4)+1)),AC$2)),$E85,"")</f>
        <v/>
      </c>
      <c r="AD85" s="26" t="str" cm="1">
        <f t="array" aca="1" ref="AD85" ca="1">IF(ISNUMBER(SEARCH(INDIRECT(ADDRESS(ROW(AD85),MOD(AD$1,4)+1)),AD$2)),$E85,"")</f>
        <v/>
      </c>
      <c r="AE85" s="26" t="str" cm="1">
        <f t="array" aca="1" ref="AE85" ca="1">IF(ISNUMBER(SEARCH(INDIRECT(ADDRESS(ROW(AE85),MOD(AE$1,4)+1)),AE$2)),$E85,"")</f>
        <v/>
      </c>
      <c r="AF85" s="26" t="str" cm="1">
        <f t="array" aca="1" ref="AF85" ca="1">IF(ISNUMBER(SEARCH(INDIRECT(ADDRESS(ROW(AF85),MOD(AF$1,4)+1)),AF$2)),$E85,"")</f>
        <v/>
      </c>
      <c r="AG85" s="26" t="str" cm="1">
        <f t="array" aca="1" ref="AG85" ca="1">IF(ISNUMBER(SEARCH(INDIRECT(ADDRESS(ROW(AG85),MOD(AG$1,4)+1)),AG$2)),$E85,"")</f>
        <v/>
      </c>
      <c r="AH85" s="26" t="str" cm="1">
        <f t="array" aca="1" ref="AH85" ca="1">IF(ISNUMBER(SEARCH(INDIRECT(ADDRESS(ROW(AH85),MOD(AH$1,4)+1)),AH$2)),$E85,"")</f>
        <v/>
      </c>
      <c r="AI85" s="26" t="str" cm="1">
        <f t="array" aca="1" ref="AI85" ca="1">IF(ISNUMBER(SEARCH(INDIRECT(ADDRESS(ROW(AI85),MOD(AI$1,4)+1)),AI$2)),$E85,"")</f>
        <v/>
      </c>
      <c r="AJ85" s="26" t="str" cm="1">
        <f t="array" aca="1" ref="AJ85" ca="1">IF(ISNUMBER(SEARCH(INDIRECT(ADDRESS(ROW(AJ85),MOD(AJ$1,4)+1)),AJ$2)),$E85,"")</f>
        <v/>
      </c>
      <c r="AK85" s="26" t="str" cm="1">
        <f t="array" aca="1" ref="AK85" ca="1">IF(ISNUMBER(SEARCH(INDIRECT(ADDRESS(ROW(AK85),MOD(AK$1,4)+1)),AK$2)),$E85,"")</f>
        <v/>
      </c>
      <c r="AL85" s="26" t="str" cm="1">
        <f t="array" aca="1" ref="AL85" ca="1">IF(ISNUMBER(SEARCH(INDIRECT(ADDRESS(ROW(AL85),MOD(AL$1,4)+1)),AL$2)),$E85,"")</f>
        <v/>
      </c>
      <c r="AM85" s="26" t="str" cm="1">
        <f t="array" aca="1" ref="AM85" ca="1">IF(ISNUMBER(SEARCH(INDIRECT(ADDRESS(ROW(AM85),MOD(AM$1,4)+1)),AM$2)),$E85,"")</f>
        <v/>
      </c>
      <c r="AN85" s="26" t="str" cm="1">
        <f t="array" aca="1" ref="AN85" ca="1">IF(ISNUMBER(SEARCH(INDIRECT(ADDRESS(ROW(AN85),MOD(AN$1,4)+1)),AN$2)),$E85,"")</f>
        <v/>
      </c>
      <c r="AO85" s="26" t="str" cm="1">
        <f t="array" aca="1" ref="AO85" ca="1">IF(ISNUMBER(SEARCH(INDIRECT(ADDRESS(ROW(AO85),MOD(AO$1,4)+1)),AO$2)),$E85,"")</f>
        <v/>
      </c>
      <c r="AP85" s="26" t="str" cm="1">
        <f t="array" aca="1" ref="AP85" ca="1">IF(ISNUMBER(SEARCH(INDIRECT(ADDRESS(ROW(AP85),MOD(AP$1,4)+1)),AP$2)),$E85,"")</f>
        <v/>
      </c>
      <c r="AQ85" s="31" t="str" cm="1">
        <f t="array" aca="1" ref="AQ85" ca="1">IF(ISNUMBER(SEARCH(INDIRECT(ADDRESS(ROW(AQ85),MOD(AQ$1,4)+1)),AQ$2)),$E85,"")</f>
        <v/>
      </c>
      <c r="AT85" t="e">
        <f>IF(VLOOKUP($E85,'Formatted NEW'!$B$2:$F$202,5,FALSE)=VLOOKUP($E85,'Formatted NEW'!$B$2:$F$202,8,FALSE),$E85,"")</f>
        <v>#N/A</v>
      </c>
      <c r="AW85" t="e">
        <f>IF(VLOOKUP($E85,'Formatted NEW'!$B$2:$F$202,5,FALSE)=VLOOKUP($E85,'Formatted NEW'!$B$2:$F$202,11,FALSE),$E85,"")</f>
        <v>#N/A</v>
      </c>
      <c r="AZ85" t="e">
        <f>IF(VLOOKUP($E85,'Formatted NEW'!$B$2:$F$202,5,FALSE)=VLOOKUP($E85,'Formatted NEW'!$B$2:$F$202,14,FALSE),$E85,"")</f>
        <v>#N/A</v>
      </c>
      <c r="BC85" t="str">
        <f>VLOOKUP($E85,'Formatted NEW'!$M$2:$T$202,6,FALSE)</f>
        <v>DIAG_BOTH</v>
      </c>
      <c r="BD85" s="26" t="e">
        <f>VLOOKUP(VLOOKUP(VLOOKUP($E85,'Formatted NEW'!$M$2:$O$202,2,FALSE),'Formatted NEW'!$D$2:$F$202,7,FALSE),'Formatted NEW'!$D$2:$O$202,12,FALSE)</f>
        <v>#REF!</v>
      </c>
      <c r="BE85" t="e">
        <f>VLOOKUP($BD85,'Formatted NEW'!$M$2:$T$202,5,FALSE)</f>
        <v>#REF!</v>
      </c>
      <c r="BF85" s="26" t="e">
        <f t="shared" si="5"/>
        <v>#REF!</v>
      </c>
      <c r="BH85">
        <f>VLOOKUP($E85,'Formatted NEW'!$M$2:$T$202,4,FALSE)</f>
        <v>0</v>
      </c>
      <c r="BI85" s="26" t="e">
        <f>VLOOKUP(VLOOKUP(VLOOKUP($E85,'Formatted NEW'!$M$2:$O$202,2,FALSE),'Formatted NEW'!$D$2:$F$202,10,FALSE),'Formatted NEW'!$D$2:$O$202,12,FALSE)</f>
        <v>#REF!</v>
      </c>
      <c r="BJ85" t="e">
        <f>VLOOKUP($BI85,'Formatted NEW'!$M$2:$T$202,3,FALSE)</f>
        <v>#REF!</v>
      </c>
      <c r="BK85" s="26" t="e">
        <f t="shared" si="6"/>
        <v>#REF!</v>
      </c>
    </row>
    <row r="86" spans="1:63" x14ac:dyDescent="0.25">
      <c r="A86" t="str">
        <f>'Formatted NEW'!Q84</f>
        <v>DIAG_BOTH</v>
      </c>
      <c r="B86" t="str">
        <f>'Formatted NEW'!R84</f>
        <v>EMPTY</v>
      </c>
      <c r="C86" t="str">
        <f>'Formatted NEW'!S84</f>
        <v>EMPTY</v>
      </c>
      <c r="D86" t="str">
        <f>'Formatted NEW'!T84</f>
        <v>EMPTY</v>
      </c>
      <c r="E86" s="26">
        <f t="shared" si="4"/>
        <v>82</v>
      </c>
      <c r="H86" s="30" t="str" cm="1">
        <f t="array" aca="1" ref="H86" ca="1">IF(ISNUMBER(SEARCH(INDIRECT(ADDRESS(ROW(H86),MOD(H$1,4)+1)),H$2)),$E86,"")</f>
        <v/>
      </c>
      <c r="I86" s="26" t="str" cm="1">
        <f t="array" aca="1" ref="I86" ca="1">IF(ISNUMBER(SEARCH(INDIRECT(ADDRESS(ROW(I86),MOD(I$1,4)+1)),I$2)),$E86,"")</f>
        <v/>
      </c>
      <c r="J86" s="26" t="str" cm="1">
        <f t="array" aca="1" ref="J86" ca="1">IF(ISNUMBER(SEARCH(INDIRECT(ADDRESS(ROW(J86),MOD(J$1,4)+1)),J$2)),$E86,"")</f>
        <v/>
      </c>
      <c r="K86" s="26" t="str" cm="1">
        <f t="array" aca="1" ref="K86" ca="1">IF(ISNUMBER(SEARCH(INDIRECT(ADDRESS(ROW(K86),MOD(K$1,4)+1)),K$2)),$E86,"")</f>
        <v/>
      </c>
      <c r="L86" s="26" cm="1">
        <f t="array" aca="1" ref="L86" ca="1">IF(ISNUMBER(SEARCH(INDIRECT(ADDRESS(ROW(L86),MOD(L$1,4)+1)),L$2)),$E86,"")</f>
        <v>82</v>
      </c>
      <c r="M86" s="26" t="str" cm="1">
        <f t="array" aca="1" ref="M86" ca="1">IF(ISNUMBER(SEARCH(INDIRECT(ADDRESS(ROW(M86),MOD(M$1,4)+1)),M$2)),$E86,"")</f>
        <v/>
      </c>
      <c r="N86" s="26" t="str" cm="1">
        <f t="array" aca="1" ref="N86" ca="1">IF(ISNUMBER(SEARCH(INDIRECT(ADDRESS(ROW(N86),MOD(N$1,4)+1)),N$2)),$E86,"")</f>
        <v/>
      </c>
      <c r="O86" s="26" t="str" cm="1">
        <f t="array" aca="1" ref="O86" ca="1">IF(ISNUMBER(SEARCH(INDIRECT(ADDRESS(ROW(O86),MOD(O$1,4)+1)),O$2)),$E86,"")</f>
        <v/>
      </c>
      <c r="P86" s="26" t="str" cm="1">
        <f t="array" aca="1" ref="P86" ca="1">IF(ISNUMBER(SEARCH(INDIRECT(ADDRESS(ROW(P86),MOD(P$1,4)+1)),P$2)),$E86,"")</f>
        <v/>
      </c>
      <c r="Q86" s="26" t="str" cm="1">
        <f t="array" aca="1" ref="Q86" ca="1">IF(ISNUMBER(SEARCH(INDIRECT(ADDRESS(ROW(Q86),MOD(Q$1,4)+1)),Q$2)),$E86,"")</f>
        <v/>
      </c>
      <c r="R86" s="26" t="str" cm="1">
        <f t="array" aca="1" ref="R86" ca="1">IF(ISNUMBER(SEARCH(INDIRECT(ADDRESS(ROW(R86),MOD(R$1,4)+1)),R$2)),$E86,"")</f>
        <v/>
      </c>
      <c r="S86" s="26" t="str" cm="1">
        <f t="array" aca="1" ref="S86" ca="1">IF(ISNUMBER(SEARCH(INDIRECT(ADDRESS(ROW(S86),MOD(S$1,4)+1)),S$2)),$E86,"")</f>
        <v/>
      </c>
      <c r="T86" s="26" t="str" cm="1">
        <f t="array" aca="1" ref="T86" ca="1">IF(ISNUMBER(SEARCH(INDIRECT(ADDRESS(ROW(T86),MOD(T$1,4)+1)),T$2)),$E86,"")</f>
        <v/>
      </c>
      <c r="U86" s="26" t="str" cm="1">
        <f t="array" aca="1" ref="U86" ca="1">IF(ISNUMBER(SEARCH(INDIRECT(ADDRESS(ROW(U86),MOD(U$1,4)+1)),U$2)),$E86,"")</f>
        <v/>
      </c>
      <c r="V86" s="26" t="str" cm="1">
        <f t="array" aca="1" ref="V86" ca="1">IF(ISNUMBER(SEARCH(INDIRECT(ADDRESS(ROW(V86),MOD(V$1,4)+1)),V$2)),$E86,"")</f>
        <v/>
      </c>
      <c r="W86" s="26" t="str" cm="1">
        <f t="array" aca="1" ref="W86" ca="1">IF(ISNUMBER(SEARCH(INDIRECT(ADDRESS(ROW(W86),MOD(W$1,4)+1)),W$2)),$E86,"")</f>
        <v/>
      </c>
      <c r="X86" s="26" t="str" cm="1">
        <f t="array" aca="1" ref="X86" ca="1">IF(ISNUMBER(SEARCH(INDIRECT(ADDRESS(ROW(X86),MOD(X$1,4)+1)),X$2)),$E86,"")</f>
        <v/>
      </c>
      <c r="Y86" s="26" t="str" cm="1">
        <f t="array" aca="1" ref="Y86" ca="1">IF(ISNUMBER(SEARCH(INDIRECT(ADDRESS(ROW(Y86),MOD(Y$1,4)+1)),Y$2)),$E86,"")</f>
        <v/>
      </c>
      <c r="Z86" s="26" t="str" cm="1">
        <f t="array" aca="1" ref="Z86" ca="1">IF(ISNUMBER(SEARCH(INDIRECT(ADDRESS(ROW(Z86),MOD(Z$1,4)+1)),Z$2)),$E86,"")</f>
        <v/>
      </c>
      <c r="AA86" s="26" t="str" cm="1">
        <f t="array" aca="1" ref="AA86" ca="1">IF(ISNUMBER(SEARCH(INDIRECT(ADDRESS(ROW(AA86),MOD(AA$1,4)+1)),AA$2)),$E86,"")</f>
        <v/>
      </c>
      <c r="AB86" s="26" t="str" cm="1">
        <f t="array" aca="1" ref="AB86" ca="1">IF(ISNUMBER(SEARCH(INDIRECT(ADDRESS(ROW(AB86),MOD(AB$1,4)+1)),AB$2)),$E86,"")</f>
        <v/>
      </c>
      <c r="AC86" s="26" t="str" cm="1">
        <f t="array" aca="1" ref="AC86" ca="1">IF(ISNUMBER(SEARCH(INDIRECT(ADDRESS(ROW(AC86),MOD(AC$1,4)+1)),AC$2)),$E86,"")</f>
        <v/>
      </c>
      <c r="AD86" s="26" t="str" cm="1">
        <f t="array" aca="1" ref="AD86" ca="1">IF(ISNUMBER(SEARCH(INDIRECT(ADDRESS(ROW(AD86),MOD(AD$1,4)+1)),AD$2)),$E86,"")</f>
        <v/>
      </c>
      <c r="AE86" s="26" t="str" cm="1">
        <f t="array" aca="1" ref="AE86" ca="1">IF(ISNUMBER(SEARCH(INDIRECT(ADDRESS(ROW(AE86),MOD(AE$1,4)+1)),AE$2)),$E86,"")</f>
        <v/>
      </c>
      <c r="AF86" s="26" t="str" cm="1">
        <f t="array" aca="1" ref="AF86" ca="1">IF(ISNUMBER(SEARCH(INDIRECT(ADDRESS(ROW(AF86),MOD(AF$1,4)+1)),AF$2)),$E86,"")</f>
        <v/>
      </c>
      <c r="AG86" s="26" t="str" cm="1">
        <f t="array" aca="1" ref="AG86" ca="1">IF(ISNUMBER(SEARCH(INDIRECT(ADDRESS(ROW(AG86),MOD(AG$1,4)+1)),AG$2)),$E86,"")</f>
        <v/>
      </c>
      <c r="AH86" s="26" t="str" cm="1">
        <f t="array" aca="1" ref="AH86" ca="1">IF(ISNUMBER(SEARCH(INDIRECT(ADDRESS(ROW(AH86),MOD(AH$1,4)+1)),AH$2)),$E86,"")</f>
        <v/>
      </c>
      <c r="AI86" s="26" t="str" cm="1">
        <f t="array" aca="1" ref="AI86" ca="1">IF(ISNUMBER(SEARCH(INDIRECT(ADDRESS(ROW(AI86),MOD(AI$1,4)+1)),AI$2)),$E86,"")</f>
        <v/>
      </c>
      <c r="AJ86" s="26" t="str" cm="1">
        <f t="array" aca="1" ref="AJ86" ca="1">IF(ISNUMBER(SEARCH(INDIRECT(ADDRESS(ROW(AJ86),MOD(AJ$1,4)+1)),AJ$2)),$E86,"")</f>
        <v/>
      </c>
      <c r="AK86" s="26" t="str" cm="1">
        <f t="array" aca="1" ref="AK86" ca="1">IF(ISNUMBER(SEARCH(INDIRECT(ADDRESS(ROW(AK86),MOD(AK$1,4)+1)),AK$2)),$E86,"")</f>
        <v/>
      </c>
      <c r="AL86" s="26" t="str" cm="1">
        <f t="array" aca="1" ref="AL86" ca="1">IF(ISNUMBER(SEARCH(INDIRECT(ADDRESS(ROW(AL86),MOD(AL$1,4)+1)),AL$2)),$E86,"")</f>
        <v/>
      </c>
      <c r="AM86" s="26" t="str" cm="1">
        <f t="array" aca="1" ref="AM86" ca="1">IF(ISNUMBER(SEARCH(INDIRECT(ADDRESS(ROW(AM86),MOD(AM$1,4)+1)),AM$2)),$E86,"")</f>
        <v/>
      </c>
      <c r="AN86" s="26" t="str" cm="1">
        <f t="array" aca="1" ref="AN86" ca="1">IF(ISNUMBER(SEARCH(INDIRECT(ADDRESS(ROW(AN86),MOD(AN$1,4)+1)),AN$2)),$E86,"")</f>
        <v/>
      </c>
      <c r="AO86" s="26" t="str" cm="1">
        <f t="array" aca="1" ref="AO86" ca="1">IF(ISNUMBER(SEARCH(INDIRECT(ADDRESS(ROW(AO86),MOD(AO$1,4)+1)),AO$2)),$E86,"")</f>
        <v/>
      </c>
      <c r="AP86" s="26" t="str" cm="1">
        <f t="array" aca="1" ref="AP86" ca="1">IF(ISNUMBER(SEARCH(INDIRECT(ADDRESS(ROW(AP86),MOD(AP$1,4)+1)),AP$2)),$E86,"")</f>
        <v/>
      </c>
      <c r="AQ86" s="31" t="str" cm="1">
        <f t="array" aca="1" ref="AQ86" ca="1">IF(ISNUMBER(SEARCH(INDIRECT(ADDRESS(ROW(AQ86),MOD(AQ$1,4)+1)),AQ$2)),$E86,"")</f>
        <v/>
      </c>
      <c r="AT86" t="e">
        <f>IF(VLOOKUP($E86,'Formatted NEW'!$B$2:$F$202,5,FALSE)=VLOOKUP($E86,'Formatted NEW'!$B$2:$F$202,8,FALSE),$E86,"")</f>
        <v>#N/A</v>
      </c>
      <c r="AW86" t="e">
        <f>IF(VLOOKUP($E86,'Formatted NEW'!$B$2:$F$202,5,FALSE)=VLOOKUP($E86,'Formatted NEW'!$B$2:$F$202,11,FALSE),$E86,"")</f>
        <v>#N/A</v>
      </c>
      <c r="AZ86" t="e">
        <f>IF(VLOOKUP($E86,'Formatted NEW'!$B$2:$F$202,5,FALSE)=VLOOKUP($E86,'Formatted NEW'!$B$2:$F$202,14,FALSE),$E86,"")</f>
        <v>#N/A</v>
      </c>
      <c r="BC86" t="str">
        <f>VLOOKUP($E86,'Formatted NEW'!$M$2:$T$202,6,FALSE)</f>
        <v>EMPTY</v>
      </c>
      <c r="BD86" s="26" t="e">
        <f>VLOOKUP(VLOOKUP(VLOOKUP($E86,'Formatted NEW'!$M$2:$O$202,2,FALSE),'Formatted NEW'!$D$2:$F$202,7,FALSE),'Formatted NEW'!$D$2:$O$202,12,FALSE)</f>
        <v>#REF!</v>
      </c>
      <c r="BE86" t="e">
        <f>VLOOKUP($BD86,'Formatted NEW'!$M$2:$T$202,5,FALSE)</f>
        <v>#REF!</v>
      </c>
      <c r="BF86" s="26" t="e">
        <f t="shared" si="5"/>
        <v>#REF!</v>
      </c>
      <c r="BH86">
        <f>VLOOKUP($E86,'Formatted NEW'!$M$2:$T$202,4,FALSE)</f>
        <v>0</v>
      </c>
      <c r="BI86" s="26" t="e">
        <f>VLOOKUP(VLOOKUP(VLOOKUP($E86,'Formatted NEW'!$M$2:$O$202,2,FALSE),'Formatted NEW'!$D$2:$F$202,10,FALSE),'Formatted NEW'!$D$2:$O$202,12,FALSE)</f>
        <v>#REF!</v>
      </c>
      <c r="BJ86" t="e">
        <f>VLOOKUP($BI86,'Formatted NEW'!$M$2:$T$202,3,FALSE)</f>
        <v>#REF!</v>
      </c>
      <c r="BK86" s="26" t="e">
        <f t="shared" si="6"/>
        <v>#REF!</v>
      </c>
    </row>
    <row r="87" spans="1:63" x14ac:dyDescent="0.25">
      <c r="A87" t="str">
        <f>'Formatted NEW'!Q85</f>
        <v>DIAG_BOTH</v>
      </c>
      <c r="B87" t="str">
        <f>'Formatted NEW'!R85</f>
        <v>DIAG_BOTH</v>
      </c>
      <c r="C87" t="str">
        <f>'Formatted NEW'!S85</f>
        <v>DIAG_BOTH</v>
      </c>
      <c r="D87" t="str">
        <f>'Formatted NEW'!T85</f>
        <v>DIAG_BOTH</v>
      </c>
      <c r="E87" s="26">
        <f t="shared" si="4"/>
        <v>83</v>
      </c>
      <c r="H87" s="30" t="str" cm="1">
        <f t="array" aca="1" ref="H87" ca="1">IF(ISNUMBER(SEARCH(INDIRECT(ADDRESS(ROW(H87),MOD(H$1,4)+1)),H$2)),$E87,"")</f>
        <v/>
      </c>
      <c r="I87" s="26" t="str" cm="1">
        <f t="array" aca="1" ref="I87" ca="1">IF(ISNUMBER(SEARCH(INDIRECT(ADDRESS(ROW(I87),MOD(I$1,4)+1)),I$2)),$E87,"")</f>
        <v/>
      </c>
      <c r="J87" s="26" t="str" cm="1">
        <f t="array" aca="1" ref="J87" ca="1">IF(ISNUMBER(SEARCH(INDIRECT(ADDRESS(ROW(J87),MOD(J$1,4)+1)),J$2)),$E87,"")</f>
        <v/>
      </c>
      <c r="K87" s="26" t="str" cm="1">
        <f t="array" aca="1" ref="K87" ca="1">IF(ISNUMBER(SEARCH(INDIRECT(ADDRESS(ROW(K87),MOD(K$1,4)+1)),K$2)),$E87,"")</f>
        <v/>
      </c>
      <c r="L87" s="26" cm="1">
        <f t="array" aca="1" ref="L87" ca="1">IF(ISNUMBER(SEARCH(INDIRECT(ADDRESS(ROW(L87),MOD(L$1,4)+1)),L$2)),$E87,"")</f>
        <v>83</v>
      </c>
      <c r="M87" s="26" cm="1">
        <f t="array" aca="1" ref="M87" ca="1">IF(ISNUMBER(SEARCH(INDIRECT(ADDRESS(ROW(M87),MOD(M$1,4)+1)),M$2)),$E87,"")</f>
        <v>83</v>
      </c>
      <c r="N87" s="26" cm="1">
        <f t="array" aca="1" ref="N87" ca="1">IF(ISNUMBER(SEARCH(INDIRECT(ADDRESS(ROW(N87),MOD(N$1,4)+1)),N$2)),$E87,"")</f>
        <v>83</v>
      </c>
      <c r="O87" s="26" cm="1">
        <f t="array" aca="1" ref="O87" ca="1">IF(ISNUMBER(SEARCH(INDIRECT(ADDRESS(ROW(O87),MOD(O$1,4)+1)),O$2)),$E87,"")</f>
        <v>83</v>
      </c>
      <c r="P87" s="26" t="str" cm="1">
        <f t="array" aca="1" ref="P87" ca="1">IF(ISNUMBER(SEARCH(INDIRECT(ADDRESS(ROW(P87),MOD(P$1,4)+1)),P$2)),$E87,"")</f>
        <v/>
      </c>
      <c r="Q87" s="26" t="str" cm="1">
        <f t="array" aca="1" ref="Q87" ca="1">IF(ISNUMBER(SEARCH(INDIRECT(ADDRESS(ROW(Q87),MOD(Q$1,4)+1)),Q$2)),$E87,"")</f>
        <v/>
      </c>
      <c r="R87" s="26" t="str" cm="1">
        <f t="array" aca="1" ref="R87" ca="1">IF(ISNUMBER(SEARCH(INDIRECT(ADDRESS(ROW(R87),MOD(R$1,4)+1)),R$2)),$E87,"")</f>
        <v/>
      </c>
      <c r="S87" s="26" t="str" cm="1">
        <f t="array" aca="1" ref="S87" ca="1">IF(ISNUMBER(SEARCH(INDIRECT(ADDRESS(ROW(S87),MOD(S$1,4)+1)),S$2)),$E87,"")</f>
        <v/>
      </c>
      <c r="T87" s="26" t="str" cm="1">
        <f t="array" aca="1" ref="T87" ca="1">IF(ISNUMBER(SEARCH(INDIRECT(ADDRESS(ROW(T87),MOD(T$1,4)+1)),T$2)),$E87,"")</f>
        <v/>
      </c>
      <c r="U87" s="26" t="str" cm="1">
        <f t="array" aca="1" ref="U87" ca="1">IF(ISNUMBER(SEARCH(INDIRECT(ADDRESS(ROW(U87),MOD(U$1,4)+1)),U$2)),$E87,"")</f>
        <v/>
      </c>
      <c r="V87" s="26" t="str" cm="1">
        <f t="array" aca="1" ref="V87" ca="1">IF(ISNUMBER(SEARCH(INDIRECT(ADDRESS(ROW(V87),MOD(V$1,4)+1)),V$2)),$E87,"")</f>
        <v/>
      </c>
      <c r="W87" s="26" t="str" cm="1">
        <f t="array" aca="1" ref="W87" ca="1">IF(ISNUMBER(SEARCH(INDIRECT(ADDRESS(ROW(W87),MOD(W$1,4)+1)),W$2)),$E87,"")</f>
        <v/>
      </c>
      <c r="X87" s="26" t="str" cm="1">
        <f t="array" aca="1" ref="X87" ca="1">IF(ISNUMBER(SEARCH(INDIRECT(ADDRESS(ROW(X87),MOD(X$1,4)+1)),X$2)),$E87,"")</f>
        <v/>
      </c>
      <c r="Y87" s="26" t="str" cm="1">
        <f t="array" aca="1" ref="Y87" ca="1">IF(ISNUMBER(SEARCH(INDIRECT(ADDRESS(ROW(Y87),MOD(Y$1,4)+1)),Y$2)),$E87,"")</f>
        <v/>
      </c>
      <c r="Z87" s="26" t="str" cm="1">
        <f t="array" aca="1" ref="Z87" ca="1">IF(ISNUMBER(SEARCH(INDIRECT(ADDRESS(ROW(Z87),MOD(Z$1,4)+1)),Z$2)),$E87,"")</f>
        <v/>
      </c>
      <c r="AA87" s="26" t="str" cm="1">
        <f t="array" aca="1" ref="AA87" ca="1">IF(ISNUMBER(SEARCH(INDIRECT(ADDRESS(ROW(AA87),MOD(AA$1,4)+1)),AA$2)),$E87,"")</f>
        <v/>
      </c>
      <c r="AB87" s="26" t="str" cm="1">
        <f t="array" aca="1" ref="AB87" ca="1">IF(ISNUMBER(SEARCH(INDIRECT(ADDRESS(ROW(AB87),MOD(AB$1,4)+1)),AB$2)),$E87,"")</f>
        <v/>
      </c>
      <c r="AC87" s="26" t="str" cm="1">
        <f t="array" aca="1" ref="AC87" ca="1">IF(ISNUMBER(SEARCH(INDIRECT(ADDRESS(ROW(AC87),MOD(AC$1,4)+1)),AC$2)),$E87,"")</f>
        <v/>
      </c>
      <c r="AD87" s="26" t="str" cm="1">
        <f t="array" aca="1" ref="AD87" ca="1">IF(ISNUMBER(SEARCH(INDIRECT(ADDRESS(ROW(AD87),MOD(AD$1,4)+1)),AD$2)),$E87,"")</f>
        <v/>
      </c>
      <c r="AE87" s="26" t="str" cm="1">
        <f t="array" aca="1" ref="AE87" ca="1">IF(ISNUMBER(SEARCH(INDIRECT(ADDRESS(ROW(AE87),MOD(AE$1,4)+1)),AE$2)),$E87,"")</f>
        <v/>
      </c>
      <c r="AF87" s="26" t="str" cm="1">
        <f t="array" aca="1" ref="AF87" ca="1">IF(ISNUMBER(SEARCH(INDIRECT(ADDRESS(ROW(AF87),MOD(AF$1,4)+1)),AF$2)),$E87,"")</f>
        <v/>
      </c>
      <c r="AG87" s="26" t="str" cm="1">
        <f t="array" aca="1" ref="AG87" ca="1">IF(ISNUMBER(SEARCH(INDIRECT(ADDRESS(ROW(AG87),MOD(AG$1,4)+1)),AG$2)),$E87,"")</f>
        <v/>
      </c>
      <c r="AH87" s="26" t="str" cm="1">
        <f t="array" aca="1" ref="AH87" ca="1">IF(ISNUMBER(SEARCH(INDIRECT(ADDRESS(ROW(AH87),MOD(AH$1,4)+1)),AH$2)),$E87,"")</f>
        <v/>
      </c>
      <c r="AI87" s="26" t="str" cm="1">
        <f t="array" aca="1" ref="AI87" ca="1">IF(ISNUMBER(SEARCH(INDIRECT(ADDRESS(ROW(AI87),MOD(AI$1,4)+1)),AI$2)),$E87,"")</f>
        <v/>
      </c>
      <c r="AJ87" s="26" t="str" cm="1">
        <f t="array" aca="1" ref="AJ87" ca="1">IF(ISNUMBER(SEARCH(INDIRECT(ADDRESS(ROW(AJ87),MOD(AJ$1,4)+1)),AJ$2)),$E87,"")</f>
        <v/>
      </c>
      <c r="AK87" s="26" t="str" cm="1">
        <f t="array" aca="1" ref="AK87" ca="1">IF(ISNUMBER(SEARCH(INDIRECT(ADDRESS(ROW(AK87),MOD(AK$1,4)+1)),AK$2)),$E87,"")</f>
        <v/>
      </c>
      <c r="AL87" s="26" t="str" cm="1">
        <f t="array" aca="1" ref="AL87" ca="1">IF(ISNUMBER(SEARCH(INDIRECT(ADDRESS(ROW(AL87),MOD(AL$1,4)+1)),AL$2)),$E87,"")</f>
        <v/>
      </c>
      <c r="AM87" s="26" t="str" cm="1">
        <f t="array" aca="1" ref="AM87" ca="1">IF(ISNUMBER(SEARCH(INDIRECT(ADDRESS(ROW(AM87),MOD(AM$1,4)+1)),AM$2)),$E87,"")</f>
        <v/>
      </c>
      <c r="AN87" s="26" t="str" cm="1">
        <f t="array" aca="1" ref="AN87" ca="1">IF(ISNUMBER(SEARCH(INDIRECT(ADDRESS(ROW(AN87),MOD(AN$1,4)+1)),AN$2)),$E87,"")</f>
        <v/>
      </c>
      <c r="AO87" s="26" t="str" cm="1">
        <f t="array" aca="1" ref="AO87" ca="1">IF(ISNUMBER(SEARCH(INDIRECT(ADDRESS(ROW(AO87),MOD(AO$1,4)+1)),AO$2)),$E87,"")</f>
        <v/>
      </c>
      <c r="AP87" s="26" t="str" cm="1">
        <f t="array" aca="1" ref="AP87" ca="1">IF(ISNUMBER(SEARCH(INDIRECT(ADDRESS(ROW(AP87),MOD(AP$1,4)+1)),AP$2)),$E87,"")</f>
        <v/>
      </c>
      <c r="AQ87" s="31" t="str" cm="1">
        <f t="array" aca="1" ref="AQ87" ca="1">IF(ISNUMBER(SEARCH(INDIRECT(ADDRESS(ROW(AQ87),MOD(AQ$1,4)+1)),AQ$2)),$E87,"")</f>
        <v/>
      </c>
      <c r="AT87" t="e">
        <f>IF(VLOOKUP($E87,'Formatted NEW'!$B$2:$F$202,5,FALSE)=VLOOKUP($E87,'Formatted NEW'!$B$2:$F$202,8,FALSE),$E87,"")</f>
        <v>#N/A</v>
      </c>
      <c r="AW87" t="e">
        <f>IF(VLOOKUP($E87,'Formatted NEW'!$B$2:$F$202,5,FALSE)=VLOOKUP($E87,'Formatted NEW'!$B$2:$F$202,11,FALSE),$E87,"")</f>
        <v>#N/A</v>
      </c>
      <c r="AZ87" t="e">
        <f>IF(VLOOKUP($E87,'Formatted NEW'!$B$2:$F$202,5,FALSE)=VLOOKUP($E87,'Formatted NEW'!$B$2:$F$202,14,FALSE),$E87,"")</f>
        <v>#N/A</v>
      </c>
      <c r="BC87" t="str">
        <f>VLOOKUP($E87,'Formatted NEW'!$M$2:$T$202,6,FALSE)</f>
        <v>DIAG_BOTH</v>
      </c>
      <c r="BD87" s="26" t="e">
        <f>VLOOKUP(VLOOKUP(VLOOKUP($E87,'Formatted NEW'!$M$2:$O$202,2,FALSE),'Formatted NEW'!$D$2:$F$202,7,FALSE),'Formatted NEW'!$D$2:$O$202,12,FALSE)</f>
        <v>#REF!</v>
      </c>
      <c r="BE87" t="e">
        <f>VLOOKUP($BD87,'Formatted NEW'!$M$2:$T$202,5,FALSE)</f>
        <v>#REF!</v>
      </c>
      <c r="BF87" s="26" t="e">
        <f t="shared" si="5"/>
        <v>#REF!</v>
      </c>
      <c r="BH87">
        <f>VLOOKUP($E87,'Formatted NEW'!$M$2:$T$202,4,FALSE)</f>
        <v>0</v>
      </c>
      <c r="BI87" s="26" t="e">
        <f>VLOOKUP(VLOOKUP(VLOOKUP($E87,'Formatted NEW'!$M$2:$O$202,2,FALSE),'Formatted NEW'!$D$2:$F$202,10,FALSE),'Formatted NEW'!$D$2:$O$202,12,FALSE)</f>
        <v>#REF!</v>
      </c>
      <c r="BJ87" t="e">
        <f>VLOOKUP($BI87,'Formatted NEW'!$M$2:$T$202,3,FALSE)</f>
        <v>#REF!</v>
      </c>
      <c r="BK87" s="26" t="e">
        <f t="shared" si="6"/>
        <v>#REF!</v>
      </c>
    </row>
    <row r="88" spans="1:63" x14ac:dyDescent="0.25">
      <c r="A88" t="str">
        <f>'Formatted NEW'!Q86</f>
        <v>ORTHO_BOTH</v>
      </c>
      <c r="B88" t="str">
        <f>'Formatted NEW'!R86</f>
        <v>DIAG_BOTH</v>
      </c>
      <c r="C88" t="str">
        <f>'Formatted NEW'!S86</f>
        <v>DIAG_BOTH</v>
      </c>
      <c r="D88" t="str">
        <f>'Formatted NEW'!T86</f>
        <v>DIAG_BOTH</v>
      </c>
      <c r="E88" s="26">
        <f t="shared" si="4"/>
        <v>84</v>
      </c>
      <c r="H88" s="30" t="str" cm="1">
        <f t="array" aca="1" ref="H88" ca="1">IF(ISNUMBER(SEARCH(INDIRECT(ADDRESS(ROW(H88),MOD(H$1,4)+1)),H$2)),$E88,"")</f>
        <v/>
      </c>
      <c r="I88" s="26" t="str" cm="1">
        <f t="array" aca="1" ref="I88" ca="1">IF(ISNUMBER(SEARCH(INDIRECT(ADDRESS(ROW(I88),MOD(I$1,4)+1)),I$2)),$E88,"")</f>
        <v/>
      </c>
      <c r="J88" s="26" t="str" cm="1">
        <f t="array" aca="1" ref="J88" ca="1">IF(ISNUMBER(SEARCH(INDIRECT(ADDRESS(ROW(J88),MOD(J$1,4)+1)),J$2)),$E88,"")</f>
        <v/>
      </c>
      <c r="K88" s="26" t="str" cm="1">
        <f t="array" aca="1" ref="K88" ca="1">IF(ISNUMBER(SEARCH(INDIRECT(ADDRESS(ROW(K88),MOD(K$1,4)+1)),K$2)),$E88,"")</f>
        <v/>
      </c>
      <c r="L88" s="26" t="str" cm="1">
        <f t="array" aca="1" ref="L88" ca="1">IF(ISNUMBER(SEARCH(INDIRECT(ADDRESS(ROW(L88),MOD(L$1,4)+1)),L$2)),$E88,"")</f>
        <v/>
      </c>
      <c r="M88" s="26" cm="1">
        <f t="array" aca="1" ref="M88" ca="1">IF(ISNUMBER(SEARCH(INDIRECT(ADDRESS(ROW(M88),MOD(M$1,4)+1)),M$2)),$E88,"")</f>
        <v>84</v>
      </c>
      <c r="N88" s="26" cm="1">
        <f t="array" aca="1" ref="N88" ca="1">IF(ISNUMBER(SEARCH(INDIRECT(ADDRESS(ROW(N88),MOD(N$1,4)+1)),N$2)),$E88,"")</f>
        <v>84</v>
      </c>
      <c r="O88" s="26" cm="1">
        <f t="array" aca="1" ref="O88" ca="1">IF(ISNUMBER(SEARCH(INDIRECT(ADDRESS(ROW(O88),MOD(O$1,4)+1)),O$2)),$E88,"")</f>
        <v>84</v>
      </c>
      <c r="P88" s="26" cm="1">
        <f t="array" aca="1" ref="P88" ca="1">IF(ISNUMBER(SEARCH(INDIRECT(ADDRESS(ROW(P88),MOD(P$1,4)+1)),P$2)),$E88,"")</f>
        <v>84</v>
      </c>
      <c r="Q88" s="26" t="str" cm="1">
        <f t="array" aca="1" ref="Q88" ca="1">IF(ISNUMBER(SEARCH(INDIRECT(ADDRESS(ROW(Q88),MOD(Q$1,4)+1)),Q$2)),$E88,"")</f>
        <v/>
      </c>
      <c r="R88" s="26" t="str" cm="1">
        <f t="array" aca="1" ref="R88" ca="1">IF(ISNUMBER(SEARCH(INDIRECT(ADDRESS(ROW(R88),MOD(R$1,4)+1)),R$2)),$E88,"")</f>
        <v/>
      </c>
      <c r="S88" s="26" t="str" cm="1">
        <f t="array" aca="1" ref="S88" ca="1">IF(ISNUMBER(SEARCH(INDIRECT(ADDRESS(ROW(S88),MOD(S$1,4)+1)),S$2)),$E88,"")</f>
        <v/>
      </c>
      <c r="T88" s="26" t="str" cm="1">
        <f t="array" aca="1" ref="T88" ca="1">IF(ISNUMBER(SEARCH(INDIRECT(ADDRESS(ROW(T88),MOD(T$1,4)+1)),T$2)),$E88,"")</f>
        <v/>
      </c>
      <c r="U88" s="26" t="str" cm="1">
        <f t="array" aca="1" ref="U88" ca="1">IF(ISNUMBER(SEARCH(INDIRECT(ADDRESS(ROW(U88),MOD(U$1,4)+1)),U$2)),$E88,"")</f>
        <v/>
      </c>
      <c r="V88" s="26" t="str" cm="1">
        <f t="array" aca="1" ref="V88" ca="1">IF(ISNUMBER(SEARCH(INDIRECT(ADDRESS(ROW(V88),MOD(V$1,4)+1)),V$2)),$E88,"")</f>
        <v/>
      </c>
      <c r="W88" s="26" t="str" cm="1">
        <f t="array" aca="1" ref="W88" ca="1">IF(ISNUMBER(SEARCH(INDIRECT(ADDRESS(ROW(W88),MOD(W$1,4)+1)),W$2)),$E88,"")</f>
        <v/>
      </c>
      <c r="X88" s="26" t="str" cm="1">
        <f t="array" aca="1" ref="X88" ca="1">IF(ISNUMBER(SEARCH(INDIRECT(ADDRESS(ROW(X88),MOD(X$1,4)+1)),X$2)),$E88,"")</f>
        <v/>
      </c>
      <c r="Y88" s="26" t="str" cm="1">
        <f t="array" aca="1" ref="Y88" ca="1">IF(ISNUMBER(SEARCH(INDIRECT(ADDRESS(ROW(Y88),MOD(Y$1,4)+1)),Y$2)),$E88,"")</f>
        <v/>
      </c>
      <c r="Z88" s="26" t="str" cm="1">
        <f t="array" aca="1" ref="Z88" ca="1">IF(ISNUMBER(SEARCH(INDIRECT(ADDRESS(ROW(Z88),MOD(Z$1,4)+1)),Z$2)),$E88,"")</f>
        <v/>
      </c>
      <c r="AA88" s="26" t="str" cm="1">
        <f t="array" aca="1" ref="AA88" ca="1">IF(ISNUMBER(SEARCH(INDIRECT(ADDRESS(ROW(AA88),MOD(AA$1,4)+1)),AA$2)),$E88,"")</f>
        <v/>
      </c>
      <c r="AB88" s="26" t="str" cm="1">
        <f t="array" aca="1" ref="AB88" ca="1">IF(ISNUMBER(SEARCH(INDIRECT(ADDRESS(ROW(AB88),MOD(AB$1,4)+1)),AB$2)),$E88,"")</f>
        <v/>
      </c>
      <c r="AC88" s="26" t="str" cm="1">
        <f t="array" aca="1" ref="AC88" ca="1">IF(ISNUMBER(SEARCH(INDIRECT(ADDRESS(ROW(AC88),MOD(AC$1,4)+1)),AC$2)),$E88,"")</f>
        <v/>
      </c>
      <c r="AD88" s="26" t="str" cm="1">
        <f t="array" aca="1" ref="AD88" ca="1">IF(ISNUMBER(SEARCH(INDIRECT(ADDRESS(ROW(AD88),MOD(AD$1,4)+1)),AD$2)),$E88,"")</f>
        <v/>
      </c>
      <c r="AE88" s="26" t="str" cm="1">
        <f t="array" aca="1" ref="AE88" ca="1">IF(ISNUMBER(SEARCH(INDIRECT(ADDRESS(ROW(AE88),MOD(AE$1,4)+1)),AE$2)),$E88,"")</f>
        <v/>
      </c>
      <c r="AF88" s="26" t="str" cm="1">
        <f t="array" aca="1" ref="AF88" ca="1">IF(ISNUMBER(SEARCH(INDIRECT(ADDRESS(ROW(AF88),MOD(AF$1,4)+1)),AF$2)),$E88,"")</f>
        <v/>
      </c>
      <c r="AG88" s="26" t="str" cm="1">
        <f t="array" aca="1" ref="AG88" ca="1">IF(ISNUMBER(SEARCH(INDIRECT(ADDRESS(ROW(AG88),MOD(AG$1,4)+1)),AG$2)),$E88,"")</f>
        <v/>
      </c>
      <c r="AH88" s="26" t="str" cm="1">
        <f t="array" aca="1" ref="AH88" ca="1">IF(ISNUMBER(SEARCH(INDIRECT(ADDRESS(ROW(AH88),MOD(AH$1,4)+1)),AH$2)),$E88,"")</f>
        <v/>
      </c>
      <c r="AI88" s="26" t="str" cm="1">
        <f t="array" aca="1" ref="AI88" ca="1">IF(ISNUMBER(SEARCH(INDIRECT(ADDRESS(ROW(AI88),MOD(AI$1,4)+1)),AI$2)),$E88,"")</f>
        <v/>
      </c>
      <c r="AJ88" s="26" t="str" cm="1">
        <f t="array" aca="1" ref="AJ88" ca="1">IF(ISNUMBER(SEARCH(INDIRECT(ADDRESS(ROW(AJ88),MOD(AJ$1,4)+1)),AJ$2)),$E88,"")</f>
        <v/>
      </c>
      <c r="AK88" s="26" t="str" cm="1">
        <f t="array" aca="1" ref="AK88" ca="1">IF(ISNUMBER(SEARCH(INDIRECT(ADDRESS(ROW(AK88),MOD(AK$1,4)+1)),AK$2)),$E88,"")</f>
        <v/>
      </c>
      <c r="AL88" s="26" t="str" cm="1">
        <f t="array" aca="1" ref="AL88" ca="1">IF(ISNUMBER(SEARCH(INDIRECT(ADDRESS(ROW(AL88),MOD(AL$1,4)+1)),AL$2)),$E88,"")</f>
        <v/>
      </c>
      <c r="AM88" s="26" t="str" cm="1">
        <f t="array" aca="1" ref="AM88" ca="1">IF(ISNUMBER(SEARCH(INDIRECT(ADDRESS(ROW(AM88),MOD(AM$1,4)+1)),AM$2)),$E88,"")</f>
        <v/>
      </c>
      <c r="AN88" s="26" t="str" cm="1">
        <f t="array" aca="1" ref="AN88" ca="1">IF(ISNUMBER(SEARCH(INDIRECT(ADDRESS(ROW(AN88),MOD(AN$1,4)+1)),AN$2)),$E88,"")</f>
        <v/>
      </c>
      <c r="AO88" s="26" t="str" cm="1">
        <f t="array" aca="1" ref="AO88" ca="1">IF(ISNUMBER(SEARCH(INDIRECT(ADDRESS(ROW(AO88),MOD(AO$1,4)+1)),AO$2)),$E88,"")</f>
        <v/>
      </c>
      <c r="AP88" s="26" t="str" cm="1">
        <f t="array" aca="1" ref="AP88" ca="1">IF(ISNUMBER(SEARCH(INDIRECT(ADDRESS(ROW(AP88),MOD(AP$1,4)+1)),AP$2)),$E88,"")</f>
        <v/>
      </c>
      <c r="AQ88" s="31" t="str" cm="1">
        <f t="array" aca="1" ref="AQ88" ca="1">IF(ISNUMBER(SEARCH(INDIRECT(ADDRESS(ROW(AQ88),MOD(AQ$1,4)+1)),AQ$2)),$E88,"")</f>
        <v/>
      </c>
      <c r="AT88" t="e">
        <f>IF(VLOOKUP($E88,'Formatted NEW'!$B$2:$F$202,5,FALSE)=VLOOKUP($E88,'Formatted NEW'!$B$2:$F$202,8,FALSE),$E88,"")</f>
        <v>#N/A</v>
      </c>
      <c r="AW88" t="e">
        <f>IF(VLOOKUP($E88,'Formatted NEW'!$B$2:$F$202,5,FALSE)=VLOOKUP($E88,'Formatted NEW'!$B$2:$F$202,11,FALSE),$E88,"")</f>
        <v>#N/A</v>
      </c>
      <c r="AZ88" t="e">
        <f>IF(VLOOKUP($E88,'Formatted NEW'!$B$2:$F$202,5,FALSE)=VLOOKUP($E88,'Formatted NEW'!$B$2:$F$202,14,FALSE),$E88,"")</f>
        <v>#N/A</v>
      </c>
      <c r="BC88" t="str">
        <f>VLOOKUP($E88,'Formatted NEW'!$M$2:$T$202,6,FALSE)</f>
        <v>DIAG_BOTH</v>
      </c>
      <c r="BD88" s="26" t="e">
        <f>VLOOKUP(VLOOKUP(VLOOKUP($E88,'Formatted NEW'!$M$2:$O$202,2,FALSE),'Formatted NEW'!$D$2:$F$202,7,FALSE),'Formatted NEW'!$D$2:$O$202,12,FALSE)</f>
        <v>#REF!</v>
      </c>
      <c r="BE88" t="e">
        <f>VLOOKUP($BD88,'Formatted NEW'!$M$2:$T$202,5,FALSE)</f>
        <v>#REF!</v>
      </c>
      <c r="BF88" s="26" t="e">
        <f t="shared" si="5"/>
        <v>#REF!</v>
      </c>
      <c r="BH88">
        <f>VLOOKUP($E88,'Formatted NEW'!$M$2:$T$202,4,FALSE)</f>
        <v>0</v>
      </c>
      <c r="BI88" s="26" t="e">
        <f>VLOOKUP(VLOOKUP(VLOOKUP($E88,'Formatted NEW'!$M$2:$O$202,2,FALSE),'Formatted NEW'!$D$2:$F$202,10,FALSE),'Formatted NEW'!$D$2:$O$202,12,FALSE)</f>
        <v>#REF!</v>
      </c>
      <c r="BJ88" t="e">
        <f>VLOOKUP($BI88,'Formatted NEW'!$M$2:$T$202,3,FALSE)</f>
        <v>#REF!</v>
      </c>
      <c r="BK88" s="26" t="e">
        <f t="shared" si="6"/>
        <v>#REF!</v>
      </c>
    </row>
    <row r="89" spans="1:63" x14ac:dyDescent="0.25">
      <c r="A89" t="str">
        <f>'Formatted NEW'!Q87</f>
        <v>ORTHO_BOTH</v>
      </c>
      <c r="B89" t="str">
        <f>'Formatted NEW'!R87</f>
        <v>DIAG_BOTH</v>
      </c>
      <c r="C89" t="str">
        <f>'Formatted NEW'!S87</f>
        <v>EMPTY</v>
      </c>
      <c r="D89" t="str">
        <f>'Formatted NEW'!T87</f>
        <v>DIAG_BOTH</v>
      </c>
      <c r="E89" s="26">
        <f t="shared" si="4"/>
        <v>85</v>
      </c>
      <c r="H89" s="30" t="str" cm="1">
        <f t="array" aca="1" ref="H89" ca="1">IF(ISNUMBER(SEARCH(INDIRECT(ADDRESS(ROW(H89),MOD(H$1,4)+1)),H$2)),$E89,"")</f>
        <v/>
      </c>
      <c r="I89" s="26" t="str" cm="1">
        <f t="array" aca="1" ref="I89" ca="1">IF(ISNUMBER(SEARCH(INDIRECT(ADDRESS(ROW(I89),MOD(I$1,4)+1)),I$2)),$E89,"")</f>
        <v/>
      </c>
      <c r="J89" s="26" t="str" cm="1">
        <f t="array" aca="1" ref="J89" ca="1">IF(ISNUMBER(SEARCH(INDIRECT(ADDRESS(ROW(J89),MOD(J$1,4)+1)),J$2)),$E89,"")</f>
        <v/>
      </c>
      <c r="K89" s="26" t="str" cm="1">
        <f t="array" aca="1" ref="K89" ca="1">IF(ISNUMBER(SEARCH(INDIRECT(ADDRESS(ROW(K89),MOD(K$1,4)+1)),K$2)),$E89,"")</f>
        <v/>
      </c>
      <c r="L89" s="26" t="str" cm="1">
        <f t="array" aca="1" ref="L89" ca="1">IF(ISNUMBER(SEARCH(INDIRECT(ADDRESS(ROW(L89),MOD(L$1,4)+1)),L$2)),$E89,"")</f>
        <v/>
      </c>
      <c r="M89" s="26" cm="1">
        <f t="array" aca="1" ref="M89" ca="1">IF(ISNUMBER(SEARCH(INDIRECT(ADDRESS(ROW(M89),MOD(M$1,4)+1)),M$2)),$E89,"")</f>
        <v>85</v>
      </c>
      <c r="N89" s="26" t="str" cm="1">
        <f t="array" aca="1" ref="N89" ca="1">IF(ISNUMBER(SEARCH(INDIRECT(ADDRESS(ROW(N89),MOD(N$1,4)+1)),N$2)),$E89,"")</f>
        <v/>
      </c>
      <c r="O89" s="26" cm="1">
        <f t="array" aca="1" ref="O89" ca="1">IF(ISNUMBER(SEARCH(INDIRECT(ADDRESS(ROW(O89),MOD(O$1,4)+1)),O$2)),$E89,"")</f>
        <v>85</v>
      </c>
      <c r="P89" s="26" cm="1">
        <f t="array" aca="1" ref="P89" ca="1">IF(ISNUMBER(SEARCH(INDIRECT(ADDRESS(ROW(P89),MOD(P$1,4)+1)),P$2)),$E89,"")</f>
        <v>85</v>
      </c>
      <c r="Q89" s="26" t="str" cm="1">
        <f t="array" aca="1" ref="Q89" ca="1">IF(ISNUMBER(SEARCH(INDIRECT(ADDRESS(ROW(Q89),MOD(Q$1,4)+1)),Q$2)),$E89,"")</f>
        <v/>
      </c>
      <c r="R89" s="26" t="str" cm="1">
        <f t="array" aca="1" ref="R89" ca="1">IF(ISNUMBER(SEARCH(INDIRECT(ADDRESS(ROW(R89),MOD(R$1,4)+1)),R$2)),$E89,"")</f>
        <v/>
      </c>
      <c r="S89" s="26" t="str" cm="1">
        <f t="array" aca="1" ref="S89" ca="1">IF(ISNUMBER(SEARCH(INDIRECT(ADDRESS(ROW(S89),MOD(S$1,4)+1)),S$2)),$E89,"")</f>
        <v/>
      </c>
      <c r="T89" s="26" t="str" cm="1">
        <f t="array" aca="1" ref="T89" ca="1">IF(ISNUMBER(SEARCH(INDIRECT(ADDRESS(ROW(T89),MOD(T$1,4)+1)),T$2)),$E89,"")</f>
        <v/>
      </c>
      <c r="U89" s="26" t="str" cm="1">
        <f t="array" aca="1" ref="U89" ca="1">IF(ISNUMBER(SEARCH(INDIRECT(ADDRESS(ROW(U89),MOD(U$1,4)+1)),U$2)),$E89,"")</f>
        <v/>
      </c>
      <c r="V89" s="26" t="str" cm="1">
        <f t="array" aca="1" ref="V89" ca="1">IF(ISNUMBER(SEARCH(INDIRECT(ADDRESS(ROW(V89),MOD(V$1,4)+1)),V$2)),$E89,"")</f>
        <v/>
      </c>
      <c r="W89" s="26" t="str" cm="1">
        <f t="array" aca="1" ref="W89" ca="1">IF(ISNUMBER(SEARCH(INDIRECT(ADDRESS(ROW(W89),MOD(W$1,4)+1)),W$2)),$E89,"")</f>
        <v/>
      </c>
      <c r="X89" s="26" t="str" cm="1">
        <f t="array" aca="1" ref="X89" ca="1">IF(ISNUMBER(SEARCH(INDIRECT(ADDRESS(ROW(X89),MOD(X$1,4)+1)),X$2)),$E89,"")</f>
        <v/>
      </c>
      <c r="Y89" s="26" t="str" cm="1">
        <f t="array" aca="1" ref="Y89" ca="1">IF(ISNUMBER(SEARCH(INDIRECT(ADDRESS(ROW(Y89),MOD(Y$1,4)+1)),Y$2)),$E89,"")</f>
        <v/>
      </c>
      <c r="Z89" s="26" t="str" cm="1">
        <f t="array" aca="1" ref="Z89" ca="1">IF(ISNUMBER(SEARCH(INDIRECT(ADDRESS(ROW(Z89),MOD(Z$1,4)+1)),Z$2)),$E89,"")</f>
        <v/>
      </c>
      <c r="AA89" s="26" t="str" cm="1">
        <f t="array" aca="1" ref="AA89" ca="1">IF(ISNUMBER(SEARCH(INDIRECT(ADDRESS(ROW(AA89),MOD(AA$1,4)+1)),AA$2)),$E89,"")</f>
        <v/>
      </c>
      <c r="AB89" s="26" t="str" cm="1">
        <f t="array" aca="1" ref="AB89" ca="1">IF(ISNUMBER(SEARCH(INDIRECT(ADDRESS(ROW(AB89),MOD(AB$1,4)+1)),AB$2)),$E89,"")</f>
        <v/>
      </c>
      <c r="AC89" s="26" t="str" cm="1">
        <f t="array" aca="1" ref="AC89" ca="1">IF(ISNUMBER(SEARCH(INDIRECT(ADDRESS(ROW(AC89),MOD(AC$1,4)+1)),AC$2)),$E89,"")</f>
        <v/>
      </c>
      <c r="AD89" s="26" t="str" cm="1">
        <f t="array" aca="1" ref="AD89" ca="1">IF(ISNUMBER(SEARCH(INDIRECT(ADDRESS(ROW(AD89),MOD(AD$1,4)+1)),AD$2)),$E89,"")</f>
        <v/>
      </c>
      <c r="AE89" s="26" t="str" cm="1">
        <f t="array" aca="1" ref="AE89" ca="1">IF(ISNUMBER(SEARCH(INDIRECT(ADDRESS(ROW(AE89),MOD(AE$1,4)+1)),AE$2)),$E89,"")</f>
        <v/>
      </c>
      <c r="AF89" s="26" t="str" cm="1">
        <f t="array" aca="1" ref="AF89" ca="1">IF(ISNUMBER(SEARCH(INDIRECT(ADDRESS(ROW(AF89),MOD(AF$1,4)+1)),AF$2)),$E89,"")</f>
        <v/>
      </c>
      <c r="AG89" s="26" t="str" cm="1">
        <f t="array" aca="1" ref="AG89" ca="1">IF(ISNUMBER(SEARCH(INDIRECT(ADDRESS(ROW(AG89),MOD(AG$1,4)+1)),AG$2)),$E89,"")</f>
        <v/>
      </c>
      <c r="AH89" s="26" t="str" cm="1">
        <f t="array" aca="1" ref="AH89" ca="1">IF(ISNUMBER(SEARCH(INDIRECT(ADDRESS(ROW(AH89),MOD(AH$1,4)+1)),AH$2)),$E89,"")</f>
        <v/>
      </c>
      <c r="AI89" s="26" t="str" cm="1">
        <f t="array" aca="1" ref="AI89" ca="1">IF(ISNUMBER(SEARCH(INDIRECT(ADDRESS(ROW(AI89),MOD(AI$1,4)+1)),AI$2)),$E89,"")</f>
        <v/>
      </c>
      <c r="AJ89" s="26" t="str" cm="1">
        <f t="array" aca="1" ref="AJ89" ca="1">IF(ISNUMBER(SEARCH(INDIRECT(ADDRESS(ROW(AJ89),MOD(AJ$1,4)+1)),AJ$2)),$E89,"")</f>
        <v/>
      </c>
      <c r="AK89" s="26" t="str" cm="1">
        <f t="array" aca="1" ref="AK89" ca="1">IF(ISNUMBER(SEARCH(INDIRECT(ADDRESS(ROW(AK89),MOD(AK$1,4)+1)),AK$2)),$E89,"")</f>
        <v/>
      </c>
      <c r="AL89" s="26" t="str" cm="1">
        <f t="array" aca="1" ref="AL89" ca="1">IF(ISNUMBER(SEARCH(INDIRECT(ADDRESS(ROW(AL89),MOD(AL$1,4)+1)),AL$2)),$E89,"")</f>
        <v/>
      </c>
      <c r="AM89" s="26" t="str" cm="1">
        <f t="array" aca="1" ref="AM89" ca="1">IF(ISNUMBER(SEARCH(INDIRECT(ADDRESS(ROW(AM89),MOD(AM$1,4)+1)),AM$2)),$E89,"")</f>
        <v/>
      </c>
      <c r="AN89" s="26" t="str" cm="1">
        <f t="array" aca="1" ref="AN89" ca="1">IF(ISNUMBER(SEARCH(INDIRECT(ADDRESS(ROW(AN89),MOD(AN$1,4)+1)),AN$2)),$E89,"")</f>
        <v/>
      </c>
      <c r="AO89" s="26" t="str" cm="1">
        <f t="array" aca="1" ref="AO89" ca="1">IF(ISNUMBER(SEARCH(INDIRECT(ADDRESS(ROW(AO89),MOD(AO$1,4)+1)),AO$2)),$E89,"")</f>
        <v/>
      </c>
      <c r="AP89" s="26" t="str" cm="1">
        <f t="array" aca="1" ref="AP89" ca="1">IF(ISNUMBER(SEARCH(INDIRECT(ADDRESS(ROW(AP89),MOD(AP$1,4)+1)),AP$2)),$E89,"")</f>
        <v/>
      </c>
      <c r="AQ89" s="31" t="str" cm="1">
        <f t="array" aca="1" ref="AQ89" ca="1">IF(ISNUMBER(SEARCH(INDIRECT(ADDRESS(ROW(AQ89),MOD(AQ$1,4)+1)),AQ$2)),$E89,"")</f>
        <v/>
      </c>
      <c r="AT89" t="e">
        <f>IF(VLOOKUP($E89,'Formatted NEW'!$B$2:$F$202,5,FALSE)=VLOOKUP($E89,'Formatted NEW'!$B$2:$F$202,8,FALSE),$E89,"")</f>
        <v>#N/A</v>
      </c>
      <c r="AW89" t="e">
        <f>IF(VLOOKUP($E89,'Formatted NEW'!$B$2:$F$202,5,FALSE)=VLOOKUP($E89,'Formatted NEW'!$B$2:$F$202,11,FALSE),$E89,"")</f>
        <v>#N/A</v>
      </c>
      <c r="AZ89" t="e">
        <f>IF(VLOOKUP($E89,'Formatted NEW'!$B$2:$F$202,5,FALSE)=VLOOKUP($E89,'Formatted NEW'!$B$2:$F$202,14,FALSE),$E89,"")</f>
        <v>#N/A</v>
      </c>
      <c r="BC89" t="str">
        <f>VLOOKUP($E89,'Formatted NEW'!$M$2:$T$202,6,FALSE)</f>
        <v>DIAG_BOTH</v>
      </c>
      <c r="BD89" s="26" t="e">
        <f>VLOOKUP(VLOOKUP(VLOOKUP($E89,'Formatted NEW'!$M$2:$O$202,2,FALSE),'Formatted NEW'!$D$2:$F$202,7,FALSE),'Formatted NEW'!$D$2:$O$202,12,FALSE)</f>
        <v>#REF!</v>
      </c>
      <c r="BE89" t="e">
        <f>VLOOKUP($BD89,'Formatted NEW'!$M$2:$T$202,5,FALSE)</f>
        <v>#REF!</v>
      </c>
      <c r="BF89" s="26" t="e">
        <f t="shared" si="5"/>
        <v>#REF!</v>
      </c>
      <c r="BH89">
        <f>VLOOKUP($E89,'Formatted NEW'!$M$2:$T$202,4,FALSE)</f>
        <v>0</v>
      </c>
      <c r="BI89" s="26" t="e">
        <f>VLOOKUP(VLOOKUP(VLOOKUP($E89,'Formatted NEW'!$M$2:$O$202,2,FALSE),'Formatted NEW'!$D$2:$F$202,10,FALSE),'Formatted NEW'!$D$2:$O$202,12,FALSE)</f>
        <v>#REF!</v>
      </c>
      <c r="BJ89" t="e">
        <f>VLOOKUP($BI89,'Formatted NEW'!$M$2:$T$202,3,FALSE)</f>
        <v>#REF!</v>
      </c>
      <c r="BK89" s="26" t="e">
        <f t="shared" si="6"/>
        <v>#REF!</v>
      </c>
    </row>
    <row r="90" spans="1:63" x14ac:dyDescent="0.25">
      <c r="A90" t="str">
        <f>'Formatted NEW'!Q88</f>
        <v>EMPTY</v>
      </c>
      <c r="B90" t="str">
        <f>'Formatted NEW'!R88</f>
        <v>EMPTY</v>
      </c>
      <c r="C90" t="str">
        <f>'Formatted NEW'!S88</f>
        <v>DIAG_BOTH</v>
      </c>
      <c r="D90" t="str">
        <f>'Formatted NEW'!T88</f>
        <v>EMPTY</v>
      </c>
      <c r="E90" s="26">
        <f t="shared" si="4"/>
        <v>86</v>
      </c>
      <c r="H90" s="30" t="str" cm="1">
        <f t="array" aca="1" ref="H90" ca="1">IF(ISNUMBER(SEARCH(INDIRECT(ADDRESS(ROW(H90),MOD(H$1,4)+1)),H$2)),$E90,"")</f>
        <v/>
      </c>
      <c r="I90" s="26" t="str" cm="1">
        <f t="array" aca="1" ref="I90" ca="1">IF(ISNUMBER(SEARCH(INDIRECT(ADDRESS(ROW(I90),MOD(I$1,4)+1)),I$2)),$E90,"")</f>
        <v/>
      </c>
      <c r="J90" s="26" t="str" cm="1">
        <f t="array" aca="1" ref="J90" ca="1">IF(ISNUMBER(SEARCH(INDIRECT(ADDRESS(ROW(J90),MOD(J$1,4)+1)),J$2)),$E90,"")</f>
        <v/>
      </c>
      <c r="K90" s="26" t="str" cm="1">
        <f t="array" aca="1" ref="K90" ca="1">IF(ISNUMBER(SEARCH(INDIRECT(ADDRESS(ROW(K90),MOD(K$1,4)+1)),K$2)),$E90,"")</f>
        <v/>
      </c>
      <c r="L90" s="26" t="str" cm="1">
        <f t="array" aca="1" ref="L90" ca="1">IF(ISNUMBER(SEARCH(INDIRECT(ADDRESS(ROW(L90),MOD(L$1,4)+1)),L$2)),$E90,"")</f>
        <v/>
      </c>
      <c r="M90" s="26" t="str" cm="1">
        <f t="array" aca="1" ref="M90" ca="1">IF(ISNUMBER(SEARCH(INDIRECT(ADDRESS(ROW(M90),MOD(M$1,4)+1)),M$2)),$E90,"")</f>
        <v/>
      </c>
      <c r="N90" s="26" cm="1">
        <f t="array" aca="1" ref="N90" ca="1">IF(ISNUMBER(SEARCH(INDIRECT(ADDRESS(ROW(N90),MOD(N$1,4)+1)),N$2)),$E90,"")</f>
        <v>86</v>
      </c>
      <c r="O90" s="26" t="str" cm="1">
        <f t="array" aca="1" ref="O90" ca="1">IF(ISNUMBER(SEARCH(INDIRECT(ADDRESS(ROW(O90),MOD(O$1,4)+1)),O$2)),$E90,"")</f>
        <v/>
      </c>
      <c r="P90" s="26" t="str" cm="1">
        <f t="array" aca="1" ref="P90" ca="1">IF(ISNUMBER(SEARCH(INDIRECT(ADDRESS(ROW(P90),MOD(P$1,4)+1)),P$2)),$E90,"")</f>
        <v/>
      </c>
      <c r="Q90" s="26" t="str" cm="1">
        <f t="array" aca="1" ref="Q90" ca="1">IF(ISNUMBER(SEARCH(INDIRECT(ADDRESS(ROW(Q90),MOD(Q$1,4)+1)),Q$2)),$E90,"")</f>
        <v/>
      </c>
      <c r="R90" s="26" t="str" cm="1">
        <f t="array" aca="1" ref="R90" ca="1">IF(ISNUMBER(SEARCH(INDIRECT(ADDRESS(ROW(R90),MOD(R$1,4)+1)),R$2)),$E90,"")</f>
        <v/>
      </c>
      <c r="S90" s="26" t="str" cm="1">
        <f t="array" aca="1" ref="S90" ca="1">IF(ISNUMBER(SEARCH(INDIRECT(ADDRESS(ROW(S90),MOD(S$1,4)+1)),S$2)),$E90,"")</f>
        <v/>
      </c>
      <c r="T90" s="26" t="str" cm="1">
        <f t="array" aca="1" ref="T90" ca="1">IF(ISNUMBER(SEARCH(INDIRECT(ADDRESS(ROW(T90),MOD(T$1,4)+1)),T$2)),$E90,"")</f>
        <v/>
      </c>
      <c r="U90" s="26" t="str" cm="1">
        <f t="array" aca="1" ref="U90" ca="1">IF(ISNUMBER(SEARCH(INDIRECT(ADDRESS(ROW(U90),MOD(U$1,4)+1)),U$2)),$E90,"")</f>
        <v/>
      </c>
      <c r="V90" s="26" t="str" cm="1">
        <f t="array" aca="1" ref="V90" ca="1">IF(ISNUMBER(SEARCH(INDIRECT(ADDRESS(ROW(V90),MOD(V$1,4)+1)),V$2)),$E90,"")</f>
        <v/>
      </c>
      <c r="W90" s="26" t="str" cm="1">
        <f t="array" aca="1" ref="W90" ca="1">IF(ISNUMBER(SEARCH(INDIRECT(ADDRESS(ROW(W90),MOD(W$1,4)+1)),W$2)),$E90,"")</f>
        <v/>
      </c>
      <c r="X90" s="26" t="str" cm="1">
        <f t="array" aca="1" ref="X90" ca="1">IF(ISNUMBER(SEARCH(INDIRECT(ADDRESS(ROW(X90),MOD(X$1,4)+1)),X$2)),$E90,"")</f>
        <v/>
      </c>
      <c r="Y90" s="26" t="str" cm="1">
        <f t="array" aca="1" ref="Y90" ca="1">IF(ISNUMBER(SEARCH(INDIRECT(ADDRESS(ROW(Y90),MOD(Y$1,4)+1)),Y$2)),$E90,"")</f>
        <v/>
      </c>
      <c r="Z90" s="26" t="str" cm="1">
        <f t="array" aca="1" ref="Z90" ca="1">IF(ISNUMBER(SEARCH(INDIRECT(ADDRESS(ROW(Z90),MOD(Z$1,4)+1)),Z$2)),$E90,"")</f>
        <v/>
      </c>
      <c r="AA90" s="26" t="str" cm="1">
        <f t="array" aca="1" ref="AA90" ca="1">IF(ISNUMBER(SEARCH(INDIRECT(ADDRESS(ROW(AA90),MOD(AA$1,4)+1)),AA$2)),$E90,"")</f>
        <v/>
      </c>
      <c r="AB90" s="26" t="str" cm="1">
        <f t="array" aca="1" ref="AB90" ca="1">IF(ISNUMBER(SEARCH(INDIRECT(ADDRESS(ROW(AB90),MOD(AB$1,4)+1)),AB$2)),$E90,"")</f>
        <v/>
      </c>
      <c r="AC90" s="26" t="str" cm="1">
        <f t="array" aca="1" ref="AC90" ca="1">IF(ISNUMBER(SEARCH(INDIRECT(ADDRESS(ROW(AC90),MOD(AC$1,4)+1)),AC$2)),$E90,"")</f>
        <v/>
      </c>
      <c r="AD90" s="26" t="str" cm="1">
        <f t="array" aca="1" ref="AD90" ca="1">IF(ISNUMBER(SEARCH(INDIRECT(ADDRESS(ROW(AD90),MOD(AD$1,4)+1)),AD$2)),$E90,"")</f>
        <v/>
      </c>
      <c r="AE90" s="26" t="str" cm="1">
        <f t="array" aca="1" ref="AE90" ca="1">IF(ISNUMBER(SEARCH(INDIRECT(ADDRESS(ROW(AE90),MOD(AE$1,4)+1)),AE$2)),$E90,"")</f>
        <v/>
      </c>
      <c r="AF90" s="26" t="str" cm="1">
        <f t="array" aca="1" ref="AF90" ca="1">IF(ISNUMBER(SEARCH(INDIRECT(ADDRESS(ROW(AF90),MOD(AF$1,4)+1)),AF$2)),$E90,"")</f>
        <v/>
      </c>
      <c r="AG90" s="26" t="str" cm="1">
        <f t="array" aca="1" ref="AG90" ca="1">IF(ISNUMBER(SEARCH(INDIRECT(ADDRESS(ROW(AG90),MOD(AG$1,4)+1)),AG$2)),$E90,"")</f>
        <v/>
      </c>
      <c r="AH90" s="26" t="str" cm="1">
        <f t="array" aca="1" ref="AH90" ca="1">IF(ISNUMBER(SEARCH(INDIRECT(ADDRESS(ROW(AH90),MOD(AH$1,4)+1)),AH$2)),$E90,"")</f>
        <v/>
      </c>
      <c r="AI90" s="26" t="str" cm="1">
        <f t="array" aca="1" ref="AI90" ca="1">IF(ISNUMBER(SEARCH(INDIRECT(ADDRESS(ROW(AI90),MOD(AI$1,4)+1)),AI$2)),$E90,"")</f>
        <v/>
      </c>
      <c r="AJ90" s="26" t="str" cm="1">
        <f t="array" aca="1" ref="AJ90" ca="1">IF(ISNUMBER(SEARCH(INDIRECT(ADDRESS(ROW(AJ90),MOD(AJ$1,4)+1)),AJ$2)),$E90,"")</f>
        <v/>
      </c>
      <c r="AK90" s="26" t="str" cm="1">
        <f t="array" aca="1" ref="AK90" ca="1">IF(ISNUMBER(SEARCH(INDIRECT(ADDRESS(ROW(AK90),MOD(AK$1,4)+1)),AK$2)),$E90,"")</f>
        <v/>
      </c>
      <c r="AL90" s="26" t="str" cm="1">
        <f t="array" aca="1" ref="AL90" ca="1">IF(ISNUMBER(SEARCH(INDIRECT(ADDRESS(ROW(AL90),MOD(AL$1,4)+1)),AL$2)),$E90,"")</f>
        <v/>
      </c>
      <c r="AM90" s="26" t="str" cm="1">
        <f t="array" aca="1" ref="AM90" ca="1">IF(ISNUMBER(SEARCH(INDIRECT(ADDRESS(ROW(AM90),MOD(AM$1,4)+1)),AM$2)),$E90,"")</f>
        <v/>
      </c>
      <c r="AN90" s="26" t="str" cm="1">
        <f t="array" aca="1" ref="AN90" ca="1">IF(ISNUMBER(SEARCH(INDIRECT(ADDRESS(ROW(AN90),MOD(AN$1,4)+1)),AN$2)),$E90,"")</f>
        <v/>
      </c>
      <c r="AO90" s="26" t="str" cm="1">
        <f t="array" aca="1" ref="AO90" ca="1">IF(ISNUMBER(SEARCH(INDIRECT(ADDRESS(ROW(AO90),MOD(AO$1,4)+1)),AO$2)),$E90,"")</f>
        <v/>
      </c>
      <c r="AP90" s="26" t="str" cm="1">
        <f t="array" aca="1" ref="AP90" ca="1">IF(ISNUMBER(SEARCH(INDIRECT(ADDRESS(ROW(AP90),MOD(AP$1,4)+1)),AP$2)),$E90,"")</f>
        <v/>
      </c>
      <c r="AQ90" s="31" t="str" cm="1">
        <f t="array" aca="1" ref="AQ90" ca="1">IF(ISNUMBER(SEARCH(INDIRECT(ADDRESS(ROW(AQ90),MOD(AQ$1,4)+1)),AQ$2)),$E90,"")</f>
        <v/>
      </c>
      <c r="AT90" t="e">
        <f>IF(VLOOKUP($E90,'Formatted NEW'!$B$2:$F$202,5,FALSE)=VLOOKUP($E90,'Formatted NEW'!$B$2:$F$202,8,FALSE),$E90,"")</f>
        <v>#N/A</v>
      </c>
      <c r="AW90" t="e">
        <f>IF(VLOOKUP($E90,'Formatted NEW'!$B$2:$F$202,5,FALSE)=VLOOKUP($E90,'Formatted NEW'!$B$2:$F$202,11,FALSE),$E90,"")</f>
        <v>#N/A</v>
      </c>
      <c r="AZ90" t="e">
        <f>IF(VLOOKUP($E90,'Formatted NEW'!$B$2:$F$202,5,FALSE)=VLOOKUP($E90,'Formatted NEW'!$B$2:$F$202,14,FALSE),$E90,"")</f>
        <v>#N/A</v>
      </c>
      <c r="BC90" t="str">
        <f>VLOOKUP($E90,'Formatted NEW'!$M$2:$T$202,6,FALSE)</f>
        <v>EMPTY</v>
      </c>
      <c r="BD90" s="26" t="e">
        <f>VLOOKUP(VLOOKUP(VLOOKUP($E90,'Formatted NEW'!$M$2:$O$202,2,FALSE),'Formatted NEW'!$D$2:$F$202,7,FALSE),'Formatted NEW'!$D$2:$O$202,12,FALSE)</f>
        <v>#REF!</v>
      </c>
      <c r="BE90" t="e">
        <f>VLOOKUP($BD90,'Formatted NEW'!$M$2:$T$202,5,FALSE)</f>
        <v>#REF!</v>
      </c>
      <c r="BF90" s="26" t="e">
        <f t="shared" si="5"/>
        <v>#REF!</v>
      </c>
      <c r="BH90">
        <f>VLOOKUP($E90,'Formatted NEW'!$M$2:$T$202,4,FALSE)</f>
        <v>0</v>
      </c>
      <c r="BI90" s="26" t="e">
        <f>VLOOKUP(VLOOKUP(VLOOKUP($E90,'Formatted NEW'!$M$2:$O$202,2,FALSE),'Formatted NEW'!$D$2:$F$202,10,FALSE),'Formatted NEW'!$D$2:$O$202,12,FALSE)</f>
        <v>#REF!</v>
      </c>
      <c r="BJ90" t="e">
        <f>VLOOKUP($BI90,'Formatted NEW'!$M$2:$T$202,3,FALSE)</f>
        <v>#REF!</v>
      </c>
      <c r="BK90" s="26" t="e">
        <f t="shared" si="6"/>
        <v>#REF!</v>
      </c>
    </row>
    <row r="91" spans="1:63" x14ac:dyDescent="0.25">
      <c r="A91" t="str">
        <f>'Formatted NEW'!Q89</f>
        <v>EMPTY</v>
      </c>
      <c r="B91" t="str">
        <f>'Formatted NEW'!R89</f>
        <v>DIAG_BOTH</v>
      </c>
      <c r="C91" t="str">
        <f>'Formatted NEW'!S89</f>
        <v>DIAG_BOTH</v>
      </c>
      <c r="D91" t="str">
        <f>'Formatted NEW'!T89</f>
        <v>DIAG_BOTH</v>
      </c>
      <c r="E91" s="26">
        <f t="shared" si="4"/>
        <v>87</v>
      </c>
      <c r="H91" s="30" t="str" cm="1">
        <f t="array" aca="1" ref="H91" ca="1">IF(ISNUMBER(SEARCH(INDIRECT(ADDRESS(ROW(H91),MOD(H$1,4)+1)),H$2)),$E91,"")</f>
        <v/>
      </c>
      <c r="I91" s="26" t="str" cm="1">
        <f t="array" aca="1" ref="I91" ca="1">IF(ISNUMBER(SEARCH(INDIRECT(ADDRESS(ROW(I91),MOD(I$1,4)+1)),I$2)),$E91,"")</f>
        <v/>
      </c>
      <c r="J91" s="26" t="str" cm="1">
        <f t="array" aca="1" ref="J91" ca="1">IF(ISNUMBER(SEARCH(INDIRECT(ADDRESS(ROW(J91),MOD(J$1,4)+1)),J$2)),$E91,"")</f>
        <v/>
      </c>
      <c r="K91" s="26" t="str" cm="1">
        <f t="array" aca="1" ref="K91" ca="1">IF(ISNUMBER(SEARCH(INDIRECT(ADDRESS(ROW(K91),MOD(K$1,4)+1)),K$2)),$E91,"")</f>
        <v/>
      </c>
      <c r="L91" s="26" t="str" cm="1">
        <f t="array" aca="1" ref="L91" ca="1">IF(ISNUMBER(SEARCH(INDIRECT(ADDRESS(ROW(L91),MOD(L$1,4)+1)),L$2)),$E91,"")</f>
        <v/>
      </c>
      <c r="M91" s="26" cm="1">
        <f t="array" aca="1" ref="M91" ca="1">IF(ISNUMBER(SEARCH(INDIRECT(ADDRESS(ROW(M91),MOD(M$1,4)+1)),M$2)),$E91,"")</f>
        <v>87</v>
      </c>
      <c r="N91" s="26" cm="1">
        <f t="array" aca="1" ref="N91" ca="1">IF(ISNUMBER(SEARCH(INDIRECT(ADDRESS(ROW(N91),MOD(N$1,4)+1)),N$2)),$E91,"")</f>
        <v>87</v>
      </c>
      <c r="O91" s="26" cm="1">
        <f t="array" aca="1" ref="O91" ca="1">IF(ISNUMBER(SEARCH(INDIRECT(ADDRESS(ROW(O91),MOD(O$1,4)+1)),O$2)),$E91,"")</f>
        <v>87</v>
      </c>
      <c r="P91" s="26" t="str" cm="1">
        <f t="array" aca="1" ref="P91" ca="1">IF(ISNUMBER(SEARCH(INDIRECT(ADDRESS(ROW(P91),MOD(P$1,4)+1)),P$2)),$E91,"")</f>
        <v/>
      </c>
      <c r="Q91" s="26" t="str" cm="1">
        <f t="array" aca="1" ref="Q91" ca="1">IF(ISNUMBER(SEARCH(INDIRECT(ADDRESS(ROW(Q91),MOD(Q$1,4)+1)),Q$2)),$E91,"")</f>
        <v/>
      </c>
      <c r="R91" s="26" t="str" cm="1">
        <f t="array" aca="1" ref="R91" ca="1">IF(ISNUMBER(SEARCH(INDIRECT(ADDRESS(ROW(R91),MOD(R$1,4)+1)),R$2)),$E91,"")</f>
        <v/>
      </c>
      <c r="S91" s="26" t="str" cm="1">
        <f t="array" aca="1" ref="S91" ca="1">IF(ISNUMBER(SEARCH(INDIRECT(ADDRESS(ROW(S91),MOD(S$1,4)+1)),S$2)),$E91,"")</f>
        <v/>
      </c>
      <c r="T91" s="26" t="str" cm="1">
        <f t="array" aca="1" ref="T91" ca="1">IF(ISNUMBER(SEARCH(INDIRECT(ADDRESS(ROW(T91),MOD(T$1,4)+1)),T$2)),$E91,"")</f>
        <v/>
      </c>
      <c r="U91" s="26" t="str" cm="1">
        <f t="array" aca="1" ref="U91" ca="1">IF(ISNUMBER(SEARCH(INDIRECT(ADDRESS(ROW(U91),MOD(U$1,4)+1)),U$2)),$E91,"")</f>
        <v/>
      </c>
      <c r="V91" s="26" t="str" cm="1">
        <f t="array" aca="1" ref="V91" ca="1">IF(ISNUMBER(SEARCH(INDIRECT(ADDRESS(ROW(V91),MOD(V$1,4)+1)),V$2)),$E91,"")</f>
        <v/>
      </c>
      <c r="W91" s="26" t="str" cm="1">
        <f t="array" aca="1" ref="W91" ca="1">IF(ISNUMBER(SEARCH(INDIRECT(ADDRESS(ROW(W91),MOD(W$1,4)+1)),W$2)),$E91,"")</f>
        <v/>
      </c>
      <c r="X91" s="26" t="str" cm="1">
        <f t="array" aca="1" ref="X91" ca="1">IF(ISNUMBER(SEARCH(INDIRECT(ADDRESS(ROW(X91),MOD(X$1,4)+1)),X$2)),$E91,"")</f>
        <v/>
      </c>
      <c r="Y91" s="26" t="str" cm="1">
        <f t="array" aca="1" ref="Y91" ca="1">IF(ISNUMBER(SEARCH(INDIRECT(ADDRESS(ROW(Y91),MOD(Y$1,4)+1)),Y$2)),$E91,"")</f>
        <v/>
      </c>
      <c r="Z91" s="26" t="str" cm="1">
        <f t="array" aca="1" ref="Z91" ca="1">IF(ISNUMBER(SEARCH(INDIRECT(ADDRESS(ROW(Z91),MOD(Z$1,4)+1)),Z$2)),$E91,"")</f>
        <v/>
      </c>
      <c r="AA91" s="26" t="str" cm="1">
        <f t="array" aca="1" ref="AA91" ca="1">IF(ISNUMBER(SEARCH(INDIRECT(ADDRESS(ROW(AA91),MOD(AA$1,4)+1)),AA$2)),$E91,"")</f>
        <v/>
      </c>
      <c r="AB91" s="26" t="str" cm="1">
        <f t="array" aca="1" ref="AB91" ca="1">IF(ISNUMBER(SEARCH(INDIRECT(ADDRESS(ROW(AB91),MOD(AB$1,4)+1)),AB$2)),$E91,"")</f>
        <v/>
      </c>
      <c r="AC91" s="26" t="str" cm="1">
        <f t="array" aca="1" ref="AC91" ca="1">IF(ISNUMBER(SEARCH(INDIRECT(ADDRESS(ROW(AC91),MOD(AC$1,4)+1)),AC$2)),$E91,"")</f>
        <v/>
      </c>
      <c r="AD91" s="26" t="str" cm="1">
        <f t="array" aca="1" ref="AD91" ca="1">IF(ISNUMBER(SEARCH(INDIRECT(ADDRESS(ROW(AD91),MOD(AD$1,4)+1)),AD$2)),$E91,"")</f>
        <v/>
      </c>
      <c r="AE91" s="26" t="str" cm="1">
        <f t="array" aca="1" ref="AE91" ca="1">IF(ISNUMBER(SEARCH(INDIRECT(ADDRESS(ROW(AE91),MOD(AE$1,4)+1)),AE$2)),$E91,"")</f>
        <v/>
      </c>
      <c r="AF91" s="26" t="str" cm="1">
        <f t="array" aca="1" ref="AF91" ca="1">IF(ISNUMBER(SEARCH(INDIRECT(ADDRESS(ROW(AF91),MOD(AF$1,4)+1)),AF$2)),$E91,"")</f>
        <v/>
      </c>
      <c r="AG91" s="26" t="str" cm="1">
        <f t="array" aca="1" ref="AG91" ca="1">IF(ISNUMBER(SEARCH(INDIRECT(ADDRESS(ROW(AG91),MOD(AG$1,4)+1)),AG$2)),$E91,"")</f>
        <v/>
      </c>
      <c r="AH91" s="26" t="str" cm="1">
        <f t="array" aca="1" ref="AH91" ca="1">IF(ISNUMBER(SEARCH(INDIRECT(ADDRESS(ROW(AH91),MOD(AH$1,4)+1)),AH$2)),$E91,"")</f>
        <v/>
      </c>
      <c r="AI91" s="26" t="str" cm="1">
        <f t="array" aca="1" ref="AI91" ca="1">IF(ISNUMBER(SEARCH(INDIRECT(ADDRESS(ROW(AI91),MOD(AI$1,4)+1)),AI$2)),$E91,"")</f>
        <v/>
      </c>
      <c r="AJ91" s="26" t="str" cm="1">
        <f t="array" aca="1" ref="AJ91" ca="1">IF(ISNUMBER(SEARCH(INDIRECT(ADDRESS(ROW(AJ91),MOD(AJ$1,4)+1)),AJ$2)),$E91,"")</f>
        <v/>
      </c>
      <c r="AK91" s="26" t="str" cm="1">
        <f t="array" aca="1" ref="AK91" ca="1">IF(ISNUMBER(SEARCH(INDIRECT(ADDRESS(ROW(AK91),MOD(AK$1,4)+1)),AK$2)),$E91,"")</f>
        <v/>
      </c>
      <c r="AL91" s="26" t="str" cm="1">
        <f t="array" aca="1" ref="AL91" ca="1">IF(ISNUMBER(SEARCH(INDIRECT(ADDRESS(ROW(AL91),MOD(AL$1,4)+1)),AL$2)),$E91,"")</f>
        <v/>
      </c>
      <c r="AM91" s="26" t="str" cm="1">
        <f t="array" aca="1" ref="AM91" ca="1">IF(ISNUMBER(SEARCH(INDIRECT(ADDRESS(ROW(AM91),MOD(AM$1,4)+1)),AM$2)),$E91,"")</f>
        <v/>
      </c>
      <c r="AN91" s="26" t="str" cm="1">
        <f t="array" aca="1" ref="AN91" ca="1">IF(ISNUMBER(SEARCH(INDIRECT(ADDRESS(ROW(AN91),MOD(AN$1,4)+1)),AN$2)),$E91,"")</f>
        <v/>
      </c>
      <c r="AO91" s="26" t="str" cm="1">
        <f t="array" aca="1" ref="AO91" ca="1">IF(ISNUMBER(SEARCH(INDIRECT(ADDRESS(ROW(AO91),MOD(AO$1,4)+1)),AO$2)),$E91,"")</f>
        <v/>
      </c>
      <c r="AP91" s="26" t="str" cm="1">
        <f t="array" aca="1" ref="AP91" ca="1">IF(ISNUMBER(SEARCH(INDIRECT(ADDRESS(ROW(AP91),MOD(AP$1,4)+1)),AP$2)),$E91,"")</f>
        <v/>
      </c>
      <c r="AQ91" s="31" t="str" cm="1">
        <f t="array" aca="1" ref="AQ91" ca="1">IF(ISNUMBER(SEARCH(INDIRECT(ADDRESS(ROW(AQ91),MOD(AQ$1,4)+1)),AQ$2)),$E91,"")</f>
        <v/>
      </c>
      <c r="AT91" t="e">
        <f>IF(VLOOKUP($E91,'Formatted NEW'!$B$2:$F$202,5,FALSE)=VLOOKUP($E91,'Formatted NEW'!$B$2:$F$202,8,FALSE),$E91,"")</f>
        <v>#N/A</v>
      </c>
      <c r="AW91" t="e">
        <f>IF(VLOOKUP($E91,'Formatted NEW'!$B$2:$F$202,5,FALSE)=VLOOKUP($E91,'Formatted NEW'!$B$2:$F$202,11,FALSE),$E91,"")</f>
        <v>#N/A</v>
      </c>
      <c r="AZ91" t="e">
        <f>IF(VLOOKUP($E91,'Formatted NEW'!$B$2:$F$202,5,FALSE)=VLOOKUP($E91,'Formatted NEW'!$B$2:$F$202,14,FALSE),$E91,"")</f>
        <v>#N/A</v>
      </c>
      <c r="BC91" t="str">
        <f>VLOOKUP($E91,'Formatted NEW'!$M$2:$T$202,6,FALSE)</f>
        <v>DIAG_BOTH</v>
      </c>
      <c r="BD91" s="26" t="e">
        <f>VLOOKUP(VLOOKUP(VLOOKUP($E91,'Formatted NEW'!$M$2:$O$202,2,FALSE),'Formatted NEW'!$D$2:$F$202,7,FALSE),'Formatted NEW'!$D$2:$O$202,12,FALSE)</f>
        <v>#REF!</v>
      </c>
      <c r="BE91" t="e">
        <f>VLOOKUP($BD91,'Formatted NEW'!$M$2:$T$202,5,FALSE)</f>
        <v>#REF!</v>
      </c>
      <c r="BF91" s="26" t="e">
        <f t="shared" si="5"/>
        <v>#REF!</v>
      </c>
      <c r="BH91">
        <f>VLOOKUP($E91,'Formatted NEW'!$M$2:$T$202,4,FALSE)</f>
        <v>0</v>
      </c>
      <c r="BI91" s="26" t="e">
        <f>VLOOKUP(VLOOKUP(VLOOKUP($E91,'Formatted NEW'!$M$2:$O$202,2,FALSE),'Formatted NEW'!$D$2:$F$202,10,FALSE),'Formatted NEW'!$D$2:$O$202,12,FALSE)</f>
        <v>#REF!</v>
      </c>
      <c r="BJ91" t="e">
        <f>VLOOKUP($BI91,'Formatted NEW'!$M$2:$T$202,3,FALSE)</f>
        <v>#REF!</v>
      </c>
      <c r="BK91" s="26" t="e">
        <f t="shared" si="6"/>
        <v>#REF!</v>
      </c>
    </row>
    <row r="92" spans="1:63" x14ac:dyDescent="0.25">
      <c r="A92" t="str">
        <f>'Formatted NEW'!Q90</f>
        <v>DIAG_BOTH</v>
      </c>
      <c r="B92" t="str">
        <f>'Formatted NEW'!R90</f>
        <v>EMPTY</v>
      </c>
      <c r="C92" t="str">
        <f>'Formatted NEW'!S90</f>
        <v>DIAG_BOTH</v>
      </c>
      <c r="D92" t="str">
        <f>'Formatted NEW'!T90</f>
        <v>DIAG_BOTH</v>
      </c>
      <c r="E92" s="26">
        <f t="shared" si="4"/>
        <v>88</v>
      </c>
      <c r="H92" s="30" t="str" cm="1">
        <f t="array" aca="1" ref="H92" ca="1">IF(ISNUMBER(SEARCH(INDIRECT(ADDRESS(ROW(H92),MOD(H$1,4)+1)),H$2)),$E92,"")</f>
        <v/>
      </c>
      <c r="I92" s="26" t="str" cm="1">
        <f t="array" aca="1" ref="I92" ca="1">IF(ISNUMBER(SEARCH(INDIRECT(ADDRESS(ROW(I92),MOD(I$1,4)+1)),I$2)),$E92,"")</f>
        <v/>
      </c>
      <c r="J92" s="26" t="str" cm="1">
        <f t="array" aca="1" ref="J92" ca="1">IF(ISNUMBER(SEARCH(INDIRECT(ADDRESS(ROW(J92),MOD(J$1,4)+1)),J$2)),$E92,"")</f>
        <v/>
      </c>
      <c r="K92" s="26" t="str" cm="1">
        <f t="array" aca="1" ref="K92" ca="1">IF(ISNUMBER(SEARCH(INDIRECT(ADDRESS(ROW(K92),MOD(K$1,4)+1)),K$2)),$E92,"")</f>
        <v/>
      </c>
      <c r="L92" s="26" cm="1">
        <f t="array" aca="1" ref="L92" ca="1">IF(ISNUMBER(SEARCH(INDIRECT(ADDRESS(ROW(L92),MOD(L$1,4)+1)),L$2)),$E92,"")</f>
        <v>88</v>
      </c>
      <c r="M92" s="26" t="str" cm="1">
        <f t="array" aca="1" ref="M92" ca="1">IF(ISNUMBER(SEARCH(INDIRECT(ADDRESS(ROW(M92),MOD(M$1,4)+1)),M$2)),$E92,"")</f>
        <v/>
      </c>
      <c r="N92" s="26" cm="1">
        <f t="array" aca="1" ref="N92" ca="1">IF(ISNUMBER(SEARCH(INDIRECT(ADDRESS(ROW(N92),MOD(N$1,4)+1)),N$2)),$E92,"")</f>
        <v>88</v>
      </c>
      <c r="O92" s="26" cm="1">
        <f t="array" aca="1" ref="O92" ca="1">IF(ISNUMBER(SEARCH(INDIRECT(ADDRESS(ROW(O92),MOD(O$1,4)+1)),O$2)),$E92,"")</f>
        <v>88</v>
      </c>
      <c r="P92" s="26" t="str" cm="1">
        <f t="array" aca="1" ref="P92" ca="1">IF(ISNUMBER(SEARCH(INDIRECT(ADDRESS(ROW(P92),MOD(P$1,4)+1)),P$2)),$E92,"")</f>
        <v/>
      </c>
      <c r="Q92" s="26" t="str" cm="1">
        <f t="array" aca="1" ref="Q92" ca="1">IF(ISNUMBER(SEARCH(INDIRECT(ADDRESS(ROW(Q92),MOD(Q$1,4)+1)),Q$2)),$E92,"")</f>
        <v/>
      </c>
      <c r="R92" s="26" t="str" cm="1">
        <f t="array" aca="1" ref="R92" ca="1">IF(ISNUMBER(SEARCH(INDIRECT(ADDRESS(ROW(R92),MOD(R$1,4)+1)),R$2)),$E92,"")</f>
        <v/>
      </c>
      <c r="S92" s="26" t="str" cm="1">
        <f t="array" aca="1" ref="S92" ca="1">IF(ISNUMBER(SEARCH(INDIRECT(ADDRESS(ROW(S92),MOD(S$1,4)+1)),S$2)),$E92,"")</f>
        <v/>
      </c>
      <c r="T92" s="26" t="str" cm="1">
        <f t="array" aca="1" ref="T92" ca="1">IF(ISNUMBER(SEARCH(INDIRECT(ADDRESS(ROW(T92),MOD(T$1,4)+1)),T$2)),$E92,"")</f>
        <v/>
      </c>
      <c r="U92" s="26" t="str" cm="1">
        <f t="array" aca="1" ref="U92" ca="1">IF(ISNUMBER(SEARCH(INDIRECT(ADDRESS(ROW(U92),MOD(U$1,4)+1)),U$2)),$E92,"")</f>
        <v/>
      </c>
      <c r="V92" s="26" t="str" cm="1">
        <f t="array" aca="1" ref="V92" ca="1">IF(ISNUMBER(SEARCH(INDIRECT(ADDRESS(ROW(V92),MOD(V$1,4)+1)),V$2)),$E92,"")</f>
        <v/>
      </c>
      <c r="W92" s="26" t="str" cm="1">
        <f t="array" aca="1" ref="W92" ca="1">IF(ISNUMBER(SEARCH(INDIRECT(ADDRESS(ROW(W92),MOD(W$1,4)+1)),W$2)),$E92,"")</f>
        <v/>
      </c>
      <c r="X92" s="26" t="str" cm="1">
        <f t="array" aca="1" ref="X92" ca="1">IF(ISNUMBER(SEARCH(INDIRECT(ADDRESS(ROW(X92),MOD(X$1,4)+1)),X$2)),$E92,"")</f>
        <v/>
      </c>
      <c r="Y92" s="26" t="str" cm="1">
        <f t="array" aca="1" ref="Y92" ca="1">IF(ISNUMBER(SEARCH(INDIRECT(ADDRESS(ROW(Y92),MOD(Y$1,4)+1)),Y$2)),$E92,"")</f>
        <v/>
      </c>
      <c r="Z92" s="26" t="str" cm="1">
        <f t="array" aca="1" ref="Z92" ca="1">IF(ISNUMBER(SEARCH(INDIRECT(ADDRESS(ROW(Z92),MOD(Z$1,4)+1)),Z$2)),$E92,"")</f>
        <v/>
      </c>
      <c r="AA92" s="26" t="str" cm="1">
        <f t="array" aca="1" ref="AA92" ca="1">IF(ISNUMBER(SEARCH(INDIRECT(ADDRESS(ROW(AA92),MOD(AA$1,4)+1)),AA$2)),$E92,"")</f>
        <v/>
      </c>
      <c r="AB92" s="26" t="str" cm="1">
        <f t="array" aca="1" ref="AB92" ca="1">IF(ISNUMBER(SEARCH(INDIRECT(ADDRESS(ROW(AB92),MOD(AB$1,4)+1)),AB$2)),$E92,"")</f>
        <v/>
      </c>
      <c r="AC92" s="26" t="str" cm="1">
        <f t="array" aca="1" ref="AC92" ca="1">IF(ISNUMBER(SEARCH(INDIRECT(ADDRESS(ROW(AC92),MOD(AC$1,4)+1)),AC$2)),$E92,"")</f>
        <v/>
      </c>
      <c r="AD92" s="26" t="str" cm="1">
        <f t="array" aca="1" ref="AD92" ca="1">IF(ISNUMBER(SEARCH(INDIRECT(ADDRESS(ROW(AD92),MOD(AD$1,4)+1)),AD$2)),$E92,"")</f>
        <v/>
      </c>
      <c r="AE92" s="26" t="str" cm="1">
        <f t="array" aca="1" ref="AE92" ca="1">IF(ISNUMBER(SEARCH(INDIRECT(ADDRESS(ROW(AE92),MOD(AE$1,4)+1)),AE$2)),$E92,"")</f>
        <v/>
      </c>
      <c r="AF92" s="26" t="str" cm="1">
        <f t="array" aca="1" ref="AF92" ca="1">IF(ISNUMBER(SEARCH(INDIRECT(ADDRESS(ROW(AF92),MOD(AF$1,4)+1)),AF$2)),$E92,"")</f>
        <v/>
      </c>
      <c r="AG92" s="26" t="str" cm="1">
        <f t="array" aca="1" ref="AG92" ca="1">IF(ISNUMBER(SEARCH(INDIRECT(ADDRESS(ROW(AG92),MOD(AG$1,4)+1)),AG$2)),$E92,"")</f>
        <v/>
      </c>
      <c r="AH92" s="26" t="str" cm="1">
        <f t="array" aca="1" ref="AH92" ca="1">IF(ISNUMBER(SEARCH(INDIRECT(ADDRESS(ROW(AH92),MOD(AH$1,4)+1)),AH$2)),$E92,"")</f>
        <v/>
      </c>
      <c r="AI92" s="26" t="str" cm="1">
        <f t="array" aca="1" ref="AI92" ca="1">IF(ISNUMBER(SEARCH(INDIRECT(ADDRESS(ROW(AI92),MOD(AI$1,4)+1)),AI$2)),$E92,"")</f>
        <v/>
      </c>
      <c r="AJ92" s="26" t="str" cm="1">
        <f t="array" aca="1" ref="AJ92" ca="1">IF(ISNUMBER(SEARCH(INDIRECT(ADDRESS(ROW(AJ92),MOD(AJ$1,4)+1)),AJ$2)),$E92,"")</f>
        <v/>
      </c>
      <c r="AK92" s="26" t="str" cm="1">
        <f t="array" aca="1" ref="AK92" ca="1">IF(ISNUMBER(SEARCH(INDIRECT(ADDRESS(ROW(AK92),MOD(AK$1,4)+1)),AK$2)),$E92,"")</f>
        <v/>
      </c>
      <c r="AL92" s="26" t="str" cm="1">
        <f t="array" aca="1" ref="AL92" ca="1">IF(ISNUMBER(SEARCH(INDIRECT(ADDRESS(ROW(AL92),MOD(AL$1,4)+1)),AL$2)),$E92,"")</f>
        <v/>
      </c>
      <c r="AM92" s="26" t="str" cm="1">
        <f t="array" aca="1" ref="AM92" ca="1">IF(ISNUMBER(SEARCH(INDIRECT(ADDRESS(ROW(AM92),MOD(AM$1,4)+1)),AM$2)),$E92,"")</f>
        <v/>
      </c>
      <c r="AN92" s="26" t="str" cm="1">
        <f t="array" aca="1" ref="AN92" ca="1">IF(ISNUMBER(SEARCH(INDIRECT(ADDRESS(ROW(AN92),MOD(AN$1,4)+1)),AN$2)),$E92,"")</f>
        <v/>
      </c>
      <c r="AO92" s="26" t="str" cm="1">
        <f t="array" aca="1" ref="AO92" ca="1">IF(ISNUMBER(SEARCH(INDIRECT(ADDRESS(ROW(AO92),MOD(AO$1,4)+1)),AO$2)),$E92,"")</f>
        <v/>
      </c>
      <c r="AP92" s="26" t="str" cm="1">
        <f t="array" aca="1" ref="AP92" ca="1">IF(ISNUMBER(SEARCH(INDIRECT(ADDRESS(ROW(AP92),MOD(AP$1,4)+1)),AP$2)),$E92,"")</f>
        <v/>
      </c>
      <c r="AQ92" s="31" t="str" cm="1">
        <f t="array" aca="1" ref="AQ92" ca="1">IF(ISNUMBER(SEARCH(INDIRECT(ADDRESS(ROW(AQ92),MOD(AQ$1,4)+1)),AQ$2)),$E92,"")</f>
        <v/>
      </c>
      <c r="AT92" t="e">
        <f>IF(VLOOKUP($E92,'Formatted NEW'!$B$2:$F$202,5,FALSE)=VLOOKUP($E92,'Formatted NEW'!$B$2:$F$202,8,FALSE),$E92,"")</f>
        <v>#N/A</v>
      </c>
      <c r="AW92" t="e">
        <f>IF(VLOOKUP($E92,'Formatted NEW'!$B$2:$F$202,5,FALSE)=VLOOKUP($E92,'Formatted NEW'!$B$2:$F$202,11,FALSE),$E92,"")</f>
        <v>#N/A</v>
      </c>
      <c r="AZ92" t="e">
        <f>IF(VLOOKUP($E92,'Formatted NEW'!$B$2:$F$202,5,FALSE)=VLOOKUP($E92,'Formatted NEW'!$B$2:$F$202,14,FALSE),$E92,"")</f>
        <v>#N/A</v>
      </c>
      <c r="BC92" t="str">
        <f>VLOOKUP($E92,'Formatted NEW'!$M$2:$T$202,6,FALSE)</f>
        <v>EMPTY</v>
      </c>
      <c r="BD92" s="26" t="e">
        <f>VLOOKUP(VLOOKUP(VLOOKUP($E92,'Formatted NEW'!$M$2:$O$202,2,FALSE),'Formatted NEW'!$D$2:$F$202,7,FALSE),'Formatted NEW'!$D$2:$O$202,12,FALSE)</f>
        <v>#REF!</v>
      </c>
      <c r="BE92" t="e">
        <f>VLOOKUP($BD92,'Formatted NEW'!$M$2:$T$202,5,FALSE)</f>
        <v>#REF!</v>
      </c>
      <c r="BF92" s="26" t="e">
        <f t="shared" si="5"/>
        <v>#REF!</v>
      </c>
      <c r="BH92">
        <f>VLOOKUP($E92,'Formatted NEW'!$M$2:$T$202,4,FALSE)</f>
        <v>0</v>
      </c>
      <c r="BI92" s="26" t="e">
        <f>VLOOKUP(VLOOKUP(VLOOKUP($E92,'Formatted NEW'!$M$2:$O$202,2,FALSE),'Formatted NEW'!$D$2:$F$202,10,FALSE),'Formatted NEW'!$D$2:$O$202,12,FALSE)</f>
        <v>#REF!</v>
      </c>
      <c r="BJ92" t="e">
        <f>VLOOKUP($BI92,'Formatted NEW'!$M$2:$T$202,3,FALSE)</f>
        <v>#REF!</v>
      </c>
      <c r="BK92" s="26" t="e">
        <f t="shared" si="6"/>
        <v>#REF!</v>
      </c>
    </row>
    <row r="93" spans="1:63" x14ac:dyDescent="0.25">
      <c r="A93" t="str">
        <f>'Formatted NEW'!Q91</f>
        <v>ORTHO_BOTH</v>
      </c>
      <c r="B93" t="str">
        <f>'Formatted NEW'!R91</f>
        <v>EMPTY</v>
      </c>
      <c r="C93" t="str">
        <f>'Formatted NEW'!S91</f>
        <v>DIAG_BOTH</v>
      </c>
      <c r="D93" t="str">
        <f>'Formatted NEW'!T91</f>
        <v>DIAG_BOTH</v>
      </c>
      <c r="E93" s="26">
        <f t="shared" si="4"/>
        <v>89</v>
      </c>
      <c r="H93" s="30" t="str" cm="1">
        <f t="array" aca="1" ref="H93" ca="1">IF(ISNUMBER(SEARCH(INDIRECT(ADDRESS(ROW(H93),MOD(H$1,4)+1)),H$2)),$E93,"")</f>
        <v/>
      </c>
      <c r="I93" s="26" t="str" cm="1">
        <f t="array" aca="1" ref="I93" ca="1">IF(ISNUMBER(SEARCH(INDIRECT(ADDRESS(ROW(I93),MOD(I$1,4)+1)),I$2)),$E93,"")</f>
        <v/>
      </c>
      <c r="J93" s="26" t="str" cm="1">
        <f t="array" aca="1" ref="J93" ca="1">IF(ISNUMBER(SEARCH(INDIRECT(ADDRESS(ROW(J93),MOD(J$1,4)+1)),J$2)),$E93,"")</f>
        <v/>
      </c>
      <c r="K93" s="26" t="str" cm="1">
        <f t="array" aca="1" ref="K93" ca="1">IF(ISNUMBER(SEARCH(INDIRECT(ADDRESS(ROW(K93),MOD(K$1,4)+1)),K$2)),$E93,"")</f>
        <v/>
      </c>
      <c r="L93" s="26" t="str" cm="1">
        <f t="array" aca="1" ref="L93" ca="1">IF(ISNUMBER(SEARCH(INDIRECT(ADDRESS(ROW(L93),MOD(L$1,4)+1)),L$2)),$E93,"")</f>
        <v/>
      </c>
      <c r="M93" s="26" t="str" cm="1">
        <f t="array" aca="1" ref="M93" ca="1">IF(ISNUMBER(SEARCH(INDIRECT(ADDRESS(ROW(M93),MOD(M$1,4)+1)),M$2)),$E93,"")</f>
        <v/>
      </c>
      <c r="N93" s="26" cm="1">
        <f t="array" aca="1" ref="N93" ca="1">IF(ISNUMBER(SEARCH(INDIRECT(ADDRESS(ROW(N93),MOD(N$1,4)+1)),N$2)),$E93,"")</f>
        <v>89</v>
      </c>
      <c r="O93" s="26" cm="1">
        <f t="array" aca="1" ref="O93" ca="1">IF(ISNUMBER(SEARCH(INDIRECT(ADDRESS(ROW(O93),MOD(O$1,4)+1)),O$2)),$E93,"")</f>
        <v>89</v>
      </c>
      <c r="P93" s="26" cm="1">
        <f t="array" aca="1" ref="P93" ca="1">IF(ISNUMBER(SEARCH(INDIRECT(ADDRESS(ROW(P93),MOD(P$1,4)+1)),P$2)),$E93,"")</f>
        <v>89</v>
      </c>
      <c r="Q93" s="26" t="str" cm="1">
        <f t="array" aca="1" ref="Q93" ca="1">IF(ISNUMBER(SEARCH(INDIRECT(ADDRESS(ROW(Q93),MOD(Q$1,4)+1)),Q$2)),$E93,"")</f>
        <v/>
      </c>
      <c r="R93" s="26" t="str" cm="1">
        <f t="array" aca="1" ref="R93" ca="1">IF(ISNUMBER(SEARCH(INDIRECT(ADDRESS(ROW(R93),MOD(R$1,4)+1)),R$2)),$E93,"")</f>
        <v/>
      </c>
      <c r="S93" s="26" t="str" cm="1">
        <f t="array" aca="1" ref="S93" ca="1">IF(ISNUMBER(SEARCH(INDIRECT(ADDRESS(ROW(S93),MOD(S$1,4)+1)),S$2)),$E93,"")</f>
        <v/>
      </c>
      <c r="T93" s="26" t="str" cm="1">
        <f t="array" aca="1" ref="T93" ca="1">IF(ISNUMBER(SEARCH(INDIRECT(ADDRESS(ROW(T93),MOD(T$1,4)+1)),T$2)),$E93,"")</f>
        <v/>
      </c>
      <c r="U93" s="26" t="str" cm="1">
        <f t="array" aca="1" ref="U93" ca="1">IF(ISNUMBER(SEARCH(INDIRECT(ADDRESS(ROW(U93),MOD(U$1,4)+1)),U$2)),$E93,"")</f>
        <v/>
      </c>
      <c r="V93" s="26" t="str" cm="1">
        <f t="array" aca="1" ref="V93" ca="1">IF(ISNUMBER(SEARCH(INDIRECT(ADDRESS(ROW(V93),MOD(V$1,4)+1)),V$2)),$E93,"")</f>
        <v/>
      </c>
      <c r="W93" s="26" t="str" cm="1">
        <f t="array" aca="1" ref="W93" ca="1">IF(ISNUMBER(SEARCH(INDIRECT(ADDRESS(ROW(W93),MOD(W$1,4)+1)),W$2)),$E93,"")</f>
        <v/>
      </c>
      <c r="X93" s="26" t="str" cm="1">
        <f t="array" aca="1" ref="X93" ca="1">IF(ISNUMBER(SEARCH(INDIRECT(ADDRESS(ROW(X93),MOD(X$1,4)+1)),X$2)),$E93,"")</f>
        <v/>
      </c>
      <c r="Y93" s="26" t="str" cm="1">
        <f t="array" aca="1" ref="Y93" ca="1">IF(ISNUMBER(SEARCH(INDIRECT(ADDRESS(ROW(Y93),MOD(Y$1,4)+1)),Y$2)),$E93,"")</f>
        <v/>
      </c>
      <c r="Z93" s="26" t="str" cm="1">
        <f t="array" aca="1" ref="Z93" ca="1">IF(ISNUMBER(SEARCH(INDIRECT(ADDRESS(ROW(Z93),MOD(Z$1,4)+1)),Z$2)),$E93,"")</f>
        <v/>
      </c>
      <c r="AA93" s="26" t="str" cm="1">
        <f t="array" aca="1" ref="AA93" ca="1">IF(ISNUMBER(SEARCH(INDIRECT(ADDRESS(ROW(AA93),MOD(AA$1,4)+1)),AA$2)),$E93,"")</f>
        <v/>
      </c>
      <c r="AB93" s="26" t="str" cm="1">
        <f t="array" aca="1" ref="AB93" ca="1">IF(ISNUMBER(SEARCH(INDIRECT(ADDRESS(ROW(AB93),MOD(AB$1,4)+1)),AB$2)),$E93,"")</f>
        <v/>
      </c>
      <c r="AC93" s="26" t="str" cm="1">
        <f t="array" aca="1" ref="AC93" ca="1">IF(ISNUMBER(SEARCH(INDIRECT(ADDRESS(ROW(AC93),MOD(AC$1,4)+1)),AC$2)),$E93,"")</f>
        <v/>
      </c>
      <c r="AD93" s="26" t="str" cm="1">
        <f t="array" aca="1" ref="AD93" ca="1">IF(ISNUMBER(SEARCH(INDIRECT(ADDRESS(ROW(AD93),MOD(AD$1,4)+1)),AD$2)),$E93,"")</f>
        <v/>
      </c>
      <c r="AE93" s="26" t="str" cm="1">
        <f t="array" aca="1" ref="AE93" ca="1">IF(ISNUMBER(SEARCH(INDIRECT(ADDRESS(ROW(AE93),MOD(AE$1,4)+1)),AE$2)),$E93,"")</f>
        <v/>
      </c>
      <c r="AF93" s="26" t="str" cm="1">
        <f t="array" aca="1" ref="AF93" ca="1">IF(ISNUMBER(SEARCH(INDIRECT(ADDRESS(ROW(AF93),MOD(AF$1,4)+1)),AF$2)),$E93,"")</f>
        <v/>
      </c>
      <c r="AG93" s="26" t="str" cm="1">
        <f t="array" aca="1" ref="AG93" ca="1">IF(ISNUMBER(SEARCH(INDIRECT(ADDRESS(ROW(AG93),MOD(AG$1,4)+1)),AG$2)),$E93,"")</f>
        <v/>
      </c>
      <c r="AH93" s="26" t="str" cm="1">
        <f t="array" aca="1" ref="AH93" ca="1">IF(ISNUMBER(SEARCH(INDIRECT(ADDRESS(ROW(AH93),MOD(AH$1,4)+1)),AH$2)),$E93,"")</f>
        <v/>
      </c>
      <c r="AI93" s="26" t="str" cm="1">
        <f t="array" aca="1" ref="AI93" ca="1">IF(ISNUMBER(SEARCH(INDIRECT(ADDRESS(ROW(AI93),MOD(AI$1,4)+1)),AI$2)),$E93,"")</f>
        <v/>
      </c>
      <c r="AJ93" s="26" t="str" cm="1">
        <f t="array" aca="1" ref="AJ93" ca="1">IF(ISNUMBER(SEARCH(INDIRECT(ADDRESS(ROW(AJ93),MOD(AJ$1,4)+1)),AJ$2)),$E93,"")</f>
        <v/>
      </c>
      <c r="AK93" s="26" t="str" cm="1">
        <f t="array" aca="1" ref="AK93" ca="1">IF(ISNUMBER(SEARCH(INDIRECT(ADDRESS(ROW(AK93),MOD(AK$1,4)+1)),AK$2)),$E93,"")</f>
        <v/>
      </c>
      <c r="AL93" s="26" t="str" cm="1">
        <f t="array" aca="1" ref="AL93" ca="1">IF(ISNUMBER(SEARCH(INDIRECT(ADDRESS(ROW(AL93),MOD(AL$1,4)+1)),AL$2)),$E93,"")</f>
        <v/>
      </c>
      <c r="AM93" s="26" t="str" cm="1">
        <f t="array" aca="1" ref="AM93" ca="1">IF(ISNUMBER(SEARCH(INDIRECT(ADDRESS(ROW(AM93),MOD(AM$1,4)+1)),AM$2)),$E93,"")</f>
        <v/>
      </c>
      <c r="AN93" s="26" t="str" cm="1">
        <f t="array" aca="1" ref="AN93" ca="1">IF(ISNUMBER(SEARCH(INDIRECT(ADDRESS(ROW(AN93),MOD(AN$1,4)+1)),AN$2)),$E93,"")</f>
        <v/>
      </c>
      <c r="AO93" s="26" t="str" cm="1">
        <f t="array" aca="1" ref="AO93" ca="1">IF(ISNUMBER(SEARCH(INDIRECT(ADDRESS(ROW(AO93),MOD(AO$1,4)+1)),AO$2)),$E93,"")</f>
        <v/>
      </c>
      <c r="AP93" s="26" t="str" cm="1">
        <f t="array" aca="1" ref="AP93" ca="1">IF(ISNUMBER(SEARCH(INDIRECT(ADDRESS(ROW(AP93),MOD(AP$1,4)+1)),AP$2)),$E93,"")</f>
        <v/>
      </c>
      <c r="AQ93" s="31" t="str" cm="1">
        <f t="array" aca="1" ref="AQ93" ca="1">IF(ISNUMBER(SEARCH(INDIRECT(ADDRESS(ROW(AQ93),MOD(AQ$1,4)+1)),AQ$2)),$E93,"")</f>
        <v/>
      </c>
      <c r="AT93" t="e">
        <f>IF(VLOOKUP($E93,'Formatted NEW'!$B$2:$F$202,5,FALSE)=VLOOKUP($E93,'Formatted NEW'!$B$2:$F$202,8,FALSE),$E93,"")</f>
        <v>#N/A</v>
      </c>
      <c r="AW93" t="e">
        <f>IF(VLOOKUP($E93,'Formatted NEW'!$B$2:$F$202,5,FALSE)=VLOOKUP($E93,'Formatted NEW'!$B$2:$F$202,11,FALSE),$E93,"")</f>
        <v>#N/A</v>
      </c>
      <c r="AZ93" t="e">
        <f>IF(VLOOKUP($E93,'Formatted NEW'!$B$2:$F$202,5,FALSE)=VLOOKUP($E93,'Formatted NEW'!$B$2:$F$202,14,FALSE),$E93,"")</f>
        <v>#N/A</v>
      </c>
      <c r="BC93" t="str">
        <f>VLOOKUP($E93,'Formatted NEW'!$M$2:$T$202,6,FALSE)</f>
        <v>EMPTY</v>
      </c>
      <c r="BD93" s="26" t="e">
        <f>VLOOKUP(VLOOKUP(VLOOKUP($E93,'Formatted NEW'!$M$2:$O$202,2,FALSE),'Formatted NEW'!$D$2:$F$202,7,FALSE),'Formatted NEW'!$D$2:$O$202,12,FALSE)</f>
        <v>#REF!</v>
      </c>
      <c r="BE93" t="e">
        <f>VLOOKUP($BD93,'Formatted NEW'!$M$2:$T$202,5,FALSE)</f>
        <v>#REF!</v>
      </c>
      <c r="BF93" s="26" t="e">
        <f t="shared" si="5"/>
        <v>#REF!</v>
      </c>
      <c r="BH93">
        <f>VLOOKUP($E93,'Formatted NEW'!$M$2:$T$202,4,FALSE)</f>
        <v>0</v>
      </c>
      <c r="BI93" s="26" t="e">
        <f>VLOOKUP(VLOOKUP(VLOOKUP($E93,'Formatted NEW'!$M$2:$O$202,2,FALSE),'Formatted NEW'!$D$2:$F$202,10,FALSE),'Formatted NEW'!$D$2:$O$202,12,FALSE)</f>
        <v>#REF!</v>
      </c>
      <c r="BJ93" t="e">
        <f>VLOOKUP($BI93,'Formatted NEW'!$M$2:$T$202,3,FALSE)</f>
        <v>#REF!</v>
      </c>
      <c r="BK93" s="26" t="e">
        <f t="shared" si="6"/>
        <v>#REF!</v>
      </c>
    </row>
    <row r="94" spans="1:63" x14ac:dyDescent="0.25">
      <c r="A94" t="str">
        <f>'Formatted NEW'!Q92</f>
        <v>DIAG_BOTH</v>
      </c>
      <c r="B94" t="str">
        <f>'Formatted NEW'!R92</f>
        <v>EMPTY</v>
      </c>
      <c r="C94" t="str">
        <f>'Formatted NEW'!S92</f>
        <v>EMPTY</v>
      </c>
      <c r="D94" t="str">
        <f>'Formatted NEW'!T92</f>
        <v>DIAG_BOTH</v>
      </c>
      <c r="E94" s="26">
        <f t="shared" si="4"/>
        <v>90</v>
      </c>
      <c r="H94" s="30" t="str" cm="1">
        <f t="array" aca="1" ref="H94" ca="1">IF(ISNUMBER(SEARCH(INDIRECT(ADDRESS(ROW(H94),MOD(H$1,4)+1)),H$2)),$E94,"")</f>
        <v/>
      </c>
      <c r="I94" s="26" t="str" cm="1">
        <f t="array" aca="1" ref="I94" ca="1">IF(ISNUMBER(SEARCH(INDIRECT(ADDRESS(ROW(I94),MOD(I$1,4)+1)),I$2)),$E94,"")</f>
        <v/>
      </c>
      <c r="J94" s="26" t="str" cm="1">
        <f t="array" aca="1" ref="J94" ca="1">IF(ISNUMBER(SEARCH(INDIRECT(ADDRESS(ROW(J94),MOD(J$1,4)+1)),J$2)),$E94,"")</f>
        <v/>
      </c>
      <c r="K94" s="26" t="str" cm="1">
        <f t="array" aca="1" ref="K94" ca="1">IF(ISNUMBER(SEARCH(INDIRECT(ADDRESS(ROW(K94),MOD(K$1,4)+1)),K$2)),$E94,"")</f>
        <v/>
      </c>
      <c r="L94" s="26" cm="1">
        <f t="array" aca="1" ref="L94" ca="1">IF(ISNUMBER(SEARCH(INDIRECT(ADDRESS(ROW(L94),MOD(L$1,4)+1)),L$2)),$E94,"")</f>
        <v>90</v>
      </c>
      <c r="M94" s="26" t="str" cm="1">
        <f t="array" aca="1" ref="M94" ca="1">IF(ISNUMBER(SEARCH(INDIRECT(ADDRESS(ROW(M94),MOD(M$1,4)+1)),M$2)),$E94,"")</f>
        <v/>
      </c>
      <c r="N94" s="26" t="str" cm="1">
        <f t="array" aca="1" ref="N94" ca="1">IF(ISNUMBER(SEARCH(INDIRECT(ADDRESS(ROW(N94),MOD(N$1,4)+1)),N$2)),$E94,"")</f>
        <v/>
      </c>
      <c r="O94" s="26" cm="1">
        <f t="array" aca="1" ref="O94" ca="1">IF(ISNUMBER(SEARCH(INDIRECT(ADDRESS(ROW(O94),MOD(O$1,4)+1)),O$2)),$E94,"")</f>
        <v>90</v>
      </c>
      <c r="P94" s="26" t="str" cm="1">
        <f t="array" aca="1" ref="P94" ca="1">IF(ISNUMBER(SEARCH(INDIRECT(ADDRESS(ROW(P94),MOD(P$1,4)+1)),P$2)),$E94,"")</f>
        <v/>
      </c>
      <c r="Q94" s="26" t="str" cm="1">
        <f t="array" aca="1" ref="Q94" ca="1">IF(ISNUMBER(SEARCH(INDIRECT(ADDRESS(ROW(Q94),MOD(Q$1,4)+1)),Q$2)),$E94,"")</f>
        <v/>
      </c>
      <c r="R94" s="26" t="str" cm="1">
        <f t="array" aca="1" ref="R94" ca="1">IF(ISNUMBER(SEARCH(INDIRECT(ADDRESS(ROW(R94),MOD(R$1,4)+1)),R$2)),$E94,"")</f>
        <v/>
      </c>
      <c r="S94" s="26" t="str" cm="1">
        <f t="array" aca="1" ref="S94" ca="1">IF(ISNUMBER(SEARCH(INDIRECT(ADDRESS(ROW(S94),MOD(S$1,4)+1)),S$2)),$E94,"")</f>
        <v/>
      </c>
      <c r="T94" s="26" t="str" cm="1">
        <f t="array" aca="1" ref="T94" ca="1">IF(ISNUMBER(SEARCH(INDIRECT(ADDRESS(ROW(T94),MOD(T$1,4)+1)),T$2)),$E94,"")</f>
        <v/>
      </c>
      <c r="U94" s="26" t="str" cm="1">
        <f t="array" aca="1" ref="U94" ca="1">IF(ISNUMBER(SEARCH(INDIRECT(ADDRESS(ROW(U94),MOD(U$1,4)+1)),U$2)),$E94,"")</f>
        <v/>
      </c>
      <c r="V94" s="26" t="str" cm="1">
        <f t="array" aca="1" ref="V94" ca="1">IF(ISNUMBER(SEARCH(INDIRECT(ADDRESS(ROW(V94),MOD(V$1,4)+1)),V$2)),$E94,"")</f>
        <v/>
      </c>
      <c r="W94" s="26" t="str" cm="1">
        <f t="array" aca="1" ref="W94" ca="1">IF(ISNUMBER(SEARCH(INDIRECT(ADDRESS(ROW(W94),MOD(W$1,4)+1)),W$2)),$E94,"")</f>
        <v/>
      </c>
      <c r="X94" s="26" t="str" cm="1">
        <f t="array" aca="1" ref="X94" ca="1">IF(ISNUMBER(SEARCH(INDIRECT(ADDRESS(ROW(X94),MOD(X$1,4)+1)),X$2)),$E94,"")</f>
        <v/>
      </c>
      <c r="Y94" s="26" t="str" cm="1">
        <f t="array" aca="1" ref="Y94" ca="1">IF(ISNUMBER(SEARCH(INDIRECT(ADDRESS(ROW(Y94),MOD(Y$1,4)+1)),Y$2)),$E94,"")</f>
        <v/>
      </c>
      <c r="Z94" s="26" t="str" cm="1">
        <f t="array" aca="1" ref="Z94" ca="1">IF(ISNUMBER(SEARCH(INDIRECT(ADDRESS(ROW(Z94),MOD(Z$1,4)+1)),Z$2)),$E94,"")</f>
        <v/>
      </c>
      <c r="AA94" s="26" t="str" cm="1">
        <f t="array" aca="1" ref="AA94" ca="1">IF(ISNUMBER(SEARCH(INDIRECT(ADDRESS(ROW(AA94),MOD(AA$1,4)+1)),AA$2)),$E94,"")</f>
        <v/>
      </c>
      <c r="AB94" s="26" t="str" cm="1">
        <f t="array" aca="1" ref="AB94" ca="1">IF(ISNUMBER(SEARCH(INDIRECT(ADDRESS(ROW(AB94),MOD(AB$1,4)+1)),AB$2)),$E94,"")</f>
        <v/>
      </c>
      <c r="AC94" s="26" t="str" cm="1">
        <f t="array" aca="1" ref="AC94" ca="1">IF(ISNUMBER(SEARCH(INDIRECT(ADDRESS(ROW(AC94),MOD(AC$1,4)+1)),AC$2)),$E94,"")</f>
        <v/>
      </c>
      <c r="AD94" s="26" t="str" cm="1">
        <f t="array" aca="1" ref="AD94" ca="1">IF(ISNUMBER(SEARCH(INDIRECT(ADDRESS(ROW(AD94),MOD(AD$1,4)+1)),AD$2)),$E94,"")</f>
        <v/>
      </c>
      <c r="AE94" s="26" t="str" cm="1">
        <f t="array" aca="1" ref="AE94" ca="1">IF(ISNUMBER(SEARCH(INDIRECT(ADDRESS(ROW(AE94),MOD(AE$1,4)+1)),AE$2)),$E94,"")</f>
        <v/>
      </c>
      <c r="AF94" s="26" t="str" cm="1">
        <f t="array" aca="1" ref="AF94" ca="1">IF(ISNUMBER(SEARCH(INDIRECT(ADDRESS(ROW(AF94),MOD(AF$1,4)+1)),AF$2)),$E94,"")</f>
        <v/>
      </c>
      <c r="AG94" s="26" t="str" cm="1">
        <f t="array" aca="1" ref="AG94" ca="1">IF(ISNUMBER(SEARCH(INDIRECT(ADDRESS(ROW(AG94),MOD(AG$1,4)+1)),AG$2)),$E94,"")</f>
        <v/>
      </c>
      <c r="AH94" s="26" t="str" cm="1">
        <f t="array" aca="1" ref="AH94" ca="1">IF(ISNUMBER(SEARCH(INDIRECT(ADDRESS(ROW(AH94),MOD(AH$1,4)+1)),AH$2)),$E94,"")</f>
        <v/>
      </c>
      <c r="AI94" s="26" t="str" cm="1">
        <f t="array" aca="1" ref="AI94" ca="1">IF(ISNUMBER(SEARCH(INDIRECT(ADDRESS(ROW(AI94),MOD(AI$1,4)+1)),AI$2)),$E94,"")</f>
        <v/>
      </c>
      <c r="AJ94" s="26" t="str" cm="1">
        <f t="array" aca="1" ref="AJ94" ca="1">IF(ISNUMBER(SEARCH(INDIRECT(ADDRESS(ROW(AJ94),MOD(AJ$1,4)+1)),AJ$2)),$E94,"")</f>
        <v/>
      </c>
      <c r="AK94" s="26" t="str" cm="1">
        <f t="array" aca="1" ref="AK94" ca="1">IF(ISNUMBER(SEARCH(INDIRECT(ADDRESS(ROW(AK94),MOD(AK$1,4)+1)),AK$2)),$E94,"")</f>
        <v/>
      </c>
      <c r="AL94" s="26" t="str" cm="1">
        <f t="array" aca="1" ref="AL94" ca="1">IF(ISNUMBER(SEARCH(INDIRECT(ADDRESS(ROW(AL94),MOD(AL$1,4)+1)),AL$2)),$E94,"")</f>
        <v/>
      </c>
      <c r="AM94" s="26" t="str" cm="1">
        <f t="array" aca="1" ref="AM94" ca="1">IF(ISNUMBER(SEARCH(INDIRECT(ADDRESS(ROW(AM94),MOD(AM$1,4)+1)),AM$2)),$E94,"")</f>
        <v/>
      </c>
      <c r="AN94" s="26" t="str" cm="1">
        <f t="array" aca="1" ref="AN94" ca="1">IF(ISNUMBER(SEARCH(INDIRECT(ADDRESS(ROW(AN94),MOD(AN$1,4)+1)),AN$2)),$E94,"")</f>
        <v/>
      </c>
      <c r="AO94" s="26" t="str" cm="1">
        <f t="array" aca="1" ref="AO94" ca="1">IF(ISNUMBER(SEARCH(INDIRECT(ADDRESS(ROW(AO94),MOD(AO$1,4)+1)),AO$2)),$E94,"")</f>
        <v/>
      </c>
      <c r="AP94" s="26" t="str" cm="1">
        <f t="array" aca="1" ref="AP94" ca="1">IF(ISNUMBER(SEARCH(INDIRECT(ADDRESS(ROW(AP94),MOD(AP$1,4)+1)),AP$2)),$E94,"")</f>
        <v/>
      </c>
      <c r="AQ94" s="31" t="str" cm="1">
        <f t="array" aca="1" ref="AQ94" ca="1">IF(ISNUMBER(SEARCH(INDIRECT(ADDRESS(ROW(AQ94),MOD(AQ$1,4)+1)),AQ$2)),$E94,"")</f>
        <v/>
      </c>
      <c r="AT94" t="e">
        <f>IF(VLOOKUP($E94,'Formatted NEW'!$B$2:$F$202,5,FALSE)=VLOOKUP($E94,'Formatted NEW'!$B$2:$F$202,8,FALSE),$E94,"")</f>
        <v>#N/A</v>
      </c>
      <c r="AW94" t="e">
        <f>IF(VLOOKUP($E94,'Formatted NEW'!$B$2:$F$202,5,FALSE)=VLOOKUP($E94,'Formatted NEW'!$B$2:$F$202,11,FALSE),$E94,"")</f>
        <v>#N/A</v>
      </c>
      <c r="AZ94" t="e">
        <f>IF(VLOOKUP($E94,'Formatted NEW'!$B$2:$F$202,5,FALSE)=VLOOKUP($E94,'Formatted NEW'!$B$2:$F$202,14,FALSE),$E94,"")</f>
        <v>#N/A</v>
      </c>
      <c r="BC94" t="str">
        <f>VLOOKUP($E94,'Formatted NEW'!$M$2:$T$202,6,FALSE)</f>
        <v>EMPTY</v>
      </c>
      <c r="BD94" s="26" t="e">
        <f>VLOOKUP(VLOOKUP(VLOOKUP($E94,'Formatted NEW'!$M$2:$O$202,2,FALSE),'Formatted NEW'!$D$2:$F$202,7,FALSE),'Formatted NEW'!$D$2:$O$202,12,FALSE)</f>
        <v>#REF!</v>
      </c>
      <c r="BE94" t="e">
        <f>VLOOKUP($BD94,'Formatted NEW'!$M$2:$T$202,5,FALSE)</f>
        <v>#REF!</v>
      </c>
      <c r="BF94" s="26" t="e">
        <f t="shared" si="5"/>
        <v>#REF!</v>
      </c>
      <c r="BH94">
        <f>VLOOKUP($E94,'Formatted NEW'!$M$2:$T$202,4,FALSE)</f>
        <v>0</v>
      </c>
      <c r="BI94" s="26" t="e">
        <f>VLOOKUP(VLOOKUP(VLOOKUP($E94,'Formatted NEW'!$M$2:$O$202,2,FALSE),'Formatted NEW'!$D$2:$F$202,10,FALSE),'Formatted NEW'!$D$2:$O$202,12,FALSE)</f>
        <v>#REF!</v>
      </c>
      <c r="BJ94" t="e">
        <f>VLOOKUP($BI94,'Formatted NEW'!$M$2:$T$202,3,FALSE)</f>
        <v>#REF!</v>
      </c>
      <c r="BK94" s="26" t="e">
        <f t="shared" si="6"/>
        <v>#REF!</v>
      </c>
    </row>
    <row r="95" spans="1:63" x14ac:dyDescent="0.25">
      <c r="A95" t="str">
        <f>'Formatted NEW'!Q93</f>
        <v>ORTHO_BOTH</v>
      </c>
      <c r="B95" t="str">
        <f>'Formatted NEW'!R93</f>
        <v>DIAG_BOTH</v>
      </c>
      <c r="C95" t="str">
        <f>'Formatted NEW'!S93</f>
        <v>DIAG_BOTH</v>
      </c>
      <c r="D95" t="str">
        <f>'Formatted NEW'!T93</f>
        <v>ORTHO_BOTH</v>
      </c>
      <c r="E95" s="26">
        <f t="shared" si="4"/>
        <v>91</v>
      </c>
      <c r="H95" s="30" t="str" cm="1">
        <f t="array" aca="1" ref="H95" ca="1">IF(ISNUMBER(SEARCH(INDIRECT(ADDRESS(ROW(H95),MOD(H$1,4)+1)),H$2)),$E95,"")</f>
        <v/>
      </c>
      <c r="I95" s="26" t="str" cm="1">
        <f t="array" aca="1" ref="I95" ca="1">IF(ISNUMBER(SEARCH(INDIRECT(ADDRESS(ROW(I95),MOD(I$1,4)+1)),I$2)),$E95,"")</f>
        <v/>
      </c>
      <c r="J95" s="26" t="str" cm="1">
        <f t="array" aca="1" ref="J95" ca="1">IF(ISNUMBER(SEARCH(INDIRECT(ADDRESS(ROW(J95),MOD(J$1,4)+1)),J$2)),$E95,"")</f>
        <v/>
      </c>
      <c r="K95" s="26" t="str" cm="1">
        <f t="array" aca="1" ref="K95" ca="1">IF(ISNUMBER(SEARCH(INDIRECT(ADDRESS(ROW(K95),MOD(K$1,4)+1)),K$2)),$E95,"")</f>
        <v/>
      </c>
      <c r="L95" s="26" t="str" cm="1">
        <f t="array" aca="1" ref="L95" ca="1">IF(ISNUMBER(SEARCH(INDIRECT(ADDRESS(ROW(L95),MOD(L$1,4)+1)),L$2)),$E95,"")</f>
        <v/>
      </c>
      <c r="M95" s="26" cm="1">
        <f t="array" aca="1" ref="M95" ca="1">IF(ISNUMBER(SEARCH(INDIRECT(ADDRESS(ROW(M95),MOD(M$1,4)+1)),M$2)),$E95,"")</f>
        <v>91</v>
      </c>
      <c r="N95" s="26" cm="1">
        <f t="array" aca="1" ref="N95" ca="1">IF(ISNUMBER(SEARCH(INDIRECT(ADDRESS(ROW(N95),MOD(N$1,4)+1)),N$2)),$E95,"")</f>
        <v>91</v>
      </c>
      <c r="O95" s="26" t="str" cm="1">
        <f t="array" aca="1" ref="O95" ca="1">IF(ISNUMBER(SEARCH(INDIRECT(ADDRESS(ROW(O95),MOD(O$1,4)+1)),O$2)),$E95,"")</f>
        <v/>
      </c>
      <c r="P95" s="26" cm="1">
        <f t="array" aca="1" ref="P95" ca="1">IF(ISNUMBER(SEARCH(INDIRECT(ADDRESS(ROW(P95),MOD(P$1,4)+1)),P$2)),$E95,"")</f>
        <v>91</v>
      </c>
      <c r="Q95" s="26" t="str" cm="1">
        <f t="array" aca="1" ref="Q95" ca="1">IF(ISNUMBER(SEARCH(INDIRECT(ADDRESS(ROW(Q95),MOD(Q$1,4)+1)),Q$2)),$E95,"")</f>
        <v/>
      </c>
      <c r="R95" s="26" t="str" cm="1">
        <f t="array" aca="1" ref="R95" ca="1">IF(ISNUMBER(SEARCH(INDIRECT(ADDRESS(ROW(R95),MOD(R$1,4)+1)),R$2)),$E95,"")</f>
        <v/>
      </c>
      <c r="S95" s="26" cm="1">
        <f t="array" aca="1" ref="S95" ca="1">IF(ISNUMBER(SEARCH(INDIRECT(ADDRESS(ROW(S95),MOD(S$1,4)+1)),S$2)),$E95,"")</f>
        <v>91</v>
      </c>
      <c r="T95" s="26" t="str" cm="1">
        <f t="array" aca="1" ref="T95" ca="1">IF(ISNUMBER(SEARCH(INDIRECT(ADDRESS(ROW(T95),MOD(T$1,4)+1)),T$2)),$E95,"")</f>
        <v/>
      </c>
      <c r="U95" s="26" t="str" cm="1">
        <f t="array" aca="1" ref="U95" ca="1">IF(ISNUMBER(SEARCH(INDIRECT(ADDRESS(ROW(U95),MOD(U$1,4)+1)),U$2)),$E95,"")</f>
        <v/>
      </c>
      <c r="V95" s="26" t="str" cm="1">
        <f t="array" aca="1" ref="V95" ca="1">IF(ISNUMBER(SEARCH(INDIRECT(ADDRESS(ROW(V95),MOD(V$1,4)+1)),V$2)),$E95,"")</f>
        <v/>
      </c>
      <c r="W95" s="26" t="str" cm="1">
        <f t="array" aca="1" ref="W95" ca="1">IF(ISNUMBER(SEARCH(INDIRECT(ADDRESS(ROW(W95),MOD(W$1,4)+1)),W$2)),$E95,"")</f>
        <v/>
      </c>
      <c r="X95" s="26" t="str" cm="1">
        <f t="array" aca="1" ref="X95" ca="1">IF(ISNUMBER(SEARCH(INDIRECT(ADDRESS(ROW(X95),MOD(X$1,4)+1)),X$2)),$E95,"")</f>
        <v/>
      </c>
      <c r="Y95" s="26" t="str" cm="1">
        <f t="array" aca="1" ref="Y95" ca="1">IF(ISNUMBER(SEARCH(INDIRECT(ADDRESS(ROW(Y95),MOD(Y$1,4)+1)),Y$2)),$E95,"")</f>
        <v/>
      </c>
      <c r="Z95" s="26" t="str" cm="1">
        <f t="array" aca="1" ref="Z95" ca="1">IF(ISNUMBER(SEARCH(INDIRECT(ADDRESS(ROW(Z95),MOD(Z$1,4)+1)),Z$2)),$E95,"")</f>
        <v/>
      </c>
      <c r="AA95" s="26" t="str" cm="1">
        <f t="array" aca="1" ref="AA95" ca="1">IF(ISNUMBER(SEARCH(INDIRECT(ADDRESS(ROW(AA95),MOD(AA$1,4)+1)),AA$2)),$E95,"")</f>
        <v/>
      </c>
      <c r="AB95" s="26" t="str" cm="1">
        <f t="array" aca="1" ref="AB95" ca="1">IF(ISNUMBER(SEARCH(INDIRECT(ADDRESS(ROW(AB95),MOD(AB$1,4)+1)),AB$2)),$E95,"")</f>
        <v/>
      </c>
      <c r="AC95" s="26" t="str" cm="1">
        <f t="array" aca="1" ref="AC95" ca="1">IF(ISNUMBER(SEARCH(INDIRECT(ADDRESS(ROW(AC95),MOD(AC$1,4)+1)),AC$2)),$E95,"")</f>
        <v/>
      </c>
      <c r="AD95" s="26" t="str" cm="1">
        <f t="array" aca="1" ref="AD95" ca="1">IF(ISNUMBER(SEARCH(INDIRECT(ADDRESS(ROW(AD95),MOD(AD$1,4)+1)),AD$2)),$E95,"")</f>
        <v/>
      </c>
      <c r="AE95" s="26" t="str" cm="1">
        <f t="array" aca="1" ref="AE95" ca="1">IF(ISNUMBER(SEARCH(INDIRECT(ADDRESS(ROW(AE95),MOD(AE$1,4)+1)),AE$2)),$E95,"")</f>
        <v/>
      </c>
      <c r="AF95" s="26" t="str" cm="1">
        <f t="array" aca="1" ref="AF95" ca="1">IF(ISNUMBER(SEARCH(INDIRECT(ADDRESS(ROW(AF95),MOD(AF$1,4)+1)),AF$2)),$E95,"")</f>
        <v/>
      </c>
      <c r="AG95" s="26" t="str" cm="1">
        <f t="array" aca="1" ref="AG95" ca="1">IF(ISNUMBER(SEARCH(INDIRECT(ADDRESS(ROW(AG95),MOD(AG$1,4)+1)),AG$2)),$E95,"")</f>
        <v/>
      </c>
      <c r="AH95" s="26" t="str" cm="1">
        <f t="array" aca="1" ref="AH95" ca="1">IF(ISNUMBER(SEARCH(INDIRECT(ADDRESS(ROW(AH95),MOD(AH$1,4)+1)),AH$2)),$E95,"")</f>
        <v/>
      </c>
      <c r="AI95" s="26" t="str" cm="1">
        <f t="array" aca="1" ref="AI95" ca="1">IF(ISNUMBER(SEARCH(INDIRECT(ADDRESS(ROW(AI95),MOD(AI$1,4)+1)),AI$2)),$E95,"")</f>
        <v/>
      </c>
      <c r="AJ95" s="26" t="str" cm="1">
        <f t="array" aca="1" ref="AJ95" ca="1">IF(ISNUMBER(SEARCH(INDIRECT(ADDRESS(ROW(AJ95),MOD(AJ$1,4)+1)),AJ$2)),$E95,"")</f>
        <v/>
      </c>
      <c r="AK95" s="26" t="str" cm="1">
        <f t="array" aca="1" ref="AK95" ca="1">IF(ISNUMBER(SEARCH(INDIRECT(ADDRESS(ROW(AK95),MOD(AK$1,4)+1)),AK$2)),$E95,"")</f>
        <v/>
      </c>
      <c r="AL95" s="26" t="str" cm="1">
        <f t="array" aca="1" ref="AL95" ca="1">IF(ISNUMBER(SEARCH(INDIRECT(ADDRESS(ROW(AL95),MOD(AL$1,4)+1)),AL$2)),$E95,"")</f>
        <v/>
      </c>
      <c r="AM95" s="26" t="str" cm="1">
        <f t="array" aca="1" ref="AM95" ca="1">IF(ISNUMBER(SEARCH(INDIRECT(ADDRESS(ROW(AM95),MOD(AM$1,4)+1)),AM$2)),$E95,"")</f>
        <v/>
      </c>
      <c r="AN95" s="26" t="str" cm="1">
        <f t="array" aca="1" ref="AN95" ca="1">IF(ISNUMBER(SEARCH(INDIRECT(ADDRESS(ROW(AN95),MOD(AN$1,4)+1)),AN$2)),$E95,"")</f>
        <v/>
      </c>
      <c r="AO95" s="26" t="str" cm="1">
        <f t="array" aca="1" ref="AO95" ca="1">IF(ISNUMBER(SEARCH(INDIRECT(ADDRESS(ROW(AO95),MOD(AO$1,4)+1)),AO$2)),$E95,"")</f>
        <v/>
      </c>
      <c r="AP95" s="26" t="str" cm="1">
        <f t="array" aca="1" ref="AP95" ca="1">IF(ISNUMBER(SEARCH(INDIRECT(ADDRESS(ROW(AP95),MOD(AP$1,4)+1)),AP$2)),$E95,"")</f>
        <v/>
      </c>
      <c r="AQ95" s="31" t="str" cm="1">
        <f t="array" aca="1" ref="AQ95" ca="1">IF(ISNUMBER(SEARCH(INDIRECT(ADDRESS(ROW(AQ95),MOD(AQ$1,4)+1)),AQ$2)),$E95,"")</f>
        <v/>
      </c>
      <c r="AT95" t="e">
        <f>IF(VLOOKUP($E95,'Formatted NEW'!$B$2:$F$202,5,FALSE)=VLOOKUP($E95,'Formatted NEW'!$B$2:$F$202,8,FALSE),$E95,"")</f>
        <v>#N/A</v>
      </c>
      <c r="AW95" t="e">
        <f>IF(VLOOKUP($E95,'Formatted NEW'!$B$2:$F$202,5,FALSE)=VLOOKUP($E95,'Formatted NEW'!$B$2:$F$202,11,FALSE),$E95,"")</f>
        <v>#N/A</v>
      </c>
      <c r="AZ95" t="e">
        <f>IF(VLOOKUP($E95,'Formatted NEW'!$B$2:$F$202,5,FALSE)=VLOOKUP($E95,'Formatted NEW'!$B$2:$F$202,14,FALSE),$E95,"")</f>
        <v>#N/A</v>
      </c>
      <c r="BC95" t="str">
        <f>VLOOKUP($E95,'Formatted NEW'!$M$2:$T$202,6,FALSE)</f>
        <v>DIAG_BOTH</v>
      </c>
      <c r="BD95" s="26" t="e">
        <f>VLOOKUP(VLOOKUP(VLOOKUP($E95,'Formatted NEW'!$M$2:$O$202,2,FALSE),'Formatted NEW'!$D$2:$F$202,7,FALSE),'Formatted NEW'!$D$2:$O$202,12,FALSE)</f>
        <v>#REF!</v>
      </c>
      <c r="BE95" t="e">
        <f>VLOOKUP($BD95,'Formatted NEW'!$M$2:$T$202,5,FALSE)</f>
        <v>#REF!</v>
      </c>
      <c r="BF95" s="26" t="e">
        <f t="shared" si="5"/>
        <v>#REF!</v>
      </c>
      <c r="BH95">
        <f>VLOOKUP($E95,'Formatted NEW'!$M$2:$T$202,4,FALSE)</f>
        <v>0</v>
      </c>
      <c r="BI95" s="26" t="e">
        <f>VLOOKUP(VLOOKUP(VLOOKUP($E95,'Formatted NEW'!$M$2:$O$202,2,FALSE),'Formatted NEW'!$D$2:$F$202,10,FALSE),'Formatted NEW'!$D$2:$O$202,12,FALSE)</f>
        <v>#REF!</v>
      </c>
      <c r="BJ95" t="e">
        <f>VLOOKUP($BI95,'Formatted NEW'!$M$2:$T$202,3,FALSE)</f>
        <v>#REF!</v>
      </c>
      <c r="BK95" s="26" t="e">
        <f t="shared" si="6"/>
        <v>#REF!</v>
      </c>
    </row>
    <row r="96" spans="1:63" x14ac:dyDescent="0.25">
      <c r="A96" t="str">
        <f>'Formatted NEW'!Q94</f>
        <v>EMPTY</v>
      </c>
      <c r="B96" t="str">
        <f>'Formatted NEW'!R94</f>
        <v>EMPTY</v>
      </c>
      <c r="C96" t="str">
        <f>'Formatted NEW'!S94</f>
        <v>ORTHO_BOTH</v>
      </c>
      <c r="D96" t="str">
        <f>'Formatted NEW'!T94</f>
        <v>ORTHO_BOTH</v>
      </c>
      <c r="E96" s="26">
        <f t="shared" si="4"/>
        <v>92</v>
      </c>
      <c r="H96" s="30" t="str" cm="1">
        <f t="array" aca="1" ref="H96" ca="1">IF(ISNUMBER(SEARCH(INDIRECT(ADDRESS(ROW(H96),MOD(H$1,4)+1)),H$2)),$E96,"")</f>
        <v/>
      </c>
      <c r="I96" s="26" t="str" cm="1">
        <f t="array" aca="1" ref="I96" ca="1">IF(ISNUMBER(SEARCH(INDIRECT(ADDRESS(ROW(I96),MOD(I$1,4)+1)),I$2)),$E96,"")</f>
        <v/>
      </c>
      <c r="J96" s="26" t="str" cm="1">
        <f t="array" aca="1" ref="J96" ca="1">IF(ISNUMBER(SEARCH(INDIRECT(ADDRESS(ROW(J96),MOD(J$1,4)+1)),J$2)),$E96,"")</f>
        <v/>
      </c>
      <c r="K96" s="26" t="str" cm="1">
        <f t="array" aca="1" ref="K96" ca="1">IF(ISNUMBER(SEARCH(INDIRECT(ADDRESS(ROW(K96),MOD(K$1,4)+1)),K$2)),$E96,"")</f>
        <v/>
      </c>
      <c r="L96" s="26" t="str" cm="1">
        <f t="array" aca="1" ref="L96" ca="1">IF(ISNUMBER(SEARCH(INDIRECT(ADDRESS(ROW(L96),MOD(L$1,4)+1)),L$2)),$E96,"")</f>
        <v/>
      </c>
      <c r="M96" s="26" t="str" cm="1">
        <f t="array" aca="1" ref="M96" ca="1">IF(ISNUMBER(SEARCH(INDIRECT(ADDRESS(ROW(M96),MOD(M$1,4)+1)),M$2)),$E96,"")</f>
        <v/>
      </c>
      <c r="N96" s="26" t="str" cm="1">
        <f t="array" aca="1" ref="N96" ca="1">IF(ISNUMBER(SEARCH(INDIRECT(ADDRESS(ROW(N96),MOD(N$1,4)+1)),N$2)),$E96,"")</f>
        <v/>
      </c>
      <c r="O96" s="26" t="str" cm="1">
        <f t="array" aca="1" ref="O96" ca="1">IF(ISNUMBER(SEARCH(INDIRECT(ADDRESS(ROW(O96),MOD(O$1,4)+1)),O$2)),$E96,"")</f>
        <v/>
      </c>
      <c r="P96" s="26" t="str" cm="1">
        <f t="array" aca="1" ref="P96" ca="1">IF(ISNUMBER(SEARCH(INDIRECT(ADDRESS(ROW(P96),MOD(P$1,4)+1)),P$2)),$E96,"")</f>
        <v/>
      </c>
      <c r="Q96" s="26" t="str" cm="1">
        <f t="array" aca="1" ref="Q96" ca="1">IF(ISNUMBER(SEARCH(INDIRECT(ADDRESS(ROW(Q96),MOD(Q$1,4)+1)),Q$2)),$E96,"")</f>
        <v/>
      </c>
      <c r="R96" s="26" cm="1">
        <f t="array" aca="1" ref="R96" ca="1">IF(ISNUMBER(SEARCH(INDIRECT(ADDRESS(ROW(R96),MOD(R$1,4)+1)),R$2)),$E96,"")</f>
        <v>92</v>
      </c>
      <c r="S96" s="26" cm="1">
        <f t="array" aca="1" ref="S96" ca="1">IF(ISNUMBER(SEARCH(INDIRECT(ADDRESS(ROW(S96),MOD(S$1,4)+1)),S$2)),$E96,"")</f>
        <v>92</v>
      </c>
      <c r="T96" s="26" t="str" cm="1">
        <f t="array" aca="1" ref="T96" ca="1">IF(ISNUMBER(SEARCH(INDIRECT(ADDRESS(ROW(T96),MOD(T$1,4)+1)),T$2)),$E96,"")</f>
        <v/>
      </c>
      <c r="U96" s="26" t="str" cm="1">
        <f t="array" aca="1" ref="U96" ca="1">IF(ISNUMBER(SEARCH(INDIRECT(ADDRESS(ROW(U96),MOD(U$1,4)+1)),U$2)),$E96,"")</f>
        <v/>
      </c>
      <c r="V96" s="26" t="str" cm="1">
        <f t="array" aca="1" ref="V96" ca="1">IF(ISNUMBER(SEARCH(INDIRECT(ADDRESS(ROW(V96),MOD(V$1,4)+1)),V$2)),$E96,"")</f>
        <v/>
      </c>
      <c r="W96" s="26" t="str" cm="1">
        <f t="array" aca="1" ref="W96" ca="1">IF(ISNUMBER(SEARCH(INDIRECT(ADDRESS(ROW(W96),MOD(W$1,4)+1)),W$2)),$E96,"")</f>
        <v/>
      </c>
      <c r="X96" s="26" t="str" cm="1">
        <f t="array" aca="1" ref="X96" ca="1">IF(ISNUMBER(SEARCH(INDIRECT(ADDRESS(ROW(X96),MOD(X$1,4)+1)),X$2)),$E96,"")</f>
        <v/>
      </c>
      <c r="Y96" s="26" t="str" cm="1">
        <f t="array" aca="1" ref="Y96" ca="1">IF(ISNUMBER(SEARCH(INDIRECT(ADDRESS(ROW(Y96),MOD(Y$1,4)+1)),Y$2)),$E96,"")</f>
        <v/>
      </c>
      <c r="Z96" s="26" t="str" cm="1">
        <f t="array" aca="1" ref="Z96" ca="1">IF(ISNUMBER(SEARCH(INDIRECT(ADDRESS(ROW(Z96),MOD(Z$1,4)+1)),Z$2)),$E96,"")</f>
        <v/>
      </c>
      <c r="AA96" s="26" t="str" cm="1">
        <f t="array" aca="1" ref="AA96" ca="1">IF(ISNUMBER(SEARCH(INDIRECT(ADDRESS(ROW(AA96),MOD(AA$1,4)+1)),AA$2)),$E96,"")</f>
        <v/>
      </c>
      <c r="AB96" s="26" t="str" cm="1">
        <f t="array" aca="1" ref="AB96" ca="1">IF(ISNUMBER(SEARCH(INDIRECT(ADDRESS(ROW(AB96),MOD(AB$1,4)+1)),AB$2)),$E96,"")</f>
        <v/>
      </c>
      <c r="AC96" s="26" t="str" cm="1">
        <f t="array" aca="1" ref="AC96" ca="1">IF(ISNUMBER(SEARCH(INDIRECT(ADDRESS(ROW(AC96),MOD(AC$1,4)+1)),AC$2)),$E96,"")</f>
        <v/>
      </c>
      <c r="AD96" s="26" t="str" cm="1">
        <f t="array" aca="1" ref="AD96" ca="1">IF(ISNUMBER(SEARCH(INDIRECT(ADDRESS(ROW(AD96),MOD(AD$1,4)+1)),AD$2)),$E96,"")</f>
        <v/>
      </c>
      <c r="AE96" s="26" t="str" cm="1">
        <f t="array" aca="1" ref="AE96" ca="1">IF(ISNUMBER(SEARCH(INDIRECT(ADDRESS(ROW(AE96),MOD(AE$1,4)+1)),AE$2)),$E96,"")</f>
        <v/>
      </c>
      <c r="AF96" s="26" t="str" cm="1">
        <f t="array" aca="1" ref="AF96" ca="1">IF(ISNUMBER(SEARCH(INDIRECT(ADDRESS(ROW(AF96),MOD(AF$1,4)+1)),AF$2)),$E96,"")</f>
        <v/>
      </c>
      <c r="AG96" s="26" t="str" cm="1">
        <f t="array" aca="1" ref="AG96" ca="1">IF(ISNUMBER(SEARCH(INDIRECT(ADDRESS(ROW(AG96),MOD(AG$1,4)+1)),AG$2)),$E96,"")</f>
        <v/>
      </c>
      <c r="AH96" s="26" t="str" cm="1">
        <f t="array" aca="1" ref="AH96" ca="1">IF(ISNUMBER(SEARCH(INDIRECT(ADDRESS(ROW(AH96),MOD(AH$1,4)+1)),AH$2)),$E96,"")</f>
        <v/>
      </c>
      <c r="AI96" s="26" t="str" cm="1">
        <f t="array" aca="1" ref="AI96" ca="1">IF(ISNUMBER(SEARCH(INDIRECT(ADDRESS(ROW(AI96),MOD(AI$1,4)+1)),AI$2)),$E96,"")</f>
        <v/>
      </c>
      <c r="AJ96" s="26" t="str" cm="1">
        <f t="array" aca="1" ref="AJ96" ca="1">IF(ISNUMBER(SEARCH(INDIRECT(ADDRESS(ROW(AJ96),MOD(AJ$1,4)+1)),AJ$2)),$E96,"")</f>
        <v/>
      </c>
      <c r="AK96" s="26" t="str" cm="1">
        <f t="array" aca="1" ref="AK96" ca="1">IF(ISNUMBER(SEARCH(INDIRECT(ADDRESS(ROW(AK96),MOD(AK$1,4)+1)),AK$2)),$E96,"")</f>
        <v/>
      </c>
      <c r="AL96" s="26" t="str" cm="1">
        <f t="array" aca="1" ref="AL96" ca="1">IF(ISNUMBER(SEARCH(INDIRECT(ADDRESS(ROW(AL96),MOD(AL$1,4)+1)),AL$2)),$E96,"")</f>
        <v/>
      </c>
      <c r="AM96" s="26" t="str" cm="1">
        <f t="array" aca="1" ref="AM96" ca="1">IF(ISNUMBER(SEARCH(INDIRECT(ADDRESS(ROW(AM96),MOD(AM$1,4)+1)),AM$2)),$E96,"")</f>
        <v/>
      </c>
      <c r="AN96" s="26" t="str" cm="1">
        <f t="array" aca="1" ref="AN96" ca="1">IF(ISNUMBER(SEARCH(INDIRECT(ADDRESS(ROW(AN96),MOD(AN$1,4)+1)),AN$2)),$E96,"")</f>
        <v/>
      </c>
      <c r="AO96" s="26" t="str" cm="1">
        <f t="array" aca="1" ref="AO96" ca="1">IF(ISNUMBER(SEARCH(INDIRECT(ADDRESS(ROW(AO96),MOD(AO$1,4)+1)),AO$2)),$E96,"")</f>
        <v/>
      </c>
      <c r="AP96" s="26" t="str" cm="1">
        <f t="array" aca="1" ref="AP96" ca="1">IF(ISNUMBER(SEARCH(INDIRECT(ADDRESS(ROW(AP96),MOD(AP$1,4)+1)),AP$2)),$E96,"")</f>
        <v/>
      </c>
      <c r="AQ96" s="31" t="str" cm="1">
        <f t="array" aca="1" ref="AQ96" ca="1">IF(ISNUMBER(SEARCH(INDIRECT(ADDRESS(ROW(AQ96),MOD(AQ$1,4)+1)),AQ$2)),$E96,"")</f>
        <v/>
      </c>
      <c r="AT96" t="e">
        <f>IF(VLOOKUP($E96,'Formatted NEW'!$B$2:$F$202,5,FALSE)=VLOOKUP($E96,'Formatted NEW'!$B$2:$F$202,8,FALSE),$E96,"")</f>
        <v>#N/A</v>
      </c>
      <c r="AW96" t="e">
        <f>IF(VLOOKUP($E96,'Formatted NEW'!$B$2:$F$202,5,FALSE)=VLOOKUP($E96,'Formatted NEW'!$B$2:$F$202,11,FALSE),$E96,"")</f>
        <v>#N/A</v>
      </c>
      <c r="AZ96" t="e">
        <f>IF(VLOOKUP($E96,'Formatted NEW'!$B$2:$F$202,5,FALSE)=VLOOKUP($E96,'Formatted NEW'!$B$2:$F$202,14,FALSE),$E96,"")</f>
        <v>#N/A</v>
      </c>
      <c r="BC96" t="str">
        <f>VLOOKUP($E96,'Formatted NEW'!$M$2:$T$202,6,FALSE)</f>
        <v>EMPTY</v>
      </c>
      <c r="BD96" s="26" t="e">
        <f>VLOOKUP(VLOOKUP(VLOOKUP($E96,'Formatted NEW'!$M$2:$O$202,2,FALSE),'Formatted NEW'!$D$2:$F$202,7,FALSE),'Formatted NEW'!$D$2:$O$202,12,FALSE)</f>
        <v>#REF!</v>
      </c>
      <c r="BE96" t="e">
        <f>VLOOKUP($BD96,'Formatted NEW'!$M$2:$T$202,5,FALSE)</f>
        <v>#REF!</v>
      </c>
      <c r="BF96" s="26" t="e">
        <f t="shared" si="5"/>
        <v>#REF!</v>
      </c>
      <c r="BH96">
        <f>VLOOKUP($E96,'Formatted NEW'!$M$2:$T$202,4,FALSE)</f>
        <v>0</v>
      </c>
      <c r="BI96" s="26" t="e">
        <f>VLOOKUP(VLOOKUP(VLOOKUP($E96,'Formatted NEW'!$M$2:$O$202,2,FALSE),'Formatted NEW'!$D$2:$F$202,10,FALSE),'Formatted NEW'!$D$2:$O$202,12,FALSE)</f>
        <v>#REF!</v>
      </c>
      <c r="BJ96" t="e">
        <f>VLOOKUP($BI96,'Formatted NEW'!$M$2:$T$202,3,FALSE)</f>
        <v>#REF!</v>
      </c>
      <c r="BK96" s="26" t="e">
        <f t="shared" si="6"/>
        <v>#REF!</v>
      </c>
    </row>
    <row r="97" spans="1:63" x14ac:dyDescent="0.25">
      <c r="A97" t="str">
        <f>'Formatted NEW'!Q95</f>
        <v>ORTHO_BOTH</v>
      </c>
      <c r="B97" t="str">
        <f>'Formatted NEW'!R95</f>
        <v>DIAG_BOTH</v>
      </c>
      <c r="C97" t="str">
        <f>'Formatted NEW'!S95</f>
        <v>ORTHO_BOTH</v>
      </c>
      <c r="D97" t="str">
        <f>'Formatted NEW'!T95</f>
        <v>DIAG_BOTH</v>
      </c>
      <c r="E97" s="26">
        <f t="shared" si="4"/>
        <v>93</v>
      </c>
      <c r="H97" s="30" t="str" cm="1">
        <f t="array" aca="1" ref="H97" ca="1">IF(ISNUMBER(SEARCH(INDIRECT(ADDRESS(ROW(H97),MOD(H$1,4)+1)),H$2)),$E97,"")</f>
        <v/>
      </c>
      <c r="I97" s="26" t="str" cm="1">
        <f t="array" aca="1" ref="I97" ca="1">IF(ISNUMBER(SEARCH(INDIRECT(ADDRESS(ROW(I97),MOD(I$1,4)+1)),I$2)),$E97,"")</f>
        <v/>
      </c>
      <c r="J97" s="26" t="str" cm="1">
        <f t="array" aca="1" ref="J97" ca="1">IF(ISNUMBER(SEARCH(INDIRECT(ADDRESS(ROW(J97),MOD(J$1,4)+1)),J$2)),$E97,"")</f>
        <v/>
      </c>
      <c r="K97" s="26" t="str" cm="1">
        <f t="array" aca="1" ref="K97" ca="1">IF(ISNUMBER(SEARCH(INDIRECT(ADDRESS(ROW(K97),MOD(K$1,4)+1)),K$2)),$E97,"")</f>
        <v/>
      </c>
      <c r="L97" s="26" t="str" cm="1">
        <f t="array" aca="1" ref="L97" ca="1">IF(ISNUMBER(SEARCH(INDIRECT(ADDRESS(ROW(L97),MOD(L$1,4)+1)),L$2)),$E97,"")</f>
        <v/>
      </c>
      <c r="M97" s="26" cm="1">
        <f t="array" aca="1" ref="M97" ca="1">IF(ISNUMBER(SEARCH(INDIRECT(ADDRESS(ROW(M97),MOD(M$1,4)+1)),M$2)),$E97,"")</f>
        <v>93</v>
      </c>
      <c r="N97" s="26" t="str" cm="1">
        <f t="array" aca="1" ref="N97" ca="1">IF(ISNUMBER(SEARCH(INDIRECT(ADDRESS(ROW(N97),MOD(N$1,4)+1)),N$2)),$E97,"")</f>
        <v/>
      </c>
      <c r="O97" s="26" cm="1">
        <f t="array" aca="1" ref="O97" ca="1">IF(ISNUMBER(SEARCH(INDIRECT(ADDRESS(ROW(O97),MOD(O$1,4)+1)),O$2)),$E97,"")</f>
        <v>93</v>
      </c>
      <c r="P97" s="26" cm="1">
        <f t="array" aca="1" ref="P97" ca="1">IF(ISNUMBER(SEARCH(INDIRECT(ADDRESS(ROW(P97),MOD(P$1,4)+1)),P$2)),$E97,"")</f>
        <v>93</v>
      </c>
      <c r="Q97" s="26" t="str" cm="1">
        <f t="array" aca="1" ref="Q97" ca="1">IF(ISNUMBER(SEARCH(INDIRECT(ADDRESS(ROW(Q97),MOD(Q$1,4)+1)),Q$2)),$E97,"")</f>
        <v/>
      </c>
      <c r="R97" s="26" cm="1">
        <f t="array" aca="1" ref="R97" ca="1">IF(ISNUMBER(SEARCH(INDIRECT(ADDRESS(ROW(R97),MOD(R$1,4)+1)),R$2)),$E97,"")</f>
        <v>93</v>
      </c>
      <c r="S97" s="26" t="str" cm="1">
        <f t="array" aca="1" ref="S97" ca="1">IF(ISNUMBER(SEARCH(INDIRECT(ADDRESS(ROW(S97),MOD(S$1,4)+1)),S$2)),$E97,"")</f>
        <v/>
      </c>
      <c r="T97" s="26" t="str" cm="1">
        <f t="array" aca="1" ref="T97" ca="1">IF(ISNUMBER(SEARCH(INDIRECT(ADDRESS(ROW(T97),MOD(T$1,4)+1)),T$2)),$E97,"")</f>
        <v/>
      </c>
      <c r="U97" s="26" t="str" cm="1">
        <f t="array" aca="1" ref="U97" ca="1">IF(ISNUMBER(SEARCH(INDIRECT(ADDRESS(ROW(U97),MOD(U$1,4)+1)),U$2)),$E97,"")</f>
        <v/>
      </c>
      <c r="V97" s="26" t="str" cm="1">
        <f t="array" aca="1" ref="V97" ca="1">IF(ISNUMBER(SEARCH(INDIRECT(ADDRESS(ROW(V97),MOD(V$1,4)+1)),V$2)),$E97,"")</f>
        <v/>
      </c>
      <c r="W97" s="26" t="str" cm="1">
        <f t="array" aca="1" ref="W97" ca="1">IF(ISNUMBER(SEARCH(INDIRECT(ADDRESS(ROW(W97),MOD(W$1,4)+1)),W$2)),$E97,"")</f>
        <v/>
      </c>
      <c r="X97" s="26" t="str" cm="1">
        <f t="array" aca="1" ref="X97" ca="1">IF(ISNUMBER(SEARCH(INDIRECT(ADDRESS(ROW(X97),MOD(X$1,4)+1)),X$2)),$E97,"")</f>
        <v/>
      </c>
      <c r="Y97" s="26" t="str" cm="1">
        <f t="array" aca="1" ref="Y97" ca="1">IF(ISNUMBER(SEARCH(INDIRECT(ADDRESS(ROW(Y97),MOD(Y$1,4)+1)),Y$2)),$E97,"")</f>
        <v/>
      </c>
      <c r="Z97" s="26" t="str" cm="1">
        <f t="array" aca="1" ref="Z97" ca="1">IF(ISNUMBER(SEARCH(INDIRECT(ADDRESS(ROW(Z97),MOD(Z$1,4)+1)),Z$2)),$E97,"")</f>
        <v/>
      </c>
      <c r="AA97" s="26" t="str" cm="1">
        <f t="array" aca="1" ref="AA97" ca="1">IF(ISNUMBER(SEARCH(INDIRECT(ADDRESS(ROW(AA97),MOD(AA$1,4)+1)),AA$2)),$E97,"")</f>
        <v/>
      </c>
      <c r="AB97" s="26" t="str" cm="1">
        <f t="array" aca="1" ref="AB97" ca="1">IF(ISNUMBER(SEARCH(INDIRECT(ADDRESS(ROW(AB97),MOD(AB$1,4)+1)),AB$2)),$E97,"")</f>
        <v/>
      </c>
      <c r="AC97" s="26" t="str" cm="1">
        <f t="array" aca="1" ref="AC97" ca="1">IF(ISNUMBER(SEARCH(INDIRECT(ADDRESS(ROW(AC97),MOD(AC$1,4)+1)),AC$2)),$E97,"")</f>
        <v/>
      </c>
      <c r="AD97" s="26" t="str" cm="1">
        <f t="array" aca="1" ref="AD97" ca="1">IF(ISNUMBER(SEARCH(INDIRECT(ADDRESS(ROW(AD97),MOD(AD$1,4)+1)),AD$2)),$E97,"")</f>
        <v/>
      </c>
      <c r="AE97" s="26" t="str" cm="1">
        <f t="array" aca="1" ref="AE97" ca="1">IF(ISNUMBER(SEARCH(INDIRECT(ADDRESS(ROW(AE97),MOD(AE$1,4)+1)),AE$2)),$E97,"")</f>
        <v/>
      </c>
      <c r="AF97" s="26" t="str" cm="1">
        <f t="array" aca="1" ref="AF97" ca="1">IF(ISNUMBER(SEARCH(INDIRECT(ADDRESS(ROW(AF97),MOD(AF$1,4)+1)),AF$2)),$E97,"")</f>
        <v/>
      </c>
      <c r="AG97" s="26" t="str" cm="1">
        <f t="array" aca="1" ref="AG97" ca="1">IF(ISNUMBER(SEARCH(INDIRECT(ADDRESS(ROW(AG97),MOD(AG$1,4)+1)),AG$2)),$E97,"")</f>
        <v/>
      </c>
      <c r="AH97" s="26" t="str" cm="1">
        <f t="array" aca="1" ref="AH97" ca="1">IF(ISNUMBER(SEARCH(INDIRECT(ADDRESS(ROW(AH97),MOD(AH$1,4)+1)),AH$2)),$E97,"")</f>
        <v/>
      </c>
      <c r="AI97" s="26" t="str" cm="1">
        <f t="array" aca="1" ref="AI97" ca="1">IF(ISNUMBER(SEARCH(INDIRECT(ADDRESS(ROW(AI97),MOD(AI$1,4)+1)),AI$2)),$E97,"")</f>
        <v/>
      </c>
      <c r="AJ97" s="26" t="str" cm="1">
        <f t="array" aca="1" ref="AJ97" ca="1">IF(ISNUMBER(SEARCH(INDIRECT(ADDRESS(ROW(AJ97),MOD(AJ$1,4)+1)),AJ$2)),$E97,"")</f>
        <v/>
      </c>
      <c r="AK97" s="26" t="str" cm="1">
        <f t="array" aca="1" ref="AK97" ca="1">IF(ISNUMBER(SEARCH(INDIRECT(ADDRESS(ROW(AK97),MOD(AK$1,4)+1)),AK$2)),$E97,"")</f>
        <v/>
      </c>
      <c r="AL97" s="26" t="str" cm="1">
        <f t="array" aca="1" ref="AL97" ca="1">IF(ISNUMBER(SEARCH(INDIRECT(ADDRESS(ROW(AL97),MOD(AL$1,4)+1)),AL$2)),$E97,"")</f>
        <v/>
      </c>
      <c r="AM97" s="26" t="str" cm="1">
        <f t="array" aca="1" ref="AM97" ca="1">IF(ISNUMBER(SEARCH(INDIRECT(ADDRESS(ROW(AM97),MOD(AM$1,4)+1)),AM$2)),$E97,"")</f>
        <v/>
      </c>
      <c r="AN97" s="26" t="str" cm="1">
        <f t="array" aca="1" ref="AN97" ca="1">IF(ISNUMBER(SEARCH(INDIRECT(ADDRESS(ROW(AN97),MOD(AN$1,4)+1)),AN$2)),$E97,"")</f>
        <v/>
      </c>
      <c r="AO97" s="26" t="str" cm="1">
        <f t="array" aca="1" ref="AO97" ca="1">IF(ISNUMBER(SEARCH(INDIRECT(ADDRESS(ROW(AO97),MOD(AO$1,4)+1)),AO$2)),$E97,"")</f>
        <v/>
      </c>
      <c r="AP97" s="26" t="str" cm="1">
        <f t="array" aca="1" ref="AP97" ca="1">IF(ISNUMBER(SEARCH(INDIRECT(ADDRESS(ROW(AP97),MOD(AP$1,4)+1)),AP$2)),$E97,"")</f>
        <v/>
      </c>
      <c r="AQ97" s="31" t="str" cm="1">
        <f t="array" aca="1" ref="AQ97" ca="1">IF(ISNUMBER(SEARCH(INDIRECT(ADDRESS(ROW(AQ97),MOD(AQ$1,4)+1)),AQ$2)),$E97,"")</f>
        <v/>
      </c>
      <c r="AT97" t="e">
        <f>IF(VLOOKUP($E97,'Formatted NEW'!$B$2:$F$202,5,FALSE)=VLOOKUP($E97,'Formatted NEW'!$B$2:$F$202,8,FALSE),$E97,"")</f>
        <v>#N/A</v>
      </c>
      <c r="AW97" t="e">
        <f>IF(VLOOKUP($E97,'Formatted NEW'!$B$2:$F$202,5,FALSE)=VLOOKUP($E97,'Formatted NEW'!$B$2:$F$202,11,FALSE),$E97,"")</f>
        <v>#N/A</v>
      </c>
      <c r="AZ97" t="e">
        <f>IF(VLOOKUP($E97,'Formatted NEW'!$B$2:$F$202,5,FALSE)=VLOOKUP($E97,'Formatted NEW'!$B$2:$F$202,14,FALSE),$E97,"")</f>
        <v>#N/A</v>
      </c>
      <c r="BC97" t="str">
        <f>VLOOKUP($E97,'Formatted NEW'!$M$2:$T$202,6,FALSE)</f>
        <v>DIAG_BOTH</v>
      </c>
      <c r="BD97" s="26" t="e">
        <f>VLOOKUP(VLOOKUP(VLOOKUP($E97,'Formatted NEW'!$M$2:$O$202,2,FALSE),'Formatted NEW'!$D$2:$F$202,7,FALSE),'Formatted NEW'!$D$2:$O$202,12,FALSE)</f>
        <v>#REF!</v>
      </c>
      <c r="BE97" t="e">
        <f>VLOOKUP($BD97,'Formatted NEW'!$M$2:$T$202,5,FALSE)</f>
        <v>#REF!</v>
      </c>
      <c r="BF97" s="26" t="e">
        <f t="shared" si="5"/>
        <v>#REF!</v>
      </c>
      <c r="BH97">
        <f>VLOOKUP($E97,'Formatted NEW'!$M$2:$T$202,4,FALSE)</f>
        <v>0</v>
      </c>
      <c r="BI97" s="26" t="e">
        <f>VLOOKUP(VLOOKUP(VLOOKUP($E97,'Formatted NEW'!$M$2:$O$202,2,FALSE),'Formatted NEW'!$D$2:$F$202,10,FALSE),'Formatted NEW'!$D$2:$O$202,12,FALSE)</f>
        <v>#REF!</v>
      </c>
      <c r="BJ97" t="e">
        <f>VLOOKUP($BI97,'Formatted NEW'!$M$2:$T$202,3,FALSE)</f>
        <v>#REF!</v>
      </c>
      <c r="BK97" s="26" t="e">
        <f t="shared" si="6"/>
        <v>#REF!</v>
      </c>
    </row>
    <row r="98" spans="1:63" x14ac:dyDescent="0.25">
      <c r="A98" t="str">
        <f>'Formatted NEW'!Q96</f>
        <v>ORTHO_BOTH</v>
      </c>
      <c r="B98" t="str">
        <f>'Formatted NEW'!R96</f>
        <v>ORTHO_BOTH</v>
      </c>
      <c r="C98" t="str">
        <f>'Formatted NEW'!S96</f>
        <v>EMPTY</v>
      </c>
      <c r="D98" t="str">
        <f>'Formatted NEW'!T96</f>
        <v>EMPTY</v>
      </c>
      <c r="E98" s="26">
        <f t="shared" si="4"/>
        <v>94</v>
      </c>
      <c r="H98" s="30" t="str" cm="1">
        <f t="array" aca="1" ref="H98" ca="1">IF(ISNUMBER(SEARCH(INDIRECT(ADDRESS(ROW(H98),MOD(H$1,4)+1)),H$2)),$E98,"")</f>
        <v/>
      </c>
      <c r="I98" s="26" t="str" cm="1">
        <f t="array" aca="1" ref="I98" ca="1">IF(ISNUMBER(SEARCH(INDIRECT(ADDRESS(ROW(I98),MOD(I$1,4)+1)),I$2)),$E98,"")</f>
        <v/>
      </c>
      <c r="J98" s="26" t="str" cm="1">
        <f t="array" aca="1" ref="J98" ca="1">IF(ISNUMBER(SEARCH(INDIRECT(ADDRESS(ROW(J98),MOD(J$1,4)+1)),J$2)),$E98,"")</f>
        <v/>
      </c>
      <c r="K98" s="26" t="str" cm="1">
        <f t="array" aca="1" ref="K98" ca="1">IF(ISNUMBER(SEARCH(INDIRECT(ADDRESS(ROW(K98),MOD(K$1,4)+1)),K$2)),$E98,"")</f>
        <v/>
      </c>
      <c r="L98" s="26" t="str" cm="1">
        <f t="array" aca="1" ref="L98" ca="1">IF(ISNUMBER(SEARCH(INDIRECT(ADDRESS(ROW(L98),MOD(L$1,4)+1)),L$2)),$E98,"")</f>
        <v/>
      </c>
      <c r="M98" s="26" t="str" cm="1">
        <f t="array" aca="1" ref="M98" ca="1">IF(ISNUMBER(SEARCH(INDIRECT(ADDRESS(ROW(M98),MOD(M$1,4)+1)),M$2)),$E98,"")</f>
        <v/>
      </c>
      <c r="N98" s="26" t="str" cm="1">
        <f t="array" aca="1" ref="N98" ca="1">IF(ISNUMBER(SEARCH(INDIRECT(ADDRESS(ROW(N98),MOD(N$1,4)+1)),N$2)),$E98,"")</f>
        <v/>
      </c>
      <c r="O98" s="26" t="str" cm="1">
        <f t="array" aca="1" ref="O98" ca="1">IF(ISNUMBER(SEARCH(INDIRECT(ADDRESS(ROW(O98),MOD(O$1,4)+1)),O$2)),$E98,"")</f>
        <v/>
      </c>
      <c r="P98" s="26" cm="1">
        <f t="array" aca="1" ref="P98" ca="1">IF(ISNUMBER(SEARCH(INDIRECT(ADDRESS(ROW(P98),MOD(P$1,4)+1)),P$2)),$E98,"")</f>
        <v>94</v>
      </c>
      <c r="Q98" s="26" cm="1">
        <f t="array" aca="1" ref="Q98" ca="1">IF(ISNUMBER(SEARCH(INDIRECT(ADDRESS(ROW(Q98),MOD(Q$1,4)+1)),Q$2)),$E98,"")</f>
        <v>94</v>
      </c>
      <c r="R98" s="26" t="str" cm="1">
        <f t="array" aca="1" ref="R98" ca="1">IF(ISNUMBER(SEARCH(INDIRECT(ADDRESS(ROW(R98),MOD(R$1,4)+1)),R$2)),$E98,"")</f>
        <v/>
      </c>
      <c r="S98" s="26" t="str" cm="1">
        <f t="array" aca="1" ref="S98" ca="1">IF(ISNUMBER(SEARCH(INDIRECT(ADDRESS(ROW(S98),MOD(S$1,4)+1)),S$2)),$E98,"")</f>
        <v/>
      </c>
      <c r="T98" s="26" t="str" cm="1">
        <f t="array" aca="1" ref="T98" ca="1">IF(ISNUMBER(SEARCH(INDIRECT(ADDRESS(ROW(T98),MOD(T$1,4)+1)),T$2)),$E98,"")</f>
        <v/>
      </c>
      <c r="U98" s="26" t="str" cm="1">
        <f t="array" aca="1" ref="U98" ca="1">IF(ISNUMBER(SEARCH(INDIRECT(ADDRESS(ROW(U98),MOD(U$1,4)+1)),U$2)),$E98,"")</f>
        <v/>
      </c>
      <c r="V98" s="26" t="str" cm="1">
        <f t="array" aca="1" ref="V98" ca="1">IF(ISNUMBER(SEARCH(INDIRECT(ADDRESS(ROW(V98),MOD(V$1,4)+1)),V$2)),$E98,"")</f>
        <v/>
      </c>
      <c r="W98" s="26" t="str" cm="1">
        <f t="array" aca="1" ref="W98" ca="1">IF(ISNUMBER(SEARCH(INDIRECT(ADDRESS(ROW(W98),MOD(W$1,4)+1)),W$2)),$E98,"")</f>
        <v/>
      </c>
      <c r="X98" s="26" t="str" cm="1">
        <f t="array" aca="1" ref="X98" ca="1">IF(ISNUMBER(SEARCH(INDIRECT(ADDRESS(ROW(X98),MOD(X$1,4)+1)),X$2)),$E98,"")</f>
        <v/>
      </c>
      <c r="Y98" s="26" t="str" cm="1">
        <f t="array" aca="1" ref="Y98" ca="1">IF(ISNUMBER(SEARCH(INDIRECT(ADDRESS(ROW(Y98),MOD(Y$1,4)+1)),Y$2)),$E98,"")</f>
        <v/>
      </c>
      <c r="Z98" s="26" t="str" cm="1">
        <f t="array" aca="1" ref="Z98" ca="1">IF(ISNUMBER(SEARCH(INDIRECT(ADDRESS(ROW(Z98),MOD(Z$1,4)+1)),Z$2)),$E98,"")</f>
        <v/>
      </c>
      <c r="AA98" s="26" t="str" cm="1">
        <f t="array" aca="1" ref="AA98" ca="1">IF(ISNUMBER(SEARCH(INDIRECT(ADDRESS(ROW(AA98),MOD(AA$1,4)+1)),AA$2)),$E98,"")</f>
        <v/>
      </c>
      <c r="AB98" s="26" t="str" cm="1">
        <f t="array" aca="1" ref="AB98" ca="1">IF(ISNUMBER(SEARCH(INDIRECT(ADDRESS(ROW(AB98),MOD(AB$1,4)+1)),AB$2)),$E98,"")</f>
        <v/>
      </c>
      <c r="AC98" s="26" t="str" cm="1">
        <f t="array" aca="1" ref="AC98" ca="1">IF(ISNUMBER(SEARCH(INDIRECT(ADDRESS(ROW(AC98),MOD(AC$1,4)+1)),AC$2)),$E98,"")</f>
        <v/>
      </c>
      <c r="AD98" s="26" t="str" cm="1">
        <f t="array" aca="1" ref="AD98" ca="1">IF(ISNUMBER(SEARCH(INDIRECT(ADDRESS(ROW(AD98),MOD(AD$1,4)+1)),AD$2)),$E98,"")</f>
        <v/>
      </c>
      <c r="AE98" s="26" t="str" cm="1">
        <f t="array" aca="1" ref="AE98" ca="1">IF(ISNUMBER(SEARCH(INDIRECT(ADDRESS(ROW(AE98),MOD(AE$1,4)+1)),AE$2)),$E98,"")</f>
        <v/>
      </c>
      <c r="AF98" s="26" t="str" cm="1">
        <f t="array" aca="1" ref="AF98" ca="1">IF(ISNUMBER(SEARCH(INDIRECT(ADDRESS(ROW(AF98),MOD(AF$1,4)+1)),AF$2)),$E98,"")</f>
        <v/>
      </c>
      <c r="AG98" s="26" t="str" cm="1">
        <f t="array" aca="1" ref="AG98" ca="1">IF(ISNUMBER(SEARCH(INDIRECT(ADDRESS(ROW(AG98),MOD(AG$1,4)+1)),AG$2)),$E98,"")</f>
        <v/>
      </c>
      <c r="AH98" s="26" t="str" cm="1">
        <f t="array" aca="1" ref="AH98" ca="1">IF(ISNUMBER(SEARCH(INDIRECT(ADDRESS(ROW(AH98),MOD(AH$1,4)+1)),AH$2)),$E98,"")</f>
        <v/>
      </c>
      <c r="AI98" s="26" t="str" cm="1">
        <f t="array" aca="1" ref="AI98" ca="1">IF(ISNUMBER(SEARCH(INDIRECT(ADDRESS(ROW(AI98),MOD(AI$1,4)+1)),AI$2)),$E98,"")</f>
        <v/>
      </c>
      <c r="AJ98" s="26" t="str" cm="1">
        <f t="array" aca="1" ref="AJ98" ca="1">IF(ISNUMBER(SEARCH(INDIRECT(ADDRESS(ROW(AJ98),MOD(AJ$1,4)+1)),AJ$2)),$E98,"")</f>
        <v/>
      </c>
      <c r="AK98" s="26" t="str" cm="1">
        <f t="array" aca="1" ref="AK98" ca="1">IF(ISNUMBER(SEARCH(INDIRECT(ADDRESS(ROW(AK98),MOD(AK$1,4)+1)),AK$2)),$E98,"")</f>
        <v/>
      </c>
      <c r="AL98" s="26" t="str" cm="1">
        <f t="array" aca="1" ref="AL98" ca="1">IF(ISNUMBER(SEARCH(INDIRECT(ADDRESS(ROW(AL98),MOD(AL$1,4)+1)),AL$2)),$E98,"")</f>
        <v/>
      </c>
      <c r="AM98" s="26" t="str" cm="1">
        <f t="array" aca="1" ref="AM98" ca="1">IF(ISNUMBER(SEARCH(INDIRECT(ADDRESS(ROW(AM98),MOD(AM$1,4)+1)),AM$2)),$E98,"")</f>
        <v/>
      </c>
      <c r="AN98" s="26" t="str" cm="1">
        <f t="array" aca="1" ref="AN98" ca="1">IF(ISNUMBER(SEARCH(INDIRECT(ADDRESS(ROW(AN98),MOD(AN$1,4)+1)),AN$2)),$E98,"")</f>
        <v/>
      </c>
      <c r="AO98" s="26" t="str" cm="1">
        <f t="array" aca="1" ref="AO98" ca="1">IF(ISNUMBER(SEARCH(INDIRECT(ADDRESS(ROW(AO98),MOD(AO$1,4)+1)),AO$2)),$E98,"")</f>
        <v/>
      </c>
      <c r="AP98" s="26" t="str" cm="1">
        <f t="array" aca="1" ref="AP98" ca="1">IF(ISNUMBER(SEARCH(INDIRECT(ADDRESS(ROW(AP98),MOD(AP$1,4)+1)),AP$2)),$E98,"")</f>
        <v/>
      </c>
      <c r="AQ98" s="31" t="str" cm="1">
        <f t="array" aca="1" ref="AQ98" ca="1">IF(ISNUMBER(SEARCH(INDIRECT(ADDRESS(ROW(AQ98),MOD(AQ$1,4)+1)),AQ$2)),$E98,"")</f>
        <v/>
      </c>
      <c r="AT98" t="e">
        <f>IF(VLOOKUP($E98,'Formatted NEW'!$B$2:$F$202,5,FALSE)=VLOOKUP($E98,'Formatted NEW'!$B$2:$F$202,8,FALSE),$E98,"")</f>
        <v>#N/A</v>
      </c>
      <c r="AW98" t="e">
        <f>IF(VLOOKUP($E98,'Formatted NEW'!$B$2:$F$202,5,FALSE)=VLOOKUP($E98,'Formatted NEW'!$B$2:$F$202,11,FALSE),$E98,"")</f>
        <v>#N/A</v>
      </c>
      <c r="AZ98" t="e">
        <f>IF(VLOOKUP($E98,'Formatted NEW'!$B$2:$F$202,5,FALSE)=VLOOKUP($E98,'Formatted NEW'!$B$2:$F$202,14,FALSE),$E98,"")</f>
        <v>#N/A</v>
      </c>
      <c r="BC98" t="str">
        <f>VLOOKUP($E98,'Formatted NEW'!$M$2:$T$202,6,FALSE)</f>
        <v>ORTHO_BOTH</v>
      </c>
      <c r="BD98" s="26" t="e">
        <f>VLOOKUP(VLOOKUP(VLOOKUP($E98,'Formatted NEW'!$M$2:$O$202,2,FALSE),'Formatted NEW'!$D$2:$F$202,7,FALSE),'Formatted NEW'!$D$2:$O$202,12,FALSE)</f>
        <v>#N/A</v>
      </c>
      <c r="BE98" t="e">
        <f>VLOOKUP($BD98,'Formatted NEW'!$M$2:$T$202,5,FALSE)</f>
        <v>#N/A</v>
      </c>
      <c r="BF98" s="26" t="e">
        <f t="shared" si="5"/>
        <v>#N/A</v>
      </c>
      <c r="BH98">
        <f>VLOOKUP($E98,'Formatted NEW'!$M$2:$T$202,4,FALSE)</f>
        <v>0</v>
      </c>
      <c r="BI98" s="26" t="e">
        <f>VLOOKUP(VLOOKUP(VLOOKUP($E98,'Formatted NEW'!$M$2:$O$202,2,FALSE),'Formatted NEW'!$D$2:$F$202,10,FALSE),'Formatted NEW'!$D$2:$O$202,12,FALSE)</f>
        <v>#N/A</v>
      </c>
      <c r="BJ98" t="e">
        <f>VLOOKUP($BI98,'Formatted NEW'!$M$2:$T$202,3,FALSE)</f>
        <v>#N/A</v>
      </c>
      <c r="BK98" s="26" t="e">
        <f t="shared" si="6"/>
        <v>#N/A</v>
      </c>
    </row>
    <row r="99" spans="1:63" x14ac:dyDescent="0.25">
      <c r="A99" t="str">
        <f>'Formatted NEW'!Q97</f>
        <v>ORTHO_RIGHT</v>
      </c>
      <c r="B99" t="str">
        <f>'Formatted NEW'!R97</f>
        <v>ORTHO_RIGHT</v>
      </c>
      <c r="C99" t="str">
        <f>'Formatted NEW'!S97</f>
        <v>EMPTY</v>
      </c>
      <c r="D99" t="str">
        <f>'Formatted NEW'!T97</f>
        <v>EMPTY</v>
      </c>
      <c r="E99" s="26">
        <f t="shared" si="4"/>
        <v>95</v>
      </c>
      <c r="H99" s="30" t="str" cm="1">
        <f t="array" aca="1" ref="H99" ca="1">IF(ISNUMBER(SEARCH(INDIRECT(ADDRESS(ROW(H99),MOD(H$1,4)+1)),H$2)),$E99,"")</f>
        <v/>
      </c>
      <c r="I99" s="26" t="str" cm="1">
        <f t="array" aca="1" ref="I99" ca="1">IF(ISNUMBER(SEARCH(INDIRECT(ADDRESS(ROW(I99),MOD(I$1,4)+1)),I$2)),$E99,"")</f>
        <v/>
      </c>
      <c r="J99" s="26" t="str" cm="1">
        <f t="array" aca="1" ref="J99" ca="1">IF(ISNUMBER(SEARCH(INDIRECT(ADDRESS(ROW(J99),MOD(J$1,4)+1)),J$2)),$E99,"")</f>
        <v/>
      </c>
      <c r="K99" s="26" t="str" cm="1">
        <f t="array" aca="1" ref="K99" ca="1">IF(ISNUMBER(SEARCH(INDIRECT(ADDRESS(ROW(K99),MOD(K$1,4)+1)),K$2)),$E99,"")</f>
        <v/>
      </c>
      <c r="L99" s="26" t="str" cm="1">
        <f t="array" aca="1" ref="L99" ca="1">IF(ISNUMBER(SEARCH(INDIRECT(ADDRESS(ROW(L99),MOD(L$1,4)+1)),L$2)),$E99,"")</f>
        <v/>
      </c>
      <c r="M99" s="26" t="str" cm="1">
        <f t="array" aca="1" ref="M99" ca="1">IF(ISNUMBER(SEARCH(INDIRECT(ADDRESS(ROW(M99),MOD(M$1,4)+1)),M$2)),$E99,"")</f>
        <v/>
      </c>
      <c r="N99" s="26" t="str" cm="1">
        <f t="array" aca="1" ref="N99" ca="1">IF(ISNUMBER(SEARCH(INDIRECT(ADDRESS(ROW(N99),MOD(N$1,4)+1)),N$2)),$E99,"")</f>
        <v/>
      </c>
      <c r="O99" s="26" t="str" cm="1">
        <f t="array" aca="1" ref="O99" ca="1">IF(ISNUMBER(SEARCH(INDIRECT(ADDRESS(ROW(O99),MOD(O$1,4)+1)),O$2)),$E99,"")</f>
        <v/>
      </c>
      <c r="P99" s="26" t="str" cm="1">
        <f t="array" aca="1" ref="P99" ca="1">IF(ISNUMBER(SEARCH(INDIRECT(ADDRESS(ROW(P99),MOD(P$1,4)+1)),P$2)),$E99,"")</f>
        <v/>
      </c>
      <c r="Q99" s="26" t="str" cm="1">
        <f t="array" aca="1" ref="Q99" ca="1">IF(ISNUMBER(SEARCH(INDIRECT(ADDRESS(ROW(Q99),MOD(Q$1,4)+1)),Q$2)),$E99,"")</f>
        <v/>
      </c>
      <c r="R99" s="26" t="str" cm="1">
        <f t="array" aca="1" ref="R99" ca="1">IF(ISNUMBER(SEARCH(INDIRECT(ADDRESS(ROW(R99),MOD(R$1,4)+1)),R$2)),$E99,"")</f>
        <v/>
      </c>
      <c r="S99" s="26" t="str" cm="1">
        <f t="array" aca="1" ref="S99" ca="1">IF(ISNUMBER(SEARCH(INDIRECT(ADDRESS(ROW(S99),MOD(S$1,4)+1)),S$2)),$E99,"")</f>
        <v/>
      </c>
      <c r="T99" s="26" t="str" cm="1">
        <f t="array" aca="1" ref="T99" ca="1">IF(ISNUMBER(SEARCH(INDIRECT(ADDRESS(ROW(T99),MOD(T$1,4)+1)),T$2)),$E99,"")</f>
        <v/>
      </c>
      <c r="U99" s="26" t="str" cm="1">
        <f t="array" aca="1" ref="U99" ca="1">IF(ISNUMBER(SEARCH(INDIRECT(ADDRESS(ROW(U99),MOD(U$1,4)+1)),U$2)),$E99,"")</f>
        <v/>
      </c>
      <c r="V99" s="26" t="str" cm="1">
        <f t="array" aca="1" ref="V99" ca="1">IF(ISNUMBER(SEARCH(INDIRECT(ADDRESS(ROW(V99),MOD(V$1,4)+1)),V$2)),$E99,"")</f>
        <v/>
      </c>
      <c r="W99" s="26" t="str" cm="1">
        <f t="array" aca="1" ref="W99" ca="1">IF(ISNUMBER(SEARCH(INDIRECT(ADDRESS(ROW(W99),MOD(W$1,4)+1)),W$2)),$E99,"")</f>
        <v/>
      </c>
      <c r="X99" s="26" t="str" cm="1">
        <f t="array" aca="1" ref="X99" ca="1">IF(ISNUMBER(SEARCH(INDIRECT(ADDRESS(ROW(X99),MOD(X$1,4)+1)),X$2)),$E99,"")</f>
        <v/>
      </c>
      <c r="Y99" s="26" t="str" cm="1">
        <f t="array" aca="1" ref="Y99" ca="1">IF(ISNUMBER(SEARCH(INDIRECT(ADDRESS(ROW(Y99),MOD(Y$1,4)+1)),Y$2)),$E99,"")</f>
        <v/>
      </c>
      <c r="Z99" s="26" t="str" cm="1">
        <f t="array" aca="1" ref="Z99" ca="1">IF(ISNUMBER(SEARCH(INDIRECT(ADDRESS(ROW(Z99),MOD(Z$1,4)+1)),Z$2)),$E99,"")</f>
        <v/>
      </c>
      <c r="AA99" s="26" t="str" cm="1">
        <f t="array" aca="1" ref="AA99" ca="1">IF(ISNUMBER(SEARCH(INDIRECT(ADDRESS(ROW(AA99),MOD(AA$1,4)+1)),AA$2)),$E99,"")</f>
        <v/>
      </c>
      <c r="AB99" s="26" t="str" cm="1">
        <f t="array" aca="1" ref="AB99" ca="1">IF(ISNUMBER(SEARCH(INDIRECT(ADDRESS(ROW(AB99),MOD(AB$1,4)+1)),AB$2)),$E99,"")</f>
        <v/>
      </c>
      <c r="AC99" s="26" t="str" cm="1">
        <f t="array" aca="1" ref="AC99" ca="1">IF(ISNUMBER(SEARCH(INDIRECT(ADDRESS(ROW(AC99),MOD(AC$1,4)+1)),AC$2)),$E99,"")</f>
        <v/>
      </c>
      <c r="AD99" s="26" t="str" cm="1">
        <f t="array" aca="1" ref="AD99" ca="1">IF(ISNUMBER(SEARCH(INDIRECT(ADDRESS(ROW(AD99),MOD(AD$1,4)+1)),AD$2)),$E99,"")</f>
        <v/>
      </c>
      <c r="AE99" s="26" t="str" cm="1">
        <f t="array" aca="1" ref="AE99" ca="1">IF(ISNUMBER(SEARCH(INDIRECT(ADDRESS(ROW(AE99),MOD(AE$1,4)+1)),AE$2)),$E99,"")</f>
        <v/>
      </c>
      <c r="AF99" s="26" t="str" cm="1">
        <f t="array" aca="1" ref="AF99" ca="1">IF(ISNUMBER(SEARCH(INDIRECT(ADDRESS(ROW(AF99),MOD(AF$1,4)+1)),AF$2)),$E99,"")</f>
        <v/>
      </c>
      <c r="AG99" s="26" t="str" cm="1">
        <f t="array" aca="1" ref="AG99" ca="1">IF(ISNUMBER(SEARCH(INDIRECT(ADDRESS(ROW(AG99),MOD(AG$1,4)+1)),AG$2)),$E99,"")</f>
        <v/>
      </c>
      <c r="AH99" s="26" t="str" cm="1">
        <f t="array" aca="1" ref="AH99" ca="1">IF(ISNUMBER(SEARCH(INDIRECT(ADDRESS(ROW(AH99),MOD(AH$1,4)+1)),AH$2)),$E99,"")</f>
        <v/>
      </c>
      <c r="AI99" s="26" t="str" cm="1">
        <f t="array" aca="1" ref="AI99" ca="1">IF(ISNUMBER(SEARCH(INDIRECT(ADDRESS(ROW(AI99),MOD(AI$1,4)+1)),AI$2)),$E99,"")</f>
        <v/>
      </c>
      <c r="AJ99" s="26" t="str" cm="1">
        <f t="array" aca="1" ref="AJ99" ca="1">IF(ISNUMBER(SEARCH(INDIRECT(ADDRESS(ROW(AJ99),MOD(AJ$1,4)+1)),AJ$2)),$E99,"")</f>
        <v/>
      </c>
      <c r="AK99" s="26" t="str" cm="1">
        <f t="array" aca="1" ref="AK99" ca="1">IF(ISNUMBER(SEARCH(INDIRECT(ADDRESS(ROW(AK99),MOD(AK$1,4)+1)),AK$2)),$E99,"")</f>
        <v/>
      </c>
      <c r="AL99" s="26" t="str" cm="1">
        <f t="array" aca="1" ref="AL99" ca="1">IF(ISNUMBER(SEARCH(INDIRECT(ADDRESS(ROW(AL99),MOD(AL$1,4)+1)),AL$2)),$E99,"")</f>
        <v/>
      </c>
      <c r="AM99" s="26" t="str" cm="1">
        <f t="array" aca="1" ref="AM99" ca="1">IF(ISNUMBER(SEARCH(INDIRECT(ADDRESS(ROW(AM99),MOD(AM$1,4)+1)),AM$2)),$E99,"")</f>
        <v/>
      </c>
      <c r="AN99" s="26" cm="1">
        <f t="array" aca="1" ref="AN99" ca="1">IF(ISNUMBER(SEARCH(INDIRECT(ADDRESS(ROW(AN99),MOD(AN$1,4)+1)),AN$2)),$E99,"")</f>
        <v>95</v>
      </c>
      <c r="AO99" s="26" cm="1">
        <f t="array" aca="1" ref="AO99" ca="1">IF(ISNUMBER(SEARCH(INDIRECT(ADDRESS(ROW(AO99),MOD(AO$1,4)+1)),AO$2)),$E99,"")</f>
        <v>95</v>
      </c>
      <c r="AP99" s="26" t="str" cm="1">
        <f t="array" aca="1" ref="AP99" ca="1">IF(ISNUMBER(SEARCH(INDIRECT(ADDRESS(ROW(AP99),MOD(AP$1,4)+1)),AP$2)),$E99,"")</f>
        <v/>
      </c>
      <c r="AQ99" s="31" t="str" cm="1">
        <f t="array" aca="1" ref="AQ99" ca="1">IF(ISNUMBER(SEARCH(INDIRECT(ADDRESS(ROW(AQ99),MOD(AQ$1,4)+1)),AQ$2)),$E99,"")</f>
        <v/>
      </c>
      <c r="AT99" t="e">
        <f>IF(VLOOKUP($E99,'Formatted NEW'!$B$2:$F$202,5,FALSE)=VLOOKUP($E99,'Formatted NEW'!$B$2:$F$202,8,FALSE),$E99,"")</f>
        <v>#N/A</v>
      </c>
      <c r="AW99" t="e">
        <f>IF(VLOOKUP($E99,'Formatted NEW'!$B$2:$F$202,5,FALSE)=VLOOKUP($E99,'Formatted NEW'!$B$2:$F$202,11,FALSE),$E99,"")</f>
        <v>#N/A</v>
      </c>
      <c r="AZ99" t="e">
        <f>IF(VLOOKUP($E99,'Formatted NEW'!$B$2:$F$202,5,FALSE)=VLOOKUP($E99,'Formatted NEW'!$B$2:$F$202,14,FALSE),$E99,"")</f>
        <v>#N/A</v>
      </c>
      <c r="BC99" t="str">
        <f>VLOOKUP($E99,'Formatted NEW'!$M$2:$T$202,6,FALSE)</f>
        <v>ORTHO_RIGHT</v>
      </c>
      <c r="BD99" s="26" t="e">
        <f>VLOOKUP(VLOOKUP(VLOOKUP($E99,'Formatted NEW'!$M$2:$O$202,2,FALSE),'Formatted NEW'!$D$2:$F$202,7,FALSE),'Formatted NEW'!$D$2:$O$202,12,FALSE)</f>
        <v>#REF!</v>
      </c>
      <c r="BE99" t="e">
        <f>VLOOKUP($BD99,'Formatted NEW'!$M$2:$T$202,5,FALSE)</f>
        <v>#REF!</v>
      </c>
      <c r="BF99" s="26" t="e">
        <f t="shared" si="5"/>
        <v>#REF!</v>
      </c>
      <c r="BH99">
        <f>VLOOKUP($E99,'Formatted NEW'!$M$2:$T$202,4,FALSE)</f>
        <v>0</v>
      </c>
      <c r="BI99" s="26" t="e">
        <f>VLOOKUP(VLOOKUP(VLOOKUP($E99,'Formatted NEW'!$M$2:$O$202,2,FALSE),'Formatted NEW'!$D$2:$F$202,10,FALSE),'Formatted NEW'!$D$2:$O$202,12,FALSE)</f>
        <v>#REF!</v>
      </c>
      <c r="BJ99" t="e">
        <f>VLOOKUP($BI99,'Formatted NEW'!$M$2:$T$202,3,FALSE)</f>
        <v>#REF!</v>
      </c>
      <c r="BK99" s="26" t="e">
        <f t="shared" si="6"/>
        <v>#REF!</v>
      </c>
    </row>
    <row r="100" spans="1:63" x14ac:dyDescent="0.25">
      <c r="A100" t="str">
        <f>'Formatted NEW'!Q98</f>
        <v>ORTHO_LEFT</v>
      </c>
      <c r="B100" t="str">
        <f>'Formatted NEW'!R98</f>
        <v>ORTHO_LEFT</v>
      </c>
      <c r="C100" t="str">
        <f>'Formatted NEW'!S98</f>
        <v>EMPTY</v>
      </c>
      <c r="D100" t="str">
        <f>'Formatted NEW'!T98</f>
        <v>EMPTY</v>
      </c>
      <c r="E100" s="26">
        <f t="shared" ref="E100:E131" si="7">ROW(E100)-ROW(E$4)</f>
        <v>96</v>
      </c>
      <c r="H100" s="30" t="str" cm="1">
        <f t="array" aca="1" ref="H100" ca="1">IF(ISNUMBER(SEARCH(INDIRECT(ADDRESS(ROW(H100),MOD(H$1,4)+1)),H$2)),$E100,"")</f>
        <v/>
      </c>
      <c r="I100" s="26" t="str" cm="1">
        <f t="array" aca="1" ref="I100" ca="1">IF(ISNUMBER(SEARCH(INDIRECT(ADDRESS(ROW(I100),MOD(I$1,4)+1)),I$2)),$E100,"")</f>
        <v/>
      </c>
      <c r="J100" s="26" t="str" cm="1">
        <f t="array" aca="1" ref="J100" ca="1">IF(ISNUMBER(SEARCH(INDIRECT(ADDRESS(ROW(J100),MOD(J$1,4)+1)),J$2)),$E100,"")</f>
        <v/>
      </c>
      <c r="K100" s="26" t="str" cm="1">
        <f t="array" aca="1" ref="K100" ca="1">IF(ISNUMBER(SEARCH(INDIRECT(ADDRESS(ROW(K100),MOD(K$1,4)+1)),K$2)),$E100,"")</f>
        <v/>
      </c>
      <c r="L100" s="26" t="str" cm="1">
        <f t="array" aca="1" ref="L100" ca="1">IF(ISNUMBER(SEARCH(INDIRECT(ADDRESS(ROW(L100),MOD(L$1,4)+1)),L$2)),$E100,"")</f>
        <v/>
      </c>
      <c r="M100" s="26" t="str" cm="1">
        <f t="array" aca="1" ref="M100" ca="1">IF(ISNUMBER(SEARCH(INDIRECT(ADDRESS(ROW(M100),MOD(M$1,4)+1)),M$2)),$E100,"")</f>
        <v/>
      </c>
      <c r="N100" s="26" t="str" cm="1">
        <f t="array" aca="1" ref="N100" ca="1">IF(ISNUMBER(SEARCH(INDIRECT(ADDRESS(ROW(N100),MOD(N$1,4)+1)),N$2)),$E100,"")</f>
        <v/>
      </c>
      <c r="O100" s="26" t="str" cm="1">
        <f t="array" aca="1" ref="O100" ca="1">IF(ISNUMBER(SEARCH(INDIRECT(ADDRESS(ROW(O100),MOD(O$1,4)+1)),O$2)),$E100,"")</f>
        <v/>
      </c>
      <c r="P100" s="26" t="str" cm="1">
        <f t="array" aca="1" ref="P100" ca="1">IF(ISNUMBER(SEARCH(INDIRECT(ADDRESS(ROW(P100),MOD(P$1,4)+1)),P$2)),$E100,"")</f>
        <v/>
      </c>
      <c r="Q100" s="26" t="str" cm="1">
        <f t="array" aca="1" ref="Q100" ca="1">IF(ISNUMBER(SEARCH(INDIRECT(ADDRESS(ROW(Q100),MOD(Q$1,4)+1)),Q$2)),$E100,"")</f>
        <v/>
      </c>
      <c r="R100" s="26" t="str" cm="1">
        <f t="array" aca="1" ref="R100" ca="1">IF(ISNUMBER(SEARCH(INDIRECT(ADDRESS(ROW(R100),MOD(R$1,4)+1)),R$2)),$E100,"")</f>
        <v/>
      </c>
      <c r="S100" s="26" t="str" cm="1">
        <f t="array" aca="1" ref="S100" ca="1">IF(ISNUMBER(SEARCH(INDIRECT(ADDRESS(ROW(S100),MOD(S$1,4)+1)),S$2)),$E100,"")</f>
        <v/>
      </c>
      <c r="T100" s="26" t="str" cm="1">
        <f t="array" aca="1" ref="T100" ca="1">IF(ISNUMBER(SEARCH(INDIRECT(ADDRESS(ROW(T100),MOD(T$1,4)+1)),T$2)),$E100,"")</f>
        <v/>
      </c>
      <c r="U100" s="26" t="str" cm="1">
        <f t="array" aca="1" ref="U100" ca="1">IF(ISNUMBER(SEARCH(INDIRECT(ADDRESS(ROW(U100),MOD(U$1,4)+1)),U$2)),$E100,"")</f>
        <v/>
      </c>
      <c r="V100" s="26" t="str" cm="1">
        <f t="array" aca="1" ref="V100" ca="1">IF(ISNUMBER(SEARCH(INDIRECT(ADDRESS(ROW(V100),MOD(V$1,4)+1)),V$2)),$E100,"")</f>
        <v/>
      </c>
      <c r="W100" s="26" t="str" cm="1">
        <f t="array" aca="1" ref="W100" ca="1">IF(ISNUMBER(SEARCH(INDIRECT(ADDRESS(ROW(W100),MOD(W$1,4)+1)),W$2)),$E100,"")</f>
        <v/>
      </c>
      <c r="X100" s="26" t="str" cm="1">
        <f t="array" aca="1" ref="X100" ca="1">IF(ISNUMBER(SEARCH(INDIRECT(ADDRESS(ROW(X100),MOD(X$1,4)+1)),X$2)),$E100,"")</f>
        <v/>
      </c>
      <c r="Y100" s="26" t="str" cm="1">
        <f t="array" aca="1" ref="Y100" ca="1">IF(ISNUMBER(SEARCH(INDIRECT(ADDRESS(ROW(Y100),MOD(Y$1,4)+1)),Y$2)),$E100,"")</f>
        <v/>
      </c>
      <c r="Z100" s="26" t="str" cm="1">
        <f t="array" aca="1" ref="Z100" ca="1">IF(ISNUMBER(SEARCH(INDIRECT(ADDRESS(ROW(Z100),MOD(Z$1,4)+1)),Z$2)),$E100,"")</f>
        <v/>
      </c>
      <c r="AA100" s="26" t="str" cm="1">
        <f t="array" aca="1" ref="AA100" ca="1">IF(ISNUMBER(SEARCH(INDIRECT(ADDRESS(ROW(AA100),MOD(AA$1,4)+1)),AA$2)),$E100,"")</f>
        <v/>
      </c>
      <c r="AB100" s="26" t="str" cm="1">
        <f t="array" aca="1" ref="AB100" ca="1">IF(ISNUMBER(SEARCH(INDIRECT(ADDRESS(ROW(AB100),MOD(AB$1,4)+1)),AB$2)),$E100,"")</f>
        <v/>
      </c>
      <c r="AC100" s="26" t="str" cm="1">
        <f t="array" aca="1" ref="AC100" ca="1">IF(ISNUMBER(SEARCH(INDIRECT(ADDRESS(ROW(AC100),MOD(AC$1,4)+1)),AC$2)),$E100,"")</f>
        <v/>
      </c>
      <c r="AD100" s="26" t="str" cm="1">
        <f t="array" aca="1" ref="AD100" ca="1">IF(ISNUMBER(SEARCH(INDIRECT(ADDRESS(ROW(AD100),MOD(AD$1,4)+1)),AD$2)),$E100,"")</f>
        <v/>
      </c>
      <c r="AE100" s="26" t="str" cm="1">
        <f t="array" aca="1" ref="AE100" ca="1">IF(ISNUMBER(SEARCH(INDIRECT(ADDRESS(ROW(AE100),MOD(AE$1,4)+1)),AE$2)),$E100,"")</f>
        <v/>
      </c>
      <c r="AF100" s="26" t="str" cm="1">
        <f t="array" aca="1" ref="AF100" ca="1">IF(ISNUMBER(SEARCH(INDIRECT(ADDRESS(ROW(AF100),MOD(AF$1,4)+1)),AF$2)),$E100,"")</f>
        <v/>
      </c>
      <c r="AG100" s="26" t="str" cm="1">
        <f t="array" aca="1" ref="AG100" ca="1">IF(ISNUMBER(SEARCH(INDIRECT(ADDRESS(ROW(AG100),MOD(AG$1,4)+1)),AG$2)),$E100,"")</f>
        <v/>
      </c>
      <c r="AH100" s="26" t="str" cm="1">
        <f t="array" aca="1" ref="AH100" ca="1">IF(ISNUMBER(SEARCH(INDIRECT(ADDRESS(ROW(AH100),MOD(AH$1,4)+1)),AH$2)),$E100,"")</f>
        <v/>
      </c>
      <c r="AI100" s="26" t="str" cm="1">
        <f t="array" aca="1" ref="AI100" ca="1">IF(ISNUMBER(SEARCH(INDIRECT(ADDRESS(ROW(AI100),MOD(AI$1,4)+1)),AI$2)),$E100,"")</f>
        <v/>
      </c>
      <c r="AJ100" s="26" cm="1">
        <f t="array" aca="1" ref="AJ100" ca="1">IF(ISNUMBER(SEARCH(INDIRECT(ADDRESS(ROW(AJ100),MOD(AJ$1,4)+1)),AJ$2)),$E100,"")</f>
        <v>96</v>
      </c>
      <c r="AK100" s="26" cm="1">
        <f t="array" aca="1" ref="AK100" ca="1">IF(ISNUMBER(SEARCH(INDIRECT(ADDRESS(ROW(AK100),MOD(AK$1,4)+1)),AK$2)),$E100,"")</f>
        <v>96</v>
      </c>
      <c r="AL100" s="26" t="str" cm="1">
        <f t="array" aca="1" ref="AL100" ca="1">IF(ISNUMBER(SEARCH(INDIRECT(ADDRESS(ROW(AL100),MOD(AL$1,4)+1)),AL$2)),$E100,"")</f>
        <v/>
      </c>
      <c r="AM100" s="26" t="str" cm="1">
        <f t="array" aca="1" ref="AM100" ca="1">IF(ISNUMBER(SEARCH(INDIRECT(ADDRESS(ROW(AM100),MOD(AM$1,4)+1)),AM$2)),$E100,"")</f>
        <v/>
      </c>
      <c r="AN100" s="26" t="str" cm="1">
        <f t="array" aca="1" ref="AN100" ca="1">IF(ISNUMBER(SEARCH(INDIRECT(ADDRESS(ROW(AN100),MOD(AN$1,4)+1)),AN$2)),$E100,"")</f>
        <v/>
      </c>
      <c r="AO100" s="26" t="str" cm="1">
        <f t="array" aca="1" ref="AO100" ca="1">IF(ISNUMBER(SEARCH(INDIRECT(ADDRESS(ROW(AO100),MOD(AO$1,4)+1)),AO$2)),$E100,"")</f>
        <v/>
      </c>
      <c r="AP100" s="26" t="str" cm="1">
        <f t="array" aca="1" ref="AP100" ca="1">IF(ISNUMBER(SEARCH(INDIRECT(ADDRESS(ROW(AP100),MOD(AP$1,4)+1)),AP$2)),$E100,"")</f>
        <v/>
      </c>
      <c r="AQ100" s="31" t="str" cm="1">
        <f t="array" aca="1" ref="AQ100" ca="1">IF(ISNUMBER(SEARCH(INDIRECT(ADDRESS(ROW(AQ100),MOD(AQ$1,4)+1)),AQ$2)),$E100,"")</f>
        <v/>
      </c>
      <c r="AT100" t="e">
        <f>IF(VLOOKUP($E100,'Formatted NEW'!$B$2:$F$202,5,FALSE)=VLOOKUP($E100,'Formatted NEW'!$B$2:$F$202,8,FALSE),$E100,"")</f>
        <v>#N/A</v>
      </c>
      <c r="AW100" t="e">
        <f>IF(VLOOKUP($E100,'Formatted NEW'!$B$2:$F$202,5,FALSE)=VLOOKUP($E100,'Formatted NEW'!$B$2:$F$202,11,FALSE),$E100,"")</f>
        <v>#N/A</v>
      </c>
      <c r="AZ100" t="e">
        <f>IF(VLOOKUP($E100,'Formatted NEW'!$B$2:$F$202,5,FALSE)=VLOOKUP($E100,'Formatted NEW'!$B$2:$F$202,14,FALSE),$E100,"")</f>
        <v>#N/A</v>
      </c>
      <c r="BC100" t="str">
        <f>VLOOKUP($E100,'Formatted NEW'!$M$2:$T$202,6,FALSE)</f>
        <v>ORTHO_LEFT</v>
      </c>
      <c r="BD100" s="26" t="e">
        <f>VLOOKUP(VLOOKUP(VLOOKUP($E100,'Formatted NEW'!$M$2:$O$202,2,FALSE),'Formatted NEW'!$D$2:$F$202,7,FALSE),'Formatted NEW'!$D$2:$O$202,12,FALSE)</f>
        <v>#REF!</v>
      </c>
      <c r="BE100" t="e">
        <f>VLOOKUP($BD100,'Formatted NEW'!$M$2:$T$202,5,FALSE)</f>
        <v>#REF!</v>
      </c>
      <c r="BF100" s="26" t="e">
        <f t="shared" si="5"/>
        <v>#REF!</v>
      </c>
      <c r="BH100">
        <f>VLOOKUP($E100,'Formatted NEW'!$M$2:$T$202,4,FALSE)</f>
        <v>0</v>
      </c>
      <c r="BI100" s="26" t="e">
        <f>VLOOKUP(VLOOKUP(VLOOKUP($E100,'Formatted NEW'!$M$2:$O$202,2,FALSE),'Formatted NEW'!$D$2:$F$202,10,FALSE),'Formatted NEW'!$D$2:$O$202,12,FALSE)</f>
        <v>#REF!</v>
      </c>
      <c r="BJ100" t="e">
        <f>VLOOKUP($BI100,'Formatted NEW'!$M$2:$T$202,3,FALSE)</f>
        <v>#REF!</v>
      </c>
      <c r="BK100" s="26" t="e">
        <f t="shared" si="6"/>
        <v>#REF!</v>
      </c>
    </row>
    <row r="101" spans="1:63" x14ac:dyDescent="0.25">
      <c r="A101" t="str">
        <f>'Formatted NEW'!Q99</f>
        <v>EMPTY</v>
      </c>
      <c r="B101" t="str">
        <f>'Formatted NEW'!R99</f>
        <v>EMPTY</v>
      </c>
      <c r="C101" t="str">
        <f>'Formatted NEW'!S99</f>
        <v>ORTHO_UP</v>
      </c>
      <c r="D101" t="str">
        <f>'Formatted NEW'!T99</f>
        <v>ORTHO_UP</v>
      </c>
      <c r="E101" s="26">
        <f t="shared" si="7"/>
        <v>97</v>
      </c>
      <c r="H101" s="30" t="str" cm="1">
        <f t="array" aca="1" ref="H101" ca="1">IF(ISNUMBER(SEARCH(INDIRECT(ADDRESS(ROW(H101),MOD(H$1,4)+1)),H$2)),$E101,"")</f>
        <v/>
      </c>
      <c r="I101" s="26" t="str" cm="1">
        <f t="array" aca="1" ref="I101" ca="1">IF(ISNUMBER(SEARCH(INDIRECT(ADDRESS(ROW(I101),MOD(I$1,4)+1)),I$2)),$E101,"")</f>
        <v/>
      </c>
      <c r="J101" s="26" t="str" cm="1">
        <f t="array" aca="1" ref="J101" ca="1">IF(ISNUMBER(SEARCH(INDIRECT(ADDRESS(ROW(J101),MOD(J$1,4)+1)),J$2)),$E101,"")</f>
        <v/>
      </c>
      <c r="K101" s="26" t="str" cm="1">
        <f t="array" aca="1" ref="K101" ca="1">IF(ISNUMBER(SEARCH(INDIRECT(ADDRESS(ROW(K101),MOD(K$1,4)+1)),K$2)),$E101,"")</f>
        <v/>
      </c>
      <c r="L101" s="26" t="str" cm="1">
        <f t="array" aca="1" ref="L101" ca="1">IF(ISNUMBER(SEARCH(INDIRECT(ADDRESS(ROW(L101),MOD(L$1,4)+1)),L$2)),$E101,"")</f>
        <v/>
      </c>
      <c r="M101" s="26" t="str" cm="1">
        <f t="array" aca="1" ref="M101" ca="1">IF(ISNUMBER(SEARCH(INDIRECT(ADDRESS(ROW(M101),MOD(M$1,4)+1)),M$2)),$E101,"")</f>
        <v/>
      </c>
      <c r="N101" s="26" t="str" cm="1">
        <f t="array" aca="1" ref="N101" ca="1">IF(ISNUMBER(SEARCH(INDIRECT(ADDRESS(ROW(N101),MOD(N$1,4)+1)),N$2)),$E101,"")</f>
        <v/>
      </c>
      <c r="O101" s="26" t="str" cm="1">
        <f t="array" aca="1" ref="O101" ca="1">IF(ISNUMBER(SEARCH(INDIRECT(ADDRESS(ROW(O101),MOD(O$1,4)+1)),O$2)),$E101,"")</f>
        <v/>
      </c>
      <c r="P101" s="26" t="str" cm="1">
        <f t="array" aca="1" ref="P101" ca="1">IF(ISNUMBER(SEARCH(INDIRECT(ADDRESS(ROW(P101),MOD(P$1,4)+1)),P$2)),$E101,"")</f>
        <v/>
      </c>
      <c r="Q101" s="26" t="str" cm="1">
        <f t="array" aca="1" ref="Q101" ca="1">IF(ISNUMBER(SEARCH(INDIRECT(ADDRESS(ROW(Q101),MOD(Q$1,4)+1)),Q$2)),$E101,"")</f>
        <v/>
      </c>
      <c r="R101" s="26" t="str" cm="1">
        <f t="array" aca="1" ref="R101" ca="1">IF(ISNUMBER(SEARCH(INDIRECT(ADDRESS(ROW(R101),MOD(R$1,4)+1)),R$2)),$E101,"")</f>
        <v/>
      </c>
      <c r="S101" s="26" t="str" cm="1">
        <f t="array" aca="1" ref="S101" ca="1">IF(ISNUMBER(SEARCH(INDIRECT(ADDRESS(ROW(S101),MOD(S$1,4)+1)),S$2)),$E101,"")</f>
        <v/>
      </c>
      <c r="T101" s="26" t="str" cm="1">
        <f t="array" aca="1" ref="T101" ca="1">IF(ISNUMBER(SEARCH(INDIRECT(ADDRESS(ROW(T101),MOD(T$1,4)+1)),T$2)),$E101,"")</f>
        <v/>
      </c>
      <c r="U101" s="26" t="str" cm="1">
        <f t="array" aca="1" ref="U101" ca="1">IF(ISNUMBER(SEARCH(INDIRECT(ADDRESS(ROW(U101),MOD(U$1,4)+1)),U$2)),$E101,"")</f>
        <v/>
      </c>
      <c r="V101" s="26" t="str" cm="1">
        <f t="array" aca="1" ref="V101" ca="1">IF(ISNUMBER(SEARCH(INDIRECT(ADDRESS(ROW(V101),MOD(V$1,4)+1)),V$2)),$E101,"")</f>
        <v/>
      </c>
      <c r="W101" s="26" t="str" cm="1">
        <f t="array" aca="1" ref="W101" ca="1">IF(ISNUMBER(SEARCH(INDIRECT(ADDRESS(ROW(W101),MOD(W$1,4)+1)),W$2)),$E101,"")</f>
        <v/>
      </c>
      <c r="X101" s="26" t="str" cm="1">
        <f t="array" aca="1" ref="X101" ca="1">IF(ISNUMBER(SEARCH(INDIRECT(ADDRESS(ROW(X101),MOD(X$1,4)+1)),X$2)),$E101,"")</f>
        <v/>
      </c>
      <c r="Y101" s="26" t="str" cm="1">
        <f t="array" aca="1" ref="Y101" ca="1">IF(ISNUMBER(SEARCH(INDIRECT(ADDRESS(ROW(Y101),MOD(Y$1,4)+1)),Y$2)),$E101,"")</f>
        <v/>
      </c>
      <c r="Z101" s="26" t="str" cm="1">
        <f t="array" aca="1" ref="Z101" ca="1">IF(ISNUMBER(SEARCH(INDIRECT(ADDRESS(ROW(Z101),MOD(Z$1,4)+1)),Z$2)),$E101,"")</f>
        <v/>
      </c>
      <c r="AA101" s="26" t="str" cm="1">
        <f t="array" aca="1" ref="AA101" ca="1">IF(ISNUMBER(SEARCH(INDIRECT(ADDRESS(ROW(AA101),MOD(AA$1,4)+1)),AA$2)),$E101,"")</f>
        <v/>
      </c>
      <c r="AB101" s="26" t="str" cm="1">
        <f t="array" aca="1" ref="AB101" ca="1">IF(ISNUMBER(SEARCH(INDIRECT(ADDRESS(ROW(AB101),MOD(AB$1,4)+1)),AB$2)),$E101,"")</f>
        <v/>
      </c>
      <c r="AC101" s="26" t="str" cm="1">
        <f t="array" aca="1" ref="AC101" ca="1">IF(ISNUMBER(SEARCH(INDIRECT(ADDRESS(ROW(AC101),MOD(AC$1,4)+1)),AC$2)),$E101,"")</f>
        <v/>
      </c>
      <c r="AD101" s="26" t="str" cm="1">
        <f t="array" aca="1" ref="AD101" ca="1">IF(ISNUMBER(SEARCH(INDIRECT(ADDRESS(ROW(AD101),MOD(AD$1,4)+1)),AD$2)),$E101,"")</f>
        <v/>
      </c>
      <c r="AE101" s="26" t="str" cm="1">
        <f t="array" aca="1" ref="AE101" ca="1">IF(ISNUMBER(SEARCH(INDIRECT(ADDRESS(ROW(AE101),MOD(AE$1,4)+1)),AE$2)),$E101,"")</f>
        <v/>
      </c>
      <c r="AF101" s="26" t="str" cm="1">
        <f t="array" aca="1" ref="AF101" ca="1">IF(ISNUMBER(SEARCH(INDIRECT(ADDRESS(ROW(AF101),MOD(AF$1,4)+1)),AF$2)),$E101,"")</f>
        <v/>
      </c>
      <c r="AG101" s="26" t="str" cm="1">
        <f t="array" aca="1" ref="AG101" ca="1">IF(ISNUMBER(SEARCH(INDIRECT(ADDRESS(ROW(AG101),MOD(AG$1,4)+1)),AG$2)),$E101,"")</f>
        <v/>
      </c>
      <c r="AH101" s="26" t="str" cm="1">
        <f t="array" aca="1" ref="AH101" ca="1">IF(ISNUMBER(SEARCH(INDIRECT(ADDRESS(ROW(AH101),MOD(AH$1,4)+1)),AH$2)),$E101,"")</f>
        <v/>
      </c>
      <c r="AI101" s="26" t="str" cm="1">
        <f t="array" aca="1" ref="AI101" ca="1">IF(ISNUMBER(SEARCH(INDIRECT(ADDRESS(ROW(AI101),MOD(AI$1,4)+1)),AI$2)),$E101,"")</f>
        <v/>
      </c>
      <c r="AJ101" s="26" t="str" cm="1">
        <f t="array" aca="1" ref="AJ101" ca="1">IF(ISNUMBER(SEARCH(INDIRECT(ADDRESS(ROW(AJ101),MOD(AJ$1,4)+1)),AJ$2)),$E101,"")</f>
        <v/>
      </c>
      <c r="AK101" s="26" t="str" cm="1">
        <f t="array" aca="1" ref="AK101" ca="1">IF(ISNUMBER(SEARCH(INDIRECT(ADDRESS(ROW(AK101),MOD(AK$1,4)+1)),AK$2)),$E101,"")</f>
        <v/>
      </c>
      <c r="AL101" s="26" t="str" cm="1">
        <f t="array" aca="1" ref="AL101" ca="1">IF(ISNUMBER(SEARCH(INDIRECT(ADDRESS(ROW(AL101),MOD(AL$1,4)+1)),AL$2)),$E101,"")</f>
        <v/>
      </c>
      <c r="AM101" s="26" t="str" cm="1">
        <f t="array" aca="1" ref="AM101" ca="1">IF(ISNUMBER(SEARCH(INDIRECT(ADDRESS(ROW(AM101),MOD(AM$1,4)+1)),AM$2)),$E101,"")</f>
        <v/>
      </c>
      <c r="AN101" s="26" t="str" cm="1">
        <f t="array" aca="1" ref="AN101" ca="1">IF(ISNUMBER(SEARCH(INDIRECT(ADDRESS(ROW(AN101),MOD(AN$1,4)+1)),AN$2)),$E101,"")</f>
        <v/>
      </c>
      <c r="AO101" s="26" t="str" cm="1">
        <f t="array" aca="1" ref="AO101" ca="1">IF(ISNUMBER(SEARCH(INDIRECT(ADDRESS(ROW(AO101),MOD(AO$1,4)+1)),AO$2)),$E101,"")</f>
        <v/>
      </c>
      <c r="AP101" s="26" t="str" cm="1">
        <f t="array" aca="1" ref="AP101" ca="1">IF(ISNUMBER(SEARCH(INDIRECT(ADDRESS(ROW(AP101),MOD(AP$1,4)+1)),AP$2)),$E101,"")</f>
        <v/>
      </c>
      <c r="AQ101" s="31" t="str" cm="1">
        <f t="array" aca="1" ref="AQ101" ca="1">IF(ISNUMBER(SEARCH(INDIRECT(ADDRESS(ROW(AQ101),MOD(AQ$1,4)+1)),AQ$2)),$E101,"")</f>
        <v/>
      </c>
      <c r="AT101" t="e">
        <f>IF(VLOOKUP($E101,'Formatted NEW'!$B$2:$F$202,5,FALSE)=VLOOKUP($E101,'Formatted NEW'!$B$2:$F$202,8,FALSE),$E101,"")</f>
        <v>#N/A</v>
      </c>
      <c r="AW101" t="e">
        <f>IF(VLOOKUP($E101,'Formatted NEW'!$B$2:$F$202,5,FALSE)=VLOOKUP($E101,'Formatted NEW'!$B$2:$F$202,11,FALSE),$E101,"")</f>
        <v>#N/A</v>
      </c>
      <c r="AZ101" t="e">
        <f>IF(VLOOKUP($E101,'Formatted NEW'!$B$2:$F$202,5,FALSE)=VLOOKUP($E101,'Formatted NEW'!$B$2:$F$202,14,FALSE),$E101,"")</f>
        <v>#N/A</v>
      </c>
      <c r="BC101" t="str">
        <f>VLOOKUP($E101,'Formatted NEW'!$M$2:$T$202,6,FALSE)</f>
        <v>EMPTY</v>
      </c>
      <c r="BD101" s="26" t="e">
        <f>VLOOKUP(VLOOKUP(VLOOKUP($E101,'Formatted NEW'!$M$2:$O$202,2,FALSE),'Formatted NEW'!$D$2:$F$202,7,FALSE),'Formatted NEW'!$D$2:$O$202,12,FALSE)</f>
        <v>#REF!</v>
      </c>
      <c r="BE101" t="e">
        <f>VLOOKUP($BD101,'Formatted NEW'!$M$2:$T$202,5,FALSE)</f>
        <v>#REF!</v>
      </c>
      <c r="BF101" s="26" t="e">
        <f t="shared" si="5"/>
        <v>#REF!</v>
      </c>
      <c r="BH101">
        <f>VLOOKUP($E101,'Formatted NEW'!$M$2:$T$202,4,FALSE)</f>
        <v>0</v>
      </c>
      <c r="BI101" s="26" t="e">
        <f>VLOOKUP(VLOOKUP(VLOOKUP($E101,'Formatted NEW'!$M$2:$O$202,2,FALSE),'Formatted NEW'!$D$2:$F$202,10,FALSE),'Formatted NEW'!$D$2:$O$202,12,FALSE)</f>
        <v>#REF!</v>
      </c>
      <c r="BJ101" t="e">
        <f>VLOOKUP($BI101,'Formatted NEW'!$M$2:$T$202,3,FALSE)</f>
        <v>#REF!</v>
      </c>
      <c r="BK101" s="26" t="e">
        <f t="shared" si="6"/>
        <v>#REF!</v>
      </c>
    </row>
    <row r="102" spans="1:63" x14ac:dyDescent="0.25">
      <c r="A102" t="str">
        <f>'Formatted NEW'!Q100</f>
        <v>EMPTY</v>
      </c>
      <c r="B102" t="str">
        <f>'Formatted NEW'!R100</f>
        <v>EMPTY</v>
      </c>
      <c r="C102" t="str">
        <f>'Formatted NEW'!S100</f>
        <v>ORTHO_DOWN</v>
      </c>
      <c r="D102" t="str">
        <f>'Formatted NEW'!T100</f>
        <v>ORTHO_DOWN</v>
      </c>
      <c r="E102" s="26">
        <f t="shared" si="7"/>
        <v>98</v>
      </c>
      <c r="H102" s="30" t="str" cm="1">
        <f t="array" aca="1" ref="H102" ca="1">IF(ISNUMBER(SEARCH(INDIRECT(ADDRESS(ROW(H102),MOD(H$1,4)+1)),H$2)),$E102,"")</f>
        <v/>
      </c>
      <c r="I102" s="26" t="str" cm="1">
        <f t="array" aca="1" ref="I102" ca="1">IF(ISNUMBER(SEARCH(INDIRECT(ADDRESS(ROW(I102),MOD(I$1,4)+1)),I$2)),$E102,"")</f>
        <v/>
      </c>
      <c r="J102" s="26" t="str" cm="1">
        <f t="array" aca="1" ref="J102" ca="1">IF(ISNUMBER(SEARCH(INDIRECT(ADDRESS(ROW(J102),MOD(J$1,4)+1)),J$2)),$E102,"")</f>
        <v/>
      </c>
      <c r="K102" s="26" t="str" cm="1">
        <f t="array" aca="1" ref="K102" ca="1">IF(ISNUMBER(SEARCH(INDIRECT(ADDRESS(ROW(K102),MOD(K$1,4)+1)),K$2)),$E102,"")</f>
        <v/>
      </c>
      <c r="L102" s="26" t="str" cm="1">
        <f t="array" aca="1" ref="L102" ca="1">IF(ISNUMBER(SEARCH(INDIRECT(ADDRESS(ROW(L102),MOD(L$1,4)+1)),L$2)),$E102,"")</f>
        <v/>
      </c>
      <c r="M102" s="26" t="str" cm="1">
        <f t="array" aca="1" ref="M102" ca="1">IF(ISNUMBER(SEARCH(INDIRECT(ADDRESS(ROW(M102),MOD(M$1,4)+1)),M$2)),$E102,"")</f>
        <v/>
      </c>
      <c r="N102" s="26" t="str" cm="1">
        <f t="array" aca="1" ref="N102" ca="1">IF(ISNUMBER(SEARCH(INDIRECT(ADDRESS(ROW(N102),MOD(N$1,4)+1)),N$2)),$E102,"")</f>
        <v/>
      </c>
      <c r="O102" s="26" t="str" cm="1">
        <f t="array" aca="1" ref="O102" ca="1">IF(ISNUMBER(SEARCH(INDIRECT(ADDRESS(ROW(O102),MOD(O$1,4)+1)),O$2)),$E102,"")</f>
        <v/>
      </c>
      <c r="P102" s="26" t="str" cm="1">
        <f t="array" aca="1" ref="P102" ca="1">IF(ISNUMBER(SEARCH(INDIRECT(ADDRESS(ROW(P102),MOD(P$1,4)+1)),P$2)),$E102,"")</f>
        <v/>
      </c>
      <c r="Q102" s="26" t="str" cm="1">
        <f t="array" aca="1" ref="Q102" ca="1">IF(ISNUMBER(SEARCH(INDIRECT(ADDRESS(ROW(Q102),MOD(Q$1,4)+1)),Q$2)),$E102,"")</f>
        <v/>
      </c>
      <c r="R102" s="26" t="str" cm="1">
        <f t="array" aca="1" ref="R102" ca="1">IF(ISNUMBER(SEARCH(INDIRECT(ADDRESS(ROW(R102),MOD(R$1,4)+1)),R$2)),$E102,"")</f>
        <v/>
      </c>
      <c r="S102" s="26" t="str" cm="1">
        <f t="array" aca="1" ref="S102" ca="1">IF(ISNUMBER(SEARCH(INDIRECT(ADDRESS(ROW(S102),MOD(S$1,4)+1)),S$2)),$E102,"")</f>
        <v/>
      </c>
      <c r="T102" s="26" t="str" cm="1">
        <f t="array" aca="1" ref="T102" ca="1">IF(ISNUMBER(SEARCH(INDIRECT(ADDRESS(ROW(T102),MOD(T$1,4)+1)),T$2)),$E102,"")</f>
        <v/>
      </c>
      <c r="U102" s="26" t="str" cm="1">
        <f t="array" aca="1" ref="U102" ca="1">IF(ISNUMBER(SEARCH(INDIRECT(ADDRESS(ROW(U102),MOD(U$1,4)+1)),U$2)),$E102,"")</f>
        <v/>
      </c>
      <c r="V102" s="26" t="str" cm="1">
        <f t="array" aca="1" ref="V102" ca="1">IF(ISNUMBER(SEARCH(INDIRECT(ADDRESS(ROW(V102),MOD(V$1,4)+1)),V$2)),$E102,"")</f>
        <v/>
      </c>
      <c r="W102" s="26" t="str" cm="1">
        <f t="array" aca="1" ref="W102" ca="1">IF(ISNUMBER(SEARCH(INDIRECT(ADDRESS(ROW(W102),MOD(W$1,4)+1)),W$2)),$E102,"")</f>
        <v/>
      </c>
      <c r="X102" s="26" t="str" cm="1">
        <f t="array" aca="1" ref="X102" ca="1">IF(ISNUMBER(SEARCH(INDIRECT(ADDRESS(ROW(X102),MOD(X$1,4)+1)),X$2)),$E102,"")</f>
        <v/>
      </c>
      <c r="Y102" s="26" t="str" cm="1">
        <f t="array" aca="1" ref="Y102" ca="1">IF(ISNUMBER(SEARCH(INDIRECT(ADDRESS(ROW(Y102),MOD(Y$1,4)+1)),Y$2)),$E102,"")</f>
        <v/>
      </c>
      <c r="Z102" s="26" t="str" cm="1">
        <f t="array" aca="1" ref="Z102" ca="1">IF(ISNUMBER(SEARCH(INDIRECT(ADDRESS(ROW(Z102),MOD(Z$1,4)+1)),Z$2)),$E102,"")</f>
        <v/>
      </c>
      <c r="AA102" s="26" t="str" cm="1">
        <f t="array" aca="1" ref="AA102" ca="1">IF(ISNUMBER(SEARCH(INDIRECT(ADDRESS(ROW(AA102),MOD(AA$1,4)+1)),AA$2)),$E102,"")</f>
        <v/>
      </c>
      <c r="AB102" s="26" t="str" cm="1">
        <f t="array" aca="1" ref="AB102" ca="1">IF(ISNUMBER(SEARCH(INDIRECT(ADDRESS(ROW(AB102),MOD(AB$1,4)+1)),AB$2)),$E102,"")</f>
        <v/>
      </c>
      <c r="AC102" s="26" t="str" cm="1">
        <f t="array" aca="1" ref="AC102" ca="1">IF(ISNUMBER(SEARCH(INDIRECT(ADDRESS(ROW(AC102),MOD(AC$1,4)+1)),AC$2)),$E102,"")</f>
        <v/>
      </c>
      <c r="AD102" s="26" t="str" cm="1">
        <f t="array" aca="1" ref="AD102" ca="1">IF(ISNUMBER(SEARCH(INDIRECT(ADDRESS(ROW(AD102),MOD(AD$1,4)+1)),AD$2)),$E102,"")</f>
        <v/>
      </c>
      <c r="AE102" s="26" t="str" cm="1">
        <f t="array" aca="1" ref="AE102" ca="1">IF(ISNUMBER(SEARCH(INDIRECT(ADDRESS(ROW(AE102),MOD(AE$1,4)+1)),AE$2)),$E102,"")</f>
        <v/>
      </c>
      <c r="AF102" s="26" t="str" cm="1">
        <f t="array" aca="1" ref="AF102" ca="1">IF(ISNUMBER(SEARCH(INDIRECT(ADDRESS(ROW(AF102),MOD(AF$1,4)+1)),AF$2)),$E102,"")</f>
        <v/>
      </c>
      <c r="AG102" s="26" t="str" cm="1">
        <f t="array" aca="1" ref="AG102" ca="1">IF(ISNUMBER(SEARCH(INDIRECT(ADDRESS(ROW(AG102),MOD(AG$1,4)+1)),AG$2)),$E102,"")</f>
        <v/>
      </c>
      <c r="AH102" s="26" t="str" cm="1">
        <f t="array" aca="1" ref="AH102" ca="1">IF(ISNUMBER(SEARCH(INDIRECT(ADDRESS(ROW(AH102),MOD(AH$1,4)+1)),AH$2)),$E102,"")</f>
        <v/>
      </c>
      <c r="AI102" s="26" t="str" cm="1">
        <f t="array" aca="1" ref="AI102" ca="1">IF(ISNUMBER(SEARCH(INDIRECT(ADDRESS(ROW(AI102),MOD(AI$1,4)+1)),AI$2)),$E102,"")</f>
        <v/>
      </c>
      <c r="AJ102" s="26" t="str" cm="1">
        <f t="array" aca="1" ref="AJ102" ca="1">IF(ISNUMBER(SEARCH(INDIRECT(ADDRESS(ROW(AJ102),MOD(AJ$1,4)+1)),AJ$2)),$E102,"")</f>
        <v/>
      </c>
      <c r="AK102" s="26" t="str" cm="1">
        <f t="array" aca="1" ref="AK102" ca="1">IF(ISNUMBER(SEARCH(INDIRECT(ADDRESS(ROW(AK102),MOD(AK$1,4)+1)),AK$2)),$E102,"")</f>
        <v/>
      </c>
      <c r="AL102" s="26" t="str" cm="1">
        <f t="array" aca="1" ref="AL102" ca="1">IF(ISNUMBER(SEARCH(INDIRECT(ADDRESS(ROW(AL102),MOD(AL$1,4)+1)),AL$2)),$E102,"")</f>
        <v/>
      </c>
      <c r="AM102" s="26" t="str" cm="1">
        <f t="array" aca="1" ref="AM102" ca="1">IF(ISNUMBER(SEARCH(INDIRECT(ADDRESS(ROW(AM102),MOD(AM$1,4)+1)),AM$2)),$E102,"")</f>
        <v/>
      </c>
      <c r="AN102" s="26" t="str" cm="1">
        <f t="array" aca="1" ref="AN102" ca="1">IF(ISNUMBER(SEARCH(INDIRECT(ADDRESS(ROW(AN102),MOD(AN$1,4)+1)),AN$2)),$E102,"")</f>
        <v/>
      </c>
      <c r="AO102" s="26" t="str" cm="1">
        <f t="array" aca="1" ref="AO102" ca="1">IF(ISNUMBER(SEARCH(INDIRECT(ADDRESS(ROW(AO102),MOD(AO$1,4)+1)),AO$2)),$E102,"")</f>
        <v/>
      </c>
      <c r="AP102" s="26" t="str" cm="1">
        <f t="array" aca="1" ref="AP102" ca="1">IF(ISNUMBER(SEARCH(INDIRECT(ADDRESS(ROW(AP102),MOD(AP$1,4)+1)),AP$2)),$E102,"")</f>
        <v/>
      </c>
      <c r="AQ102" s="31" t="str" cm="1">
        <f t="array" aca="1" ref="AQ102" ca="1">IF(ISNUMBER(SEARCH(INDIRECT(ADDRESS(ROW(AQ102),MOD(AQ$1,4)+1)),AQ$2)),$E102,"")</f>
        <v/>
      </c>
      <c r="AT102" t="e">
        <f>IF(VLOOKUP($E102,'Formatted NEW'!$B$2:$F$202,5,FALSE)=VLOOKUP($E102,'Formatted NEW'!$B$2:$F$202,8,FALSE),$E102,"")</f>
        <v>#N/A</v>
      </c>
      <c r="AW102" t="e">
        <f>IF(VLOOKUP($E102,'Formatted NEW'!$B$2:$F$202,5,FALSE)=VLOOKUP($E102,'Formatted NEW'!$B$2:$F$202,11,FALSE),$E102,"")</f>
        <v>#N/A</v>
      </c>
      <c r="AZ102" t="e">
        <f>IF(VLOOKUP($E102,'Formatted NEW'!$B$2:$F$202,5,FALSE)=VLOOKUP($E102,'Formatted NEW'!$B$2:$F$202,14,FALSE),$E102,"")</f>
        <v>#N/A</v>
      </c>
      <c r="BC102" t="str">
        <f>VLOOKUP($E102,'Formatted NEW'!$M$2:$T$202,6,FALSE)</f>
        <v>EMPTY</v>
      </c>
      <c r="BD102" s="26" t="e">
        <f>VLOOKUP(VLOOKUP(VLOOKUP($E102,'Formatted NEW'!$M$2:$O$202,2,FALSE),'Formatted NEW'!$D$2:$F$202,7,FALSE),'Formatted NEW'!$D$2:$O$202,12,FALSE)</f>
        <v>#REF!</v>
      </c>
      <c r="BE102" t="e">
        <f>VLOOKUP($BD102,'Formatted NEW'!$M$2:$T$202,5,FALSE)</f>
        <v>#REF!</v>
      </c>
      <c r="BF102" s="26" t="e">
        <f t="shared" si="5"/>
        <v>#REF!</v>
      </c>
      <c r="BH102">
        <f>VLOOKUP($E102,'Formatted NEW'!$M$2:$T$202,4,FALSE)</f>
        <v>0</v>
      </c>
      <c r="BI102" s="26" t="e">
        <f>VLOOKUP(VLOOKUP(VLOOKUP($E102,'Formatted NEW'!$M$2:$O$202,2,FALSE),'Formatted NEW'!$D$2:$F$202,10,FALSE),'Formatted NEW'!$D$2:$O$202,12,FALSE)</f>
        <v>#REF!</v>
      </c>
      <c r="BJ102" t="e">
        <f>VLOOKUP($BI102,'Formatted NEW'!$M$2:$T$202,3,FALSE)</f>
        <v>#REF!</v>
      </c>
      <c r="BK102" s="26" t="e">
        <f t="shared" si="6"/>
        <v>#REF!</v>
      </c>
    </row>
    <row r="103" spans="1:63" x14ac:dyDescent="0.25">
      <c r="A103" t="str">
        <f>'Formatted NEW'!Q101</f>
        <v>DIAG_FRONT</v>
      </c>
      <c r="B103" t="str">
        <f>'Formatted NEW'!R101</f>
        <v>DIAG_BOTH</v>
      </c>
      <c r="C103" t="str">
        <f>'Formatted NEW'!S101</f>
        <v>DIAG_BACK</v>
      </c>
      <c r="D103" t="str">
        <f>'Formatted NEW'!T101</f>
        <v>DIAG_BOTH</v>
      </c>
      <c r="E103" s="26">
        <f t="shared" si="7"/>
        <v>99</v>
      </c>
      <c r="H103" s="30" t="str" cm="1">
        <f t="array" aca="1" ref="H103" ca="1">IF(ISNUMBER(SEARCH(INDIRECT(ADDRESS(ROW(H103),MOD(H$1,4)+1)),H$2)),$E103,"")</f>
        <v/>
      </c>
      <c r="I103" s="26" t="str" cm="1">
        <f t="array" aca="1" ref="I103" ca="1">IF(ISNUMBER(SEARCH(INDIRECT(ADDRESS(ROW(I103),MOD(I$1,4)+1)),I$2)),$E103,"")</f>
        <v/>
      </c>
      <c r="J103" s="26" t="str" cm="1">
        <f t="array" aca="1" ref="J103" ca="1">IF(ISNUMBER(SEARCH(INDIRECT(ADDRESS(ROW(J103),MOD(J$1,4)+1)),J$2)),$E103,"")</f>
        <v/>
      </c>
      <c r="K103" s="26" t="str" cm="1">
        <f t="array" aca="1" ref="K103" ca="1">IF(ISNUMBER(SEARCH(INDIRECT(ADDRESS(ROW(K103),MOD(K$1,4)+1)),K$2)),$E103,"")</f>
        <v/>
      </c>
      <c r="L103" s="26" t="str" cm="1">
        <f t="array" aca="1" ref="L103" ca="1">IF(ISNUMBER(SEARCH(INDIRECT(ADDRESS(ROW(L103),MOD(L$1,4)+1)),L$2)),$E103,"")</f>
        <v/>
      </c>
      <c r="M103" s="26" cm="1">
        <f t="array" aca="1" ref="M103" ca="1">IF(ISNUMBER(SEARCH(INDIRECT(ADDRESS(ROW(M103),MOD(M$1,4)+1)),M$2)),$E103,"")</f>
        <v>99</v>
      </c>
      <c r="N103" s="26" t="str" cm="1">
        <f t="array" aca="1" ref="N103" ca="1">IF(ISNUMBER(SEARCH(INDIRECT(ADDRESS(ROW(N103),MOD(N$1,4)+1)),N$2)),$E103,"")</f>
        <v/>
      </c>
      <c r="O103" s="26" cm="1">
        <f t="array" aca="1" ref="O103" ca="1">IF(ISNUMBER(SEARCH(INDIRECT(ADDRESS(ROW(O103),MOD(O$1,4)+1)),O$2)),$E103,"")</f>
        <v>99</v>
      </c>
      <c r="P103" s="26" t="str" cm="1">
        <f t="array" aca="1" ref="P103" ca="1">IF(ISNUMBER(SEARCH(INDIRECT(ADDRESS(ROW(P103),MOD(P$1,4)+1)),P$2)),$E103,"")</f>
        <v/>
      </c>
      <c r="Q103" s="26" t="str" cm="1">
        <f t="array" aca="1" ref="Q103" ca="1">IF(ISNUMBER(SEARCH(INDIRECT(ADDRESS(ROW(Q103),MOD(Q$1,4)+1)),Q$2)),$E103,"")</f>
        <v/>
      </c>
      <c r="R103" s="26" t="str" cm="1">
        <f t="array" aca="1" ref="R103" ca="1">IF(ISNUMBER(SEARCH(INDIRECT(ADDRESS(ROW(R103),MOD(R$1,4)+1)),R$2)),$E103,"")</f>
        <v/>
      </c>
      <c r="S103" s="26" t="str" cm="1">
        <f t="array" aca="1" ref="S103" ca="1">IF(ISNUMBER(SEARCH(INDIRECT(ADDRESS(ROW(S103),MOD(S$1,4)+1)),S$2)),$E103,"")</f>
        <v/>
      </c>
      <c r="T103" s="26" cm="1">
        <f t="array" aca="1" ref="T103" ca="1">IF(ISNUMBER(SEARCH(INDIRECT(ADDRESS(ROW(T103),MOD(T$1,4)+1)),T$2)),$E103,"")</f>
        <v>99</v>
      </c>
      <c r="U103" s="26" t="str" cm="1">
        <f t="array" aca="1" ref="U103" ca="1">IF(ISNUMBER(SEARCH(INDIRECT(ADDRESS(ROW(U103),MOD(U$1,4)+1)),U$2)),$E103,"")</f>
        <v/>
      </c>
      <c r="V103" s="26" t="str" cm="1">
        <f t="array" aca="1" ref="V103" ca="1">IF(ISNUMBER(SEARCH(INDIRECT(ADDRESS(ROW(V103),MOD(V$1,4)+1)),V$2)),$E103,"")</f>
        <v/>
      </c>
      <c r="W103" s="26" t="str" cm="1">
        <f t="array" aca="1" ref="W103" ca="1">IF(ISNUMBER(SEARCH(INDIRECT(ADDRESS(ROW(W103),MOD(W$1,4)+1)),W$2)),$E103,"")</f>
        <v/>
      </c>
      <c r="X103" s="26" t="str" cm="1">
        <f t="array" aca="1" ref="X103" ca="1">IF(ISNUMBER(SEARCH(INDIRECT(ADDRESS(ROW(X103),MOD(X$1,4)+1)),X$2)),$E103,"")</f>
        <v/>
      </c>
      <c r="Y103" s="26" t="str" cm="1">
        <f t="array" aca="1" ref="Y103" ca="1">IF(ISNUMBER(SEARCH(INDIRECT(ADDRESS(ROW(Y103),MOD(Y$1,4)+1)),Y$2)),$E103,"")</f>
        <v/>
      </c>
      <c r="Z103" s="26" cm="1">
        <f t="array" aca="1" ref="Z103" ca="1">IF(ISNUMBER(SEARCH(INDIRECT(ADDRESS(ROW(Z103),MOD(Z$1,4)+1)),Z$2)),$E103,"")</f>
        <v>99</v>
      </c>
      <c r="AA103" s="26" t="str" cm="1">
        <f t="array" aca="1" ref="AA103" ca="1">IF(ISNUMBER(SEARCH(INDIRECT(ADDRESS(ROW(AA103),MOD(AA$1,4)+1)),AA$2)),$E103,"")</f>
        <v/>
      </c>
      <c r="AB103" s="26" t="str" cm="1">
        <f t="array" aca="1" ref="AB103" ca="1">IF(ISNUMBER(SEARCH(INDIRECT(ADDRESS(ROW(AB103),MOD(AB$1,4)+1)),AB$2)),$E103,"")</f>
        <v/>
      </c>
      <c r="AC103" s="26" t="str" cm="1">
        <f t="array" aca="1" ref="AC103" ca="1">IF(ISNUMBER(SEARCH(INDIRECT(ADDRESS(ROW(AC103),MOD(AC$1,4)+1)),AC$2)),$E103,"")</f>
        <v/>
      </c>
      <c r="AD103" s="26" t="str" cm="1">
        <f t="array" aca="1" ref="AD103" ca="1">IF(ISNUMBER(SEARCH(INDIRECT(ADDRESS(ROW(AD103),MOD(AD$1,4)+1)),AD$2)),$E103,"")</f>
        <v/>
      </c>
      <c r="AE103" s="26" t="str" cm="1">
        <f t="array" aca="1" ref="AE103" ca="1">IF(ISNUMBER(SEARCH(INDIRECT(ADDRESS(ROW(AE103),MOD(AE$1,4)+1)),AE$2)),$E103,"")</f>
        <v/>
      </c>
      <c r="AF103" s="26" t="str" cm="1">
        <f t="array" aca="1" ref="AF103" ca="1">IF(ISNUMBER(SEARCH(INDIRECT(ADDRESS(ROW(AF103),MOD(AF$1,4)+1)),AF$2)),$E103,"")</f>
        <v/>
      </c>
      <c r="AG103" s="26" t="str" cm="1">
        <f t="array" aca="1" ref="AG103" ca="1">IF(ISNUMBER(SEARCH(INDIRECT(ADDRESS(ROW(AG103),MOD(AG$1,4)+1)),AG$2)),$E103,"")</f>
        <v/>
      </c>
      <c r="AH103" s="26" t="str" cm="1">
        <f t="array" aca="1" ref="AH103" ca="1">IF(ISNUMBER(SEARCH(INDIRECT(ADDRESS(ROW(AH103),MOD(AH$1,4)+1)),AH$2)),$E103,"")</f>
        <v/>
      </c>
      <c r="AI103" s="26" t="str" cm="1">
        <f t="array" aca="1" ref="AI103" ca="1">IF(ISNUMBER(SEARCH(INDIRECT(ADDRESS(ROW(AI103),MOD(AI$1,4)+1)),AI$2)),$E103,"")</f>
        <v/>
      </c>
      <c r="AJ103" s="26" t="str" cm="1">
        <f t="array" aca="1" ref="AJ103" ca="1">IF(ISNUMBER(SEARCH(INDIRECT(ADDRESS(ROW(AJ103),MOD(AJ$1,4)+1)),AJ$2)),$E103,"")</f>
        <v/>
      </c>
      <c r="AK103" s="26" t="str" cm="1">
        <f t="array" aca="1" ref="AK103" ca="1">IF(ISNUMBER(SEARCH(INDIRECT(ADDRESS(ROW(AK103),MOD(AK$1,4)+1)),AK$2)),$E103,"")</f>
        <v/>
      </c>
      <c r="AL103" s="26" t="str" cm="1">
        <f t="array" aca="1" ref="AL103" ca="1">IF(ISNUMBER(SEARCH(INDIRECT(ADDRESS(ROW(AL103),MOD(AL$1,4)+1)),AL$2)),$E103,"")</f>
        <v/>
      </c>
      <c r="AM103" s="26" t="str" cm="1">
        <f t="array" aca="1" ref="AM103" ca="1">IF(ISNUMBER(SEARCH(INDIRECT(ADDRESS(ROW(AM103),MOD(AM$1,4)+1)),AM$2)),$E103,"")</f>
        <v/>
      </c>
      <c r="AN103" s="26" t="str" cm="1">
        <f t="array" aca="1" ref="AN103" ca="1">IF(ISNUMBER(SEARCH(INDIRECT(ADDRESS(ROW(AN103),MOD(AN$1,4)+1)),AN$2)),$E103,"")</f>
        <v/>
      </c>
      <c r="AO103" s="26" t="str" cm="1">
        <f t="array" aca="1" ref="AO103" ca="1">IF(ISNUMBER(SEARCH(INDIRECT(ADDRESS(ROW(AO103),MOD(AO$1,4)+1)),AO$2)),$E103,"")</f>
        <v/>
      </c>
      <c r="AP103" s="26" t="str" cm="1">
        <f t="array" aca="1" ref="AP103" ca="1">IF(ISNUMBER(SEARCH(INDIRECT(ADDRESS(ROW(AP103),MOD(AP$1,4)+1)),AP$2)),$E103,"")</f>
        <v/>
      </c>
      <c r="AQ103" s="31" t="str" cm="1">
        <f t="array" aca="1" ref="AQ103" ca="1">IF(ISNUMBER(SEARCH(INDIRECT(ADDRESS(ROW(AQ103),MOD(AQ$1,4)+1)),AQ$2)),$E103,"")</f>
        <v/>
      </c>
      <c r="AT103" t="e">
        <f>IF(VLOOKUP($E103,'Formatted NEW'!$B$2:$F$202,5,FALSE)=VLOOKUP($E103,'Formatted NEW'!$B$2:$F$202,8,FALSE),$E103,"")</f>
        <v>#N/A</v>
      </c>
      <c r="AW103" t="e">
        <f>IF(VLOOKUP($E103,'Formatted NEW'!$B$2:$F$202,5,FALSE)=VLOOKUP($E103,'Formatted NEW'!$B$2:$F$202,11,FALSE),$E103,"")</f>
        <v>#N/A</v>
      </c>
      <c r="AZ103" t="e">
        <f>IF(VLOOKUP($E103,'Formatted NEW'!$B$2:$F$202,5,FALSE)=VLOOKUP($E103,'Formatted NEW'!$B$2:$F$202,14,FALSE),$E103,"")</f>
        <v>#N/A</v>
      </c>
      <c r="BC103" t="str">
        <f>VLOOKUP($E103,'Formatted NEW'!$M$2:$T$202,6,FALSE)</f>
        <v>DIAG_BOTH</v>
      </c>
      <c r="BD103" s="26" t="e">
        <f>VLOOKUP(VLOOKUP(VLOOKUP($E103,'Formatted NEW'!$M$2:$O$202,2,FALSE),'Formatted NEW'!$D$2:$F$202,7,FALSE),'Formatted NEW'!$D$2:$O$202,12,FALSE)</f>
        <v>#REF!</v>
      </c>
      <c r="BE103" t="e">
        <f>VLOOKUP($BD103,'Formatted NEW'!$M$2:$T$202,5,FALSE)</f>
        <v>#REF!</v>
      </c>
      <c r="BF103" s="26" t="e">
        <f t="shared" si="5"/>
        <v>#REF!</v>
      </c>
      <c r="BH103">
        <f>VLOOKUP($E103,'Formatted NEW'!$M$2:$T$202,4,FALSE)</f>
        <v>0</v>
      </c>
      <c r="BI103" s="26" t="e">
        <f>VLOOKUP(VLOOKUP(VLOOKUP($E103,'Formatted NEW'!$M$2:$O$202,2,FALSE),'Formatted NEW'!$D$2:$F$202,10,FALSE),'Formatted NEW'!$D$2:$O$202,12,FALSE)</f>
        <v>#REF!</v>
      </c>
      <c r="BJ103" t="e">
        <f>VLOOKUP($BI103,'Formatted NEW'!$M$2:$T$202,3,FALSE)</f>
        <v>#REF!</v>
      </c>
      <c r="BK103" s="26" t="e">
        <f t="shared" si="6"/>
        <v>#REF!</v>
      </c>
    </row>
    <row r="104" spans="1:63" x14ac:dyDescent="0.25">
      <c r="A104" t="str">
        <f>'Formatted NEW'!Q102</f>
        <v>DIAG_BACK</v>
      </c>
      <c r="B104" t="str">
        <f>'Formatted NEW'!R102</f>
        <v>DIAG_BOTH</v>
      </c>
      <c r="C104" t="str">
        <f>'Formatted NEW'!S102</f>
        <v>DIAG_BOTH</v>
      </c>
      <c r="D104" t="str">
        <f>'Formatted NEW'!T102</f>
        <v>DIAG_FRONT</v>
      </c>
      <c r="E104" s="26">
        <f t="shared" si="7"/>
        <v>100</v>
      </c>
      <c r="H104" s="30" t="str" cm="1">
        <f t="array" aca="1" ref="H104" ca="1">IF(ISNUMBER(SEARCH(INDIRECT(ADDRESS(ROW(H104),MOD(H$1,4)+1)),H$2)),$E104,"")</f>
        <v/>
      </c>
      <c r="I104" s="26" t="str" cm="1">
        <f t="array" aca="1" ref="I104" ca="1">IF(ISNUMBER(SEARCH(INDIRECT(ADDRESS(ROW(I104),MOD(I$1,4)+1)),I$2)),$E104,"")</f>
        <v/>
      </c>
      <c r="J104" s="26" t="str" cm="1">
        <f t="array" aca="1" ref="J104" ca="1">IF(ISNUMBER(SEARCH(INDIRECT(ADDRESS(ROW(J104),MOD(J$1,4)+1)),J$2)),$E104,"")</f>
        <v/>
      </c>
      <c r="K104" s="26" t="str" cm="1">
        <f t="array" aca="1" ref="K104" ca="1">IF(ISNUMBER(SEARCH(INDIRECT(ADDRESS(ROW(K104),MOD(K$1,4)+1)),K$2)),$E104,"")</f>
        <v/>
      </c>
      <c r="L104" s="26" t="str" cm="1">
        <f t="array" aca="1" ref="L104" ca="1">IF(ISNUMBER(SEARCH(INDIRECT(ADDRESS(ROW(L104),MOD(L$1,4)+1)),L$2)),$E104,"")</f>
        <v/>
      </c>
      <c r="M104" s="26" cm="1">
        <f t="array" aca="1" ref="M104" ca="1">IF(ISNUMBER(SEARCH(INDIRECT(ADDRESS(ROW(M104),MOD(M$1,4)+1)),M$2)),$E104,"")</f>
        <v>100</v>
      </c>
      <c r="N104" s="26" cm="1">
        <f t="array" aca="1" ref="N104" ca="1">IF(ISNUMBER(SEARCH(INDIRECT(ADDRESS(ROW(N104),MOD(N$1,4)+1)),N$2)),$E104,"")</f>
        <v>100</v>
      </c>
      <c r="O104" s="26" t="str" cm="1">
        <f t="array" aca="1" ref="O104" ca="1">IF(ISNUMBER(SEARCH(INDIRECT(ADDRESS(ROW(O104),MOD(O$1,4)+1)),O$2)),$E104,"")</f>
        <v/>
      </c>
      <c r="P104" s="26" t="str" cm="1">
        <f t="array" aca="1" ref="P104" ca="1">IF(ISNUMBER(SEARCH(INDIRECT(ADDRESS(ROW(P104),MOD(P$1,4)+1)),P$2)),$E104,"")</f>
        <v/>
      </c>
      <c r="Q104" s="26" t="str" cm="1">
        <f t="array" aca="1" ref="Q104" ca="1">IF(ISNUMBER(SEARCH(INDIRECT(ADDRESS(ROW(Q104),MOD(Q$1,4)+1)),Q$2)),$E104,"")</f>
        <v/>
      </c>
      <c r="R104" s="26" t="str" cm="1">
        <f t="array" aca="1" ref="R104" ca="1">IF(ISNUMBER(SEARCH(INDIRECT(ADDRESS(ROW(R104),MOD(R$1,4)+1)),R$2)),$E104,"")</f>
        <v/>
      </c>
      <c r="S104" s="26" t="str" cm="1">
        <f t="array" aca="1" ref="S104" ca="1">IF(ISNUMBER(SEARCH(INDIRECT(ADDRESS(ROW(S104),MOD(S$1,4)+1)),S$2)),$E104,"")</f>
        <v/>
      </c>
      <c r="T104" s="26" t="str" cm="1">
        <f t="array" aca="1" ref="T104" ca="1">IF(ISNUMBER(SEARCH(INDIRECT(ADDRESS(ROW(T104),MOD(T$1,4)+1)),T$2)),$E104,"")</f>
        <v/>
      </c>
      <c r="U104" s="26" t="str" cm="1">
        <f t="array" aca="1" ref="U104" ca="1">IF(ISNUMBER(SEARCH(INDIRECT(ADDRESS(ROW(U104),MOD(U$1,4)+1)),U$2)),$E104,"")</f>
        <v/>
      </c>
      <c r="V104" s="26" t="str" cm="1">
        <f t="array" aca="1" ref="V104" ca="1">IF(ISNUMBER(SEARCH(INDIRECT(ADDRESS(ROW(V104),MOD(V$1,4)+1)),V$2)),$E104,"")</f>
        <v/>
      </c>
      <c r="W104" s="26" cm="1">
        <f t="array" aca="1" ref="W104" ca="1">IF(ISNUMBER(SEARCH(INDIRECT(ADDRESS(ROW(W104),MOD(W$1,4)+1)),W$2)),$E104,"")</f>
        <v>100</v>
      </c>
      <c r="X104" s="26" cm="1">
        <f t="array" aca="1" ref="X104" ca="1">IF(ISNUMBER(SEARCH(INDIRECT(ADDRESS(ROW(X104),MOD(X$1,4)+1)),X$2)),$E104,"")</f>
        <v>100</v>
      </c>
      <c r="Y104" s="26" t="str" cm="1">
        <f t="array" aca="1" ref="Y104" ca="1">IF(ISNUMBER(SEARCH(INDIRECT(ADDRESS(ROW(Y104),MOD(Y$1,4)+1)),Y$2)),$E104,"")</f>
        <v/>
      </c>
      <c r="Z104" s="26" t="str" cm="1">
        <f t="array" aca="1" ref="Z104" ca="1">IF(ISNUMBER(SEARCH(INDIRECT(ADDRESS(ROW(Z104),MOD(Z$1,4)+1)),Z$2)),$E104,"")</f>
        <v/>
      </c>
      <c r="AA104" s="26" t="str" cm="1">
        <f t="array" aca="1" ref="AA104" ca="1">IF(ISNUMBER(SEARCH(INDIRECT(ADDRESS(ROW(AA104),MOD(AA$1,4)+1)),AA$2)),$E104,"")</f>
        <v/>
      </c>
      <c r="AB104" s="26" t="str" cm="1">
        <f t="array" aca="1" ref="AB104" ca="1">IF(ISNUMBER(SEARCH(INDIRECT(ADDRESS(ROW(AB104),MOD(AB$1,4)+1)),AB$2)),$E104,"")</f>
        <v/>
      </c>
      <c r="AC104" s="26" t="str" cm="1">
        <f t="array" aca="1" ref="AC104" ca="1">IF(ISNUMBER(SEARCH(INDIRECT(ADDRESS(ROW(AC104),MOD(AC$1,4)+1)),AC$2)),$E104,"")</f>
        <v/>
      </c>
      <c r="AD104" s="26" t="str" cm="1">
        <f t="array" aca="1" ref="AD104" ca="1">IF(ISNUMBER(SEARCH(INDIRECT(ADDRESS(ROW(AD104),MOD(AD$1,4)+1)),AD$2)),$E104,"")</f>
        <v/>
      </c>
      <c r="AE104" s="26" t="str" cm="1">
        <f t="array" aca="1" ref="AE104" ca="1">IF(ISNUMBER(SEARCH(INDIRECT(ADDRESS(ROW(AE104),MOD(AE$1,4)+1)),AE$2)),$E104,"")</f>
        <v/>
      </c>
      <c r="AF104" s="26" t="str" cm="1">
        <f t="array" aca="1" ref="AF104" ca="1">IF(ISNUMBER(SEARCH(INDIRECT(ADDRESS(ROW(AF104),MOD(AF$1,4)+1)),AF$2)),$E104,"")</f>
        <v/>
      </c>
      <c r="AG104" s="26" t="str" cm="1">
        <f t="array" aca="1" ref="AG104" ca="1">IF(ISNUMBER(SEARCH(INDIRECT(ADDRESS(ROW(AG104),MOD(AG$1,4)+1)),AG$2)),$E104,"")</f>
        <v/>
      </c>
      <c r="AH104" s="26" t="str" cm="1">
        <f t="array" aca="1" ref="AH104" ca="1">IF(ISNUMBER(SEARCH(INDIRECT(ADDRESS(ROW(AH104),MOD(AH$1,4)+1)),AH$2)),$E104,"")</f>
        <v/>
      </c>
      <c r="AI104" s="26" t="str" cm="1">
        <f t="array" aca="1" ref="AI104" ca="1">IF(ISNUMBER(SEARCH(INDIRECT(ADDRESS(ROW(AI104),MOD(AI$1,4)+1)),AI$2)),$E104,"")</f>
        <v/>
      </c>
      <c r="AJ104" s="26" t="str" cm="1">
        <f t="array" aca="1" ref="AJ104" ca="1">IF(ISNUMBER(SEARCH(INDIRECT(ADDRESS(ROW(AJ104),MOD(AJ$1,4)+1)),AJ$2)),$E104,"")</f>
        <v/>
      </c>
      <c r="AK104" s="26" t="str" cm="1">
        <f t="array" aca="1" ref="AK104" ca="1">IF(ISNUMBER(SEARCH(INDIRECT(ADDRESS(ROW(AK104),MOD(AK$1,4)+1)),AK$2)),$E104,"")</f>
        <v/>
      </c>
      <c r="AL104" s="26" t="str" cm="1">
        <f t="array" aca="1" ref="AL104" ca="1">IF(ISNUMBER(SEARCH(INDIRECT(ADDRESS(ROW(AL104),MOD(AL$1,4)+1)),AL$2)),$E104,"")</f>
        <v/>
      </c>
      <c r="AM104" s="26" t="str" cm="1">
        <f t="array" aca="1" ref="AM104" ca="1">IF(ISNUMBER(SEARCH(INDIRECT(ADDRESS(ROW(AM104),MOD(AM$1,4)+1)),AM$2)),$E104,"")</f>
        <v/>
      </c>
      <c r="AN104" s="26" t="str" cm="1">
        <f t="array" aca="1" ref="AN104" ca="1">IF(ISNUMBER(SEARCH(INDIRECT(ADDRESS(ROW(AN104),MOD(AN$1,4)+1)),AN$2)),$E104,"")</f>
        <v/>
      </c>
      <c r="AO104" s="26" t="str" cm="1">
        <f t="array" aca="1" ref="AO104" ca="1">IF(ISNUMBER(SEARCH(INDIRECT(ADDRESS(ROW(AO104),MOD(AO$1,4)+1)),AO$2)),$E104,"")</f>
        <v/>
      </c>
      <c r="AP104" s="26" t="str" cm="1">
        <f t="array" aca="1" ref="AP104" ca="1">IF(ISNUMBER(SEARCH(INDIRECT(ADDRESS(ROW(AP104),MOD(AP$1,4)+1)),AP$2)),$E104,"")</f>
        <v/>
      </c>
      <c r="AQ104" s="31" t="str" cm="1">
        <f t="array" aca="1" ref="AQ104" ca="1">IF(ISNUMBER(SEARCH(INDIRECT(ADDRESS(ROW(AQ104),MOD(AQ$1,4)+1)),AQ$2)),$E104,"")</f>
        <v/>
      </c>
      <c r="AT104" t="e">
        <f>IF(VLOOKUP($E104,'Formatted NEW'!$B$2:$F$202,5,FALSE)=VLOOKUP($E104,'Formatted NEW'!$B$2:$F$202,8,FALSE),$E104,"")</f>
        <v>#N/A</v>
      </c>
      <c r="AW104" t="e">
        <f>IF(VLOOKUP($E104,'Formatted NEW'!$B$2:$F$202,5,FALSE)=VLOOKUP($E104,'Formatted NEW'!$B$2:$F$202,11,FALSE),$E104,"")</f>
        <v>#N/A</v>
      </c>
      <c r="AZ104" t="e">
        <f>IF(VLOOKUP($E104,'Formatted NEW'!$B$2:$F$202,5,FALSE)=VLOOKUP($E104,'Formatted NEW'!$B$2:$F$202,14,FALSE),$E104,"")</f>
        <v>#N/A</v>
      </c>
      <c r="BC104" t="str">
        <f>VLOOKUP($E104,'Formatted NEW'!$M$2:$T$202,6,FALSE)</f>
        <v>DIAG_BOTH</v>
      </c>
      <c r="BD104" s="26" t="e">
        <f>VLOOKUP(VLOOKUP(VLOOKUP($E104,'Formatted NEW'!$M$2:$O$202,2,FALSE),'Formatted NEW'!$D$2:$F$202,7,FALSE),'Formatted NEW'!$D$2:$O$202,12,FALSE)</f>
        <v>#REF!</v>
      </c>
      <c r="BE104" t="e">
        <f>VLOOKUP($BD104,'Formatted NEW'!$M$2:$T$202,5,FALSE)</f>
        <v>#REF!</v>
      </c>
      <c r="BF104" s="26" t="e">
        <f t="shared" si="5"/>
        <v>#REF!</v>
      </c>
      <c r="BH104">
        <f>VLOOKUP($E104,'Formatted NEW'!$M$2:$T$202,4,FALSE)</f>
        <v>0</v>
      </c>
      <c r="BI104" s="26" t="e">
        <f>VLOOKUP(VLOOKUP(VLOOKUP($E104,'Formatted NEW'!$M$2:$O$202,2,FALSE),'Formatted NEW'!$D$2:$F$202,10,FALSE),'Formatted NEW'!$D$2:$O$202,12,FALSE)</f>
        <v>#REF!</v>
      </c>
      <c r="BJ104" t="e">
        <f>VLOOKUP($BI104,'Formatted NEW'!$M$2:$T$202,3,FALSE)</f>
        <v>#REF!</v>
      </c>
      <c r="BK104" s="26" t="e">
        <f t="shared" si="6"/>
        <v>#REF!</v>
      </c>
    </row>
    <row r="105" spans="1:63" x14ac:dyDescent="0.25">
      <c r="A105" t="str">
        <f>'Formatted NEW'!Q103</f>
        <v>DIAG_BOTH</v>
      </c>
      <c r="B105" t="str">
        <f>'Formatted NEW'!R103</f>
        <v>DIAG_FRONT</v>
      </c>
      <c r="C105" t="str">
        <f>'Formatted NEW'!S103</f>
        <v>DIAG_BOTH</v>
      </c>
      <c r="D105" t="str">
        <f>'Formatted NEW'!T103</f>
        <v>DIAG_BACK</v>
      </c>
      <c r="E105" s="26">
        <f t="shared" si="7"/>
        <v>101</v>
      </c>
      <c r="H105" s="30" t="str" cm="1">
        <f t="array" aca="1" ref="H105" ca="1">IF(ISNUMBER(SEARCH(INDIRECT(ADDRESS(ROW(H105),MOD(H$1,4)+1)),H$2)),$E105,"")</f>
        <v/>
      </c>
      <c r="I105" s="26" t="str" cm="1">
        <f t="array" aca="1" ref="I105" ca="1">IF(ISNUMBER(SEARCH(INDIRECT(ADDRESS(ROW(I105),MOD(I$1,4)+1)),I$2)),$E105,"")</f>
        <v/>
      </c>
      <c r="J105" s="26" t="str" cm="1">
        <f t="array" aca="1" ref="J105" ca="1">IF(ISNUMBER(SEARCH(INDIRECT(ADDRESS(ROW(J105),MOD(J$1,4)+1)),J$2)),$E105,"")</f>
        <v/>
      </c>
      <c r="K105" s="26" t="str" cm="1">
        <f t="array" aca="1" ref="K105" ca="1">IF(ISNUMBER(SEARCH(INDIRECT(ADDRESS(ROW(K105),MOD(K$1,4)+1)),K$2)),$E105,"")</f>
        <v/>
      </c>
      <c r="L105" s="26" cm="1">
        <f t="array" aca="1" ref="L105" ca="1">IF(ISNUMBER(SEARCH(INDIRECT(ADDRESS(ROW(L105),MOD(L$1,4)+1)),L$2)),$E105,"")</f>
        <v>101</v>
      </c>
      <c r="M105" s="26" t="str" cm="1">
        <f t="array" aca="1" ref="M105" ca="1">IF(ISNUMBER(SEARCH(INDIRECT(ADDRESS(ROW(M105),MOD(M$1,4)+1)),M$2)),$E105,"")</f>
        <v/>
      </c>
      <c r="N105" s="26" cm="1">
        <f t="array" aca="1" ref="N105" ca="1">IF(ISNUMBER(SEARCH(INDIRECT(ADDRESS(ROW(N105),MOD(N$1,4)+1)),N$2)),$E105,"")</f>
        <v>101</v>
      </c>
      <c r="O105" s="26" t="str" cm="1">
        <f t="array" aca="1" ref="O105" ca="1">IF(ISNUMBER(SEARCH(INDIRECT(ADDRESS(ROW(O105),MOD(O$1,4)+1)),O$2)),$E105,"")</f>
        <v/>
      </c>
      <c r="P105" s="26" t="str" cm="1">
        <f t="array" aca="1" ref="P105" ca="1">IF(ISNUMBER(SEARCH(INDIRECT(ADDRESS(ROW(P105),MOD(P$1,4)+1)),P$2)),$E105,"")</f>
        <v/>
      </c>
      <c r="Q105" s="26" t="str" cm="1">
        <f t="array" aca="1" ref="Q105" ca="1">IF(ISNUMBER(SEARCH(INDIRECT(ADDRESS(ROW(Q105),MOD(Q$1,4)+1)),Q$2)),$E105,"")</f>
        <v/>
      </c>
      <c r="R105" s="26" t="str" cm="1">
        <f t="array" aca="1" ref="R105" ca="1">IF(ISNUMBER(SEARCH(INDIRECT(ADDRESS(ROW(R105),MOD(R$1,4)+1)),R$2)),$E105,"")</f>
        <v/>
      </c>
      <c r="S105" s="26" t="str" cm="1">
        <f t="array" aca="1" ref="S105" ca="1">IF(ISNUMBER(SEARCH(INDIRECT(ADDRESS(ROW(S105),MOD(S$1,4)+1)),S$2)),$E105,"")</f>
        <v/>
      </c>
      <c r="T105" s="26" t="str" cm="1">
        <f t="array" aca="1" ref="T105" ca="1">IF(ISNUMBER(SEARCH(INDIRECT(ADDRESS(ROW(T105),MOD(T$1,4)+1)),T$2)),$E105,"")</f>
        <v/>
      </c>
      <c r="U105" s="26" cm="1">
        <f t="array" aca="1" ref="U105" ca="1">IF(ISNUMBER(SEARCH(INDIRECT(ADDRESS(ROW(U105),MOD(U$1,4)+1)),U$2)),$E105,"")</f>
        <v>101</v>
      </c>
      <c r="V105" s="26" t="str" cm="1">
        <f t="array" aca="1" ref="V105" ca="1">IF(ISNUMBER(SEARCH(INDIRECT(ADDRESS(ROW(V105),MOD(V$1,4)+1)),V$2)),$E105,"")</f>
        <v/>
      </c>
      <c r="W105" s="26" t="str" cm="1">
        <f t="array" aca="1" ref="W105" ca="1">IF(ISNUMBER(SEARCH(INDIRECT(ADDRESS(ROW(W105),MOD(W$1,4)+1)),W$2)),$E105,"")</f>
        <v/>
      </c>
      <c r="X105" s="26" t="str" cm="1">
        <f t="array" aca="1" ref="X105" ca="1">IF(ISNUMBER(SEARCH(INDIRECT(ADDRESS(ROW(X105),MOD(X$1,4)+1)),X$2)),$E105,"")</f>
        <v/>
      </c>
      <c r="Y105" s="26" t="str" cm="1">
        <f t="array" aca="1" ref="Y105" ca="1">IF(ISNUMBER(SEARCH(INDIRECT(ADDRESS(ROW(Y105),MOD(Y$1,4)+1)),Y$2)),$E105,"")</f>
        <v/>
      </c>
      <c r="Z105" s="26" t="str" cm="1">
        <f t="array" aca="1" ref="Z105" ca="1">IF(ISNUMBER(SEARCH(INDIRECT(ADDRESS(ROW(Z105),MOD(Z$1,4)+1)),Z$2)),$E105,"")</f>
        <v/>
      </c>
      <c r="AA105" s="26" cm="1">
        <f t="array" aca="1" ref="AA105" ca="1">IF(ISNUMBER(SEARCH(INDIRECT(ADDRESS(ROW(AA105),MOD(AA$1,4)+1)),AA$2)),$E105,"")</f>
        <v>101</v>
      </c>
      <c r="AB105" s="26" t="str" cm="1">
        <f t="array" aca="1" ref="AB105" ca="1">IF(ISNUMBER(SEARCH(INDIRECT(ADDRESS(ROW(AB105),MOD(AB$1,4)+1)),AB$2)),$E105,"")</f>
        <v/>
      </c>
      <c r="AC105" s="26" t="str" cm="1">
        <f t="array" aca="1" ref="AC105" ca="1">IF(ISNUMBER(SEARCH(INDIRECT(ADDRESS(ROW(AC105),MOD(AC$1,4)+1)),AC$2)),$E105,"")</f>
        <v/>
      </c>
      <c r="AD105" s="26" t="str" cm="1">
        <f t="array" aca="1" ref="AD105" ca="1">IF(ISNUMBER(SEARCH(INDIRECT(ADDRESS(ROW(AD105),MOD(AD$1,4)+1)),AD$2)),$E105,"")</f>
        <v/>
      </c>
      <c r="AE105" s="26" t="str" cm="1">
        <f t="array" aca="1" ref="AE105" ca="1">IF(ISNUMBER(SEARCH(INDIRECT(ADDRESS(ROW(AE105),MOD(AE$1,4)+1)),AE$2)),$E105,"")</f>
        <v/>
      </c>
      <c r="AF105" s="26" t="str" cm="1">
        <f t="array" aca="1" ref="AF105" ca="1">IF(ISNUMBER(SEARCH(INDIRECT(ADDRESS(ROW(AF105),MOD(AF$1,4)+1)),AF$2)),$E105,"")</f>
        <v/>
      </c>
      <c r="AG105" s="26" t="str" cm="1">
        <f t="array" aca="1" ref="AG105" ca="1">IF(ISNUMBER(SEARCH(INDIRECT(ADDRESS(ROW(AG105),MOD(AG$1,4)+1)),AG$2)),$E105,"")</f>
        <v/>
      </c>
      <c r="AH105" s="26" t="str" cm="1">
        <f t="array" aca="1" ref="AH105" ca="1">IF(ISNUMBER(SEARCH(INDIRECT(ADDRESS(ROW(AH105),MOD(AH$1,4)+1)),AH$2)),$E105,"")</f>
        <v/>
      </c>
      <c r="AI105" s="26" t="str" cm="1">
        <f t="array" aca="1" ref="AI105" ca="1">IF(ISNUMBER(SEARCH(INDIRECT(ADDRESS(ROW(AI105),MOD(AI$1,4)+1)),AI$2)),$E105,"")</f>
        <v/>
      </c>
      <c r="AJ105" s="26" t="str" cm="1">
        <f t="array" aca="1" ref="AJ105" ca="1">IF(ISNUMBER(SEARCH(INDIRECT(ADDRESS(ROW(AJ105),MOD(AJ$1,4)+1)),AJ$2)),$E105,"")</f>
        <v/>
      </c>
      <c r="AK105" s="26" t="str" cm="1">
        <f t="array" aca="1" ref="AK105" ca="1">IF(ISNUMBER(SEARCH(INDIRECT(ADDRESS(ROW(AK105),MOD(AK$1,4)+1)),AK$2)),$E105,"")</f>
        <v/>
      </c>
      <c r="AL105" s="26" t="str" cm="1">
        <f t="array" aca="1" ref="AL105" ca="1">IF(ISNUMBER(SEARCH(INDIRECT(ADDRESS(ROW(AL105),MOD(AL$1,4)+1)),AL$2)),$E105,"")</f>
        <v/>
      </c>
      <c r="AM105" s="26" t="str" cm="1">
        <f t="array" aca="1" ref="AM105" ca="1">IF(ISNUMBER(SEARCH(INDIRECT(ADDRESS(ROW(AM105),MOD(AM$1,4)+1)),AM$2)),$E105,"")</f>
        <v/>
      </c>
      <c r="AN105" s="26" t="str" cm="1">
        <f t="array" aca="1" ref="AN105" ca="1">IF(ISNUMBER(SEARCH(INDIRECT(ADDRESS(ROW(AN105),MOD(AN$1,4)+1)),AN$2)),$E105,"")</f>
        <v/>
      </c>
      <c r="AO105" s="26" t="str" cm="1">
        <f t="array" aca="1" ref="AO105" ca="1">IF(ISNUMBER(SEARCH(INDIRECT(ADDRESS(ROW(AO105),MOD(AO$1,4)+1)),AO$2)),$E105,"")</f>
        <v/>
      </c>
      <c r="AP105" s="26" t="str" cm="1">
        <f t="array" aca="1" ref="AP105" ca="1">IF(ISNUMBER(SEARCH(INDIRECT(ADDRESS(ROW(AP105),MOD(AP$1,4)+1)),AP$2)),$E105,"")</f>
        <v/>
      </c>
      <c r="AQ105" s="31" t="str" cm="1">
        <f t="array" aca="1" ref="AQ105" ca="1">IF(ISNUMBER(SEARCH(INDIRECT(ADDRESS(ROW(AQ105),MOD(AQ$1,4)+1)),AQ$2)),$E105,"")</f>
        <v/>
      </c>
      <c r="AT105" t="e">
        <f>IF(VLOOKUP($E105,'Formatted NEW'!$B$2:$F$202,5,FALSE)=VLOOKUP($E105,'Formatted NEW'!$B$2:$F$202,8,FALSE),$E105,"")</f>
        <v>#N/A</v>
      </c>
      <c r="AW105" t="e">
        <f>IF(VLOOKUP($E105,'Formatted NEW'!$B$2:$F$202,5,FALSE)=VLOOKUP($E105,'Formatted NEW'!$B$2:$F$202,11,FALSE),$E105,"")</f>
        <v>#N/A</v>
      </c>
      <c r="AZ105" t="e">
        <f>IF(VLOOKUP($E105,'Formatted NEW'!$B$2:$F$202,5,FALSE)=VLOOKUP($E105,'Formatted NEW'!$B$2:$F$202,14,FALSE),$E105,"")</f>
        <v>#N/A</v>
      </c>
      <c r="BC105" t="str">
        <f>VLOOKUP($E105,'Formatted NEW'!$M$2:$T$202,6,FALSE)</f>
        <v>DIAG_FRONT</v>
      </c>
      <c r="BD105" s="26" t="e">
        <f>VLOOKUP(VLOOKUP(VLOOKUP($E105,'Formatted NEW'!$M$2:$O$202,2,FALSE),'Formatted NEW'!$D$2:$F$202,7,FALSE),'Formatted NEW'!$D$2:$O$202,12,FALSE)</f>
        <v>#REF!</v>
      </c>
      <c r="BE105" t="e">
        <f>VLOOKUP($BD105,'Formatted NEW'!$M$2:$T$202,5,FALSE)</f>
        <v>#REF!</v>
      </c>
      <c r="BF105" s="26" t="e">
        <f t="shared" si="5"/>
        <v>#REF!</v>
      </c>
      <c r="BH105">
        <f>VLOOKUP($E105,'Formatted NEW'!$M$2:$T$202,4,FALSE)</f>
        <v>0</v>
      </c>
      <c r="BI105" s="26" t="e">
        <f>VLOOKUP(VLOOKUP(VLOOKUP($E105,'Formatted NEW'!$M$2:$O$202,2,FALSE),'Formatted NEW'!$D$2:$F$202,10,FALSE),'Formatted NEW'!$D$2:$O$202,12,FALSE)</f>
        <v>#REF!</v>
      </c>
      <c r="BJ105" t="e">
        <f>VLOOKUP($BI105,'Formatted NEW'!$M$2:$T$202,3,FALSE)</f>
        <v>#REF!</v>
      </c>
      <c r="BK105" s="26" t="e">
        <f t="shared" si="6"/>
        <v>#REF!</v>
      </c>
    </row>
    <row r="106" spans="1:63" x14ac:dyDescent="0.25">
      <c r="A106" t="str">
        <f>'Formatted NEW'!Q104</f>
        <v>DIAG_BOTH</v>
      </c>
      <c r="B106" t="str">
        <f>'Formatted NEW'!R104</f>
        <v>DIAG_BACK</v>
      </c>
      <c r="C106" t="str">
        <f>'Formatted NEW'!S104</f>
        <v>DIAG_FRONT</v>
      </c>
      <c r="D106" t="str">
        <f>'Formatted NEW'!T104</f>
        <v>DIAG_BOTH</v>
      </c>
      <c r="E106" s="26">
        <f t="shared" si="7"/>
        <v>102</v>
      </c>
      <c r="H106" s="30" t="str" cm="1">
        <f t="array" aca="1" ref="H106" ca="1">IF(ISNUMBER(SEARCH(INDIRECT(ADDRESS(ROW(H106),MOD(H$1,4)+1)),H$2)),$E106,"")</f>
        <v/>
      </c>
      <c r="I106" s="26" t="str" cm="1">
        <f t="array" aca="1" ref="I106" ca="1">IF(ISNUMBER(SEARCH(INDIRECT(ADDRESS(ROW(I106),MOD(I$1,4)+1)),I$2)),$E106,"")</f>
        <v/>
      </c>
      <c r="J106" s="26" t="str" cm="1">
        <f t="array" aca="1" ref="J106" ca="1">IF(ISNUMBER(SEARCH(INDIRECT(ADDRESS(ROW(J106),MOD(J$1,4)+1)),J$2)),$E106,"")</f>
        <v/>
      </c>
      <c r="K106" s="26" t="str" cm="1">
        <f t="array" aca="1" ref="K106" ca="1">IF(ISNUMBER(SEARCH(INDIRECT(ADDRESS(ROW(K106),MOD(K$1,4)+1)),K$2)),$E106,"")</f>
        <v/>
      </c>
      <c r="L106" s="26" cm="1">
        <f t="array" aca="1" ref="L106" ca="1">IF(ISNUMBER(SEARCH(INDIRECT(ADDRESS(ROW(L106),MOD(L$1,4)+1)),L$2)),$E106,"")</f>
        <v>102</v>
      </c>
      <c r="M106" s="26" t="str" cm="1">
        <f t="array" aca="1" ref="M106" ca="1">IF(ISNUMBER(SEARCH(INDIRECT(ADDRESS(ROW(M106),MOD(M$1,4)+1)),M$2)),$E106,"")</f>
        <v/>
      </c>
      <c r="N106" s="26" t="str" cm="1">
        <f t="array" aca="1" ref="N106" ca="1">IF(ISNUMBER(SEARCH(INDIRECT(ADDRESS(ROW(N106),MOD(N$1,4)+1)),N$2)),$E106,"")</f>
        <v/>
      </c>
      <c r="O106" s="26" cm="1">
        <f t="array" aca="1" ref="O106" ca="1">IF(ISNUMBER(SEARCH(INDIRECT(ADDRESS(ROW(O106),MOD(O$1,4)+1)),O$2)),$E106,"")</f>
        <v>102</v>
      </c>
      <c r="P106" s="26" t="str" cm="1">
        <f t="array" aca="1" ref="P106" ca="1">IF(ISNUMBER(SEARCH(INDIRECT(ADDRESS(ROW(P106),MOD(P$1,4)+1)),P$2)),$E106,"")</f>
        <v/>
      </c>
      <c r="Q106" s="26" t="str" cm="1">
        <f t="array" aca="1" ref="Q106" ca="1">IF(ISNUMBER(SEARCH(INDIRECT(ADDRESS(ROW(Q106),MOD(Q$1,4)+1)),Q$2)),$E106,"")</f>
        <v/>
      </c>
      <c r="R106" s="26" t="str" cm="1">
        <f t="array" aca="1" ref="R106" ca="1">IF(ISNUMBER(SEARCH(INDIRECT(ADDRESS(ROW(R106),MOD(R$1,4)+1)),R$2)),$E106,"")</f>
        <v/>
      </c>
      <c r="S106" s="26" t="str" cm="1">
        <f t="array" aca="1" ref="S106" ca="1">IF(ISNUMBER(SEARCH(INDIRECT(ADDRESS(ROW(S106),MOD(S$1,4)+1)),S$2)),$E106,"")</f>
        <v/>
      </c>
      <c r="T106" s="26" t="str" cm="1">
        <f t="array" aca="1" ref="T106" ca="1">IF(ISNUMBER(SEARCH(INDIRECT(ADDRESS(ROW(T106),MOD(T$1,4)+1)),T$2)),$E106,"")</f>
        <v/>
      </c>
      <c r="U106" s="26" t="str" cm="1">
        <f t="array" aca="1" ref="U106" ca="1">IF(ISNUMBER(SEARCH(INDIRECT(ADDRESS(ROW(U106),MOD(U$1,4)+1)),U$2)),$E106,"")</f>
        <v/>
      </c>
      <c r="V106" s="26" cm="1">
        <f t="array" aca="1" ref="V106" ca="1">IF(ISNUMBER(SEARCH(INDIRECT(ADDRESS(ROW(V106),MOD(V$1,4)+1)),V$2)),$E106,"")</f>
        <v>102</v>
      </c>
      <c r="W106" s="26" t="str" cm="1">
        <f t="array" aca="1" ref="W106" ca="1">IF(ISNUMBER(SEARCH(INDIRECT(ADDRESS(ROW(W106),MOD(W$1,4)+1)),W$2)),$E106,"")</f>
        <v/>
      </c>
      <c r="X106" s="26" t="str" cm="1">
        <f t="array" aca="1" ref="X106" ca="1">IF(ISNUMBER(SEARCH(INDIRECT(ADDRESS(ROW(X106),MOD(X$1,4)+1)),X$2)),$E106,"")</f>
        <v/>
      </c>
      <c r="Y106" s="26" cm="1">
        <f t="array" aca="1" ref="Y106" ca="1">IF(ISNUMBER(SEARCH(INDIRECT(ADDRESS(ROW(Y106),MOD(Y$1,4)+1)),Y$2)),$E106,"")</f>
        <v>102</v>
      </c>
      <c r="Z106" s="26" t="str" cm="1">
        <f t="array" aca="1" ref="Z106" ca="1">IF(ISNUMBER(SEARCH(INDIRECT(ADDRESS(ROW(Z106),MOD(Z$1,4)+1)),Z$2)),$E106,"")</f>
        <v/>
      </c>
      <c r="AA106" s="26" t="str" cm="1">
        <f t="array" aca="1" ref="AA106" ca="1">IF(ISNUMBER(SEARCH(INDIRECT(ADDRESS(ROW(AA106),MOD(AA$1,4)+1)),AA$2)),$E106,"")</f>
        <v/>
      </c>
      <c r="AB106" s="26" t="str" cm="1">
        <f t="array" aca="1" ref="AB106" ca="1">IF(ISNUMBER(SEARCH(INDIRECT(ADDRESS(ROW(AB106),MOD(AB$1,4)+1)),AB$2)),$E106,"")</f>
        <v/>
      </c>
      <c r="AC106" s="26" t="str" cm="1">
        <f t="array" aca="1" ref="AC106" ca="1">IF(ISNUMBER(SEARCH(INDIRECT(ADDRESS(ROW(AC106),MOD(AC$1,4)+1)),AC$2)),$E106,"")</f>
        <v/>
      </c>
      <c r="AD106" s="26" t="str" cm="1">
        <f t="array" aca="1" ref="AD106" ca="1">IF(ISNUMBER(SEARCH(INDIRECT(ADDRESS(ROW(AD106),MOD(AD$1,4)+1)),AD$2)),$E106,"")</f>
        <v/>
      </c>
      <c r="AE106" s="26" t="str" cm="1">
        <f t="array" aca="1" ref="AE106" ca="1">IF(ISNUMBER(SEARCH(INDIRECT(ADDRESS(ROW(AE106),MOD(AE$1,4)+1)),AE$2)),$E106,"")</f>
        <v/>
      </c>
      <c r="AF106" s="26" t="str" cm="1">
        <f t="array" aca="1" ref="AF106" ca="1">IF(ISNUMBER(SEARCH(INDIRECT(ADDRESS(ROW(AF106),MOD(AF$1,4)+1)),AF$2)),$E106,"")</f>
        <v/>
      </c>
      <c r="AG106" s="26" t="str" cm="1">
        <f t="array" aca="1" ref="AG106" ca="1">IF(ISNUMBER(SEARCH(INDIRECT(ADDRESS(ROW(AG106),MOD(AG$1,4)+1)),AG$2)),$E106,"")</f>
        <v/>
      </c>
      <c r="AH106" s="26" t="str" cm="1">
        <f t="array" aca="1" ref="AH106" ca="1">IF(ISNUMBER(SEARCH(INDIRECT(ADDRESS(ROW(AH106),MOD(AH$1,4)+1)),AH$2)),$E106,"")</f>
        <v/>
      </c>
      <c r="AI106" s="26" t="str" cm="1">
        <f t="array" aca="1" ref="AI106" ca="1">IF(ISNUMBER(SEARCH(INDIRECT(ADDRESS(ROW(AI106),MOD(AI$1,4)+1)),AI$2)),$E106,"")</f>
        <v/>
      </c>
      <c r="AJ106" s="26" t="str" cm="1">
        <f t="array" aca="1" ref="AJ106" ca="1">IF(ISNUMBER(SEARCH(INDIRECT(ADDRESS(ROW(AJ106),MOD(AJ$1,4)+1)),AJ$2)),$E106,"")</f>
        <v/>
      </c>
      <c r="AK106" s="26" t="str" cm="1">
        <f t="array" aca="1" ref="AK106" ca="1">IF(ISNUMBER(SEARCH(INDIRECT(ADDRESS(ROW(AK106),MOD(AK$1,4)+1)),AK$2)),$E106,"")</f>
        <v/>
      </c>
      <c r="AL106" s="26" t="str" cm="1">
        <f t="array" aca="1" ref="AL106" ca="1">IF(ISNUMBER(SEARCH(INDIRECT(ADDRESS(ROW(AL106),MOD(AL$1,4)+1)),AL$2)),$E106,"")</f>
        <v/>
      </c>
      <c r="AM106" s="26" t="str" cm="1">
        <f t="array" aca="1" ref="AM106" ca="1">IF(ISNUMBER(SEARCH(INDIRECT(ADDRESS(ROW(AM106),MOD(AM$1,4)+1)),AM$2)),$E106,"")</f>
        <v/>
      </c>
      <c r="AN106" s="26" t="str" cm="1">
        <f t="array" aca="1" ref="AN106" ca="1">IF(ISNUMBER(SEARCH(INDIRECT(ADDRESS(ROW(AN106),MOD(AN$1,4)+1)),AN$2)),$E106,"")</f>
        <v/>
      </c>
      <c r="AO106" s="26" t="str" cm="1">
        <f t="array" aca="1" ref="AO106" ca="1">IF(ISNUMBER(SEARCH(INDIRECT(ADDRESS(ROW(AO106),MOD(AO$1,4)+1)),AO$2)),$E106,"")</f>
        <v/>
      </c>
      <c r="AP106" s="26" t="str" cm="1">
        <f t="array" aca="1" ref="AP106" ca="1">IF(ISNUMBER(SEARCH(INDIRECT(ADDRESS(ROW(AP106),MOD(AP$1,4)+1)),AP$2)),$E106,"")</f>
        <v/>
      </c>
      <c r="AQ106" s="31" t="str" cm="1">
        <f t="array" aca="1" ref="AQ106" ca="1">IF(ISNUMBER(SEARCH(INDIRECT(ADDRESS(ROW(AQ106),MOD(AQ$1,4)+1)),AQ$2)),$E106,"")</f>
        <v/>
      </c>
      <c r="AT106" t="e">
        <f>IF(VLOOKUP($E106,'Formatted NEW'!$B$2:$F$202,5,FALSE)=VLOOKUP($E106,'Formatted NEW'!$B$2:$F$202,8,FALSE),$E106,"")</f>
        <v>#N/A</v>
      </c>
      <c r="AW106" t="e">
        <f>IF(VLOOKUP($E106,'Formatted NEW'!$B$2:$F$202,5,FALSE)=VLOOKUP($E106,'Formatted NEW'!$B$2:$F$202,11,FALSE),$E106,"")</f>
        <v>#N/A</v>
      </c>
      <c r="AZ106" t="e">
        <f>IF(VLOOKUP($E106,'Formatted NEW'!$B$2:$F$202,5,FALSE)=VLOOKUP($E106,'Formatted NEW'!$B$2:$F$202,14,FALSE),$E106,"")</f>
        <v>#N/A</v>
      </c>
      <c r="BC106" t="str">
        <f>VLOOKUP($E106,'Formatted NEW'!$M$2:$T$202,6,FALSE)</f>
        <v>DIAG_BACK</v>
      </c>
      <c r="BD106" s="26" t="e">
        <f>VLOOKUP(VLOOKUP(VLOOKUP($E106,'Formatted NEW'!$M$2:$O$202,2,FALSE),'Formatted NEW'!$D$2:$F$202,7,FALSE),'Formatted NEW'!$D$2:$O$202,12,FALSE)</f>
        <v>#REF!</v>
      </c>
      <c r="BE106" t="e">
        <f>VLOOKUP($BD106,'Formatted NEW'!$M$2:$T$202,5,FALSE)</f>
        <v>#REF!</v>
      </c>
      <c r="BF106" s="26" t="e">
        <f t="shared" si="5"/>
        <v>#REF!</v>
      </c>
      <c r="BH106">
        <f>VLOOKUP($E106,'Formatted NEW'!$M$2:$T$202,4,FALSE)</f>
        <v>0</v>
      </c>
      <c r="BI106" s="26" t="e">
        <f>VLOOKUP(VLOOKUP(VLOOKUP($E106,'Formatted NEW'!$M$2:$O$202,2,FALSE),'Formatted NEW'!$D$2:$F$202,10,FALSE),'Formatted NEW'!$D$2:$O$202,12,FALSE)</f>
        <v>#REF!</v>
      </c>
      <c r="BJ106" t="e">
        <f>VLOOKUP($BI106,'Formatted NEW'!$M$2:$T$202,3,FALSE)</f>
        <v>#REF!</v>
      </c>
      <c r="BK106" s="26" t="e">
        <f t="shared" si="6"/>
        <v>#REF!</v>
      </c>
    </row>
    <row r="107" spans="1:63" x14ac:dyDescent="0.25">
      <c r="A107" t="str">
        <f>'Formatted NEW'!Q105</f>
        <v>EMPTY</v>
      </c>
      <c r="B107" t="str">
        <f>'Formatted NEW'!R105</f>
        <v>DIAG_BOTH</v>
      </c>
      <c r="C107" t="str">
        <f>'Formatted NEW'!S105</f>
        <v>DIAG_BACK</v>
      </c>
      <c r="D107" t="str">
        <f>'Formatted NEW'!T105</f>
        <v>DIAG_FRONT</v>
      </c>
      <c r="E107" s="26">
        <f t="shared" si="7"/>
        <v>103</v>
      </c>
      <c r="H107" s="30" t="str" cm="1">
        <f t="array" aca="1" ref="H107" ca="1">IF(ISNUMBER(SEARCH(INDIRECT(ADDRESS(ROW(H107),MOD(H$1,4)+1)),H$2)),$E107,"")</f>
        <v/>
      </c>
      <c r="I107" s="26" t="str" cm="1">
        <f t="array" aca="1" ref="I107" ca="1">IF(ISNUMBER(SEARCH(INDIRECT(ADDRESS(ROW(I107),MOD(I$1,4)+1)),I$2)),$E107,"")</f>
        <v/>
      </c>
      <c r="J107" s="26" t="str" cm="1">
        <f t="array" aca="1" ref="J107" ca="1">IF(ISNUMBER(SEARCH(INDIRECT(ADDRESS(ROW(J107),MOD(J$1,4)+1)),J$2)),$E107,"")</f>
        <v/>
      </c>
      <c r="K107" s="26" t="str" cm="1">
        <f t="array" aca="1" ref="K107" ca="1">IF(ISNUMBER(SEARCH(INDIRECT(ADDRESS(ROW(K107),MOD(K$1,4)+1)),K$2)),$E107,"")</f>
        <v/>
      </c>
      <c r="L107" s="26" t="str" cm="1">
        <f t="array" aca="1" ref="L107" ca="1">IF(ISNUMBER(SEARCH(INDIRECT(ADDRESS(ROW(L107),MOD(L$1,4)+1)),L$2)),$E107,"")</f>
        <v/>
      </c>
      <c r="M107" s="26" cm="1">
        <f t="array" aca="1" ref="M107" ca="1">IF(ISNUMBER(SEARCH(INDIRECT(ADDRESS(ROW(M107),MOD(M$1,4)+1)),M$2)),$E107,"")</f>
        <v>103</v>
      </c>
      <c r="N107" s="26" t="str" cm="1">
        <f t="array" aca="1" ref="N107" ca="1">IF(ISNUMBER(SEARCH(INDIRECT(ADDRESS(ROW(N107),MOD(N$1,4)+1)),N$2)),$E107,"")</f>
        <v/>
      </c>
      <c r="O107" s="26" t="str" cm="1">
        <f t="array" aca="1" ref="O107" ca="1">IF(ISNUMBER(SEARCH(INDIRECT(ADDRESS(ROW(O107),MOD(O$1,4)+1)),O$2)),$E107,"")</f>
        <v/>
      </c>
      <c r="P107" s="26" t="str" cm="1">
        <f t="array" aca="1" ref="P107" ca="1">IF(ISNUMBER(SEARCH(INDIRECT(ADDRESS(ROW(P107),MOD(P$1,4)+1)),P$2)),$E107,"")</f>
        <v/>
      </c>
      <c r="Q107" s="26" t="str" cm="1">
        <f t="array" aca="1" ref="Q107" ca="1">IF(ISNUMBER(SEARCH(INDIRECT(ADDRESS(ROW(Q107),MOD(Q$1,4)+1)),Q$2)),$E107,"")</f>
        <v/>
      </c>
      <c r="R107" s="26" t="str" cm="1">
        <f t="array" aca="1" ref="R107" ca="1">IF(ISNUMBER(SEARCH(INDIRECT(ADDRESS(ROW(R107),MOD(R$1,4)+1)),R$2)),$E107,"")</f>
        <v/>
      </c>
      <c r="S107" s="26" t="str" cm="1">
        <f t="array" aca="1" ref="S107" ca="1">IF(ISNUMBER(SEARCH(INDIRECT(ADDRESS(ROW(S107),MOD(S$1,4)+1)),S$2)),$E107,"")</f>
        <v/>
      </c>
      <c r="T107" s="26" t="str" cm="1">
        <f t="array" aca="1" ref="T107" ca="1">IF(ISNUMBER(SEARCH(INDIRECT(ADDRESS(ROW(T107),MOD(T$1,4)+1)),T$2)),$E107,"")</f>
        <v/>
      </c>
      <c r="U107" s="26" t="str" cm="1">
        <f t="array" aca="1" ref="U107" ca="1">IF(ISNUMBER(SEARCH(INDIRECT(ADDRESS(ROW(U107),MOD(U$1,4)+1)),U$2)),$E107,"")</f>
        <v/>
      </c>
      <c r="V107" s="26" t="str" cm="1">
        <f t="array" aca="1" ref="V107" ca="1">IF(ISNUMBER(SEARCH(INDIRECT(ADDRESS(ROW(V107),MOD(V$1,4)+1)),V$2)),$E107,"")</f>
        <v/>
      </c>
      <c r="W107" s="26" cm="1">
        <f t="array" aca="1" ref="W107" ca="1">IF(ISNUMBER(SEARCH(INDIRECT(ADDRESS(ROW(W107),MOD(W$1,4)+1)),W$2)),$E107,"")</f>
        <v>103</v>
      </c>
      <c r="X107" s="26" t="str" cm="1">
        <f t="array" aca="1" ref="X107" ca="1">IF(ISNUMBER(SEARCH(INDIRECT(ADDRESS(ROW(X107),MOD(X$1,4)+1)),X$2)),$E107,"")</f>
        <v/>
      </c>
      <c r="Y107" s="26" t="str" cm="1">
        <f t="array" aca="1" ref="Y107" ca="1">IF(ISNUMBER(SEARCH(INDIRECT(ADDRESS(ROW(Y107),MOD(Y$1,4)+1)),Y$2)),$E107,"")</f>
        <v/>
      </c>
      <c r="Z107" s="26" cm="1">
        <f t="array" aca="1" ref="Z107" ca="1">IF(ISNUMBER(SEARCH(INDIRECT(ADDRESS(ROW(Z107),MOD(Z$1,4)+1)),Z$2)),$E107,"")</f>
        <v>103</v>
      </c>
      <c r="AA107" s="26" t="str" cm="1">
        <f t="array" aca="1" ref="AA107" ca="1">IF(ISNUMBER(SEARCH(INDIRECT(ADDRESS(ROW(AA107),MOD(AA$1,4)+1)),AA$2)),$E107,"")</f>
        <v/>
      </c>
      <c r="AB107" s="26" t="str" cm="1">
        <f t="array" aca="1" ref="AB107" ca="1">IF(ISNUMBER(SEARCH(INDIRECT(ADDRESS(ROW(AB107),MOD(AB$1,4)+1)),AB$2)),$E107,"")</f>
        <v/>
      </c>
      <c r="AC107" s="26" t="str" cm="1">
        <f t="array" aca="1" ref="AC107" ca="1">IF(ISNUMBER(SEARCH(INDIRECT(ADDRESS(ROW(AC107),MOD(AC$1,4)+1)),AC$2)),$E107,"")</f>
        <v/>
      </c>
      <c r="AD107" s="26" t="str" cm="1">
        <f t="array" aca="1" ref="AD107" ca="1">IF(ISNUMBER(SEARCH(INDIRECT(ADDRESS(ROW(AD107),MOD(AD$1,4)+1)),AD$2)),$E107,"")</f>
        <v/>
      </c>
      <c r="AE107" s="26" t="str" cm="1">
        <f t="array" aca="1" ref="AE107" ca="1">IF(ISNUMBER(SEARCH(INDIRECT(ADDRESS(ROW(AE107),MOD(AE$1,4)+1)),AE$2)),$E107,"")</f>
        <v/>
      </c>
      <c r="AF107" s="26" t="str" cm="1">
        <f t="array" aca="1" ref="AF107" ca="1">IF(ISNUMBER(SEARCH(INDIRECT(ADDRESS(ROW(AF107),MOD(AF$1,4)+1)),AF$2)),$E107,"")</f>
        <v/>
      </c>
      <c r="AG107" s="26" t="str" cm="1">
        <f t="array" aca="1" ref="AG107" ca="1">IF(ISNUMBER(SEARCH(INDIRECT(ADDRESS(ROW(AG107),MOD(AG$1,4)+1)),AG$2)),$E107,"")</f>
        <v/>
      </c>
      <c r="AH107" s="26" t="str" cm="1">
        <f t="array" aca="1" ref="AH107" ca="1">IF(ISNUMBER(SEARCH(INDIRECT(ADDRESS(ROW(AH107),MOD(AH$1,4)+1)),AH$2)),$E107,"")</f>
        <v/>
      </c>
      <c r="AI107" s="26" t="str" cm="1">
        <f t="array" aca="1" ref="AI107" ca="1">IF(ISNUMBER(SEARCH(INDIRECT(ADDRESS(ROW(AI107),MOD(AI$1,4)+1)),AI$2)),$E107,"")</f>
        <v/>
      </c>
      <c r="AJ107" s="26" t="str" cm="1">
        <f t="array" aca="1" ref="AJ107" ca="1">IF(ISNUMBER(SEARCH(INDIRECT(ADDRESS(ROW(AJ107),MOD(AJ$1,4)+1)),AJ$2)),$E107,"")</f>
        <v/>
      </c>
      <c r="AK107" s="26" t="str" cm="1">
        <f t="array" aca="1" ref="AK107" ca="1">IF(ISNUMBER(SEARCH(INDIRECT(ADDRESS(ROW(AK107),MOD(AK$1,4)+1)),AK$2)),$E107,"")</f>
        <v/>
      </c>
      <c r="AL107" s="26" t="str" cm="1">
        <f t="array" aca="1" ref="AL107" ca="1">IF(ISNUMBER(SEARCH(INDIRECT(ADDRESS(ROW(AL107),MOD(AL$1,4)+1)),AL$2)),$E107,"")</f>
        <v/>
      </c>
      <c r="AM107" s="26" t="str" cm="1">
        <f t="array" aca="1" ref="AM107" ca="1">IF(ISNUMBER(SEARCH(INDIRECT(ADDRESS(ROW(AM107),MOD(AM$1,4)+1)),AM$2)),$E107,"")</f>
        <v/>
      </c>
      <c r="AN107" s="26" t="str" cm="1">
        <f t="array" aca="1" ref="AN107" ca="1">IF(ISNUMBER(SEARCH(INDIRECT(ADDRESS(ROW(AN107),MOD(AN$1,4)+1)),AN$2)),$E107,"")</f>
        <v/>
      </c>
      <c r="AO107" s="26" t="str" cm="1">
        <f t="array" aca="1" ref="AO107" ca="1">IF(ISNUMBER(SEARCH(INDIRECT(ADDRESS(ROW(AO107),MOD(AO$1,4)+1)),AO$2)),$E107,"")</f>
        <v/>
      </c>
      <c r="AP107" s="26" t="str" cm="1">
        <f t="array" aca="1" ref="AP107" ca="1">IF(ISNUMBER(SEARCH(INDIRECT(ADDRESS(ROW(AP107),MOD(AP$1,4)+1)),AP$2)),$E107,"")</f>
        <v/>
      </c>
      <c r="AQ107" s="31" t="str" cm="1">
        <f t="array" aca="1" ref="AQ107" ca="1">IF(ISNUMBER(SEARCH(INDIRECT(ADDRESS(ROW(AQ107),MOD(AQ$1,4)+1)),AQ$2)),$E107,"")</f>
        <v/>
      </c>
      <c r="AT107" t="e">
        <f>IF(VLOOKUP($E107,'Formatted NEW'!$B$2:$F$202,5,FALSE)=VLOOKUP($E107,'Formatted NEW'!$B$2:$F$202,8,FALSE),$E107,"")</f>
        <v>#N/A</v>
      </c>
      <c r="AW107" t="e">
        <f>IF(VLOOKUP($E107,'Formatted NEW'!$B$2:$F$202,5,FALSE)=VLOOKUP($E107,'Formatted NEW'!$B$2:$F$202,11,FALSE),$E107,"")</f>
        <v>#N/A</v>
      </c>
      <c r="AZ107" t="e">
        <f>IF(VLOOKUP($E107,'Formatted NEW'!$B$2:$F$202,5,FALSE)=VLOOKUP($E107,'Formatted NEW'!$B$2:$F$202,14,FALSE),$E107,"")</f>
        <v>#N/A</v>
      </c>
      <c r="BC107" t="str">
        <f>VLOOKUP($E107,'Formatted NEW'!$M$2:$T$202,6,FALSE)</f>
        <v>DIAG_BOTH</v>
      </c>
      <c r="BD107" s="26" t="e">
        <f>VLOOKUP(VLOOKUP(VLOOKUP($E107,'Formatted NEW'!$M$2:$O$202,2,FALSE),'Formatted NEW'!$D$2:$F$202,7,FALSE),'Formatted NEW'!$D$2:$O$202,12,FALSE)</f>
        <v>#REF!</v>
      </c>
      <c r="BE107" t="e">
        <f>VLOOKUP($BD107,'Formatted NEW'!$M$2:$T$202,5,FALSE)</f>
        <v>#REF!</v>
      </c>
      <c r="BF107" s="26" t="e">
        <f t="shared" si="5"/>
        <v>#REF!</v>
      </c>
      <c r="BH107">
        <f>VLOOKUP($E107,'Formatted NEW'!$M$2:$T$202,4,FALSE)</f>
        <v>0</v>
      </c>
      <c r="BI107" s="26" t="e">
        <f>VLOOKUP(VLOOKUP(VLOOKUP($E107,'Formatted NEW'!$M$2:$O$202,2,FALSE),'Formatted NEW'!$D$2:$F$202,10,FALSE),'Formatted NEW'!$D$2:$O$202,12,FALSE)</f>
        <v>#REF!</v>
      </c>
      <c r="BJ107" t="e">
        <f>VLOOKUP($BI107,'Formatted NEW'!$M$2:$T$202,3,FALSE)</f>
        <v>#REF!</v>
      </c>
      <c r="BK107" s="26" t="e">
        <f t="shared" si="6"/>
        <v>#REF!</v>
      </c>
    </row>
    <row r="108" spans="1:63" x14ac:dyDescent="0.25">
      <c r="A108" t="str">
        <f>'Formatted NEW'!Q106</f>
        <v>DIAG_BACK</v>
      </c>
      <c r="B108" t="str">
        <f>'Formatted NEW'!R106</f>
        <v>DIAG_FRONT</v>
      </c>
      <c r="C108" t="str">
        <f>'Formatted NEW'!S106</f>
        <v>DIAG_BOTH</v>
      </c>
      <c r="D108" t="str">
        <f>'Formatted NEW'!T106</f>
        <v>EMPTY</v>
      </c>
      <c r="E108" s="26">
        <f t="shared" si="7"/>
        <v>104</v>
      </c>
      <c r="H108" s="30" t="str" cm="1">
        <f t="array" aca="1" ref="H108" ca="1">IF(ISNUMBER(SEARCH(INDIRECT(ADDRESS(ROW(H108),MOD(H$1,4)+1)),H$2)),$E108,"")</f>
        <v/>
      </c>
      <c r="I108" s="26" t="str" cm="1">
        <f t="array" aca="1" ref="I108" ca="1">IF(ISNUMBER(SEARCH(INDIRECT(ADDRESS(ROW(I108),MOD(I$1,4)+1)),I$2)),$E108,"")</f>
        <v/>
      </c>
      <c r="J108" s="26" t="str" cm="1">
        <f t="array" aca="1" ref="J108" ca="1">IF(ISNUMBER(SEARCH(INDIRECT(ADDRESS(ROW(J108),MOD(J$1,4)+1)),J$2)),$E108,"")</f>
        <v/>
      </c>
      <c r="K108" s="26" t="str" cm="1">
        <f t="array" aca="1" ref="K108" ca="1">IF(ISNUMBER(SEARCH(INDIRECT(ADDRESS(ROW(K108),MOD(K$1,4)+1)),K$2)),$E108,"")</f>
        <v/>
      </c>
      <c r="L108" s="26" t="str" cm="1">
        <f t="array" aca="1" ref="L108" ca="1">IF(ISNUMBER(SEARCH(INDIRECT(ADDRESS(ROW(L108),MOD(L$1,4)+1)),L$2)),$E108,"")</f>
        <v/>
      </c>
      <c r="M108" s="26" t="str" cm="1">
        <f t="array" aca="1" ref="M108" ca="1">IF(ISNUMBER(SEARCH(INDIRECT(ADDRESS(ROW(M108),MOD(M$1,4)+1)),M$2)),$E108,"")</f>
        <v/>
      </c>
      <c r="N108" s="26" cm="1">
        <f t="array" aca="1" ref="N108" ca="1">IF(ISNUMBER(SEARCH(INDIRECT(ADDRESS(ROW(N108),MOD(N$1,4)+1)),N$2)),$E108,"")</f>
        <v>104</v>
      </c>
      <c r="O108" s="26" t="str" cm="1">
        <f t="array" aca="1" ref="O108" ca="1">IF(ISNUMBER(SEARCH(INDIRECT(ADDRESS(ROW(O108),MOD(O$1,4)+1)),O$2)),$E108,"")</f>
        <v/>
      </c>
      <c r="P108" s="26" t="str" cm="1">
        <f t="array" aca="1" ref="P108" ca="1">IF(ISNUMBER(SEARCH(INDIRECT(ADDRESS(ROW(P108),MOD(P$1,4)+1)),P$2)),$E108,"")</f>
        <v/>
      </c>
      <c r="Q108" s="26" t="str" cm="1">
        <f t="array" aca="1" ref="Q108" ca="1">IF(ISNUMBER(SEARCH(INDIRECT(ADDRESS(ROW(Q108),MOD(Q$1,4)+1)),Q$2)),$E108,"")</f>
        <v/>
      </c>
      <c r="R108" s="26" t="str" cm="1">
        <f t="array" aca="1" ref="R108" ca="1">IF(ISNUMBER(SEARCH(INDIRECT(ADDRESS(ROW(R108),MOD(R$1,4)+1)),R$2)),$E108,"")</f>
        <v/>
      </c>
      <c r="S108" s="26" t="str" cm="1">
        <f t="array" aca="1" ref="S108" ca="1">IF(ISNUMBER(SEARCH(INDIRECT(ADDRESS(ROW(S108),MOD(S$1,4)+1)),S$2)),$E108,"")</f>
        <v/>
      </c>
      <c r="T108" s="26" t="str" cm="1">
        <f t="array" aca="1" ref="T108" ca="1">IF(ISNUMBER(SEARCH(INDIRECT(ADDRESS(ROW(T108),MOD(T$1,4)+1)),T$2)),$E108,"")</f>
        <v/>
      </c>
      <c r="U108" s="26" cm="1">
        <f t="array" aca="1" ref="U108" ca="1">IF(ISNUMBER(SEARCH(INDIRECT(ADDRESS(ROW(U108),MOD(U$1,4)+1)),U$2)),$E108,"")</f>
        <v>104</v>
      </c>
      <c r="V108" s="26" t="str" cm="1">
        <f t="array" aca="1" ref="V108" ca="1">IF(ISNUMBER(SEARCH(INDIRECT(ADDRESS(ROW(V108),MOD(V$1,4)+1)),V$2)),$E108,"")</f>
        <v/>
      </c>
      <c r="W108" s="26" t="str" cm="1">
        <f t="array" aca="1" ref="W108" ca="1">IF(ISNUMBER(SEARCH(INDIRECT(ADDRESS(ROW(W108),MOD(W$1,4)+1)),W$2)),$E108,"")</f>
        <v/>
      </c>
      <c r="X108" s="26" cm="1">
        <f t="array" aca="1" ref="X108" ca="1">IF(ISNUMBER(SEARCH(INDIRECT(ADDRESS(ROW(X108),MOD(X$1,4)+1)),X$2)),$E108,"")</f>
        <v>104</v>
      </c>
      <c r="Y108" s="26" t="str" cm="1">
        <f t="array" aca="1" ref="Y108" ca="1">IF(ISNUMBER(SEARCH(INDIRECT(ADDRESS(ROW(Y108),MOD(Y$1,4)+1)),Y$2)),$E108,"")</f>
        <v/>
      </c>
      <c r="Z108" s="26" t="str" cm="1">
        <f t="array" aca="1" ref="Z108" ca="1">IF(ISNUMBER(SEARCH(INDIRECT(ADDRESS(ROW(Z108),MOD(Z$1,4)+1)),Z$2)),$E108,"")</f>
        <v/>
      </c>
      <c r="AA108" s="26" t="str" cm="1">
        <f t="array" aca="1" ref="AA108" ca="1">IF(ISNUMBER(SEARCH(INDIRECT(ADDRESS(ROW(AA108),MOD(AA$1,4)+1)),AA$2)),$E108,"")</f>
        <v/>
      </c>
      <c r="AB108" s="26" t="str" cm="1">
        <f t="array" aca="1" ref="AB108" ca="1">IF(ISNUMBER(SEARCH(INDIRECT(ADDRESS(ROW(AB108),MOD(AB$1,4)+1)),AB$2)),$E108,"")</f>
        <v/>
      </c>
      <c r="AC108" s="26" t="str" cm="1">
        <f t="array" aca="1" ref="AC108" ca="1">IF(ISNUMBER(SEARCH(INDIRECT(ADDRESS(ROW(AC108),MOD(AC$1,4)+1)),AC$2)),$E108,"")</f>
        <v/>
      </c>
      <c r="AD108" s="26" t="str" cm="1">
        <f t="array" aca="1" ref="AD108" ca="1">IF(ISNUMBER(SEARCH(INDIRECT(ADDRESS(ROW(AD108),MOD(AD$1,4)+1)),AD$2)),$E108,"")</f>
        <v/>
      </c>
      <c r="AE108" s="26" t="str" cm="1">
        <f t="array" aca="1" ref="AE108" ca="1">IF(ISNUMBER(SEARCH(INDIRECT(ADDRESS(ROW(AE108),MOD(AE$1,4)+1)),AE$2)),$E108,"")</f>
        <v/>
      </c>
      <c r="AF108" s="26" t="str" cm="1">
        <f t="array" aca="1" ref="AF108" ca="1">IF(ISNUMBER(SEARCH(INDIRECT(ADDRESS(ROW(AF108),MOD(AF$1,4)+1)),AF$2)),$E108,"")</f>
        <v/>
      </c>
      <c r="AG108" s="26" t="str" cm="1">
        <f t="array" aca="1" ref="AG108" ca="1">IF(ISNUMBER(SEARCH(INDIRECT(ADDRESS(ROW(AG108),MOD(AG$1,4)+1)),AG$2)),$E108,"")</f>
        <v/>
      </c>
      <c r="AH108" s="26" t="str" cm="1">
        <f t="array" aca="1" ref="AH108" ca="1">IF(ISNUMBER(SEARCH(INDIRECT(ADDRESS(ROW(AH108),MOD(AH$1,4)+1)),AH$2)),$E108,"")</f>
        <v/>
      </c>
      <c r="AI108" s="26" t="str" cm="1">
        <f t="array" aca="1" ref="AI108" ca="1">IF(ISNUMBER(SEARCH(INDIRECT(ADDRESS(ROW(AI108),MOD(AI$1,4)+1)),AI$2)),$E108,"")</f>
        <v/>
      </c>
      <c r="AJ108" s="26" t="str" cm="1">
        <f t="array" aca="1" ref="AJ108" ca="1">IF(ISNUMBER(SEARCH(INDIRECT(ADDRESS(ROW(AJ108),MOD(AJ$1,4)+1)),AJ$2)),$E108,"")</f>
        <v/>
      </c>
      <c r="AK108" s="26" t="str" cm="1">
        <f t="array" aca="1" ref="AK108" ca="1">IF(ISNUMBER(SEARCH(INDIRECT(ADDRESS(ROW(AK108),MOD(AK$1,4)+1)),AK$2)),$E108,"")</f>
        <v/>
      </c>
      <c r="AL108" s="26" t="str" cm="1">
        <f t="array" aca="1" ref="AL108" ca="1">IF(ISNUMBER(SEARCH(INDIRECT(ADDRESS(ROW(AL108),MOD(AL$1,4)+1)),AL$2)),$E108,"")</f>
        <v/>
      </c>
      <c r="AM108" s="26" t="str" cm="1">
        <f t="array" aca="1" ref="AM108" ca="1">IF(ISNUMBER(SEARCH(INDIRECT(ADDRESS(ROW(AM108),MOD(AM$1,4)+1)),AM$2)),$E108,"")</f>
        <v/>
      </c>
      <c r="AN108" s="26" t="str" cm="1">
        <f t="array" aca="1" ref="AN108" ca="1">IF(ISNUMBER(SEARCH(INDIRECT(ADDRESS(ROW(AN108),MOD(AN$1,4)+1)),AN$2)),$E108,"")</f>
        <v/>
      </c>
      <c r="AO108" s="26" t="str" cm="1">
        <f t="array" aca="1" ref="AO108" ca="1">IF(ISNUMBER(SEARCH(INDIRECT(ADDRESS(ROW(AO108),MOD(AO$1,4)+1)),AO$2)),$E108,"")</f>
        <v/>
      </c>
      <c r="AP108" s="26" t="str" cm="1">
        <f t="array" aca="1" ref="AP108" ca="1">IF(ISNUMBER(SEARCH(INDIRECT(ADDRESS(ROW(AP108),MOD(AP$1,4)+1)),AP$2)),$E108,"")</f>
        <v/>
      </c>
      <c r="AQ108" s="31" t="str" cm="1">
        <f t="array" aca="1" ref="AQ108" ca="1">IF(ISNUMBER(SEARCH(INDIRECT(ADDRESS(ROW(AQ108),MOD(AQ$1,4)+1)),AQ$2)),$E108,"")</f>
        <v/>
      </c>
      <c r="AT108" t="e">
        <f>IF(VLOOKUP($E108,'Formatted NEW'!$B$2:$F$202,5,FALSE)=VLOOKUP($E108,'Formatted NEW'!$B$2:$F$202,8,FALSE),$E108,"")</f>
        <v>#N/A</v>
      </c>
      <c r="AW108" t="e">
        <f>IF(VLOOKUP($E108,'Formatted NEW'!$B$2:$F$202,5,FALSE)=VLOOKUP($E108,'Formatted NEW'!$B$2:$F$202,11,FALSE),$E108,"")</f>
        <v>#N/A</v>
      </c>
      <c r="AZ108" t="e">
        <f>IF(VLOOKUP($E108,'Formatted NEW'!$B$2:$F$202,5,FALSE)=VLOOKUP($E108,'Formatted NEW'!$B$2:$F$202,14,FALSE),$E108,"")</f>
        <v>#N/A</v>
      </c>
      <c r="BC108" t="str">
        <f>VLOOKUP($E108,'Formatted NEW'!$M$2:$T$202,6,FALSE)</f>
        <v>DIAG_FRONT</v>
      </c>
      <c r="BD108" s="26" t="e">
        <f>VLOOKUP(VLOOKUP(VLOOKUP($E108,'Formatted NEW'!$M$2:$O$202,2,FALSE),'Formatted NEW'!$D$2:$F$202,7,FALSE),'Formatted NEW'!$D$2:$O$202,12,FALSE)</f>
        <v>#REF!</v>
      </c>
      <c r="BE108" t="e">
        <f>VLOOKUP($BD108,'Formatted NEW'!$M$2:$T$202,5,FALSE)</f>
        <v>#REF!</v>
      </c>
      <c r="BF108" s="26" t="e">
        <f t="shared" si="5"/>
        <v>#REF!</v>
      </c>
      <c r="BH108">
        <f>VLOOKUP($E108,'Formatted NEW'!$M$2:$T$202,4,FALSE)</f>
        <v>0</v>
      </c>
      <c r="BI108" s="26" t="e">
        <f>VLOOKUP(VLOOKUP(VLOOKUP($E108,'Formatted NEW'!$M$2:$O$202,2,FALSE),'Formatted NEW'!$D$2:$F$202,10,FALSE),'Formatted NEW'!$D$2:$O$202,12,FALSE)</f>
        <v>#REF!</v>
      </c>
      <c r="BJ108" t="e">
        <f>VLOOKUP($BI108,'Formatted NEW'!$M$2:$T$202,3,FALSE)</f>
        <v>#REF!</v>
      </c>
      <c r="BK108" s="26" t="e">
        <f t="shared" si="6"/>
        <v>#REF!</v>
      </c>
    </row>
    <row r="109" spans="1:63" x14ac:dyDescent="0.25">
      <c r="A109" t="str">
        <f>'Formatted NEW'!Q107</f>
        <v>DIAG_BOTH</v>
      </c>
      <c r="B109" t="str">
        <f>'Formatted NEW'!R107</f>
        <v>EMPTY</v>
      </c>
      <c r="C109" t="str">
        <f>'Formatted NEW'!S107</f>
        <v>DIAG_FRONT</v>
      </c>
      <c r="D109" t="str">
        <f>'Formatted NEW'!T107</f>
        <v>DIAG_BACK</v>
      </c>
      <c r="E109" s="26">
        <f t="shared" si="7"/>
        <v>105</v>
      </c>
      <c r="H109" s="30" t="str" cm="1">
        <f t="array" aca="1" ref="H109" ca="1">IF(ISNUMBER(SEARCH(INDIRECT(ADDRESS(ROW(H109),MOD(H$1,4)+1)),H$2)),$E109,"")</f>
        <v/>
      </c>
      <c r="I109" s="26" t="str" cm="1">
        <f t="array" aca="1" ref="I109" ca="1">IF(ISNUMBER(SEARCH(INDIRECT(ADDRESS(ROW(I109),MOD(I$1,4)+1)),I$2)),$E109,"")</f>
        <v/>
      </c>
      <c r="J109" s="26" t="str" cm="1">
        <f t="array" aca="1" ref="J109" ca="1">IF(ISNUMBER(SEARCH(INDIRECT(ADDRESS(ROW(J109),MOD(J$1,4)+1)),J$2)),$E109,"")</f>
        <v/>
      </c>
      <c r="K109" s="26" t="str" cm="1">
        <f t="array" aca="1" ref="K109" ca="1">IF(ISNUMBER(SEARCH(INDIRECT(ADDRESS(ROW(K109),MOD(K$1,4)+1)),K$2)),$E109,"")</f>
        <v/>
      </c>
      <c r="L109" s="26" cm="1">
        <f t="array" aca="1" ref="L109" ca="1">IF(ISNUMBER(SEARCH(INDIRECT(ADDRESS(ROW(L109),MOD(L$1,4)+1)),L$2)),$E109,"")</f>
        <v>105</v>
      </c>
      <c r="M109" s="26" t="str" cm="1">
        <f t="array" aca="1" ref="M109" ca="1">IF(ISNUMBER(SEARCH(INDIRECT(ADDRESS(ROW(M109),MOD(M$1,4)+1)),M$2)),$E109,"")</f>
        <v/>
      </c>
      <c r="N109" s="26" t="str" cm="1">
        <f t="array" aca="1" ref="N109" ca="1">IF(ISNUMBER(SEARCH(INDIRECT(ADDRESS(ROW(N109),MOD(N$1,4)+1)),N$2)),$E109,"")</f>
        <v/>
      </c>
      <c r="O109" s="26" t="str" cm="1">
        <f t="array" aca="1" ref="O109" ca="1">IF(ISNUMBER(SEARCH(INDIRECT(ADDRESS(ROW(O109),MOD(O$1,4)+1)),O$2)),$E109,"")</f>
        <v/>
      </c>
      <c r="P109" s="26" t="str" cm="1">
        <f t="array" aca="1" ref="P109" ca="1">IF(ISNUMBER(SEARCH(INDIRECT(ADDRESS(ROW(P109),MOD(P$1,4)+1)),P$2)),$E109,"")</f>
        <v/>
      </c>
      <c r="Q109" s="26" t="str" cm="1">
        <f t="array" aca="1" ref="Q109" ca="1">IF(ISNUMBER(SEARCH(INDIRECT(ADDRESS(ROW(Q109),MOD(Q$1,4)+1)),Q$2)),$E109,"")</f>
        <v/>
      </c>
      <c r="R109" s="26" t="str" cm="1">
        <f t="array" aca="1" ref="R109" ca="1">IF(ISNUMBER(SEARCH(INDIRECT(ADDRESS(ROW(R109),MOD(R$1,4)+1)),R$2)),$E109,"")</f>
        <v/>
      </c>
      <c r="S109" s="26" t="str" cm="1">
        <f t="array" aca="1" ref="S109" ca="1">IF(ISNUMBER(SEARCH(INDIRECT(ADDRESS(ROW(S109),MOD(S$1,4)+1)),S$2)),$E109,"")</f>
        <v/>
      </c>
      <c r="T109" s="26" t="str" cm="1">
        <f t="array" aca="1" ref="T109" ca="1">IF(ISNUMBER(SEARCH(INDIRECT(ADDRESS(ROW(T109),MOD(T$1,4)+1)),T$2)),$E109,"")</f>
        <v/>
      </c>
      <c r="U109" s="26" t="str" cm="1">
        <f t="array" aca="1" ref="U109" ca="1">IF(ISNUMBER(SEARCH(INDIRECT(ADDRESS(ROW(U109),MOD(U$1,4)+1)),U$2)),$E109,"")</f>
        <v/>
      </c>
      <c r="V109" s="26" cm="1">
        <f t="array" aca="1" ref="V109" ca="1">IF(ISNUMBER(SEARCH(INDIRECT(ADDRESS(ROW(V109),MOD(V$1,4)+1)),V$2)),$E109,"")</f>
        <v>105</v>
      </c>
      <c r="W109" s="26" t="str" cm="1">
        <f t="array" aca="1" ref="W109" ca="1">IF(ISNUMBER(SEARCH(INDIRECT(ADDRESS(ROW(W109),MOD(W$1,4)+1)),W$2)),$E109,"")</f>
        <v/>
      </c>
      <c r="X109" s="26" t="str" cm="1">
        <f t="array" aca="1" ref="X109" ca="1">IF(ISNUMBER(SEARCH(INDIRECT(ADDRESS(ROW(X109),MOD(X$1,4)+1)),X$2)),$E109,"")</f>
        <v/>
      </c>
      <c r="Y109" s="26" t="str" cm="1">
        <f t="array" aca="1" ref="Y109" ca="1">IF(ISNUMBER(SEARCH(INDIRECT(ADDRESS(ROW(Y109),MOD(Y$1,4)+1)),Y$2)),$E109,"")</f>
        <v/>
      </c>
      <c r="Z109" s="26" t="str" cm="1">
        <f t="array" aca="1" ref="Z109" ca="1">IF(ISNUMBER(SEARCH(INDIRECT(ADDRESS(ROW(Z109),MOD(Z$1,4)+1)),Z$2)),$E109,"")</f>
        <v/>
      </c>
      <c r="AA109" s="26" cm="1">
        <f t="array" aca="1" ref="AA109" ca="1">IF(ISNUMBER(SEARCH(INDIRECT(ADDRESS(ROW(AA109),MOD(AA$1,4)+1)),AA$2)),$E109,"")</f>
        <v>105</v>
      </c>
      <c r="AB109" s="26" t="str" cm="1">
        <f t="array" aca="1" ref="AB109" ca="1">IF(ISNUMBER(SEARCH(INDIRECT(ADDRESS(ROW(AB109),MOD(AB$1,4)+1)),AB$2)),$E109,"")</f>
        <v/>
      </c>
      <c r="AC109" s="26" t="str" cm="1">
        <f t="array" aca="1" ref="AC109" ca="1">IF(ISNUMBER(SEARCH(INDIRECT(ADDRESS(ROW(AC109),MOD(AC$1,4)+1)),AC$2)),$E109,"")</f>
        <v/>
      </c>
      <c r="AD109" s="26" t="str" cm="1">
        <f t="array" aca="1" ref="AD109" ca="1">IF(ISNUMBER(SEARCH(INDIRECT(ADDRESS(ROW(AD109),MOD(AD$1,4)+1)),AD$2)),$E109,"")</f>
        <v/>
      </c>
      <c r="AE109" s="26" t="str" cm="1">
        <f t="array" aca="1" ref="AE109" ca="1">IF(ISNUMBER(SEARCH(INDIRECT(ADDRESS(ROW(AE109),MOD(AE$1,4)+1)),AE$2)),$E109,"")</f>
        <v/>
      </c>
      <c r="AF109" s="26" t="str" cm="1">
        <f t="array" aca="1" ref="AF109" ca="1">IF(ISNUMBER(SEARCH(INDIRECT(ADDRESS(ROW(AF109),MOD(AF$1,4)+1)),AF$2)),$E109,"")</f>
        <v/>
      </c>
      <c r="AG109" s="26" t="str" cm="1">
        <f t="array" aca="1" ref="AG109" ca="1">IF(ISNUMBER(SEARCH(INDIRECT(ADDRESS(ROW(AG109),MOD(AG$1,4)+1)),AG$2)),$E109,"")</f>
        <v/>
      </c>
      <c r="AH109" s="26" t="str" cm="1">
        <f t="array" aca="1" ref="AH109" ca="1">IF(ISNUMBER(SEARCH(INDIRECT(ADDRESS(ROW(AH109),MOD(AH$1,4)+1)),AH$2)),$E109,"")</f>
        <v/>
      </c>
      <c r="AI109" s="26" t="str" cm="1">
        <f t="array" aca="1" ref="AI109" ca="1">IF(ISNUMBER(SEARCH(INDIRECT(ADDRESS(ROW(AI109),MOD(AI$1,4)+1)),AI$2)),$E109,"")</f>
        <v/>
      </c>
      <c r="AJ109" s="26" t="str" cm="1">
        <f t="array" aca="1" ref="AJ109" ca="1">IF(ISNUMBER(SEARCH(INDIRECT(ADDRESS(ROW(AJ109),MOD(AJ$1,4)+1)),AJ$2)),$E109,"")</f>
        <v/>
      </c>
      <c r="AK109" s="26" t="str" cm="1">
        <f t="array" aca="1" ref="AK109" ca="1">IF(ISNUMBER(SEARCH(INDIRECT(ADDRESS(ROW(AK109),MOD(AK$1,4)+1)),AK$2)),$E109,"")</f>
        <v/>
      </c>
      <c r="AL109" s="26" t="str" cm="1">
        <f t="array" aca="1" ref="AL109" ca="1">IF(ISNUMBER(SEARCH(INDIRECT(ADDRESS(ROW(AL109),MOD(AL$1,4)+1)),AL$2)),$E109,"")</f>
        <v/>
      </c>
      <c r="AM109" s="26" t="str" cm="1">
        <f t="array" aca="1" ref="AM109" ca="1">IF(ISNUMBER(SEARCH(INDIRECT(ADDRESS(ROW(AM109),MOD(AM$1,4)+1)),AM$2)),$E109,"")</f>
        <v/>
      </c>
      <c r="AN109" s="26" t="str" cm="1">
        <f t="array" aca="1" ref="AN109" ca="1">IF(ISNUMBER(SEARCH(INDIRECT(ADDRESS(ROW(AN109),MOD(AN$1,4)+1)),AN$2)),$E109,"")</f>
        <v/>
      </c>
      <c r="AO109" s="26" t="str" cm="1">
        <f t="array" aca="1" ref="AO109" ca="1">IF(ISNUMBER(SEARCH(INDIRECT(ADDRESS(ROW(AO109),MOD(AO$1,4)+1)),AO$2)),$E109,"")</f>
        <v/>
      </c>
      <c r="AP109" s="26" t="str" cm="1">
        <f t="array" aca="1" ref="AP109" ca="1">IF(ISNUMBER(SEARCH(INDIRECT(ADDRESS(ROW(AP109),MOD(AP$1,4)+1)),AP$2)),$E109,"")</f>
        <v/>
      </c>
      <c r="AQ109" s="31" t="str" cm="1">
        <f t="array" aca="1" ref="AQ109" ca="1">IF(ISNUMBER(SEARCH(INDIRECT(ADDRESS(ROW(AQ109),MOD(AQ$1,4)+1)),AQ$2)),$E109,"")</f>
        <v/>
      </c>
      <c r="AT109" t="e">
        <f>IF(VLOOKUP($E109,'Formatted NEW'!$B$2:$F$202,5,FALSE)=VLOOKUP($E109,'Formatted NEW'!$B$2:$F$202,8,FALSE),$E109,"")</f>
        <v>#N/A</v>
      </c>
      <c r="AW109" t="e">
        <f>IF(VLOOKUP($E109,'Formatted NEW'!$B$2:$F$202,5,FALSE)=VLOOKUP($E109,'Formatted NEW'!$B$2:$F$202,11,FALSE),$E109,"")</f>
        <v>#N/A</v>
      </c>
      <c r="AZ109" t="e">
        <f>IF(VLOOKUP($E109,'Formatted NEW'!$B$2:$F$202,5,FALSE)=VLOOKUP($E109,'Formatted NEW'!$B$2:$F$202,14,FALSE),$E109,"")</f>
        <v>#N/A</v>
      </c>
      <c r="BC109" t="str">
        <f>VLOOKUP($E109,'Formatted NEW'!$M$2:$T$202,6,FALSE)</f>
        <v>EMPTY</v>
      </c>
      <c r="BD109" s="26" t="e">
        <f>VLOOKUP(VLOOKUP(VLOOKUP($E109,'Formatted NEW'!$M$2:$O$202,2,FALSE),'Formatted NEW'!$D$2:$F$202,7,FALSE),'Formatted NEW'!$D$2:$O$202,12,FALSE)</f>
        <v>#REF!</v>
      </c>
      <c r="BE109" t="e">
        <f>VLOOKUP($BD109,'Formatted NEW'!$M$2:$T$202,5,FALSE)</f>
        <v>#REF!</v>
      </c>
      <c r="BF109" s="26" t="e">
        <f t="shared" si="5"/>
        <v>#REF!</v>
      </c>
      <c r="BH109">
        <f>VLOOKUP($E109,'Formatted NEW'!$M$2:$T$202,4,FALSE)</f>
        <v>0</v>
      </c>
      <c r="BI109" s="26" t="e">
        <f>VLOOKUP(VLOOKUP(VLOOKUP($E109,'Formatted NEW'!$M$2:$O$202,2,FALSE),'Formatted NEW'!$D$2:$F$202,10,FALSE),'Formatted NEW'!$D$2:$O$202,12,FALSE)</f>
        <v>#REF!</v>
      </c>
      <c r="BJ109" t="e">
        <f>VLOOKUP($BI109,'Formatted NEW'!$M$2:$T$202,3,FALSE)</f>
        <v>#REF!</v>
      </c>
      <c r="BK109" s="26" t="e">
        <f t="shared" si="6"/>
        <v>#REF!</v>
      </c>
    </row>
    <row r="110" spans="1:63" x14ac:dyDescent="0.25">
      <c r="A110" t="str">
        <f>'Formatted NEW'!Q108</f>
        <v>DIAG_FRONT</v>
      </c>
      <c r="B110" t="str">
        <f>'Formatted NEW'!R108</f>
        <v>DIAG_BACK</v>
      </c>
      <c r="C110" t="str">
        <f>'Formatted NEW'!S108</f>
        <v>EMPTY</v>
      </c>
      <c r="D110" t="str">
        <f>'Formatted NEW'!T108</f>
        <v>DIAG_BOTH</v>
      </c>
      <c r="E110" s="26">
        <f t="shared" si="7"/>
        <v>106</v>
      </c>
      <c r="H110" s="30" t="str" cm="1">
        <f t="array" aca="1" ref="H110" ca="1">IF(ISNUMBER(SEARCH(INDIRECT(ADDRESS(ROW(H110),MOD(H$1,4)+1)),H$2)),$E110,"")</f>
        <v/>
      </c>
      <c r="I110" s="26" t="str" cm="1">
        <f t="array" aca="1" ref="I110" ca="1">IF(ISNUMBER(SEARCH(INDIRECT(ADDRESS(ROW(I110),MOD(I$1,4)+1)),I$2)),$E110,"")</f>
        <v/>
      </c>
      <c r="J110" s="26" t="str" cm="1">
        <f t="array" aca="1" ref="J110" ca="1">IF(ISNUMBER(SEARCH(INDIRECT(ADDRESS(ROW(J110),MOD(J$1,4)+1)),J$2)),$E110,"")</f>
        <v/>
      </c>
      <c r="K110" s="26" t="str" cm="1">
        <f t="array" aca="1" ref="K110" ca="1">IF(ISNUMBER(SEARCH(INDIRECT(ADDRESS(ROW(K110),MOD(K$1,4)+1)),K$2)),$E110,"")</f>
        <v/>
      </c>
      <c r="L110" s="26" t="str" cm="1">
        <f t="array" aca="1" ref="L110" ca="1">IF(ISNUMBER(SEARCH(INDIRECT(ADDRESS(ROW(L110),MOD(L$1,4)+1)),L$2)),$E110,"")</f>
        <v/>
      </c>
      <c r="M110" s="26" t="str" cm="1">
        <f t="array" aca="1" ref="M110" ca="1">IF(ISNUMBER(SEARCH(INDIRECT(ADDRESS(ROW(M110),MOD(M$1,4)+1)),M$2)),$E110,"")</f>
        <v/>
      </c>
      <c r="N110" s="26" t="str" cm="1">
        <f t="array" aca="1" ref="N110" ca="1">IF(ISNUMBER(SEARCH(INDIRECT(ADDRESS(ROW(N110),MOD(N$1,4)+1)),N$2)),$E110,"")</f>
        <v/>
      </c>
      <c r="O110" s="26" cm="1">
        <f t="array" aca="1" ref="O110" ca="1">IF(ISNUMBER(SEARCH(INDIRECT(ADDRESS(ROW(O110),MOD(O$1,4)+1)),O$2)),$E110,"")</f>
        <v>106</v>
      </c>
      <c r="P110" s="26" t="str" cm="1">
        <f t="array" aca="1" ref="P110" ca="1">IF(ISNUMBER(SEARCH(INDIRECT(ADDRESS(ROW(P110),MOD(P$1,4)+1)),P$2)),$E110,"")</f>
        <v/>
      </c>
      <c r="Q110" s="26" t="str" cm="1">
        <f t="array" aca="1" ref="Q110" ca="1">IF(ISNUMBER(SEARCH(INDIRECT(ADDRESS(ROW(Q110),MOD(Q$1,4)+1)),Q$2)),$E110,"")</f>
        <v/>
      </c>
      <c r="R110" s="26" t="str" cm="1">
        <f t="array" aca="1" ref="R110" ca="1">IF(ISNUMBER(SEARCH(INDIRECT(ADDRESS(ROW(R110),MOD(R$1,4)+1)),R$2)),$E110,"")</f>
        <v/>
      </c>
      <c r="S110" s="26" t="str" cm="1">
        <f t="array" aca="1" ref="S110" ca="1">IF(ISNUMBER(SEARCH(INDIRECT(ADDRESS(ROW(S110),MOD(S$1,4)+1)),S$2)),$E110,"")</f>
        <v/>
      </c>
      <c r="T110" s="26" cm="1">
        <f t="array" aca="1" ref="T110" ca="1">IF(ISNUMBER(SEARCH(INDIRECT(ADDRESS(ROW(T110),MOD(T$1,4)+1)),T$2)),$E110,"")</f>
        <v>106</v>
      </c>
      <c r="U110" s="26" t="str" cm="1">
        <f t="array" aca="1" ref="U110" ca="1">IF(ISNUMBER(SEARCH(INDIRECT(ADDRESS(ROW(U110),MOD(U$1,4)+1)),U$2)),$E110,"")</f>
        <v/>
      </c>
      <c r="V110" s="26" t="str" cm="1">
        <f t="array" aca="1" ref="V110" ca="1">IF(ISNUMBER(SEARCH(INDIRECT(ADDRESS(ROW(V110),MOD(V$1,4)+1)),V$2)),$E110,"")</f>
        <v/>
      </c>
      <c r="W110" s="26" t="str" cm="1">
        <f t="array" aca="1" ref="W110" ca="1">IF(ISNUMBER(SEARCH(INDIRECT(ADDRESS(ROW(W110),MOD(W$1,4)+1)),W$2)),$E110,"")</f>
        <v/>
      </c>
      <c r="X110" s="26" t="str" cm="1">
        <f t="array" aca="1" ref="X110" ca="1">IF(ISNUMBER(SEARCH(INDIRECT(ADDRESS(ROW(X110),MOD(X$1,4)+1)),X$2)),$E110,"")</f>
        <v/>
      </c>
      <c r="Y110" s="26" cm="1">
        <f t="array" aca="1" ref="Y110" ca="1">IF(ISNUMBER(SEARCH(INDIRECT(ADDRESS(ROW(Y110),MOD(Y$1,4)+1)),Y$2)),$E110,"")</f>
        <v>106</v>
      </c>
      <c r="Z110" s="26" t="str" cm="1">
        <f t="array" aca="1" ref="Z110" ca="1">IF(ISNUMBER(SEARCH(INDIRECT(ADDRESS(ROW(Z110),MOD(Z$1,4)+1)),Z$2)),$E110,"")</f>
        <v/>
      </c>
      <c r="AA110" s="26" t="str" cm="1">
        <f t="array" aca="1" ref="AA110" ca="1">IF(ISNUMBER(SEARCH(INDIRECT(ADDRESS(ROW(AA110),MOD(AA$1,4)+1)),AA$2)),$E110,"")</f>
        <v/>
      </c>
      <c r="AB110" s="26" t="str" cm="1">
        <f t="array" aca="1" ref="AB110" ca="1">IF(ISNUMBER(SEARCH(INDIRECT(ADDRESS(ROW(AB110),MOD(AB$1,4)+1)),AB$2)),$E110,"")</f>
        <v/>
      </c>
      <c r="AC110" s="26" t="str" cm="1">
        <f t="array" aca="1" ref="AC110" ca="1">IF(ISNUMBER(SEARCH(INDIRECT(ADDRESS(ROW(AC110),MOD(AC$1,4)+1)),AC$2)),$E110,"")</f>
        <v/>
      </c>
      <c r="AD110" s="26" t="str" cm="1">
        <f t="array" aca="1" ref="AD110" ca="1">IF(ISNUMBER(SEARCH(INDIRECT(ADDRESS(ROW(AD110),MOD(AD$1,4)+1)),AD$2)),$E110,"")</f>
        <v/>
      </c>
      <c r="AE110" s="26" t="str" cm="1">
        <f t="array" aca="1" ref="AE110" ca="1">IF(ISNUMBER(SEARCH(INDIRECT(ADDRESS(ROW(AE110),MOD(AE$1,4)+1)),AE$2)),$E110,"")</f>
        <v/>
      </c>
      <c r="AF110" s="26" t="str" cm="1">
        <f t="array" aca="1" ref="AF110" ca="1">IF(ISNUMBER(SEARCH(INDIRECT(ADDRESS(ROW(AF110),MOD(AF$1,4)+1)),AF$2)),$E110,"")</f>
        <v/>
      </c>
      <c r="AG110" s="26" t="str" cm="1">
        <f t="array" aca="1" ref="AG110" ca="1">IF(ISNUMBER(SEARCH(INDIRECT(ADDRESS(ROW(AG110),MOD(AG$1,4)+1)),AG$2)),$E110,"")</f>
        <v/>
      </c>
      <c r="AH110" s="26" t="str" cm="1">
        <f t="array" aca="1" ref="AH110" ca="1">IF(ISNUMBER(SEARCH(INDIRECT(ADDRESS(ROW(AH110),MOD(AH$1,4)+1)),AH$2)),$E110,"")</f>
        <v/>
      </c>
      <c r="AI110" s="26" t="str" cm="1">
        <f t="array" aca="1" ref="AI110" ca="1">IF(ISNUMBER(SEARCH(INDIRECT(ADDRESS(ROW(AI110),MOD(AI$1,4)+1)),AI$2)),$E110,"")</f>
        <v/>
      </c>
      <c r="AJ110" s="26" t="str" cm="1">
        <f t="array" aca="1" ref="AJ110" ca="1">IF(ISNUMBER(SEARCH(INDIRECT(ADDRESS(ROW(AJ110),MOD(AJ$1,4)+1)),AJ$2)),$E110,"")</f>
        <v/>
      </c>
      <c r="AK110" s="26" t="str" cm="1">
        <f t="array" aca="1" ref="AK110" ca="1">IF(ISNUMBER(SEARCH(INDIRECT(ADDRESS(ROW(AK110),MOD(AK$1,4)+1)),AK$2)),$E110,"")</f>
        <v/>
      </c>
      <c r="AL110" s="26" t="str" cm="1">
        <f t="array" aca="1" ref="AL110" ca="1">IF(ISNUMBER(SEARCH(INDIRECT(ADDRESS(ROW(AL110),MOD(AL$1,4)+1)),AL$2)),$E110,"")</f>
        <v/>
      </c>
      <c r="AM110" s="26" t="str" cm="1">
        <f t="array" aca="1" ref="AM110" ca="1">IF(ISNUMBER(SEARCH(INDIRECT(ADDRESS(ROW(AM110),MOD(AM$1,4)+1)),AM$2)),$E110,"")</f>
        <v/>
      </c>
      <c r="AN110" s="26" t="str" cm="1">
        <f t="array" aca="1" ref="AN110" ca="1">IF(ISNUMBER(SEARCH(INDIRECT(ADDRESS(ROW(AN110),MOD(AN$1,4)+1)),AN$2)),$E110,"")</f>
        <v/>
      </c>
      <c r="AO110" s="26" t="str" cm="1">
        <f t="array" aca="1" ref="AO110" ca="1">IF(ISNUMBER(SEARCH(INDIRECT(ADDRESS(ROW(AO110),MOD(AO$1,4)+1)),AO$2)),$E110,"")</f>
        <v/>
      </c>
      <c r="AP110" s="26" t="str" cm="1">
        <f t="array" aca="1" ref="AP110" ca="1">IF(ISNUMBER(SEARCH(INDIRECT(ADDRESS(ROW(AP110),MOD(AP$1,4)+1)),AP$2)),$E110,"")</f>
        <v/>
      </c>
      <c r="AQ110" s="31" t="str" cm="1">
        <f t="array" aca="1" ref="AQ110" ca="1">IF(ISNUMBER(SEARCH(INDIRECT(ADDRESS(ROW(AQ110),MOD(AQ$1,4)+1)),AQ$2)),$E110,"")</f>
        <v/>
      </c>
      <c r="AT110" t="e">
        <f>IF(VLOOKUP($E110,'Formatted NEW'!$B$2:$F$202,5,FALSE)=VLOOKUP($E110,'Formatted NEW'!$B$2:$F$202,8,FALSE),$E110,"")</f>
        <v>#N/A</v>
      </c>
      <c r="AW110" t="e">
        <f>IF(VLOOKUP($E110,'Formatted NEW'!$B$2:$F$202,5,FALSE)=VLOOKUP($E110,'Formatted NEW'!$B$2:$F$202,11,FALSE),$E110,"")</f>
        <v>#N/A</v>
      </c>
      <c r="AZ110" t="e">
        <f>IF(VLOOKUP($E110,'Formatted NEW'!$B$2:$F$202,5,FALSE)=VLOOKUP($E110,'Formatted NEW'!$B$2:$F$202,14,FALSE),$E110,"")</f>
        <v>#N/A</v>
      </c>
      <c r="BC110" t="str">
        <f>VLOOKUP($E110,'Formatted NEW'!$M$2:$T$202,6,FALSE)</f>
        <v>DIAG_BACK</v>
      </c>
      <c r="BD110" s="26" t="e">
        <f>VLOOKUP(VLOOKUP(VLOOKUP($E110,'Formatted NEW'!$M$2:$O$202,2,FALSE),'Formatted NEW'!$D$2:$F$202,7,FALSE),'Formatted NEW'!$D$2:$O$202,12,FALSE)</f>
        <v>#REF!</v>
      </c>
      <c r="BE110" t="e">
        <f>VLOOKUP($BD110,'Formatted NEW'!$M$2:$T$202,5,FALSE)</f>
        <v>#REF!</v>
      </c>
      <c r="BF110" s="26" t="e">
        <f t="shared" si="5"/>
        <v>#REF!</v>
      </c>
      <c r="BH110">
        <f>VLOOKUP($E110,'Formatted NEW'!$M$2:$T$202,4,FALSE)</f>
        <v>0</v>
      </c>
      <c r="BI110" s="26" t="e">
        <f>VLOOKUP(VLOOKUP(VLOOKUP($E110,'Formatted NEW'!$M$2:$O$202,2,FALSE),'Formatted NEW'!$D$2:$F$202,10,FALSE),'Formatted NEW'!$D$2:$O$202,12,FALSE)</f>
        <v>#REF!</v>
      </c>
      <c r="BJ110" t="e">
        <f>VLOOKUP($BI110,'Formatted NEW'!$M$2:$T$202,3,FALSE)</f>
        <v>#REF!</v>
      </c>
      <c r="BK110" s="26" t="e">
        <f t="shared" si="6"/>
        <v>#REF!</v>
      </c>
    </row>
    <row r="111" spans="1:63" x14ac:dyDescent="0.25">
      <c r="A111" t="str">
        <f>'Formatted NEW'!Q109</f>
        <v>EMPTY</v>
      </c>
      <c r="B111" t="str">
        <f>'Formatted NEW'!R109</f>
        <v>DIAG_FRONT</v>
      </c>
      <c r="C111" t="str">
        <f>'Formatted NEW'!S109</f>
        <v>DIAG_BACK</v>
      </c>
      <c r="D111" t="str">
        <f>'Formatted NEW'!T109</f>
        <v>EMPTY</v>
      </c>
      <c r="E111" s="26">
        <f t="shared" si="7"/>
        <v>107</v>
      </c>
      <c r="H111" s="30" t="str" cm="1">
        <f t="array" aca="1" ref="H111" ca="1">IF(ISNUMBER(SEARCH(INDIRECT(ADDRESS(ROW(H111),MOD(H$1,4)+1)),H$2)),$E111,"")</f>
        <v/>
      </c>
      <c r="I111" s="26" t="str" cm="1">
        <f t="array" aca="1" ref="I111" ca="1">IF(ISNUMBER(SEARCH(INDIRECT(ADDRESS(ROW(I111),MOD(I$1,4)+1)),I$2)),$E111,"")</f>
        <v/>
      </c>
      <c r="J111" s="26" t="str" cm="1">
        <f t="array" aca="1" ref="J111" ca="1">IF(ISNUMBER(SEARCH(INDIRECT(ADDRESS(ROW(J111),MOD(J$1,4)+1)),J$2)),$E111,"")</f>
        <v/>
      </c>
      <c r="K111" s="26" t="str" cm="1">
        <f t="array" aca="1" ref="K111" ca="1">IF(ISNUMBER(SEARCH(INDIRECT(ADDRESS(ROW(K111),MOD(K$1,4)+1)),K$2)),$E111,"")</f>
        <v/>
      </c>
      <c r="L111" s="26" t="str" cm="1">
        <f t="array" aca="1" ref="L111" ca="1">IF(ISNUMBER(SEARCH(INDIRECT(ADDRESS(ROW(L111),MOD(L$1,4)+1)),L$2)),$E111,"")</f>
        <v/>
      </c>
      <c r="M111" s="26" t="str" cm="1">
        <f t="array" aca="1" ref="M111" ca="1">IF(ISNUMBER(SEARCH(INDIRECT(ADDRESS(ROW(M111),MOD(M$1,4)+1)),M$2)),$E111,"")</f>
        <v/>
      </c>
      <c r="N111" s="26" t="str" cm="1">
        <f t="array" aca="1" ref="N111" ca="1">IF(ISNUMBER(SEARCH(INDIRECT(ADDRESS(ROW(N111),MOD(N$1,4)+1)),N$2)),$E111,"")</f>
        <v/>
      </c>
      <c r="O111" s="26" t="str" cm="1">
        <f t="array" aca="1" ref="O111" ca="1">IF(ISNUMBER(SEARCH(INDIRECT(ADDRESS(ROW(O111),MOD(O$1,4)+1)),O$2)),$E111,"")</f>
        <v/>
      </c>
      <c r="P111" s="26" t="str" cm="1">
        <f t="array" aca="1" ref="P111" ca="1">IF(ISNUMBER(SEARCH(INDIRECT(ADDRESS(ROW(P111),MOD(P$1,4)+1)),P$2)),$E111,"")</f>
        <v/>
      </c>
      <c r="Q111" s="26" t="str" cm="1">
        <f t="array" aca="1" ref="Q111" ca="1">IF(ISNUMBER(SEARCH(INDIRECT(ADDRESS(ROW(Q111),MOD(Q$1,4)+1)),Q$2)),$E111,"")</f>
        <v/>
      </c>
      <c r="R111" s="26" t="str" cm="1">
        <f t="array" aca="1" ref="R111" ca="1">IF(ISNUMBER(SEARCH(INDIRECT(ADDRESS(ROW(R111),MOD(R$1,4)+1)),R$2)),$E111,"")</f>
        <v/>
      </c>
      <c r="S111" s="26" t="str" cm="1">
        <f t="array" aca="1" ref="S111" ca="1">IF(ISNUMBER(SEARCH(INDIRECT(ADDRESS(ROW(S111),MOD(S$1,4)+1)),S$2)),$E111,"")</f>
        <v/>
      </c>
      <c r="T111" s="26" t="str" cm="1">
        <f t="array" aca="1" ref="T111" ca="1">IF(ISNUMBER(SEARCH(INDIRECT(ADDRESS(ROW(T111),MOD(T$1,4)+1)),T$2)),$E111,"")</f>
        <v/>
      </c>
      <c r="U111" s="26" cm="1">
        <f t="array" aca="1" ref="U111" ca="1">IF(ISNUMBER(SEARCH(INDIRECT(ADDRESS(ROW(U111),MOD(U$1,4)+1)),U$2)),$E111,"")</f>
        <v>107</v>
      </c>
      <c r="V111" s="26" t="str" cm="1">
        <f t="array" aca="1" ref="V111" ca="1">IF(ISNUMBER(SEARCH(INDIRECT(ADDRESS(ROW(V111),MOD(V$1,4)+1)),V$2)),$E111,"")</f>
        <v/>
      </c>
      <c r="W111" s="26" t="str" cm="1">
        <f t="array" aca="1" ref="W111" ca="1">IF(ISNUMBER(SEARCH(INDIRECT(ADDRESS(ROW(W111),MOD(W$1,4)+1)),W$2)),$E111,"")</f>
        <v/>
      </c>
      <c r="X111" s="26" t="str" cm="1">
        <f t="array" aca="1" ref="X111" ca="1">IF(ISNUMBER(SEARCH(INDIRECT(ADDRESS(ROW(X111),MOD(X$1,4)+1)),X$2)),$E111,"")</f>
        <v/>
      </c>
      <c r="Y111" s="26" t="str" cm="1">
        <f t="array" aca="1" ref="Y111" ca="1">IF(ISNUMBER(SEARCH(INDIRECT(ADDRESS(ROW(Y111),MOD(Y$1,4)+1)),Y$2)),$E111,"")</f>
        <v/>
      </c>
      <c r="Z111" s="26" cm="1">
        <f t="array" aca="1" ref="Z111" ca="1">IF(ISNUMBER(SEARCH(INDIRECT(ADDRESS(ROW(Z111),MOD(Z$1,4)+1)),Z$2)),$E111,"")</f>
        <v>107</v>
      </c>
      <c r="AA111" s="26" t="str" cm="1">
        <f t="array" aca="1" ref="AA111" ca="1">IF(ISNUMBER(SEARCH(INDIRECT(ADDRESS(ROW(AA111),MOD(AA$1,4)+1)),AA$2)),$E111,"")</f>
        <v/>
      </c>
      <c r="AB111" s="26" t="str" cm="1">
        <f t="array" aca="1" ref="AB111" ca="1">IF(ISNUMBER(SEARCH(INDIRECT(ADDRESS(ROW(AB111),MOD(AB$1,4)+1)),AB$2)),$E111,"")</f>
        <v/>
      </c>
      <c r="AC111" s="26" t="str" cm="1">
        <f t="array" aca="1" ref="AC111" ca="1">IF(ISNUMBER(SEARCH(INDIRECT(ADDRESS(ROW(AC111),MOD(AC$1,4)+1)),AC$2)),$E111,"")</f>
        <v/>
      </c>
      <c r="AD111" s="26" t="str" cm="1">
        <f t="array" aca="1" ref="AD111" ca="1">IF(ISNUMBER(SEARCH(INDIRECT(ADDRESS(ROW(AD111),MOD(AD$1,4)+1)),AD$2)),$E111,"")</f>
        <v/>
      </c>
      <c r="AE111" s="26" t="str" cm="1">
        <f t="array" aca="1" ref="AE111" ca="1">IF(ISNUMBER(SEARCH(INDIRECT(ADDRESS(ROW(AE111),MOD(AE$1,4)+1)),AE$2)),$E111,"")</f>
        <v/>
      </c>
      <c r="AF111" s="26" t="str" cm="1">
        <f t="array" aca="1" ref="AF111" ca="1">IF(ISNUMBER(SEARCH(INDIRECT(ADDRESS(ROW(AF111),MOD(AF$1,4)+1)),AF$2)),$E111,"")</f>
        <v/>
      </c>
      <c r="AG111" s="26" t="str" cm="1">
        <f t="array" aca="1" ref="AG111" ca="1">IF(ISNUMBER(SEARCH(INDIRECT(ADDRESS(ROW(AG111),MOD(AG$1,4)+1)),AG$2)),$E111,"")</f>
        <v/>
      </c>
      <c r="AH111" s="26" t="str" cm="1">
        <f t="array" aca="1" ref="AH111" ca="1">IF(ISNUMBER(SEARCH(INDIRECT(ADDRESS(ROW(AH111),MOD(AH$1,4)+1)),AH$2)),$E111,"")</f>
        <v/>
      </c>
      <c r="AI111" s="26" t="str" cm="1">
        <f t="array" aca="1" ref="AI111" ca="1">IF(ISNUMBER(SEARCH(INDIRECT(ADDRESS(ROW(AI111),MOD(AI$1,4)+1)),AI$2)),$E111,"")</f>
        <v/>
      </c>
      <c r="AJ111" s="26" t="str" cm="1">
        <f t="array" aca="1" ref="AJ111" ca="1">IF(ISNUMBER(SEARCH(INDIRECT(ADDRESS(ROW(AJ111),MOD(AJ$1,4)+1)),AJ$2)),$E111,"")</f>
        <v/>
      </c>
      <c r="AK111" s="26" t="str" cm="1">
        <f t="array" aca="1" ref="AK111" ca="1">IF(ISNUMBER(SEARCH(INDIRECT(ADDRESS(ROW(AK111),MOD(AK$1,4)+1)),AK$2)),$E111,"")</f>
        <v/>
      </c>
      <c r="AL111" s="26" t="str" cm="1">
        <f t="array" aca="1" ref="AL111" ca="1">IF(ISNUMBER(SEARCH(INDIRECT(ADDRESS(ROW(AL111),MOD(AL$1,4)+1)),AL$2)),$E111,"")</f>
        <v/>
      </c>
      <c r="AM111" s="26" t="str" cm="1">
        <f t="array" aca="1" ref="AM111" ca="1">IF(ISNUMBER(SEARCH(INDIRECT(ADDRESS(ROW(AM111),MOD(AM$1,4)+1)),AM$2)),$E111,"")</f>
        <v/>
      </c>
      <c r="AN111" s="26" t="str" cm="1">
        <f t="array" aca="1" ref="AN111" ca="1">IF(ISNUMBER(SEARCH(INDIRECT(ADDRESS(ROW(AN111),MOD(AN$1,4)+1)),AN$2)),$E111,"")</f>
        <v/>
      </c>
      <c r="AO111" s="26" t="str" cm="1">
        <f t="array" aca="1" ref="AO111" ca="1">IF(ISNUMBER(SEARCH(INDIRECT(ADDRESS(ROW(AO111),MOD(AO$1,4)+1)),AO$2)),$E111,"")</f>
        <v/>
      </c>
      <c r="AP111" s="26" t="str" cm="1">
        <f t="array" aca="1" ref="AP111" ca="1">IF(ISNUMBER(SEARCH(INDIRECT(ADDRESS(ROW(AP111),MOD(AP$1,4)+1)),AP$2)),$E111,"")</f>
        <v/>
      </c>
      <c r="AQ111" s="31" t="str" cm="1">
        <f t="array" aca="1" ref="AQ111" ca="1">IF(ISNUMBER(SEARCH(INDIRECT(ADDRESS(ROW(AQ111),MOD(AQ$1,4)+1)),AQ$2)),$E111,"")</f>
        <v/>
      </c>
      <c r="AT111" t="e">
        <f>IF(VLOOKUP($E111,'Formatted NEW'!$B$2:$F$202,5,FALSE)=VLOOKUP($E111,'Formatted NEW'!$B$2:$F$202,8,FALSE),$E111,"")</f>
        <v>#N/A</v>
      </c>
      <c r="AW111" t="e">
        <f>IF(VLOOKUP($E111,'Formatted NEW'!$B$2:$F$202,5,FALSE)=VLOOKUP($E111,'Formatted NEW'!$B$2:$F$202,11,FALSE),$E111,"")</f>
        <v>#N/A</v>
      </c>
      <c r="AZ111" t="e">
        <f>IF(VLOOKUP($E111,'Formatted NEW'!$B$2:$F$202,5,FALSE)=VLOOKUP($E111,'Formatted NEW'!$B$2:$F$202,14,FALSE),$E111,"")</f>
        <v>#N/A</v>
      </c>
      <c r="BC111" t="str">
        <f>VLOOKUP($E111,'Formatted NEW'!$M$2:$T$202,6,FALSE)</f>
        <v>DIAG_FRONT</v>
      </c>
      <c r="BD111" s="26" t="e">
        <f>VLOOKUP(VLOOKUP(VLOOKUP($E111,'Formatted NEW'!$M$2:$O$202,2,FALSE),'Formatted NEW'!$D$2:$F$202,7,FALSE),'Formatted NEW'!$D$2:$O$202,12,FALSE)</f>
        <v>#REF!</v>
      </c>
      <c r="BE111" t="e">
        <f>VLOOKUP($BD111,'Formatted NEW'!$M$2:$T$202,5,FALSE)</f>
        <v>#REF!</v>
      </c>
      <c r="BF111" s="26" t="e">
        <f t="shared" si="5"/>
        <v>#REF!</v>
      </c>
      <c r="BH111">
        <f>VLOOKUP($E111,'Formatted NEW'!$M$2:$T$202,4,FALSE)</f>
        <v>0</v>
      </c>
      <c r="BI111" s="26" t="e">
        <f>VLOOKUP(VLOOKUP(VLOOKUP($E111,'Formatted NEW'!$M$2:$O$202,2,FALSE),'Formatted NEW'!$D$2:$F$202,10,FALSE),'Formatted NEW'!$D$2:$O$202,12,FALSE)</f>
        <v>#REF!</v>
      </c>
      <c r="BJ111" t="e">
        <f>VLOOKUP($BI111,'Formatted NEW'!$M$2:$T$202,3,FALSE)</f>
        <v>#REF!</v>
      </c>
      <c r="BK111" s="26" t="e">
        <f t="shared" si="6"/>
        <v>#REF!</v>
      </c>
    </row>
    <row r="112" spans="1:63" x14ac:dyDescent="0.25">
      <c r="A112" t="str">
        <f>'Formatted NEW'!Q110</f>
        <v>DIAG_BACK</v>
      </c>
      <c r="B112" t="str">
        <f>'Formatted NEW'!R110</f>
        <v>EMPTY</v>
      </c>
      <c r="C112" t="str">
        <f>'Formatted NEW'!S110</f>
        <v>DIAG_FRONT</v>
      </c>
      <c r="D112" t="str">
        <f>'Formatted NEW'!T110</f>
        <v>EMPTY</v>
      </c>
      <c r="E112" s="26">
        <f t="shared" si="7"/>
        <v>108</v>
      </c>
      <c r="H112" s="30" t="str" cm="1">
        <f t="array" aca="1" ref="H112" ca="1">IF(ISNUMBER(SEARCH(INDIRECT(ADDRESS(ROW(H112),MOD(H$1,4)+1)),H$2)),$E112,"")</f>
        <v/>
      </c>
      <c r="I112" s="26" t="str" cm="1">
        <f t="array" aca="1" ref="I112" ca="1">IF(ISNUMBER(SEARCH(INDIRECT(ADDRESS(ROW(I112),MOD(I$1,4)+1)),I$2)),$E112,"")</f>
        <v/>
      </c>
      <c r="J112" s="26" t="str" cm="1">
        <f t="array" aca="1" ref="J112" ca="1">IF(ISNUMBER(SEARCH(INDIRECT(ADDRESS(ROW(J112),MOD(J$1,4)+1)),J$2)),$E112,"")</f>
        <v/>
      </c>
      <c r="K112" s="26" t="str" cm="1">
        <f t="array" aca="1" ref="K112" ca="1">IF(ISNUMBER(SEARCH(INDIRECT(ADDRESS(ROW(K112),MOD(K$1,4)+1)),K$2)),$E112,"")</f>
        <v/>
      </c>
      <c r="L112" s="26" t="str" cm="1">
        <f t="array" aca="1" ref="L112" ca="1">IF(ISNUMBER(SEARCH(INDIRECT(ADDRESS(ROW(L112),MOD(L$1,4)+1)),L$2)),$E112,"")</f>
        <v/>
      </c>
      <c r="M112" s="26" t="str" cm="1">
        <f t="array" aca="1" ref="M112" ca="1">IF(ISNUMBER(SEARCH(INDIRECT(ADDRESS(ROW(M112),MOD(M$1,4)+1)),M$2)),$E112,"")</f>
        <v/>
      </c>
      <c r="N112" s="26" t="str" cm="1">
        <f t="array" aca="1" ref="N112" ca="1">IF(ISNUMBER(SEARCH(INDIRECT(ADDRESS(ROW(N112),MOD(N$1,4)+1)),N$2)),$E112,"")</f>
        <v/>
      </c>
      <c r="O112" s="26" t="str" cm="1">
        <f t="array" aca="1" ref="O112" ca="1">IF(ISNUMBER(SEARCH(INDIRECT(ADDRESS(ROW(O112),MOD(O$1,4)+1)),O$2)),$E112,"")</f>
        <v/>
      </c>
      <c r="P112" s="26" t="str" cm="1">
        <f t="array" aca="1" ref="P112" ca="1">IF(ISNUMBER(SEARCH(INDIRECT(ADDRESS(ROW(P112),MOD(P$1,4)+1)),P$2)),$E112,"")</f>
        <v/>
      </c>
      <c r="Q112" s="26" t="str" cm="1">
        <f t="array" aca="1" ref="Q112" ca="1">IF(ISNUMBER(SEARCH(INDIRECT(ADDRESS(ROW(Q112),MOD(Q$1,4)+1)),Q$2)),$E112,"")</f>
        <v/>
      </c>
      <c r="R112" s="26" t="str" cm="1">
        <f t="array" aca="1" ref="R112" ca="1">IF(ISNUMBER(SEARCH(INDIRECT(ADDRESS(ROW(R112),MOD(R$1,4)+1)),R$2)),$E112,"")</f>
        <v/>
      </c>
      <c r="S112" s="26" t="str" cm="1">
        <f t="array" aca="1" ref="S112" ca="1">IF(ISNUMBER(SEARCH(INDIRECT(ADDRESS(ROW(S112),MOD(S$1,4)+1)),S$2)),$E112,"")</f>
        <v/>
      </c>
      <c r="T112" s="26" t="str" cm="1">
        <f t="array" aca="1" ref="T112" ca="1">IF(ISNUMBER(SEARCH(INDIRECT(ADDRESS(ROW(T112),MOD(T$1,4)+1)),T$2)),$E112,"")</f>
        <v/>
      </c>
      <c r="U112" s="26" t="str" cm="1">
        <f t="array" aca="1" ref="U112" ca="1">IF(ISNUMBER(SEARCH(INDIRECT(ADDRESS(ROW(U112),MOD(U$1,4)+1)),U$2)),$E112,"")</f>
        <v/>
      </c>
      <c r="V112" s="26" cm="1">
        <f t="array" aca="1" ref="V112" ca="1">IF(ISNUMBER(SEARCH(INDIRECT(ADDRESS(ROW(V112),MOD(V$1,4)+1)),V$2)),$E112,"")</f>
        <v>108</v>
      </c>
      <c r="W112" s="26" t="str" cm="1">
        <f t="array" aca="1" ref="W112" ca="1">IF(ISNUMBER(SEARCH(INDIRECT(ADDRESS(ROW(W112),MOD(W$1,4)+1)),W$2)),$E112,"")</f>
        <v/>
      </c>
      <c r="X112" s="26" cm="1">
        <f t="array" aca="1" ref="X112" ca="1">IF(ISNUMBER(SEARCH(INDIRECT(ADDRESS(ROW(X112),MOD(X$1,4)+1)),X$2)),$E112,"")</f>
        <v>108</v>
      </c>
      <c r="Y112" s="26" t="str" cm="1">
        <f t="array" aca="1" ref="Y112" ca="1">IF(ISNUMBER(SEARCH(INDIRECT(ADDRESS(ROW(Y112),MOD(Y$1,4)+1)),Y$2)),$E112,"")</f>
        <v/>
      </c>
      <c r="Z112" s="26" t="str" cm="1">
        <f t="array" aca="1" ref="Z112" ca="1">IF(ISNUMBER(SEARCH(INDIRECT(ADDRESS(ROW(Z112),MOD(Z$1,4)+1)),Z$2)),$E112,"")</f>
        <v/>
      </c>
      <c r="AA112" s="26" t="str" cm="1">
        <f t="array" aca="1" ref="AA112" ca="1">IF(ISNUMBER(SEARCH(INDIRECT(ADDRESS(ROW(AA112),MOD(AA$1,4)+1)),AA$2)),$E112,"")</f>
        <v/>
      </c>
      <c r="AB112" s="26" t="str" cm="1">
        <f t="array" aca="1" ref="AB112" ca="1">IF(ISNUMBER(SEARCH(INDIRECT(ADDRESS(ROW(AB112),MOD(AB$1,4)+1)),AB$2)),$E112,"")</f>
        <v/>
      </c>
      <c r="AC112" s="26" t="str" cm="1">
        <f t="array" aca="1" ref="AC112" ca="1">IF(ISNUMBER(SEARCH(INDIRECT(ADDRESS(ROW(AC112),MOD(AC$1,4)+1)),AC$2)),$E112,"")</f>
        <v/>
      </c>
      <c r="AD112" s="26" t="str" cm="1">
        <f t="array" aca="1" ref="AD112" ca="1">IF(ISNUMBER(SEARCH(INDIRECT(ADDRESS(ROW(AD112),MOD(AD$1,4)+1)),AD$2)),$E112,"")</f>
        <v/>
      </c>
      <c r="AE112" s="26" t="str" cm="1">
        <f t="array" aca="1" ref="AE112" ca="1">IF(ISNUMBER(SEARCH(INDIRECT(ADDRESS(ROW(AE112),MOD(AE$1,4)+1)),AE$2)),$E112,"")</f>
        <v/>
      </c>
      <c r="AF112" s="26" t="str" cm="1">
        <f t="array" aca="1" ref="AF112" ca="1">IF(ISNUMBER(SEARCH(INDIRECT(ADDRESS(ROW(AF112),MOD(AF$1,4)+1)),AF$2)),$E112,"")</f>
        <v/>
      </c>
      <c r="AG112" s="26" t="str" cm="1">
        <f t="array" aca="1" ref="AG112" ca="1">IF(ISNUMBER(SEARCH(INDIRECT(ADDRESS(ROW(AG112),MOD(AG$1,4)+1)),AG$2)),$E112,"")</f>
        <v/>
      </c>
      <c r="AH112" s="26" t="str" cm="1">
        <f t="array" aca="1" ref="AH112" ca="1">IF(ISNUMBER(SEARCH(INDIRECT(ADDRESS(ROW(AH112),MOD(AH$1,4)+1)),AH$2)),$E112,"")</f>
        <v/>
      </c>
      <c r="AI112" s="26" t="str" cm="1">
        <f t="array" aca="1" ref="AI112" ca="1">IF(ISNUMBER(SEARCH(INDIRECT(ADDRESS(ROW(AI112),MOD(AI$1,4)+1)),AI$2)),$E112,"")</f>
        <v/>
      </c>
      <c r="AJ112" s="26" t="str" cm="1">
        <f t="array" aca="1" ref="AJ112" ca="1">IF(ISNUMBER(SEARCH(INDIRECT(ADDRESS(ROW(AJ112),MOD(AJ$1,4)+1)),AJ$2)),$E112,"")</f>
        <v/>
      </c>
      <c r="AK112" s="26" t="str" cm="1">
        <f t="array" aca="1" ref="AK112" ca="1">IF(ISNUMBER(SEARCH(INDIRECT(ADDRESS(ROW(AK112),MOD(AK$1,4)+1)),AK$2)),$E112,"")</f>
        <v/>
      </c>
      <c r="AL112" s="26" t="str" cm="1">
        <f t="array" aca="1" ref="AL112" ca="1">IF(ISNUMBER(SEARCH(INDIRECT(ADDRESS(ROW(AL112),MOD(AL$1,4)+1)),AL$2)),$E112,"")</f>
        <v/>
      </c>
      <c r="AM112" s="26" t="str" cm="1">
        <f t="array" aca="1" ref="AM112" ca="1">IF(ISNUMBER(SEARCH(INDIRECT(ADDRESS(ROW(AM112),MOD(AM$1,4)+1)),AM$2)),$E112,"")</f>
        <v/>
      </c>
      <c r="AN112" s="26" t="str" cm="1">
        <f t="array" aca="1" ref="AN112" ca="1">IF(ISNUMBER(SEARCH(INDIRECT(ADDRESS(ROW(AN112),MOD(AN$1,4)+1)),AN$2)),$E112,"")</f>
        <v/>
      </c>
      <c r="AO112" s="26" t="str" cm="1">
        <f t="array" aca="1" ref="AO112" ca="1">IF(ISNUMBER(SEARCH(INDIRECT(ADDRESS(ROW(AO112),MOD(AO$1,4)+1)),AO$2)),$E112,"")</f>
        <v/>
      </c>
      <c r="AP112" s="26" t="str" cm="1">
        <f t="array" aca="1" ref="AP112" ca="1">IF(ISNUMBER(SEARCH(INDIRECT(ADDRESS(ROW(AP112),MOD(AP$1,4)+1)),AP$2)),$E112,"")</f>
        <v/>
      </c>
      <c r="AQ112" s="31" t="str" cm="1">
        <f t="array" aca="1" ref="AQ112" ca="1">IF(ISNUMBER(SEARCH(INDIRECT(ADDRESS(ROW(AQ112),MOD(AQ$1,4)+1)),AQ$2)),$E112,"")</f>
        <v/>
      </c>
      <c r="AT112" t="e">
        <f>IF(VLOOKUP($E112,'Formatted NEW'!$B$2:$F$202,5,FALSE)=VLOOKUP($E112,'Formatted NEW'!$B$2:$F$202,8,FALSE),$E112,"")</f>
        <v>#N/A</v>
      </c>
      <c r="AW112" t="e">
        <f>IF(VLOOKUP($E112,'Formatted NEW'!$B$2:$F$202,5,FALSE)=VLOOKUP($E112,'Formatted NEW'!$B$2:$F$202,11,FALSE),$E112,"")</f>
        <v>#N/A</v>
      </c>
      <c r="AZ112" t="e">
        <f>IF(VLOOKUP($E112,'Formatted NEW'!$B$2:$F$202,5,FALSE)=VLOOKUP($E112,'Formatted NEW'!$B$2:$F$202,14,FALSE),$E112,"")</f>
        <v>#N/A</v>
      </c>
      <c r="BC112" t="str">
        <f>VLOOKUP($E112,'Formatted NEW'!$M$2:$T$202,6,FALSE)</f>
        <v>EMPTY</v>
      </c>
      <c r="BD112" s="26" t="e">
        <f>VLOOKUP(VLOOKUP(VLOOKUP($E112,'Formatted NEW'!$M$2:$O$202,2,FALSE),'Formatted NEW'!$D$2:$F$202,7,FALSE),'Formatted NEW'!$D$2:$O$202,12,FALSE)</f>
        <v>#REF!</v>
      </c>
      <c r="BE112" t="e">
        <f>VLOOKUP($BD112,'Formatted NEW'!$M$2:$T$202,5,FALSE)</f>
        <v>#REF!</v>
      </c>
      <c r="BF112" s="26" t="e">
        <f t="shared" si="5"/>
        <v>#REF!</v>
      </c>
      <c r="BH112">
        <f>VLOOKUP($E112,'Formatted NEW'!$M$2:$T$202,4,FALSE)</f>
        <v>0</v>
      </c>
      <c r="BI112" s="26" t="e">
        <f>VLOOKUP(VLOOKUP(VLOOKUP($E112,'Formatted NEW'!$M$2:$O$202,2,FALSE),'Formatted NEW'!$D$2:$F$202,10,FALSE),'Formatted NEW'!$D$2:$O$202,12,FALSE)</f>
        <v>#REF!</v>
      </c>
      <c r="BJ112" t="e">
        <f>VLOOKUP($BI112,'Formatted NEW'!$M$2:$T$202,3,FALSE)</f>
        <v>#REF!</v>
      </c>
      <c r="BK112" s="26" t="e">
        <f t="shared" si="6"/>
        <v>#REF!</v>
      </c>
    </row>
    <row r="113" spans="1:63" x14ac:dyDescent="0.25">
      <c r="A113" t="str">
        <f>'Formatted NEW'!Q111</f>
        <v>DIAG_FRONT</v>
      </c>
      <c r="B113" t="str">
        <f>'Formatted NEW'!R111</f>
        <v>EMPTY</v>
      </c>
      <c r="C113" t="str">
        <f>'Formatted NEW'!S111</f>
        <v>EMPTY</v>
      </c>
      <c r="D113" t="str">
        <f>'Formatted NEW'!T111</f>
        <v>DIAG_BACK</v>
      </c>
      <c r="E113" s="26">
        <f t="shared" si="7"/>
        <v>109</v>
      </c>
      <c r="H113" s="30" t="str" cm="1">
        <f t="array" aca="1" ref="H113" ca="1">IF(ISNUMBER(SEARCH(INDIRECT(ADDRESS(ROW(H113),MOD(H$1,4)+1)),H$2)),$E113,"")</f>
        <v/>
      </c>
      <c r="I113" s="26" t="str" cm="1">
        <f t="array" aca="1" ref="I113" ca="1">IF(ISNUMBER(SEARCH(INDIRECT(ADDRESS(ROW(I113),MOD(I$1,4)+1)),I$2)),$E113,"")</f>
        <v/>
      </c>
      <c r="J113" s="26" t="str" cm="1">
        <f t="array" aca="1" ref="J113" ca="1">IF(ISNUMBER(SEARCH(INDIRECT(ADDRESS(ROW(J113),MOD(J$1,4)+1)),J$2)),$E113,"")</f>
        <v/>
      </c>
      <c r="K113" s="26" t="str" cm="1">
        <f t="array" aca="1" ref="K113" ca="1">IF(ISNUMBER(SEARCH(INDIRECT(ADDRESS(ROW(K113),MOD(K$1,4)+1)),K$2)),$E113,"")</f>
        <v/>
      </c>
      <c r="L113" s="26" t="str" cm="1">
        <f t="array" aca="1" ref="L113" ca="1">IF(ISNUMBER(SEARCH(INDIRECT(ADDRESS(ROW(L113),MOD(L$1,4)+1)),L$2)),$E113,"")</f>
        <v/>
      </c>
      <c r="M113" s="26" t="str" cm="1">
        <f t="array" aca="1" ref="M113" ca="1">IF(ISNUMBER(SEARCH(INDIRECT(ADDRESS(ROW(M113),MOD(M$1,4)+1)),M$2)),$E113,"")</f>
        <v/>
      </c>
      <c r="N113" s="26" t="str" cm="1">
        <f t="array" aca="1" ref="N113" ca="1">IF(ISNUMBER(SEARCH(INDIRECT(ADDRESS(ROW(N113),MOD(N$1,4)+1)),N$2)),$E113,"")</f>
        <v/>
      </c>
      <c r="O113" s="26" t="str" cm="1">
        <f t="array" aca="1" ref="O113" ca="1">IF(ISNUMBER(SEARCH(INDIRECT(ADDRESS(ROW(O113),MOD(O$1,4)+1)),O$2)),$E113,"")</f>
        <v/>
      </c>
      <c r="P113" s="26" t="str" cm="1">
        <f t="array" aca="1" ref="P113" ca="1">IF(ISNUMBER(SEARCH(INDIRECT(ADDRESS(ROW(P113),MOD(P$1,4)+1)),P$2)),$E113,"")</f>
        <v/>
      </c>
      <c r="Q113" s="26" t="str" cm="1">
        <f t="array" aca="1" ref="Q113" ca="1">IF(ISNUMBER(SEARCH(INDIRECT(ADDRESS(ROW(Q113),MOD(Q$1,4)+1)),Q$2)),$E113,"")</f>
        <v/>
      </c>
      <c r="R113" s="26" t="str" cm="1">
        <f t="array" aca="1" ref="R113" ca="1">IF(ISNUMBER(SEARCH(INDIRECT(ADDRESS(ROW(R113),MOD(R$1,4)+1)),R$2)),$E113,"")</f>
        <v/>
      </c>
      <c r="S113" s="26" t="str" cm="1">
        <f t="array" aca="1" ref="S113" ca="1">IF(ISNUMBER(SEARCH(INDIRECT(ADDRESS(ROW(S113),MOD(S$1,4)+1)),S$2)),$E113,"")</f>
        <v/>
      </c>
      <c r="T113" s="26" cm="1">
        <f t="array" aca="1" ref="T113" ca="1">IF(ISNUMBER(SEARCH(INDIRECT(ADDRESS(ROW(T113),MOD(T$1,4)+1)),T$2)),$E113,"")</f>
        <v>109</v>
      </c>
      <c r="U113" s="26" t="str" cm="1">
        <f t="array" aca="1" ref="U113" ca="1">IF(ISNUMBER(SEARCH(INDIRECT(ADDRESS(ROW(U113),MOD(U$1,4)+1)),U$2)),$E113,"")</f>
        <v/>
      </c>
      <c r="V113" s="26" t="str" cm="1">
        <f t="array" aca="1" ref="V113" ca="1">IF(ISNUMBER(SEARCH(INDIRECT(ADDRESS(ROW(V113),MOD(V$1,4)+1)),V$2)),$E113,"")</f>
        <v/>
      </c>
      <c r="W113" s="26" t="str" cm="1">
        <f t="array" aca="1" ref="W113" ca="1">IF(ISNUMBER(SEARCH(INDIRECT(ADDRESS(ROW(W113),MOD(W$1,4)+1)),W$2)),$E113,"")</f>
        <v/>
      </c>
      <c r="X113" s="26" t="str" cm="1">
        <f t="array" aca="1" ref="X113" ca="1">IF(ISNUMBER(SEARCH(INDIRECT(ADDRESS(ROW(X113),MOD(X$1,4)+1)),X$2)),$E113,"")</f>
        <v/>
      </c>
      <c r="Y113" s="26" t="str" cm="1">
        <f t="array" aca="1" ref="Y113" ca="1">IF(ISNUMBER(SEARCH(INDIRECT(ADDRESS(ROW(Y113),MOD(Y$1,4)+1)),Y$2)),$E113,"")</f>
        <v/>
      </c>
      <c r="Z113" s="26" t="str" cm="1">
        <f t="array" aca="1" ref="Z113" ca="1">IF(ISNUMBER(SEARCH(INDIRECT(ADDRESS(ROW(Z113),MOD(Z$1,4)+1)),Z$2)),$E113,"")</f>
        <v/>
      </c>
      <c r="AA113" s="26" cm="1">
        <f t="array" aca="1" ref="AA113" ca="1">IF(ISNUMBER(SEARCH(INDIRECT(ADDRESS(ROW(AA113),MOD(AA$1,4)+1)),AA$2)),$E113,"")</f>
        <v>109</v>
      </c>
      <c r="AB113" s="26" t="str" cm="1">
        <f t="array" aca="1" ref="AB113" ca="1">IF(ISNUMBER(SEARCH(INDIRECT(ADDRESS(ROW(AB113),MOD(AB$1,4)+1)),AB$2)),$E113,"")</f>
        <v/>
      </c>
      <c r="AC113" s="26" t="str" cm="1">
        <f t="array" aca="1" ref="AC113" ca="1">IF(ISNUMBER(SEARCH(INDIRECT(ADDRESS(ROW(AC113),MOD(AC$1,4)+1)),AC$2)),$E113,"")</f>
        <v/>
      </c>
      <c r="AD113" s="26" t="str" cm="1">
        <f t="array" aca="1" ref="AD113" ca="1">IF(ISNUMBER(SEARCH(INDIRECT(ADDRESS(ROW(AD113),MOD(AD$1,4)+1)),AD$2)),$E113,"")</f>
        <v/>
      </c>
      <c r="AE113" s="26" t="str" cm="1">
        <f t="array" aca="1" ref="AE113" ca="1">IF(ISNUMBER(SEARCH(INDIRECT(ADDRESS(ROW(AE113),MOD(AE$1,4)+1)),AE$2)),$E113,"")</f>
        <v/>
      </c>
      <c r="AF113" s="26" t="str" cm="1">
        <f t="array" aca="1" ref="AF113" ca="1">IF(ISNUMBER(SEARCH(INDIRECT(ADDRESS(ROW(AF113),MOD(AF$1,4)+1)),AF$2)),$E113,"")</f>
        <v/>
      </c>
      <c r="AG113" s="26" t="str" cm="1">
        <f t="array" aca="1" ref="AG113" ca="1">IF(ISNUMBER(SEARCH(INDIRECT(ADDRESS(ROW(AG113),MOD(AG$1,4)+1)),AG$2)),$E113,"")</f>
        <v/>
      </c>
      <c r="AH113" s="26" t="str" cm="1">
        <f t="array" aca="1" ref="AH113" ca="1">IF(ISNUMBER(SEARCH(INDIRECT(ADDRESS(ROW(AH113),MOD(AH$1,4)+1)),AH$2)),$E113,"")</f>
        <v/>
      </c>
      <c r="AI113" s="26" t="str" cm="1">
        <f t="array" aca="1" ref="AI113" ca="1">IF(ISNUMBER(SEARCH(INDIRECT(ADDRESS(ROW(AI113),MOD(AI$1,4)+1)),AI$2)),$E113,"")</f>
        <v/>
      </c>
      <c r="AJ113" s="26" t="str" cm="1">
        <f t="array" aca="1" ref="AJ113" ca="1">IF(ISNUMBER(SEARCH(INDIRECT(ADDRESS(ROW(AJ113),MOD(AJ$1,4)+1)),AJ$2)),$E113,"")</f>
        <v/>
      </c>
      <c r="AK113" s="26" t="str" cm="1">
        <f t="array" aca="1" ref="AK113" ca="1">IF(ISNUMBER(SEARCH(INDIRECT(ADDRESS(ROW(AK113),MOD(AK$1,4)+1)),AK$2)),$E113,"")</f>
        <v/>
      </c>
      <c r="AL113" s="26" t="str" cm="1">
        <f t="array" aca="1" ref="AL113" ca="1">IF(ISNUMBER(SEARCH(INDIRECT(ADDRESS(ROW(AL113),MOD(AL$1,4)+1)),AL$2)),$E113,"")</f>
        <v/>
      </c>
      <c r="AM113" s="26" t="str" cm="1">
        <f t="array" aca="1" ref="AM113" ca="1">IF(ISNUMBER(SEARCH(INDIRECT(ADDRESS(ROW(AM113),MOD(AM$1,4)+1)),AM$2)),$E113,"")</f>
        <v/>
      </c>
      <c r="AN113" s="26" t="str" cm="1">
        <f t="array" aca="1" ref="AN113" ca="1">IF(ISNUMBER(SEARCH(INDIRECT(ADDRESS(ROW(AN113),MOD(AN$1,4)+1)),AN$2)),$E113,"")</f>
        <v/>
      </c>
      <c r="AO113" s="26" t="str" cm="1">
        <f t="array" aca="1" ref="AO113" ca="1">IF(ISNUMBER(SEARCH(INDIRECT(ADDRESS(ROW(AO113),MOD(AO$1,4)+1)),AO$2)),$E113,"")</f>
        <v/>
      </c>
      <c r="AP113" s="26" t="str" cm="1">
        <f t="array" aca="1" ref="AP113" ca="1">IF(ISNUMBER(SEARCH(INDIRECT(ADDRESS(ROW(AP113),MOD(AP$1,4)+1)),AP$2)),$E113,"")</f>
        <v/>
      </c>
      <c r="AQ113" s="31" t="str" cm="1">
        <f t="array" aca="1" ref="AQ113" ca="1">IF(ISNUMBER(SEARCH(INDIRECT(ADDRESS(ROW(AQ113),MOD(AQ$1,4)+1)),AQ$2)),$E113,"")</f>
        <v/>
      </c>
      <c r="AT113" t="e">
        <f>IF(VLOOKUP($E113,'Formatted NEW'!$B$2:$F$202,5,FALSE)=VLOOKUP($E113,'Formatted NEW'!$B$2:$F$202,8,FALSE),$E113,"")</f>
        <v>#N/A</v>
      </c>
      <c r="AW113" t="e">
        <f>IF(VLOOKUP($E113,'Formatted NEW'!$B$2:$F$202,5,FALSE)=VLOOKUP($E113,'Formatted NEW'!$B$2:$F$202,11,FALSE),$E113,"")</f>
        <v>#N/A</v>
      </c>
      <c r="AZ113" t="e">
        <f>IF(VLOOKUP($E113,'Formatted NEW'!$B$2:$F$202,5,FALSE)=VLOOKUP($E113,'Formatted NEW'!$B$2:$F$202,14,FALSE),$E113,"")</f>
        <v>#N/A</v>
      </c>
      <c r="BC113" t="str">
        <f>VLOOKUP($E113,'Formatted NEW'!$M$2:$T$202,6,FALSE)</f>
        <v>EMPTY</v>
      </c>
      <c r="BD113" s="26" t="e">
        <f>VLOOKUP(VLOOKUP(VLOOKUP($E113,'Formatted NEW'!$M$2:$O$202,2,FALSE),'Formatted NEW'!$D$2:$F$202,7,FALSE),'Formatted NEW'!$D$2:$O$202,12,FALSE)</f>
        <v>#REF!</v>
      </c>
      <c r="BE113" t="e">
        <f>VLOOKUP($BD113,'Formatted NEW'!$M$2:$T$202,5,FALSE)</f>
        <v>#REF!</v>
      </c>
      <c r="BF113" s="26" t="e">
        <f t="shared" si="5"/>
        <v>#REF!</v>
      </c>
      <c r="BH113">
        <f>VLOOKUP($E113,'Formatted NEW'!$M$2:$T$202,4,FALSE)</f>
        <v>0</v>
      </c>
      <c r="BI113" s="26" t="e">
        <f>VLOOKUP(VLOOKUP(VLOOKUP($E113,'Formatted NEW'!$M$2:$O$202,2,FALSE),'Formatted NEW'!$D$2:$F$202,10,FALSE),'Formatted NEW'!$D$2:$O$202,12,FALSE)</f>
        <v>#REF!</v>
      </c>
      <c r="BJ113" t="e">
        <f>VLOOKUP($BI113,'Formatted NEW'!$M$2:$T$202,3,FALSE)</f>
        <v>#REF!</v>
      </c>
      <c r="BK113" s="26" t="e">
        <f t="shared" si="6"/>
        <v>#REF!</v>
      </c>
    </row>
    <row r="114" spans="1:63" x14ac:dyDescent="0.25">
      <c r="A114" t="str">
        <f>'Formatted NEW'!Q112</f>
        <v>EMPTY</v>
      </c>
      <c r="B114" t="str">
        <f>'Formatted NEW'!R112</f>
        <v>DIAG_BACK</v>
      </c>
      <c r="C114" t="str">
        <f>'Formatted NEW'!S112</f>
        <v>EMPTY</v>
      </c>
      <c r="D114" t="str">
        <f>'Formatted NEW'!T112</f>
        <v>DIAG_FRONT</v>
      </c>
      <c r="E114" s="26">
        <f t="shared" si="7"/>
        <v>110</v>
      </c>
      <c r="H114" s="30" t="str" cm="1">
        <f t="array" aca="1" ref="H114" ca="1">IF(ISNUMBER(SEARCH(INDIRECT(ADDRESS(ROW(H114),MOD(H$1,4)+1)),H$2)),$E114,"")</f>
        <v/>
      </c>
      <c r="I114" s="26" t="str" cm="1">
        <f t="array" aca="1" ref="I114" ca="1">IF(ISNUMBER(SEARCH(INDIRECT(ADDRESS(ROW(I114),MOD(I$1,4)+1)),I$2)),$E114,"")</f>
        <v/>
      </c>
      <c r="J114" s="26" t="str" cm="1">
        <f t="array" aca="1" ref="J114" ca="1">IF(ISNUMBER(SEARCH(INDIRECT(ADDRESS(ROW(J114),MOD(J$1,4)+1)),J$2)),$E114,"")</f>
        <v/>
      </c>
      <c r="K114" s="26" t="str" cm="1">
        <f t="array" aca="1" ref="K114" ca="1">IF(ISNUMBER(SEARCH(INDIRECT(ADDRESS(ROW(K114),MOD(K$1,4)+1)),K$2)),$E114,"")</f>
        <v/>
      </c>
      <c r="L114" s="26" t="str" cm="1">
        <f t="array" aca="1" ref="L114" ca="1">IF(ISNUMBER(SEARCH(INDIRECT(ADDRESS(ROW(L114),MOD(L$1,4)+1)),L$2)),$E114,"")</f>
        <v/>
      </c>
      <c r="M114" s="26" t="str" cm="1">
        <f t="array" aca="1" ref="M114" ca="1">IF(ISNUMBER(SEARCH(INDIRECT(ADDRESS(ROW(M114),MOD(M$1,4)+1)),M$2)),$E114,"")</f>
        <v/>
      </c>
      <c r="N114" s="26" t="str" cm="1">
        <f t="array" aca="1" ref="N114" ca="1">IF(ISNUMBER(SEARCH(INDIRECT(ADDRESS(ROW(N114),MOD(N$1,4)+1)),N$2)),$E114,"")</f>
        <v/>
      </c>
      <c r="O114" s="26" t="str" cm="1">
        <f t="array" aca="1" ref="O114" ca="1">IF(ISNUMBER(SEARCH(INDIRECT(ADDRESS(ROW(O114),MOD(O$1,4)+1)),O$2)),$E114,"")</f>
        <v/>
      </c>
      <c r="P114" s="26" t="str" cm="1">
        <f t="array" aca="1" ref="P114" ca="1">IF(ISNUMBER(SEARCH(INDIRECT(ADDRESS(ROW(P114),MOD(P$1,4)+1)),P$2)),$E114,"")</f>
        <v/>
      </c>
      <c r="Q114" s="26" t="str" cm="1">
        <f t="array" aca="1" ref="Q114" ca="1">IF(ISNUMBER(SEARCH(INDIRECT(ADDRESS(ROW(Q114),MOD(Q$1,4)+1)),Q$2)),$E114,"")</f>
        <v/>
      </c>
      <c r="R114" s="26" t="str" cm="1">
        <f t="array" aca="1" ref="R114" ca="1">IF(ISNUMBER(SEARCH(INDIRECT(ADDRESS(ROW(R114),MOD(R$1,4)+1)),R$2)),$E114,"")</f>
        <v/>
      </c>
      <c r="S114" s="26" t="str" cm="1">
        <f t="array" aca="1" ref="S114" ca="1">IF(ISNUMBER(SEARCH(INDIRECT(ADDRESS(ROW(S114),MOD(S$1,4)+1)),S$2)),$E114,"")</f>
        <v/>
      </c>
      <c r="T114" s="26" t="str" cm="1">
        <f t="array" aca="1" ref="T114" ca="1">IF(ISNUMBER(SEARCH(INDIRECT(ADDRESS(ROW(T114),MOD(T$1,4)+1)),T$2)),$E114,"")</f>
        <v/>
      </c>
      <c r="U114" s="26" t="str" cm="1">
        <f t="array" aca="1" ref="U114" ca="1">IF(ISNUMBER(SEARCH(INDIRECT(ADDRESS(ROW(U114),MOD(U$1,4)+1)),U$2)),$E114,"")</f>
        <v/>
      </c>
      <c r="V114" s="26" t="str" cm="1">
        <f t="array" aca="1" ref="V114" ca="1">IF(ISNUMBER(SEARCH(INDIRECT(ADDRESS(ROW(V114),MOD(V$1,4)+1)),V$2)),$E114,"")</f>
        <v/>
      </c>
      <c r="W114" s="26" cm="1">
        <f t="array" aca="1" ref="W114" ca="1">IF(ISNUMBER(SEARCH(INDIRECT(ADDRESS(ROW(W114),MOD(W$1,4)+1)),W$2)),$E114,"")</f>
        <v>110</v>
      </c>
      <c r="X114" s="26" t="str" cm="1">
        <f t="array" aca="1" ref="X114" ca="1">IF(ISNUMBER(SEARCH(INDIRECT(ADDRESS(ROW(X114),MOD(X$1,4)+1)),X$2)),$E114,"")</f>
        <v/>
      </c>
      <c r="Y114" s="26" cm="1">
        <f t="array" aca="1" ref="Y114" ca="1">IF(ISNUMBER(SEARCH(INDIRECT(ADDRESS(ROW(Y114),MOD(Y$1,4)+1)),Y$2)),$E114,"")</f>
        <v>110</v>
      </c>
      <c r="Z114" s="26" t="str" cm="1">
        <f t="array" aca="1" ref="Z114" ca="1">IF(ISNUMBER(SEARCH(INDIRECT(ADDRESS(ROW(Z114),MOD(Z$1,4)+1)),Z$2)),$E114,"")</f>
        <v/>
      </c>
      <c r="AA114" s="26" t="str" cm="1">
        <f t="array" aca="1" ref="AA114" ca="1">IF(ISNUMBER(SEARCH(INDIRECT(ADDRESS(ROW(AA114),MOD(AA$1,4)+1)),AA$2)),$E114,"")</f>
        <v/>
      </c>
      <c r="AB114" s="26" t="str" cm="1">
        <f t="array" aca="1" ref="AB114" ca="1">IF(ISNUMBER(SEARCH(INDIRECT(ADDRESS(ROW(AB114),MOD(AB$1,4)+1)),AB$2)),$E114,"")</f>
        <v/>
      </c>
      <c r="AC114" s="26" t="str" cm="1">
        <f t="array" aca="1" ref="AC114" ca="1">IF(ISNUMBER(SEARCH(INDIRECT(ADDRESS(ROW(AC114),MOD(AC$1,4)+1)),AC$2)),$E114,"")</f>
        <v/>
      </c>
      <c r="AD114" s="26" t="str" cm="1">
        <f t="array" aca="1" ref="AD114" ca="1">IF(ISNUMBER(SEARCH(INDIRECT(ADDRESS(ROW(AD114),MOD(AD$1,4)+1)),AD$2)),$E114,"")</f>
        <v/>
      </c>
      <c r="AE114" s="26" t="str" cm="1">
        <f t="array" aca="1" ref="AE114" ca="1">IF(ISNUMBER(SEARCH(INDIRECT(ADDRESS(ROW(AE114),MOD(AE$1,4)+1)),AE$2)),$E114,"")</f>
        <v/>
      </c>
      <c r="AF114" s="26" t="str" cm="1">
        <f t="array" aca="1" ref="AF114" ca="1">IF(ISNUMBER(SEARCH(INDIRECT(ADDRESS(ROW(AF114),MOD(AF$1,4)+1)),AF$2)),$E114,"")</f>
        <v/>
      </c>
      <c r="AG114" s="26" t="str" cm="1">
        <f t="array" aca="1" ref="AG114" ca="1">IF(ISNUMBER(SEARCH(INDIRECT(ADDRESS(ROW(AG114),MOD(AG$1,4)+1)),AG$2)),$E114,"")</f>
        <v/>
      </c>
      <c r="AH114" s="26" t="str" cm="1">
        <f t="array" aca="1" ref="AH114" ca="1">IF(ISNUMBER(SEARCH(INDIRECT(ADDRESS(ROW(AH114),MOD(AH$1,4)+1)),AH$2)),$E114,"")</f>
        <v/>
      </c>
      <c r="AI114" s="26" t="str" cm="1">
        <f t="array" aca="1" ref="AI114" ca="1">IF(ISNUMBER(SEARCH(INDIRECT(ADDRESS(ROW(AI114),MOD(AI$1,4)+1)),AI$2)),$E114,"")</f>
        <v/>
      </c>
      <c r="AJ114" s="26" t="str" cm="1">
        <f t="array" aca="1" ref="AJ114" ca="1">IF(ISNUMBER(SEARCH(INDIRECT(ADDRESS(ROW(AJ114),MOD(AJ$1,4)+1)),AJ$2)),$E114,"")</f>
        <v/>
      </c>
      <c r="AK114" s="26" t="str" cm="1">
        <f t="array" aca="1" ref="AK114" ca="1">IF(ISNUMBER(SEARCH(INDIRECT(ADDRESS(ROW(AK114),MOD(AK$1,4)+1)),AK$2)),$E114,"")</f>
        <v/>
      </c>
      <c r="AL114" s="26" t="str" cm="1">
        <f t="array" aca="1" ref="AL114" ca="1">IF(ISNUMBER(SEARCH(INDIRECT(ADDRESS(ROW(AL114),MOD(AL$1,4)+1)),AL$2)),$E114,"")</f>
        <v/>
      </c>
      <c r="AM114" s="26" t="str" cm="1">
        <f t="array" aca="1" ref="AM114" ca="1">IF(ISNUMBER(SEARCH(INDIRECT(ADDRESS(ROW(AM114),MOD(AM$1,4)+1)),AM$2)),$E114,"")</f>
        <v/>
      </c>
      <c r="AN114" s="26" t="str" cm="1">
        <f t="array" aca="1" ref="AN114" ca="1">IF(ISNUMBER(SEARCH(INDIRECT(ADDRESS(ROW(AN114),MOD(AN$1,4)+1)),AN$2)),$E114,"")</f>
        <v/>
      </c>
      <c r="AO114" s="26" t="str" cm="1">
        <f t="array" aca="1" ref="AO114" ca="1">IF(ISNUMBER(SEARCH(INDIRECT(ADDRESS(ROW(AO114),MOD(AO$1,4)+1)),AO$2)),$E114,"")</f>
        <v/>
      </c>
      <c r="AP114" s="26" t="str" cm="1">
        <f t="array" aca="1" ref="AP114" ca="1">IF(ISNUMBER(SEARCH(INDIRECT(ADDRESS(ROW(AP114),MOD(AP$1,4)+1)),AP$2)),$E114,"")</f>
        <v/>
      </c>
      <c r="AQ114" s="31" t="str" cm="1">
        <f t="array" aca="1" ref="AQ114" ca="1">IF(ISNUMBER(SEARCH(INDIRECT(ADDRESS(ROW(AQ114),MOD(AQ$1,4)+1)),AQ$2)),$E114,"")</f>
        <v/>
      </c>
      <c r="AT114" t="e">
        <f>IF(VLOOKUP($E114,'Formatted NEW'!$B$2:$F$202,5,FALSE)=VLOOKUP($E114,'Formatted NEW'!$B$2:$F$202,8,FALSE),$E114,"")</f>
        <v>#N/A</v>
      </c>
      <c r="AW114" t="e">
        <f>IF(VLOOKUP($E114,'Formatted NEW'!$B$2:$F$202,5,FALSE)=VLOOKUP($E114,'Formatted NEW'!$B$2:$F$202,11,FALSE),$E114,"")</f>
        <v>#N/A</v>
      </c>
      <c r="AZ114" t="e">
        <f>IF(VLOOKUP($E114,'Formatted NEW'!$B$2:$F$202,5,FALSE)=VLOOKUP($E114,'Formatted NEW'!$B$2:$F$202,14,FALSE),$E114,"")</f>
        <v>#N/A</v>
      </c>
      <c r="BC114" t="str">
        <f>VLOOKUP($E114,'Formatted NEW'!$M$2:$T$202,6,FALSE)</f>
        <v>DIAG_BACK</v>
      </c>
      <c r="BD114" s="26" t="e">
        <f>VLOOKUP(VLOOKUP(VLOOKUP($E114,'Formatted NEW'!$M$2:$O$202,2,FALSE),'Formatted NEW'!$D$2:$F$202,7,FALSE),'Formatted NEW'!$D$2:$O$202,12,FALSE)</f>
        <v>#REF!</v>
      </c>
      <c r="BE114" t="e">
        <f>VLOOKUP($BD114,'Formatted NEW'!$M$2:$T$202,5,FALSE)</f>
        <v>#REF!</v>
      </c>
      <c r="BF114" s="26" t="e">
        <f t="shared" si="5"/>
        <v>#REF!</v>
      </c>
      <c r="BH114">
        <f>VLOOKUP($E114,'Formatted NEW'!$M$2:$T$202,4,FALSE)</f>
        <v>0</v>
      </c>
      <c r="BI114" s="26" t="e">
        <f>VLOOKUP(VLOOKUP(VLOOKUP($E114,'Formatted NEW'!$M$2:$O$202,2,FALSE),'Formatted NEW'!$D$2:$F$202,10,FALSE),'Formatted NEW'!$D$2:$O$202,12,FALSE)</f>
        <v>#REF!</v>
      </c>
      <c r="BJ114" t="e">
        <f>VLOOKUP($BI114,'Formatted NEW'!$M$2:$T$202,3,FALSE)</f>
        <v>#REF!</v>
      </c>
      <c r="BK114" s="26" t="e">
        <f t="shared" si="6"/>
        <v>#REF!</v>
      </c>
    </row>
    <row r="115" spans="1:63" x14ac:dyDescent="0.25">
      <c r="A115" t="str">
        <f>'Formatted NEW'!Q113</f>
        <v>ORTHO_BOTH</v>
      </c>
      <c r="B115" t="str">
        <f>'Formatted NEW'!R113</f>
        <v>ORTHO_BOTH</v>
      </c>
      <c r="C115" t="str">
        <f>'Formatted NEW'!S113</f>
        <v>ORTHO_DOWN</v>
      </c>
      <c r="D115" t="str">
        <f>'Formatted NEW'!T113</f>
        <v>ORTHO_DOWN</v>
      </c>
      <c r="E115" s="26">
        <f t="shared" si="7"/>
        <v>111</v>
      </c>
      <c r="H115" s="30" t="str" cm="1">
        <f t="array" aca="1" ref="H115" ca="1">IF(ISNUMBER(SEARCH(INDIRECT(ADDRESS(ROW(H115),MOD(H$1,4)+1)),H$2)),$E115,"")</f>
        <v/>
      </c>
      <c r="I115" s="26" t="str" cm="1">
        <f t="array" aca="1" ref="I115" ca="1">IF(ISNUMBER(SEARCH(INDIRECT(ADDRESS(ROW(I115),MOD(I$1,4)+1)),I$2)),$E115,"")</f>
        <v/>
      </c>
      <c r="J115" s="26" t="str" cm="1">
        <f t="array" aca="1" ref="J115" ca="1">IF(ISNUMBER(SEARCH(INDIRECT(ADDRESS(ROW(J115),MOD(J$1,4)+1)),J$2)),$E115,"")</f>
        <v/>
      </c>
      <c r="K115" s="26" t="str" cm="1">
        <f t="array" aca="1" ref="K115" ca="1">IF(ISNUMBER(SEARCH(INDIRECT(ADDRESS(ROW(K115),MOD(K$1,4)+1)),K$2)),$E115,"")</f>
        <v/>
      </c>
      <c r="L115" s="26" t="str" cm="1">
        <f t="array" aca="1" ref="L115" ca="1">IF(ISNUMBER(SEARCH(INDIRECT(ADDRESS(ROW(L115),MOD(L$1,4)+1)),L$2)),$E115,"")</f>
        <v/>
      </c>
      <c r="M115" s="26" t="str" cm="1">
        <f t="array" aca="1" ref="M115" ca="1">IF(ISNUMBER(SEARCH(INDIRECT(ADDRESS(ROW(M115),MOD(M$1,4)+1)),M$2)),$E115,"")</f>
        <v/>
      </c>
      <c r="N115" s="26" t="str" cm="1">
        <f t="array" aca="1" ref="N115" ca="1">IF(ISNUMBER(SEARCH(INDIRECT(ADDRESS(ROW(N115),MOD(N$1,4)+1)),N$2)),$E115,"")</f>
        <v/>
      </c>
      <c r="O115" s="26" t="str" cm="1">
        <f t="array" aca="1" ref="O115" ca="1">IF(ISNUMBER(SEARCH(INDIRECT(ADDRESS(ROW(O115),MOD(O$1,4)+1)),O$2)),$E115,"")</f>
        <v/>
      </c>
      <c r="P115" s="26" cm="1">
        <f t="array" aca="1" ref="P115" ca="1">IF(ISNUMBER(SEARCH(INDIRECT(ADDRESS(ROW(P115),MOD(P$1,4)+1)),P$2)),$E115,"")</f>
        <v>111</v>
      </c>
      <c r="Q115" s="26" cm="1">
        <f t="array" aca="1" ref="Q115" ca="1">IF(ISNUMBER(SEARCH(INDIRECT(ADDRESS(ROW(Q115),MOD(Q$1,4)+1)),Q$2)),$E115,"")</f>
        <v>111</v>
      </c>
      <c r="R115" s="26" t="str" cm="1">
        <f t="array" aca="1" ref="R115" ca="1">IF(ISNUMBER(SEARCH(INDIRECT(ADDRESS(ROW(R115),MOD(R$1,4)+1)),R$2)),$E115,"")</f>
        <v/>
      </c>
      <c r="S115" s="26" t="str" cm="1">
        <f t="array" aca="1" ref="S115" ca="1">IF(ISNUMBER(SEARCH(INDIRECT(ADDRESS(ROW(S115),MOD(S$1,4)+1)),S$2)),$E115,"")</f>
        <v/>
      </c>
      <c r="T115" s="26" t="str" cm="1">
        <f t="array" aca="1" ref="T115" ca="1">IF(ISNUMBER(SEARCH(INDIRECT(ADDRESS(ROW(T115),MOD(T$1,4)+1)),T$2)),$E115,"")</f>
        <v/>
      </c>
      <c r="U115" s="26" t="str" cm="1">
        <f t="array" aca="1" ref="U115" ca="1">IF(ISNUMBER(SEARCH(INDIRECT(ADDRESS(ROW(U115),MOD(U$1,4)+1)),U$2)),$E115,"")</f>
        <v/>
      </c>
      <c r="V115" s="26" t="str" cm="1">
        <f t="array" aca="1" ref="V115" ca="1">IF(ISNUMBER(SEARCH(INDIRECT(ADDRESS(ROW(V115),MOD(V$1,4)+1)),V$2)),$E115,"")</f>
        <v/>
      </c>
      <c r="W115" s="26" t="str" cm="1">
        <f t="array" aca="1" ref="W115" ca="1">IF(ISNUMBER(SEARCH(INDIRECT(ADDRESS(ROW(W115),MOD(W$1,4)+1)),W$2)),$E115,"")</f>
        <v/>
      </c>
      <c r="X115" s="26" t="str" cm="1">
        <f t="array" aca="1" ref="X115" ca="1">IF(ISNUMBER(SEARCH(INDIRECT(ADDRESS(ROW(X115),MOD(X$1,4)+1)),X$2)),$E115,"")</f>
        <v/>
      </c>
      <c r="Y115" s="26" t="str" cm="1">
        <f t="array" aca="1" ref="Y115" ca="1">IF(ISNUMBER(SEARCH(INDIRECT(ADDRESS(ROW(Y115),MOD(Y$1,4)+1)),Y$2)),$E115,"")</f>
        <v/>
      </c>
      <c r="Z115" s="26" t="str" cm="1">
        <f t="array" aca="1" ref="Z115" ca="1">IF(ISNUMBER(SEARCH(INDIRECT(ADDRESS(ROW(Z115),MOD(Z$1,4)+1)),Z$2)),$E115,"")</f>
        <v/>
      </c>
      <c r="AA115" s="26" t="str" cm="1">
        <f t="array" aca="1" ref="AA115" ca="1">IF(ISNUMBER(SEARCH(INDIRECT(ADDRESS(ROW(AA115),MOD(AA$1,4)+1)),AA$2)),$E115,"")</f>
        <v/>
      </c>
      <c r="AB115" s="26" t="str" cm="1">
        <f t="array" aca="1" ref="AB115" ca="1">IF(ISNUMBER(SEARCH(INDIRECT(ADDRESS(ROW(AB115),MOD(AB$1,4)+1)),AB$2)),$E115,"")</f>
        <v/>
      </c>
      <c r="AC115" s="26" t="str" cm="1">
        <f t="array" aca="1" ref="AC115" ca="1">IF(ISNUMBER(SEARCH(INDIRECT(ADDRESS(ROW(AC115),MOD(AC$1,4)+1)),AC$2)),$E115,"")</f>
        <v/>
      </c>
      <c r="AD115" s="26" t="str" cm="1">
        <f t="array" aca="1" ref="AD115" ca="1">IF(ISNUMBER(SEARCH(INDIRECT(ADDRESS(ROW(AD115),MOD(AD$1,4)+1)),AD$2)),$E115,"")</f>
        <v/>
      </c>
      <c r="AE115" s="26" t="str" cm="1">
        <f t="array" aca="1" ref="AE115" ca="1">IF(ISNUMBER(SEARCH(INDIRECT(ADDRESS(ROW(AE115),MOD(AE$1,4)+1)),AE$2)),$E115,"")</f>
        <v/>
      </c>
      <c r="AF115" s="26" t="str" cm="1">
        <f t="array" aca="1" ref="AF115" ca="1">IF(ISNUMBER(SEARCH(INDIRECT(ADDRESS(ROW(AF115),MOD(AF$1,4)+1)),AF$2)),$E115,"")</f>
        <v/>
      </c>
      <c r="AG115" s="26" t="str" cm="1">
        <f t="array" aca="1" ref="AG115" ca="1">IF(ISNUMBER(SEARCH(INDIRECT(ADDRESS(ROW(AG115),MOD(AG$1,4)+1)),AG$2)),$E115,"")</f>
        <v/>
      </c>
      <c r="AH115" s="26" t="str" cm="1">
        <f t="array" aca="1" ref="AH115" ca="1">IF(ISNUMBER(SEARCH(INDIRECT(ADDRESS(ROW(AH115),MOD(AH$1,4)+1)),AH$2)),$E115,"")</f>
        <v/>
      </c>
      <c r="AI115" s="26" t="str" cm="1">
        <f t="array" aca="1" ref="AI115" ca="1">IF(ISNUMBER(SEARCH(INDIRECT(ADDRESS(ROW(AI115),MOD(AI$1,4)+1)),AI$2)),$E115,"")</f>
        <v/>
      </c>
      <c r="AJ115" s="26" t="str" cm="1">
        <f t="array" aca="1" ref="AJ115" ca="1">IF(ISNUMBER(SEARCH(INDIRECT(ADDRESS(ROW(AJ115),MOD(AJ$1,4)+1)),AJ$2)),$E115,"")</f>
        <v/>
      </c>
      <c r="AK115" s="26" t="str" cm="1">
        <f t="array" aca="1" ref="AK115" ca="1">IF(ISNUMBER(SEARCH(INDIRECT(ADDRESS(ROW(AK115),MOD(AK$1,4)+1)),AK$2)),$E115,"")</f>
        <v/>
      </c>
      <c r="AL115" s="26" t="str" cm="1">
        <f t="array" aca="1" ref="AL115" ca="1">IF(ISNUMBER(SEARCH(INDIRECT(ADDRESS(ROW(AL115),MOD(AL$1,4)+1)),AL$2)),$E115,"")</f>
        <v/>
      </c>
      <c r="AM115" s="26" t="str" cm="1">
        <f t="array" aca="1" ref="AM115" ca="1">IF(ISNUMBER(SEARCH(INDIRECT(ADDRESS(ROW(AM115),MOD(AM$1,4)+1)),AM$2)),$E115,"")</f>
        <v/>
      </c>
      <c r="AN115" s="26" t="str" cm="1">
        <f t="array" aca="1" ref="AN115" ca="1">IF(ISNUMBER(SEARCH(INDIRECT(ADDRESS(ROW(AN115),MOD(AN$1,4)+1)),AN$2)),$E115,"")</f>
        <v/>
      </c>
      <c r="AO115" s="26" t="str" cm="1">
        <f t="array" aca="1" ref="AO115" ca="1">IF(ISNUMBER(SEARCH(INDIRECT(ADDRESS(ROW(AO115),MOD(AO$1,4)+1)),AO$2)),$E115,"")</f>
        <v/>
      </c>
      <c r="AP115" s="26" t="str" cm="1">
        <f t="array" aca="1" ref="AP115" ca="1">IF(ISNUMBER(SEARCH(INDIRECT(ADDRESS(ROW(AP115),MOD(AP$1,4)+1)),AP$2)),$E115,"")</f>
        <v/>
      </c>
      <c r="AQ115" s="31" t="str" cm="1">
        <f t="array" aca="1" ref="AQ115" ca="1">IF(ISNUMBER(SEARCH(INDIRECT(ADDRESS(ROW(AQ115),MOD(AQ$1,4)+1)),AQ$2)),$E115,"")</f>
        <v/>
      </c>
      <c r="AT115" t="e">
        <f>IF(VLOOKUP($E115,'Formatted NEW'!$B$2:$F$202,5,FALSE)=VLOOKUP($E115,'Formatted NEW'!$B$2:$F$202,8,FALSE),$E115,"")</f>
        <v>#N/A</v>
      </c>
      <c r="AW115" t="e">
        <f>IF(VLOOKUP($E115,'Formatted NEW'!$B$2:$F$202,5,FALSE)=VLOOKUP($E115,'Formatted NEW'!$B$2:$F$202,11,FALSE),$E115,"")</f>
        <v>#N/A</v>
      </c>
      <c r="AZ115" t="e">
        <f>IF(VLOOKUP($E115,'Formatted NEW'!$B$2:$F$202,5,FALSE)=VLOOKUP($E115,'Formatted NEW'!$B$2:$F$202,14,FALSE),$E115,"")</f>
        <v>#N/A</v>
      </c>
      <c r="BC115" t="str">
        <f>VLOOKUP($E115,'Formatted NEW'!$M$2:$T$202,6,FALSE)</f>
        <v>ORTHO_BOTH</v>
      </c>
      <c r="BD115" s="26" t="e">
        <f>VLOOKUP(VLOOKUP(VLOOKUP($E115,'Formatted NEW'!$M$2:$O$202,2,FALSE),'Formatted NEW'!$D$2:$F$202,7,FALSE),'Formatted NEW'!$D$2:$O$202,12,FALSE)</f>
        <v>#REF!</v>
      </c>
      <c r="BE115" t="e">
        <f>VLOOKUP($BD115,'Formatted NEW'!$M$2:$T$202,5,FALSE)</f>
        <v>#REF!</v>
      </c>
      <c r="BF115" s="26" t="e">
        <f t="shared" si="5"/>
        <v>#REF!</v>
      </c>
      <c r="BH115">
        <f>VLOOKUP($E115,'Formatted NEW'!$M$2:$T$202,4,FALSE)</f>
        <v>0</v>
      </c>
      <c r="BI115" s="26" t="e">
        <f>VLOOKUP(VLOOKUP(VLOOKUP($E115,'Formatted NEW'!$M$2:$O$202,2,FALSE),'Formatted NEW'!$D$2:$F$202,10,FALSE),'Formatted NEW'!$D$2:$O$202,12,FALSE)</f>
        <v>#REF!</v>
      </c>
      <c r="BJ115" t="e">
        <f>VLOOKUP($BI115,'Formatted NEW'!$M$2:$T$202,3,FALSE)</f>
        <v>#REF!</v>
      </c>
      <c r="BK115" s="26" t="e">
        <f t="shared" si="6"/>
        <v>#REF!</v>
      </c>
    </row>
    <row r="116" spans="1:63" x14ac:dyDescent="0.25">
      <c r="A116" t="str">
        <f>'Formatted NEW'!Q114</f>
        <v>ORTHO_LEFT</v>
      </c>
      <c r="B116" t="str">
        <f>'Formatted NEW'!R114</f>
        <v>ORTHO_LEFT</v>
      </c>
      <c r="C116" t="str">
        <f>'Formatted NEW'!S114</f>
        <v>ORTHO_BOTH</v>
      </c>
      <c r="D116" t="str">
        <f>'Formatted NEW'!T114</f>
        <v>ORTHO_BOTH</v>
      </c>
      <c r="E116" s="26">
        <f t="shared" si="7"/>
        <v>112</v>
      </c>
      <c r="H116" s="30" t="str" cm="1">
        <f t="array" aca="1" ref="H116" ca="1">IF(ISNUMBER(SEARCH(INDIRECT(ADDRESS(ROW(H116),MOD(H$1,4)+1)),H$2)),$E116,"")</f>
        <v/>
      </c>
      <c r="I116" s="26" t="str" cm="1">
        <f t="array" aca="1" ref="I116" ca="1">IF(ISNUMBER(SEARCH(INDIRECT(ADDRESS(ROW(I116),MOD(I$1,4)+1)),I$2)),$E116,"")</f>
        <v/>
      </c>
      <c r="J116" s="26" t="str" cm="1">
        <f t="array" aca="1" ref="J116" ca="1">IF(ISNUMBER(SEARCH(INDIRECT(ADDRESS(ROW(J116),MOD(J$1,4)+1)),J$2)),$E116,"")</f>
        <v/>
      </c>
      <c r="K116" s="26" t="str" cm="1">
        <f t="array" aca="1" ref="K116" ca="1">IF(ISNUMBER(SEARCH(INDIRECT(ADDRESS(ROW(K116),MOD(K$1,4)+1)),K$2)),$E116,"")</f>
        <v/>
      </c>
      <c r="L116" s="26" t="str" cm="1">
        <f t="array" aca="1" ref="L116" ca="1">IF(ISNUMBER(SEARCH(INDIRECT(ADDRESS(ROW(L116),MOD(L$1,4)+1)),L$2)),$E116,"")</f>
        <v/>
      </c>
      <c r="M116" s="26" t="str" cm="1">
        <f t="array" aca="1" ref="M116" ca="1">IF(ISNUMBER(SEARCH(INDIRECT(ADDRESS(ROW(M116),MOD(M$1,4)+1)),M$2)),$E116,"")</f>
        <v/>
      </c>
      <c r="N116" s="26" t="str" cm="1">
        <f t="array" aca="1" ref="N116" ca="1">IF(ISNUMBER(SEARCH(INDIRECT(ADDRESS(ROW(N116),MOD(N$1,4)+1)),N$2)),$E116,"")</f>
        <v/>
      </c>
      <c r="O116" s="26" t="str" cm="1">
        <f t="array" aca="1" ref="O116" ca="1">IF(ISNUMBER(SEARCH(INDIRECT(ADDRESS(ROW(O116),MOD(O$1,4)+1)),O$2)),$E116,"")</f>
        <v/>
      </c>
      <c r="P116" s="26" t="str" cm="1">
        <f t="array" aca="1" ref="P116" ca="1">IF(ISNUMBER(SEARCH(INDIRECT(ADDRESS(ROW(P116),MOD(P$1,4)+1)),P$2)),$E116,"")</f>
        <v/>
      </c>
      <c r="Q116" s="26" t="str" cm="1">
        <f t="array" aca="1" ref="Q116" ca="1">IF(ISNUMBER(SEARCH(INDIRECT(ADDRESS(ROW(Q116),MOD(Q$1,4)+1)),Q$2)),$E116,"")</f>
        <v/>
      </c>
      <c r="R116" s="26" cm="1">
        <f t="array" aca="1" ref="R116" ca="1">IF(ISNUMBER(SEARCH(INDIRECT(ADDRESS(ROW(R116),MOD(R$1,4)+1)),R$2)),$E116,"")</f>
        <v>112</v>
      </c>
      <c r="S116" s="26" cm="1">
        <f t="array" aca="1" ref="S116" ca="1">IF(ISNUMBER(SEARCH(INDIRECT(ADDRESS(ROW(S116),MOD(S$1,4)+1)),S$2)),$E116,"")</f>
        <v>112</v>
      </c>
      <c r="T116" s="26" t="str" cm="1">
        <f t="array" aca="1" ref="T116" ca="1">IF(ISNUMBER(SEARCH(INDIRECT(ADDRESS(ROW(T116),MOD(T$1,4)+1)),T$2)),$E116,"")</f>
        <v/>
      </c>
      <c r="U116" s="26" t="str" cm="1">
        <f t="array" aca="1" ref="U116" ca="1">IF(ISNUMBER(SEARCH(INDIRECT(ADDRESS(ROW(U116),MOD(U$1,4)+1)),U$2)),$E116,"")</f>
        <v/>
      </c>
      <c r="V116" s="26" t="str" cm="1">
        <f t="array" aca="1" ref="V116" ca="1">IF(ISNUMBER(SEARCH(INDIRECT(ADDRESS(ROW(V116),MOD(V$1,4)+1)),V$2)),$E116,"")</f>
        <v/>
      </c>
      <c r="W116" s="26" t="str" cm="1">
        <f t="array" aca="1" ref="W116" ca="1">IF(ISNUMBER(SEARCH(INDIRECT(ADDRESS(ROW(W116),MOD(W$1,4)+1)),W$2)),$E116,"")</f>
        <v/>
      </c>
      <c r="X116" s="26" t="str" cm="1">
        <f t="array" aca="1" ref="X116" ca="1">IF(ISNUMBER(SEARCH(INDIRECT(ADDRESS(ROW(X116),MOD(X$1,4)+1)),X$2)),$E116,"")</f>
        <v/>
      </c>
      <c r="Y116" s="26" t="str" cm="1">
        <f t="array" aca="1" ref="Y116" ca="1">IF(ISNUMBER(SEARCH(INDIRECT(ADDRESS(ROW(Y116),MOD(Y$1,4)+1)),Y$2)),$E116,"")</f>
        <v/>
      </c>
      <c r="Z116" s="26" t="str" cm="1">
        <f t="array" aca="1" ref="Z116" ca="1">IF(ISNUMBER(SEARCH(INDIRECT(ADDRESS(ROW(Z116),MOD(Z$1,4)+1)),Z$2)),$E116,"")</f>
        <v/>
      </c>
      <c r="AA116" s="26" t="str" cm="1">
        <f t="array" aca="1" ref="AA116" ca="1">IF(ISNUMBER(SEARCH(INDIRECT(ADDRESS(ROW(AA116),MOD(AA$1,4)+1)),AA$2)),$E116,"")</f>
        <v/>
      </c>
      <c r="AB116" s="26" t="str" cm="1">
        <f t="array" aca="1" ref="AB116" ca="1">IF(ISNUMBER(SEARCH(INDIRECT(ADDRESS(ROW(AB116),MOD(AB$1,4)+1)),AB$2)),$E116,"")</f>
        <v/>
      </c>
      <c r="AC116" s="26" t="str" cm="1">
        <f t="array" aca="1" ref="AC116" ca="1">IF(ISNUMBER(SEARCH(INDIRECT(ADDRESS(ROW(AC116),MOD(AC$1,4)+1)),AC$2)),$E116,"")</f>
        <v/>
      </c>
      <c r="AD116" s="26" t="str" cm="1">
        <f t="array" aca="1" ref="AD116" ca="1">IF(ISNUMBER(SEARCH(INDIRECT(ADDRESS(ROW(AD116),MOD(AD$1,4)+1)),AD$2)),$E116,"")</f>
        <v/>
      </c>
      <c r="AE116" s="26" t="str" cm="1">
        <f t="array" aca="1" ref="AE116" ca="1">IF(ISNUMBER(SEARCH(INDIRECT(ADDRESS(ROW(AE116),MOD(AE$1,4)+1)),AE$2)),$E116,"")</f>
        <v/>
      </c>
      <c r="AF116" s="26" t="str" cm="1">
        <f t="array" aca="1" ref="AF116" ca="1">IF(ISNUMBER(SEARCH(INDIRECT(ADDRESS(ROW(AF116),MOD(AF$1,4)+1)),AF$2)),$E116,"")</f>
        <v/>
      </c>
      <c r="AG116" s="26" t="str" cm="1">
        <f t="array" aca="1" ref="AG116" ca="1">IF(ISNUMBER(SEARCH(INDIRECT(ADDRESS(ROW(AG116),MOD(AG$1,4)+1)),AG$2)),$E116,"")</f>
        <v/>
      </c>
      <c r="AH116" s="26" t="str" cm="1">
        <f t="array" aca="1" ref="AH116" ca="1">IF(ISNUMBER(SEARCH(INDIRECT(ADDRESS(ROW(AH116),MOD(AH$1,4)+1)),AH$2)),$E116,"")</f>
        <v/>
      </c>
      <c r="AI116" s="26" t="str" cm="1">
        <f t="array" aca="1" ref="AI116" ca="1">IF(ISNUMBER(SEARCH(INDIRECT(ADDRESS(ROW(AI116),MOD(AI$1,4)+1)),AI$2)),$E116,"")</f>
        <v/>
      </c>
      <c r="AJ116" s="26" cm="1">
        <f t="array" aca="1" ref="AJ116" ca="1">IF(ISNUMBER(SEARCH(INDIRECT(ADDRESS(ROW(AJ116),MOD(AJ$1,4)+1)),AJ$2)),$E116,"")</f>
        <v>112</v>
      </c>
      <c r="AK116" s="26" cm="1">
        <f t="array" aca="1" ref="AK116" ca="1">IF(ISNUMBER(SEARCH(INDIRECT(ADDRESS(ROW(AK116),MOD(AK$1,4)+1)),AK$2)),$E116,"")</f>
        <v>112</v>
      </c>
      <c r="AL116" s="26" t="str" cm="1">
        <f t="array" aca="1" ref="AL116" ca="1">IF(ISNUMBER(SEARCH(INDIRECT(ADDRESS(ROW(AL116),MOD(AL$1,4)+1)),AL$2)),$E116,"")</f>
        <v/>
      </c>
      <c r="AM116" s="26" t="str" cm="1">
        <f t="array" aca="1" ref="AM116" ca="1">IF(ISNUMBER(SEARCH(INDIRECT(ADDRESS(ROW(AM116),MOD(AM$1,4)+1)),AM$2)),$E116,"")</f>
        <v/>
      </c>
      <c r="AN116" s="26" t="str" cm="1">
        <f t="array" aca="1" ref="AN116" ca="1">IF(ISNUMBER(SEARCH(INDIRECT(ADDRESS(ROW(AN116),MOD(AN$1,4)+1)),AN$2)),$E116,"")</f>
        <v/>
      </c>
      <c r="AO116" s="26" t="str" cm="1">
        <f t="array" aca="1" ref="AO116" ca="1">IF(ISNUMBER(SEARCH(INDIRECT(ADDRESS(ROW(AO116),MOD(AO$1,4)+1)),AO$2)),$E116,"")</f>
        <v/>
      </c>
      <c r="AP116" s="26" t="str" cm="1">
        <f t="array" aca="1" ref="AP116" ca="1">IF(ISNUMBER(SEARCH(INDIRECT(ADDRESS(ROW(AP116),MOD(AP$1,4)+1)),AP$2)),$E116,"")</f>
        <v/>
      </c>
      <c r="AQ116" s="31" t="str" cm="1">
        <f t="array" aca="1" ref="AQ116" ca="1">IF(ISNUMBER(SEARCH(INDIRECT(ADDRESS(ROW(AQ116),MOD(AQ$1,4)+1)),AQ$2)),$E116,"")</f>
        <v/>
      </c>
      <c r="AT116" t="e">
        <f>IF(VLOOKUP($E116,'Formatted NEW'!$B$2:$F$202,5,FALSE)=VLOOKUP($E116,'Formatted NEW'!$B$2:$F$202,8,FALSE),$E116,"")</f>
        <v>#N/A</v>
      </c>
      <c r="AW116" t="e">
        <f>IF(VLOOKUP($E116,'Formatted NEW'!$B$2:$F$202,5,FALSE)=VLOOKUP($E116,'Formatted NEW'!$B$2:$F$202,11,FALSE),$E116,"")</f>
        <v>#N/A</v>
      </c>
      <c r="AZ116" t="e">
        <f>IF(VLOOKUP($E116,'Formatted NEW'!$B$2:$F$202,5,FALSE)=VLOOKUP($E116,'Formatted NEW'!$B$2:$F$202,14,FALSE),$E116,"")</f>
        <v>#N/A</v>
      </c>
      <c r="BC116" t="str">
        <f>VLOOKUP($E116,'Formatted NEW'!$M$2:$T$202,6,FALSE)</f>
        <v>ORTHO_LEFT</v>
      </c>
      <c r="BD116" s="26" t="e">
        <f>VLOOKUP(VLOOKUP(VLOOKUP($E116,'Formatted NEW'!$M$2:$O$202,2,FALSE),'Formatted NEW'!$D$2:$F$202,7,FALSE),'Formatted NEW'!$D$2:$O$202,12,FALSE)</f>
        <v>#REF!</v>
      </c>
      <c r="BE116" t="e">
        <f>VLOOKUP($BD116,'Formatted NEW'!$M$2:$T$202,5,FALSE)</f>
        <v>#REF!</v>
      </c>
      <c r="BF116" s="26" t="e">
        <f t="shared" si="5"/>
        <v>#REF!</v>
      </c>
      <c r="BH116">
        <f>VLOOKUP($E116,'Formatted NEW'!$M$2:$T$202,4,FALSE)</f>
        <v>0</v>
      </c>
      <c r="BI116" s="26" t="e">
        <f>VLOOKUP(VLOOKUP(VLOOKUP($E116,'Formatted NEW'!$M$2:$O$202,2,FALSE),'Formatted NEW'!$D$2:$F$202,10,FALSE),'Formatted NEW'!$D$2:$O$202,12,FALSE)</f>
        <v>#REF!</v>
      </c>
      <c r="BJ116" t="e">
        <f>VLOOKUP($BI116,'Formatted NEW'!$M$2:$T$202,3,FALSE)</f>
        <v>#REF!</v>
      </c>
      <c r="BK116" s="26" t="e">
        <f t="shared" si="6"/>
        <v>#REF!</v>
      </c>
    </row>
    <row r="117" spans="1:63" x14ac:dyDescent="0.25">
      <c r="A117" t="str">
        <f>'Formatted NEW'!Q115</f>
        <v>ORTHO_BOTH</v>
      </c>
      <c r="B117" t="str">
        <f>'Formatted NEW'!R115</f>
        <v>ORTHO_BOTH</v>
      </c>
      <c r="C117" t="str">
        <f>'Formatted NEW'!S115</f>
        <v>ORTHO_UP</v>
      </c>
      <c r="D117" t="str">
        <f>'Formatted NEW'!T115</f>
        <v>ORTHO_UP</v>
      </c>
      <c r="E117" s="26">
        <f t="shared" si="7"/>
        <v>113</v>
      </c>
      <c r="H117" s="30" t="str" cm="1">
        <f t="array" aca="1" ref="H117" ca="1">IF(ISNUMBER(SEARCH(INDIRECT(ADDRESS(ROW(H117),MOD(H$1,4)+1)),H$2)),$E117,"")</f>
        <v/>
      </c>
      <c r="I117" s="26" t="str" cm="1">
        <f t="array" aca="1" ref="I117" ca="1">IF(ISNUMBER(SEARCH(INDIRECT(ADDRESS(ROW(I117),MOD(I$1,4)+1)),I$2)),$E117,"")</f>
        <v/>
      </c>
      <c r="J117" s="26" t="str" cm="1">
        <f t="array" aca="1" ref="J117" ca="1">IF(ISNUMBER(SEARCH(INDIRECT(ADDRESS(ROW(J117),MOD(J$1,4)+1)),J$2)),$E117,"")</f>
        <v/>
      </c>
      <c r="K117" s="26" t="str" cm="1">
        <f t="array" aca="1" ref="K117" ca="1">IF(ISNUMBER(SEARCH(INDIRECT(ADDRESS(ROW(K117),MOD(K$1,4)+1)),K$2)),$E117,"")</f>
        <v/>
      </c>
      <c r="L117" s="26" t="str" cm="1">
        <f t="array" aca="1" ref="L117" ca="1">IF(ISNUMBER(SEARCH(INDIRECT(ADDRESS(ROW(L117),MOD(L$1,4)+1)),L$2)),$E117,"")</f>
        <v/>
      </c>
      <c r="M117" s="26" t="str" cm="1">
        <f t="array" aca="1" ref="M117" ca="1">IF(ISNUMBER(SEARCH(INDIRECT(ADDRESS(ROW(M117),MOD(M$1,4)+1)),M$2)),$E117,"")</f>
        <v/>
      </c>
      <c r="N117" s="26" t="str" cm="1">
        <f t="array" aca="1" ref="N117" ca="1">IF(ISNUMBER(SEARCH(INDIRECT(ADDRESS(ROW(N117),MOD(N$1,4)+1)),N$2)),$E117,"")</f>
        <v/>
      </c>
      <c r="O117" s="26" t="str" cm="1">
        <f t="array" aca="1" ref="O117" ca="1">IF(ISNUMBER(SEARCH(INDIRECT(ADDRESS(ROW(O117),MOD(O$1,4)+1)),O$2)),$E117,"")</f>
        <v/>
      </c>
      <c r="P117" s="26" cm="1">
        <f t="array" aca="1" ref="P117" ca="1">IF(ISNUMBER(SEARCH(INDIRECT(ADDRESS(ROW(P117),MOD(P$1,4)+1)),P$2)),$E117,"")</f>
        <v>113</v>
      </c>
      <c r="Q117" s="26" cm="1">
        <f t="array" aca="1" ref="Q117" ca="1">IF(ISNUMBER(SEARCH(INDIRECT(ADDRESS(ROW(Q117),MOD(Q$1,4)+1)),Q$2)),$E117,"")</f>
        <v>113</v>
      </c>
      <c r="R117" s="26" t="str" cm="1">
        <f t="array" aca="1" ref="R117" ca="1">IF(ISNUMBER(SEARCH(INDIRECT(ADDRESS(ROW(R117),MOD(R$1,4)+1)),R$2)),$E117,"")</f>
        <v/>
      </c>
      <c r="S117" s="26" t="str" cm="1">
        <f t="array" aca="1" ref="S117" ca="1">IF(ISNUMBER(SEARCH(INDIRECT(ADDRESS(ROW(S117),MOD(S$1,4)+1)),S$2)),$E117,"")</f>
        <v/>
      </c>
      <c r="T117" s="26" t="str" cm="1">
        <f t="array" aca="1" ref="T117" ca="1">IF(ISNUMBER(SEARCH(INDIRECT(ADDRESS(ROW(T117),MOD(T$1,4)+1)),T$2)),$E117,"")</f>
        <v/>
      </c>
      <c r="U117" s="26" t="str" cm="1">
        <f t="array" aca="1" ref="U117" ca="1">IF(ISNUMBER(SEARCH(INDIRECT(ADDRESS(ROW(U117),MOD(U$1,4)+1)),U$2)),$E117,"")</f>
        <v/>
      </c>
      <c r="V117" s="26" t="str" cm="1">
        <f t="array" aca="1" ref="V117" ca="1">IF(ISNUMBER(SEARCH(INDIRECT(ADDRESS(ROW(V117),MOD(V$1,4)+1)),V$2)),$E117,"")</f>
        <v/>
      </c>
      <c r="W117" s="26" t="str" cm="1">
        <f t="array" aca="1" ref="W117" ca="1">IF(ISNUMBER(SEARCH(INDIRECT(ADDRESS(ROW(W117),MOD(W$1,4)+1)),W$2)),$E117,"")</f>
        <v/>
      </c>
      <c r="X117" s="26" t="str" cm="1">
        <f t="array" aca="1" ref="X117" ca="1">IF(ISNUMBER(SEARCH(INDIRECT(ADDRESS(ROW(X117),MOD(X$1,4)+1)),X$2)),$E117,"")</f>
        <v/>
      </c>
      <c r="Y117" s="26" t="str" cm="1">
        <f t="array" aca="1" ref="Y117" ca="1">IF(ISNUMBER(SEARCH(INDIRECT(ADDRESS(ROW(Y117),MOD(Y$1,4)+1)),Y$2)),$E117,"")</f>
        <v/>
      </c>
      <c r="Z117" s="26" t="str" cm="1">
        <f t="array" aca="1" ref="Z117" ca="1">IF(ISNUMBER(SEARCH(INDIRECT(ADDRESS(ROW(Z117),MOD(Z$1,4)+1)),Z$2)),$E117,"")</f>
        <v/>
      </c>
      <c r="AA117" s="26" t="str" cm="1">
        <f t="array" aca="1" ref="AA117" ca="1">IF(ISNUMBER(SEARCH(INDIRECT(ADDRESS(ROW(AA117),MOD(AA$1,4)+1)),AA$2)),$E117,"")</f>
        <v/>
      </c>
      <c r="AB117" s="26" t="str" cm="1">
        <f t="array" aca="1" ref="AB117" ca="1">IF(ISNUMBER(SEARCH(INDIRECT(ADDRESS(ROW(AB117),MOD(AB$1,4)+1)),AB$2)),$E117,"")</f>
        <v/>
      </c>
      <c r="AC117" s="26" t="str" cm="1">
        <f t="array" aca="1" ref="AC117" ca="1">IF(ISNUMBER(SEARCH(INDIRECT(ADDRESS(ROW(AC117),MOD(AC$1,4)+1)),AC$2)),$E117,"")</f>
        <v/>
      </c>
      <c r="AD117" s="26" t="str" cm="1">
        <f t="array" aca="1" ref="AD117" ca="1">IF(ISNUMBER(SEARCH(INDIRECT(ADDRESS(ROW(AD117),MOD(AD$1,4)+1)),AD$2)),$E117,"")</f>
        <v/>
      </c>
      <c r="AE117" s="26" t="str" cm="1">
        <f t="array" aca="1" ref="AE117" ca="1">IF(ISNUMBER(SEARCH(INDIRECT(ADDRESS(ROW(AE117),MOD(AE$1,4)+1)),AE$2)),$E117,"")</f>
        <v/>
      </c>
      <c r="AF117" s="26" t="str" cm="1">
        <f t="array" aca="1" ref="AF117" ca="1">IF(ISNUMBER(SEARCH(INDIRECT(ADDRESS(ROW(AF117),MOD(AF$1,4)+1)),AF$2)),$E117,"")</f>
        <v/>
      </c>
      <c r="AG117" s="26" t="str" cm="1">
        <f t="array" aca="1" ref="AG117" ca="1">IF(ISNUMBER(SEARCH(INDIRECT(ADDRESS(ROW(AG117),MOD(AG$1,4)+1)),AG$2)),$E117,"")</f>
        <v/>
      </c>
      <c r="AH117" s="26" t="str" cm="1">
        <f t="array" aca="1" ref="AH117" ca="1">IF(ISNUMBER(SEARCH(INDIRECT(ADDRESS(ROW(AH117),MOD(AH$1,4)+1)),AH$2)),$E117,"")</f>
        <v/>
      </c>
      <c r="AI117" s="26" t="str" cm="1">
        <f t="array" aca="1" ref="AI117" ca="1">IF(ISNUMBER(SEARCH(INDIRECT(ADDRESS(ROW(AI117),MOD(AI$1,4)+1)),AI$2)),$E117,"")</f>
        <v/>
      </c>
      <c r="AJ117" s="26" t="str" cm="1">
        <f t="array" aca="1" ref="AJ117" ca="1">IF(ISNUMBER(SEARCH(INDIRECT(ADDRESS(ROW(AJ117),MOD(AJ$1,4)+1)),AJ$2)),$E117,"")</f>
        <v/>
      </c>
      <c r="AK117" s="26" t="str" cm="1">
        <f t="array" aca="1" ref="AK117" ca="1">IF(ISNUMBER(SEARCH(INDIRECT(ADDRESS(ROW(AK117),MOD(AK$1,4)+1)),AK$2)),$E117,"")</f>
        <v/>
      </c>
      <c r="AL117" s="26" t="str" cm="1">
        <f t="array" aca="1" ref="AL117" ca="1">IF(ISNUMBER(SEARCH(INDIRECT(ADDRESS(ROW(AL117),MOD(AL$1,4)+1)),AL$2)),$E117,"")</f>
        <v/>
      </c>
      <c r="AM117" s="26" t="str" cm="1">
        <f t="array" aca="1" ref="AM117" ca="1">IF(ISNUMBER(SEARCH(INDIRECT(ADDRESS(ROW(AM117),MOD(AM$1,4)+1)),AM$2)),$E117,"")</f>
        <v/>
      </c>
      <c r="AN117" s="26" t="str" cm="1">
        <f t="array" aca="1" ref="AN117" ca="1">IF(ISNUMBER(SEARCH(INDIRECT(ADDRESS(ROW(AN117),MOD(AN$1,4)+1)),AN$2)),$E117,"")</f>
        <v/>
      </c>
      <c r="AO117" s="26" t="str" cm="1">
        <f t="array" aca="1" ref="AO117" ca="1">IF(ISNUMBER(SEARCH(INDIRECT(ADDRESS(ROW(AO117),MOD(AO$1,4)+1)),AO$2)),$E117,"")</f>
        <v/>
      </c>
      <c r="AP117" s="26" t="str" cm="1">
        <f t="array" aca="1" ref="AP117" ca="1">IF(ISNUMBER(SEARCH(INDIRECT(ADDRESS(ROW(AP117),MOD(AP$1,4)+1)),AP$2)),$E117,"")</f>
        <v/>
      </c>
      <c r="AQ117" s="31" t="str" cm="1">
        <f t="array" aca="1" ref="AQ117" ca="1">IF(ISNUMBER(SEARCH(INDIRECT(ADDRESS(ROW(AQ117),MOD(AQ$1,4)+1)),AQ$2)),$E117,"")</f>
        <v/>
      </c>
      <c r="AT117" t="e">
        <f>IF(VLOOKUP($E117,'Formatted NEW'!$B$2:$F$202,5,FALSE)=VLOOKUP($E117,'Formatted NEW'!$B$2:$F$202,8,FALSE),$E117,"")</f>
        <v>#N/A</v>
      </c>
      <c r="AW117" t="e">
        <f>IF(VLOOKUP($E117,'Formatted NEW'!$B$2:$F$202,5,FALSE)=VLOOKUP($E117,'Formatted NEW'!$B$2:$F$202,11,FALSE),$E117,"")</f>
        <v>#N/A</v>
      </c>
      <c r="AZ117" t="e">
        <f>IF(VLOOKUP($E117,'Formatted NEW'!$B$2:$F$202,5,FALSE)=VLOOKUP($E117,'Formatted NEW'!$B$2:$F$202,14,FALSE),$E117,"")</f>
        <v>#N/A</v>
      </c>
      <c r="BC117" t="str">
        <f>VLOOKUP($E117,'Formatted NEW'!$M$2:$T$202,6,FALSE)</f>
        <v>ORTHO_BOTH</v>
      </c>
      <c r="BD117" s="26" t="e">
        <f>VLOOKUP(VLOOKUP(VLOOKUP($E117,'Formatted NEW'!$M$2:$O$202,2,FALSE),'Formatted NEW'!$D$2:$F$202,7,FALSE),'Formatted NEW'!$D$2:$O$202,12,FALSE)</f>
        <v>#REF!</v>
      </c>
      <c r="BE117" t="e">
        <f>VLOOKUP($BD117,'Formatted NEW'!$M$2:$T$202,5,FALSE)</f>
        <v>#REF!</v>
      </c>
      <c r="BF117" s="26" t="e">
        <f t="shared" si="5"/>
        <v>#REF!</v>
      </c>
      <c r="BH117">
        <f>VLOOKUP($E117,'Formatted NEW'!$M$2:$T$202,4,FALSE)</f>
        <v>0</v>
      </c>
      <c r="BI117" s="26" t="e">
        <f>VLOOKUP(VLOOKUP(VLOOKUP($E117,'Formatted NEW'!$M$2:$O$202,2,FALSE),'Formatted NEW'!$D$2:$F$202,10,FALSE),'Formatted NEW'!$D$2:$O$202,12,FALSE)</f>
        <v>#REF!</v>
      </c>
      <c r="BJ117" t="e">
        <f>VLOOKUP($BI117,'Formatted NEW'!$M$2:$T$202,3,FALSE)</f>
        <v>#REF!</v>
      </c>
      <c r="BK117" s="26" t="e">
        <f t="shared" si="6"/>
        <v>#REF!</v>
      </c>
    </row>
    <row r="118" spans="1:63" x14ac:dyDescent="0.25">
      <c r="A118" t="str">
        <f>'Formatted NEW'!Q116</f>
        <v>ORTHO_RIGHT</v>
      </c>
      <c r="B118" t="str">
        <f>'Formatted NEW'!R116</f>
        <v>ORTHO_RIGHT</v>
      </c>
      <c r="C118" t="str">
        <f>'Formatted NEW'!S116</f>
        <v>ORTHO_BOTH</v>
      </c>
      <c r="D118" t="str">
        <f>'Formatted NEW'!T116</f>
        <v>ORTHO_BOTH</v>
      </c>
      <c r="E118" s="26">
        <f t="shared" si="7"/>
        <v>114</v>
      </c>
      <c r="H118" s="30" t="str" cm="1">
        <f t="array" aca="1" ref="H118" ca="1">IF(ISNUMBER(SEARCH(INDIRECT(ADDRESS(ROW(H118),MOD(H$1,4)+1)),H$2)),$E118,"")</f>
        <v/>
      </c>
      <c r="I118" s="26" t="str" cm="1">
        <f t="array" aca="1" ref="I118" ca="1">IF(ISNUMBER(SEARCH(INDIRECT(ADDRESS(ROW(I118),MOD(I$1,4)+1)),I$2)),$E118,"")</f>
        <v/>
      </c>
      <c r="J118" s="26" t="str" cm="1">
        <f t="array" aca="1" ref="J118" ca="1">IF(ISNUMBER(SEARCH(INDIRECT(ADDRESS(ROW(J118),MOD(J$1,4)+1)),J$2)),$E118,"")</f>
        <v/>
      </c>
      <c r="K118" s="26" t="str" cm="1">
        <f t="array" aca="1" ref="K118" ca="1">IF(ISNUMBER(SEARCH(INDIRECT(ADDRESS(ROW(K118),MOD(K$1,4)+1)),K$2)),$E118,"")</f>
        <v/>
      </c>
      <c r="L118" s="26" t="str" cm="1">
        <f t="array" aca="1" ref="L118" ca="1">IF(ISNUMBER(SEARCH(INDIRECT(ADDRESS(ROW(L118),MOD(L$1,4)+1)),L$2)),$E118,"")</f>
        <v/>
      </c>
      <c r="M118" s="26" t="str" cm="1">
        <f t="array" aca="1" ref="M118" ca="1">IF(ISNUMBER(SEARCH(INDIRECT(ADDRESS(ROW(M118),MOD(M$1,4)+1)),M$2)),$E118,"")</f>
        <v/>
      </c>
      <c r="N118" s="26" t="str" cm="1">
        <f t="array" aca="1" ref="N118" ca="1">IF(ISNUMBER(SEARCH(INDIRECT(ADDRESS(ROW(N118),MOD(N$1,4)+1)),N$2)),$E118,"")</f>
        <v/>
      </c>
      <c r="O118" s="26" t="str" cm="1">
        <f t="array" aca="1" ref="O118" ca="1">IF(ISNUMBER(SEARCH(INDIRECT(ADDRESS(ROW(O118),MOD(O$1,4)+1)),O$2)),$E118,"")</f>
        <v/>
      </c>
      <c r="P118" s="26" t="str" cm="1">
        <f t="array" aca="1" ref="P118" ca="1">IF(ISNUMBER(SEARCH(INDIRECT(ADDRESS(ROW(P118),MOD(P$1,4)+1)),P$2)),$E118,"")</f>
        <v/>
      </c>
      <c r="Q118" s="26" t="str" cm="1">
        <f t="array" aca="1" ref="Q118" ca="1">IF(ISNUMBER(SEARCH(INDIRECT(ADDRESS(ROW(Q118),MOD(Q$1,4)+1)),Q$2)),$E118,"")</f>
        <v/>
      </c>
      <c r="R118" s="26" cm="1">
        <f t="array" aca="1" ref="R118" ca="1">IF(ISNUMBER(SEARCH(INDIRECT(ADDRESS(ROW(R118),MOD(R$1,4)+1)),R$2)),$E118,"")</f>
        <v>114</v>
      </c>
      <c r="S118" s="26" cm="1">
        <f t="array" aca="1" ref="S118" ca="1">IF(ISNUMBER(SEARCH(INDIRECT(ADDRESS(ROW(S118),MOD(S$1,4)+1)),S$2)),$E118,"")</f>
        <v>114</v>
      </c>
      <c r="T118" s="26" t="str" cm="1">
        <f t="array" aca="1" ref="T118" ca="1">IF(ISNUMBER(SEARCH(INDIRECT(ADDRESS(ROW(T118),MOD(T$1,4)+1)),T$2)),$E118,"")</f>
        <v/>
      </c>
      <c r="U118" s="26" t="str" cm="1">
        <f t="array" aca="1" ref="U118" ca="1">IF(ISNUMBER(SEARCH(INDIRECT(ADDRESS(ROW(U118),MOD(U$1,4)+1)),U$2)),$E118,"")</f>
        <v/>
      </c>
      <c r="V118" s="26" t="str" cm="1">
        <f t="array" aca="1" ref="V118" ca="1">IF(ISNUMBER(SEARCH(INDIRECT(ADDRESS(ROW(V118),MOD(V$1,4)+1)),V$2)),$E118,"")</f>
        <v/>
      </c>
      <c r="W118" s="26" t="str" cm="1">
        <f t="array" aca="1" ref="W118" ca="1">IF(ISNUMBER(SEARCH(INDIRECT(ADDRESS(ROW(W118),MOD(W$1,4)+1)),W$2)),$E118,"")</f>
        <v/>
      </c>
      <c r="X118" s="26" t="str" cm="1">
        <f t="array" aca="1" ref="X118" ca="1">IF(ISNUMBER(SEARCH(INDIRECT(ADDRESS(ROW(X118),MOD(X$1,4)+1)),X$2)),$E118,"")</f>
        <v/>
      </c>
      <c r="Y118" s="26" t="str" cm="1">
        <f t="array" aca="1" ref="Y118" ca="1">IF(ISNUMBER(SEARCH(INDIRECT(ADDRESS(ROW(Y118),MOD(Y$1,4)+1)),Y$2)),$E118,"")</f>
        <v/>
      </c>
      <c r="Z118" s="26" t="str" cm="1">
        <f t="array" aca="1" ref="Z118" ca="1">IF(ISNUMBER(SEARCH(INDIRECT(ADDRESS(ROW(Z118),MOD(Z$1,4)+1)),Z$2)),$E118,"")</f>
        <v/>
      </c>
      <c r="AA118" s="26" t="str" cm="1">
        <f t="array" aca="1" ref="AA118" ca="1">IF(ISNUMBER(SEARCH(INDIRECT(ADDRESS(ROW(AA118),MOD(AA$1,4)+1)),AA$2)),$E118,"")</f>
        <v/>
      </c>
      <c r="AB118" s="26" t="str" cm="1">
        <f t="array" aca="1" ref="AB118" ca="1">IF(ISNUMBER(SEARCH(INDIRECT(ADDRESS(ROW(AB118),MOD(AB$1,4)+1)),AB$2)),$E118,"")</f>
        <v/>
      </c>
      <c r="AC118" s="26" t="str" cm="1">
        <f t="array" aca="1" ref="AC118" ca="1">IF(ISNUMBER(SEARCH(INDIRECT(ADDRESS(ROW(AC118),MOD(AC$1,4)+1)),AC$2)),$E118,"")</f>
        <v/>
      </c>
      <c r="AD118" s="26" t="str" cm="1">
        <f t="array" aca="1" ref="AD118" ca="1">IF(ISNUMBER(SEARCH(INDIRECT(ADDRESS(ROW(AD118),MOD(AD$1,4)+1)),AD$2)),$E118,"")</f>
        <v/>
      </c>
      <c r="AE118" s="26" t="str" cm="1">
        <f t="array" aca="1" ref="AE118" ca="1">IF(ISNUMBER(SEARCH(INDIRECT(ADDRESS(ROW(AE118),MOD(AE$1,4)+1)),AE$2)),$E118,"")</f>
        <v/>
      </c>
      <c r="AF118" s="26" t="str" cm="1">
        <f t="array" aca="1" ref="AF118" ca="1">IF(ISNUMBER(SEARCH(INDIRECT(ADDRESS(ROW(AF118),MOD(AF$1,4)+1)),AF$2)),$E118,"")</f>
        <v/>
      </c>
      <c r="AG118" s="26" t="str" cm="1">
        <f t="array" aca="1" ref="AG118" ca="1">IF(ISNUMBER(SEARCH(INDIRECT(ADDRESS(ROW(AG118),MOD(AG$1,4)+1)),AG$2)),$E118,"")</f>
        <v/>
      </c>
      <c r="AH118" s="26" t="str" cm="1">
        <f t="array" aca="1" ref="AH118" ca="1">IF(ISNUMBER(SEARCH(INDIRECT(ADDRESS(ROW(AH118),MOD(AH$1,4)+1)),AH$2)),$E118,"")</f>
        <v/>
      </c>
      <c r="AI118" s="26" t="str" cm="1">
        <f t="array" aca="1" ref="AI118" ca="1">IF(ISNUMBER(SEARCH(INDIRECT(ADDRESS(ROW(AI118),MOD(AI$1,4)+1)),AI$2)),$E118,"")</f>
        <v/>
      </c>
      <c r="AJ118" s="26" t="str" cm="1">
        <f t="array" aca="1" ref="AJ118" ca="1">IF(ISNUMBER(SEARCH(INDIRECT(ADDRESS(ROW(AJ118),MOD(AJ$1,4)+1)),AJ$2)),$E118,"")</f>
        <v/>
      </c>
      <c r="AK118" s="26" t="str" cm="1">
        <f t="array" aca="1" ref="AK118" ca="1">IF(ISNUMBER(SEARCH(INDIRECT(ADDRESS(ROW(AK118),MOD(AK$1,4)+1)),AK$2)),$E118,"")</f>
        <v/>
      </c>
      <c r="AL118" s="26" t="str" cm="1">
        <f t="array" aca="1" ref="AL118" ca="1">IF(ISNUMBER(SEARCH(INDIRECT(ADDRESS(ROW(AL118),MOD(AL$1,4)+1)),AL$2)),$E118,"")</f>
        <v/>
      </c>
      <c r="AM118" s="26" t="str" cm="1">
        <f t="array" aca="1" ref="AM118" ca="1">IF(ISNUMBER(SEARCH(INDIRECT(ADDRESS(ROW(AM118),MOD(AM$1,4)+1)),AM$2)),$E118,"")</f>
        <v/>
      </c>
      <c r="AN118" s="26" cm="1">
        <f t="array" aca="1" ref="AN118" ca="1">IF(ISNUMBER(SEARCH(INDIRECT(ADDRESS(ROW(AN118),MOD(AN$1,4)+1)),AN$2)),$E118,"")</f>
        <v>114</v>
      </c>
      <c r="AO118" s="26" cm="1">
        <f t="array" aca="1" ref="AO118" ca="1">IF(ISNUMBER(SEARCH(INDIRECT(ADDRESS(ROW(AO118),MOD(AO$1,4)+1)),AO$2)),$E118,"")</f>
        <v>114</v>
      </c>
      <c r="AP118" s="26" t="str" cm="1">
        <f t="array" aca="1" ref="AP118" ca="1">IF(ISNUMBER(SEARCH(INDIRECT(ADDRESS(ROW(AP118),MOD(AP$1,4)+1)),AP$2)),$E118,"")</f>
        <v/>
      </c>
      <c r="AQ118" s="31" t="str" cm="1">
        <f t="array" aca="1" ref="AQ118" ca="1">IF(ISNUMBER(SEARCH(INDIRECT(ADDRESS(ROW(AQ118),MOD(AQ$1,4)+1)),AQ$2)),$E118,"")</f>
        <v/>
      </c>
      <c r="AT118" t="e">
        <f>IF(VLOOKUP($E118,'Formatted NEW'!$B$2:$F$202,5,FALSE)=VLOOKUP($E118,'Formatted NEW'!$B$2:$F$202,8,FALSE),$E118,"")</f>
        <v>#N/A</v>
      </c>
      <c r="AW118" t="e">
        <f>IF(VLOOKUP($E118,'Formatted NEW'!$B$2:$F$202,5,FALSE)=VLOOKUP($E118,'Formatted NEW'!$B$2:$F$202,11,FALSE),$E118,"")</f>
        <v>#N/A</v>
      </c>
      <c r="AZ118" t="e">
        <f>IF(VLOOKUP($E118,'Formatted NEW'!$B$2:$F$202,5,FALSE)=VLOOKUP($E118,'Formatted NEW'!$B$2:$F$202,14,FALSE),$E118,"")</f>
        <v>#N/A</v>
      </c>
      <c r="BC118" t="str">
        <f>VLOOKUP($E118,'Formatted NEW'!$M$2:$T$202,6,FALSE)</f>
        <v>ORTHO_RIGHT</v>
      </c>
      <c r="BD118" s="26" t="e">
        <f>VLOOKUP(VLOOKUP(VLOOKUP($E118,'Formatted NEW'!$M$2:$O$202,2,FALSE),'Formatted NEW'!$D$2:$F$202,7,FALSE),'Formatted NEW'!$D$2:$O$202,12,FALSE)</f>
        <v>#REF!</v>
      </c>
      <c r="BE118" t="e">
        <f>VLOOKUP($BD118,'Formatted NEW'!$M$2:$T$202,5,FALSE)</f>
        <v>#REF!</v>
      </c>
      <c r="BF118" s="26" t="e">
        <f t="shared" si="5"/>
        <v>#REF!</v>
      </c>
      <c r="BH118">
        <f>VLOOKUP($E118,'Formatted NEW'!$M$2:$T$202,4,FALSE)</f>
        <v>0</v>
      </c>
      <c r="BI118" s="26" t="e">
        <f>VLOOKUP(VLOOKUP(VLOOKUP($E118,'Formatted NEW'!$M$2:$O$202,2,FALSE),'Formatted NEW'!$D$2:$F$202,10,FALSE),'Formatted NEW'!$D$2:$O$202,12,FALSE)</f>
        <v>#REF!</v>
      </c>
      <c r="BJ118" t="e">
        <f>VLOOKUP($BI118,'Formatted NEW'!$M$2:$T$202,3,FALSE)</f>
        <v>#REF!</v>
      </c>
      <c r="BK118" s="26" t="e">
        <f t="shared" si="6"/>
        <v>#REF!</v>
      </c>
    </row>
    <row r="119" spans="1:63" x14ac:dyDescent="0.25">
      <c r="A119" t="str">
        <f>'Formatted NEW'!Q117</f>
        <v>ORTHO_LEFT</v>
      </c>
      <c r="B119" t="str">
        <f>'Formatted NEW'!R117</f>
        <v>ORTHO_LEFT</v>
      </c>
      <c r="C119" t="str">
        <f>'Formatted NEW'!S117</f>
        <v>ORTHO_DOWN</v>
      </c>
      <c r="D119" t="str">
        <f>'Formatted NEW'!T117</f>
        <v>ORTHO_DOWN</v>
      </c>
      <c r="E119" s="26">
        <f t="shared" si="7"/>
        <v>115</v>
      </c>
      <c r="H119" s="30" t="str" cm="1">
        <f t="array" aca="1" ref="H119" ca="1">IF(ISNUMBER(SEARCH(INDIRECT(ADDRESS(ROW(H119),MOD(H$1,4)+1)),H$2)),$E119,"")</f>
        <v/>
      </c>
      <c r="I119" s="26" t="str" cm="1">
        <f t="array" aca="1" ref="I119" ca="1">IF(ISNUMBER(SEARCH(INDIRECT(ADDRESS(ROW(I119),MOD(I$1,4)+1)),I$2)),$E119,"")</f>
        <v/>
      </c>
      <c r="J119" s="26" t="str" cm="1">
        <f t="array" aca="1" ref="J119" ca="1">IF(ISNUMBER(SEARCH(INDIRECT(ADDRESS(ROW(J119),MOD(J$1,4)+1)),J$2)),$E119,"")</f>
        <v/>
      </c>
      <c r="K119" s="26" t="str" cm="1">
        <f t="array" aca="1" ref="K119" ca="1">IF(ISNUMBER(SEARCH(INDIRECT(ADDRESS(ROW(K119),MOD(K$1,4)+1)),K$2)),$E119,"")</f>
        <v/>
      </c>
      <c r="L119" s="26" t="str" cm="1">
        <f t="array" aca="1" ref="L119" ca="1">IF(ISNUMBER(SEARCH(INDIRECT(ADDRESS(ROW(L119),MOD(L$1,4)+1)),L$2)),$E119,"")</f>
        <v/>
      </c>
      <c r="M119" s="26" t="str" cm="1">
        <f t="array" aca="1" ref="M119" ca="1">IF(ISNUMBER(SEARCH(INDIRECT(ADDRESS(ROW(M119),MOD(M$1,4)+1)),M$2)),$E119,"")</f>
        <v/>
      </c>
      <c r="N119" s="26" t="str" cm="1">
        <f t="array" aca="1" ref="N119" ca="1">IF(ISNUMBER(SEARCH(INDIRECT(ADDRESS(ROW(N119),MOD(N$1,4)+1)),N$2)),$E119,"")</f>
        <v/>
      </c>
      <c r="O119" s="26" t="str" cm="1">
        <f t="array" aca="1" ref="O119" ca="1">IF(ISNUMBER(SEARCH(INDIRECT(ADDRESS(ROW(O119),MOD(O$1,4)+1)),O$2)),$E119,"")</f>
        <v/>
      </c>
      <c r="P119" s="26" t="str" cm="1">
        <f t="array" aca="1" ref="P119" ca="1">IF(ISNUMBER(SEARCH(INDIRECT(ADDRESS(ROW(P119),MOD(P$1,4)+1)),P$2)),$E119,"")</f>
        <v/>
      </c>
      <c r="Q119" s="26" t="str" cm="1">
        <f t="array" aca="1" ref="Q119" ca="1">IF(ISNUMBER(SEARCH(INDIRECT(ADDRESS(ROW(Q119),MOD(Q$1,4)+1)),Q$2)),$E119,"")</f>
        <v/>
      </c>
      <c r="R119" s="26" t="str" cm="1">
        <f t="array" aca="1" ref="R119" ca="1">IF(ISNUMBER(SEARCH(INDIRECT(ADDRESS(ROW(R119),MOD(R$1,4)+1)),R$2)),$E119,"")</f>
        <v/>
      </c>
      <c r="S119" s="26" t="str" cm="1">
        <f t="array" aca="1" ref="S119" ca="1">IF(ISNUMBER(SEARCH(INDIRECT(ADDRESS(ROW(S119),MOD(S$1,4)+1)),S$2)),$E119,"")</f>
        <v/>
      </c>
      <c r="T119" s="26" t="str" cm="1">
        <f t="array" aca="1" ref="T119" ca="1">IF(ISNUMBER(SEARCH(INDIRECT(ADDRESS(ROW(T119),MOD(T$1,4)+1)),T$2)),$E119,"")</f>
        <v/>
      </c>
      <c r="U119" s="26" t="str" cm="1">
        <f t="array" aca="1" ref="U119" ca="1">IF(ISNUMBER(SEARCH(INDIRECT(ADDRESS(ROW(U119),MOD(U$1,4)+1)),U$2)),$E119,"")</f>
        <v/>
      </c>
      <c r="V119" s="26" t="str" cm="1">
        <f t="array" aca="1" ref="V119" ca="1">IF(ISNUMBER(SEARCH(INDIRECT(ADDRESS(ROW(V119),MOD(V$1,4)+1)),V$2)),$E119,"")</f>
        <v/>
      </c>
      <c r="W119" s="26" t="str" cm="1">
        <f t="array" aca="1" ref="W119" ca="1">IF(ISNUMBER(SEARCH(INDIRECT(ADDRESS(ROW(W119),MOD(W$1,4)+1)),W$2)),$E119,"")</f>
        <v/>
      </c>
      <c r="X119" s="26" t="str" cm="1">
        <f t="array" aca="1" ref="X119" ca="1">IF(ISNUMBER(SEARCH(INDIRECT(ADDRESS(ROW(X119),MOD(X$1,4)+1)),X$2)),$E119,"")</f>
        <v/>
      </c>
      <c r="Y119" s="26" t="str" cm="1">
        <f t="array" aca="1" ref="Y119" ca="1">IF(ISNUMBER(SEARCH(INDIRECT(ADDRESS(ROW(Y119),MOD(Y$1,4)+1)),Y$2)),$E119,"")</f>
        <v/>
      </c>
      <c r="Z119" s="26" t="str" cm="1">
        <f t="array" aca="1" ref="Z119" ca="1">IF(ISNUMBER(SEARCH(INDIRECT(ADDRESS(ROW(Z119),MOD(Z$1,4)+1)),Z$2)),$E119,"")</f>
        <v/>
      </c>
      <c r="AA119" s="26" t="str" cm="1">
        <f t="array" aca="1" ref="AA119" ca="1">IF(ISNUMBER(SEARCH(INDIRECT(ADDRESS(ROW(AA119),MOD(AA$1,4)+1)),AA$2)),$E119,"")</f>
        <v/>
      </c>
      <c r="AB119" s="26" t="str" cm="1">
        <f t="array" aca="1" ref="AB119" ca="1">IF(ISNUMBER(SEARCH(INDIRECT(ADDRESS(ROW(AB119),MOD(AB$1,4)+1)),AB$2)),$E119,"")</f>
        <v/>
      </c>
      <c r="AC119" s="26" t="str" cm="1">
        <f t="array" aca="1" ref="AC119" ca="1">IF(ISNUMBER(SEARCH(INDIRECT(ADDRESS(ROW(AC119),MOD(AC$1,4)+1)),AC$2)),$E119,"")</f>
        <v/>
      </c>
      <c r="AD119" s="26" t="str" cm="1">
        <f t="array" aca="1" ref="AD119" ca="1">IF(ISNUMBER(SEARCH(INDIRECT(ADDRESS(ROW(AD119),MOD(AD$1,4)+1)),AD$2)),$E119,"")</f>
        <v/>
      </c>
      <c r="AE119" s="26" t="str" cm="1">
        <f t="array" aca="1" ref="AE119" ca="1">IF(ISNUMBER(SEARCH(INDIRECT(ADDRESS(ROW(AE119),MOD(AE$1,4)+1)),AE$2)),$E119,"")</f>
        <v/>
      </c>
      <c r="AF119" s="26" t="str" cm="1">
        <f t="array" aca="1" ref="AF119" ca="1">IF(ISNUMBER(SEARCH(INDIRECT(ADDRESS(ROW(AF119),MOD(AF$1,4)+1)),AF$2)),$E119,"")</f>
        <v/>
      </c>
      <c r="AG119" s="26" t="str" cm="1">
        <f t="array" aca="1" ref="AG119" ca="1">IF(ISNUMBER(SEARCH(INDIRECT(ADDRESS(ROW(AG119),MOD(AG$1,4)+1)),AG$2)),$E119,"")</f>
        <v/>
      </c>
      <c r="AH119" s="26" t="str" cm="1">
        <f t="array" aca="1" ref="AH119" ca="1">IF(ISNUMBER(SEARCH(INDIRECT(ADDRESS(ROW(AH119),MOD(AH$1,4)+1)),AH$2)),$E119,"")</f>
        <v/>
      </c>
      <c r="AI119" s="26" t="str" cm="1">
        <f t="array" aca="1" ref="AI119" ca="1">IF(ISNUMBER(SEARCH(INDIRECT(ADDRESS(ROW(AI119),MOD(AI$1,4)+1)),AI$2)),$E119,"")</f>
        <v/>
      </c>
      <c r="AJ119" s="26" cm="1">
        <f t="array" aca="1" ref="AJ119" ca="1">IF(ISNUMBER(SEARCH(INDIRECT(ADDRESS(ROW(AJ119),MOD(AJ$1,4)+1)),AJ$2)),$E119,"")</f>
        <v>115</v>
      </c>
      <c r="AK119" s="26" cm="1">
        <f t="array" aca="1" ref="AK119" ca="1">IF(ISNUMBER(SEARCH(INDIRECT(ADDRESS(ROW(AK119),MOD(AK$1,4)+1)),AK$2)),$E119,"")</f>
        <v>115</v>
      </c>
      <c r="AL119" s="26" t="str" cm="1">
        <f t="array" aca="1" ref="AL119" ca="1">IF(ISNUMBER(SEARCH(INDIRECT(ADDRESS(ROW(AL119),MOD(AL$1,4)+1)),AL$2)),$E119,"")</f>
        <v/>
      </c>
      <c r="AM119" s="26" t="str" cm="1">
        <f t="array" aca="1" ref="AM119" ca="1">IF(ISNUMBER(SEARCH(INDIRECT(ADDRESS(ROW(AM119),MOD(AM$1,4)+1)),AM$2)),$E119,"")</f>
        <v/>
      </c>
      <c r="AN119" s="26" t="str" cm="1">
        <f t="array" aca="1" ref="AN119" ca="1">IF(ISNUMBER(SEARCH(INDIRECT(ADDRESS(ROW(AN119),MOD(AN$1,4)+1)),AN$2)),$E119,"")</f>
        <v/>
      </c>
      <c r="AO119" s="26" t="str" cm="1">
        <f t="array" aca="1" ref="AO119" ca="1">IF(ISNUMBER(SEARCH(INDIRECT(ADDRESS(ROW(AO119),MOD(AO$1,4)+1)),AO$2)),$E119,"")</f>
        <v/>
      </c>
      <c r="AP119" s="26" t="str" cm="1">
        <f t="array" aca="1" ref="AP119" ca="1">IF(ISNUMBER(SEARCH(INDIRECT(ADDRESS(ROW(AP119),MOD(AP$1,4)+1)),AP$2)),$E119,"")</f>
        <v/>
      </c>
      <c r="AQ119" s="31" t="str" cm="1">
        <f t="array" aca="1" ref="AQ119" ca="1">IF(ISNUMBER(SEARCH(INDIRECT(ADDRESS(ROW(AQ119),MOD(AQ$1,4)+1)),AQ$2)),$E119,"")</f>
        <v/>
      </c>
      <c r="AT119" t="e">
        <f>IF(VLOOKUP($E119,'Formatted NEW'!$B$2:$F$202,5,FALSE)=VLOOKUP($E119,'Formatted NEW'!$B$2:$F$202,8,FALSE),$E119,"")</f>
        <v>#N/A</v>
      </c>
      <c r="AW119" t="e">
        <f>IF(VLOOKUP($E119,'Formatted NEW'!$B$2:$F$202,5,FALSE)=VLOOKUP($E119,'Formatted NEW'!$B$2:$F$202,11,FALSE),$E119,"")</f>
        <v>#N/A</v>
      </c>
      <c r="AZ119" t="e">
        <f>IF(VLOOKUP($E119,'Formatted NEW'!$B$2:$F$202,5,FALSE)=VLOOKUP($E119,'Formatted NEW'!$B$2:$F$202,14,FALSE),$E119,"")</f>
        <v>#N/A</v>
      </c>
      <c r="BC119" t="str">
        <f>VLOOKUP($E119,'Formatted NEW'!$M$2:$T$202,6,FALSE)</f>
        <v>ORTHO_LEFT</v>
      </c>
      <c r="BD119" s="26" t="e">
        <f>VLOOKUP(VLOOKUP(VLOOKUP($E119,'Formatted NEW'!$M$2:$O$202,2,FALSE),'Formatted NEW'!$D$2:$F$202,7,FALSE),'Formatted NEW'!$D$2:$O$202,12,FALSE)</f>
        <v>#REF!</v>
      </c>
      <c r="BE119" t="e">
        <f>VLOOKUP($BD119,'Formatted NEW'!$M$2:$T$202,5,FALSE)</f>
        <v>#REF!</v>
      </c>
      <c r="BF119" s="26" t="e">
        <f t="shared" si="5"/>
        <v>#REF!</v>
      </c>
      <c r="BH119">
        <f>VLOOKUP($E119,'Formatted NEW'!$M$2:$T$202,4,FALSE)</f>
        <v>0</v>
      </c>
      <c r="BI119" s="26" t="e">
        <f>VLOOKUP(VLOOKUP(VLOOKUP($E119,'Formatted NEW'!$M$2:$O$202,2,FALSE),'Formatted NEW'!$D$2:$F$202,10,FALSE),'Formatted NEW'!$D$2:$O$202,12,FALSE)</f>
        <v>#REF!</v>
      </c>
      <c r="BJ119" t="e">
        <f>VLOOKUP($BI119,'Formatted NEW'!$M$2:$T$202,3,FALSE)</f>
        <v>#REF!</v>
      </c>
      <c r="BK119" s="26" t="e">
        <f t="shared" si="6"/>
        <v>#REF!</v>
      </c>
    </row>
    <row r="120" spans="1:63" x14ac:dyDescent="0.25">
      <c r="A120" t="str">
        <f>'Formatted NEW'!Q118</f>
        <v>ORTHO_LEFT</v>
      </c>
      <c r="B120" t="str">
        <f>'Formatted NEW'!R118</f>
        <v>ORTHO_LEFT</v>
      </c>
      <c r="C120" t="str">
        <f>'Formatted NEW'!S118</f>
        <v>ORTHO_UP</v>
      </c>
      <c r="D120" t="str">
        <f>'Formatted NEW'!T118</f>
        <v>ORTHO_UP</v>
      </c>
      <c r="E120" s="26">
        <f t="shared" si="7"/>
        <v>116</v>
      </c>
      <c r="H120" s="30" t="str" cm="1">
        <f t="array" aca="1" ref="H120" ca="1">IF(ISNUMBER(SEARCH(INDIRECT(ADDRESS(ROW(H120),MOD(H$1,4)+1)),H$2)),$E120,"")</f>
        <v/>
      </c>
      <c r="I120" s="26" t="str" cm="1">
        <f t="array" aca="1" ref="I120" ca="1">IF(ISNUMBER(SEARCH(INDIRECT(ADDRESS(ROW(I120),MOD(I$1,4)+1)),I$2)),$E120,"")</f>
        <v/>
      </c>
      <c r="J120" s="26" t="str" cm="1">
        <f t="array" aca="1" ref="J120" ca="1">IF(ISNUMBER(SEARCH(INDIRECT(ADDRESS(ROW(J120),MOD(J$1,4)+1)),J$2)),$E120,"")</f>
        <v/>
      </c>
      <c r="K120" s="26" t="str" cm="1">
        <f t="array" aca="1" ref="K120" ca="1">IF(ISNUMBER(SEARCH(INDIRECT(ADDRESS(ROW(K120),MOD(K$1,4)+1)),K$2)),$E120,"")</f>
        <v/>
      </c>
      <c r="L120" s="26" t="str" cm="1">
        <f t="array" aca="1" ref="L120" ca="1">IF(ISNUMBER(SEARCH(INDIRECT(ADDRESS(ROW(L120),MOD(L$1,4)+1)),L$2)),$E120,"")</f>
        <v/>
      </c>
      <c r="M120" s="26" t="str" cm="1">
        <f t="array" aca="1" ref="M120" ca="1">IF(ISNUMBER(SEARCH(INDIRECT(ADDRESS(ROW(M120),MOD(M$1,4)+1)),M$2)),$E120,"")</f>
        <v/>
      </c>
      <c r="N120" s="26" t="str" cm="1">
        <f t="array" aca="1" ref="N120" ca="1">IF(ISNUMBER(SEARCH(INDIRECT(ADDRESS(ROW(N120),MOD(N$1,4)+1)),N$2)),$E120,"")</f>
        <v/>
      </c>
      <c r="O120" s="26" t="str" cm="1">
        <f t="array" aca="1" ref="O120" ca="1">IF(ISNUMBER(SEARCH(INDIRECT(ADDRESS(ROW(O120),MOD(O$1,4)+1)),O$2)),$E120,"")</f>
        <v/>
      </c>
      <c r="P120" s="26" t="str" cm="1">
        <f t="array" aca="1" ref="P120" ca="1">IF(ISNUMBER(SEARCH(INDIRECT(ADDRESS(ROW(P120),MOD(P$1,4)+1)),P$2)),$E120,"")</f>
        <v/>
      </c>
      <c r="Q120" s="26" t="str" cm="1">
        <f t="array" aca="1" ref="Q120" ca="1">IF(ISNUMBER(SEARCH(INDIRECT(ADDRESS(ROW(Q120),MOD(Q$1,4)+1)),Q$2)),$E120,"")</f>
        <v/>
      </c>
      <c r="R120" s="26" t="str" cm="1">
        <f t="array" aca="1" ref="R120" ca="1">IF(ISNUMBER(SEARCH(INDIRECT(ADDRESS(ROW(R120),MOD(R$1,4)+1)),R$2)),$E120,"")</f>
        <v/>
      </c>
      <c r="S120" s="26" t="str" cm="1">
        <f t="array" aca="1" ref="S120" ca="1">IF(ISNUMBER(SEARCH(INDIRECT(ADDRESS(ROW(S120),MOD(S$1,4)+1)),S$2)),$E120,"")</f>
        <v/>
      </c>
      <c r="T120" s="26" t="str" cm="1">
        <f t="array" aca="1" ref="T120" ca="1">IF(ISNUMBER(SEARCH(INDIRECT(ADDRESS(ROW(T120),MOD(T$1,4)+1)),T$2)),$E120,"")</f>
        <v/>
      </c>
      <c r="U120" s="26" t="str" cm="1">
        <f t="array" aca="1" ref="U120" ca="1">IF(ISNUMBER(SEARCH(INDIRECT(ADDRESS(ROW(U120),MOD(U$1,4)+1)),U$2)),$E120,"")</f>
        <v/>
      </c>
      <c r="V120" s="26" t="str" cm="1">
        <f t="array" aca="1" ref="V120" ca="1">IF(ISNUMBER(SEARCH(INDIRECT(ADDRESS(ROW(V120),MOD(V$1,4)+1)),V$2)),$E120,"")</f>
        <v/>
      </c>
      <c r="W120" s="26" t="str" cm="1">
        <f t="array" aca="1" ref="W120" ca="1">IF(ISNUMBER(SEARCH(INDIRECT(ADDRESS(ROW(W120),MOD(W$1,4)+1)),W$2)),$E120,"")</f>
        <v/>
      </c>
      <c r="X120" s="26" t="str" cm="1">
        <f t="array" aca="1" ref="X120" ca="1">IF(ISNUMBER(SEARCH(INDIRECT(ADDRESS(ROW(X120),MOD(X$1,4)+1)),X$2)),$E120,"")</f>
        <v/>
      </c>
      <c r="Y120" s="26" t="str" cm="1">
        <f t="array" aca="1" ref="Y120" ca="1">IF(ISNUMBER(SEARCH(INDIRECT(ADDRESS(ROW(Y120),MOD(Y$1,4)+1)),Y$2)),$E120,"")</f>
        <v/>
      </c>
      <c r="Z120" s="26" t="str" cm="1">
        <f t="array" aca="1" ref="Z120" ca="1">IF(ISNUMBER(SEARCH(INDIRECT(ADDRESS(ROW(Z120),MOD(Z$1,4)+1)),Z$2)),$E120,"")</f>
        <v/>
      </c>
      <c r="AA120" s="26" t="str" cm="1">
        <f t="array" aca="1" ref="AA120" ca="1">IF(ISNUMBER(SEARCH(INDIRECT(ADDRESS(ROW(AA120),MOD(AA$1,4)+1)),AA$2)),$E120,"")</f>
        <v/>
      </c>
      <c r="AB120" s="26" t="str" cm="1">
        <f t="array" aca="1" ref="AB120" ca="1">IF(ISNUMBER(SEARCH(INDIRECT(ADDRESS(ROW(AB120),MOD(AB$1,4)+1)),AB$2)),$E120,"")</f>
        <v/>
      </c>
      <c r="AC120" s="26" t="str" cm="1">
        <f t="array" aca="1" ref="AC120" ca="1">IF(ISNUMBER(SEARCH(INDIRECT(ADDRESS(ROW(AC120),MOD(AC$1,4)+1)),AC$2)),$E120,"")</f>
        <v/>
      </c>
      <c r="AD120" s="26" t="str" cm="1">
        <f t="array" aca="1" ref="AD120" ca="1">IF(ISNUMBER(SEARCH(INDIRECT(ADDRESS(ROW(AD120),MOD(AD$1,4)+1)),AD$2)),$E120,"")</f>
        <v/>
      </c>
      <c r="AE120" s="26" t="str" cm="1">
        <f t="array" aca="1" ref="AE120" ca="1">IF(ISNUMBER(SEARCH(INDIRECT(ADDRESS(ROW(AE120),MOD(AE$1,4)+1)),AE$2)),$E120,"")</f>
        <v/>
      </c>
      <c r="AF120" s="26" t="str" cm="1">
        <f t="array" aca="1" ref="AF120" ca="1">IF(ISNUMBER(SEARCH(INDIRECT(ADDRESS(ROW(AF120),MOD(AF$1,4)+1)),AF$2)),$E120,"")</f>
        <v/>
      </c>
      <c r="AG120" s="26" t="str" cm="1">
        <f t="array" aca="1" ref="AG120" ca="1">IF(ISNUMBER(SEARCH(INDIRECT(ADDRESS(ROW(AG120),MOD(AG$1,4)+1)),AG$2)),$E120,"")</f>
        <v/>
      </c>
      <c r="AH120" s="26" t="str" cm="1">
        <f t="array" aca="1" ref="AH120" ca="1">IF(ISNUMBER(SEARCH(INDIRECT(ADDRESS(ROW(AH120),MOD(AH$1,4)+1)),AH$2)),$E120,"")</f>
        <v/>
      </c>
      <c r="AI120" s="26" t="str" cm="1">
        <f t="array" aca="1" ref="AI120" ca="1">IF(ISNUMBER(SEARCH(INDIRECT(ADDRESS(ROW(AI120),MOD(AI$1,4)+1)),AI$2)),$E120,"")</f>
        <v/>
      </c>
      <c r="AJ120" s="26" cm="1">
        <f t="array" aca="1" ref="AJ120" ca="1">IF(ISNUMBER(SEARCH(INDIRECT(ADDRESS(ROW(AJ120),MOD(AJ$1,4)+1)),AJ$2)),$E120,"")</f>
        <v>116</v>
      </c>
      <c r="AK120" s="26" cm="1">
        <f t="array" aca="1" ref="AK120" ca="1">IF(ISNUMBER(SEARCH(INDIRECT(ADDRESS(ROW(AK120),MOD(AK$1,4)+1)),AK$2)),$E120,"")</f>
        <v>116</v>
      </c>
      <c r="AL120" s="26" t="str" cm="1">
        <f t="array" aca="1" ref="AL120" ca="1">IF(ISNUMBER(SEARCH(INDIRECT(ADDRESS(ROW(AL120),MOD(AL$1,4)+1)),AL$2)),$E120,"")</f>
        <v/>
      </c>
      <c r="AM120" s="26" t="str" cm="1">
        <f t="array" aca="1" ref="AM120" ca="1">IF(ISNUMBER(SEARCH(INDIRECT(ADDRESS(ROW(AM120),MOD(AM$1,4)+1)),AM$2)),$E120,"")</f>
        <v/>
      </c>
      <c r="AN120" s="26" t="str" cm="1">
        <f t="array" aca="1" ref="AN120" ca="1">IF(ISNUMBER(SEARCH(INDIRECT(ADDRESS(ROW(AN120),MOD(AN$1,4)+1)),AN$2)),$E120,"")</f>
        <v/>
      </c>
      <c r="AO120" s="26" t="str" cm="1">
        <f t="array" aca="1" ref="AO120" ca="1">IF(ISNUMBER(SEARCH(INDIRECT(ADDRESS(ROW(AO120),MOD(AO$1,4)+1)),AO$2)),$E120,"")</f>
        <v/>
      </c>
      <c r="AP120" s="26" t="str" cm="1">
        <f t="array" aca="1" ref="AP120" ca="1">IF(ISNUMBER(SEARCH(INDIRECT(ADDRESS(ROW(AP120),MOD(AP$1,4)+1)),AP$2)),$E120,"")</f>
        <v/>
      </c>
      <c r="AQ120" s="31" t="str" cm="1">
        <f t="array" aca="1" ref="AQ120" ca="1">IF(ISNUMBER(SEARCH(INDIRECT(ADDRESS(ROW(AQ120),MOD(AQ$1,4)+1)),AQ$2)),$E120,"")</f>
        <v/>
      </c>
      <c r="AT120" t="e">
        <f>IF(VLOOKUP($E120,'Formatted NEW'!$B$2:$F$202,5,FALSE)=VLOOKUP($E120,'Formatted NEW'!$B$2:$F$202,8,FALSE),$E120,"")</f>
        <v>#N/A</v>
      </c>
      <c r="AW120" t="e">
        <f>IF(VLOOKUP($E120,'Formatted NEW'!$B$2:$F$202,5,FALSE)=VLOOKUP($E120,'Formatted NEW'!$B$2:$F$202,11,FALSE),$E120,"")</f>
        <v>#N/A</v>
      </c>
      <c r="AZ120" t="e">
        <f>IF(VLOOKUP($E120,'Formatted NEW'!$B$2:$F$202,5,FALSE)=VLOOKUP($E120,'Formatted NEW'!$B$2:$F$202,14,FALSE),$E120,"")</f>
        <v>#N/A</v>
      </c>
      <c r="BC120" t="str">
        <f>VLOOKUP($E120,'Formatted NEW'!$M$2:$T$202,6,FALSE)</f>
        <v>ORTHO_LEFT</v>
      </c>
      <c r="BD120" s="26" t="e">
        <f>VLOOKUP(VLOOKUP(VLOOKUP($E120,'Formatted NEW'!$M$2:$O$202,2,FALSE),'Formatted NEW'!$D$2:$F$202,7,FALSE),'Formatted NEW'!$D$2:$O$202,12,FALSE)</f>
        <v>#REF!</v>
      </c>
      <c r="BE120" t="e">
        <f>VLOOKUP($BD120,'Formatted NEW'!$M$2:$T$202,5,FALSE)</f>
        <v>#REF!</v>
      </c>
      <c r="BF120" s="26" t="e">
        <f t="shared" si="5"/>
        <v>#REF!</v>
      </c>
      <c r="BH120">
        <f>VLOOKUP($E120,'Formatted NEW'!$M$2:$T$202,4,FALSE)</f>
        <v>0</v>
      </c>
      <c r="BI120" s="26" t="e">
        <f>VLOOKUP(VLOOKUP(VLOOKUP($E120,'Formatted NEW'!$M$2:$O$202,2,FALSE),'Formatted NEW'!$D$2:$F$202,10,FALSE),'Formatted NEW'!$D$2:$O$202,12,FALSE)</f>
        <v>#REF!</v>
      </c>
      <c r="BJ120" t="e">
        <f>VLOOKUP($BI120,'Formatted NEW'!$M$2:$T$202,3,FALSE)</f>
        <v>#REF!</v>
      </c>
      <c r="BK120" s="26" t="e">
        <f t="shared" si="6"/>
        <v>#REF!</v>
      </c>
    </row>
    <row r="121" spans="1:63" x14ac:dyDescent="0.25">
      <c r="A121" t="str">
        <f>'Formatted NEW'!Q119</f>
        <v>ORTHO_RIGHT</v>
      </c>
      <c r="B121" t="str">
        <f>'Formatted NEW'!R119</f>
        <v>ORTHO_RIGHT</v>
      </c>
      <c r="C121" t="str">
        <f>'Formatted NEW'!S119</f>
        <v>ORTHO_UP</v>
      </c>
      <c r="D121" t="str">
        <f>'Formatted NEW'!T119</f>
        <v>ORTHO_UP</v>
      </c>
      <c r="E121" s="26">
        <f t="shared" si="7"/>
        <v>117</v>
      </c>
      <c r="H121" s="30" t="str" cm="1">
        <f t="array" aca="1" ref="H121" ca="1">IF(ISNUMBER(SEARCH(INDIRECT(ADDRESS(ROW(H121),MOD(H$1,4)+1)),H$2)),$E121,"")</f>
        <v/>
      </c>
      <c r="I121" s="26" t="str" cm="1">
        <f t="array" aca="1" ref="I121" ca="1">IF(ISNUMBER(SEARCH(INDIRECT(ADDRESS(ROW(I121),MOD(I$1,4)+1)),I$2)),$E121,"")</f>
        <v/>
      </c>
      <c r="J121" s="26" t="str" cm="1">
        <f t="array" aca="1" ref="J121" ca="1">IF(ISNUMBER(SEARCH(INDIRECT(ADDRESS(ROW(J121),MOD(J$1,4)+1)),J$2)),$E121,"")</f>
        <v/>
      </c>
      <c r="K121" s="26" t="str" cm="1">
        <f t="array" aca="1" ref="K121" ca="1">IF(ISNUMBER(SEARCH(INDIRECT(ADDRESS(ROW(K121),MOD(K$1,4)+1)),K$2)),$E121,"")</f>
        <v/>
      </c>
      <c r="L121" s="26" t="str" cm="1">
        <f t="array" aca="1" ref="L121" ca="1">IF(ISNUMBER(SEARCH(INDIRECT(ADDRESS(ROW(L121),MOD(L$1,4)+1)),L$2)),$E121,"")</f>
        <v/>
      </c>
      <c r="M121" s="26" t="str" cm="1">
        <f t="array" aca="1" ref="M121" ca="1">IF(ISNUMBER(SEARCH(INDIRECT(ADDRESS(ROW(M121),MOD(M$1,4)+1)),M$2)),$E121,"")</f>
        <v/>
      </c>
      <c r="N121" s="26" t="str" cm="1">
        <f t="array" aca="1" ref="N121" ca="1">IF(ISNUMBER(SEARCH(INDIRECT(ADDRESS(ROW(N121),MOD(N$1,4)+1)),N$2)),$E121,"")</f>
        <v/>
      </c>
      <c r="O121" s="26" t="str" cm="1">
        <f t="array" aca="1" ref="O121" ca="1">IF(ISNUMBER(SEARCH(INDIRECT(ADDRESS(ROW(O121),MOD(O$1,4)+1)),O$2)),$E121,"")</f>
        <v/>
      </c>
      <c r="P121" s="26" t="str" cm="1">
        <f t="array" aca="1" ref="P121" ca="1">IF(ISNUMBER(SEARCH(INDIRECT(ADDRESS(ROW(P121),MOD(P$1,4)+1)),P$2)),$E121,"")</f>
        <v/>
      </c>
      <c r="Q121" s="26" t="str" cm="1">
        <f t="array" aca="1" ref="Q121" ca="1">IF(ISNUMBER(SEARCH(INDIRECT(ADDRESS(ROW(Q121),MOD(Q$1,4)+1)),Q$2)),$E121,"")</f>
        <v/>
      </c>
      <c r="R121" s="26" t="str" cm="1">
        <f t="array" aca="1" ref="R121" ca="1">IF(ISNUMBER(SEARCH(INDIRECT(ADDRESS(ROW(R121),MOD(R$1,4)+1)),R$2)),$E121,"")</f>
        <v/>
      </c>
      <c r="S121" s="26" t="str" cm="1">
        <f t="array" aca="1" ref="S121" ca="1">IF(ISNUMBER(SEARCH(INDIRECT(ADDRESS(ROW(S121),MOD(S$1,4)+1)),S$2)),$E121,"")</f>
        <v/>
      </c>
      <c r="T121" s="26" t="str" cm="1">
        <f t="array" aca="1" ref="T121" ca="1">IF(ISNUMBER(SEARCH(INDIRECT(ADDRESS(ROW(T121),MOD(T$1,4)+1)),T$2)),$E121,"")</f>
        <v/>
      </c>
      <c r="U121" s="26" t="str" cm="1">
        <f t="array" aca="1" ref="U121" ca="1">IF(ISNUMBER(SEARCH(INDIRECT(ADDRESS(ROW(U121),MOD(U$1,4)+1)),U$2)),$E121,"")</f>
        <v/>
      </c>
      <c r="V121" s="26" t="str" cm="1">
        <f t="array" aca="1" ref="V121" ca="1">IF(ISNUMBER(SEARCH(INDIRECT(ADDRESS(ROW(V121),MOD(V$1,4)+1)),V$2)),$E121,"")</f>
        <v/>
      </c>
      <c r="W121" s="26" t="str" cm="1">
        <f t="array" aca="1" ref="W121" ca="1">IF(ISNUMBER(SEARCH(INDIRECT(ADDRESS(ROW(W121),MOD(W$1,4)+1)),W$2)),$E121,"")</f>
        <v/>
      </c>
      <c r="X121" s="26" t="str" cm="1">
        <f t="array" aca="1" ref="X121" ca="1">IF(ISNUMBER(SEARCH(INDIRECT(ADDRESS(ROW(X121),MOD(X$1,4)+1)),X$2)),$E121,"")</f>
        <v/>
      </c>
      <c r="Y121" s="26" t="str" cm="1">
        <f t="array" aca="1" ref="Y121" ca="1">IF(ISNUMBER(SEARCH(INDIRECT(ADDRESS(ROW(Y121),MOD(Y$1,4)+1)),Y$2)),$E121,"")</f>
        <v/>
      </c>
      <c r="Z121" s="26" t="str" cm="1">
        <f t="array" aca="1" ref="Z121" ca="1">IF(ISNUMBER(SEARCH(INDIRECT(ADDRESS(ROW(Z121),MOD(Z$1,4)+1)),Z$2)),$E121,"")</f>
        <v/>
      </c>
      <c r="AA121" s="26" t="str" cm="1">
        <f t="array" aca="1" ref="AA121" ca="1">IF(ISNUMBER(SEARCH(INDIRECT(ADDRESS(ROW(AA121),MOD(AA$1,4)+1)),AA$2)),$E121,"")</f>
        <v/>
      </c>
      <c r="AB121" s="26" t="str" cm="1">
        <f t="array" aca="1" ref="AB121" ca="1">IF(ISNUMBER(SEARCH(INDIRECT(ADDRESS(ROW(AB121),MOD(AB$1,4)+1)),AB$2)),$E121,"")</f>
        <v/>
      </c>
      <c r="AC121" s="26" t="str" cm="1">
        <f t="array" aca="1" ref="AC121" ca="1">IF(ISNUMBER(SEARCH(INDIRECT(ADDRESS(ROW(AC121),MOD(AC$1,4)+1)),AC$2)),$E121,"")</f>
        <v/>
      </c>
      <c r="AD121" s="26" t="str" cm="1">
        <f t="array" aca="1" ref="AD121" ca="1">IF(ISNUMBER(SEARCH(INDIRECT(ADDRESS(ROW(AD121),MOD(AD$1,4)+1)),AD$2)),$E121,"")</f>
        <v/>
      </c>
      <c r="AE121" s="26" t="str" cm="1">
        <f t="array" aca="1" ref="AE121" ca="1">IF(ISNUMBER(SEARCH(INDIRECT(ADDRESS(ROW(AE121),MOD(AE$1,4)+1)),AE$2)),$E121,"")</f>
        <v/>
      </c>
      <c r="AF121" s="26" t="str" cm="1">
        <f t="array" aca="1" ref="AF121" ca="1">IF(ISNUMBER(SEARCH(INDIRECT(ADDRESS(ROW(AF121),MOD(AF$1,4)+1)),AF$2)),$E121,"")</f>
        <v/>
      </c>
      <c r="AG121" s="26" t="str" cm="1">
        <f t="array" aca="1" ref="AG121" ca="1">IF(ISNUMBER(SEARCH(INDIRECT(ADDRESS(ROW(AG121),MOD(AG$1,4)+1)),AG$2)),$E121,"")</f>
        <v/>
      </c>
      <c r="AH121" s="26" t="str" cm="1">
        <f t="array" aca="1" ref="AH121" ca="1">IF(ISNUMBER(SEARCH(INDIRECT(ADDRESS(ROW(AH121),MOD(AH$1,4)+1)),AH$2)),$E121,"")</f>
        <v/>
      </c>
      <c r="AI121" s="26" t="str" cm="1">
        <f t="array" aca="1" ref="AI121" ca="1">IF(ISNUMBER(SEARCH(INDIRECT(ADDRESS(ROW(AI121),MOD(AI$1,4)+1)),AI$2)),$E121,"")</f>
        <v/>
      </c>
      <c r="AJ121" s="26" t="str" cm="1">
        <f t="array" aca="1" ref="AJ121" ca="1">IF(ISNUMBER(SEARCH(INDIRECT(ADDRESS(ROW(AJ121),MOD(AJ$1,4)+1)),AJ$2)),$E121,"")</f>
        <v/>
      </c>
      <c r="AK121" s="26" t="str" cm="1">
        <f t="array" aca="1" ref="AK121" ca="1">IF(ISNUMBER(SEARCH(INDIRECT(ADDRESS(ROW(AK121),MOD(AK$1,4)+1)),AK$2)),$E121,"")</f>
        <v/>
      </c>
      <c r="AL121" s="26" t="str" cm="1">
        <f t="array" aca="1" ref="AL121" ca="1">IF(ISNUMBER(SEARCH(INDIRECT(ADDRESS(ROW(AL121),MOD(AL$1,4)+1)),AL$2)),$E121,"")</f>
        <v/>
      </c>
      <c r="AM121" s="26" t="str" cm="1">
        <f t="array" aca="1" ref="AM121" ca="1">IF(ISNUMBER(SEARCH(INDIRECT(ADDRESS(ROW(AM121),MOD(AM$1,4)+1)),AM$2)),$E121,"")</f>
        <v/>
      </c>
      <c r="AN121" s="26" cm="1">
        <f t="array" aca="1" ref="AN121" ca="1">IF(ISNUMBER(SEARCH(INDIRECT(ADDRESS(ROW(AN121),MOD(AN$1,4)+1)),AN$2)),$E121,"")</f>
        <v>117</v>
      </c>
      <c r="AO121" s="26" cm="1">
        <f t="array" aca="1" ref="AO121" ca="1">IF(ISNUMBER(SEARCH(INDIRECT(ADDRESS(ROW(AO121),MOD(AO$1,4)+1)),AO$2)),$E121,"")</f>
        <v>117</v>
      </c>
      <c r="AP121" s="26" t="str" cm="1">
        <f t="array" aca="1" ref="AP121" ca="1">IF(ISNUMBER(SEARCH(INDIRECT(ADDRESS(ROW(AP121),MOD(AP$1,4)+1)),AP$2)),$E121,"")</f>
        <v/>
      </c>
      <c r="AQ121" s="31" t="str" cm="1">
        <f t="array" aca="1" ref="AQ121" ca="1">IF(ISNUMBER(SEARCH(INDIRECT(ADDRESS(ROW(AQ121),MOD(AQ$1,4)+1)),AQ$2)),$E121,"")</f>
        <v/>
      </c>
      <c r="AT121" t="e">
        <f>IF(VLOOKUP($E121,'Formatted NEW'!$B$2:$F$202,5,FALSE)=VLOOKUP($E121,'Formatted NEW'!$B$2:$F$202,8,FALSE),$E121,"")</f>
        <v>#N/A</v>
      </c>
      <c r="AW121" t="e">
        <f>IF(VLOOKUP($E121,'Formatted NEW'!$B$2:$F$202,5,FALSE)=VLOOKUP($E121,'Formatted NEW'!$B$2:$F$202,11,FALSE),$E121,"")</f>
        <v>#N/A</v>
      </c>
      <c r="AZ121" t="e">
        <f>IF(VLOOKUP($E121,'Formatted NEW'!$B$2:$F$202,5,FALSE)=VLOOKUP($E121,'Formatted NEW'!$B$2:$F$202,14,FALSE),$E121,"")</f>
        <v>#N/A</v>
      </c>
      <c r="BC121" t="str">
        <f>VLOOKUP($E121,'Formatted NEW'!$M$2:$T$202,6,FALSE)</f>
        <v>ORTHO_RIGHT</v>
      </c>
      <c r="BD121" s="26" t="e">
        <f>VLOOKUP(VLOOKUP(VLOOKUP($E121,'Formatted NEW'!$M$2:$O$202,2,FALSE),'Formatted NEW'!$D$2:$F$202,7,FALSE),'Formatted NEW'!$D$2:$O$202,12,FALSE)</f>
        <v>#REF!</v>
      </c>
      <c r="BE121" t="e">
        <f>VLOOKUP($BD121,'Formatted NEW'!$M$2:$T$202,5,FALSE)</f>
        <v>#REF!</v>
      </c>
      <c r="BF121" s="26" t="e">
        <f t="shared" si="5"/>
        <v>#REF!</v>
      </c>
      <c r="BH121">
        <f>VLOOKUP($E121,'Formatted NEW'!$M$2:$T$202,4,FALSE)</f>
        <v>0</v>
      </c>
      <c r="BI121" s="26" t="e">
        <f>VLOOKUP(VLOOKUP(VLOOKUP($E121,'Formatted NEW'!$M$2:$O$202,2,FALSE),'Formatted NEW'!$D$2:$F$202,10,FALSE),'Formatted NEW'!$D$2:$O$202,12,FALSE)</f>
        <v>#REF!</v>
      </c>
      <c r="BJ121" t="e">
        <f>VLOOKUP($BI121,'Formatted NEW'!$M$2:$T$202,3,FALSE)</f>
        <v>#REF!</v>
      </c>
      <c r="BK121" s="26" t="e">
        <f t="shared" si="6"/>
        <v>#REF!</v>
      </c>
    </row>
    <row r="122" spans="1:63" x14ac:dyDescent="0.25">
      <c r="A122" t="str">
        <f>'Formatted NEW'!Q120</f>
        <v>ORTHO_RIGHT</v>
      </c>
      <c r="B122" t="str">
        <f>'Formatted NEW'!R120</f>
        <v>ORTHO_RIGHT</v>
      </c>
      <c r="C122" t="str">
        <f>'Formatted NEW'!S120</f>
        <v>ORTHO_DOWN</v>
      </c>
      <c r="D122" t="str">
        <f>'Formatted NEW'!T120</f>
        <v>ORTHO_DOWN</v>
      </c>
      <c r="E122" s="26">
        <f t="shared" si="7"/>
        <v>118</v>
      </c>
      <c r="H122" s="30" t="str" cm="1">
        <f t="array" aca="1" ref="H122" ca="1">IF(ISNUMBER(SEARCH(INDIRECT(ADDRESS(ROW(H122),MOD(H$1,4)+1)),H$2)),$E122,"")</f>
        <v/>
      </c>
      <c r="I122" s="26" t="str" cm="1">
        <f t="array" aca="1" ref="I122" ca="1">IF(ISNUMBER(SEARCH(INDIRECT(ADDRESS(ROW(I122),MOD(I$1,4)+1)),I$2)),$E122,"")</f>
        <v/>
      </c>
      <c r="J122" s="26" t="str" cm="1">
        <f t="array" aca="1" ref="J122" ca="1">IF(ISNUMBER(SEARCH(INDIRECT(ADDRESS(ROW(J122),MOD(J$1,4)+1)),J$2)),$E122,"")</f>
        <v/>
      </c>
      <c r="K122" s="26" t="str" cm="1">
        <f t="array" aca="1" ref="K122" ca="1">IF(ISNUMBER(SEARCH(INDIRECT(ADDRESS(ROW(K122),MOD(K$1,4)+1)),K$2)),$E122,"")</f>
        <v/>
      </c>
      <c r="L122" s="26" t="str" cm="1">
        <f t="array" aca="1" ref="L122" ca="1">IF(ISNUMBER(SEARCH(INDIRECT(ADDRESS(ROW(L122),MOD(L$1,4)+1)),L$2)),$E122,"")</f>
        <v/>
      </c>
      <c r="M122" s="26" t="str" cm="1">
        <f t="array" aca="1" ref="M122" ca="1">IF(ISNUMBER(SEARCH(INDIRECT(ADDRESS(ROW(M122),MOD(M$1,4)+1)),M$2)),$E122,"")</f>
        <v/>
      </c>
      <c r="N122" s="26" t="str" cm="1">
        <f t="array" aca="1" ref="N122" ca="1">IF(ISNUMBER(SEARCH(INDIRECT(ADDRESS(ROW(N122),MOD(N$1,4)+1)),N$2)),$E122,"")</f>
        <v/>
      </c>
      <c r="O122" s="26" t="str" cm="1">
        <f t="array" aca="1" ref="O122" ca="1">IF(ISNUMBER(SEARCH(INDIRECT(ADDRESS(ROW(O122),MOD(O$1,4)+1)),O$2)),$E122,"")</f>
        <v/>
      </c>
      <c r="P122" s="26" t="str" cm="1">
        <f t="array" aca="1" ref="P122" ca="1">IF(ISNUMBER(SEARCH(INDIRECT(ADDRESS(ROW(P122),MOD(P$1,4)+1)),P$2)),$E122,"")</f>
        <v/>
      </c>
      <c r="Q122" s="26" t="str" cm="1">
        <f t="array" aca="1" ref="Q122" ca="1">IF(ISNUMBER(SEARCH(INDIRECT(ADDRESS(ROW(Q122),MOD(Q$1,4)+1)),Q$2)),$E122,"")</f>
        <v/>
      </c>
      <c r="R122" s="26" t="str" cm="1">
        <f t="array" aca="1" ref="R122" ca="1">IF(ISNUMBER(SEARCH(INDIRECT(ADDRESS(ROW(R122),MOD(R$1,4)+1)),R$2)),$E122,"")</f>
        <v/>
      </c>
      <c r="S122" s="26" t="str" cm="1">
        <f t="array" aca="1" ref="S122" ca="1">IF(ISNUMBER(SEARCH(INDIRECT(ADDRESS(ROW(S122),MOD(S$1,4)+1)),S$2)),$E122,"")</f>
        <v/>
      </c>
      <c r="T122" s="26" t="str" cm="1">
        <f t="array" aca="1" ref="T122" ca="1">IF(ISNUMBER(SEARCH(INDIRECT(ADDRESS(ROW(T122),MOD(T$1,4)+1)),T$2)),$E122,"")</f>
        <v/>
      </c>
      <c r="U122" s="26" t="str" cm="1">
        <f t="array" aca="1" ref="U122" ca="1">IF(ISNUMBER(SEARCH(INDIRECT(ADDRESS(ROW(U122),MOD(U$1,4)+1)),U$2)),$E122,"")</f>
        <v/>
      </c>
      <c r="V122" s="26" t="str" cm="1">
        <f t="array" aca="1" ref="V122" ca="1">IF(ISNUMBER(SEARCH(INDIRECT(ADDRESS(ROW(V122),MOD(V$1,4)+1)),V$2)),$E122,"")</f>
        <v/>
      </c>
      <c r="W122" s="26" t="str" cm="1">
        <f t="array" aca="1" ref="W122" ca="1">IF(ISNUMBER(SEARCH(INDIRECT(ADDRESS(ROW(W122),MOD(W$1,4)+1)),W$2)),$E122,"")</f>
        <v/>
      </c>
      <c r="X122" s="26" t="str" cm="1">
        <f t="array" aca="1" ref="X122" ca="1">IF(ISNUMBER(SEARCH(INDIRECT(ADDRESS(ROW(X122),MOD(X$1,4)+1)),X$2)),$E122,"")</f>
        <v/>
      </c>
      <c r="Y122" s="26" t="str" cm="1">
        <f t="array" aca="1" ref="Y122" ca="1">IF(ISNUMBER(SEARCH(INDIRECT(ADDRESS(ROW(Y122),MOD(Y$1,4)+1)),Y$2)),$E122,"")</f>
        <v/>
      </c>
      <c r="Z122" s="26" t="str" cm="1">
        <f t="array" aca="1" ref="Z122" ca="1">IF(ISNUMBER(SEARCH(INDIRECT(ADDRESS(ROW(Z122),MOD(Z$1,4)+1)),Z$2)),$E122,"")</f>
        <v/>
      </c>
      <c r="AA122" s="26" t="str" cm="1">
        <f t="array" aca="1" ref="AA122" ca="1">IF(ISNUMBER(SEARCH(INDIRECT(ADDRESS(ROW(AA122),MOD(AA$1,4)+1)),AA$2)),$E122,"")</f>
        <v/>
      </c>
      <c r="AB122" s="26" t="str" cm="1">
        <f t="array" aca="1" ref="AB122" ca="1">IF(ISNUMBER(SEARCH(INDIRECT(ADDRESS(ROW(AB122),MOD(AB$1,4)+1)),AB$2)),$E122,"")</f>
        <v/>
      </c>
      <c r="AC122" s="26" t="str" cm="1">
        <f t="array" aca="1" ref="AC122" ca="1">IF(ISNUMBER(SEARCH(INDIRECT(ADDRESS(ROW(AC122),MOD(AC$1,4)+1)),AC$2)),$E122,"")</f>
        <v/>
      </c>
      <c r="AD122" s="26" t="str" cm="1">
        <f t="array" aca="1" ref="AD122" ca="1">IF(ISNUMBER(SEARCH(INDIRECT(ADDRESS(ROW(AD122),MOD(AD$1,4)+1)),AD$2)),$E122,"")</f>
        <v/>
      </c>
      <c r="AE122" s="26" t="str" cm="1">
        <f t="array" aca="1" ref="AE122" ca="1">IF(ISNUMBER(SEARCH(INDIRECT(ADDRESS(ROW(AE122),MOD(AE$1,4)+1)),AE$2)),$E122,"")</f>
        <v/>
      </c>
      <c r="AF122" s="26" t="str" cm="1">
        <f t="array" aca="1" ref="AF122" ca="1">IF(ISNUMBER(SEARCH(INDIRECT(ADDRESS(ROW(AF122),MOD(AF$1,4)+1)),AF$2)),$E122,"")</f>
        <v/>
      </c>
      <c r="AG122" s="26" t="str" cm="1">
        <f t="array" aca="1" ref="AG122" ca="1">IF(ISNUMBER(SEARCH(INDIRECT(ADDRESS(ROW(AG122),MOD(AG$1,4)+1)),AG$2)),$E122,"")</f>
        <v/>
      </c>
      <c r="AH122" s="26" t="str" cm="1">
        <f t="array" aca="1" ref="AH122" ca="1">IF(ISNUMBER(SEARCH(INDIRECT(ADDRESS(ROW(AH122),MOD(AH$1,4)+1)),AH$2)),$E122,"")</f>
        <v/>
      </c>
      <c r="AI122" s="26" t="str" cm="1">
        <f t="array" aca="1" ref="AI122" ca="1">IF(ISNUMBER(SEARCH(INDIRECT(ADDRESS(ROW(AI122),MOD(AI$1,4)+1)),AI$2)),$E122,"")</f>
        <v/>
      </c>
      <c r="AJ122" s="26" t="str" cm="1">
        <f t="array" aca="1" ref="AJ122" ca="1">IF(ISNUMBER(SEARCH(INDIRECT(ADDRESS(ROW(AJ122),MOD(AJ$1,4)+1)),AJ$2)),$E122,"")</f>
        <v/>
      </c>
      <c r="AK122" s="26" t="str" cm="1">
        <f t="array" aca="1" ref="AK122" ca="1">IF(ISNUMBER(SEARCH(INDIRECT(ADDRESS(ROW(AK122),MOD(AK$1,4)+1)),AK$2)),$E122,"")</f>
        <v/>
      </c>
      <c r="AL122" s="26" t="str" cm="1">
        <f t="array" aca="1" ref="AL122" ca="1">IF(ISNUMBER(SEARCH(INDIRECT(ADDRESS(ROW(AL122),MOD(AL$1,4)+1)),AL$2)),$E122,"")</f>
        <v/>
      </c>
      <c r="AM122" s="26" t="str" cm="1">
        <f t="array" aca="1" ref="AM122" ca="1">IF(ISNUMBER(SEARCH(INDIRECT(ADDRESS(ROW(AM122),MOD(AM$1,4)+1)),AM$2)),$E122,"")</f>
        <v/>
      </c>
      <c r="AN122" s="26" cm="1">
        <f t="array" aca="1" ref="AN122" ca="1">IF(ISNUMBER(SEARCH(INDIRECT(ADDRESS(ROW(AN122),MOD(AN$1,4)+1)),AN$2)),$E122,"")</f>
        <v>118</v>
      </c>
      <c r="AO122" s="26" cm="1">
        <f t="array" aca="1" ref="AO122" ca="1">IF(ISNUMBER(SEARCH(INDIRECT(ADDRESS(ROW(AO122),MOD(AO$1,4)+1)),AO$2)),$E122,"")</f>
        <v>118</v>
      </c>
      <c r="AP122" s="26" t="str" cm="1">
        <f t="array" aca="1" ref="AP122" ca="1">IF(ISNUMBER(SEARCH(INDIRECT(ADDRESS(ROW(AP122),MOD(AP$1,4)+1)),AP$2)),$E122,"")</f>
        <v/>
      </c>
      <c r="AQ122" s="31" t="str" cm="1">
        <f t="array" aca="1" ref="AQ122" ca="1">IF(ISNUMBER(SEARCH(INDIRECT(ADDRESS(ROW(AQ122),MOD(AQ$1,4)+1)),AQ$2)),$E122,"")</f>
        <v/>
      </c>
      <c r="AT122" t="e">
        <f>IF(VLOOKUP($E122,'Formatted NEW'!$B$2:$F$202,5,FALSE)=VLOOKUP($E122,'Formatted NEW'!$B$2:$F$202,8,FALSE),$E122,"")</f>
        <v>#N/A</v>
      </c>
      <c r="AW122" t="e">
        <f>IF(VLOOKUP($E122,'Formatted NEW'!$B$2:$F$202,5,FALSE)=VLOOKUP($E122,'Formatted NEW'!$B$2:$F$202,11,FALSE),$E122,"")</f>
        <v>#N/A</v>
      </c>
      <c r="AZ122" t="e">
        <f>IF(VLOOKUP($E122,'Formatted NEW'!$B$2:$F$202,5,FALSE)=VLOOKUP($E122,'Formatted NEW'!$B$2:$F$202,14,FALSE),$E122,"")</f>
        <v>#N/A</v>
      </c>
      <c r="BC122" t="str">
        <f>VLOOKUP($E122,'Formatted NEW'!$M$2:$T$202,6,FALSE)</f>
        <v>ORTHO_RIGHT</v>
      </c>
      <c r="BD122" s="26" t="e">
        <f>VLOOKUP(VLOOKUP(VLOOKUP($E122,'Formatted NEW'!$M$2:$O$202,2,FALSE),'Formatted NEW'!$D$2:$F$202,7,FALSE),'Formatted NEW'!$D$2:$O$202,12,FALSE)</f>
        <v>#REF!</v>
      </c>
      <c r="BE122" t="e">
        <f>VLOOKUP($BD122,'Formatted NEW'!$M$2:$T$202,5,FALSE)</f>
        <v>#REF!</v>
      </c>
      <c r="BF122" s="26" t="e">
        <f t="shared" si="5"/>
        <v>#REF!</v>
      </c>
      <c r="BH122">
        <f>VLOOKUP($E122,'Formatted NEW'!$M$2:$T$202,4,FALSE)</f>
        <v>0</v>
      </c>
      <c r="BI122" s="26" t="e">
        <f>VLOOKUP(VLOOKUP(VLOOKUP($E122,'Formatted NEW'!$M$2:$O$202,2,FALSE),'Formatted NEW'!$D$2:$F$202,10,FALSE),'Formatted NEW'!$D$2:$O$202,12,FALSE)</f>
        <v>#REF!</v>
      </c>
      <c r="BJ122" t="e">
        <f>VLOOKUP($BI122,'Formatted NEW'!$M$2:$T$202,3,FALSE)</f>
        <v>#REF!</v>
      </c>
      <c r="BK122" s="26" t="e">
        <f t="shared" si="6"/>
        <v>#REF!</v>
      </c>
    </row>
    <row r="123" spans="1:63" x14ac:dyDescent="0.25">
      <c r="A123" t="str">
        <f>'Formatted NEW'!Q121</f>
        <v>ORTHO_RIGHT</v>
      </c>
      <c r="B123" t="str">
        <f>'Formatted NEW'!R121</f>
        <v>ORTHO_RIGHT</v>
      </c>
      <c r="C123" t="str">
        <f>'Formatted NEW'!S121</f>
        <v>EMPTY</v>
      </c>
      <c r="D123" t="str">
        <f>'Formatted NEW'!T121</f>
        <v>DIAG_BOTH</v>
      </c>
      <c r="E123" s="26">
        <f t="shared" si="7"/>
        <v>119</v>
      </c>
      <c r="H123" s="30" t="str" cm="1">
        <f t="array" aca="1" ref="H123" ca="1">IF(ISNUMBER(SEARCH(INDIRECT(ADDRESS(ROW(H123),MOD(H$1,4)+1)),H$2)),$E123,"")</f>
        <v/>
      </c>
      <c r="I123" s="26" t="str" cm="1">
        <f t="array" aca="1" ref="I123" ca="1">IF(ISNUMBER(SEARCH(INDIRECT(ADDRESS(ROW(I123),MOD(I$1,4)+1)),I$2)),$E123,"")</f>
        <v/>
      </c>
      <c r="J123" s="26" t="str" cm="1">
        <f t="array" aca="1" ref="J123" ca="1">IF(ISNUMBER(SEARCH(INDIRECT(ADDRESS(ROW(J123),MOD(J$1,4)+1)),J$2)),$E123,"")</f>
        <v/>
      </c>
      <c r="K123" s="26" t="str" cm="1">
        <f t="array" aca="1" ref="K123" ca="1">IF(ISNUMBER(SEARCH(INDIRECT(ADDRESS(ROW(K123),MOD(K$1,4)+1)),K$2)),$E123,"")</f>
        <v/>
      </c>
      <c r="L123" s="26" t="str" cm="1">
        <f t="array" aca="1" ref="L123" ca="1">IF(ISNUMBER(SEARCH(INDIRECT(ADDRESS(ROW(L123),MOD(L$1,4)+1)),L$2)),$E123,"")</f>
        <v/>
      </c>
      <c r="M123" s="26" t="str" cm="1">
        <f t="array" aca="1" ref="M123" ca="1">IF(ISNUMBER(SEARCH(INDIRECT(ADDRESS(ROW(M123),MOD(M$1,4)+1)),M$2)),$E123,"")</f>
        <v/>
      </c>
      <c r="N123" s="26" t="str" cm="1">
        <f t="array" aca="1" ref="N123" ca="1">IF(ISNUMBER(SEARCH(INDIRECT(ADDRESS(ROW(N123),MOD(N$1,4)+1)),N$2)),$E123,"")</f>
        <v/>
      </c>
      <c r="O123" s="26" cm="1">
        <f t="array" aca="1" ref="O123" ca="1">IF(ISNUMBER(SEARCH(INDIRECT(ADDRESS(ROW(O123),MOD(O$1,4)+1)),O$2)),$E123,"")</f>
        <v>119</v>
      </c>
      <c r="P123" s="26" t="str" cm="1">
        <f t="array" aca="1" ref="P123" ca="1">IF(ISNUMBER(SEARCH(INDIRECT(ADDRESS(ROW(P123),MOD(P$1,4)+1)),P$2)),$E123,"")</f>
        <v/>
      </c>
      <c r="Q123" s="26" t="str" cm="1">
        <f t="array" aca="1" ref="Q123" ca="1">IF(ISNUMBER(SEARCH(INDIRECT(ADDRESS(ROW(Q123),MOD(Q$1,4)+1)),Q$2)),$E123,"")</f>
        <v/>
      </c>
      <c r="R123" s="26" t="str" cm="1">
        <f t="array" aca="1" ref="R123" ca="1">IF(ISNUMBER(SEARCH(INDIRECT(ADDRESS(ROW(R123),MOD(R$1,4)+1)),R$2)),$E123,"")</f>
        <v/>
      </c>
      <c r="S123" s="26" t="str" cm="1">
        <f t="array" aca="1" ref="S123" ca="1">IF(ISNUMBER(SEARCH(INDIRECT(ADDRESS(ROW(S123),MOD(S$1,4)+1)),S$2)),$E123,"")</f>
        <v/>
      </c>
      <c r="T123" s="26" t="str" cm="1">
        <f t="array" aca="1" ref="T123" ca="1">IF(ISNUMBER(SEARCH(INDIRECT(ADDRESS(ROW(T123),MOD(T$1,4)+1)),T$2)),$E123,"")</f>
        <v/>
      </c>
      <c r="U123" s="26" t="str" cm="1">
        <f t="array" aca="1" ref="U123" ca="1">IF(ISNUMBER(SEARCH(INDIRECT(ADDRESS(ROW(U123),MOD(U$1,4)+1)),U$2)),$E123,"")</f>
        <v/>
      </c>
      <c r="V123" s="26" t="str" cm="1">
        <f t="array" aca="1" ref="V123" ca="1">IF(ISNUMBER(SEARCH(INDIRECT(ADDRESS(ROW(V123),MOD(V$1,4)+1)),V$2)),$E123,"")</f>
        <v/>
      </c>
      <c r="W123" s="26" t="str" cm="1">
        <f t="array" aca="1" ref="W123" ca="1">IF(ISNUMBER(SEARCH(INDIRECT(ADDRESS(ROW(W123),MOD(W$1,4)+1)),W$2)),$E123,"")</f>
        <v/>
      </c>
      <c r="X123" s="26" t="str" cm="1">
        <f t="array" aca="1" ref="X123" ca="1">IF(ISNUMBER(SEARCH(INDIRECT(ADDRESS(ROW(X123),MOD(X$1,4)+1)),X$2)),$E123,"")</f>
        <v/>
      </c>
      <c r="Y123" s="26" t="str" cm="1">
        <f t="array" aca="1" ref="Y123" ca="1">IF(ISNUMBER(SEARCH(INDIRECT(ADDRESS(ROW(Y123),MOD(Y$1,4)+1)),Y$2)),$E123,"")</f>
        <v/>
      </c>
      <c r="Z123" s="26" t="str" cm="1">
        <f t="array" aca="1" ref="Z123" ca="1">IF(ISNUMBER(SEARCH(INDIRECT(ADDRESS(ROW(Z123),MOD(Z$1,4)+1)),Z$2)),$E123,"")</f>
        <v/>
      </c>
      <c r="AA123" s="26" t="str" cm="1">
        <f t="array" aca="1" ref="AA123" ca="1">IF(ISNUMBER(SEARCH(INDIRECT(ADDRESS(ROW(AA123),MOD(AA$1,4)+1)),AA$2)),$E123,"")</f>
        <v/>
      </c>
      <c r="AB123" s="26" t="str" cm="1">
        <f t="array" aca="1" ref="AB123" ca="1">IF(ISNUMBER(SEARCH(INDIRECT(ADDRESS(ROW(AB123),MOD(AB$1,4)+1)),AB$2)),$E123,"")</f>
        <v/>
      </c>
      <c r="AC123" s="26" t="str" cm="1">
        <f t="array" aca="1" ref="AC123" ca="1">IF(ISNUMBER(SEARCH(INDIRECT(ADDRESS(ROW(AC123),MOD(AC$1,4)+1)),AC$2)),$E123,"")</f>
        <v/>
      </c>
      <c r="AD123" s="26" t="str" cm="1">
        <f t="array" aca="1" ref="AD123" ca="1">IF(ISNUMBER(SEARCH(INDIRECT(ADDRESS(ROW(AD123),MOD(AD$1,4)+1)),AD$2)),$E123,"")</f>
        <v/>
      </c>
      <c r="AE123" s="26" t="str" cm="1">
        <f t="array" aca="1" ref="AE123" ca="1">IF(ISNUMBER(SEARCH(INDIRECT(ADDRESS(ROW(AE123),MOD(AE$1,4)+1)),AE$2)),$E123,"")</f>
        <v/>
      </c>
      <c r="AF123" s="26" t="str" cm="1">
        <f t="array" aca="1" ref="AF123" ca="1">IF(ISNUMBER(SEARCH(INDIRECT(ADDRESS(ROW(AF123),MOD(AF$1,4)+1)),AF$2)),$E123,"")</f>
        <v/>
      </c>
      <c r="AG123" s="26" t="str" cm="1">
        <f t="array" aca="1" ref="AG123" ca="1">IF(ISNUMBER(SEARCH(INDIRECT(ADDRESS(ROW(AG123),MOD(AG$1,4)+1)),AG$2)),$E123,"")</f>
        <v/>
      </c>
      <c r="AH123" s="26" t="str" cm="1">
        <f t="array" aca="1" ref="AH123" ca="1">IF(ISNUMBER(SEARCH(INDIRECT(ADDRESS(ROW(AH123),MOD(AH$1,4)+1)),AH$2)),$E123,"")</f>
        <v/>
      </c>
      <c r="AI123" s="26" t="str" cm="1">
        <f t="array" aca="1" ref="AI123" ca="1">IF(ISNUMBER(SEARCH(INDIRECT(ADDRESS(ROW(AI123),MOD(AI$1,4)+1)),AI$2)),$E123,"")</f>
        <v/>
      </c>
      <c r="AJ123" s="26" t="str" cm="1">
        <f t="array" aca="1" ref="AJ123" ca="1">IF(ISNUMBER(SEARCH(INDIRECT(ADDRESS(ROW(AJ123),MOD(AJ$1,4)+1)),AJ$2)),$E123,"")</f>
        <v/>
      </c>
      <c r="AK123" s="26" t="str" cm="1">
        <f t="array" aca="1" ref="AK123" ca="1">IF(ISNUMBER(SEARCH(INDIRECT(ADDRESS(ROW(AK123),MOD(AK$1,4)+1)),AK$2)),$E123,"")</f>
        <v/>
      </c>
      <c r="AL123" s="26" t="str" cm="1">
        <f t="array" aca="1" ref="AL123" ca="1">IF(ISNUMBER(SEARCH(INDIRECT(ADDRESS(ROW(AL123),MOD(AL$1,4)+1)),AL$2)),$E123,"")</f>
        <v/>
      </c>
      <c r="AM123" s="26" t="str" cm="1">
        <f t="array" aca="1" ref="AM123" ca="1">IF(ISNUMBER(SEARCH(INDIRECT(ADDRESS(ROW(AM123),MOD(AM$1,4)+1)),AM$2)),$E123,"")</f>
        <v/>
      </c>
      <c r="AN123" s="26" cm="1">
        <f t="array" aca="1" ref="AN123" ca="1">IF(ISNUMBER(SEARCH(INDIRECT(ADDRESS(ROW(AN123),MOD(AN$1,4)+1)),AN$2)),$E123,"")</f>
        <v>119</v>
      </c>
      <c r="AO123" s="26" cm="1">
        <f t="array" aca="1" ref="AO123" ca="1">IF(ISNUMBER(SEARCH(INDIRECT(ADDRESS(ROW(AO123),MOD(AO$1,4)+1)),AO$2)),$E123,"")</f>
        <v>119</v>
      </c>
      <c r="AP123" s="26" t="str" cm="1">
        <f t="array" aca="1" ref="AP123" ca="1">IF(ISNUMBER(SEARCH(INDIRECT(ADDRESS(ROW(AP123),MOD(AP$1,4)+1)),AP$2)),$E123,"")</f>
        <v/>
      </c>
      <c r="AQ123" s="31" t="str" cm="1">
        <f t="array" aca="1" ref="AQ123" ca="1">IF(ISNUMBER(SEARCH(INDIRECT(ADDRESS(ROW(AQ123),MOD(AQ$1,4)+1)),AQ$2)),$E123,"")</f>
        <v/>
      </c>
      <c r="AT123" t="e">
        <f>IF(VLOOKUP($E123,'Formatted NEW'!$B$2:$F$202,5,FALSE)=VLOOKUP($E123,'Formatted NEW'!$B$2:$F$202,8,FALSE),$E123,"")</f>
        <v>#N/A</v>
      </c>
      <c r="AW123" t="e">
        <f>IF(VLOOKUP($E123,'Formatted NEW'!$B$2:$F$202,5,FALSE)=VLOOKUP($E123,'Formatted NEW'!$B$2:$F$202,11,FALSE),$E123,"")</f>
        <v>#N/A</v>
      </c>
      <c r="AZ123" t="e">
        <f>IF(VLOOKUP($E123,'Formatted NEW'!$B$2:$F$202,5,FALSE)=VLOOKUP($E123,'Formatted NEW'!$B$2:$F$202,14,FALSE),$E123,"")</f>
        <v>#N/A</v>
      </c>
      <c r="BC123" t="str">
        <f>VLOOKUP($E123,'Formatted NEW'!$M$2:$T$202,6,FALSE)</f>
        <v>ORTHO_RIGHT</v>
      </c>
      <c r="BD123" s="26" t="e">
        <f>VLOOKUP(VLOOKUP(VLOOKUP($E123,'Formatted NEW'!$M$2:$O$202,2,FALSE),'Formatted NEW'!$D$2:$F$202,7,FALSE),'Formatted NEW'!$D$2:$O$202,12,FALSE)</f>
        <v>#REF!</v>
      </c>
      <c r="BE123" t="e">
        <f>VLOOKUP($BD123,'Formatted NEW'!$M$2:$T$202,5,FALSE)</f>
        <v>#REF!</v>
      </c>
      <c r="BF123" s="26" t="e">
        <f t="shared" si="5"/>
        <v>#REF!</v>
      </c>
      <c r="BH123">
        <f>VLOOKUP($E123,'Formatted NEW'!$M$2:$T$202,4,FALSE)</f>
        <v>0</v>
      </c>
      <c r="BI123" s="26" t="e">
        <f>VLOOKUP(VLOOKUP(VLOOKUP($E123,'Formatted NEW'!$M$2:$O$202,2,FALSE),'Formatted NEW'!$D$2:$F$202,10,FALSE),'Formatted NEW'!$D$2:$O$202,12,FALSE)</f>
        <v>#REF!</v>
      </c>
      <c r="BJ123" t="e">
        <f>VLOOKUP($BI123,'Formatted NEW'!$M$2:$T$202,3,FALSE)</f>
        <v>#REF!</v>
      </c>
      <c r="BK123" s="26" t="e">
        <f t="shared" si="6"/>
        <v>#REF!</v>
      </c>
    </row>
    <row r="124" spans="1:63" x14ac:dyDescent="0.25">
      <c r="A124" t="str">
        <f>'Formatted NEW'!Q122</f>
        <v>ORTHO_LEFT</v>
      </c>
      <c r="B124" t="str">
        <f>'Formatted NEW'!R122</f>
        <v>ORTHO_LEFT</v>
      </c>
      <c r="C124" t="str">
        <f>'Formatted NEW'!S122</f>
        <v>DIAG_BOTH</v>
      </c>
      <c r="D124" t="str">
        <f>'Formatted NEW'!T122</f>
        <v>EMPTY</v>
      </c>
      <c r="E124" s="26">
        <f t="shared" si="7"/>
        <v>120</v>
      </c>
      <c r="H124" s="30" t="str" cm="1">
        <f t="array" aca="1" ref="H124" ca="1">IF(ISNUMBER(SEARCH(INDIRECT(ADDRESS(ROW(H124),MOD(H$1,4)+1)),H$2)),$E124,"")</f>
        <v/>
      </c>
      <c r="I124" s="26" t="str" cm="1">
        <f t="array" aca="1" ref="I124" ca="1">IF(ISNUMBER(SEARCH(INDIRECT(ADDRESS(ROW(I124),MOD(I$1,4)+1)),I$2)),$E124,"")</f>
        <v/>
      </c>
      <c r="J124" s="26" t="str" cm="1">
        <f t="array" aca="1" ref="J124" ca="1">IF(ISNUMBER(SEARCH(INDIRECT(ADDRESS(ROW(J124),MOD(J$1,4)+1)),J$2)),$E124,"")</f>
        <v/>
      </c>
      <c r="K124" s="26" t="str" cm="1">
        <f t="array" aca="1" ref="K124" ca="1">IF(ISNUMBER(SEARCH(INDIRECT(ADDRESS(ROW(K124),MOD(K$1,4)+1)),K$2)),$E124,"")</f>
        <v/>
      </c>
      <c r="L124" s="26" t="str" cm="1">
        <f t="array" aca="1" ref="L124" ca="1">IF(ISNUMBER(SEARCH(INDIRECT(ADDRESS(ROW(L124),MOD(L$1,4)+1)),L$2)),$E124,"")</f>
        <v/>
      </c>
      <c r="M124" s="26" t="str" cm="1">
        <f t="array" aca="1" ref="M124" ca="1">IF(ISNUMBER(SEARCH(INDIRECT(ADDRESS(ROW(M124),MOD(M$1,4)+1)),M$2)),$E124,"")</f>
        <v/>
      </c>
      <c r="N124" s="26" cm="1">
        <f t="array" aca="1" ref="N124" ca="1">IF(ISNUMBER(SEARCH(INDIRECT(ADDRESS(ROW(N124),MOD(N$1,4)+1)),N$2)),$E124,"")</f>
        <v>120</v>
      </c>
      <c r="O124" s="26" t="str" cm="1">
        <f t="array" aca="1" ref="O124" ca="1">IF(ISNUMBER(SEARCH(INDIRECT(ADDRESS(ROW(O124),MOD(O$1,4)+1)),O$2)),$E124,"")</f>
        <v/>
      </c>
      <c r="P124" s="26" t="str" cm="1">
        <f t="array" aca="1" ref="P124" ca="1">IF(ISNUMBER(SEARCH(INDIRECT(ADDRESS(ROW(P124),MOD(P$1,4)+1)),P$2)),$E124,"")</f>
        <v/>
      </c>
      <c r="Q124" s="26" t="str" cm="1">
        <f t="array" aca="1" ref="Q124" ca="1">IF(ISNUMBER(SEARCH(INDIRECT(ADDRESS(ROW(Q124),MOD(Q$1,4)+1)),Q$2)),$E124,"")</f>
        <v/>
      </c>
      <c r="R124" s="26" t="str" cm="1">
        <f t="array" aca="1" ref="R124" ca="1">IF(ISNUMBER(SEARCH(INDIRECT(ADDRESS(ROW(R124),MOD(R$1,4)+1)),R$2)),$E124,"")</f>
        <v/>
      </c>
      <c r="S124" s="26" t="str" cm="1">
        <f t="array" aca="1" ref="S124" ca="1">IF(ISNUMBER(SEARCH(INDIRECT(ADDRESS(ROW(S124),MOD(S$1,4)+1)),S$2)),$E124,"")</f>
        <v/>
      </c>
      <c r="T124" s="26" t="str" cm="1">
        <f t="array" aca="1" ref="T124" ca="1">IF(ISNUMBER(SEARCH(INDIRECT(ADDRESS(ROW(T124),MOD(T$1,4)+1)),T$2)),$E124,"")</f>
        <v/>
      </c>
      <c r="U124" s="26" t="str" cm="1">
        <f t="array" aca="1" ref="U124" ca="1">IF(ISNUMBER(SEARCH(INDIRECT(ADDRESS(ROW(U124),MOD(U$1,4)+1)),U$2)),$E124,"")</f>
        <v/>
      </c>
      <c r="V124" s="26" t="str" cm="1">
        <f t="array" aca="1" ref="V124" ca="1">IF(ISNUMBER(SEARCH(INDIRECT(ADDRESS(ROW(V124),MOD(V$1,4)+1)),V$2)),$E124,"")</f>
        <v/>
      </c>
      <c r="W124" s="26" t="str" cm="1">
        <f t="array" aca="1" ref="W124" ca="1">IF(ISNUMBER(SEARCH(INDIRECT(ADDRESS(ROW(W124),MOD(W$1,4)+1)),W$2)),$E124,"")</f>
        <v/>
      </c>
      <c r="X124" s="26" t="str" cm="1">
        <f t="array" aca="1" ref="X124" ca="1">IF(ISNUMBER(SEARCH(INDIRECT(ADDRESS(ROW(X124),MOD(X$1,4)+1)),X$2)),$E124,"")</f>
        <v/>
      </c>
      <c r="Y124" s="26" t="str" cm="1">
        <f t="array" aca="1" ref="Y124" ca="1">IF(ISNUMBER(SEARCH(INDIRECT(ADDRESS(ROW(Y124),MOD(Y$1,4)+1)),Y$2)),$E124,"")</f>
        <v/>
      </c>
      <c r="Z124" s="26" t="str" cm="1">
        <f t="array" aca="1" ref="Z124" ca="1">IF(ISNUMBER(SEARCH(INDIRECT(ADDRESS(ROW(Z124),MOD(Z$1,4)+1)),Z$2)),$E124,"")</f>
        <v/>
      </c>
      <c r="AA124" s="26" t="str" cm="1">
        <f t="array" aca="1" ref="AA124" ca="1">IF(ISNUMBER(SEARCH(INDIRECT(ADDRESS(ROW(AA124),MOD(AA$1,4)+1)),AA$2)),$E124,"")</f>
        <v/>
      </c>
      <c r="AB124" s="26" t="str" cm="1">
        <f t="array" aca="1" ref="AB124" ca="1">IF(ISNUMBER(SEARCH(INDIRECT(ADDRESS(ROW(AB124),MOD(AB$1,4)+1)),AB$2)),$E124,"")</f>
        <v/>
      </c>
      <c r="AC124" s="26" t="str" cm="1">
        <f t="array" aca="1" ref="AC124" ca="1">IF(ISNUMBER(SEARCH(INDIRECT(ADDRESS(ROW(AC124),MOD(AC$1,4)+1)),AC$2)),$E124,"")</f>
        <v/>
      </c>
      <c r="AD124" s="26" t="str" cm="1">
        <f t="array" aca="1" ref="AD124" ca="1">IF(ISNUMBER(SEARCH(INDIRECT(ADDRESS(ROW(AD124),MOD(AD$1,4)+1)),AD$2)),$E124,"")</f>
        <v/>
      </c>
      <c r="AE124" s="26" t="str" cm="1">
        <f t="array" aca="1" ref="AE124" ca="1">IF(ISNUMBER(SEARCH(INDIRECT(ADDRESS(ROW(AE124),MOD(AE$1,4)+1)),AE$2)),$E124,"")</f>
        <v/>
      </c>
      <c r="AF124" s="26" t="str" cm="1">
        <f t="array" aca="1" ref="AF124" ca="1">IF(ISNUMBER(SEARCH(INDIRECT(ADDRESS(ROW(AF124),MOD(AF$1,4)+1)),AF$2)),$E124,"")</f>
        <v/>
      </c>
      <c r="AG124" s="26" t="str" cm="1">
        <f t="array" aca="1" ref="AG124" ca="1">IF(ISNUMBER(SEARCH(INDIRECT(ADDRESS(ROW(AG124),MOD(AG$1,4)+1)),AG$2)),$E124,"")</f>
        <v/>
      </c>
      <c r="AH124" s="26" t="str" cm="1">
        <f t="array" aca="1" ref="AH124" ca="1">IF(ISNUMBER(SEARCH(INDIRECT(ADDRESS(ROW(AH124),MOD(AH$1,4)+1)),AH$2)),$E124,"")</f>
        <v/>
      </c>
      <c r="AI124" s="26" t="str" cm="1">
        <f t="array" aca="1" ref="AI124" ca="1">IF(ISNUMBER(SEARCH(INDIRECT(ADDRESS(ROW(AI124),MOD(AI$1,4)+1)),AI$2)),$E124,"")</f>
        <v/>
      </c>
      <c r="AJ124" s="26" cm="1">
        <f t="array" aca="1" ref="AJ124" ca="1">IF(ISNUMBER(SEARCH(INDIRECT(ADDRESS(ROW(AJ124),MOD(AJ$1,4)+1)),AJ$2)),$E124,"")</f>
        <v>120</v>
      </c>
      <c r="AK124" s="26" cm="1">
        <f t="array" aca="1" ref="AK124" ca="1">IF(ISNUMBER(SEARCH(INDIRECT(ADDRESS(ROW(AK124),MOD(AK$1,4)+1)),AK$2)),$E124,"")</f>
        <v>120</v>
      </c>
      <c r="AL124" s="26" t="str" cm="1">
        <f t="array" aca="1" ref="AL124" ca="1">IF(ISNUMBER(SEARCH(INDIRECT(ADDRESS(ROW(AL124),MOD(AL$1,4)+1)),AL$2)),$E124,"")</f>
        <v/>
      </c>
      <c r="AM124" s="26" t="str" cm="1">
        <f t="array" aca="1" ref="AM124" ca="1">IF(ISNUMBER(SEARCH(INDIRECT(ADDRESS(ROW(AM124),MOD(AM$1,4)+1)),AM$2)),$E124,"")</f>
        <v/>
      </c>
      <c r="AN124" s="26" t="str" cm="1">
        <f t="array" aca="1" ref="AN124" ca="1">IF(ISNUMBER(SEARCH(INDIRECT(ADDRESS(ROW(AN124),MOD(AN$1,4)+1)),AN$2)),$E124,"")</f>
        <v/>
      </c>
      <c r="AO124" s="26" t="str" cm="1">
        <f t="array" aca="1" ref="AO124" ca="1">IF(ISNUMBER(SEARCH(INDIRECT(ADDRESS(ROW(AO124),MOD(AO$1,4)+1)),AO$2)),$E124,"")</f>
        <v/>
      </c>
      <c r="AP124" s="26" t="str" cm="1">
        <f t="array" aca="1" ref="AP124" ca="1">IF(ISNUMBER(SEARCH(INDIRECT(ADDRESS(ROW(AP124),MOD(AP$1,4)+1)),AP$2)),$E124,"")</f>
        <v/>
      </c>
      <c r="AQ124" s="31" t="str" cm="1">
        <f t="array" aca="1" ref="AQ124" ca="1">IF(ISNUMBER(SEARCH(INDIRECT(ADDRESS(ROW(AQ124),MOD(AQ$1,4)+1)),AQ$2)),$E124,"")</f>
        <v/>
      </c>
      <c r="AT124" t="e">
        <f>IF(VLOOKUP($E124,'Formatted NEW'!$B$2:$F$202,5,FALSE)=VLOOKUP($E124,'Formatted NEW'!$B$2:$F$202,8,FALSE),$E124,"")</f>
        <v>#N/A</v>
      </c>
      <c r="AW124" t="e">
        <f>IF(VLOOKUP($E124,'Formatted NEW'!$B$2:$F$202,5,FALSE)=VLOOKUP($E124,'Formatted NEW'!$B$2:$F$202,11,FALSE),$E124,"")</f>
        <v>#N/A</v>
      </c>
      <c r="AZ124" t="e">
        <f>IF(VLOOKUP($E124,'Formatted NEW'!$B$2:$F$202,5,FALSE)=VLOOKUP($E124,'Formatted NEW'!$B$2:$F$202,14,FALSE),$E124,"")</f>
        <v>#N/A</v>
      </c>
      <c r="BC124" t="str">
        <f>VLOOKUP($E124,'Formatted NEW'!$M$2:$T$202,6,FALSE)</f>
        <v>ORTHO_LEFT</v>
      </c>
      <c r="BD124" s="26" t="e">
        <f>VLOOKUP(VLOOKUP(VLOOKUP($E124,'Formatted NEW'!$M$2:$O$202,2,FALSE),'Formatted NEW'!$D$2:$F$202,7,FALSE),'Formatted NEW'!$D$2:$O$202,12,FALSE)</f>
        <v>#REF!</v>
      </c>
      <c r="BE124" t="e">
        <f>VLOOKUP($BD124,'Formatted NEW'!$M$2:$T$202,5,FALSE)</f>
        <v>#REF!</v>
      </c>
      <c r="BF124" s="26" t="e">
        <f t="shared" si="5"/>
        <v>#REF!</v>
      </c>
      <c r="BH124">
        <f>VLOOKUP($E124,'Formatted NEW'!$M$2:$T$202,4,FALSE)</f>
        <v>0</v>
      </c>
      <c r="BI124" s="26" t="e">
        <f>VLOOKUP(VLOOKUP(VLOOKUP($E124,'Formatted NEW'!$M$2:$O$202,2,FALSE),'Formatted NEW'!$D$2:$F$202,10,FALSE),'Formatted NEW'!$D$2:$O$202,12,FALSE)</f>
        <v>#REF!</v>
      </c>
      <c r="BJ124" t="e">
        <f>VLOOKUP($BI124,'Formatted NEW'!$M$2:$T$202,3,FALSE)</f>
        <v>#REF!</v>
      </c>
      <c r="BK124" s="26" t="e">
        <f t="shared" si="6"/>
        <v>#REF!</v>
      </c>
    </row>
    <row r="125" spans="1:63" x14ac:dyDescent="0.25">
      <c r="A125" t="str">
        <f>'Formatted NEW'!Q123</f>
        <v>DIAG_BOTH</v>
      </c>
      <c r="B125" t="str">
        <f>'Formatted NEW'!R123</f>
        <v>EMPTY</v>
      </c>
      <c r="C125" t="str">
        <f>'Formatted NEW'!S123</f>
        <v>ORTHO_UP</v>
      </c>
      <c r="D125" t="str">
        <f>'Formatted NEW'!T123</f>
        <v>ORTHO_UP</v>
      </c>
      <c r="E125" s="26">
        <f t="shared" si="7"/>
        <v>121</v>
      </c>
      <c r="H125" s="30" t="str" cm="1">
        <f t="array" aca="1" ref="H125" ca="1">IF(ISNUMBER(SEARCH(INDIRECT(ADDRESS(ROW(H125),MOD(H$1,4)+1)),H$2)),$E125,"")</f>
        <v/>
      </c>
      <c r="I125" s="26" t="str" cm="1">
        <f t="array" aca="1" ref="I125" ca="1">IF(ISNUMBER(SEARCH(INDIRECT(ADDRESS(ROW(I125),MOD(I$1,4)+1)),I$2)),$E125,"")</f>
        <v/>
      </c>
      <c r="J125" s="26" t="str" cm="1">
        <f t="array" aca="1" ref="J125" ca="1">IF(ISNUMBER(SEARCH(INDIRECT(ADDRESS(ROW(J125),MOD(J$1,4)+1)),J$2)),$E125,"")</f>
        <v/>
      </c>
      <c r="K125" s="26" t="str" cm="1">
        <f t="array" aca="1" ref="K125" ca="1">IF(ISNUMBER(SEARCH(INDIRECT(ADDRESS(ROW(K125),MOD(K$1,4)+1)),K$2)),$E125,"")</f>
        <v/>
      </c>
      <c r="L125" s="26" cm="1">
        <f t="array" aca="1" ref="L125" ca="1">IF(ISNUMBER(SEARCH(INDIRECT(ADDRESS(ROW(L125),MOD(L$1,4)+1)),L$2)),$E125,"")</f>
        <v>121</v>
      </c>
      <c r="M125" s="26" t="str" cm="1">
        <f t="array" aca="1" ref="M125" ca="1">IF(ISNUMBER(SEARCH(INDIRECT(ADDRESS(ROW(M125),MOD(M$1,4)+1)),M$2)),$E125,"")</f>
        <v/>
      </c>
      <c r="N125" s="26" t="str" cm="1">
        <f t="array" aca="1" ref="N125" ca="1">IF(ISNUMBER(SEARCH(INDIRECT(ADDRESS(ROW(N125),MOD(N$1,4)+1)),N$2)),$E125,"")</f>
        <v/>
      </c>
      <c r="O125" s="26" t="str" cm="1">
        <f t="array" aca="1" ref="O125" ca="1">IF(ISNUMBER(SEARCH(INDIRECT(ADDRESS(ROW(O125),MOD(O$1,4)+1)),O$2)),$E125,"")</f>
        <v/>
      </c>
      <c r="P125" s="26" t="str" cm="1">
        <f t="array" aca="1" ref="P125" ca="1">IF(ISNUMBER(SEARCH(INDIRECT(ADDRESS(ROW(P125),MOD(P$1,4)+1)),P$2)),$E125,"")</f>
        <v/>
      </c>
      <c r="Q125" s="26" t="str" cm="1">
        <f t="array" aca="1" ref="Q125" ca="1">IF(ISNUMBER(SEARCH(INDIRECT(ADDRESS(ROW(Q125),MOD(Q$1,4)+1)),Q$2)),$E125,"")</f>
        <v/>
      </c>
      <c r="R125" s="26" t="str" cm="1">
        <f t="array" aca="1" ref="R125" ca="1">IF(ISNUMBER(SEARCH(INDIRECT(ADDRESS(ROW(R125),MOD(R$1,4)+1)),R$2)),$E125,"")</f>
        <v/>
      </c>
      <c r="S125" s="26" t="str" cm="1">
        <f t="array" aca="1" ref="S125" ca="1">IF(ISNUMBER(SEARCH(INDIRECT(ADDRESS(ROW(S125),MOD(S$1,4)+1)),S$2)),$E125,"")</f>
        <v/>
      </c>
      <c r="T125" s="26" t="str" cm="1">
        <f t="array" aca="1" ref="T125" ca="1">IF(ISNUMBER(SEARCH(INDIRECT(ADDRESS(ROW(T125),MOD(T$1,4)+1)),T$2)),$E125,"")</f>
        <v/>
      </c>
      <c r="U125" s="26" t="str" cm="1">
        <f t="array" aca="1" ref="U125" ca="1">IF(ISNUMBER(SEARCH(INDIRECT(ADDRESS(ROW(U125),MOD(U$1,4)+1)),U$2)),$E125,"")</f>
        <v/>
      </c>
      <c r="V125" s="26" t="str" cm="1">
        <f t="array" aca="1" ref="V125" ca="1">IF(ISNUMBER(SEARCH(INDIRECT(ADDRESS(ROW(V125),MOD(V$1,4)+1)),V$2)),$E125,"")</f>
        <v/>
      </c>
      <c r="W125" s="26" t="str" cm="1">
        <f t="array" aca="1" ref="W125" ca="1">IF(ISNUMBER(SEARCH(INDIRECT(ADDRESS(ROW(W125),MOD(W$1,4)+1)),W$2)),$E125,"")</f>
        <v/>
      </c>
      <c r="X125" s="26" t="str" cm="1">
        <f t="array" aca="1" ref="X125" ca="1">IF(ISNUMBER(SEARCH(INDIRECT(ADDRESS(ROW(X125),MOD(X$1,4)+1)),X$2)),$E125,"")</f>
        <v/>
      </c>
      <c r="Y125" s="26" t="str" cm="1">
        <f t="array" aca="1" ref="Y125" ca="1">IF(ISNUMBER(SEARCH(INDIRECT(ADDRESS(ROW(Y125),MOD(Y$1,4)+1)),Y$2)),$E125,"")</f>
        <v/>
      </c>
      <c r="Z125" s="26" t="str" cm="1">
        <f t="array" aca="1" ref="Z125" ca="1">IF(ISNUMBER(SEARCH(INDIRECT(ADDRESS(ROW(Z125),MOD(Z$1,4)+1)),Z$2)),$E125,"")</f>
        <v/>
      </c>
      <c r="AA125" s="26" t="str" cm="1">
        <f t="array" aca="1" ref="AA125" ca="1">IF(ISNUMBER(SEARCH(INDIRECT(ADDRESS(ROW(AA125),MOD(AA$1,4)+1)),AA$2)),$E125,"")</f>
        <v/>
      </c>
      <c r="AB125" s="26" t="str" cm="1">
        <f t="array" aca="1" ref="AB125" ca="1">IF(ISNUMBER(SEARCH(INDIRECT(ADDRESS(ROW(AB125),MOD(AB$1,4)+1)),AB$2)),$E125,"")</f>
        <v/>
      </c>
      <c r="AC125" s="26" t="str" cm="1">
        <f t="array" aca="1" ref="AC125" ca="1">IF(ISNUMBER(SEARCH(INDIRECT(ADDRESS(ROW(AC125),MOD(AC$1,4)+1)),AC$2)),$E125,"")</f>
        <v/>
      </c>
      <c r="AD125" s="26" t="str" cm="1">
        <f t="array" aca="1" ref="AD125" ca="1">IF(ISNUMBER(SEARCH(INDIRECT(ADDRESS(ROW(AD125),MOD(AD$1,4)+1)),AD$2)),$E125,"")</f>
        <v/>
      </c>
      <c r="AE125" s="26" t="str" cm="1">
        <f t="array" aca="1" ref="AE125" ca="1">IF(ISNUMBER(SEARCH(INDIRECT(ADDRESS(ROW(AE125),MOD(AE$1,4)+1)),AE$2)),$E125,"")</f>
        <v/>
      </c>
      <c r="AF125" s="26" t="str" cm="1">
        <f t="array" aca="1" ref="AF125" ca="1">IF(ISNUMBER(SEARCH(INDIRECT(ADDRESS(ROW(AF125),MOD(AF$1,4)+1)),AF$2)),$E125,"")</f>
        <v/>
      </c>
      <c r="AG125" s="26" t="str" cm="1">
        <f t="array" aca="1" ref="AG125" ca="1">IF(ISNUMBER(SEARCH(INDIRECT(ADDRESS(ROW(AG125),MOD(AG$1,4)+1)),AG$2)),$E125,"")</f>
        <v/>
      </c>
      <c r="AH125" s="26" t="str" cm="1">
        <f t="array" aca="1" ref="AH125" ca="1">IF(ISNUMBER(SEARCH(INDIRECT(ADDRESS(ROW(AH125),MOD(AH$1,4)+1)),AH$2)),$E125,"")</f>
        <v/>
      </c>
      <c r="AI125" s="26" t="str" cm="1">
        <f t="array" aca="1" ref="AI125" ca="1">IF(ISNUMBER(SEARCH(INDIRECT(ADDRESS(ROW(AI125),MOD(AI$1,4)+1)),AI$2)),$E125,"")</f>
        <v/>
      </c>
      <c r="AJ125" s="26" t="str" cm="1">
        <f t="array" aca="1" ref="AJ125" ca="1">IF(ISNUMBER(SEARCH(INDIRECT(ADDRESS(ROW(AJ125),MOD(AJ$1,4)+1)),AJ$2)),$E125,"")</f>
        <v/>
      </c>
      <c r="AK125" s="26" t="str" cm="1">
        <f t="array" aca="1" ref="AK125" ca="1">IF(ISNUMBER(SEARCH(INDIRECT(ADDRESS(ROW(AK125),MOD(AK$1,4)+1)),AK$2)),$E125,"")</f>
        <v/>
      </c>
      <c r="AL125" s="26" t="str" cm="1">
        <f t="array" aca="1" ref="AL125" ca="1">IF(ISNUMBER(SEARCH(INDIRECT(ADDRESS(ROW(AL125),MOD(AL$1,4)+1)),AL$2)),$E125,"")</f>
        <v/>
      </c>
      <c r="AM125" s="26" t="str" cm="1">
        <f t="array" aca="1" ref="AM125" ca="1">IF(ISNUMBER(SEARCH(INDIRECT(ADDRESS(ROW(AM125),MOD(AM$1,4)+1)),AM$2)),$E125,"")</f>
        <v/>
      </c>
      <c r="AN125" s="26" t="str" cm="1">
        <f t="array" aca="1" ref="AN125" ca="1">IF(ISNUMBER(SEARCH(INDIRECT(ADDRESS(ROW(AN125),MOD(AN$1,4)+1)),AN$2)),$E125,"")</f>
        <v/>
      </c>
      <c r="AO125" s="26" t="str" cm="1">
        <f t="array" aca="1" ref="AO125" ca="1">IF(ISNUMBER(SEARCH(INDIRECT(ADDRESS(ROW(AO125),MOD(AO$1,4)+1)),AO$2)),$E125,"")</f>
        <v/>
      </c>
      <c r="AP125" s="26" t="str" cm="1">
        <f t="array" aca="1" ref="AP125" ca="1">IF(ISNUMBER(SEARCH(INDIRECT(ADDRESS(ROW(AP125),MOD(AP$1,4)+1)),AP$2)),$E125,"")</f>
        <v/>
      </c>
      <c r="AQ125" s="31" t="str" cm="1">
        <f t="array" aca="1" ref="AQ125" ca="1">IF(ISNUMBER(SEARCH(INDIRECT(ADDRESS(ROW(AQ125),MOD(AQ$1,4)+1)),AQ$2)),$E125,"")</f>
        <v/>
      </c>
      <c r="AT125" t="e">
        <f>IF(VLOOKUP($E125,'Formatted NEW'!$B$2:$F$202,5,FALSE)=VLOOKUP($E125,'Formatted NEW'!$B$2:$F$202,8,FALSE),$E125,"")</f>
        <v>#N/A</v>
      </c>
      <c r="AW125" t="e">
        <f>IF(VLOOKUP($E125,'Formatted NEW'!$B$2:$F$202,5,FALSE)=VLOOKUP($E125,'Formatted NEW'!$B$2:$F$202,11,FALSE),$E125,"")</f>
        <v>#N/A</v>
      </c>
      <c r="AZ125" t="e">
        <f>IF(VLOOKUP($E125,'Formatted NEW'!$B$2:$F$202,5,FALSE)=VLOOKUP($E125,'Formatted NEW'!$B$2:$F$202,14,FALSE),$E125,"")</f>
        <v>#N/A</v>
      </c>
      <c r="BC125" t="str">
        <f>VLOOKUP($E125,'Formatted NEW'!$M$2:$T$202,6,FALSE)</f>
        <v>EMPTY</v>
      </c>
      <c r="BD125" s="26" t="e">
        <f>VLOOKUP(VLOOKUP(VLOOKUP($E125,'Formatted NEW'!$M$2:$O$202,2,FALSE),'Formatted NEW'!$D$2:$F$202,7,FALSE),'Formatted NEW'!$D$2:$O$202,12,FALSE)</f>
        <v>#REF!</v>
      </c>
      <c r="BE125" t="e">
        <f>VLOOKUP($BD125,'Formatted NEW'!$M$2:$T$202,5,FALSE)</f>
        <v>#REF!</v>
      </c>
      <c r="BF125" s="26" t="e">
        <f t="shared" si="5"/>
        <v>#REF!</v>
      </c>
      <c r="BH125">
        <f>VLOOKUP($E125,'Formatted NEW'!$M$2:$T$202,4,FALSE)</f>
        <v>0</v>
      </c>
      <c r="BI125" s="26" t="e">
        <f>VLOOKUP(VLOOKUP(VLOOKUP($E125,'Formatted NEW'!$M$2:$O$202,2,FALSE),'Formatted NEW'!$D$2:$F$202,10,FALSE),'Formatted NEW'!$D$2:$O$202,12,FALSE)</f>
        <v>#REF!</v>
      </c>
      <c r="BJ125" t="e">
        <f>VLOOKUP($BI125,'Formatted NEW'!$M$2:$T$202,3,FALSE)</f>
        <v>#REF!</v>
      </c>
      <c r="BK125" s="26" t="e">
        <f t="shared" si="6"/>
        <v>#REF!</v>
      </c>
    </row>
    <row r="126" spans="1:63" x14ac:dyDescent="0.25">
      <c r="A126" t="str">
        <f>'Formatted NEW'!Q124</f>
        <v>EMPTY</v>
      </c>
      <c r="B126" t="str">
        <f>'Formatted NEW'!R124</f>
        <v>DIAG_BOTH</v>
      </c>
      <c r="C126" t="str">
        <f>'Formatted NEW'!S124</f>
        <v>ORTHO_DOWN</v>
      </c>
      <c r="D126" t="str">
        <f>'Formatted NEW'!T124</f>
        <v>ORTHO_DOWN</v>
      </c>
      <c r="E126" s="26">
        <f t="shared" si="7"/>
        <v>122</v>
      </c>
      <c r="H126" s="30" t="str" cm="1">
        <f t="array" aca="1" ref="H126" ca="1">IF(ISNUMBER(SEARCH(INDIRECT(ADDRESS(ROW(H126),MOD(H$1,4)+1)),H$2)),$E126,"")</f>
        <v/>
      </c>
      <c r="I126" s="26" t="str" cm="1">
        <f t="array" aca="1" ref="I126" ca="1">IF(ISNUMBER(SEARCH(INDIRECT(ADDRESS(ROW(I126),MOD(I$1,4)+1)),I$2)),$E126,"")</f>
        <v/>
      </c>
      <c r="J126" s="26" t="str" cm="1">
        <f t="array" aca="1" ref="J126" ca="1">IF(ISNUMBER(SEARCH(INDIRECT(ADDRESS(ROW(J126),MOD(J$1,4)+1)),J$2)),$E126,"")</f>
        <v/>
      </c>
      <c r="K126" s="26" t="str" cm="1">
        <f t="array" aca="1" ref="K126" ca="1">IF(ISNUMBER(SEARCH(INDIRECT(ADDRESS(ROW(K126),MOD(K$1,4)+1)),K$2)),$E126,"")</f>
        <v/>
      </c>
      <c r="L126" s="26" t="str" cm="1">
        <f t="array" aca="1" ref="L126" ca="1">IF(ISNUMBER(SEARCH(INDIRECT(ADDRESS(ROW(L126),MOD(L$1,4)+1)),L$2)),$E126,"")</f>
        <v/>
      </c>
      <c r="M126" s="26" cm="1">
        <f t="array" aca="1" ref="M126" ca="1">IF(ISNUMBER(SEARCH(INDIRECT(ADDRESS(ROW(M126),MOD(M$1,4)+1)),M$2)),$E126,"")</f>
        <v>122</v>
      </c>
      <c r="N126" s="26" t="str" cm="1">
        <f t="array" aca="1" ref="N126" ca="1">IF(ISNUMBER(SEARCH(INDIRECT(ADDRESS(ROW(N126),MOD(N$1,4)+1)),N$2)),$E126,"")</f>
        <v/>
      </c>
      <c r="O126" s="26" t="str" cm="1">
        <f t="array" aca="1" ref="O126" ca="1">IF(ISNUMBER(SEARCH(INDIRECT(ADDRESS(ROW(O126),MOD(O$1,4)+1)),O$2)),$E126,"")</f>
        <v/>
      </c>
      <c r="P126" s="26" t="str" cm="1">
        <f t="array" aca="1" ref="P126" ca="1">IF(ISNUMBER(SEARCH(INDIRECT(ADDRESS(ROW(P126),MOD(P$1,4)+1)),P$2)),$E126,"")</f>
        <v/>
      </c>
      <c r="Q126" s="26" t="str" cm="1">
        <f t="array" aca="1" ref="Q126" ca="1">IF(ISNUMBER(SEARCH(INDIRECT(ADDRESS(ROW(Q126),MOD(Q$1,4)+1)),Q$2)),$E126,"")</f>
        <v/>
      </c>
      <c r="R126" s="26" t="str" cm="1">
        <f t="array" aca="1" ref="R126" ca="1">IF(ISNUMBER(SEARCH(INDIRECT(ADDRESS(ROW(R126),MOD(R$1,4)+1)),R$2)),$E126,"")</f>
        <v/>
      </c>
      <c r="S126" s="26" t="str" cm="1">
        <f t="array" aca="1" ref="S126" ca="1">IF(ISNUMBER(SEARCH(INDIRECT(ADDRESS(ROW(S126),MOD(S$1,4)+1)),S$2)),$E126,"")</f>
        <v/>
      </c>
      <c r="T126" s="26" t="str" cm="1">
        <f t="array" aca="1" ref="T126" ca="1">IF(ISNUMBER(SEARCH(INDIRECT(ADDRESS(ROW(T126),MOD(T$1,4)+1)),T$2)),$E126,"")</f>
        <v/>
      </c>
      <c r="U126" s="26" t="str" cm="1">
        <f t="array" aca="1" ref="U126" ca="1">IF(ISNUMBER(SEARCH(INDIRECT(ADDRESS(ROW(U126),MOD(U$1,4)+1)),U$2)),$E126,"")</f>
        <v/>
      </c>
      <c r="V126" s="26" t="str" cm="1">
        <f t="array" aca="1" ref="V126" ca="1">IF(ISNUMBER(SEARCH(INDIRECT(ADDRESS(ROW(V126),MOD(V$1,4)+1)),V$2)),$E126,"")</f>
        <v/>
      </c>
      <c r="W126" s="26" t="str" cm="1">
        <f t="array" aca="1" ref="W126" ca="1">IF(ISNUMBER(SEARCH(INDIRECT(ADDRESS(ROW(W126),MOD(W$1,4)+1)),W$2)),$E126,"")</f>
        <v/>
      </c>
      <c r="X126" s="26" t="str" cm="1">
        <f t="array" aca="1" ref="X126" ca="1">IF(ISNUMBER(SEARCH(INDIRECT(ADDRESS(ROW(X126),MOD(X$1,4)+1)),X$2)),$E126,"")</f>
        <v/>
      </c>
      <c r="Y126" s="26" t="str" cm="1">
        <f t="array" aca="1" ref="Y126" ca="1">IF(ISNUMBER(SEARCH(INDIRECT(ADDRESS(ROW(Y126),MOD(Y$1,4)+1)),Y$2)),$E126,"")</f>
        <v/>
      </c>
      <c r="Z126" s="26" t="str" cm="1">
        <f t="array" aca="1" ref="Z126" ca="1">IF(ISNUMBER(SEARCH(INDIRECT(ADDRESS(ROW(Z126),MOD(Z$1,4)+1)),Z$2)),$E126,"")</f>
        <v/>
      </c>
      <c r="AA126" s="26" t="str" cm="1">
        <f t="array" aca="1" ref="AA126" ca="1">IF(ISNUMBER(SEARCH(INDIRECT(ADDRESS(ROW(AA126),MOD(AA$1,4)+1)),AA$2)),$E126,"")</f>
        <v/>
      </c>
      <c r="AB126" s="26" t="str" cm="1">
        <f t="array" aca="1" ref="AB126" ca="1">IF(ISNUMBER(SEARCH(INDIRECT(ADDRESS(ROW(AB126),MOD(AB$1,4)+1)),AB$2)),$E126,"")</f>
        <v/>
      </c>
      <c r="AC126" s="26" t="str" cm="1">
        <f t="array" aca="1" ref="AC126" ca="1">IF(ISNUMBER(SEARCH(INDIRECT(ADDRESS(ROW(AC126),MOD(AC$1,4)+1)),AC$2)),$E126,"")</f>
        <v/>
      </c>
      <c r="AD126" s="26" t="str" cm="1">
        <f t="array" aca="1" ref="AD126" ca="1">IF(ISNUMBER(SEARCH(INDIRECT(ADDRESS(ROW(AD126),MOD(AD$1,4)+1)),AD$2)),$E126,"")</f>
        <v/>
      </c>
      <c r="AE126" s="26" t="str" cm="1">
        <f t="array" aca="1" ref="AE126" ca="1">IF(ISNUMBER(SEARCH(INDIRECT(ADDRESS(ROW(AE126),MOD(AE$1,4)+1)),AE$2)),$E126,"")</f>
        <v/>
      </c>
      <c r="AF126" s="26" t="str" cm="1">
        <f t="array" aca="1" ref="AF126" ca="1">IF(ISNUMBER(SEARCH(INDIRECT(ADDRESS(ROW(AF126),MOD(AF$1,4)+1)),AF$2)),$E126,"")</f>
        <v/>
      </c>
      <c r="AG126" s="26" t="str" cm="1">
        <f t="array" aca="1" ref="AG126" ca="1">IF(ISNUMBER(SEARCH(INDIRECT(ADDRESS(ROW(AG126),MOD(AG$1,4)+1)),AG$2)),$E126,"")</f>
        <v/>
      </c>
      <c r="AH126" s="26" t="str" cm="1">
        <f t="array" aca="1" ref="AH126" ca="1">IF(ISNUMBER(SEARCH(INDIRECT(ADDRESS(ROW(AH126),MOD(AH$1,4)+1)),AH$2)),$E126,"")</f>
        <v/>
      </c>
      <c r="AI126" s="26" t="str" cm="1">
        <f t="array" aca="1" ref="AI126" ca="1">IF(ISNUMBER(SEARCH(INDIRECT(ADDRESS(ROW(AI126),MOD(AI$1,4)+1)),AI$2)),$E126,"")</f>
        <v/>
      </c>
      <c r="AJ126" s="26" t="str" cm="1">
        <f t="array" aca="1" ref="AJ126" ca="1">IF(ISNUMBER(SEARCH(INDIRECT(ADDRESS(ROW(AJ126),MOD(AJ$1,4)+1)),AJ$2)),$E126,"")</f>
        <v/>
      </c>
      <c r="AK126" s="26" t="str" cm="1">
        <f t="array" aca="1" ref="AK126" ca="1">IF(ISNUMBER(SEARCH(INDIRECT(ADDRESS(ROW(AK126),MOD(AK$1,4)+1)),AK$2)),$E126,"")</f>
        <v/>
      </c>
      <c r="AL126" s="26" t="str" cm="1">
        <f t="array" aca="1" ref="AL126" ca="1">IF(ISNUMBER(SEARCH(INDIRECT(ADDRESS(ROW(AL126),MOD(AL$1,4)+1)),AL$2)),$E126,"")</f>
        <v/>
      </c>
      <c r="AM126" s="26" t="str" cm="1">
        <f t="array" aca="1" ref="AM126" ca="1">IF(ISNUMBER(SEARCH(INDIRECT(ADDRESS(ROW(AM126),MOD(AM$1,4)+1)),AM$2)),$E126,"")</f>
        <v/>
      </c>
      <c r="AN126" s="26" t="str" cm="1">
        <f t="array" aca="1" ref="AN126" ca="1">IF(ISNUMBER(SEARCH(INDIRECT(ADDRESS(ROW(AN126),MOD(AN$1,4)+1)),AN$2)),$E126,"")</f>
        <v/>
      </c>
      <c r="AO126" s="26" t="str" cm="1">
        <f t="array" aca="1" ref="AO126" ca="1">IF(ISNUMBER(SEARCH(INDIRECT(ADDRESS(ROW(AO126),MOD(AO$1,4)+1)),AO$2)),$E126,"")</f>
        <v/>
      </c>
      <c r="AP126" s="26" t="str" cm="1">
        <f t="array" aca="1" ref="AP126" ca="1">IF(ISNUMBER(SEARCH(INDIRECT(ADDRESS(ROW(AP126),MOD(AP$1,4)+1)),AP$2)),$E126,"")</f>
        <v/>
      </c>
      <c r="AQ126" s="31" t="str" cm="1">
        <f t="array" aca="1" ref="AQ126" ca="1">IF(ISNUMBER(SEARCH(INDIRECT(ADDRESS(ROW(AQ126),MOD(AQ$1,4)+1)),AQ$2)),$E126,"")</f>
        <v/>
      </c>
      <c r="AT126" t="e">
        <f>IF(VLOOKUP($E126,'Formatted NEW'!$B$2:$F$202,5,FALSE)=VLOOKUP($E126,'Formatted NEW'!$B$2:$F$202,8,FALSE),$E126,"")</f>
        <v>#N/A</v>
      </c>
      <c r="AW126" t="e">
        <f>IF(VLOOKUP($E126,'Formatted NEW'!$B$2:$F$202,5,FALSE)=VLOOKUP($E126,'Formatted NEW'!$B$2:$F$202,11,FALSE),$E126,"")</f>
        <v>#N/A</v>
      </c>
      <c r="AZ126" t="e">
        <f>IF(VLOOKUP($E126,'Formatted NEW'!$B$2:$F$202,5,FALSE)=VLOOKUP($E126,'Formatted NEW'!$B$2:$F$202,14,FALSE),$E126,"")</f>
        <v>#N/A</v>
      </c>
      <c r="BC126" t="str">
        <f>VLOOKUP($E126,'Formatted NEW'!$M$2:$T$202,6,FALSE)</f>
        <v>DIAG_BOTH</v>
      </c>
      <c r="BD126" s="26" t="e">
        <f>VLOOKUP(VLOOKUP(VLOOKUP($E126,'Formatted NEW'!$M$2:$O$202,2,FALSE),'Formatted NEW'!$D$2:$F$202,7,FALSE),'Formatted NEW'!$D$2:$O$202,12,FALSE)</f>
        <v>#REF!</v>
      </c>
      <c r="BE126" t="e">
        <f>VLOOKUP($BD126,'Formatted NEW'!$M$2:$T$202,5,FALSE)</f>
        <v>#REF!</v>
      </c>
      <c r="BF126" s="26" t="e">
        <f t="shared" si="5"/>
        <v>#REF!</v>
      </c>
      <c r="BH126">
        <f>VLOOKUP($E126,'Formatted NEW'!$M$2:$T$202,4,FALSE)</f>
        <v>0</v>
      </c>
      <c r="BI126" s="26" t="e">
        <f>VLOOKUP(VLOOKUP(VLOOKUP($E126,'Formatted NEW'!$M$2:$O$202,2,FALSE),'Formatted NEW'!$D$2:$F$202,10,FALSE),'Formatted NEW'!$D$2:$O$202,12,FALSE)</f>
        <v>#REF!</v>
      </c>
      <c r="BJ126" t="e">
        <f>VLOOKUP($BI126,'Formatted NEW'!$M$2:$T$202,3,FALSE)</f>
        <v>#REF!</v>
      </c>
      <c r="BK126" s="26" t="e">
        <f t="shared" si="6"/>
        <v>#REF!</v>
      </c>
    </row>
    <row r="127" spans="1:63" x14ac:dyDescent="0.25">
      <c r="A127" t="str">
        <f>'Formatted NEW'!Q125</f>
        <v>ORTHO_RIGHT</v>
      </c>
      <c r="B127" t="str">
        <f>'Formatted NEW'!R125</f>
        <v>ORTHO_RIGHT</v>
      </c>
      <c r="C127" t="str">
        <f>'Formatted NEW'!S125</f>
        <v>EMPTY</v>
      </c>
      <c r="D127" t="str">
        <f>'Formatted NEW'!T125</f>
        <v>ORTHO_BOTH</v>
      </c>
      <c r="E127" s="26">
        <f t="shared" si="7"/>
        <v>123</v>
      </c>
      <c r="H127" s="30" t="str" cm="1">
        <f t="array" aca="1" ref="H127" ca="1">IF(ISNUMBER(SEARCH(INDIRECT(ADDRESS(ROW(H127),MOD(H$1,4)+1)),H$2)),$E127,"")</f>
        <v/>
      </c>
      <c r="I127" s="26" t="str" cm="1">
        <f t="array" aca="1" ref="I127" ca="1">IF(ISNUMBER(SEARCH(INDIRECT(ADDRESS(ROW(I127),MOD(I$1,4)+1)),I$2)),$E127,"")</f>
        <v/>
      </c>
      <c r="J127" s="26" t="str" cm="1">
        <f t="array" aca="1" ref="J127" ca="1">IF(ISNUMBER(SEARCH(INDIRECT(ADDRESS(ROW(J127),MOD(J$1,4)+1)),J$2)),$E127,"")</f>
        <v/>
      </c>
      <c r="K127" s="26" t="str" cm="1">
        <f t="array" aca="1" ref="K127" ca="1">IF(ISNUMBER(SEARCH(INDIRECT(ADDRESS(ROW(K127),MOD(K$1,4)+1)),K$2)),$E127,"")</f>
        <v/>
      </c>
      <c r="L127" s="26" t="str" cm="1">
        <f t="array" aca="1" ref="L127" ca="1">IF(ISNUMBER(SEARCH(INDIRECT(ADDRESS(ROW(L127),MOD(L$1,4)+1)),L$2)),$E127,"")</f>
        <v/>
      </c>
      <c r="M127" s="26" t="str" cm="1">
        <f t="array" aca="1" ref="M127" ca="1">IF(ISNUMBER(SEARCH(INDIRECT(ADDRESS(ROW(M127),MOD(M$1,4)+1)),M$2)),$E127,"")</f>
        <v/>
      </c>
      <c r="N127" s="26" t="str" cm="1">
        <f t="array" aca="1" ref="N127" ca="1">IF(ISNUMBER(SEARCH(INDIRECT(ADDRESS(ROW(N127),MOD(N$1,4)+1)),N$2)),$E127,"")</f>
        <v/>
      </c>
      <c r="O127" s="26" t="str" cm="1">
        <f t="array" aca="1" ref="O127" ca="1">IF(ISNUMBER(SEARCH(INDIRECT(ADDRESS(ROW(O127),MOD(O$1,4)+1)),O$2)),$E127,"")</f>
        <v/>
      </c>
      <c r="P127" s="26" t="str" cm="1">
        <f t="array" aca="1" ref="P127" ca="1">IF(ISNUMBER(SEARCH(INDIRECT(ADDRESS(ROW(P127),MOD(P$1,4)+1)),P$2)),$E127,"")</f>
        <v/>
      </c>
      <c r="Q127" s="26" t="str" cm="1">
        <f t="array" aca="1" ref="Q127" ca="1">IF(ISNUMBER(SEARCH(INDIRECT(ADDRESS(ROW(Q127),MOD(Q$1,4)+1)),Q$2)),$E127,"")</f>
        <v/>
      </c>
      <c r="R127" s="26" t="str" cm="1">
        <f t="array" aca="1" ref="R127" ca="1">IF(ISNUMBER(SEARCH(INDIRECT(ADDRESS(ROW(R127),MOD(R$1,4)+1)),R$2)),$E127,"")</f>
        <v/>
      </c>
      <c r="S127" s="26" cm="1">
        <f t="array" aca="1" ref="S127" ca="1">IF(ISNUMBER(SEARCH(INDIRECT(ADDRESS(ROW(S127),MOD(S$1,4)+1)),S$2)),$E127,"")</f>
        <v>123</v>
      </c>
      <c r="T127" s="26" t="str" cm="1">
        <f t="array" aca="1" ref="T127" ca="1">IF(ISNUMBER(SEARCH(INDIRECT(ADDRESS(ROW(T127),MOD(T$1,4)+1)),T$2)),$E127,"")</f>
        <v/>
      </c>
      <c r="U127" s="26" t="str" cm="1">
        <f t="array" aca="1" ref="U127" ca="1">IF(ISNUMBER(SEARCH(INDIRECT(ADDRESS(ROW(U127),MOD(U$1,4)+1)),U$2)),$E127,"")</f>
        <v/>
      </c>
      <c r="V127" s="26" t="str" cm="1">
        <f t="array" aca="1" ref="V127" ca="1">IF(ISNUMBER(SEARCH(INDIRECT(ADDRESS(ROW(V127),MOD(V$1,4)+1)),V$2)),$E127,"")</f>
        <v/>
      </c>
      <c r="W127" s="26" t="str" cm="1">
        <f t="array" aca="1" ref="W127" ca="1">IF(ISNUMBER(SEARCH(INDIRECT(ADDRESS(ROW(W127),MOD(W$1,4)+1)),W$2)),$E127,"")</f>
        <v/>
      </c>
      <c r="X127" s="26" t="str" cm="1">
        <f t="array" aca="1" ref="X127" ca="1">IF(ISNUMBER(SEARCH(INDIRECT(ADDRESS(ROW(X127),MOD(X$1,4)+1)),X$2)),$E127,"")</f>
        <v/>
      </c>
      <c r="Y127" s="26" t="str" cm="1">
        <f t="array" aca="1" ref="Y127" ca="1">IF(ISNUMBER(SEARCH(INDIRECT(ADDRESS(ROW(Y127),MOD(Y$1,4)+1)),Y$2)),$E127,"")</f>
        <v/>
      </c>
      <c r="Z127" s="26" t="str" cm="1">
        <f t="array" aca="1" ref="Z127" ca="1">IF(ISNUMBER(SEARCH(INDIRECT(ADDRESS(ROW(Z127),MOD(Z$1,4)+1)),Z$2)),$E127,"")</f>
        <v/>
      </c>
      <c r="AA127" s="26" t="str" cm="1">
        <f t="array" aca="1" ref="AA127" ca="1">IF(ISNUMBER(SEARCH(INDIRECT(ADDRESS(ROW(AA127),MOD(AA$1,4)+1)),AA$2)),$E127,"")</f>
        <v/>
      </c>
      <c r="AB127" s="26" t="str" cm="1">
        <f t="array" aca="1" ref="AB127" ca="1">IF(ISNUMBER(SEARCH(INDIRECT(ADDRESS(ROW(AB127),MOD(AB$1,4)+1)),AB$2)),$E127,"")</f>
        <v/>
      </c>
      <c r="AC127" s="26" t="str" cm="1">
        <f t="array" aca="1" ref="AC127" ca="1">IF(ISNUMBER(SEARCH(INDIRECT(ADDRESS(ROW(AC127),MOD(AC$1,4)+1)),AC$2)),$E127,"")</f>
        <v/>
      </c>
      <c r="AD127" s="26" t="str" cm="1">
        <f t="array" aca="1" ref="AD127" ca="1">IF(ISNUMBER(SEARCH(INDIRECT(ADDRESS(ROW(AD127),MOD(AD$1,4)+1)),AD$2)),$E127,"")</f>
        <v/>
      </c>
      <c r="AE127" s="26" t="str" cm="1">
        <f t="array" aca="1" ref="AE127" ca="1">IF(ISNUMBER(SEARCH(INDIRECT(ADDRESS(ROW(AE127),MOD(AE$1,4)+1)),AE$2)),$E127,"")</f>
        <v/>
      </c>
      <c r="AF127" s="26" t="str" cm="1">
        <f t="array" aca="1" ref="AF127" ca="1">IF(ISNUMBER(SEARCH(INDIRECT(ADDRESS(ROW(AF127),MOD(AF$1,4)+1)),AF$2)),$E127,"")</f>
        <v/>
      </c>
      <c r="AG127" s="26" t="str" cm="1">
        <f t="array" aca="1" ref="AG127" ca="1">IF(ISNUMBER(SEARCH(INDIRECT(ADDRESS(ROW(AG127),MOD(AG$1,4)+1)),AG$2)),$E127,"")</f>
        <v/>
      </c>
      <c r="AH127" s="26" t="str" cm="1">
        <f t="array" aca="1" ref="AH127" ca="1">IF(ISNUMBER(SEARCH(INDIRECT(ADDRESS(ROW(AH127),MOD(AH$1,4)+1)),AH$2)),$E127,"")</f>
        <v/>
      </c>
      <c r="AI127" s="26" t="str" cm="1">
        <f t="array" aca="1" ref="AI127" ca="1">IF(ISNUMBER(SEARCH(INDIRECT(ADDRESS(ROW(AI127),MOD(AI$1,4)+1)),AI$2)),$E127,"")</f>
        <v/>
      </c>
      <c r="AJ127" s="26" t="str" cm="1">
        <f t="array" aca="1" ref="AJ127" ca="1">IF(ISNUMBER(SEARCH(INDIRECT(ADDRESS(ROW(AJ127),MOD(AJ$1,4)+1)),AJ$2)),$E127,"")</f>
        <v/>
      </c>
      <c r="AK127" s="26" t="str" cm="1">
        <f t="array" aca="1" ref="AK127" ca="1">IF(ISNUMBER(SEARCH(INDIRECT(ADDRESS(ROW(AK127),MOD(AK$1,4)+1)),AK$2)),$E127,"")</f>
        <v/>
      </c>
      <c r="AL127" s="26" t="str" cm="1">
        <f t="array" aca="1" ref="AL127" ca="1">IF(ISNUMBER(SEARCH(INDIRECT(ADDRESS(ROW(AL127),MOD(AL$1,4)+1)),AL$2)),$E127,"")</f>
        <v/>
      </c>
      <c r="AM127" s="26" t="str" cm="1">
        <f t="array" aca="1" ref="AM127" ca="1">IF(ISNUMBER(SEARCH(INDIRECT(ADDRESS(ROW(AM127),MOD(AM$1,4)+1)),AM$2)),$E127,"")</f>
        <v/>
      </c>
      <c r="AN127" s="26" cm="1">
        <f t="array" aca="1" ref="AN127" ca="1">IF(ISNUMBER(SEARCH(INDIRECT(ADDRESS(ROW(AN127),MOD(AN$1,4)+1)),AN$2)),$E127,"")</f>
        <v>123</v>
      </c>
      <c r="AO127" s="26" cm="1">
        <f t="array" aca="1" ref="AO127" ca="1">IF(ISNUMBER(SEARCH(INDIRECT(ADDRESS(ROW(AO127),MOD(AO$1,4)+1)),AO$2)),$E127,"")</f>
        <v>123</v>
      </c>
      <c r="AP127" s="26" t="str" cm="1">
        <f t="array" aca="1" ref="AP127" ca="1">IF(ISNUMBER(SEARCH(INDIRECT(ADDRESS(ROW(AP127),MOD(AP$1,4)+1)),AP$2)),$E127,"")</f>
        <v/>
      </c>
      <c r="AQ127" s="31" t="str" cm="1">
        <f t="array" aca="1" ref="AQ127" ca="1">IF(ISNUMBER(SEARCH(INDIRECT(ADDRESS(ROW(AQ127),MOD(AQ$1,4)+1)),AQ$2)),$E127,"")</f>
        <v/>
      </c>
      <c r="AT127" t="e">
        <f>IF(VLOOKUP($E127,'Formatted NEW'!$B$2:$F$202,5,FALSE)=VLOOKUP($E127,'Formatted NEW'!$B$2:$F$202,8,FALSE),$E127,"")</f>
        <v>#N/A</v>
      </c>
      <c r="AW127" t="e">
        <f>IF(VLOOKUP($E127,'Formatted NEW'!$B$2:$F$202,5,FALSE)=VLOOKUP($E127,'Formatted NEW'!$B$2:$F$202,11,FALSE),$E127,"")</f>
        <v>#N/A</v>
      </c>
      <c r="AZ127" t="e">
        <f>IF(VLOOKUP($E127,'Formatted NEW'!$B$2:$F$202,5,FALSE)=VLOOKUP($E127,'Formatted NEW'!$B$2:$F$202,14,FALSE),$E127,"")</f>
        <v>#N/A</v>
      </c>
      <c r="BC127" t="str">
        <f>VLOOKUP($E127,'Formatted NEW'!$M$2:$T$202,6,FALSE)</f>
        <v>ORTHO_RIGHT</v>
      </c>
      <c r="BD127" s="26" t="e">
        <f>VLOOKUP(VLOOKUP(VLOOKUP($E127,'Formatted NEW'!$M$2:$O$202,2,FALSE),'Formatted NEW'!$D$2:$F$202,7,FALSE),'Formatted NEW'!$D$2:$O$202,12,FALSE)</f>
        <v>#REF!</v>
      </c>
      <c r="BE127" t="e">
        <f>VLOOKUP($BD127,'Formatted NEW'!$M$2:$T$202,5,FALSE)</f>
        <v>#REF!</v>
      </c>
      <c r="BF127" s="26" t="e">
        <f t="shared" si="5"/>
        <v>#REF!</v>
      </c>
      <c r="BH127">
        <f>VLOOKUP($E127,'Formatted NEW'!$M$2:$T$202,4,FALSE)</f>
        <v>0</v>
      </c>
      <c r="BI127" s="26" t="e">
        <f>VLOOKUP(VLOOKUP(VLOOKUP($E127,'Formatted NEW'!$M$2:$O$202,2,FALSE),'Formatted NEW'!$D$2:$F$202,10,FALSE),'Formatted NEW'!$D$2:$O$202,12,FALSE)</f>
        <v>#REF!</v>
      </c>
      <c r="BJ127" t="e">
        <f>VLOOKUP($BI127,'Formatted NEW'!$M$2:$T$202,3,FALSE)</f>
        <v>#REF!</v>
      </c>
      <c r="BK127" s="26" t="e">
        <f t="shared" si="6"/>
        <v>#REF!</v>
      </c>
    </row>
    <row r="128" spans="1:63" x14ac:dyDescent="0.25">
      <c r="A128" t="str">
        <f>'Formatted NEW'!Q126</f>
        <v>ORTHO_LEFT</v>
      </c>
      <c r="B128" t="str">
        <f>'Formatted NEW'!R126</f>
        <v>ORTHO_LEFT</v>
      </c>
      <c r="C128" t="str">
        <f>'Formatted NEW'!S126</f>
        <v>ORTHO_BOTH</v>
      </c>
      <c r="D128" t="str">
        <f>'Formatted NEW'!T126</f>
        <v>EMPTY</v>
      </c>
      <c r="E128" s="26">
        <f t="shared" si="7"/>
        <v>124</v>
      </c>
      <c r="H128" s="30" t="str" cm="1">
        <f t="array" aca="1" ref="H128" ca="1">IF(ISNUMBER(SEARCH(INDIRECT(ADDRESS(ROW(H128),MOD(H$1,4)+1)),H$2)),$E128,"")</f>
        <v/>
      </c>
      <c r="I128" s="26" t="str" cm="1">
        <f t="array" aca="1" ref="I128" ca="1">IF(ISNUMBER(SEARCH(INDIRECT(ADDRESS(ROW(I128),MOD(I$1,4)+1)),I$2)),$E128,"")</f>
        <v/>
      </c>
      <c r="J128" s="26" t="str" cm="1">
        <f t="array" aca="1" ref="J128" ca="1">IF(ISNUMBER(SEARCH(INDIRECT(ADDRESS(ROW(J128),MOD(J$1,4)+1)),J$2)),$E128,"")</f>
        <v/>
      </c>
      <c r="K128" s="26" t="str" cm="1">
        <f t="array" aca="1" ref="K128" ca="1">IF(ISNUMBER(SEARCH(INDIRECT(ADDRESS(ROW(K128),MOD(K$1,4)+1)),K$2)),$E128,"")</f>
        <v/>
      </c>
      <c r="L128" s="26" t="str" cm="1">
        <f t="array" aca="1" ref="L128" ca="1">IF(ISNUMBER(SEARCH(INDIRECT(ADDRESS(ROW(L128),MOD(L$1,4)+1)),L$2)),$E128,"")</f>
        <v/>
      </c>
      <c r="M128" s="26" t="str" cm="1">
        <f t="array" aca="1" ref="M128" ca="1">IF(ISNUMBER(SEARCH(INDIRECT(ADDRESS(ROW(M128),MOD(M$1,4)+1)),M$2)),$E128,"")</f>
        <v/>
      </c>
      <c r="N128" s="26" t="str" cm="1">
        <f t="array" aca="1" ref="N128" ca="1">IF(ISNUMBER(SEARCH(INDIRECT(ADDRESS(ROW(N128),MOD(N$1,4)+1)),N$2)),$E128,"")</f>
        <v/>
      </c>
      <c r="O128" s="26" t="str" cm="1">
        <f t="array" aca="1" ref="O128" ca="1">IF(ISNUMBER(SEARCH(INDIRECT(ADDRESS(ROW(O128),MOD(O$1,4)+1)),O$2)),$E128,"")</f>
        <v/>
      </c>
      <c r="P128" s="26" t="str" cm="1">
        <f t="array" aca="1" ref="P128" ca="1">IF(ISNUMBER(SEARCH(INDIRECT(ADDRESS(ROW(P128),MOD(P$1,4)+1)),P$2)),$E128,"")</f>
        <v/>
      </c>
      <c r="Q128" s="26" t="str" cm="1">
        <f t="array" aca="1" ref="Q128" ca="1">IF(ISNUMBER(SEARCH(INDIRECT(ADDRESS(ROW(Q128),MOD(Q$1,4)+1)),Q$2)),$E128,"")</f>
        <v/>
      </c>
      <c r="R128" s="26" cm="1">
        <f t="array" aca="1" ref="R128" ca="1">IF(ISNUMBER(SEARCH(INDIRECT(ADDRESS(ROW(R128),MOD(R$1,4)+1)),R$2)),$E128,"")</f>
        <v>124</v>
      </c>
      <c r="S128" s="26" t="str" cm="1">
        <f t="array" aca="1" ref="S128" ca="1">IF(ISNUMBER(SEARCH(INDIRECT(ADDRESS(ROW(S128),MOD(S$1,4)+1)),S$2)),$E128,"")</f>
        <v/>
      </c>
      <c r="T128" s="26" t="str" cm="1">
        <f t="array" aca="1" ref="T128" ca="1">IF(ISNUMBER(SEARCH(INDIRECT(ADDRESS(ROW(T128),MOD(T$1,4)+1)),T$2)),$E128,"")</f>
        <v/>
      </c>
      <c r="U128" s="26" t="str" cm="1">
        <f t="array" aca="1" ref="U128" ca="1">IF(ISNUMBER(SEARCH(INDIRECT(ADDRESS(ROW(U128),MOD(U$1,4)+1)),U$2)),$E128,"")</f>
        <v/>
      </c>
      <c r="V128" s="26" t="str" cm="1">
        <f t="array" aca="1" ref="V128" ca="1">IF(ISNUMBER(SEARCH(INDIRECT(ADDRESS(ROW(V128),MOD(V$1,4)+1)),V$2)),$E128,"")</f>
        <v/>
      </c>
      <c r="W128" s="26" t="str" cm="1">
        <f t="array" aca="1" ref="W128" ca="1">IF(ISNUMBER(SEARCH(INDIRECT(ADDRESS(ROW(W128),MOD(W$1,4)+1)),W$2)),$E128,"")</f>
        <v/>
      </c>
      <c r="X128" s="26" t="str" cm="1">
        <f t="array" aca="1" ref="X128" ca="1">IF(ISNUMBER(SEARCH(INDIRECT(ADDRESS(ROW(X128),MOD(X$1,4)+1)),X$2)),$E128,"")</f>
        <v/>
      </c>
      <c r="Y128" s="26" t="str" cm="1">
        <f t="array" aca="1" ref="Y128" ca="1">IF(ISNUMBER(SEARCH(INDIRECT(ADDRESS(ROW(Y128),MOD(Y$1,4)+1)),Y$2)),$E128,"")</f>
        <v/>
      </c>
      <c r="Z128" s="26" t="str" cm="1">
        <f t="array" aca="1" ref="Z128" ca="1">IF(ISNUMBER(SEARCH(INDIRECT(ADDRESS(ROW(Z128),MOD(Z$1,4)+1)),Z$2)),$E128,"")</f>
        <v/>
      </c>
      <c r="AA128" s="26" t="str" cm="1">
        <f t="array" aca="1" ref="AA128" ca="1">IF(ISNUMBER(SEARCH(INDIRECT(ADDRESS(ROW(AA128),MOD(AA$1,4)+1)),AA$2)),$E128,"")</f>
        <v/>
      </c>
      <c r="AB128" s="26" t="str" cm="1">
        <f t="array" aca="1" ref="AB128" ca="1">IF(ISNUMBER(SEARCH(INDIRECT(ADDRESS(ROW(AB128),MOD(AB$1,4)+1)),AB$2)),$E128,"")</f>
        <v/>
      </c>
      <c r="AC128" s="26" t="str" cm="1">
        <f t="array" aca="1" ref="AC128" ca="1">IF(ISNUMBER(SEARCH(INDIRECT(ADDRESS(ROW(AC128),MOD(AC$1,4)+1)),AC$2)),$E128,"")</f>
        <v/>
      </c>
      <c r="AD128" s="26" t="str" cm="1">
        <f t="array" aca="1" ref="AD128" ca="1">IF(ISNUMBER(SEARCH(INDIRECT(ADDRESS(ROW(AD128),MOD(AD$1,4)+1)),AD$2)),$E128,"")</f>
        <v/>
      </c>
      <c r="AE128" s="26" t="str" cm="1">
        <f t="array" aca="1" ref="AE128" ca="1">IF(ISNUMBER(SEARCH(INDIRECT(ADDRESS(ROW(AE128),MOD(AE$1,4)+1)),AE$2)),$E128,"")</f>
        <v/>
      </c>
      <c r="AF128" s="26" t="str" cm="1">
        <f t="array" aca="1" ref="AF128" ca="1">IF(ISNUMBER(SEARCH(INDIRECT(ADDRESS(ROW(AF128),MOD(AF$1,4)+1)),AF$2)),$E128,"")</f>
        <v/>
      </c>
      <c r="AG128" s="26" t="str" cm="1">
        <f t="array" aca="1" ref="AG128" ca="1">IF(ISNUMBER(SEARCH(INDIRECT(ADDRESS(ROW(AG128),MOD(AG$1,4)+1)),AG$2)),$E128,"")</f>
        <v/>
      </c>
      <c r="AH128" s="26" t="str" cm="1">
        <f t="array" aca="1" ref="AH128" ca="1">IF(ISNUMBER(SEARCH(INDIRECT(ADDRESS(ROW(AH128),MOD(AH$1,4)+1)),AH$2)),$E128,"")</f>
        <v/>
      </c>
      <c r="AI128" s="26" t="str" cm="1">
        <f t="array" aca="1" ref="AI128" ca="1">IF(ISNUMBER(SEARCH(INDIRECT(ADDRESS(ROW(AI128),MOD(AI$1,4)+1)),AI$2)),$E128,"")</f>
        <v/>
      </c>
      <c r="AJ128" s="26" cm="1">
        <f t="array" aca="1" ref="AJ128" ca="1">IF(ISNUMBER(SEARCH(INDIRECT(ADDRESS(ROW(AJ128),MOD(AJ$1,4)+1)),AJ$2)),$E128,"")</f>
        <v>124</v>
      </c>
      <c r="AK128" s="26" cm="1">
        <f t="array" aca="1" ref="AK128" ca="1">IF(ISNUMBER(SEARCH(INDIRECT(ADDRESS(ROW(AK128),MOD(AK$1,4)+1)),AK$2)),$E128,"")</f>
        <v>124</v>
      </c>
      <c r="AL128" s="26" t="str" cm="1">
        <f t="array" aca="1" ref="AL128" ca="1">IF(ISNUMBER(SEARCH(INDIRECT(ADDRESS(ROW(AL128),MOD(AL$1,4)+1)),AL$2)),$E128,"")</f>
        <v/>
      </c>
      <c r="AM128" s="26" t="str" cm="1">
        <f t="array" aca="1" ref="AM128" ca="1">IF(ISNUMBER(SEARCH(INDIRECT(ADDRESS(ROW(AM128),MOD(AM$1,4)+1)),AM$2)),$E128,"")</f>
        <v/>
      </c>
      <c r="AN128" s="26" t="str" cm="1">
        <f t="array" aca="1" ref="AN128" ca="1">IF(ISNUMBER(SEARCH(INDIRECT(ADDRESS(ROW(AN128),MOD(AN$1,4)+1)),AN$2)),$E128,"")</f>
        <v/>
      </c>
      <c r="AO128" s="26" t="str" cm="1">
        <f t="array" aca="1" ref="AO128" ca="1">IF(ISNUMBER(SEARCH(INDIRECT(ADDRESS(ROW(AO128),MOD(AO$1,4)+1)),AO$2)),$E128,"")</f>
        <v/>
      </c>
      <c r="AP128" s="26" t="str" cm="1">
        <f t="array" aca="1" ref="AP128" ca="1">IF(ISNUMBER(SEARCH(INDIRECT(ADDRESS(ROW(AP128),MOD(AP$1,4)+1)),AP$2)),$E128,"")</f>
        <v/>
      </c>
      <c r="AQ128" s="31" t="str" cm="1">
        <f t="array" aca="1" ref="AQ128" ca="1">IF(ISNUMBER(SEARCH(INDIRECT(ADDRESS(ROW(AQ128),MOD(AQ$1,4)+1)),AQ$2)),$E128,"")</f>
        <v/>
      </c>
      <c r="AT128" t="e">
        <f>IF(VLOOKUP($E128,'Formatted NEW'!$B$2:$F$202,5,FALSE)=VLOOKUP($E128,'Formatted NEW'!$B$2:$F$202,8,FALSE),$E128,"")</f>
        <v>#N/A</v>
      </c>
      <c r="AW128" t="e">
        <f>IF(VLOOKUP($E128,'Formatted NEW'!$B$2:$F$202,5,FALSE)=VLOOKUP($E128,'Formatted NEW'!$B$2:$F$202,11,FALSE),$E128,"")</f>
        <v>#N/A</v>
      </c>
      <c r="AZ128" t="e">
        <f>IF(VLOOKUP($E128,'Formatted NEW'!$B$2:$F$202,5,FALSE)=VLOOKUP($E128,'Formatted NEW'!$B$2:$F$202,14,FALSE),$E128,"")</f>
        <v>#N/A</v>
      </c>
      <c r="BC128" t="str">
        <f>VLOOKUP($E128,'Formatted NEW'!$M$2:$T$202,6,FALSE)</f>
        <v>ORTHO_LEFT</v>
      </c>
      <c r="BD128" s="26" t="e">
        <f>VLOOKUP(VLOOKUP(VLOOKUP($E128,'Formatted NEW'!$M$2:$O$202,2,FALSE),'Formatted NEW'!$D$2:$F$202,7,FALSE),'Formatted NEW'!$D$2:$O$202,12,FALSE)</f>
        <v>#REF!</v>
      </c>
      <c r="BE128" t="e">
        <f>VLOOKUP($BD128,'Formatted NEW'!$M$2:$T$202,5,FALSE)</f>
        <v>#REF!</v>
      </c>
      <c r="BF128" s="26" t="e">
        <f t="shared" si="5"/>
        <v>#REF!</v>
      </c>
      <c r="BH128">
        <f>VLOOKUP($E128,'Formatted NEW'!$M$2:$T$202,4,FALSE)</f>
        <v>0</v>
      </c>
      <c r="BI128" s="26" t="e">
        <f>VLOOKUP(VLOOKUP(VLOOKUP($E128,'Formatted NEW'!$M$2:$O$202,2,FALSE),'Formatted NEW'!$D$2:$F$202,10,FALSE),'Formatted NEW'!$D$2:$O$202,12,FALSE)</f>
        <v>#REF!</v>
      </c>
      <c r="BJ128" t="e">
        <f>VLOOKUP($BI128,'Formatted NEW'!$M$2:$T$202,3,FALSE)</f>
        <v>#REF!</v>
      </c>
      <c r="BK128" s="26" t="e">
        <f t="shared" si="6"/>
        <v>#REF!</v>
      </c>
    </row>
    <row r="129" spans="1:63" x14ac:dyDescent="0.25">
      <c r="A129" t="str">
        <f>'Formatted NEW'!Q127</f>
        <v>ORTHO_BOTH</v>
      </c>
      <c r="B129" t="str">
        <f>'Formatted NEW'!R127</f>
        <v>EMPTY</v>
      </c>
      <c r="C129" t="str">
        <f>'Formatted NEW'!S127</f>
        <v>ORTHO_UP</v>
      </c>
      <c r="D129" t="str">
        <f>'Formatted NEW'!T127</f>
        <v>ORTHO_UP</v>
      </c>
      <c r="E129" s="26">
        <f t="shared" si="7"/>
        <v>125</v>
      </c>
      <c r="H129" s="30" t="str" cm="1">
        <f t="array" aca="1" ref="H129" ca="1">IF(ISNUMBER(SEARCH(INDIRECT(ADDRESS(ROW(H129),MOD(H$1,4)+1)),H$2)),$E129,"")</f>
        <v/>
      </c>
      <c r="I129" s="26" t="str" cm="1">
        <f t="array" aca="1" ref="I129" ca="1">IF(ISNUMBER(SEARCH(INDIRECT(ADDRESS(ROW(I129),MOD(I$1,4)+1)),I$2)),$E129,"")</f>
        <v/>
      </c>
      <c r="J129" s="26" t="str" cm="1">
        <f t="array" aca="1" ref="J129" ca="1">IF(ISNUMBER(SEARCH(INDIRECT(ADDRESS(ROW(J129),MOD(J$1,4)+1)),J$2)),$E129,"")</f>
        <v/>
      </c>
      <c r="K129" s="26" t="str" cm="1">
        <f t="array" aca="1" ref="K129" ca="1">IF(ISNUMBER(SEARCH(INDIRECT(ADDRESS(ROW(K129),MOD(K$1,4)+1)),K$2)),$E129,"")</f>
        <v/>
      </c>
      <c r="L129" s="26" t="str" cm="1">
        <f t="array" aca="1" ref="L129" ca="1">IF(ISNUMBER(SEARCH(INDIRECT(ADDRESS(ROW(L129),MOD(L$1,4)+1)),L$2)),$E129,"")</f>
        <v/>
      </c>
      <c r="M129" s="26" t="str" cm="1">
        <f t="array" aca="1" ref="M129" ca="1">IF(ISNUMBER(SEARCH(INDIRECT(ADDRESS(ROW(M129),MOD(M$1,4)+1)),M$2)),$E129,"")</f>
        <v/>
      </c>
      <c r="N129" s="26" t="str" cm="1">
        <f t="array" aca="1" ref="N129" ca="1">IF(ISNUMBER(SEARCH(INDIRECT(ADDRESS(ROW(N129),MOD(N$1,4)+1)),N$2)),$E129,"")</f>
        <v/>
      </c>
      <c r="O129" s="26" t="str" cm="1">
        <f t="array" aca="1" ref="O129" ca="1">IF(ISNUMBER(SEARCH(INDIRECT(ADDRESS(ROW(O129),MOD(O$1,4)+1)),O$2)),$E129,"")</f>
        <v/>
      </c>
      <c r="P129" s="26" cm="1">
        <f t="array" aca="1" ref="P129" ca="1">IF(ISNUMBER(SEARCH(INDIRECT(ADDRESS(ROW(P129),MOD(P$1,4)+1)),P$2)),$E129,"")</f>
        <v>125</v>
      </c>
      <c r="Q129" s="26" t="str" cm="1">
        <f t="array" aca="1" ref="Q129" ca="1">IF(ISNUMBER(SEARCH(INDIRECT(ADDRESS(ROW(Q129),MOD(Q$1,4)+1)),Q$2)),$E129,"")</f>
        <v/>
      </c>
      <c r="R129" s="26" t="str" cm="1">
        <f t="array" aca="1" ref="R129" ca="1">IF(ISNUMBER(SEARCH(INDIRECT(ADDRESS(ROW(R129),MOD(R$1,4)+1)),R$2)),$E129,"")</f>
        <v/>
      </c>
      <c r="S129" s="26" t="str" cm="1">
        <f t="array" aca="1" ref="S129" ca="1">IF(ISNUMBER(SEARCH(INDIRECT(ADDRESS(ROW(S129),MOD(S$1,4)+1)),S$2)),$E129,"")</f>
        <v/>
      </c>
      <c r="T129" s="26" t="str" cm="1">
        <f t="array" aca="1" ref="T129" ca="1">IF(ISNUMBER(SEARCH(INDIRECT(ADDRESS(ROW(T129),MOD(T$1,4)+1)),T$2)),$E129,"")</f>
        <v/>
      </c>
      <c r="U129" s="26" t="str" cm="1">
        <f t="array" aca="1" ref="U129" ca="1">IF(ISNUMBER(SEARCH(INDIRECT(ADDRESS(ROW(U129),MOD(U$1,4)+1)),U$2)),$E129,"")</f>
        <v/>
      </c>
      <c r="V129" s="26" t="str" cm="1">
        <f t="array" aca="1" ref="V129" ca="1">IF(ISNUMBER(SEARCH(INDIRECT(ADDRESS(ROW(V129),MOD(V$1,4)+1)),V$2)),$E129,"")</f>
        <v/>
      </c>
      <c r="W129" s="26" t="str" cm="1">
        <f t="array" aca="1" ref="W129" ca="1">IF(ISNUMBER(SEARCH(INDIRECT(ADDRESS(ROW(W129),MOD(W$1,4)+1)),W$2)),$E129,"")</f>
        <v/>
      </c>
      <c r="X129" s="26" t="str" cm="1">
        <f t="array" aca="1" ref="X129" ca="1">IF(ISNUMBER(SEARCH(INDIRECT(ADDRESS(ROW(X129),MOD(X$1,4)+1)),X$2)),$E129,"")</f>
        <v/>
      </c>
      <c r="Y129" s="26" t="str" cm="1">
        <f t="array" aca="1" ref="Y129" ca="1">IF(ISNUMBER(SEARCH(INDIRECT(ADDRESS(ROW(Y129),MOD(Y$1,4)+1)),Y$2)),$E129,"")</f>
        <v/>
      </c>
      <c r="Z129" s="26" t="str" cm="1">
        <f t="array" aca="1" ref="Z129" ca="1">IF(ISNUMBER(SEARCH(INDIRECT(ADDRESS(ROW(Z129),MOD(Z$1,4)+1)),Z$2)),$E129,"")</f>
        <v/>
      </c>
      <c r="AA129" s="26" t="str" cm="1">
        <f t="array" aca="1" ref="AA129" ca="1">IF(ISNUMBER(SEARCH(INDIRECT(ADDRESS(ROW(AA129),MOD(AA$1,4)+1)),AA$2)),$E129,"")</f>
        <v/>
      </c>
      <c r="AB129" s="26" t="str" cm="1">
        <f t="array" aca="1" ref="AB129" ca="1">IF(ISNUMBER(SEARCH(INDIRECT(ADDRESS(ROW(AB129),MOD(AB$1,4)+1)),AB$2)),$E129,"")</f>
        <v/>
      </c>
      <c r="AC129" s="26" t="str" cm="1">
        <f t="array" aca="1" ref="AC129" ca="1">IF(ISNUMBER(SEARCH(INDIRECT(ADDRESS(ROW(AC129),MOD(AC$1,4)+1)),AC$2)),$E129,"")</f>
        <v/>
      </c>
      <c r="AD129" s="26" t="str" cm="1">
        <f t="array" aca="1" ref="AD129" ca="1">IF(ISNUMBER(SEARCH(INDIRECT(ADDRESS(ROW(AD129),MOD(AD$1,4)+1)),AD$2)),$E129,"")</f>
        <v/>
      </c>
      <c r="AE129" s="26" t="str" cm="1">
        <f t="array" aca="1" ref="AE129" ca="1">IF(ISNUMBER(SEARCH(INDIRECT(ADDRESS(ROW(AE129),MOD(AE$1,4)+1)),AE$2)),$E129,"")</f>
        <v/>
      </c>
      <c r="AF129" s="26" t="str" cm="1">
        <f t="array" aca="1" ref="AF129" ca="1">IF(ISNUMBER(SEARCH(INDIRECT(ADDRESS(ROW(AF129),MOD(AF$1,4)+1)),AF$2)),$E129,"")</f>
        <v/>
      </c>
      <c r="AG129" s="26" t="str" cm="1">
        <f t="array" aca="1" ref="AG129" ca="1">IF(ISNUMBER(SEARCH(INDIRECT(ADDRESS(ROW(AG129),MOD(AG$1,4)+1)),AG$2)),$E129,"")</f>
        <v/>
      </c>
      <c r="AH129" s="26" t="str" cm="1">
        <f t="array" aca="1" ref="AH129" ca="1">IF(ISNUMBER(SEARCH(INDIRECT(ADDRESS(ROW(AH129),MOD(AH$1,4)+1)),AH$2)),$E129,"")</f>
        <v/>
      </c>
      <c r="AI129" s="26" t="str" cm="1">
        <f t="array" aca="1" ref="AI129" ca="1">IF(ISNUMBER(SEARCH(INDIRECT(ADDRESS(ROW(AI129),MOD(AI$1,4)+1)),AI$2)),$E129,"")</f>
        <v/>
      </c>
      <c r="AJ129" s="26" t="str" cm="1">
        <f t="array" aca="1" ref="AJ129" ca="1">IF(ISNUMBER(SEARCH(INDIRECT(ADDRESS(ROW(AJ129),MOD(AJ$1,4)+1)),AJ$2)),$E129,"")</f>
        <v/>
      </c>
      <c r="AK129" s="26" t="str" cm="1">
        <f t="array" aca="1" ref="AK129" ca="1">IF(ISNUMBER(SEARCH(INDIRECT(ADDRESS(ROW(AK129),MOD(AK$1,4)+1)),AK$2)),$E129,"")</f>
        <v/>
      </c>
      <c r="AL129" s="26" t="str" cm="1">
        <f t="array" aca="1" ref="AL129" ca="1">IF(ISNUMBER(SEARCH(INDIRECT(ADDRESS(ROW(AL129),MOD(AL$1,4)+1)),AL$2)),$E129,"")</f>
        <v/>
      </c>
      <c r="AM129" s="26" t="str" cm="1">
        <f t="array" aca="1" ref="AM129" ca="1">IF(ISNUMBER(SEARCH(INDIRECT(ADDRESS(ROW(AM129),MOD(AM$1,4)+1)),AM$2)),$E129,"")</f>
        <v/>
      </c>
      <c r="AN129" s="26" t="str" cm="1">
        <f t="array" aca="1" ref="AN129" ca="1">IF(ISNUMBER(SEARCH(INDIRECT(ADDRESS(ROW(AN129),MOD(AN$1,4)+1)),AN$2)),$E129,"")</f>
        <v/>
      </c>
      <c r="AO129" s="26" t="str" cm="1">
        <f t="array" aca="1" ref="AO129" ca="1">IF(ISNUMBER(SEARCH(INDIRECT(ADDRESS(ROW(AO129),MOD(AO$1,4)+1)),AO$2)),$E129,"")</f>
        <v/>
      </c>
      <c r="AP129" s="26" t="str" cm="1">
        <f t="array" aca="1" ref="AP129" ca="1">IF(ISNUMBER(SEARCH(INDIRECT(ADDRESS(ROW(AP129),MOD(AP$1,4)+1)),AP$2)),$E129,"")</f>
        <v/>
      </c>
      <c r="AQ129" s="31" t="str" cm="1">
        <f t="array" aca="1" ref="AQ129" ca="1">IF(ISNUMBER(SEARCH(INDIRECT(ADDRESS(ROW(AQ129),MOD(AQ$1,4)+1)),AQ$2)),$E129,"")</f>
        <v/>
      </c>
      <c r="AT129" t="e">
        <f>IF(VLOOKUP($E129,'Formatted NEW'!$B$2:$F$202,5,FALSE)=VLOOKUP($E129,'Formatted NEW'!$B$2:$F$202,8,FALSE),$E129,"")</f>
        <v>#N/A</v>
      </c>
      <c r="AW129" t="e">
        <f>IF(VLOOKUP($E129,'Formatted NEW'!$B$2:$F$202,5,FALSE)=VLOOKUP($E129,'Formatted NEW'!$B$2:$F$202,11,FALSE),$E129,"")</f>
        <v>#N/A</v>
      </c>
      <c r="AZ129" t="e">
        <f>IF(VLOOKUP($E129,'Formatted NEW'!$B$2:$F$202,5,FALSE)=VLOOKUP($E129,'Formatted NEW'!$B$2:$F$202,14,FALSE),$E129,"")</f>
        <v>#N/A</v>
      </c>
      <c r="BC129" t="str">
        <f>VLOOKUP($E129,'Formatted NEW'!$M$2:$T$202,6,FALSE)</f>
        <v>EMPTY</v>
      </c>
      <c r="BD129" s="26" t="e">
        <f>VLOOKUP(VLOOKUP(VLOOKUP($E129,'Formatted NEW'!$M$2:$O$202,2,FALSE),'Formatted NEW'!$D$2:$F$202,7,FALSE),'Formatted NEW'!$D$2:$O$202,12,FALSE)</f>
        <v>#REF!</v>
      </c>
      <c r="BE129" t="e">
        <f>VLOOKUP($BD129,'Formatted NEW'!$M$2:$T$202,5,FALSE)</f>
        <v>#REF!</v>
      </c>
      <c r="BF129" s="26" t="e">
        <f t="shared" si="5"/>
        <v>#REF!</v>
      </c>
      <c r="BH129">
        <f>VLOOKUP($E129,'Formatted NEW'!$M$2:$T$202,4,FALSE)</f>
        <v>0</v>
      </c>
      <c r="BI129" s="26" t="e">
        <f>VLOOKUP(VLOOKUP(VLOOKUP($E129,'Formatted NEW'!$M$2:$O$202,2,FALSE),'Formatted NEW'!$D$2:$F$202,10,FALSE),'Formatted NEW'!$D$2:$O$202,12,FALSE)</f>
        <v>#REF!</v>
      </c>
      <c r="BJ129" t="e">
        <f>VLOOKUP($BI129,'Formatted NEW'!$M$2:$T$202,3,FALSE)</f>
        <v>#REF!</v>
      </c>
      <c r="BK129" s="26" t="e">
        <f t="shared" si="6"/>
        <v>#REF!</v>
      </c>
    </row>
    <row r="130" spans="1:63" x14ac:dyDescent="0.25">
      <c r="A130" t="str">
        <f>'Formatted NEW'!Q128</f>
        <v>EMPTY</v>
      </c>
      <c r="B130" t="str">
        <f>'Formatted NEW'!R128</f>
        <v>ORTHO_BOTH</v>
      </c>
      <c r="C130" t="str">
        <f>'Formatted NEW'!S128</f>
        <v>ORTHO_DOWN</v>
      </c>
      <c r="D130" t="str">
        <f>'Formatted NEW'!T128</f>
        <v>ORTHO_DOWN</v>
      </c>
      <c r="E130" s="26">
        <f t="shared" si="7"/>
        <v>126</v>
      </c>
      <c r="H130" s="30" t="str" cm="1">
        <f t="array" aca="1" ref="H130" ca="1">IF(ISNUMBER(SEARCH(INDIRECT(ADDRESS(ROW(H130),MOD(H$1,4)+1)),H$2)),$E130,"")</f>
        <v/>
      </c>
      <c r="I130" s="26" t="str" cm="1">
        <f t="array" aca="1" ref="I130" ca="1">IF(ISNUMBER(SEARCH(INDIRECT(ADDRESS(ROW(I130),MOD(I$1,4)+1)),I$2)),$E130,"")</f>
        <v/>
      </c>
      <c r="J130" s="26" t="str" cm="1">
        <f t="array" aca="1" ref="J130" ca="1">IF(ISNUMBER(SEARCH(INDIRECT(ADDRESS(ROW(J130),MOD(J$1,4)+1)),J$2)),$E130,"")</f>
        <v/>
      </c>
      <c r="K130" s="26" t="str" cm="1">
        <f t="array" aca="1" ref="K130" ca="1">IF(ISNUMBER(SEARCH(INDIRECT(ADDRESS(ROW(K130),MOD(K$1,4)+1)),K$2)),$E130,"")</f>
        <v/>
      </c>
      <c r="L130" s="26" t="str" cm="1">
        <f t="array" aca="1" ref="L130" ca="1">IF(ISNUMBER(SEARCH(INDIRECT(ADDRESS(ROW(L130),MOD(L$1,4)+1)),L$2)),$E130,"")</f>
        <v/>
      </c>
      <c r="M130" s="26" t="str" cm="1">
        <f t="array" aca="1" ref="M130" ca="1">IF(ISNUMBER(SEARCH(INDIRECT(ADDRESS(ROW(M130),MOD(M$1,4)+1)),M$2)),$E130,"")</f>
        <v/>
      </c>
      <c r="N130" s="26" t="str" cm="1">
        <f t="array" aca="1" ref="N130" ca="1">IF(ISNUMBER(SEARCH(INDIRECT(ADDRESS(ROW(N130),MOD(N$1,4)+1)),N$2)),$E130,"")</f>
        <v/>
      </c>
      <c r="O130" s="26" t="str" cm="1">
        <f t="array" aca="1" ref="O130" ca="1">IF(ISNUMBER(SEARCH(INDIRECT(ADDRESS(ROW(O130),MOD(O$1,4)+1)),O$2)),$E130,"")</f>
        <v/>
      </c>
      <c r="P130" s="26" t="str" cm="1">
        <f t="array" aca="1" ref="P130" ca="1">IF(ISNUMBER(SEARCH(INDIRECT(ADDRESS(ROW(P130),MOD(P$1,4)+1)),P$2)),$E130,"")</f>
        <v/>
      </c>
      <c r="Q130" s="26" cm="1">
        <f t="array" aca="1" ref="Q130" ca="1">IF(ISNUMBER(SEARCH(INDIRECT(ADDRESS(ROW(Q130),MOD(Q$1,4)+1)),Q$2)),$E130,"")</f>
        <v>126</v>
      </c>
      <c r="R130" s="26" t="str" cm="1">
        <f t="array" aca="1" ref="R130" ca="1">IF(ISNUMBER(SEARCH(INDIRECT(ADDRESS(ROW(R130),MOD(R$1,4)+1)),R$2)),$E130,"")</f>
        <v/>
      </c>
      <c r="S130" s="26" t="str" cm="1">
        <f t="array" aca="1" ref="S130" ca="1">IF(ISNUMBER(SEARCH(INDIRECT(ADDRESS(ROW(S130),MOD(S$1,4)+1)),S$2)),$E130,"")</f>
        <v/>
      </c>
      <c r="T130" s="26" t="str" cm="1">
        <f t="array" aca="1" ref="T130" ca="1">IF(ISNUMBER(SEARCH(INDIRECT(ADDRESS(ROW(T130),MOD(T$1,4)+1)),T$2)),$E130,"")</f>
        <v/>
      </c>
      <c r="U130" s="26" t="str" cm="1">
        <f t="array" aca="1" ref="U130" ca="1">IF(ISNUMBER(SEARCH(INDIRECT(ADDRESS(ROW(U130),MOD(U$1,4)+1)),U$2)),$E130,"")</f>
        <v/>
      </c>
      <c r="V130" s="26" t="str" cm="1">
        <f t="array" aca="1" ref="V130" ca="1">IF(ISNUMBER(SEARCH(INDIRECT(ADDRESS(ROW(V130),MOD(V$1,4)+1)),V$2)),$E130,"")</f>
        <v/>
      </c>
      <c r="W130" s="26" t="str" cm="1">
        <f t="array" aca="1" ref="W130" ca="1">IF(ISNUMBER(SEARCH(INDIRECT(ADDRESS(ROW(W130),MOD(W$1,4)+1)),W$2)),$E130,"")</f>
        <v/>
      </c>
      <c r="X130" s="26" t="str" cm="1">
        <f t="array" aca="1" ref="X130" ca="1">IF(ISNUMBER(SEARCH(INDIRECT(ADDRESS(ROW(X130),MOD(X$1,4)+1)),X$2)),$E130,"")</f>
        <v/>
      </c>
      <c r="Y130" s="26" t="str" cm="1">
        <f t="array" aca="1" ref="Y130" ca="1">IF(ISNUMBER(SEARCH(INDIRECT(ADDRESS(ROW(Y130),MOD(Y$1,4)+1)),Y$2)),$E130,"")</f>
        <v/>
      </c>
      <c r="Z130" s="26" t="str" cm="1">
        <f t="array" aca="1" ref="Z130" ca="1">IF(ISNUMBER(SEARCH(INDIRECT(ADDRESS(ROW(Z130),MOD(Z$1,4)+1)),Z$2)),$E130,"")</f>
        <v/>
      </c>
      <c r="AA130" s="26" t="str" cm="1">
        <f t="array" aca="1" ref="AA130" ca="1">IF(ISNUMBER(SEARCH(INDIRECT(ADDRESS(ROW(AA130),MOD(AA$1,4)+1)),AA$2)),$E130,"")</f>
        <v/>
      </c>
      <c r="AB130" s="26" t="str" cm="1">
        <f t="array" aca="1" ref="AB130" ca="1">IF(ISNUMBER(SEARCH(INDIRECT(ADDRESS(ROW(AB130),MOD(AB$1,4)+1)),AB$2)),$E130,"")</f>
        <v/>
      </c>
      <c r="AC130" s="26" t="str" cm="1">
        <f t="array" aca="1" ref="AC130" ca="1">IF(ISNUMBER(SEARCH(INDIRECT(ADDRESS(ROW(AC130),MOD(AC$1,4)+1)),AC$2)),$E130,"")</f>
        <v/>
      </c>
      <c r="AD130" s="26" t="str" cm="1">
        <f t="array" aca="1" ref="AD130" ca="1">IF(ISNUMBER(SEARCH(INDIRECT(ADDRESS(ROW(AD130),MOD(AD$1,4)+1)),AD$2)),$E130,"")</f>
        <v/>
      </c>
      <c r="AE130" s="26" t="str" cm="1">
        <f t="array" aca="1" ref="AE130" ca="1">IF(ISNUMBER(SEARCH(INDIRECT(ADDRESS(ROW(AE130),MOD(AE$1,4)+1)),AE$2)),$E130,"")</f>
        <v/>
      </c>
      <c r="AF130" s="26" t="str" cm="1">
        <f t="array" aca="1" ref="AF130" ca="1">IF(ISNUMBER(SEARCH(INDIRECT(ADDRESS(ROW(AF130),MOD(AF$1,4)+1)),AF$2)),$E130,"")</f>
        <v/>
      </c>
      <c r="AG130" s="26" t="str" cm="1">
        <f t="array" aca="1" ref="AG130" ca="1">IF(ISNUMBER(SEARCH(INDIRECT(ADDRESS(ROW(AG130),MOD(AG$1,4)+1)),AG$2)),$E130,"")</f>
        <v/>
      </c>
      <c r="AH130" s="26" t="str" cm="1">
        <f t="array" aca="1" ref="AH130" ca="1">IF(ISNUMBER(SEARCH(INDIRECT(ADDRESS(ROW(AH130),MOD(AH$1,4)+1)),AH$2)),$E130,"")</f>
        <v/>
      </c>
      <c r="AI130" s="26" t="str" cm="1">
        <f t="array" aca="1" ref="AI130" ca="1">IF(ISNUMBER(SEARCH(INDIRECT(ADDRESS(ROW(AI130),MOD(AI$1,4)+1)),AI$2)),$E130,"")</f>
        <v/>
      </c>
      <c r="AJ130" s="26" t="str" cm="1">
        <f t="array" aca="1" ref="AJ130" ca="1">IF(ISNUMBER(SEARCH(INDIRECT(ADDRESS(ROW(AJ130),MOD(AJ$1,4)+1)),AJ$2)),$E130,"")</f>
        <v/>
      </c>
      <c r="AK130" s="26" t="str" cm="1">
        <f t="array" aca="1" ref="AK130" ca="1">IF(ISNUMBER(SEARCH(INDIRECT(ADDRESS(ROW(AK130),MOD(AK$1,4)+1)),AK$2)),$E130,"")</f>
        <v/>
      </c>
      <c r="AL130" s="26" t="str" cm="1">
        <f t="array" aca="1" ref="AL130" ca="1">IF(ISNUMBER(SEARCH(INDIRECT(ADDRESS(ROW(AL130),MOD(AL$1,4)+1)),AL$2)),$E130,"")</f>
        <v/>
      </c>
      <c r="AM130" s="26" t="str" cm="1">
        <f t="array" aca="1" ref="AM130" ca="1">IF(ISNUMBER(SEARCH(INDIRECT(ADDRESS(ROW(AM130),MOD(AM$1,4)+1)),AM$2)),$E130,"")</f>
        <v/>
      </c>
      <c r="AN130" s="26" t="str" cm="1">
        <f t="array" aca="1" ref="AN130" ca="1">IF(ISNUMBER(SEARCH(INDIRECT(ADDRESS(ROW(AN130),MOD(AN$1,4)+1)),AN$2)),$E130,"")</f>
        <v/>
      </c>
      <c r="AO130" s="26" t="str" cm="1">
        <f t="array" aca="1" ref="AO130" ca="1">IF(ISNUMBER(SEARCH(INDIRECT(ADDRESS(ROW(AO130),MOD(AO$1,4)+1)),AO$2)),$E130,"")</f>
        <v/>
      </c>
      <c r="AP130" s="26" t="str" cm="1">
        <f t="array" aca="1" ref="AP130" ca="1">IF(ISNUMBER(SEARCH(INDIRECT(ADDRESS(ROW(AP130),MOD(AP$1,4)+1)),AP$2)),$E130,"")</f>
        <v/>
      </c>
      <c r="AQ130" s="31" t="str" cm="1">
        <f t="array" aca="1" ref="AQ130" ca="1">IF(ISNUMBER(SEARCH(INDIRECT(ADDRESS(ROW(AQ130),MOD(AQ$1,4)+1)),AQ$2)),$E130,"")</f>
        <v/>
      </c>
      <c r="AT130" t="e">
        <f>IF(VLOOKUP($E130,'Formatted NEW'!$B$2:$F$202,5,FALSE)=VLOOKUP($E130,'Formatted NEW'!$B$2:$F$202,8,FALSE),$E130,"")</f>
        <v>#N/A</v>
      </c>
      <c r="AW130" t="e">
        <f>IF(VLOOKUP($E130,'Formatted NEW'!$B$2:$F$202,5,FALSE)=VLOOKUP($E130,'Formatted NEW'!$B$2:$F$202,11,FALSE),$E130,"")</f>
        <v>#N/A</v>
      </c>
      <c r="AZ130" t="e">
        <f>IF(VLOOKUP($E130,'Formatted NEW'!$B$2:$F$202,5,FALSE)=VLOOKUP($E130,'Formatted NEW'!$B$2:$F$202,14,FALSE),$E130,"")</f>
        <v>#N/A</v>
      </c>
      <c r="BC130" t="str">
        <f>VLOOKUP($E130,'Formatted NEW'!$M$2:$T$202,6,FALSE)</f>
        <v>ORTHO_BOTH</v>
      </c>
      <c r="BD130" s="26" t="e">
        <f>VLOOKUP(VLOOKUP(VLOOKUP($E130,'Formatted NEW'!$M$2:$O$202,2,FALSE),'Formatted NEW'!$D$2:$F$202,7,FALSE),'Formatted NEW'!$D$2:$O$202,12,FALSE)</f>
        <v>#REF!</v>
      </c>
      <c r="BE130" t="e">
        <f>VLOOKUP($BD130,'Formatted NEW'!$M$2:$T$202,5,FALSE)</f>
        <v>#REF!</v>
      </c>
      <c r="BF130" s="26" t="e">
        <f t="shared" si="5"/>
        <v>#REF!</v>
      </c>
      <c r="BH130">
        <f>VLOOKUP($E130,'Formatted NEW'!$M$2:$T$202,4,FALSE)</f>
        <v>0</v>
      </c>
      <c r="BI130" s="26" t="e">
        <f>VLOOKUP(VLOOKUP(VLOOKUP($E130,'Formatted NEW'!$M$2:$O$202,2,FALSE),'Formatted NEW'!$D$2:$F$202,10,FALSE),'Formatted NEW'!$D$2:$O$202,12,FALSE)</f>
        <v>#REF!</v>
      </c>
      <c r="BJ130" t="e">
        <f>VLOOKUP($BI130,'Formatted NEW'!$M$2:$T$202,3,FALSE)</f>
        <v>#REF!</v>
      </c>
      <c r="BK130" s="26" t="e">
        <f t="shared" si="6"/>
        <v>#REF!</v>
      </c>
    </row>
    <row r="131" spans="1:63" x14ac:dyDescent="0.25">
      <c r="A131" t="str">
        <f>'Formatted NEW'!Q129</f>
        <v>EMPTY</v>
      </c>
      <c r="B131" t="str">
        <f>'Formatted NEW'!R129</f>
        <v>ORTHO_LEFT</v>
      </c>
      <c r="C131" t="str">
        <f>'Formatted NEW'!S129</f>
        <v>ORTHO_DOWN</v>
      </c>
      <c r="D131" t="str">
        <f>'Formatted NEW'!T129</f>
        <v>EMPTY</v>
      </c>
      <c r="E131" s="26">
        <f t="shared" si="7"/>
        <v>127</v>
      </c>
      <c r="H131" s="30" t="str" cm="1">
        <f t="array" aca="1" ref="H131" ca="1">IF(ISNUMBER(SEARCH(INDIRECT(ADDRESS(ROW(H131),MOD(H$1,4)+1)),H$2)),$E131,"")</f>
        <v/>
      </c>
      <c r="I131" s="26" t="str" cm="1">
        <f t="array" aca="1" ref="I131" ca="1">IF(ISNUMBER(SEARCH(INDIRECT(ADDRESS(ROW(I131),MOD(I$1,4)+1)),I$2)),$E131,"")</f>
        <v/>
      </c>
      <c r="J131" s="26" t="str" cm="1">
        <f t="array" aca="1" ref="J131" ca="1">IF(ISNUMBER(SEARCH(INDIRECT(ADDRESS(ROW(J131),MOD(J$1,4)+1)),J$2)),$E131,"")</f>
        <v/>
      </c>
      <c r="K131" s="26" t="str" cm="1">
        <f t="array" aca="1" ref="K131" ca="1">IF(ISNUMBER(SEARCH(INDIRECT(ADDRESS(ROW(K131),MOD(K$1,4)+1)),K$2)),$E131,"")</f>
        <v/>
      </c>
      <c r="L131" s="26" t="str" cm="1">
        <f t="array" aca="1" ref="L131" ca="1">IF(ISNUMBER(SEARCH(INDIRECT(ADDRESS(ROW(L131),MOD(L$1,4)+1)),L$2)),$E131,"")</f>
        <v/>
      </c>
      <c r="M131" s="26" t="str" cm="1">
        <f t="array" aca="1" ref="M131" ca="1">IF(ISNUMBER(SEARCH(INDIRECT(ADDRESS(ROW(M131),MOD(M$1,4)+1)),M$2)),$E131,"")</f>
        <v/>
      </c>
      <c r="N131" s="26" t="str" cm="1">
        <f t="array" aca="1" ref="N131" ca="1">IF(ISNUMBER(SEARCH(INDIRECT(ADDRESS(ROW(N131),MOD(N$1,4)+1)),N$2)),$E131,"")</f>
        <v/>
      </c>
      <c r="O131" s="26" t="str" cm="1">
        <f t="array" aca="1" ref="O131" ca="1">IF(ISNUMBER(SEARCH(INDIRECT(ADDRESS(ROW(O131),MOD(O$1,4)+1)),O$2)),$E131,"")</f>
        <v/>
      </c>
      <c r="P131" s="26" t="str" cm="1">
        <f t="array" aca="1" ref="P131" ca="1">IF(ISNUMBER(SEARCH(INDIRECT(ADDRESS(ROW(P131),MOD(P$1,4)+1)),P$2)),$E131,"")</f>
        <v/>
      </c>
      <c r="Q131" s="26" t="str" cm="1">
        <f t="array" aca="1" ref="Q131" ca="1">IF(ISNUMBER(SEARCH(INDIRECT(ADDRESS(ROW(Q131),MOD(Q$1,4)+1)),Q$2)),$E131,"")</f>
        <v/>
      </c>
      <c r="R131" s="26" t="str" cm="1">
        <f t="array" aca="1" ref="R131" ca="1">IF(ISNUMBER(SEARCH(INDIRECT(ADDRESS(ROW(R131),MOD(R$1,4)+1)),R$2)),$E131,"")</f>
        <v/>
      </c>
      <c r="S131" s="26" t="str" cm="1">
        <f t="array" aca="1" ref="S131" ca="1">IF(ISNUMBER(SEARCH(INDIRECT(ADDRESS(ROW(S131),MOD(S$1,4)+1)),S$2)),$E131,"")</f>
        <v/>
      </c>
      <c r="T131" s="26" t="str" cm="1">
        <f t="array" aca="1" ref="T131" ca="1">IF(ISNUMBER(SEARCH(INDIRECT(ADDRESS(ROW(T131),MOD(T$1,4)+1)),T$2)),$E131,"")</f>
        <v/>
      </c>
      <c r="U131" s="26" t="str" cm="1">
        <f t="array" aca="1" ref="U131" ca="1">IF(ISNUMBER(SEARCH(INDIRECT(ADDRESS(ROW(U131),MOD(U$1,4)+1)),U$2)),$E131,"")</f>
        <v/>
      </c>
      <c r="V131" s="26" t="str" cm="1">
        <f t="array" aca="1" ref="V131" ca="1">IF(ISNUMBER(SEARCH(INDIRECT(ADDRESS(ROW(V131),MOD(V$1,4)+1)),V$2)),$E131,"")</f>
        <v/>
      </c>
      <c r="W131" s="26" t="str" cm="1">
        <f t="array" aca="1" ref="W131" ca="1">IF(ISNUMBER(SEARCH(INDIRECT(ADDRESS(ROW(W131),MOD(W$1,4)+1)),W$2)),$E131,"")</f>
        <v/>
      </c>
      <c r="X131" s="26" t="str" cm="1">
        <f t="array" aca="1" ref="X131" ca="1">IF(ISNUMBER(SEARCH(INDIRECT(ADDRESS(ROW(X131),MOD(X$1,4)+1)),X$2)),$E131,"")</f>
        <v/>
      </c>
      <c r="Y131" s="26" t="str" cm="1">
        <f t="array" aca="1" ref="Y131" ca="1">IF(ISNUMBER(SEARCH(INDIRECT(ADDRESS(ROW(Y131),MOD(Y$1,4)+1)),Y$2)),$E131,"")</f>
        <v/>
      </c>
      <c r="Z131" s="26" t="str" cm="1">
        <f t="array" aca="1" ref="Z131" ca="1">IF(ISNUMBER(SEARCH(INDIRECT(ADDRESS(ROW(Z131),MOD(Z$1,4)+1)),Z$2)),$E131,"")</f>
        <v/>
      </c>
      <c r="AA131" s="26" t="str" cm="1">
        <f t="array" aca="1" ref="AA131" ca="1">IF(ISNUMBER(SEARCH(INDIRECT(ADDRESS(ROW(AA131),MOD(AA$1,4)+1)),AA$2)),$E131,"")</f>
        <v/>
      </c>
      <c r="AB131" s="26" t="str" cm="1">
        <f t="array" aca="1" ref="AB131" ca="1">IF(ISNUMBER(SEARCH(INDIRECT(ADDRESS(ROW(AB131),MOD(AB$1,4)+1)),AB$2)),$E131,"")</f>
        <v/>
      </c>
      <c r="AC131" s="26" t="str" cm="1">
        <f t="array" aca="1" ref="AC131" ca="1">IF(ISNUMBER(SEARCH(INDIRECT(ADDRESS(ROW(AC131),MOD(AC$1,4)+1)),AC$2)),$E131,"")</f>
        <v/>
      </c>
      <c r="AD131" s="26" t="str" cm="1">
        <f t="array" aca="1" ref="AD131" ca="1">IF(ISNUMBER(SEARCH(INDIRECT(ADDRESS(ROW(AD131),MOD(AD$1,4)+1)),AD$2)),$E131,"")</f>
        <v/>
      </c>
      <c r="AE131" s="26" t="str" cm="1">
        <f t="array" aca="1" ref="AE131" ca="1">IF(ISNUMBER(SEARCH(INDIRECT(ADDRESS(ROW(AE131),MOD(AE$1,4)+1)),AE$2)),$E131,"")</f>
        <v/>
      </c>
      <c r="AF131" s="26" t="str" cm="1">
        <f t="array" aca="1" ref="AF131" ca="1">IF(ISNUMBER(SEARCH(INDIRECT(ADDRESS(ROW(AF131),MOD(AF$1,4)+1)),AF$2)),$E131,"")</f>
        <v/>
      </c>
      <c r="AG131" s="26" t="str" cm="1">
        <f t="array" aca="1" ref="AG131" ca="1">IF(ISNUMBER(SEARCH(INDIRECT(ADDRESS(ROW(AG131),MOD(AG$1,4)+1)),AG$2)),$E131,"")</f>
        <v/>
      </c>
      <c r="AH131" s="26" t="str" cm="1">
        <f t="array" aca="1" ref="AH131" ca="1">IF(ISNUMBER(SEARCH(INDIRECT(ADDRESS(ROW(AH131),MOD(AH$1,4)+1)),AH$2)),$E131,"")</f>
        <v/>
      </c>
      <c r="AI131" s="26" t="str" cm="1">
        <f t="array" aca="1" ref="AI131" ca="1">IF(ISNUMBER(SEARCH(INDIRECT(ADDRESS(ROW(AI131),MOD(AI$1,4)+1)),AI$2)),$E131,"")</f>
        <v/>
      </c>
      <c r="AJ131" s="26" t="str" cm="1">
        <f t="array" aca="1" ref="AJ131" ca="1">IF(ISNUMBER(SEARCH(INDIRECT(ADDRESS(ROW(AJ131),MOD(AJ$1,4)+1)),AJ$2)),$E131,"")</f>
        <v/>
      </c>
      <c r="AK131" s="26" cm="1">
        <f t="array" aca="1" ref="AK131" ca="1">IF(ISNUMBER(SEARCH(INDIRECT(ADDRESS(ROW(AK131),MOD(AK$1,4)+1)),AK$2)),$E131,"")</f>
        <v>127</v>
      </c>
      <c r="AL131" s="26" t="str" cm="1">
        <f t="array" aca="1" ref="AL131" ca="1">IF(ISNUMBER(SEARCH(INDIRECT(ADDRESS(ROW(AL131),MOD(AL$1,4)+1)),AL$2)),$E131,"")</f>
        <v/>
      </c>
      <c r="AM131" s="26" t="str" cm="1">
        <f t="array" aca="1" ref="AM131" ca="1">IF(ISNUMBER(SEARCH(INDIRECT(ADDRESS(ROW(AM131),MOD(AM$1,4)+1)),AM$2)),$E131,"")</f>
        <v/>
      </c>
      <c r="AN131" s="26" t="str" cm="1">
        <f t="array" aca="1" ref="AN131" ca="1">IF(ISNUMBER(SEARCH(INDIRECT(ADDRESS(ROW(AN131),MOD(AN$1,4)+1)),AN$2)),$E131,"")</f>
        <v/>
      </c>
      <c r="AO131" s="26" t="str" cm="1">
        <f t="array" aca="1" ref="AO131" ca="1">IF(ISNUMBER(SEARCH(INDIRECT(ADDRESS(ROW(AO131),MOD(AO$1,4)+1)),AO$2)),$E131,"")</f>
        <v/>
      </c>
      <c r="AP131" s="26" t="str" cm="1">
        <f t="array" aca="1" ref="AP131" ca="1">IF(ISNUMBER(SEARCH(INDIRECT(ADDRESS(ROW(AP131),MOD(AP$1,4)+1)),AP$2)),$E131,"")</f>
        <v/>
      </c>
      <c r="AQ131" s="31" t="str" cm="1">
        <f t="array" aca="1" ref="AQ131" ca="1">IF(ISNUMBER(SEARCH(INDIRECT(ADDRESS(ROW(AQ131),MOD(AQ$1,4)+1)),AQ$2)),$E131,"")</f>
        <v/>
      </c>
      <c r="AT131" t="e">
        <f>IF(VLOOKUP($E131,'Formatted NEW'!$B$2:$F$202,5,FALSE)=VLOOKUP($E131,'Formatted NEW'!$B$2:$F$202,8,FALSE),$E131,"")</f>
        <v>#N/A</v>
      </c>
      <c r="AW131" t="e">
        <f>IF(VLOOKUP($E131,'Formatted NEW'!$B$2:$F$202,5,FALSE)=VLOOKUP($E131,'Formatted NEW'!$B$2:$F$202,11,FALSE),$E131,"")</f>
        <v>#N/A</v>
      </c>
      <c r="AZ131" t="e">
        <f>IF(VLOOKUP($E131,'Formatted NEW'!$B$2:$F$202,5,FALSE)=VLOOKUP($E131,'Formatted NEW'!$B$2:$F$202,14,FALSE),$E131,"")</f>
        <v>#N/A</v>
      </c>
      <c r="BC131" t="str">
        <f>VLOOKUP($E131,'Formatted NEW'!$M$2:$T$202,6,FALSE)</f>
        <v>ORTHO_LEFT</v>
      </c>
      <c r="BD131" s="26" t="e">
        <f>VLOOKUP(VLOOKUP(VLOOKUP($E131,'Formatted NEW'!$M$2:$O$202,2,FALSE),'Formatted NEW'!$D$2:$F$202,7,FALSE),'Formatted NEW'!$D$2:$O$202,12,FALSE)</f>
        <v>#REF!</v>
      </c>
      <c r="BE131" t="e">
        <f>VLOOKUP($BD131,'Formatted NEW'!$M$2:$T$202,5,FALSE)</f>
        <v>#REF!</v>
      </c>
      <c r="BF131" s="26" t="e">
        <f t="shared" si="5"/>
        <v>#REF!</v>
      </c>
      <c r="BH131">
        <f>VLOOKUP($E131,'Formatted NEW'!$M$2:$T$202,4,FALSE)</f>
        <v>0</v>
      </c>
      <c r="BI131" s="26" t="e">
        <f>VLOOKUP(VLOOKUP(VLOOKUP($E131,'Formatted NEW'!$M$2:$O$202,2,FALSE),'Formatted NEW'!$D$2:$F$202,10,FALSE),'Formatted NEW'!$D$2:$O$202,12,FALSE)</f>
        <v>#REF!</v>
      </c>
      <c r="BJ131" t="e">
        <f>VLOOKUP($BI131,'Formatted NEW'!$M$2:$T$202,3,FALSE)</f>
        <v>#REF!</v>
      </c>
      <c r="BK131" s="26" t="e">
        <f t="shared" si="6"/>
        <v>#REF!</v>
      </c>
    </row>
    <row r="132" spans="1:63" x14ac:dyDescent="0.25">
      <c r="A132" t="str">
        <f>'Formatted NEW'!Q130</f>
        <v>ORTHO_LEFT</v>
      </c>
      <c r="B132" t="str">
        <f>'Formatted NEW'!R130</f>
        <v>EMPTY</v>
      </c>
      <c r="C132" t="str">
        <f>'Formatted NEW'!S130</f>
        <v>ORTHO_UP</v>
      </c>
      <c r="D132" t="str">
        <f>'Formatted NEW'!T130</f>
        <v>EMPTY</v>
      </c>
      <c r="E132" s="26">
        <f t="shared" ref="E132:E163" si="8">ROW(E132)-ROW(E$4)</f>
        <v>128</v>
      </c>
      <c r="H132" s="30" t="str" cm="1">
        <f t="array" aca="1" ref="H132" ca="1">IF(ISNUMBER(SEARCH(INDIRECT(ADDRESS(ROW(H132),MOD(H$1,4)+1)),H$2)),$E132,"")</f>
        <v/>
      </c>
      <c r="I132" s="26" t="str" cm="1">
        <f t="array" aca="1" ref="I132" ca="1">IF(ISNUMBER(SEARCH(INDIRECT(ADDRESS(ROW(I132),MOD(I$1,4)+1)),I$2)),$E132,"")</f>
        <v/>
      </c>
      <c r="J132" s="26" t="str" cm="1">
        <f t="array" aca="1" ref="J132" ca="1">IF(ISNUMBER(SEARCH(INDIRECT(ADDRESS(ROW(J132),MOD(J$1,4)+1)),J$2)),$E132,"")</f>
        <v/>
      </c>
      <c r="K132" s="26" t="str" cm="1">
        <f t="array" aca="1" ref="K132" ca="1">IF(ISNUMBER(SEARCH(INDIRECT(ADDRESS(ROW(K132),MOD(K$1,4)+1)),K$2)),$E132,"")</f>
        <v/>
      </c>
      <c r="L132" s="26" t="str" cm="1">
        <f t="array" aca="1" ref="L132" ca="1">IF(ISNUMBER(SEARCH(INDIRECT(ADDRESS(ROW(L132),MOD(L$1,4)+1)),L$2)),$E132,"")</f>
        <v/>
      </c>
      <c r="M132" s="26" t="str" cm="1">
        <f t="array" aca="1" ref="M132" ca="1">IF(ISNUMBER(SEARCH(INDIRECT(ADDRESS(ROW(M132),MOD(M$1,4)+1)),M$2)),$E132,"")</f>
        <v/>
      </c>
      <c r="N132" s="26" t="str" cm="1">
        <f t="array" aca="1" ref="N132" ca="1">IF(ISNUMBER(SEARCH(INDIRECT(ADDRESS(ROW(N132),MOD(N$1,4)+1)),N$2)),$E132,"")</f>
        <v/>
      </c>
      <c r="O132" s="26" t="str" cm="1">
        <f t="array" aca="1" ref="O132" ca="1">IF(ISNUMBER(SEARCH(INDIRECT(ADDRESS(ROW(O132),MOD(O$1,4)+1)),O$2)),$E132,"")</f>
        <v/>
      </c>
      <c r="P132" s="26" t="str" cm="1">
        <f t="array" aca="1" ref="P132" ca="1">IF(ISNUMBER(SEARCH(INDIRECT(ADDRESS(ROW(P132),MOD(P$1,4)+1)),P$2)),$E132,"")</f>
        <v/>
      </c>
      <c r="Q132" s="26" t="str" cm="1">
        <f t="array" aca="1" ref="Q132" ca="1">IF(ISNUMBER(SEARCH(INDIRECT(ADDRESS(ROW(Q132),MOD(Q$1,4)+1)),Q$2)),$E132,"")</f>
        <v/>
      </c>
      <c r="R132" s="26" t="str" cm="1">
        <f t="array" aca="1" ref="R132" ca="1">IF(ISNUMBER(SEARCH(INDIRECT(ADDRESS(ROW(R132),MOD(R$1,4)+1)),R$2)),$E132,"")</f>
        <v/>
      </c>
      <c r="S132" s="26" t="str" cm="1">
        <f t="array" aca="1" ref="S132" ca="1">IF(ISNUMBER(SEARCH(INDIRECT(ADDRESS(ROW(S132),MOD(S$1,4)+1)),S$2)),$E132,"")</f>
        <v/>
      </c>
      <c r="T132" s="26" t="str" cm="1">
        <f t="array" aca="1" ref="T132" ca="1">IF(ISNUMBER(SEARCH(INDIRECT(ADDRESS(ROW(T132),MOD(T$1,4)+1)),T$2)),$E132,"")</f>
        <v/>
      </c>
      <c r="U132" s="26" t="str" cm="1">
        <f t="array" aca="1" ref="U132" ca="1">IF(ISNUMBER(SEARCH(INDIRECT(ADDRESS(ROW(U132),MOD(U$1,4)+1)),U$2)),$E132,"")</f>
        <v/>
      </c>
      <c r="V132" s="26" t="str" cm="1">
        <f t="array" aca="1" ref="V132" ca="1">IF(ISNUMBER(SEARCH(INDIRECT(ADDRESS(ROW(V132),MOD(V$1,4)+1)),V$2)),$E132,"")</f>
        <v/>
      </c>
      <c r="W132" s="26" t="str" cm="1">
        <f t="array" aca="1" ref="W132" ca="1">IF(ISNUMBER(SEARCH(INDIRECT(ADDRESS(ROW(W132),MOD(W$1,4)+1)),W$2)),$E132,"")</f>
        <v/>
      </c>
      <c r="X132" s="26" t="str" cm="1">
        <f t="array" aca="1" ref="X132" ca="1">IF(ISNUMBER(SEARCH(INDIRECT(ADDRESS(ROW(X132),MOD(X$1,4)+1)),X$2)),$E132,"")</f>
        <v/>
      </c>
      <c r="Y132" s="26" t="str" cm="1">
        <f t="array" aca="1" ref="Y132" ca="1">IF(ISNUMBER(SEARCH(INDIRECT(ADDRESS(ROW(Y132),MOD(Y$1,4)+1)),Y$2)),$E132,"")</f>
        <v/>
      </c>
      <c r="Z132" s="26" t="str" cm="1">
        <f t="array" aca="1" ref="Z132" ca="1">IF(ISNUMBER(SEARCH(INDIRECT(ADDRESS(ROW(Z132),MOD(Z$1,4)+1)),Z$2)),$E132,"")</f>
        <v/>
      </c>
      <c r="AA132" s="26" t="str" cm="1">
        <f t="array" aca="1" ref="AA132" ca="1">IF(ISNUMBER(SEARCH(INDIRECT(ADDRESS(ROW(AA132),MOD(AA$1,4)+1)),AA$2)),$E132,"")</f>
        <v/>
      </c>
      <c r="AB132" s="26" t="str" cm="1">
        <f t="array" aca="1" ref="AB132" ca="1">IF(ISNUMBER(SEARCH(INDIRECT(ADDRESS(ROW(AB132),MOD(AB$1,4)+1)),AB$2)),$E132,"")</f>
        <v/>
      </c>
      <c r="AC132" s="26" t="str" cm="1">
        <f t="array" aca="1" ref="AC132" ca="1">IF(ISNUMBER(SEARCH(INDIRECT(ADDRESS(ROW(AC132),MOD(AC$1,4)+1)),AC$2)),$E132,"")</f>
        <v/>
      </c>
      <c r="AD132" s="26" t="str" cm="1">
        <f t="array" aca="1" ref="AD132" ca="1">IF(ISNUMBER(SEARCH(INDIRECT(ADDRESS(ROW(AD132),MOD(AD$1,4)+1)),AD$2)),$E132,"")</f>
        <v/>
      </c>
      <c r="AE132" s="26" t="str" cm="1">
        <f t="array" aca="1" ref="AE132" ca="1">IF(ISNUMBER(SEARCH(INDIRECT(ADDRESS(ROW(AE132),MOD(AE$1,4)+1)),AE$2)),$E132,"")</f>
        <v/>
      </c>
      <c r="AF132" s="26" t="str" cm="1">
        <f t="array" aca="1" ref="AF132" ca="1">IF(ISNUMBER(SEARCH(INDIRECT(ADDRESS(ROW(AF132),MOD(AF$1,4)+1)),AF$2)),$E132,"")</f>
        <v/>
      </c>
      <c r="AG132" s="26" t="str" cm="1">
        <f t="array" aca="1" ref="AG132" ca="1">IF(ISNUMBER(SEARCH(INDIRECT(ADDRESS(ROW(AG132),MOD(AG$1,4)+1)),AG$2)),$E132,"")</f>
        <v/>
      </c>
      <c r="AH132" s="26" t="str" cm="1">
        <f t="array" aca="1" ref="AH132" ca="1">IF(ISNUMBER(SEARCH(INDIRECT(ADDRESS(ROW(AH132),MOD(AH$1,4)+1)),AH$2)),$E132,"")</f>
        <v/>
      </c>
      <c r="AI132" s="26" t="str" cm="1">
        <f t="array" aca="1" ref="AI132" ca="1">IF(ISNUMBER(SEARCH(INDIRECT(ADDRESS(ROW(AI132),MOD(AI$1,4)+1)),AI$2)),$E132,"")</f>
        <v/>
      </c>
      <c r="AJ132" s="26" cm="1">
        <f t="array" aca="1" ref="AJ132" ca="1">IF(ISNUMBER(SEARCH(INDIRECT(ADDRESS(ROW(AJ132),MOD(AJ$1,4)+1)),AJ$2)),$E132,"")</f>
        <v>128</v>
      </c>
      <c r="AK132" s="26" t="str" cm="1">
        <f t="array" aca="1" ref="AK132" ca="1">IF(ISNUMBER(SEARCH(INDIRECT(ADDRESS(ROW(AK132),MOD(AK$1,4)+1)),AK$2)),$E132,"")</f>
        <v/>
      </c>
      <c r="AL132" s="26" t="str" cm="1">
        <f t="array" aca="1" ref="AL132" ca="1">IF(ISNUMBER(SEARCH(INDIRECT(ADDRESS(ROW(AL132),MOD(AL$1,4)+1)),AL$2)),$E132,"")</f>
        <v/>
      </c>
      <c r="AM132" s="26" t="str" cm="1">
        <f t="array" aca="1" ref="AM132" ca="1">IF(ISNUMBER(SEARCH(INDIRECT(ADDRESS(ROW(AM132),MOD(AM$1,4)+1)),AM$2)),$E132,"")</f>
        <v/>
      </c>
      <c r="AN132" s="26" t="str" cm="1">
        <f t="array" aca="1" ref="AN132" ca="1">IF(ISNUMBER(SEARCH(INDIRECT(ADDRESS(ROW(AN132),MOD(AN$1,4)+1)),AN$2)),$E132,"")</f>
        <v/>
      </c>
      <c r="AO132" s="26" t="str" cm="1">
        <f t="array" aca="1" ref="AO132" ca="1">IF(ISNUMBER(SEARCH(INDIRECT(ADDRESS(ROW(AO132),MOD(AO$1,4)+1)),AO$2)),$E132,"")</f>
        <v/>
      </c>
      <c r="AP132" s="26" t="str" cm="1">
        <f t="array" aca="1" ref="AP132" ca="1">IF(ISNUMBER(SEARCH(INDIRECT(ADDRESS(ROW(AP132),MOD(AP$1,4)+1)),AP$2)),$E132,"")</f>
        <v/>
      </c>
      <c r="AQ132" s="31" t="str" cm="1">
        <f t="array" aca="1" ref="AQ132" ca="1">IF(ISNUMBER(SEARCH(INDIRECT(ADDRESS(ROW(AQ132),MOD(AQ$1,4)+1)),AQ$2)),$E132,"")</f>
        <v/>
      </c>
      <c r="AT132" t="e">
        <f>IF(VLOOKUP($E132,'Formatted NEW'!$B$2:$F$202,5,FALSE)=VLOOKUP($E132,'Formatted NEW'!$B$2:$F$202,8,FALSE),$E132,"")</f>
        <v>#N/A</v>
      </c>
      <c r="AW132" t="e">
        <f>IF(VLOOKUP($E132,'Formatted NEW'!$B$2:$F$202,5,FALSE)=VLOOKUP($E132,'Formatted NEW'!$B$2:$F$202,11,FALSE),$E132,"")</f>
        <v>#N/A</v>
      </c>
      <c r="AZ132" t="e">
        <f>IF(VLOOKUP($E132,'Formatted NEW'!$B$2:$F$202,5,FALSE)=VLOOKUP($E132,'Formatted NEW'!$B$2:$F$202,14,FALSE),$E132,"")</f>
        <v>#N/A</v>
      </c>
      <c r="BC132" t="str">
        <f>VLOOKUP($E132,'Formatted NEW'!$M$2:$T$202,6,FALSE)</f>
        <v>EMPTY</v>
      </c>
      <c r="BD132" s="26" t="e">
        <f>VLOOKUP(VLOOKUP(VLOOKUP($E132,'Formatted NEW'!$M$2:$O$202,2,FALSE),'Formatted NEW'!$D$2:$F$202,7,FALSE),'Formatted NEW'!$D$2:$O$202,12,FALSE)</f>
        <v>#REF!</v>
      </c>
      <c r="BE132" t="e">
        <f>VLOOKUP($BD132,'Formatted NEW'!$M$2:$T$202,5,FALSE)</f>
        <v>#REF!</v>
      </c>
      <c r="BF132" s="26" t="e">
        <f t="shared" si="5"/>
        <v>#REF!</v>
      </c>
      <c r="BH132">
        <f>VLOOKUP($E132,'Formatted NEW'!$M$2:$T$202,4,FALSE)</f>
        <v>0</v>
      </c>
      <c r="BI132" s="26" t="e">
        <f>VLOOKUP(VLOOKUP(VLOOKUP($E132,'Formatted NEW'!$M$2:$O$202,2,FALSE),'Formatted NEW'!$D$2:$F$202,10,FALSE),'Formatted NEW'!$D$2:$O$202,12,FALSE)</f>
        <v>#REF!</v>
      </c>
      <c r="BJ132" t="e">
        <f>VLOOKUP($BI132,'Formatted NEW'!$M$2:$T$202,3,FALSE)</f>
        <v>#REF!</v>
      </c>
      <c r="BK132" s="26" t="e">
        <f t="shared" si="6"/>
        <v>#REF!</v>
      </c>
    </row>
    <row r="133" spans="1:63" x14ac:dyDescent="0.25">
      <c r="A133" t="str">
        <f>'Formatted NEW'!Q131</f>
        <v>ORTHO_RIGHT</v>
      </c>
      <c r="B133" t="str">
        <f>'Formatted NEW'!R131</f>
        <v>EMPTY</v>
      </c>
      <c r="C133" t="str">
        <f>'Formatted NEW'!S131</f>
        <v>EMPTY</v>
      </c>
      <c r="D133" t="str">
        <f>'Formatted NEW'!T131</f>
        <v>ORTHO_UP</v>
      </c>
      <c r="E133" s="26">
        <f t="shared" si="8"/>
        <v>129</v>
      </c>
      <c r="H133" s="30" t="str" cm="1">
        <f t="array" aca="1" ref="H133" ca="1">IF(ISNUMBER(SEARCH(INDIRECT(ADDRESS(ROW(H133),MOD(H$1,4)+1)),H$2)),$E133,"")</f>
        <v/>
      </c>
      <c r="I133" s="26" t="str" cm="1">
        <f t="array" aca="1" ref="I133" ca="1">IF(ISNUMBER(SEARCH(INDIRECT(ADDRESS(ROW(I133),MOD(I$1,4)+1)),I$2)),$E133,"")</f>
        <v/>
      </c>
      <c r="J133" s="26" t="str" cm="1">
        <f t="array" aca="1" ref="J133" ca="1">IF(ISNUMBER(SEARCH(INDIRECT(ADDRESS(ROW(J133),MOD(J$1,4)+1)),J$2)),$E133,"")</f>
        <v/>
      </c>
      <c r="K133" s="26" t="str" cm="1">
        <f t="array" aca="1" ref="K133" ca="1">IF(ISNUMBER(SEARCH(INDIRECT(ADDRESS(ROW(K133),MOD(K$1,4)+1)),K$2)),$E133,"")</f>
        <v/>
      </c>
      <c r="L133" s="26" t="str" cm="1">
        <f t="array" aca="1" ref="L133" ca="1">IF(ISNUMBER(SEARCH(INDIRECT(ADDRESS(ROW(L133),MOD(L$1,4)+1)),L$2)),$E133,"")</f>
        <v/>
      </c>
      <c r="M133" s="26" t="str" cm="1">
        <f t="array" aca="1" ref="M133" ca="1">IF(ISNUMBER(SEARCH(INDIRECT(ADDRESS(ROW(M133),MOD(M$1,4)+1)),M$2)),$E133,"")</f>
        <v/>
      </c>
      <c r="N133" s="26" t="str" cm="1">
        <f t="array" aca="1" ref="N133" ca="1">IF(ISNUMBER(SEARCH(INDIRECT(ADDRESS(ROW(N133),MOD(N$1,4)+1)),N$2)),$E133,"")</f>
        <v/>
      </c>
      <c r="O133" s="26" t="str" cm="1">
        <f t="array" aca="1" ref="O133" ca="1">IF(ISNUMBER(SEARCH(INDIRECT(ADDRESS(ROW(O133),MOD(O$1,4)+1)),O$2)),$E133,"")</f>
        <v/>
      </c>
      <c r="P133" s="26" t="str" cm="1">
        <f t="array" aca="1" ref="P133" ca="1">IF(ISNUMBER(SEARCH(INDIRECT(ADDRESS(ROW(P133),MOD(P$1,4)+1)),P$2)),$E133,"")</f>
        <v/>
      </c>
      <c r="Q133" s="26" t="str" cm="1">
        <f t="array" aca="1" ref="Q133" ca="1">IF(ISNUMBER(SEARCH(INDIRECT(ADDRESS(ROW(Q133),MOD(Q$1,4)+1)),Q$2)),$E133,"")</f>
        <v/>
      </c>
      <c r="R133" s="26" t="str" cm="1">
        <f t="array" aca="1" ref="R133" ca="1">IF(ISNUMBER(SEARCH(INDIRECT(ADDRESS(ROW(R133),MOD(R$1,4)+1)),R$2)),$E133,"")</f>
        <v/>
      </c>
      <c r="S133" s="26" t="str" cm="1">
        <f t="array" aca="1" ref="S133" ca="1">IF(ISNUMBER(SEARCH(INDIRECT(ADDRESS(ROW(S133),MOD(S$1,4)+1)),S$2)),$E133,"")</f>
        <v/>
      </c>
      <c r="T133" s="26" t="str" cm="1">
        <f t="array" aca="1" ref="T133" ca="1">IF(ISNUMBER(SEARCH(INDIRECT(ADDRESS(ROW(T133),MOD(T$1,4)+1)),T$2)),$E133,"")</f>
        <v/>
      </c>
      <c r="U133" s="26" t="str" cm="1">
        <f t="array" aca="1" ref="U133" ca="1">IF(ISNUMBER(SEARCH(INDIRECT(ADDRESS(ROW(U133),MOD(U$1,4)+1)),U$2)),$E133,"")</f>
        <v/>
      </c>
      <c r="V133" s="26" t="str" cm="1">
        <f t="array" aca="1" ref="V133" ca="1">IF(ISNUMBER(SEARCH(INDIRECT(ADDRESS(ROW(V133),MOD(V$1,4)+1)),V$2)),$E133,"")</f>
        <v/>
      </c>
      <c r="W133" s="26" t="str" cm="1">
        <f t="array" aca="1" ref="W133" ca="1">IF(ISNUMBER(SEARCH(INDIRECT(ADDRESS(ROW(W133),MOD(W$1,4)+1)),W$2)),$E133,"")</f>
        <v/>
      </c>
      <c r="X133" s="26" t="str" cm="1">
        <f t="array" aca="1" ref="X133" ca="1">IF(ISNUMBER(SEARCH(INDIRECT(ADDRESS(ROW(X133),MOD(X$1,4)+1)),X$2)),$E133,"")</f>
        <v/>
      </c>
      <c r="Y133" s="26" t="str" cm="1">
        <f t="array" aca="1" ref="Y133" ca="1">IF(ISNUMBER(SEARCH(INDIRECT(ADDRESS(ROW(Y133),MOD(Y$1,4)+1)),Y$2)),$E133,"")</f>
        <v/>
      </c>
      <c r="Z133" s="26" t="str" cm="1">
        <f t="array" aca="1" ref="Z133" ca="1">IF(ISNUMBER(SEARCH(INDIRECT(ADDRESS(ROW(Z133),MOD(Z$1,4)+1)),Z$2)),$E133,"")</f>
        <v/>
      </c>
      <c r="AA133" s="26" t="str" cm="1">
        <f t="array" aca="1" ref="AA133" ca="1">IF(ISNUMBER(SEARCH(INDIRECT(ADDRESS(ROW(AA133),MOD(AA$1,4)+1)),AA$2)),$E133,"")</f>
        <v/>
      </c>
      <c r="AB133" s="26" t="str" cm="1">
        <f t="array" aca="1" ref="AB133" ca="1">IF(ISNUMBER(SEARCH(INDIRECT(ADDRESS(ROW(AB133),MOD(AB$1,4)+1)),AB$2)),$E133,"")</f>
        <v/>
      </c>
      <c r="AC133" s="26" t="str" cm="1">
        <f t="array" aca="1" ref="AC133" ca="1">IF(ISNUMBER(SEARCH(INDIRECT(ADDRESS(ROW(AC133),MOD(AC$1,4)+1)),AC$2)),$E133,"")</f>
        <v/>
      </c>
      <c r="AD133" s="26" t="str" cm="1">
        <f t="array" aca="1" ref="AD133" ca="1">IF(ISNUMBER(SEARCH(INDIRECT(ADDRESS(ROW(AD133),MOD(AD$1,4)+1)),AD$2)),$E133,"")</f>
        <v/>
      </c>
      <c r="AE133" s="26" t="str" cm="1">
        <f t="array" aca="1" ref="AE133" ca="1">IF(ISNUMBER(SEARCH(INDIRECT(ADDRESS(ROW(AE133),MOD(AE$1,4)+1)),AE$2)),$E133,"")</f>
        <v/>
      </c>
      <c r="AF133" s="26" t="str" cm="1">
        <f t="array" aca="1" ref="AF133" ca="1">IF(ISNUMBER(SEARCH(INDIRECT(ADDRESS(ROW(AF133),MOD(AF$1,4)+1)),AF$2)),$E133,"")</f>
        <v/>
      </c>
      <c r="AG133" s="26" t="str" cm="1">
        <f t="array" aca="1" ref="AG133" ca="1">IF(ISNUMBER(SEARCH(INDIRECT(ADDRESS(ROW(AG133),MOD(AG$1,4)+1)),AG$2)),$E133,"")</f>
        <v/>
      </c>
      <c r="AH133" s="26" t="str" cm="1">
        <f t="array" aca="1" ref="AH133" ca="1">IF(ISNUMBER(SEARCH(INDIRECT(ADDRESS(ROW(AH133),MOD(AH$1,4)+1)),AH$2)),$E133,"")</f>
        <v/>
      </c>
      <c r="AI133" s="26" t="str" cm="1">
        <f t="array" aca="1" ref="AI133" ca="1">IF(ISNUMBER(SEARCH(INDIRECT(ADDRESS(ROW(AI133),MOD(AI$1,4)+1)),AI$2)),$E133,"")</f>
        <v/>
      </c>
      <c r="AJ133" s="26" t="str" cm="1">
        <f t="array" aca="1" ref="AJ133" ca="1">IF(ISNUMBER(SEARCH(INDIRECT(ADDRESS(ROW(AJ133),MOD(AJ$1,4)+1)),AJ$2)),$E133,"")</f>
        <v/>
      </c>
      <c r="AK133" s="26" t="str" cm="1">
        <f t="array" aca="1" ref="AK133" ca="1">IF(ISNUMBER(SEARCH(INDIRECT(ADDRESS(ROW(AK133),MOD(AK$1,4)+1)),AK$2)),$E133,"")</f>
        <v/>
      </c>
      <c r="AL133" s="26" t="str" cm="1">
        <f t="array" aca="1" ref="AL133" ca="1">IF(ISNUMBER(SEARCH(INDIRECT(ADDRESS(ROW(AL133),MOD(AL$1,4)+1)),AL$2)),$E133,"")</f>
        <v/>
      </c>
      <c r="AM133" s="26" t="str" cm="1">
        <f t="array" aca="1" ref="AM133" ca="1">IF(ISNUMBER(SEARCH(INDIRECT(ADDRESS(ROW(AM133),MOD(AM$1,4)+1)),AM$2)),$E133,"")</f>
        <v/>
      </c>
      <c r="AN133" s="26" cm="1">
        <f t="array" aca="1" ref="AN133" ca="1">IF(ISNUMBER(SEARCH(INDIRECT(ADDRESS(ROW(AN133),MOD(AN$1,4)+1)),AN$2)),$E133,"")</f>
        <v>129</v>
      </c>
      <c r="AO133" s="26" t="str" cm="1">
        <f t="array" aca="1" ref="AO133" ca="1">IF(ISNUMBER(SEARCH(INDIRECT(ADDRESS(ROW(AO133),MOD(AO$1,4)+1)),AO$2)),$E133,"")</f>
        <v/>
      </c>
      <c r="AP133" s="26" t="str" cm="1">
        <f t="array" aca="1" ref="AP133" ca="1">IF(ISNUMBER(SEARCH(INDIRECT(ADDRESS(ROW(AP133),MOD(AP$1,4)+1)),AP$2)),$E133,"")</f>
        <v/>
      </c>
      <c r="AQ133" s="31" t="str" cm="1">
        <f t="array" aca="1" ref="AQ133" ca="1">IF(ISNUMBER(SEARCH(INDIRECT(ADDRESS(ROW(AQ133),MOD(AQ$1,4)+1)),AQ$2)),$E133,"")</f>
        <v/>
      </c>
      <c r="AT133" t="e">
        <f>IF(VLOOKUP($E133,'Formatted NEW'!$B$2:$F$202,5,FALSE)=VLOOKUP($E133,'Formatted NEW'!$B$2:$F$202,8,FALSE),$E133,"")</f>
        <v>#N/A</v>
      </c>
      <c r="AW133" t="e">
        <f>IF(VLOOKUP($E133,'Formatted NEW'!$B$2:$F$202,5,FALSE)=VLOOKUP($E133,'Formatted NEW'!$B$2:$F$202,11,FALSE),$E133,"")</f>
        <v>#N/A</v>
      </c>
      <c r="AZ133" t="e">
        <f>IF(VLOOKUP($E133,'Formatted NEW'!$B$2:$F$202,5,FALSE)=VLOOKUP($E133,'Formatted NEW'!$B$2:$F$202,14,FALSE),$E133,"")</f>
        <v>#N/A</v>
      </c>
      <c r="BC133" t="str">
        <f>VLOOKUP($E133,'Formatted NEW'!$M$2:$T$202,6,FALSE)</f>
        <v>EMPTY</v>
      </c>
      <c r="BD133" s="26" t="e">
        <f>VLOOKUP(VLOOKUP(VLOOKUP($E133,'Formatted NEW'!$M$2:$O$202,2,FALSE),'Formatted NEW'!$D$2:$F$202,7,FALSE),'Formatted NEW'!$D$2:$O$202,12,FALSE)</f>
        <v>#REF!</v>
      </c>
      <c r="BE133" t="e">
        <f>VLOOKUP($BD133,'Formatted NEW'!$M$2:$T$202,5,FALSE)</f>
        <v>#REF!</v>
      </c>
      <c r="BF133" s="26" t="e">
        <f t="shared" ref="BF133:BF193" si="9">IF(BC133=BE133,$E133,"")</f>
        <v>#REF!</v>
      </c>
      <c r="BH133">
        <f>VLOOKUP($E133,'Formatted NEW'!$M$2:$T$202,4,FALSE)</f>
        <v>0</v>
      </c>
      <c r="BI133" s="26" t="e">
        <f>VLOOKUP(VLOOKUP(VLOOKUP($E133,'Formatted NEW'!$M$2:$O$202,2,FALSE),'Formatted NEW'!$D$2:$F$202,10,FALSE),'Formatted NEW'!$D$2:$O$202,12,FALSE)</f>
        <v>#REF!</v>
      </c>
      <c r="BJ133" t="e">
        <f>VLOOKUP($BI133,'Formatted NEW'!$M$2:$T$202,3,FALSE)</f>
        <v>#REF!</v>
      </c>
      <c r="BK133" s="26" t="e">
        <f t="shared" ref="BK133:BK193" si="10">IF(BH133=BJ133,$E133,"")</f>
        <v>#REF!</v>
      </c>
    </row>
    <row r="134" spans="1:63" x14ac:dyDescent="0.25">
      <c r="A134" t="str">
        <f>'Formatted NEW'!Q132</f>
        <v>EMPTY</v>
      </c>
      <c r="B134" t="str">
        <f>'Formatted NEW'!R132</f>
        <v>ORTHO_RIGHT</v>
      </c>
      <c r="C134" t="str">
        <f>'Formatted NEW'!S132</f>
        <v>EMPTY</v>
      </c>
      <c r="D134" t="str">
        <f>'Formatted NEW'!T132</f>
        <v>ORTHO_DOWN</v>
      </c>
      <c r="E134" s="26">
        <f t="shared" si="8"/>
        <v>130</v>
      </c>
      <c r="H134" s="30" t="str" cm="1">
        <f t="array" aca="1" ref="H134" ca="1">IF(ISNUMBER(SEARCH(INDIRECT(ADDRESS(ROW(H134),MOD(H$1,4)+1)),H$2)),$E134,"")</f>
        <v/>
      </c>
      <c r="I134" s="26" t="str" cm="1">
        <f t="array" aca="1" ref="I134" ca="1">IF(ISNUMBER(SEARCH(INDIRECT(ADDRESS(ROW(I134),MOD(I$1,4)+1)),I$2)),$E134,"")</f>
        <v/>
      </c>
      <c r="J134" s="26" t="str" cm="1">
        <f t="array" aca="1" ref="J134" ca="1">IF(ISNUMBER(SEARCH(INDIRECT(ADDRESS(ROW(J134),MOD(J$1,4)+1)),J$2)),$E134,"")</f>
        <v/>
      </c>
      <c r="K134" s="26" t="str" cm="1">
        <f t="array" aca="1" ref="K134" ca="1">IF(ISNUMBER(SEARCH(INDIRECT(ADDRESS(ROW(K134),MOD(K$1,4)+1)),K$2)),$E134,"")</f>
        <v/>
      </c>
      <c r="L134" s="26" t="str" cm="1">
        <f t="array" aca="1" ref="L134" ca="1">IF(ISNUMBER(SEARCH(INDIRECT(ADDRESS(ROW(L134),MOD(L$1,4)+1)),L$2)),$E134,"")</f>
        <v/>
      </c>
      <c r="M134" s="26" t="str" cm="1">
        <f t="array" aca="1" ref="M134" ca="1">IF(ISNUMBER(SEARCH(INDIRECT(ADDRESS(ROW(M134),MOD(M$1,4)+1)),M$2)),$E134,"")</f>
        <v/>
      </c>
      <c r="N134" s="26" t="str" cm="1">
        <f t="array" aca="1" ref="N134" ca="1">IF(ISNUMBER(SEARCH(INDIRECT(ADDRESS(ROW(N134),MOD(N$1,4)+1)),N$2)),$E134,"")</f>
        <v/>
      </c>
      <c r="O134" s="26" t="str" cm="1">
        <f t="array" aca="1" ref="O134" ca="1">IF(ISNUMBER(SEARCH(INDIRECT(ADDRESS(ROW(O134),MOD(O$1,4)+1)),O$2)),$E134,"")</f>
        <v/>
      </c>
      <c r="P134" s="26" t="str" cm="1">
        <f t="array" aca="1" ref="P134" ca="1">IF(ISNUMBER(SEARCH(INDIRECT(ADDRESS(ROW(P134),MOD(P$1,4)+1)),P$2)),$E134,"")</f>
        <v/>
      </c>
      <c r="Q134" s="26" t="str" cm="1">
        <f t="array" aca="1" ref="Q134" ca="1">IF(ISNUMBER(SEARCH(INDIRECT(ADDRESS(ROW(Q134),MOD(Q$1,4)+1)),Q$2)),$E134,"")</f>
        <v/>
      </c>
      <c r="R134" s="26" t="str" cm="1">
        <f t="array" aca="1" ref="R134" ca="1">IF(ISNUMBER(SEARCH(INDIRECT(ADDRESS(ROW(R134),MOD(R$1,4)+1)),R$2)),$E134,"")</f>
        <v/>
      </c>
      <c r="S134" s="26" t="str" cm="1">
        <f t="array" aca="1" ref="S134" ca="1">IF(ISNUMBER(SEARCH(INDIRECT(ADDRESS(ROW(S134),MOD(S$1,4)+1)),S$2)),$E134,"")</f>
        <v/>
      </c>
      <c r="T134" s="26" t="str" cm="1">
        <f t="array" aca="1" ref="T134" ca="1">IF(ISNUMBER(SEARCH(INDIRECT(ADDRESS(ROW(T134),MOD(T$1,4)+1)),T$2)),$E134,"")</f>
        <v/>
      </c>
      <c r="U134" s="26" t="str" cm="1">
        <f t="array" aca="1" ref="U134" ca="1">IF(ISNUMBER(SEARCH(INDIRECT(ADDRESS(ROW(U134),MOD(U$1,4)+1)),U$2)),$E134,"")</f>
        <v/>
      </c>
      <c r="V134" s="26" t="str" cm="1">
        <f t="array" aca="1" ref="V134" ca="1">IF(ISNUMBER(SEARCH(INDIRECT(ADDRESS(ROW(V134),MOD(V$1,4)+1)),V$2)),$E134,"")</f>
        <v/>
      </c>
      <c r="W134" s="26" t="str" cm="1">
        <f t="array" aca="1" ref="W134" ca="1">IF(ISNUMBER(SEARCH(INDIRECT(ADDRESS(ROW(W134),MOD(W$1,4)+1)),W$2)),$E134,"")</f>
        <v/>
      </c>
      <c r="X134" s="26" t="str" cm="1">
        <f t="array" aca="1" ref="X134" ca="1">IF(ISNUMBER(SEARCH(INDIRECT(ADDRESS(ROW(X134),MOD(X$1,4)+1)),X$2)),$E134,"")</f>
        <v/>
      </c>
      <c r="Y134" s="26" t="str" cm="1">
        <f t="array" aca="1" ref="Y134" ca="1">IF(ISNUMBER(SEARCH(INDIRECT(ADDRESS(ROW(Y134),MOD(Y$1,4)+1)),Y$2)),$E134,"")</f>
        <v/>
      </c>
      <c r="Z134" s="26" t="str" cm="1">
        <f t="array" aca="1" ref="Z134" ca="1">IF(ISNUMBER(SEARCH(INDIRECT(ADDRESS(ROW(Z134),MOD(Z$1,4)+1)),Z$2)),$E134,"")</f>
        <v/>
      </c>
      <c r="AA134" s="26" t="str" cm="1">
        <f t="array" aca="1" ref="AA134" ca="1">IF(ISNUMBER(SEARCH(INDIRECT(ADDRESS(ROW(AA134),MOD(AA$1,4)+1)),AA$2)),$E134,"")</f>
        <v/>
      </c>
      <c r="AB134" s="26" t="str" cm="1">
        <f t="array" aca="1" ref="AB134" ca="1">IF(ISNUMBER(SEARCH(INDIRECT(ADDRESS(ROW(AB134),MOD(AB$1,4)+1)),AB$2)),$E134,"")</f>
        <v/>
      </c>
      <c r="AC134" s="26" t="str" cm="1">
        <f t="array" aca="1" ref="AC134" ca="1">IF(ISNUMBER(SEARCH(INDIRECT(ADDRESS(ROW(AC134),MOD(AC$1,4)+1)),AC$2)),$E134,"")</f>
        <v/>
      </c>
      <c r="AD134" s="26" t="str" cm="1">
        <f t="array" aca="1" ref="AD134" ca="1">IF(ISNUMBER(SEARCH(INDIRECT(ADDRESS(ROW(AD134),MOD(AD$1,4)+1)),AD$2)),$E134,"")</f>
        <v/>
      </c>
      <c r="AE134" s="26" t="str" cm="1">
        <f t="array" aca="1" ref="AE134" ca="1">IF(ISNUMBER(SEARCH(INDIRECT(ADDRESS(ROW(AE134),MOD(AE$1,4)+1)),AE$2)),$E134,"")</f>
        <v/>
      </c>
      <c r="AF134" s="26" t="str" cm="1">
        <f t="array" aca="1" ref="AF134" ca="1">IF(ISNUMBER(SEARCH(INDIRECT(ADDRESS(ROW(AF134),MOD(AF$1,4)+1)),AF$2)),$E134,"")</f>
        <v/>
      </c>
      <c r="AG134" s="26" t="str" cm="1">
        <f t="array" aca="1" ref="AG134" ca="1">IF(ISNUMBER(SEARCH(INDIRECT(ADDRESS(ROW(AG134),MOD(AG$1,4)+1)),AG$2)),$E134,"")</f>
        <v/>
      </c>
      <c r="AH134" s="26" t="str" cm="1">
        <f t="array" aca="1" ref="AH134" ca="1">IF(ISNUMBER(SEARCH(INDIRECT(ADDRESS(ROW(AH134),MOD(AH$1,4)+1)),AH$2)),$E134,"")</f>
        <v/>
      </c>
      <c r="AI134" s="26" t="str" cm="1">
        <f t="array" aca="1" ref="AI134" ca="1">IF(ISNUMBER(SEARCH(INDIRECT(ADDRESS(ROW(AI134),MOD(AI$1,4)+1)),AI$2)),$E134,"")</f>
        <v/>
      </c>
      <c r="AJ134" s="26" t="str" cm="1">
        <f t="array" aca="1" ref="AJ134" ca="1">IF(ISNUMBER(SEARCH(INDIRECT(ADDRESS(ROW(AJ134),MOD(AJ$1,4)+1)),AJ$2)),$E134,"")</f>
        <v/>
      </c>
      <c r="AK134" s="26" t="str" cm="1">
        <f t="array" aca="1" ref="AK134" ca="1">IF(ISNUMBER(SEARCH(INDIRECT(ADDRESS(ROW(AK134),MOD(AK$1,4)+1)),AK$2)),$E134,"")</f>
        <v/>
      </c>
      <c r="AL134" s="26" t="str" cm="1">
        <f t="array" aca="1" ref="AL134" ca="1">IF(ISNUMBER(SEARCH(INDIRECT(ADDRESS(ROW(AL134),MOD(AL$1,4)+1)),AL$2)),$E134,"")</f>
        <v/>
      </c>
      <c r="AM134" s="26" t="str" cm="1">
        <f t="array" aca="1" ref="AM134" ca="1">IF(ISNUMBER(SEARCH(INDIRECT(ADDRESS(ROW(AM134),MOD(AM$1,4)+1)),AM$2)),$E134,"")</f>
        <v/>
      </c>
      <c r="AN134" s="26" t="str" cm="1">
        <f t="array" aca="1" ref="AN134" ca="1">IF(ISNUMBER(SEARCH(INDIRECT(ADDRESS(ROW(AN134),MOD(AN$1,4)+1)),AN$2)),$E134,"")</f>
        <v/>
      </c>
      <c r="AO134" s="26" cm="1">
        <f t="array" aca="1" ref="AO134" ca="1">IF(ISNUMBER(SEARCH(INDIRECT(ADDRESS(ROW(AO134),MOD(AO$1,4)+1)),AO$2)),$E134,"")</f>
        <v>130</v>
      </c>
      <c r="AP134" s="26" t="str" cm="1">
        <f t="array" aca="1" ref="AP134" ca="1">IF(ISNUMBER(SEARCH(INDIRECT(ADDRESS(ROW(AP134),MOD(AP$1,4)+1)),AP$2)),$E134,"")</f>
        <v/>
      </c>
      <c r="AQ134" s="31" t="str" cm="1">
        <f t="array" aca="1" ref="AQ134" ca="1">IF(ISNUMBER(SEARCH(INDIRECT(ADDRESS(ROW(AQ134),MOD(AQ$1,4)+1)),AQ$2)),$E134,"")</f>
        <v/>
      </c>
      <c r="AT134" t="e">
        <f>IF(VLOOKUP($E134,'Formatted NEW'!$B$2:$F$202,5,FALSE)=VLOOKUP($E134,'Formatted NEW'!$B$2:$F$202,8,FALSE),$E134,"")</f>
        <v>#N/A</v>
      </c>
      <c r="AW134" t="e">
        <f>IF(VLOOKUP($E134,'Formatted NEW'!$B$2:$F$202,5,FALSE)=VLOOKUP($E134,'Formatted NEW'!$B$2:$F$202,11,FALSE),$E134,"")</f>
        <v>#N/A</v>
      </c>
      <c r="AZ134" t="e">
        <f>IF(VLOOKUP($E134,'Formatted NEW'!$B$2:$F$202,5,FALSE)=VLOOKUP($E134,'Formatted NEW'!$B$2:$F$202,14,FALSE),$E134,"")</f>
        <v>#N/A</v>
      </c>
      <c r="BC134" t="str">
        <f>VLOOKUP($E134,'Formatted NEW'!$M$2:$T$202,6,FALSE)</f>
        <v>ORTHO_RIGHT</v>
      </c>
      <c r="BD134" s="26" t="e">
        <f>VLOOKUP(VLOOKUP(VLOOKUP($E134,'Formatted NEW'!$M$2:$O$202,2,FALSE),'Formatted NEW'!$D$2:$F$202,7,FALSE),'Formatted NEW'!$D$2:$O$202,12,FALSE)</f>
        <v>#REF!</v>
      </c>
      <c r="BE134" t="e">
        <f>VLOOKUP($BD134,'Formatted NEW'!$M$2:$T$202,5,FALSE)</f>
        <v>#REF!</v>
      </c>
      <c r="BF134" s="26" t="e">
        <f t="shared" si="9"/>
        <v>#REF!</v>
      </c>
      <c r="BH134">
        <f>VLOOKUP($E134,'Formatted NEW'!$M$2:$T$202,4,FALSE)</f>
        <v>0</v>
      </c>
      <c r="BI134" s="26" t="e">
        <f>VLOOKUP(VLOOKUP(VLOOKUP($E134,'Formatted NEW'!$M$2:$O$202,2,FALSE),'Formatted NEW'!$D$2:$F$202,10,FALSE),'Formatted NEW'!$D$2:$O$202,12,FALSE)</f>
        <v>#REF!</v>
      </c>
      <c r="BJ134" t="e">
        <f>VLOOKUP($BI134,'Formatted NEW'!$M$2:$T$202,3,FALSE)</f>
        <v>#REF!</v>
      </c>
      <c r="BK134" s="26" t="e">
        <f t="shared" si="10"/>
        <v>#REF!</v>
      </c>
    </row>
    <row r="135" spans="1:63" x14ac:dyDescent="0.25">
      <c r="A135" t="str">
        <f>'Formatted NEW'!Q133</f>
        <v>ORTHO_BOTH</v>
      </c>
      <c r="B135" t="str">
        <f>'Formatted NEW'!R133</f>
        <v>EMPTY</v>
      </c>
      <c r="C135" t="str">
        <f>'Formatted NEW'!S133</f>
        <v>EMPTY</v>
      </c>
      <c r="D135" t="str">
        <f>'Formatted NEW'!T133</f>
        <v>EMPTY</v>
      </c>
      <c r="E135" s="26">
        <f t="shared" si="8"/>
        <v>131</v>
      </c>
      <c r="H135" s="30" t="str" cm="1">
        <f t="array" aca="1" ref="H135" ca="1">IF(ISNUMBER(SEARCH(INDIRECT(ADDRESS(ROW(H135),MOD(H$1,4)+1)),H$2)),$E135,"")</f>
        <v/>
      </c>
      <c r="I135" s="26" t="str" cm="1">
        <f t="array" aca="1" ref="I135" ca="1">IF(ISNUMBER(SEARCH(INDIRECT(ADDRESS(ROW(I135),MOD(I$1,4)+1)),I$2)),$E135,"")</f>
        <v/>
      </c>
      <c r="J135" s="26" t="str" cm="1">
        <f t="array" aca="1" ref="J135" ca="1">IF(ISNUMBER(SEARCH(INDIRECT(ADDRESS(ROW(J135),MOD(J$1,4)+1)),J$2)),$E135,"")</f>
        <v/>
      </c>
      <c r="K135" s="26" t="str" cm="1">
        <f t="array" aca="1" ref="K135" ca="1">IF(ISNUMBER(SEARCH(INDIRECT(ADDRESS(ROW(K135),MOD(K$1,4)+1)),K$2)),$E135,"")</f>
        <v/>
      </c>
      <c r="L135" s="26" t="str" cm="1">
        <f t="array" aca="1" ref="L135" ca="1">IF(ISNUMBER(SEARCH(INDIRECT(ADDRESS(ROW(L135),MOD(L$1,4)+1)),L$2)),$E135,"")</f>
        <v/>
      </c>
      <c r="M135" s="26" t="str" cm="1">
        <f t="array" aca="1" ref="M135" ca="1">IF(ISNUMBER(SEARCH(INDIRECT(ADDRESS(ROW(M135),MOD(M$1,4)+1)),M$2)),$E135,"")</f>
        <v/>
      </c>
      <c r="N135" s="26" t="str" cm="1">
        <f t="array" aca="1" ref="N135" ca="1">IF(ISNUMBER(SEARCH(INDIRECT(ADDRESS(ROW(N135),MOD(N$1,4)+1)),N$2)),$E135,"")</f>
        <v/>
      </c>
      <c r="O135" s="26" t="str" cm="1">
        <f t="array" aca="1" ref="O135" ca="1">IF(ISNUMBER(SEARCH(INDIRECT(ADDRESS(ROW(O135),MOD(O$1,4)+1)),O$2)),$E135,"")</f>
        <v/>
      </c>
      <c r="P135" s="26" cm="1">
        <f t="array" aca="1" ref="P135" ca="1">IF(ISNUMBER(SEARCH(INDIRECT(ADDRESS(ROW(P135),MOD(P$1,4)+1)),P$2)),$E135,"")</f>
        <v>131</v>
      </c>
      <c r="Q135" s="26" t="str" cm="1">
        <f t="array" aca="1" ref="Q135" ca="1">IF(ISNUMBER(SEARCH(INDIRECT(ADDRESS(ROW(Q135),MOD(Q$1,4)+1)),Q$2)),$E135,"")</f>
        <v/>
      </c>
      <c r="R135" s="26" t="str" cm="1">
        <f t="array" aca="1" ref="R135" ca="1">IF(ISNUMBER(SEARCH(INDIRECT(ADDRESS(ROW(R135),MOD(R$1,4)+1)),R$2)),$E135,"")</f>
        <v/>
      </c>
      <c r="S135" s="26" t="str" cm="1">
        <f t="array" aca="1" ref="S135" ca="1">IF(ISNUMBER(SEARCH(INDIRECT(ADDRESS(ROW(S135),MOD(S$1,4)+1)),S$2)),$E135,"")</f>
        <v/>
      </c>
      <c r="T135" s="26" t="str" cm="1">
        <f t="array" aca="1" ref="T135" ca="1">IF(ISNUMBER(SEARCH(INDIRECT(ADDRESS(ROW(T135),MOD(T$1,4)+1)),T$2)),$E135,"")</f>
        <v/>
      </c>
      <c r="U135" s="26" t="str" cm="1">
        <f t="array" aca="1" ref="U135" ca="1">IF(ISNUMBER(SEARCH(INDIRECT(ADDRESS(ROW(U135),MOD(U$1,4)+1)),U$2)),$E135,"")</f>
        <v/>
      </c>
      <c r="V135" s="26" t="str" cm="1">
        <f t="array" aca="1" ref="V135" ca="1">IF(ISNUMBER(SEARCH(INDIRECT(ADDRESS(ROW(V135),MOD(V$1,4)+1)),V$2)),$E135,"")</f>
        <v/>
      </c>
      <c r="W135" s="26" t="str" cm="1">
        <f t="array" aca="1" ref="W135" ca="1">IF(ISNUMBER(SEARCH(INDIRECT(ADDRESS(ROW(W135),MOD(W$1,4)+1)),W$2)),$E135,"")</f>
        <v/>
      </c>
      <c r="X135" s="26" t="str" cm="1">
        <f t="array" aca="1" ref="X135" ca="1">IF(ISNUMBER(SEARCH(INDIRECT(ADDRESS(ROW(X135),MOD(X$1,4)+1)),X$2)),$E135,"")</f>
        <v/>
      </c>
      <c r="Y135" s="26" t="str" cm="1">
        <f t="array" aca="1" ref="Y135" ca="1">IF(ISNUMBER(SEARCH(INDIRECT(ADDRESS(ROW(Y135),MOD(Y$1,4)+1)),Y$2)),$E135,"")</f>
        <v/>
      </c>
      <c r="Z135" s="26" t="str" cm="1">
        <f t="array" aca="1" ref="Z135" ca="1">IF(ISNUMBER(SEARCH(INDIRECT(ADDRESS(ROW(Z135),MOD(Z$1,4)+1)),Z$2)),$E135,"")</f>
        <v/>
      </c>
      <c r="AA135" s="26" t="str" cm="1">
        <f t="array" aca="1" ref="AA135" ca="1">IF(ISNUMBER(SEARCH(INDIRECT(ADDRESS(ROW(AA135),MOD(AA$1,4)+1)),AA$2)),$E135,"")</f>
        <v/>
      </c>
      <c r="AB135" s="26" t="str" cm="1">
        <f t="array" aca="1" ref="AB135" ca="1">IF(ISNUMBER(SEARCH(INDIRECT(ADDRESS(ROW(AB135),MOD(AB$1,4)+1)),AB$2)),$E135,"")</f>
        <v/>
      </c>
      <c r="AC135" s="26" t="str" cm="1">
        <f t="array" aca="1" ref="AC135" ca="1">IF(ISNUMBER(SEARCH(INDIRECT(ADDRESS(ROW(AC135),MOD(AC$1,4)+1)),AC$2)),$E135,"")</f>
        <v/>
      </c>
      <c r="AD135" s="26" t="str" cm="1">
        <f t="array" aca="1" ref="AD135" ca="1">IF(ISNUMBER(SEARCH(INDIRECT(ADDRESS(ROW(AD135),MOD(AD$1,4)+1)),AD$2)),$E135,"")</f>
        <v/>
      </c>
      <c r="AE135" s="26" t="str" cm="1">
        <f t="array" aca="1" ref="AE135" ca="1">IF(ISNUMBER(SEARCH(INDIRECT(ADDRESS(ROW(AE135),MOD(AE$1,4)+1)),AE$2)),$E135,"")</f>
        <v/>
      </c>
      <c r="AF135" s="26" t="str" cm="1">
        <f t="array" aca="1" ref="AF135" ca="1">IF(ISNUMBER(SEARCH(INDIRECT(ADDRESS(ROW(AF135),MOD(AF$1,4)+1)),AF$2)),$E135,"")</f>
        <v/>
      </c>
      <c r="AG135" s="26" t="str" cm="1">
        <f t="array" aca="1" ref="AG135" ca="1">IF(ISNUMBER(SEARCH(INDIRECT(ADDRESS(ROW(AG135),MOD(AG$1,4)+1)),AG$2)),$E135,"")</f>
        <v/>
      </c>
      <c r="AH135" s="26" t="str" cm="1">
        <f t="array" aca="1" ref="AH135" ca="1">IF(ISNUMBER(SEARCH(INDIRECT(ADDRESS(ROW(AH135),MOD(AH$1,4)+1)),AH$2)),$E135,"")</f>
        <v/>
      </c>
      <c r="AI135" s="26" t="str" cm="1">
        <f t="array" aca="1" ref="AI135" ca="1">IF(ISNUMBER(SEARCH(INDIRECT(ADDRESS(ROW(AI135),MOD(AI$1,4)+1)),AI$2)),$E135,"")</f>
        <v/>
      </c>
      <c r="AJ135" s="26" t="str" cm="1">
        <f t="array" aca="1" ref="AJ135" ca="1">IF(ISNUMBER(SEARCH(INDIRECT(ADDRESS(ROW(AJ135),MOD(AJ$1,4)+1)),AJ$2)),$E135,"")</f>
        <v/>
      </c>
      <c r="AK135" s="26" t="str" cm="1">
        <f t="array" aca="1" ref="AK135" ca="1">IF(ISNUMBER(SEARCH(INDIRECT(ADDRESS(ROW(AK135),MOD(AK$1,4)+1)),AK$2)),$E135,"")</f>
        <v/>
      </c>
      <c r="AL135" s="26" t="str" cm="1">
        <f t="array" aca="1" ref="AL135" ca="1">IF(ISNUMBER(SEARCH(INDIRECT(ADDRESS(ROW(AL135),MOD(AL$1,4)+1)),AL$2)),$E135,"")</f>
        <v/>
      </c>
      <c r="AM135" s="26" t="str" cm="1">
        <f t="array" aca="1" ref="AM135" ca="1">IF(ISNUMBER(SEARCH(INDIRECT(ADDRESS(ROW(AM135),MOD(AM$1,4)+1)),AM$2)),$E135,"")</f>
        <v/>
      </c>
      <c r="AN135" s="26" t="str" cm="1">
        <f t="array" aca="1" ref="AN135" ca="1">IF(ISNUMBER(SEARCH(INDIRECT(ADDRESS(ROW(AN135),MOD(AN$1,4)+1)),AN$2)),$E135,"")</f>
        <v/>
      </c>
      <c r="AO135" s="26" t="str" cm="1">
        <f t="array" aca="1" ref="AO135" ca="1">IF(ISNUMBER(SEARCH(INDIRECT(ADDRESS(ROW(AO135),MOD(AO$1,4)+1)),AO$2)),$E135,"")</f>
        <v/>
      </c>
      <c r="AP135" s="26" t="str" cm="1">
        <f t="array" aca="1" ref="AP135" ca="1">IF(ISNUMBER(SEARCH(INDIRECT(ADDRESS(ROW(AP135),MOD(AP$1,4)+1)),AP$2)),$E135,"")</f>
        <v/>
      </c>
      <c r="AQ135" s="31" t="str" cm="1">
        <f t="array" aca="1" ref="AQ135" ca="1">IF(ISNUMBER(SEARCH(INDIRECT(ADDRESS(ROW(AQ135),MOD(AQ$1,4)+1)),AQ$2)),$E135,"")</f>
        <v/>
      </c>
      <c r="AT135" t="e">
        <f>IF(VLOOKUP($E135,'Formatted NEW'!$B$2:$F$202,5,FALSE)=VLOOKUP($E135,'Formatted NEW'!$B$2:$F$202,8,FALSE),$E135,"")</f>
        <v>#N/A</v>
      </c>
      <c r="AW135" t="e">
        <f>IF(VLOOKUP($E135,'Formatted NEW'!$B$2:$F$202,5,FALSE)=VLOOKUP($E135,'Formatted NEW'!$B$2:$F$202,11,FALSE),$E135,"")</f>
        <v>#N/A</v>
      </c>
      <c r="AZ135" t="e">
        <f>IF(VLOOKUP($E135,'Formatted NEW'!$B$2:$F$202,5,FALSE)=VLOOKUP($E135,'Formatted NEW'!$B$2:$F$202,14,FALSE),$E135,"")</f>
        <v>#N/A</v>
      </c>
      <c r="BC135" t="str">
        <f>VLOOKUP($E135,'Formatted NEW'!$M$2:$T$202,6,FALSE)</f>
        <v>EMPTY</v>
      </c>
      <c r="BD135" s="26" t="e">
        <f>VLOOKUP(VLOOKUP(VLOOKUP($E135,'Formatted NEW'!$M$2:$O$202,2,FALSE),'Formatted NEW'!$D$2:$F$202,7,FALSE),'Formatted NEW'!$D$2:$O$202,12,FALSE)</f>
        <v>#REF!</v>
      </c>
      <c r="BE135" t="e">
        <f>VLOOKUP($BD135,'Formatted NEW'!$M$2:$T$202,5,FALSE)</f>
        <v>#REF!</v>
      </c>
      <c r="BF135" s="26" t="e">
        <f t="shared" si="9"/>
        <v>#REF!</v>
      </c>
      <c r="BH135">
        <f>VLOOKUP($E135,'Formatted NEW'!$M$2:$T$202,4,FALSE)</f>
        <v>0</v>
      </c>
      <c r="BI135" s="26" t="e">
        <f>VLOOKUP(VLOOKUP(VLOOKUP($E135,'Formatted NEW'!$M$2:$O$202,2,FALSE),'Formatted NEW'!$D$2:$F$202,10,FALSE),'Formatted NEW'!$D$2:$O$202,12,FALSE)</f>
        <v>#REF!</v>
      </c>
      <c r="BJ135" t="e">
        <f>VLOOKUP($BI135,'Formatted NEW'!$M$2:$T$202,3,FALSE)</f>
        <v>#REF!</v>
      </c>
      <c r="BK135" s="26" t="e">
        <f t="shared" si="10"/>
        <v>#REF!</v>
      </c>
    </row>
    <row r="136" spans="1:63" x14ac:dyDescent="0.25">
      <c r="A136" t="str">
        <f>'Formatted NEW'!Q134</f>
        <v>EMPTY</v>
      </c>
      <c r="B136" t="str">
        <f>'Formatted NEW'!R134</f>
        <v>ORTHO_BOTH</v>
      </c>
      <c r="C136" t="str">
        <f>'Formatted NEW'!S134</f>
        <v>EMPTY</v>
      </c>
      <c r="D136" t="str">
        <f>'Formatted NEW'!T134</f>
        <v>EMPTY</v>
      </c>
      <c r="E136" s="26">
        <f t="shared" si="8"/>
        <v>132</v>
      </c>
      <c r="H136" s="30" t="str" cm="1">
        <f t="array" aca="1" ref="H136" ca="1">IF(ISNUMBER(SEARCH(INDIRECT(ADDRESS(ROW(H136),MOD(H$1,4)+1)),H$2)),$E136,"")</f>
        <v/>
      </c>
      <c r="I136" s="26" t="str" cm="1">
        <f t="array" aca="1" ref="I136" ca="1">IF(ISNUMBER(SEARCH(INDIRECT(ADDRESS(ROW(I136),MOD(I$1,4)+1)),I$2)),$E136,"")</f>
        <v/>
      </c>
      <c r="J136" s="26" t="str" cm="1">
        <f t="array" aca="1" ref="J136" ca="1">IF(ISNUMBER(SEARCH(INDIRECT(ADDRESS(ROW(J136),MOD(J$1,4)+1)),J$2)),$E136,"")</f>
        <v/>
      </c>
      <c r="K136" s="26" t="str" cm="1">
        <f t="array" aca="1" ref="K136" ca="1">IF(ISNUMBER(SEARCH(INDIRECT(ADDRESS(ROW(K136),MOD(K$1,4)+1)),K$2)),$E136,"")</f>
        <v/>
      </c>
      <c r="L136" s="26" t="str" cm="1">
        <f t="array" aca="1" ref="L136" ca="1">IF(ISNUMBER(SEARCH(INDIRECT(ADDRESS(ROW(L136),MOD(L$1,4)+1)),L$2)),$E136,"")</f>
        <v/>
      </c>
      <c r="M136" s="26" t="str" cm="1">
        <f t="array" aca="1" ref="M136" ca="1">IF(ISNUMBER(SEARCH(INDIRECT(ADDRESS(ROW(M136),MOD(M$1,4)+1)),M$2)),$E136,"")</f>
        <v/>
      </c>
      <c r="N136" s="26" t="str" cm="1">
        <f t="array" aca="1" ref="N136" ca="1">IF(ISNUMBER(SEARCH(INDIRECT(ADDRESS(ROW(N136),MOD(N$1,4)+1)),N$2)),$E136,"")</f>
        <v/>
      </c>
      <c r="O136" s="26" t="str" cm="1">
        <f t="array" aca="1" ref="O136" ca="1">IF(ISNUMBER(SEARCH(INDIRECT(ADDRESS(ROW(O136),MOD(O$1,4)+1)),O$2)),$E136,"")</f>
        <v/>
      </c>
      <c r="P136" s="26" t="str" cm="1">
        <f t="array" aca="1" ref="P136" ca="1">IF(ISNUMBER(SEARCH(INDIRECT(ADDRESS(ROW(P136),MOD(P$1,4)+1)),P$2)),$E136,"")</f>
        <v/>
      </c>
      <c r="Q136" s="26" cm="1">
        <f t="array" aca="1" ref="Q136" ca="1">IF(ISNUMBER(SEARCH(INDIRECT(ADDRESS(ROW(Q136),MOD(Q$1,4)+1)),Q$2)),$E136,"")</f>
        <v>132</v>
      </c>
      <c r="R136" s="26" t="str" cm="1">
        <f t="array" aca="1" ref="R136" ca="1">IF(ISNUMBER(SEARCH(INDIRECT(ADDRESS(ROW(R136),MOD(R$1,4)+1)),R$2)),$E136,"")</f>
        <v/>
      </c>
      <c r="S136" s="26" t="str" cm="1">
        <f t="array" aca="1" ref="S136" ca="1">IF(ISNUMBER(SEARCH(INDIRECT(ADDRESS(ROW(S136),MOD(S$1,4)+1)),S$2)),$E136,"")</f>
        <v/>
      </c>
      <c r="T136" s="26" t="str" cm="1">
        <f t="array" aca="1" ref="T136" ca="1">IF(ISNUMBER(SEARCH(INDIRECT(ADDRESS(ROW(T136),MOD(T$1,4)+1)),T$2)),$E136,"")</f>
        <v/>
      </c>
      <c r="U136" s="26" t="str" cm="1">
        <f t="array" aca="1" ref="U136" ca="1">IF(ISNUMBER(SEARCH(INDIRECT(ADDRESS(ROW(U136),MOD(U$1,4)+1)),U$2)),$E136,"")</f>
        <v/>
      </c>
      <c r="V136" s="26" t="str" cm="1">
        <f t="array" aca="1" ref="V136" ca="1">IF(ISNUMBER(SEARCH(INDIRECT(ADDRESS(ROW(V136),MOD(V$1,4)+1)),V$2)),$E136,"")</f>
        <v/>
      </c>
      <c r="W136" s="26" t="str" cm="1">
        <f t="array" aca="1" ref="W136" ca="1">IF(ISNUMBER(SEARCH(INDIRECT(ADDRESS(ROW(W136),MOD(W$1,4)+1)),W$2)),$E136,"")</f>
        <v/>
      </c>
      <c r="X136" s="26" t="str" cm="1">
        <f t="array" aca="1" ref="X136" ca="1">IF(ISNUMBER(SEARCH(INDIRECT(ADDRESS(ROW(X136),MOD(X$1,4)+1)),X$2)),$E136,"")</f>
        <v/>
      </c>
      <c r="Y136" s="26" t="str" cm="1">
        <f t="array" aca="1" ref="Y136" ca="1">IF(ISNUMBER(SEARCH(INDIRECT(ADDRESS(ROW(Y136),MOD(Y$1,4)+1)),Y$2)),$E136,"")</f>
        <v/>
      </c>
      <c r="Z136" s="26" t="str" cm="1">
        <f t="array" aca="1" ref="Z136" ca="1">IF(ISNUMBER(SEARCH(INDIRECT(ADDRESS(ROW(Z136),MOD(Z$1,4)+1)),Z$2)),$E136,"")</f>
        <v/>
      </c>
      <c r="AA136" s="26" t="str" cm="1">
        <f t="array" aca="1" ref="AA136" ca="1">IF(ISNUMBER(SEARCH(INDIRECT(ADDRESS(ROW(AA136),MOD(AA$1,4)+1)),AA$2)),$E136,"")</f>
        <v/>
      </c>
      <c r="AB136" s="26" t="str" cm="1">
        <f t="array" aca="1" ref="AB136" ca="1">IF(ISNUMBER(SEARCH(INDIRECT(ADDRESS(ROW(AB136),MOD(AB$1,4)+1)),AB$2)),$E136,"")</f>
        <v/>
      </c>
      <c r="AC136" s="26" t="str" cm="1">
        <f t="array" aca="1" ref="AC136" ca="1">IF(ISNUMBER(SEARCH(INDIRECT(ADDRESS(ROW(AC136),MOD(AC$1,4)+1)),AC$2)),$E136,"")</f>
        <v/>
      </c>
      <c r="AD136" s="26" t="str" cm="1">
        <f t="array" aca="1" ref="AD136" ca="1">IF(ISNUMBER(SEARCH(INDIRECT(ADDRESS(ROW(AD136),MOD(AD$1,4)+1)),AD$2)),$E136,"")</f>
        <v/>
      </c>
      <c r="AE136" s="26" t="str" cm="1">
        <f t="array" aca="1" ref="AE136" ca="1">IF(ISNUMBER(SEARCH(INDIRECT(ADDRESS(ROW(AE136),MOD(AE$1,4)+1)),AE$2)),$E136,"")</f>
        <v/>
      </c>
      <c r="AF136" s="26" t="str" cm="1">
        <f t="array" aca="1" ref="AF136" ca="1">IF(ISNUMBER(SEARCH(INDIRECT(ADDRESS(ROW(AF136),MOD(AF$1,4)+1)),AF$2)),$E136,"")</f>
        <v/>
      </c>
      <c r="AG136" s="26" t="str" cm="1">
        <f t="array" aca="1" ref="AG136" ca="1">IF(ISNUMBER(SEARCH(INDIRECT(ADDRESS(ROW(AG136),MOD(AG$1,4)+1)),AG$2)),$E136,"")</f>
        <v/>
      </c>
      <c r="AH136" s="26" t="str" cm="1">
        <f t="array" aca="1" ref="AH136" ca="1">IF(ISNUMBER(SEARCH(INDIRECT(ADDRESS(ROW(AH136),MOD(AH$1,4)+1)),AH$2)),$E136,"")</f>
        <v/>
      </c>
      <c r="AI136" s="26" t="str" cm="1">
        <f t="array" aca="1" ref="AI136" ca="1">IF(ISNUMBER(SEARCH(INDIRECT(ADDRESS(ROW(AI136),MOD(AI$1,4)+1)),AI$2)),$E136,"")</f>
        <v/>
      </c>
      <c r="AJ136" s="26" t="str" cm="1">
        <f t="array" aca="1" ref="AJ136" ca="1">IF(ISNUMBER(SEARCH(INDIRECT(ADDRESS(ROW(AJ136),MOD(AJ$1,4)+1)),AJ$2)),$E136,"")</f>
        <v/>
      </c>
      <c r="AK136" s="26" t="str" cm="1">
        <f t="array" aca="1" ref="AK136" ca="1">IF(ISNUMBER(SEARCH(INDIRECT(ADDRESS(ROW(AK136),MOD(AK$1,4)+1)),AK$2)),$E136,"")</f>
        <v/>
      </c>
      <c r="AL136" s="26" t="str" cm="1">
        <f t="array" aca="1" ref="AL136" ca="1">IF(ISNUMBER(SEARCH(INDIRECT(ADDRESS(ROW(AL136),MOD(AL$1,4)+1)),AL$2)),$E136,"")</f>
        <v/>
      </c>
      <c r="AM136" s="26" t="str" cm="1">
        <f t="array" aca="1" ref="AM136" ca="1">IF(ISNUMBER(SEARCH(INDIRECT(ADDRESS(ROW(AM136),MOD(AM$1,4)+1)),AM$2)),$E136,"")</f>
        <v/>
      </c>
      <c r="AN136" s="26" t="str" cm="1">
        <f t="array" aca="1" ref="AN136" ca="1">IF(ISNUMBER(SEARCH(INDIRECT(ADDRESS(ROW(AN136),MOD(AN$1,4)+1)),AN$2)),$E136,"")</f>
        <v/>
      </c>
      <c r="AO136" s="26" t="str" cm="1">
        <f t="array" aca="1" ref="AO136" ca="1">IF(ISNUMBER(SEARCH(INDIRECT(ADDRESS(ROW(AO136),MOD(AO$1,4)+1)),AO$2)),$E136,"")</f>
        <v/>
      </c>
      <c r="AP136" s="26" t="str" cm="1">
        <f t="array" aca="1" ref="AP136" ca="1">IF(ISNUMBER(SEARCH(INDIRECT(ADDRESS(ROW(AP136),MOD(AP$1,4)+1)),AP$2)),$E136,"")</f>
        <v/>
      </c>
      <c r="AQ136" s="31" t="str" cm="1">
        <f t="array" aca="1" ref="AQ136" ca="1">IF(ISNUMBER(SEARCH(INDIRECT(ADDRESS(ROW(AQ136),MOD(AQ$1,4)+1)),AQ$2)),$E136,"")</f>
        <v/>
      </c>
      <c r="AT136" t="e">
        <f>IF(VLOOKUP($E136,'Formatted NEW'!$B$2:$F$202,5,FALSE)=VLOOKUP($E136,'Formatted NEW'!$B$2:$F$202,8,FALSE),$E136,"")</f>
        <v>#N/A</v>
      </c>
      <c r="AW136" t="e">
        <f>IF(VLOOKUP($E136,'Formatted NEW'!$B$2:$F$202,5,FALSE)=VLOOKUP($E136,'Formatted NEW'!$B$2:$F$202,11,FALSE),$E136,"")</f>
        <v>#N/A</v>
      </c>
      <c r="AZ136" t="e">
        <f>IF(VLOOKUP($E136,'Formatted NEW'!$B$2:$F$202,5,FALSE)=VLOOKUP($E136,'Formatted NEW'!$B$2:$F$202,14,FALSE),$E136,"")</f>
        <v>#N/A</v>
      </c>
      <c r="BC136" t="str">
        <f>VLOOKUP($E136,'Formatted NEW'!$M$2:$T$202,6,FALSE)</f>
        <v>ORTHO_BOTH</v>
      </c>
      <c r="BD136" s="26" t="e">
        <f>VLOOKUP(VLOOKUP(VLOOKUP($E136,'Formatted NEW'!$M$2:$O$202,2,FALSE),'Formatted NEW'!$D$2:$F$202,7,FALSE),'Formatted NEW'!$D$2:$O$202,12,FALSE)</f>
        <v>#REF!</v>
      </c>
      <c r="BE136" t="e">
        <f>VLOOKUP($BD136,'Formatted NEW'!$M$2:$T$202,5,FALSE)</f>
        <v>#REF!</v>
      </c>
      <c r="BF136" s="26" t="e">
        <f t="shared" si="9"/>
        <v>#REF!</v>
      </c>
      <c r="BH136">
        <f>VLOOKUP($E136,'Formatted NEW'!$M$2:$T$202,4,FALSE)</f>
        <v>0</v>
      </c>
      <c r="BI136" s="26" t="e">
        <f>VLOOKUP(VLOOKUP(VLOOKUP($E136,'Formatted NEW'!$M$2:$O$202,2,FALSE),'Formatted NEW'!$D$2:$F$202,10,FALSE),'Formatted NEW'!$D$2:$O$202,12,FALSE)</f>
        <v>#REF!</v>
      </c>
      <c r="BJ136" t="e">
        <f>VLOOKUP($BI136,'Formatted NEW'!$M$2:$T$202,3,FALSE)</f>
        <v>#REF!</v>
      </c>
      <c r="BK136" s="26" t="e">
        <f t="shared" si="10"/>
        <v>#REF!</v>
      </c>
    </row>
    <row r="137" spans="1:63" x14ac:dyDescent="0.25">
      <c r="A137" t="str">
        <f>'Formatted NEW'!Q135</f>
        <v>EMPTY</v>
      </c>
      <c r="B137" t="str">
        <f>'Formatted NEW'!R135</f>
        <v>EMPTY</v>
      </c>
      <c r="C137" t="str">
        <f>'Formatted NEW'!S135</f>
        <v>ORTHO_BOTH</v>
      </c>
      <c r="D137" t="str">
        <f>'Formatted NEW'!T135</f>
        <v>EMPTY</v>
      </c>
      <c r="E137" s="26">
        <f t="shared" si="8"/>
        <v>133</v>
      </c>
      <c r="H137" s="30" t="str" cm="1">
        <f t="array" aca="1" ref="H137" ca="1">IF(ISNUMBER(SEARCH(INDIRECT(ADDRESS(ROW(H137),MOD(H$1,4)+1)),H$2)),$E137,"")</f>
        <v/>
      </c>
      <c r="I137" s="26" t="str" cm="1">
        <f t="array" aca="1" ref="I137" ca="1">IF(ISNUMBER(SEARCH(INDIRECT(ADDRESS(ROW(I137),MOD(I$1,4)+1)),I$2)),$E137,"")</f>
        <v/>
      </c>
      <c r="J137" s="26" t="str" cm="1">
        <f t="array" aca="1" ref="J137" ca="1">IF(ISNUMBER(SEARCH(INDIRECT(ADDRESS(ROW(J137),MOD(J$1,4)+1)),J$2)),$E137,"")</f>
        <v/>
      </c>
      <c r="K137" s="26" t="str" cm="1">
        <f t="array" aca="1" ref="K137" ca="1">IF(ISNUMBER(SEARCH(INDIRECT(ADDRESS(ROW(K137),MOD(K$1,4)+1)),K$2)),$E137,"")</f>
        <v/>
      </c>
      <c r="L137" s="26" t="str" cm="1">
        <f t="array" aca="1" ref="L137" ca="1">IF(ISNUMBER(SEARCH(INDIRECT(ADDRESS(ROW(L137),MOD(L$1,4)+1)),L$2)),$E137,"")</f>
        <v/>
      </c>
      <c r="M137" s="26" t="str" cm="1">
        <f t="array" aca="1" ref="M137" ca="1">IF(ISNUMBER(SEARCH(INDIRECT(ADDRESS(ROW(M137),MOD(M$1,4)+1)),M$2)),$E137,"")</f>
        <v/>
      </c>
      <c r="N137" s="26" t="str" cm="1">
        <f t="array" aca="1" ref="N137" ca="1">IF(ISNUMBER(SEARCH(INDIRECT(ADDRESS(ROW(N137),MOD(N$1,4)+1)),N$2)),$E137,"")</f>
        <v/>
      </c>
      <c r="O137" s="26" t="str" cm="1">
        <f t="array" aca="1" ref="O137" ca="1">IF(ISNUMBER(SEARCH(INDIRECT(ADDRESS(ROW(O137),MOD(O$1,4)+1)),O$2)),$E137,"")</f>
        <v/>
      </c>
      <c r="P137" s="26" t="str" cm="1">
        <f t="array" aca="1" ref="P137" ca="1">IF(ISNUMBER(SEARCH(INDIRECT(ADDRESS(ROW(P137),MOD(P$1,4)+1)),P$2)),$E137,"")</f>
        <v/>
      </c>
      <c r="Q137" s="26" t="str" cm="1">
        <f t="array" aca="1" ref="Q137" ca="1">IF(ISNUMBER(SEARCH(INDIRECT(ADDRESS(ROW(Q137),MOD(Q$1,4)+1)),Q$2)),$E137,"")</f>
        <v/>
      </c>
      <c r="R137" s="26" cm="1">
        <f t="array" aca="1" ref="R137" ca="1">IF(ISNUMBER(SEARCH(INDIRECT(ADDRESS(ROW(R137),MOD(R$1,4)+1)),R$2)),$E137,"")</f>
        <v>133</v>
      </c>
      <c r="S137" s="26" t="str" cm="1">
        <f t="array" aca="1" ref="S137" ca="1">IF(ISNUMBER(SEARCH(INDIRECT(ADDRESS(ROW(S137),MOD(S$1,4)+1)),S$2)),$E137,"")</f>
        <v/>
      </c>
      <c r="T137" s="26" t="str" cm="1">
        <f t="array" aca="1" ref="T137" ca="1">IF(ISNUMBER(SEARCH(INDIRECT(ADDRESS(ROW(T137),MOD(T$1,4)+1)),T$2)),$E137,"")</f>
        <v/>
      </c>
      <c r="U137" s="26" t="str" cm="1">
        <f t="array" aca="1" ref="U137" ca="1">IF(ISNUMBER(SEARCH(INDIRECT(ADDRESS(ROW(U137),MOD(U$1,4)+1)),U$2)),$E137,"")</f>
        <v/>
      </c>
      <c r="V137" s="26" t="str" cm="1">
        <f t="array" aca="1" ref="V137" ca="1">IF(ISNUMBER(SEARCH(INDIRECT(ADDRESS(ROW(V137),MOD(V$1,4)+1)),V$2)),$E137,"")</f>
        <v/>
      </c>
      <c r="W137" s="26" t="str" cm="1">
        <f t="array" aca="1" ref="W137" ca="1">IF(ISNUMBER(SEARCH(INDIRECT(ADDRESS(ROW(W137),MOD(W$1,4)+1)),W$2)),$E137,"")</f>
        <v/>
      </c>
      <c r="X137" s="26" t="str" cm="1">
        <f t="array" aca="1" ref="X137" ca="1">IF(ISNUMBER(SEARCH(INDIRECT(ADDRESS(ROW(X137),MOD(X$1,4)+1)),X$2)),$E137,"")</f>
        <v/>
      </c>
      <c r="Y137" s="26" t="str" cm="1">
        <f t="array" aca="1" ref="Y137" ca="1">IF(ISNUMBER(SEARCH(INDIRECT(ADDRESS(ROW(Y137),MOD(Y$1,4)+1)),Y$2)),$E137,"")</f>
        <v/>
      </c>
      <c r="Z137" s="26" t="str" cm="1">
        <f t="array" aca="1" ref="Z137" ca="1">IF(ISNUMBER(SEARCH(INDIRECT(ADDRESS(ROW(Z137),MOD(Z$1,4)+1)),Z$2)),$E137,"")</f>
        <v/>
      </c>
      <c r="AA137" s="26" t="str" cm="1">
        <f t="array" aca="1" ref="AA137" ca="1">IF(ISNUMBER(SEARCH(INDIRECT(ADDRESS(ROW(AA137),MOD(AA$1,4)+1)),AA$2)),$E137,"")</f>
        <v/>
      </c>
      <c r="AB137" s="26" t="str" cm="1">
        <f t="array" aca="1" ref="AB137" ca="1">IF(ISNUMBER(SEARCH(INDIRECT(ADDRESS(ROW(AB137),MOD(AB$1,4)+1)),AB$2)),$E137,"")</f>
        <v/>
      </c>
      <c r="AC137" s="26" t="str" cm="1">
        <f t="array" aca="1" ref="AC137" ca="1">IF(ISNUMBER(SEARCH(INDIRECT(ADDRESS(ROW(AC137),MOD(AC$1,4)+1)),AC$2)),$E137,"")</f>
        <v/>
      </c>
      <c r="AD137" s="26" t="str" cm="1">
        <f t="array" aca="1" ref="AD137" ca="1">IF(ISNUMBER(SEARCH(INDIRECT(ADDRESS(ROW(AD137),MOD(AD$1,4)+1)),AD$2)),$E137,"")</f>
        <v/>
      </c>
      <c r="AE137" s="26" t="str" cm="1">
        <f t="array" aca="1" ref="AE137" ca="1">IF(ISNUMBER(SEARCH(INDIRECT(ADDRESS(ROW(AE137),MOD(AE$1,4)+1)),AE$2)),$E137,"")</f>
        <v/>
      </c>
      <c r="AF137" s="26" t="str" cm="1">
        <f t="array" aca="1" ref="AF137" ca="1">IF(ISNUMBER(SEARCH(INDIRECT(ADDRESS(ROW(AF137),MOD(AF$1,4)+1)),AF$2)),$E137,"")</f>
        <v/>
      </c>
      <c r="AG137" s="26" t="str" cm="1">
        <f t="array" aca="1" ref="AG137" ca="1">IF(ISNUMBER(SEARCH(INDIRECT(ADDRESS(ROW(AG137),MOD(AG$1,4)+1)),AG$2)),$E137,"")</f>
        <v/>
      </c>
      <c r="AH137" s="26" t="str" cm="1">
        <f t="array" aca="1" ref="AH137" ca="1">IF(ISNUMBER(SEARCH(INDIRECT(ADDRESS(ROW(AH137),MOD(AH$1,4)+1)),AH$2)),$E137,"")</f>
        <v/>
      </c>
      <c r="AI137" s="26" t="str" cm="1">
        <f t="array" aca="1" ref="AI137" ca="1">IF(ISNUMBER(SEARCH(INDIRECT(ADDRESS(ROW(AI137),MOD(AI$1,4)+1)),AI$2)),$E137,"")</f>
        <v/>
      </c>
      <c r="AJ137" s="26" t="str" cm="1">
        <f t="array" aca="1" ref="AJ137" ca="1">IF(ISNUMBER(SEARCH(INDIRECT(ADDRESS(ROW(AJ137),MOD(AJ$1,4)+1)),AJ$2)),$E137,"")</f>
        <v/>
      </c>
      <c r="AK137" s="26" t="str" cm="1">
        <f t="array" aca="1" ref="AK137" ca="1">IF(ISNUMBER(SEARCH(INDIRECT(ADDRESS(ROW(AK137),MOD(AK$1,4)+1)),AK$2)),$E137,"")</f>
        <v/>
      </c>
      <c r="AL137" s="26" t="str" cm="1">
        <f t="array" aca="1" ref="AL137" ca="1">IF(ISNUMBER(SEARCH(INDIRECT(ADDRESS(ROW(AL137),MOD(AL$1,4)+1)),AL$2)),$E137,"")</f>
        <v/>
      </c>
      <c r="AM137" s="26" t="str" cm="1">
        <f t="array" aca="1" ref="AM137" ca="1">IF(ISNUMBER(SEARCH(INDIRECT(ADDRESS(ROW(AM137),MOD(AM$1,4)+1)),AM$2)),$E137,"")</f>
        <v/>
      </c>
      <c r="AN137" s="26" t="str" cm="1">
        <f t="array" aca="1" ref="AN137" ca="1">IF(ISNUMBER(SEARCH(INDIRECT(ADDRESS(ROW(AN137),MOD(AN$1,4)+1)),AN$2)),$E137,"")</f>
        <v/>
      </c>
      <c r="AO137" s="26" t="str" cm="1">
        <f t="array" aca="1" ref="AO137" ca="1">IF(ISNUMBER(SEARCH(INDIRECT(ADDRESS(ROW(AO137),MOD(AO$1,4)+1)),AO$2)),$E137,"")</f>
        <v/>
      </c>
      <c r="AP137" s="26" t="str" cm="1">
        <f t="array" aca="1" ref="AP137" ca="1">IF(ISNUMBER(SEARCH(INDIRECT(ADDRESS(ROW(AP137),MOD(AP$1,4)+1)),AP$2)),$E137,"")</f>
        <v/>
      </c>
      <c r="AQ137" s="31" t="str" cm="1">
        <f t="array" aca="1" ref="AQ137" ca="1">IF(ISNUMBER(SEARCH(INDIRECT(ADDRESS(ROW(AQ137),MOD(AQ$1,4)+1)),AQ$2)),$E137,"")</f>
        <v/>
      </c>
      <c r="AT137" t="e">
        <f>IF(VLOOKUP($E137,'Formatted NEW'!$B$2:$F$202,5,FALSE)=VLOOKUP($E137,'Formatted NEW'!$B$2:$F$202,8,FALSE),$E137,"")</f>
        <v>#N/A</v>
      </c>
      <c r="AW137" t="e">
        <f>IF(VLOOKUP($E137,'Formatted NEW'!$B$2:$F$202,5,FALSE)=VLOOKUP($E137,'Formatted NEW'!$B$2:$F$202,11,FALSE),$E137,"")</f>
        <v>#N/A</v>
      </c>
      <c r="AZ137" t="e">
        <f>IF(VLOOKUP($E137,'Formatted NEW'!$B$2:$F$202,5,FALSE)=VLOOKUP($E137,'Formatted NEW'!$B$2:$F$202,14,FALSE),$E137,"")</f>
        <v>#N/A</v>
      </c>
      <c r="BC137" t="str">
        <f>VLOOKUP($E137,'Formatted NEW'!$M$2:$T$202,6,FALSE)</f>
        <v>EMPTY</v>
      </c>
      <c r="BD137" s="26" t="e">
        <f>VLOOKUP(VLOOKUP(VLOOKUP($E137,'Formatted NEW'!$M$2:$O$202,2,FALSE),'Formatted NEW'!$D$2:$F$202,7,FALSE),'Formatted NEW'!$D$2:$O$202,12,FALSE)</f>
        <v>#REF!</v>
      </c>
      <c r="BE137" t="e">
        <f>VLOOKUP($BD137,'Formatted NEW'!$M$2:$T$202,5,FALSE)</f>
        <v>#REF!</v>
      </c>
      <c r="BF137" s="26" t="e">
        <f t="shared" si="9"/>
        <v>#REF!</v>
      </c>
      <c r="BH137">
        <f>VLOOKUP($E137,'Formatted NEW'!$M$2:$T$202,4,FALSE)</f>
        <v>0</v>
      </c>
      <c r="BI137" s="26" t="e">
        <f>VLOOKUP(VLOOKUP(VLOOKUP($E137,'Formatted NEW'!$M$2:$O$202,2,FALSE),'Formatted NEW'!$D$2:$F$202,10,FALSE),'Formatted NEW'!$D$2:$O$202,12,FALSE)</f>
        <v>#REF!</v>
      </c>
      <c r="BJ137" t="e">
        <f>VLOOKUP($BI137,'Formatted NEW'!$M$2:$T$202,3,FALSE)</f>
        <v>#REF!</v>
      </c>
      <c r="BK137" s="26" t="e">
        <f t="shared" si="10"/>
        <v>#REF!</v>
      </c>
    </row>
    <row r="138" spans="1:63" x14ac:dyDescent="0.25">
      <c r="A138" t="str">
        <f>'Formatted NEW'!Q136</f>
        <v>EMPTY</v>
      </c>
      <c r="B138" t="str">
        <f>'Formatted NEW'!R136</f>
        <v>EMPTY</v>
      </c>
      <c r="C138" t="str">
        <f>'Formatted NEW'!S136</f>
        <v>EMPTY</v>
      </c>
      <c r="D138" t="str">
        <f>'Formatted NEW'!T136</f>
        <v>ORTHO_BOTH</v>
      </c>
      <c r="E138" s="26">
        <f t="shared" si="8"/>
        <v>134</v>
      </c>
      <c r="H138" s="30" t="str" cm="1">
        <f t="array" aca="1" ref="H138" ca="1">IF(ISNUMBER(SEARCH(INDIRECT(ADDRESS(ROW(H138),MOD(H$1,4)+1)),H$2)),$E138,"")</f>
        <v/>
      </c>
      <c r="I138" s="26" t="str" cm="1">
        <f t="array" aca="1" ref="I138" ca="1">IF(ISNUMBER(SEARCH(INDIRECT(ADDRESS(ROW(I138),MOD(I$1,4)+1)),I$2)),$E138,"")</f>
        <v/>
      </c>
      <c r="J138" s="26" t="str" cm="1">
        <f t="array" aca="1" ref="J138" ca="1">IF(ISNUMBER(SEARCH(INDIRECT(ADDRESS(ROW(J138),MOD(J$1,4)+1)),J$2)),$E138,"")</f>
        <v/>
      </c>
      <c r="K138" s="26" t="str" cm="1">
        <f t="array" aca="1" ref="K138" ca="1">IF(ISNUMBER(SEARCH(INDIRECT(ADDRESS(ROW(K138),MOD(K$1,4)+1)),K$2)),$E138,"")</f>
        <v/>
      </c>
      <c r="L138" s="26" t="str" cm="1">
        <f t="array" aca="1" ref="L138" ca="1">IF(ISNUMBER(SEARCH(INDIRECT(ADDRESS(ROW(L138),MOD(L$1,4)+1)),L$2)),$E138,"")</f>
        <v/>
      </c>
      <c r="M138" s="26" t="str" cm="1">
        <f t="array" aca="1" ref="M138" ca="1">IF(ISNUMBER(SEARCH(INDIRECT(ADDRESS(ROW(M138),MOD(M$1,4)+1)),M$2)),$E138,"")</f>
        <v/>
      </c>
      <c r="N138" s="26" t="str" cm="1">
        <f t="array" aca="1" ref="N138" ca="1">IF(ISNUMBER(SEARCH(INDIRECT(ADDRESS(ROW(N138),MOD(N$1,4)+1)),N$2)),$E138,"")</f>
        <v/>
      </c>
      <c r="O138" s="26" t="str" cm="1">
        <f t="array" aca="1" ref="O138" ca="1">IF(ISNUMBER(SEARCH(INDIRECT(ADDRESS(ROW(O138),MOD(O$1,4)+1)),O$2)),$E138,"")</f>
        <v/>
      </c>
      <c r="P138" s="26" t="str" cm="1">
        <f t="array" aca="1" ref="P138" ca="1">IF(ISNUMBER(SEARCH(INDIRECT(ADDRESS(ROW(P138),MOD(P$1,4)+1)),P$2)),$E138,"")</f>
        <v/>
      </c>
      <c r="Q138" s="26" t="str" cm="1">
        <f t="array" aca="1" ref="Q138" ca="1">IF(ISNUMBER(SEARCH(INDIRECT(ADDRESS(ROW(Q138),MOD(Q$1,4)+1)),Q$2)),$E138,"")</f>
        <v/>
      </c>
      <c r="R138" s="26" t="str" cm="1">
        <f t="array" aca="1" ref="R138" ca="1">IF(ISNUMBER(SEARCH(INDIRECT(ADDRESS(ROW(R138),MOD(R$1,4)+1)),R$2)),$E138,"")</f>
        <v/>
      </c>
      <c r="S138" s="26" cm="1">
        <f t="array" aca="1" ref="S138" ca="1">IF(ISNUMBER(SEARCH(INDIRECT(ADDRESS(ROW(S138),MOD(S$1,4)+1)),S$2)),$E138,"")</f>
        <v>134</v>
      </c>
      <c r="T138" s="26" t="str" cm="1">
        <f t="array" aca="1" ref="T138" ca="1">IF(ISNUMBER(SEARCH(INDIRECT(ADDRESS(ROW(T138),MOD(T$1,4)+1)),T$2)),$E138,"")</f>
        <v/>
      </c>
      <c r="U138" s="26" t="str" cm="1">
        <f t="array" aca="1" ref="U138" ca="1">IF(ISNUMBER(SEARCH(INDIRECT(ADDRESS(ROW(U138),MOD(U$1,4)+1)),U$2)),$E138,"")</f>
        <v/>
      </c>
      <c r="V138" s="26" t="str" cm="1">
        <f t="array" aca="1" ref="V138" ca="1">IF(ISNUMBER(SEARCH(INDIRECT(ADDRESS(ROW(V138),MOD(V$1,4)+1)),V$2)),$E138,"")</f>
        <v/>
      </c>
      <c r="W138" s="26" t="str" cm="1">
        <f t="array" aca="1" ref="W138" ca="1">IF(ISNUMBER(SEARCH(INDIRECT(ADDRESS(ROW(W138),MOD(W$1,4)+1)),W$2)),$E138,"")</f>
        <v/>
      </c>
      <c r="X138" s="26" t="str" cm="1">
        <f t="array" aca="1" ref="X138" ca="1">IF(ISNUMBER(SEARCH(INDIRECT(ADDRESS(ROW(X138),MOD(X$1,4)+1)),X$2)),$E138,"")</f>
        <v/>
      </c>
      <c r="Y138" s="26" t="str" cm="1">
        <f t="array" aca="1" ref="Y138" ca="1">IF(ISNUMBER(SEARCH(INDIRECT(ADDRESS(ROW(Y138),MOD(Y$1,4)+1)),Y$2)),$E138,"")</f>
        <v/>
      </c>
      <c r="Z138" s="26" t="str" cm="1">
        <f t="array" aca="1" ref="Z138" ca="1">IF(ISNUMBER(SEARCH(INDIRECT(ADDRESS(ROW(Z138),MOD(Z$1,4)+1)),Z$2)),$E138,"")</f>
        <v/>
      </c>
      <c r="AA138" s="26" t="str" cm="1">
        <f t="array" aca="1" ref="AA138" ca="1">IF(ISNUMBER(SEARCH(INDIRECT(ADDRESS(ROW(AA138),MOD(AA$1,4)+1)),AA$2)),$E138,"")</f>
        <v/>
      </c>
      <c r="AB138" s="26" t="str" cm="1">
        <f t="array" aca="1" ref="AB138" ca="1">IF(ISNUMBER(SEARCH(INDIRECT(ADDRESS(ROW(AB138),MOD(AB$1,4)+1)),AB$2)),$E138,"")</f>
        <v/>
      </c>
      <c r="AC138" s="26" t="str" cm="1">
        <f t="array" aca="1" ref="AC138" ca="1">IF(ISNUMBER(SEARCH(INDIRECT(ADDRESS(ROW(AC138),MOD(AC$1,4)+1)),AC$2)),$E138,"")</f>
        <v/>
      </c>
      <c r="AD138" s="26" t="str" cm="1">
        <f t="array" aca="1" ref="AD138" ca="1">IF(ISNUMBER(SEARCH(INDIRECT(ADDRESS(ROW(AD138),MOD(AD$1,4)+1)),AD$2)),$E138,"")</f>
        <v/>
      </c>
      <c r="AE138" s="26" t="str" cm="1">
        <f t="array" aca="1" ref="AE138" ca="1">IF(ISNUMBER(SEARCH(INDIRECT(ADDRESS(ROW(AE138),MOD(AE$1,4)+1)),AE$2)),$E138,"")</f>
        <v/>
      </c>
      <c r="AF138" s="26" t="str" cm="1">
        <f t="array" aca="1" ref="AF138" ca="1">IF(ISNUMBER(SEARCH(INDIRECT(ADDRESS(ROW(AF138),MOD(AF$1,4)+1)),AF$2)),$E138,"")</f>
        <v/>
      </c>
      <c r="AG138" s="26" t="str" cm="1">
        <f t="array" aca="1" ref="AG138" ca="1">IF(ISNUMBER(SEARCH(INDIRECT(ADDRESS(ROW(AG138),MOD(AG$1,4)+1)),AG$2)),$E138,"")</f>
        <v/>
      </c>
      <c r="AH138" s="26" t="str" cm="1">
        <f t="array" aca="1" ref="AH138" ca="1">IF(ISNUMBER(SEARCH(INDIRECT(ADDRESS(ROW(AH138),MOD(AH$1,4)+1)),AH$2)),$E138,"")</f>
        <v/>
      </c>
      <c r="AI138" s="26" t="str" cm="1">
        <f t="array" aca="1" ref="AI138" ca="1">IF(ISNUMBER(SEARCH(INDIRECT(ADDRESS(ROW(AI138),MOD(AI$1,4)+1)),AI$2)),$E138,"")</f>
        <v/>
      </c>
      <c r="AJ138" s="26" t="str" cm="1">
        <f t="array" aca="1" ref="AJ138" ca="1">IF(ISNUMBER(SEARCH(INDIRECT(ADDRESS(ROW(AJ138),MOD(AJ$1,4)+1)),AJ$2)),$E138,"")</f>
        <v/>
      </c>
      <c r="AK138" s="26" t="str" cm="1">
        <f t="array" aca="1" ref="AK138" ca="1">IF(ISNUMBER(SEARCH(INDIRECT(ADDRESS(ROW(AK138),MOD(AK$1,4)+1)),AK$2)),$E138,"")</f>
        <v/>
      </c>
      <c r="AL138" s="26" t="str" cm="1">
        <f t="array" aca="1" ref="AL138" ca="1">IF(ISNUMBER(SEARCH(INDIRECT(ADDRESS(ROW(AL138),MOD(AL$1,4)+1)),AL$2)),$E138,"")</f>
        <v/>
      </c>
      <c r="AM138" s="26" t="str" cm="1">
        <f t="array" aca="1" ref="AM138" ca="1">IF(ISNUMBER(SEARCH(INDIRECT(ADDRESS(ROW(AM138),MOD(AM$1,4)+1)),AM$2)),$E138,"")</f>
        <v/>
      </c>
      <c r="AN138" s="26" t="str" cm="1">
        <f t="array" aca="1" ref="AN138" ca="1">IF(ISNUMBER(SEARCH(INDIRECT(ADDRESS(ROW(AN138),MOD(AN$1,4)+1)),AN$2)),$E138,"")</f>
        <v/>
      </c>
      <c r="AO138" s="26" t="str" cm="1">
        <f t="array" aca="1" ref="AO138" ca="1">IF(ISNUMBER(SEARCH(INDIRECT(ADDRESS(ROW(AO138),MOD(AO$1,4)+1)),AO$2)),$E138,"")</f>
        <v/>
      </c>
      <c r="AP138" s="26" t="str" cm="1">
        <f t="array" aca="1" ref="AP138" ca="1">IF(ISNUMBER(SEARCH(INDIRECT(ADDRESS(ROW(AP138),MOD(AP$1,4)+1)),AP$2)),$E138,"")</f>
        <v/>
      </c>
      <c r="AQ138" s="31" t="str" cm="1">
        <f t="array" aca="1" ref="AQ138" ca="1">IF(ISNUMBER(SEARCH(INDIRECT(ADDRESS(ROW(AQ138),MOD(AQ$1,4)+1)),AQ$2)),$E138,"")</f>
        <v/>
      </c>
      <c r="AT138" t="e">
        <f>IF(VLOOKUP($E138,'Formatted NEW'!$B$2:$F$202,5,FALSE)=VLOOKUP($E138,'Formatted NEW'!$B$2:$F$202,8,FALSE),$E138,"")</f>
        <v>#N/A</v>
      </c>
      <c r="AW138" t="e">
        <f>IF(VLOOKUP($E138,'Formatted NEW'!$B$2:$F$202,5,FALSE)=VLOOKUP($E138,'Formatted NEW'!$B$2:$F$202,11,FALSE),$E138,"")</f>
        <v>#N/A</v>
      </c>
      <c r="AZ138" t="e">
        <f>IF(VLOOKUP($E138,'Formatted NEW'!$B$2:$F$202,5,FALSE)=VLOOKUP($E138,'Formatted NEW'!$B$2:$F$202,14,FALSE),$E138,"")</f>
        <v>#N/A</v>
      </c>
      <c r="BC138" t="str">
        <f>VLOOKUP($E138,'Formatted NEW'!$M$2:$T$202,6,FALSE)</f>
        <v>EMPTY</v>
      </c>
      <c r="BD138" s="26" t="e">
        <f>VLOOKUP(VLOOKUP(VLOOKUP($E138,'Formatted NEW'!$M$2:$O$202,2,FALSE),'Formatted NEW'!$D$2:$F$202,7,FALSE),'Formatted NEW'!$D$2:$O$202,12,FALSE)</f>
        <v>#REF!</v>
      </c>
      <c r="BE138" t="e">
        <f>VLOOKUP($BD138,'Formatted NEW'!$M$2:$T$202,5,FALSE)</f>
        <v>#REF!</v>
      </c>
      <c r="BF138" s="26" t="e">
        <f t="shared" si="9"/>
        <v>#REF!</v>
      </c>
      <c r="BH138">
        <f>VLOOKUP($E138,'Formatted NEW'!$M$2:$T$202,4,FALSE)</f>
        <v>0</v>
      </c>
      <c r="BI138" s="26" t="e">
        <f>VLOOKUP(VLOOKUP(VLOOKUP($E138,'Formatted NEW'!$M$2:$O$202,2,FALSE),'Formatted NEW'!$D$2:$F$202,10,FALSE),'Formatted NEW'!$D$2:$O$202,12,FALSE)</f>
        <v>#REF!</v>
      </c>
      <c r="BJ138" t="e">
        <f>VLOOKUP($BI138,'Formatted NEW'!$M$2:$T$202,3,FALSE)</f>
        <v>#REF!</v>
      </c>
      <c r="BK138" s="26" t="e">
        <f t="shared" si="10"/>
        <v>#REF!</v>
      </c>
    </row>
    <row r="139" spans="1:63" x14ac:dyDescent="0.25">
      <c r="A139" t="str">
        <f>'Formatted NEW'!Q137</f>
        <v>EMPTY</v>
      </c>
      <c r="B139" t="str">
        <f>'Formatted NEW'!R137</f>
        <v>ORTHO_LEFT</v>
      </c>
      <c r="C139" t="str">
        <f>'Formatted NEW'!S137</f>
        <v>EMPTY</v>
      </c>
      <c r="D139" t="str">
        <f>'Formatted NEW'!T137</f>
        <v>ORTHO_UP</v>
      </c>
      <c r="E139" s="26">
        <f t="shared" si="8"/>
        <v>135</v>
      </c>
      <c r="H139" s="30" t="str" cm="1">
        <f t="array" aca="1" ref="H139" ca="1">IF(ISNUMBER(SEARCH(INDIRECT(ADDRESS(ROW(H139),MOD(H$1,4)+1)),H$2)),$E139,"")</f>
        <v/>
      </c>
      <c r="I139" s="26" t="str" cm="1">
        <f t="array" aca="1" ref="I139" ca="1">IF(ISNUMBER(SEARCH(INDIRECT(ADDRESS(ROW(I139),MOD(I$1,4)+1)),I$2)),$E139,"")</f>
        <v/>
      </c>
      <c r="J139" s="26" t="str" cm="1">
        <f t="array" aca="1" ref="J139" ca="1">IF(ISNUMBER(SEARCH(INDIRECT(ADDRESS(ROW(J139),MOD(J$1,4)+1)),J$2)),$E139,"")</f>
        <v/>
      </c>
      <c r="K139" s="26" t="str" cm="1">
        <f t="array" aca="1" ref="K139" ca="1">IF(ISNUMBER(SEARCH(INDIRECT(ADDRESS(ROW(K139),MOD(K$1,4)+1)),K$2)),$E139,"")</f>
        <v/>
      </c>
      <c r="L139" s="26" t="str" cm="1">
        <f t="array" aca="1" ref="L139" ca="1">IF(ISNUMBER(SEARCH(INDIRECT(ADDRESS(ROW(L139),MOD(L$1,4)+1)),L$2)),$E139,"")</f>
        <v/>
      </c>
      <c r="M139" s="26" t="str" cm="1">
        <f t="array" aca="1" ref="M139" ca="1">IF(ISNUMBER(SEARCH(INDIRECT(ADDRESS(ROW(M139),MOD(M$1,4)+1)),M$2)),$E139,"")</f>
        <v/>
      </c>
      <c r="N139" s="26" t="str" cm="1">
        <f t="array" aca="1" ref="N139" ca="1">IF(ISNUMBER(SEARCH(INDIRECT(ADDRESS(ROW(N139),MOD(N$1,4)+1)),N$2)),$E139,"")</f>
        <v/>
      </c>
      <c r="O139" s="26" t="str" cm="1">
        <f t="array" aca="1" ref="O139" ca="1">IF(ISNUMBER(SEARCH(INDIRECT(ADDRESS(ROW(O139),MOD(O$1,4)+1)),O$2)),$E139,"")</f>
        <v/>
      </c>
      <c r="P139" s="26" t="str" cm="1">
        <f t="array" aca="1" ref="P139" ca="1">IF(ISNUMBER(SEARCH(INDIRECT(ADDRESS(ROW(P139),MOD(P$1,4)+1)),P$2)),$E139,"")</f>
        <v/>
      </c>
      <c r="Q139" s="26" t="str" cm="1">
        <f t="array" aca="1" ref="Q139" ca="1">IF(ISNUMBER(SEARCH(INDIRECT(ADDRESS(ROW(Q139),MOD(Q$1,4)+1)),Q$2)),$E139,"")</f>
        <v/>
      </c>
      <c r="R139" s="26" t="str" cm="1">
        <f t="array" aca="1" ref="R139" ca="1">IF(ISNUMBER(SEARCH(INDIRECT(ADDRESS(ROW(R139),MOD(R$1,4)+1)),R$2)),$E139,"")</f>
        <v/>
      </c>
      <c r="S139" s="26" t="str" cm="1">
        <f t="array" aca="1" ref="S139" ca="1">IF(ISNUMBER(SEARCH(INDIRECT(ADDRESS(ROW(S139),MOD(S$1,4)+1)),S$2)),$E139,"")</f>
        <v/>
      </c>
      <c r="T139" s="26" t="str" cm="1">
        <f t="array" aca="1" ref="T139" ca="1">IF(ISNUMBER(SEARCH(INDIRECT(ADDRESS(ROW(T139),MOD(T$1,4)+1)),T$2)),$E139,"")</f>
        <v/>
      </c>
      <c r="U139" s="26" t="str" cm="1">
        <f t="array" aca="1" ref="U139" ca="1">IF(ISNUMBER(SEARCH(INDIRECT(ADDRESS(ROW(U139),MOD(U$1,4)+1)),U$2)),$E139,"")</f>
        <v/>
      </c>
      <c r="V139" s="26" t="str" cm="1">
        <f t="array" aca="1" ref="V139" ca="1">IF(ISNUMBER(SEARCH(INDIRECT(ADDRESS(ROW(V139),MOD(V$1,4)+1)),V$2)),$E139,"")</f>
        <v/>
      </c>
      <c r="W139" s="26" t="str" cm="1">
        <f t="array" aca="1" ref="W139" ca="1">IF(ISNUMBER(SEARCH(INDIRECT(ADDRESS(ROW(W139),MOD(W$1,4)+1)),W$2)),$E139,"")</f>
        <v/>
      </c>
      <c r="X139" s="26" t="str" cm="1">
        <f t="array" aca="1" ref="X139" ca="1">IF(ISNUMBER(SEARCH(INDIRECT(ADDRESS(ROW(X139),MOD(X$1,4)+1)),X$2)),$E139,"")</f>
        <v/>
      </c>
      <c r="Y139" s="26" t="str" cm="1">
        <f t="array" aca="1" ref="Y139" ca="1">IF(ISNUMBER(SEARCH(INDIRECT(ADDRESS(ROW(Y139),MOD(Y$1,4)+1)),Y$2)),$E139,"")</f>
        <v/>
      </c>
      <c r="Z139" s="26" t="str" cm="1">
        <f t="array" aca="1" ref="Z139" ca="1">IF(ISNUMBER(SEARCH(INDIRECT(ADDRESS(ROW(Z139),MOD(Z$1,4)+1)),Z$2)),$E139,"")</f>
        <v/>
      </c>
      <c r="AA139" s="26" t="str" cm="1">
        <f t="array" aca="1" ref="AA139" ca="1">IF(ISNUMBER(SEARCH(INDIRECT(ADDRESS(ROW(AA139),MOD(AA$1,4)+1)),AA$2)),$E139,"")</f>
        <v/>
      </c>
      <c r="AB139" s="26" t="str" cm="1">
        <f t="array" aca="1" ref="AB139" ca="1">IF(ISNUMBER(SEARCH(INDIRECT(ADDRESS(ROW(AB139),MOD(AB$1,4)+1)),AB$2)),$E139,"")</f>
        <v/>
      </c>
      <c r="AC139" s="26" t="str" cm="1">
        <f t="array" aca="1" ref="AC139" ca="1">IF(ISNUMBER(SEARCH(INDIRECT(ADDRESS(ROW(AC139),MOD(AC$1,4)+1)),AC$2)),$E139,"")</f>
        <v/>
      </c>
      <c r="AD139" s="26" t="str" cm="1">
        <f t="array" aca="1" ref="AD139" ca="1">IF(ISNUMBER(SEARCH(INDIRECT(ADDRESS(ROW(AD139),MOD(AD$1,4)+1)),AD$2)),$E139,"")</f>
        <v/>
      </c>
      <c r="AE139" s="26" t="str" cm="1">
        <f t="array" aca="1" ref="AE139" ca="1">IF(ISNUMBER(SEARCH(INDIRECT(ADDRESS(ROW(AE139),MOD(AE$1,4)+1)),AE$2)),$E139,"")</f>
        <v/>
      </c>
      <c r="AF139" s="26" t="str" cm="1">
        <f t="array" aca="1" ref="AF139" ca="1">IF(ISNUMBER(SEARCH(INDIRECT(ADDRESS(ROW(AF139),MOD(AF$1,4)+1)),AF$2)),$E139,"")</f>
        <v/>
      </c>
      <c r="AG139" s="26" t="str" cm="1">
        <f t="array" aca="1" ref="AG139" ca="1">IF(ISNUMBER(SEARCH(INDIRECT(ADDRESS(ROW(AG139),MOD(AG$1,4)+1)),AG$2)),$E139,"")</f>
        <v/>
      </c>
      <c r="AH139" s="26" t="str" cm="1">
        <f t="array" aca="1" ref="AH139" ca="1">IF(ISNUMBER(SEARCH(INDIRECT(ADDRESS(ROW(AH139),MOD(AH$1,4)+1)),AH$2)),$E139,"")</f>
        <v/>
      </c>
      <c r="AI139" s="26" t="str" cm="1">
        <f t="array" aca="1" ref="AI139" ca="1">IF(ISNUMBER(SEARCH(INDIRECT(ADDRESS(ROW(AI139),MOD(AI$1,4)+1)),AI$2)),$E139,"")</f>
        <v/>
      </c>
      <c r="AJ139" s="26" t="str" cm="1">
        <f t="array" aca="1" ref="AJ139" ca="1">IF(ISNUMBER(SEARCH(INDIRECT(ADDRESS(ROW(AJ139),MOD(AJ$1,4)+1)),AJ$2)),$E139,"")</f>
        <v/>
      </c>
      <c r="AK139" s="26" cm="1">
        <f t="array" aca="1" ref="AK139" ca="1">IF(ISNUMBER(SEARCH(INDIRECT(ADDRESS(ROW(AK139),MOD(AK$1,4)+1)),AK$2)),$E139,"")</f>
        <v>135</v>
      </c>
      <c r="AL139" s="26" t="str" cm="1">
        <f t="array" aca="1" ref="AL139" ca="1">IF(ISNUMBER(SEARCH(INDIRECT(ADDRESS(ROW(AL139),MOD(AL$1,4)+1)),AL$2)),$E139,"")</f>
        <v/>
      </c>
      <c r="AM139" s="26" t="str" cm="1">
        <f t="array" aca="1" ref="AM139" ca="1">IF(ISNUMBER(SEARCH(INDIRECT(ADDRESS(ROW(AM139),MOD(AM$1,4)+1)),AM$2)),$E139,"")</f>
        <v/>
      </c>
      <c r="AN139" s="26" t="str" cm="1">
        <f t="array" aca="1" ref="AN139" ca="1">IF(ISNUMBER(SEARCH(INDIRECT(ADDRESS(ROW(AN139),MOD(AN$1,4)+1)),AN$2)),$E139,"")</f>
        <v/>
      </c>
      <c r="AO139" s="26" t="str" cm="1">
        <f t="array" aca="1" ref="AO139" ca="1">IF(ISNUMBER(SEARCH(INDIRECT(ADDRESS(ROW(AO139),MOD(AO$1,4)+1)),AO$2)),$E139,"")</f>
        <v/>
      </c>
      <c r="AP139" s="26" t="str" cm="1">
        <f t="array" aca="1" ref="AP139" ca="1">IF(ISNUMBER(SEARCH(INDIRECT(ADDRESS(ROW(AP139),MOD(AP$1,4)+1)),AP$2)),$E139,"")</f>
        <v/>
      </c>
      <c r="AQ139" s="31" t="str" cm="1">
        <f t="array" aca="1" ref="AQ139" ca="1">IF(ISNUMBER(SEARCH(INDIRECT(ADDRESS(ROW(AQ139),MOD(AQ$1,4)+1)),AQ$2)),$E139,"")</f>
        <v/>
      </c>
      <c r="AT139" t="e">
        <f>IF(VLOOKUP($E139,'Formatted NEW'!$B$2:$F$202,5,FALSE)=VLOOKUP($E139,'Formatted NEW'!$B$2:$F$202,8,FALSE),$E139,"")</f>
        <v>#N/A</v>
      </c>
      <c r="AW139" t="e">
        <f>IF(VLOOKUP($E139,'Formatted NEW'!$B$2:$F$202,5,FALSE)=VLOOKUP($E139,'Formatted NEW'!$B$2:$F$202,11,FALSE),$E139,"")</f>
        <v>#N/A</v>
      </c>
      <c r="AZ139" t="e">
        <f>IF(VLOOKUP($E139,'Formatted NEW'!$B$2:$F$202,5,FALSE)=VLOOKUP($E139,'Formatted NEW'!$B$2:$F$202,14,FALSE),$E139,"")</f>
        <v>#N/A</v>
      </c>
      <c r="BC139" t="str">
        <f>VLOOKUP($E139,'Formatted NEW'!$M$2:$T$202,6,FALSE)</f>
        <v>ORTHO_LEFT</v>
      </c>
      <c r="BD139" s="26" t="e">
        <f>VLOOKUP(VLOOKUP(VLOOKUP($E139,'Formatted NEW'!$M$2:$O$202,2,FALSE),'Formatted NEW'!$D$2:$F$202,7,FALSE),'Formatted NEW'!$D$2:$O$202,12,FALSE)</f>
        <v>#REF!</v>
      </c>
      <c r="BE139" t="e">
        <f>VLOOKUP($BD139,'Formatted NEW'!$M$2:$T$202,5,FALSE)</f>
        <v>#REF!</v>
      </c>
      <c r="BF139" s="26" t="e">
        <f t="shared" si="9"/>
        <v>#REF!</v>
      </c>
      <c r="BH139">
        <f>VLOOKUP($E139,'Formatted NEW'!$M$2:$T$202,4,FALSE)</f>
        <v>0</v>
      </c>
      <c r="BI139" s="26" t="e">
        <f>VLOOKUP(VLOOKUP(VLOOKUP($E139,'Formatted NEW'!$M$2:$O$202,2,FALSE),'Formatted NEW'!$D$2:$F$202,10,FALSE),'Formatted NEW'!$D$2:$O$202,12,FALSE)</f>
        <v>#REF!</v>
      </c>
      <c r="BJ139" t="e">
        <f>VLOOKUP($BI139,'Formatted NEW'!$M$2:$T$202,3,FALSE)</f>
        <v>#REF!</v>
      </c>
      <c r="BK139" s="26" t="e">
        <f t="shared" si="10"/>
        <v>#REF!</v>
      </c>
    </row>
    <row r="140" spans="1:63" x14ac:dyDescent="0.25">
      <c r="A140" t="str">
        <f>'Formatted NEW'!Q138</f>
        <v>EMPTY</v>
      </c>
      <c r="B140" t="str">
        <f>'Formatted NEW'!R138</f>
        <v>ORTHO_RIGHT</v>
      </c>
      <c r="C140" t="str">
        <f>'Formatted NEW'!S138</f>
        <v>ORTHO_UP</v>
      </c>
      <c r="D140" t="str">
        <f>'Formatted NEW'!T138</f>
        <v>EMPTY</v>
      </c>
      <c r="E140" s="26">
        <f t="shared" si="8"/>
        <v>136</v>
      </c>
      <c r="H140" s="30" t="str" cm="1">
        <f t="array" aca="1" ref="H140" ca="1">IF(ISNUMBER(SEARCH(INDIRECT(ADDRESS(ROW(H140),MOD(H$1,4)+1)),H$2)),$E140,"")</f>
        <v/>
      </c>
      <c r="I140" s="26" t="str" cm="1">
        <f t="array" aca="1" ref="I140" ca="1">IF(ISNUMBER(SEARCH(INDIRECT(ADDRESS(ROW(I140),MOD(I$1,4)+1)),I$2)),$E140,"")</f>
        <v/>
      </c>
      <c r="J140" s="26" t="str" cm="1">
        <f t="array" aca="1" ref="J140" ca="1">IF(ISNUMBER(SEARCH(INDIRECT(ADDRESS(ROW(J140),MOD(J$1,4)+1)),J$2)),$E140,"")</f>
        <v/>
      </c>
      <c r="K140" s="26" t="str" cm="1">
        <f t="array" aca="1" ref="K140" ca="1">IF(ISNUMBER(SEARCH(INDIRECT(ADDRESS(ROW(K140),MOD(K$1,4)+1)),K$2)),$E140,"")</f>
        <v/>
      </c>
      <c r="L140" s="26" t="str" cm="1">
        <f t="array" aca="1" ref="L140" ca="1">IF(ISNUMBER(SEARCH(INDIRECT(ADDRESS(ROW(L140),MOD(L$1,4)+1)),L$2)),$E140,"")</f>
        <v/>
      </c>
      <c r="M140" s="26" t="str" cm="1">
        <f t="array" aca="1" ref="M140" ca="1">IF(ISNUMBER(SEARCH(INDIRECT(ADDRESS(ROW(M140),MOD(M$1,4)+1)),M$2)),$E140,"")</f>
        <v/>
      </c>
      <c r="N140" s="26" t="str" cm="1">
        <f t="array" aca="1" ref="N140" ca="1">IF(ISNUMBER(SEARCH(INDIRECT(ADDRESS(ROW(N140),MOD(N$1,4)+1)),N$2)),$E140,"")</f>
        <v/>
      </c>
      <c r="O140" s="26" t="str" cm="1">
        <f t="array" aca="1" ref="O140" ca="1">IF(ISNUMBER(SEARCH(INDIRECT(ADDRESS(ROW(O140),MOD(O$1,4)+1)),O$2)),$E140,"")</f>
        <v/>
      </c>
      <c r="P140" s="26" t="str" cm="1">
        <f t="array" aca="1" ref="P140" ca="1">IF(ISNUMBER(SEARCH(INDIRECT(ADDRESS(ROW(P140),MOD(P$1,4)+1)),P$2)),$E140,"")</f>
        <v/>
      </c>
      <c r="Q140" s="26" t="str" cm="1">
        <f t="array" aca="1" ref="Q140" ca="1">IF(ISNUMBER(SEARCH(INDIRECT(ADDRESS(ROW(Q140),MOD(Q$1,4)+1)),Q$2)),$E140,"")</f>
        <v/>
      </c>
      <c r="R140" s="26" t="str" cm="1">
        <f t="array" aca="1" ref="R140" ca="1">IF(ISNUMBER(SEARCH(INDIRECT(ADDRESS(ROW(R140),MOD(R$1,4)+1)),R$2)),$E140,"")</f>
        <v/>
      </c>
      <c r="S140" s="26" t="str" cm="1">
        <f t="array" aca="1" ref="S140" ca="1">IF(ISNUMBER(SEARCH(INDIRECT(ADDRESS(ROW(S140),MOD(S$1,4)+1)),S$2)),$E140,"")</f>
        <v/>
      </c>
      <c r="T140" s="26" t="str" cm="1">
        <f t="array" aca="1" ref="T140" ca="1">IF(ISNUMBER(SEARCH(INDIRECT(ADDRESS(ROW(T140),MOD(T$1,4)+1)),T$2)),$E140,"")</f>
        <v/>
      </c>
      <c r="U140" s="26" t="str" cm="1">
        <f t="array" aca="1" ref="U140" ca="1">IF(ISNUMBER(SEARCH(INDIRECT(ADDRESS(ROW(U140),MOD(U$1,4)+1)),U$2)),$E140,"")</f>
        <v/>
      </c>
      <c r="V140" s="26" t="str" cm="1">
        <f t="array" aca="1" ref="V140" ca="1">IF(ISNUMBER(SEARCH(INDIRECT(ADDRESS(ROW(V140),MOD(V$1,4)+1)),V$2)),$E140,"")</f>
        <v/>
      </c>
      <c r="W140" s="26" t="str" cm="1">
        <f t="array" aca="1" ref="W140" ca="1">IF(ISNUMBER(SEARCH(INDIRECT(ADDRESS(ROW(W140),MOD(W$1,4)+1)),W$2)),$E140,"")</f>
        <v/>
      </c>
      <c r="X140" s="26" t="str" cm="1">
        <f t="array" aca="1" ref="X140" ca="1">IF(ISNUMBER(SEARCH(INDIRECT(ADDRESS(ROW(X140),MOD(X$1,4)+1)),X$2)),$E140,"")</f>
        <v/>
      </c>
      <c r="Y140" s="26" t="str" cm="1">
        <f t="array" aca="1" ref="Y140" ca="1">IF(ISNUMBER(SEARCH(INDIRECT(ADDRESS(ROW(Y140),MOD(Y$1,4)+1)),Y$2)),$E140,"")</f>
        <v/>
      </c>
      <c r="Z140" s="26" t="str" cm="1">
        <f t="array" aca="1" ref="Z140" ca="1">IF(ISNUMBER(SEARCH(INDIRECT(ADDRESS(ROW(Z140),MOD(Z$1,4)+1)),Z$2)),$E140,"")</f>
        <v/>
      </c>
      <c r="AA140" s="26" t="str" cm="1">
        <f t="array" aca="1" ref="AA140" ca="1">IF(ISNUMBER(SEARCH(INDIRECT(ADDRESS(ROW(AA140),MOD(AA$1,4)+1)),AA$2)),$E140,"")</f>
        <v/>
      </c>
      <c r="AB140" s="26" t="str" cm="1">
        <f t="array" aca="1" ref="AB140" ca="1">IF(ISNUMBER(SEARCH(INDIRECT(ADDRESS(ROW(AB140),MOD(AB$1,4)+1)),AB$2)),$E140,"")</f>
        <v/>
      </c>
      <c r="AC140" s="26" t="str" cm="1">
        <f t="array" aca="1" ref="AC140" ca="1">IF(ISNUMBER(SEARCH(INDIRECT(ADDRESS(ROW(AC140),MOD(AC$1,4)+1)),AC$2)),$E140,"")</f>
        <v/>
      </c>
      <c r="AD140" s="26" t="str" cm="1">
        <f t="array" aca="1" ref="AD140" ca="1">IF(ISNUMBER(SEARCH(INDIRECT(ADDRESS(ROW(AD140),MOD(AD$1,4)+1)),AD$2)),$E140,"")</f>
        <v/>
      </c>
      <c r="AE140" s="26" t="str" cm="1">
        <f t="array" aca="1" ref="AE140" ca="1">IF(ISNUMBER(SEARCH(INDIRECT(ADDRESS(ROW(AE140),MOD(AE$1,4)+1)),AE$2)),$E140,"")</f>
        <v/>
      </c>
      <c r="AF140" s="26" t="str" cm="1">
        <f t="array" aca="1" ref="AF140" ca="1">IF(ISNUMBER(SEARCH(INDIRECT(ADDRESS(ROW(AF140),MOD(AF$1,4)+1)),AF$2)),$E140,"")</f>
        <v/>
      </c>
      <c r="AG140" s="26" t="str" cm="1">
        <f t="array" aca="1" ref="AG140" ca="1">IF(ISNUMBER(SEARCH(INDIRECT(ADDRESS(ROW(AG140),MOD(AG$1,4)+1)),AG$2)),$E140,"")</f>
        <v/>
      </c>
      <c r="AH140" s="26" t="str" cm="1">
        <f t="array" aca="1" ref="AH140" ca="1">IF(ISNUMBER(SEARCH(INDIRECT(ADDRESS(ROW(AH140),MOD(AH$1,4)+1)),AH$2)),$E140,"")</f>
        <v/>
      </c>
      <c r="AI140" s="26" t="str" cm="1">
        <f t="array" aca="1" ref="AI140" ca="1">IF(ISNUMBER(SEARCH(INDIRECT(ADDRESS(ROW(AI140),MOD(AI$1,4)+1)),AI$2)),$E140,"")</f>
        <v/>
      </c>
      <c r="AJ140" s="26" t="str" cm="1">
        <f t="array" aca="1" ref="AJ140" ca="1">IF(ISNUMBER(SEARCH(INDIRECT(ADDRESS(ROW(AJ140),MOD(AJ$1,4)+1)),AJ$2)),$E140,"")</f>
        <v/>
      </c>
      <c r="AK140" s="26" t="str" cm="1">
        <f t="array" aca="1" ref="AK140" ca="1">IF(ISNUMBER(SEARCH(INDIRECT(ADDRESS(ROW(AK140),MOD(AK$1,4)+1)),AK$2)),$E140,"")</f>
        <v/>
      </c>
      <c r="AL140" s="26" t="str" cm="1">
        <f t="array" aca="1" ref="AL140" ca="1">IF(ISNUMBER(SEARCH(INDIRECT(ADDRESS(ROW(AL140),MOD(AL$1,4)+1)),AL$2)),$E140,"")</f>
        <v/>
      </c>
      <c r="AM140" s="26" t="str" cm="1">
        <f t="array" aca="1" ref="AM140" ca="1">IF(ISNUMBER(SEARCH(INDIRECT(ADDRESS(ROW(AM140),MOD(AM$1,4)+1)),AM$2)),$E140,"")</f>
        <v/>
      </c>
      <c r="AN140" s="26" t="str" cm="1">
        <f t="array" aca="1" ref="AN140" ca="1">IF(ISNUMBER(SEARCH(INDIRECT(ADDRESS(ROW(AN140),MOD(AN$1,4)+1)),AN$2)),$E140,"")</f>
        <v/>
      </c>
      <c r="AO140" s="26" cm="1">
        <f t="array" aca="1" ref="AO140" ca="1">IF(ISNUMBER(SEARCH(INDIRECT(ADDRESS(ROW(AO140),MOD(AO$1,4)+1)),AO$2)),$E140,"")</f>
        <v>136</v>
      </c>
      <c r="AP140" s="26" t="str" cm="1">
        <f t="array" aca="1" ref="AP140" ca="1">IF(ISNUMBER(SEARCH(INDIRECT(ADDRESS(ROW(AP140),MOD(AP$1,4)+1)),AP$2)),$E140,"")</f>
        <v/>
      </c>
      <c r="AQ140" s="31" t="str" cm="1">
        <f t="array" aca="1" ref="AQ140" ca="1">IF(ISNUMBER(SEARCH(INDIRECT(ADDRESS(ROW(AQ140),MOD(AQ$1,4)+1)),AQ$2)),$E140,"")</f>
        <v/>
      </c>
      <c r="AT140" t="e">
        <f>IF(VLOOKUP($E140,'Formatted NEW'!$B$2:$F$202,5,FALSE)=VLOOKUP($E140,'Formatted NEW'!$B$2:$F$202,8,FALSE),$E140,"")</f>
        <v>#N/A</v>
      </c>
      <c r="AW140" t="e">
        <f>IF(VLOOKUP($E140,'Formatted NEW'!$B$2:$F$202,5,FALSE)=VLOOKUP($E140,'Formatted NEW'!$B$2:$F$202,11,FALSE),$E140,"")</f>
        <v>#N/A</v>
      </c>
      <c r="AZ140" t="e">
        <f>IF(VLOOKUP($E140,'Formatted NEW'!$B$2:$F$202,5,FALSE)=VLOOKUP($E140,'Formatted NEW'!$B$2:$F$202,14,FALSE),$E140,"")</f>
        <v>#N/A</v>
      </c>
      <c r="BC140" t="str">
        <f>VLOOKUP($E140,'Formatted NEW'!$M$2:$T$202,6,FALSE)</f>
        <v>ORTHO_RIGHT</v>
      </c>
      <c r="BD140" s="26" t="e">
        <f>VLOOKUP(VLOOKUP(VLOOKUP($E140,'Formatted NEW'!$M$2:$O$202,2,FALSE),'Formatted NEW'!$D$2:$F$202,7,FALSE),'Formatted NEW'!$D$2:$O$202,12,FALSE)</f>
        <v>#REF!</v>
      </c>
      <c r="BE140" t="e">
        <f>VLOOKUP($BD140,'Formatted NEW'!$M$2:$T$202,5,FALSE)</f>
        <v>#REF!</v>
      </c>
      <c r="BF140" s="26" t="e">
        <f t="shared" si="9"/>
        <v>#REF!</v>
      </c>
      <c r="BH140">
        <f>VLOOKUP($E140,'Formatted NEW'!$M$2:$T$202,4,FALSE)</f>
        <v>0</v>
      </c>
      <c r="BI140" s="26" t="e">
        <f>VLOOKUP(VLOOKUP(VLOOKUP($E140,'Formatted NEW'!$M$2:$O$202,2,FALSE),'Formatted NEW'!$D$2:$F$202,10,FALSE),'Formatted NEW'!$D$2:$O$202,12,FALSE)</f>
        <v>#REF!</v>
      </c>
      <c r="BJ140" t="e">
        <f>VLOOKUP($BI140,'Formatted NEW'!$M$2:$T$202,3,FALSE)</f>
        <v>#REF!</v>
      </c>
      <c r="BK140" s="26" t="e">
        <f t="shared" si="10"/>
        <v>#REF!</v>
      </c>
    </row>
    <row r="141" spans="1:63" x14ac:dyDescent="0.25">
      <c r="A141" t="str">
        <f>'Formatted NEW'!Q139</f>
        <v>ORTHO_LEFT</v>
      </c>
      <c r="B141" t="str">
        <f>'Formatted NEW'!R139</f>
        <v>EMPTY</v>
      </c>
      <c r="C141" t="str">
        <f>'Formatted NEW'!S139</f>
        <v>EMPTY</v>
      </c>
      <c r="D141" t="str">
        <f>'Formatted NEW'!T139</f>
        <v>ORTHO_DOWN</v>
      </c>
      <c r="E141" s="26">
        <f t="shared" si="8"/>
        <v>137</v>
      </c>
      <c r="H141" s="30" t="str" cm="1">
        <f t="array" aca="1" ref="H141" ca="1">IF(ISNUMBER(SEARCH(INDIRECT(ADDRESS(ROW(H141),MOD(H$1,4)+1)),H$2)),$E141,"")</f>
        <v/>
      </c>
      <c r="I141" s="26" t="str" cm="1">
        <f t="array" aca="1" ref="I141" ca="1">IF(ISNUMBER(SEARCH(INDIRECT(ADDRESS(ROW(I141),MOD(I$1,4)+1)),I$2)),$E141,"")</f>
        <v/>
      </c>
      <c r="J141" s="26" t="str" cm="1">
        <f t="array" aca="1" ref="J141" ca="1">IF(ISNUMBER(SEARCH(INDIRECT(ADDRESS(ROW(J141),MOD(J$1,4)+1)),J$2)),$E141,"")</f>
        <v/>
      </c>
      <c r="K141" s="26" t="str" cm="1">
        <f t="array" aca="1" ref="K141" ca="1">IF(ISNUMBER(SEARCH(INDIRECT(ADDRESS(ROW(K141),MOD(K$1,4)+1)),K$2)),$E141,"")</f>
        <v/>
      </c>
      <c r="L141" s="26" t="str" cm="1">
        <f t="array" aca="1" ref="L141" ca="1">IF(ISNUMBER(SEARCH(INDIRECT(ADDRESS(ROW(L141),MOD(L$1,4)+1)),L$2)),$E141,"")</f>
        <v/>
      </c>
      <c r="M141" s="26" t="str" cm="1">
        <f t="array" aca="1" ref="M141" ca="1">IF(ISNUMBER(SEARCH(INDIRECT(ADDRESS(ROW(M141),MOD(M$1,4)+1)),M$2)),$E141,"")</f>
        <v/>
      </c>
      <c r="N141" s="26" t="str" cm="1">
        <f t="array" aca="1" ref="N141" ca="1">IF(ISNUMBER(SEARCH(INDIRECT(ADDRESS(ROW(N141),MOD(N$1,4)+1)),N$2)),$E141,"")</f>
        <v/>
      </c>
      <c r="O141" s="26" t="str" cm="1">
        <f t="array" aca="1" ref="O141" ca="1">IF(ISNUMBER(SEARCH(INDIRECT(ADDRESS(ROW(O141),MOD(O$1,4)+1)),O$2)),$E141,"")</f>
        <v/>
      </c>
      <c r="P141" s="26" t="str" cm="1">
        <f t="array" aca="1" ref="P141" ca="1">IF(ISNUMBER(SEARCH(INDIRECT(ADDRESS(ROW(P141),MOD(P$1,4)+1)),P$2)),$E141,"")</f>
        <v/>
      </c>
      <c r="Q141" s="26" t="str" cm="1">
        <f t="array" aca="1" ref="Q141" ca="1">IF(ISNUMBER(SEARCH(INDIRECT(ADDRESS(ROW(Q141),MOD(Q$1,4)+1)),Q$2)),$E141,"")</f>
        <v/>
      </c>
      <c r="R141" s="26" t="str" cm="1">
        <f t="array" aca="1" ref="R141" ca="1">IF(ISNUMBER(SEARCH(INDIRECT(ADDRESS(ROW(R141),MOD(R$1,4)+1)),R$2)),$E141,"")</f>
        <v/>
      </c>
      <c r="S141" s="26" t="str" cm="1">
        <f t="array" aca="1" ref="S141" ca="1">IF(ISNUMBER(SEARCH(INDIRECT(ADDRESS(ROW(S141),MOD(S$1,4)+1)),S$2)),$E141,"")</f>
        <v/>
      </c>
      <c r="T141" s="26" t="str" cm="1">
        <f t="array" aca="1" ref="T141" ca="1">IF(ISNUMBER(SEARCH(INDIRECT(ADDRESS(ROW(T141),MOD(T$1,4)+1)),T$2)),$E141,"")</f>
        <v/>
      </c>
      <c r="U141" s="26" t="str" cm="1">
        <f t="array" aca="1" ref="U141" ca="1">IF(ISNUMBER(SEARCH(INDIRECT(ADDRESS(ROW(U141),MOD(U$1,4)+1)),U$2)),$E141,"")</f>
        <v/>
      </c>
      <c r="V141" s="26" t="str" cm="1">
        <f t="array" aca="1" ref="V141" ca="1">IF(ISNUMBER(SEARCH(INDIRECT(ADDRESS(ROW(V141),MOD(V$1,4)+1)),V$2)),$E141,"")</f>
        <v/>
      </c>
      <c r="W141" s="26" t="str" cm="1">
        <f t="array" aca="1" ref="W141" ca="1">IF(ISNUMBER(SEARCH(INDIRECT(ADDRESS(ROW(W141),MOD(W$1,4)+1)),W$2)),$E141,"")</f>
        <v/>
      </c>
      <c r="X141" s="26" t="str" cm="1">
        <f t="array" aca="1" ref="X141" ca="1">IF(ISNUMBER(SEARCH(INDIRECT(ADDRESS(ROW(X141),MOD(X$1,4)+1)),X$2)),$E141,"")</f>
        <v/>
      </c>
      <c r="Y141" s="26" t="str" cm="1">
        <f t="array" aca="1" ref="Y141" ca="1">IF(ISNUMBER(SEARCH(INDIRECT(ADDRESS(ROW(Y141),MOD(Y$1,4)+1)),Y$2)),$E141,"")</f>
        <v/>
      </c>
      <c r="Z141" s="26" t="str" cm="1">
        <f t="array" aca="1" ref="Z141" ca="1">IF(ISNUMBER(SEARCH(INDIRECT(ADDRESS(ROW(Z141),MOD(Z$1,4)+1)),Z$2)),$E141,"")</f>
        <v/>
      </c>
      <c r="AA141" s="26" t="str" cm="1">
        <f t="array" aca="1" ref="AA141" ca="1">IF(ISNUMBER(SEARCH(INDIRECT(ADDRESS(ROW(AA141),MOD(AA$1,4)+1)),AA$2)),$E141,"")</f>
        <v/>
      </c>
      <c r="AB141" s="26" t="str" cm="1">
        <f t="array" aca="1" ref="AB141" ca="1">IF(ISNUMBER(SEARCH(INDIRECT(ADDRESS(ROW(AB141),MOD(AB$1,4)+1)),AB$2)),$E141,"")</f>
        <v/>
      </c>
      <c r="AC141" s="26" t="str" cm="1">
        <f t="array" aca="1" ref="AC141" ca="1">IF(ISNUMBER(SEARCH(INDIRECT(ADDRESS(ROW(AC141),MOD(AC$1,4)+1)),AC$2)),$E141,"")</f>
        <v/>
      </c>
      <c r="AD141" s="26" t="str" cm="1">
        <f t="array" aca="1" ref="AD141" ca="1">IF(ISNUMBER(SEARCH(INDIRECT(ADDRESS(ROW(AD141),MOD(AD$1,4)+1)),AD$2)),$E141,"")</f>
        <v/>
      </c>
      <c r="AE141" s="26" t="str" cm="1">
        <f t="array" aca="1" ref="AE141" ca="1">IF(ISNUMBER(SEARCH(INDIRECT(ADDRESS(ROW(AE141),MOD(AE$1,4)+1)),AE$2)),$E141,"")</f>
        <v/>
      </c>
      <c r="AF141" s="26" t="str" cm="1">
        <f t="array" aca="1" ref="AF141" ca="1">IF(ISNUMBER(SEARCH(INDIRECT(ADDRESS(ROW(AF141),MOD(AF$1,4)+1)),AF$2)),$E141,"")</f>
        <v/>
      </c>
      <c r="AG141" s="26" t="str" cm="1">
        <f t="array" aca="1" ref="AG141" ca="1">IF(ISNUMBER(SEARCH(INDIRECT(ADDRESS(ROW(AG141),MOD(AG$1,4)+1)),AG$2)),$E141,"")</f>
        <v/>
      </c>
      <c r="AH141" s="26" t="str" cm="1">
        <f t="array" aca="1" ref="AH141" ca="1">IF(ISNUMBER(SEARCH(INDIRECT(ADDRESS(ROW(AH141),MOD(AH$1,4)+1)),AH$2)),$E141,"")</f>
        <v/>
      </c>
      <c r="AI141" s="26" t="str" cm="1">
        <f t="array" aca="1" ref="AI141" ca="1">IF(ISNUMBER(SEARCH(INDIRECT(ADDRESS(ROW(AI141),MOD(AI$1,4)+1)),AI$2)),$E141,"")</f>
        <v/>
      </c>
      <c r="AJ141" s="26" cm="1">
        <f t="array" aca="1" ref="AJ141" ca="1">IF(ISNUMBER(SEARCH(INDIRECT(ADDRESS(ROW(AJ141),MOD(AJ$1,4)+1)),AJ$2)),$E141,"")</f>
        <v>137</v>
      </c>
      <c r="AK141" s="26" t="str" cm="1">
        <f t="array" aca="1" ref="AK141" ca="1">IF(ISNUMBER(SEARCH(INDIRECT(ADDRESS(ROW(AK141),MOD(AK$1,4)+1)),AK$2)),$E141,"")</f>
        <v/>
      </c>
      <c r="AL141" s="26" t="str" cm="1">
        <f t="array" aca="1" ref="AL141" ca="1">IF(ISNUMBER(SEARCH(INDIRECT(ADDRESS(ROW(AL141),MOD(AL$1,4)+1)),AL$2)),$E141,"")</f>
        <v/>
      </c>
      <c r="AM141" s="26" t="str" cm="1">
        <f t="array" aca="1" ref="AM141" ca="1">IF(ISNUMBER(SEARCH(INDIRECT(ADDRESS(ROW(AM141),MOD(AM$1,4)+1)),AM$2)),$E141,"")</f>
        <v/>
      </c>
      <c r="AN141" s="26" t="str" cm="1">
        <f t="array" aca="1" ref="AN141" ca="1">IF(ISNUMBER(SEARCH(INDIRECT(ADDRESS(ROW(AN141),MOD(AN$1,4)+1)),AN$2)),$E141,"")</f>
        <v/>
      </c>
      <c r="AO141" s="26" t="str" cm="1">
        <f t="array" aca="1" ref="AO141" ca="1">IF(ISNUMBER(SEARCH(INDIRECT(ADDRESS(ROW(AO141),MOD(AO$1,4)+1)),AO$2)),$E141,"")</f>
        <v/>
      </c>
      <c r="AP141" s="26" t="str" cm="1">
        <f t="array" aca="1" ref="AP141" ca="1">IF(ISNUMBER(SEARCH(INDIRECT(ADDRESS(ROW(AP141),MOD(AP$1,4)+1)),AP$2)),$E141,"")</f>
        <v/>
      </c>
      <c r="AQ141" s="31" t="str" cm="1">
        <f t="array" aca="1" ref="AQ141" ca="1">IF(ISNUMBER(SEARCH(INDIRECT(ADDRESS(ROW(AQ141),MOD(AQ$1,4)+1)),AQ$2)),$E141,"")</f>
        <v/>
      </c>
      <c r="AT141" t="e">
        <f>IF(VLOOKUP($E141,'Formatted NEW'!$B$2:$F$202,5,FALSE)=VLOOKUP($E141,'Formatted NEW'!$B$2:$F$202,8,FALSE),$E141,"")</f>
        <v>#N/A</v>
      </c>
      <c r="AW141" t="e">
        <f>IF(VLOOKUP($E141,'Formatted NEW'!$B$2:$F$202,5,FALSE)=VLOOKUP($E141,'Formatted NEW'!$B$2:$F$202,11,FALSE),$E141,"")</f>
        <v>#N/A</v>
      </c>
      <c r="AZ141" t="e">
        <f>IF(VLOOKUP($E141,'Formatted NEW'!$B$2:$F$202,5,FALSE)=VLOOKUP($E141,'Formatted NEW'!$B$2:$F$202,14,FALSE),$E141,"")</f>
        <v>#N/A</v>
      </c>
      <c r="BC141" t="str">
        <f>VLOOKUP($E141,'Formatted NEW'!$M$2:$T$202,6,FALSE)</f>
        <v>EMPTY</v>
      </c>
      <c r="BD141" s="26" t="e">
        <f>VLOOKUP(VLOOKUP(VLOOKUP($E141,'Formatted NEW'!$M$2:$O$202,2,FALSE),'Formatted NEW'!$D$2:$F$202,7,FALSE),'Formatted NEW'!$D$2:$O$202,12,FALSE)</f>
        <v>#REF!</v>
      </c>
      <c r="BE141" t="e">
        <f>VLOOKUP($BD141,'Formatted NEW'!$M$2:$T$202,5,FALSE)</f>
        <v>#REF!</v>
      </c>
      <c r="BF141" s="26" t="e">
        <f t="shared" si="9"/>
        <v>#REF!</v>
      </c>
      <c r="BH141">
        <f>VLOOKUP($E141,'Formatted NEW'!$M$2:$T$202,4,FALSE)</f>
        <v>0</v>
      </c>
      <c r="BI141" s="26" t="e">
        <f>VLOOKUP(VLOOKUP(VLOOKUP($E141,'Formatted NEW'!$M$2:$O$202,2,FALSE),'Formatted NEW'!$D$2:$F$202,10,FALSE),'Formatted NEW'!$D$2:$O$202,12,FALSE)</f>
        <v>#REF!</v>
      </c>
      <c r="BJ141" t="e">
        <f>VLOOKUP($BI141,'Formatted NEW'!$M$2:$T$202,3,FALSE)</f>
        <v>#REF!</v>
      </c>
      <c r="BK141" s="26" t="e">
        <f t="shared" si="10"/>
        <v>#REF!</v>
      </c>
    </row>
    <row r="142" spans="1:63" x14ac:dyDescent="0.25">
      <c r="A142" t="str">
        <f>'Formatted NEW'!Q140</f>
        <v>ORTHO_RIGHT</v>
      </c>
      <c r="B142" t="str">
        <f>'Formatted NEW'!R140</f>
        <v>EMPTY</v>
      </c>
      <c r="C142" t="str">
        <f>'Formatted NEW'!S140</f>
        <v>ORTHO_DOWN</v>
      </c>
      <c r="D142" t="str">
        <f>'Formatted NEW'!T140</f>
        <v>EMPTY</v>
      </c>
      <c r="E142" s="26">
        <f t="shared" si="8"/>
        <v>138</v>
      </c>
      <c r="H142" s="30" t="str" cm="1">
        <f t="array" aca="1" ref="H142" ca="1">IF(ISNUMBER(SEARCH(INDIRECT(ADDRESS(ROW(H142),MOD(H$1,4)+1)),H$2)),$E142,"")</f>
        <v/>
      </c>
      <c r="I142" s="26" t="str" cm="1">
        <f t="array" aca="1" ref="I142" ca="1">IF(ISNUMBER(SEARCH(INDIRECT(ADDRESS(ROW(I142),MOD(I$1,4)+1)),I$2)),$E142,"")</f>
        <v/>
      </c>
      <c r="J142" s="26" t="str" cm="1">
        <f t="array" aca="1" ref="J142" ca="1">IF(ISNUMBER(SEARCH(INDIRECT(ADDRESS(ROW(J142),MOD(J$1,4)+1)),J$2)),$E142,"")</f>
        <v/>
      </c>
      <c r="K142" s="26" t="str" cm="1">
        <f t="array" aca="1" ref="K142" ca="1">IF(ISNUMBER(SEARCH(INDIRECT(ADDRESS(ROW(K142),MOD(K$1,4)+1)),K$2)),$E142,"")</f>
        <v/>
      </c>
      <c r="L142" s="26" t="str" cm="1">
        <f t="array" aca="1" ref="L142" ca="1">IF(ISNUMBER(SEARCH(INDIRECT(ADDRESS(ROW(L142),MOD(L$1,4)+1)),L$2)),$E142,"")</f>
        <v/>
      </c>
      <c r="M142" s="26" t="str" cm="1">
        <f t="array" aca="1" ref="M142" ca="1">IF(ISNUMBER(SEARCH(INDIRECT(ADDRESS(ROW(M142),MOD(M$1,4)+1)),M$2)),$E142,"")</f>
        <v/>
      </c>
      <c r="N142" s="26" t="str" cm="1">
        <f t="array" aca="1" ref="N142" ca="1">IF(ISNUMBER(SEARCH(INDIRECT(ADDRESS(ROW(N142),MOD(N$1,4)+1)),N$2)),$E142,"")</f>
        <v/>
      </c>
      <c r="O142" s="26" t="str" cm="1">
        <f t="array" aca="1" ref="O142" ca="1">IF(ISNUMBER(SEARCH(INDIRECT(ADDRESS(ROW(O142),MOD(O$1,4)+1)),O$2)),$E142,"")</f>
        <v/>
      </c>
      <c r="P142" s="26" t="str" cm="1">
        <f t="array" aca="1" ref="P142" ca="1">IF(ISNUMBER(SEARCH(INDIRECT(ADDRESS(ROW(P142),MOD(P$1,4)+1)),P$2)),$E142,"")</f>
        <v/>
      </c>
      <c r="Q142" s="26" t="str" cm="1">
        <f t="array" aca="1" ref="Q142" ca="1">IF(ISNUMBER(SEARCH(INDIRECT(ADDRESS(ROW(Q142),MOD(Q$1,4)+1)),Q$2)),$E142,"")</f>
        <v/>
      </c>
      <c r="R142" s="26" t="str" cm="1">
        <f t="array" aca="1" ref="R142" ca="1">IF(ISNUMBER(SEARCH(INDIRECT(ADDRESS(ROW(R142),MOD(R$1,4)+1)),R$2)),$E142,"")</f>
        <v/>
      </c>
      <c r="S142" s="26" t="str" cm="1">
        <f t="array" aca="1" ref="S142" ca="1">IF(ISNUMBER(SEARCH(INDIRECT(ADDRESS(ROW(S142),MOD(S$1,4)+1)),S$2)),$E142,"")</f>
        <v/>
      </c>
      <c r="T142" s="26" t="str" cm="1">
        <f t="array" aca="1" ref="T142" ca="1">IF(ISNUMBER(SEARCH(INDIRECT(ADDRESS(ROW(T142),MOD(T$1,4)+1)),T$2)),$E142,"")</f>
        <v/>
      </c>
      <c r="U142" s="26" t="str" cm="1">
        <f t="array" aca="1" ref="U142" ca="1">IF(ISNUMBER(SEARCH(INDIRECT(ADDRESS(ROW(U142),MOD(U$1,4)+1)),U$2)),$E142,"")</f>
        <v/>
      </c>
      <c r="V142" s="26" t="str" cm="1">
        <f t="array" aca="1" ref="V142" ca="1">IF(ISNUMBER(SEARCH(INDIRECT(ADDRESS(ROW(V142),MOD(V$1,4)+1)),V$2)),$E142,"")</f>
        <v/>
      </c>
      <c r="W142" s="26" t="str" cm="1">
        <f t="array" aca="1" ref="W142" ca="1">IF(ISNUMBER(SEARCH(INDIRECT(ADDRESS(ROW(W142),MOD(W$1,4)+1)),W$2)),$E142,"")</f>
        <v/>
      </c>
      <c r="X142" s="26" t="str" cm="1">
        <f t="array" aca="1" ref="X142" ca="1">IF(ISNUMBER(SEARCH(INDIRECT(ADDRESS(ROW(X142),MOD(X$1,4)+1)),X$2)),$E142,"")</f>
        <v/>
      </c>
      <c r="Y142" s="26" t="str" cm="1">
        <f t="array" aca="1" ref="Y142" ca="1">IF(ISNUMBER(SEARCH(INDIRECT(ADDRESS(ROW(Y142),MOD(Y$1,4)+1)),Y$2)),$E142,"")</f>
        <v/>
      </c>
      <c r="Z142" s="26" t="str" cm="1">
        <f t="array" aca="1" ref="Z142" ca="1">IF(ISNUMBER(SEARCH(INDIRECT(ADDRESS(ROW(Z142),MOD(Z$1,4)+1)),Z$2)),$E142,"")</f>
        <v/>
      </c>
      <c r="AA142" s="26" t="str" cm="1">
        <f t="array" aca="1" ref="AA142" ca="1">IF(ISNUMBER(SEARCH(INDIRECT(ADDRESS(ROW(AA142),MOD(AA$1,4)+1)),AA$2)),$E142,"")</f>
        <v/>
      </c>
      <c r="AB142" s="26" t="str" cm="1">
        <f t="array" aca="1" ref="AB142" ca="1">IF(ISNUMBER(SEARCH(INDIRECT(ADDRESS(ROW(AB142),MOD(AB$1,4)+1)),AB$2)),$E142,"")</f>
        <v/>
      </c>
      <c r="AC142" s="26" t="str" cm="1">
        <f t="array" aca="1" ref="AC142" ca="1">IF(ISNUMBER(SEARCH(INDIRECT(ADDRESS(ROW(AC142),MOD(AC$1,4)+1)),AC$2)),$E142,"")</f>
        <v/>
      </c>
      <c r="AD142" s="26" t="str" cm="1">
        <f t="array" aca="1" ref="AD142" ca="1">IF(ISNUMBER(SEARCH(INDIRECT(ADDRESS(ROW(AD142),MOD(AD$1,4)+1)),AD$2)),$E142,"")</f>
        <v/>
      </c>
      <c r="AE142" s="26" t="str" cm="1">
        <f t="array" aca="1" ref="AE142" ca="1">IF(ISNUMBER(SEARCH(INDIRECT(ADDRESS(ROW(AE142),MOD(AE$1,4)+1)),AE$2)),$E142,"")</f>
        <v/>
      </c>
      <c r="AF142" s="26" t="str" cm="1">
        <f t="array" aca="1" ref="AF142" ca="1">IF(ISNUMBER(SEARCH(INDIRECT(ADDRESS(ROW(AF142),MOD(AF$1,4)+1)),AF$2)),$E142,"")</f>
        <v/>
      </c>
      <c r="AG142" s="26" t="str" cm="1">
        <f t="array" aca="1" ref="AG142" ca="1">IF(ISNUMBER(SEARCH(INDIRECT(ADDRESS(ROW(AG142),MOD(AG$1,4)+1)),AG$2)),$E142,"")</f>
        <v/>
      </c>
      <c r="AH142" s="26" t="str" cm="1">
        <f t="array" aca="1" ref="AH142" ca="1">IF(ISNUMBER(SEARCH(INDIRECT(ADDRESS(ROW(AH142),MOD(AH$1,4)+1)),AH$2)),$E142,"")</f>
        <v/>
      </c>
      <c r="AI142" s="26" t="str" cm="1">
        <f t="array" aca="1" ref="AI142" ca="1">IF(ISNUMBER(SEARCH(INDIRECT(ADDRESS(ROW(AI142),MOD(AI$1,4)+1)),AI$2)),$E142,"")</f>
        <v/>
      </c>
      <c r="AJ142" s="26" t="str" cm="1">
        <f t="array" aca="1" ref="AJ142" ca="1">IF(ISNUMBER(SEARCH(INDIRECT(ADDRESS(ROW(AJ142),MOD(AJ$1,4)+1)),AJ$2)),$E142,"")</f>
        <v/>
      </c>
      <c r="AK142" s="26" t="str" cm="1">
        <f t="array" aca="1" ref="AK142" ca="1">IF(ISNUMBER(SEARCH(INDIRECT(ADDRESS(ROW(AK142),MOD(AK$1,4)+1)),AK$2)),$E142,"")</f>
        <v/>
      </c>
      <c r="AL142" s="26" t="str" cm="1">
        <f t="array" aca="1" ref="AL142" ca="1">IF(ISNUMBER(SEARCH(INDIRECT(ADDRESS(ROW(AL142),MOD(AL$1,4)+1)),AL$2)),$E142,"")</f>
        <v/>
      </c>
      <c r="AM142" s="26" t="str" cm="1">
        <f t="array" aca="1" ref="AM142" ca="1">IF(ISNUMBER(SEARCH(INDIRECT(ADDRESS(ROW(AM142),MOD(AM$1,4)+1)),AM$2)),$E142,"")</f>
        <v/>
      </c>
      <c r="AN142" s="26" cm="1">
        <f t="array" aca="1" ref="AN142" ca="1">IF(ISNUMBER(SEARCH(INDIRECT(ADDRESS(ROW(AN142),MOD(AN$1,4)+1)),AN$2)),$E142,"")</f>
        <v>138</v>
      </c>
      <c r="AO142" s="26" t="str" cm="1">
        <f t="array" aca="1" ref="AO142" ca="1">IF(ISNUMBER(SEARCH(INDIRECT(ADDRESS(ROW(AO142),MOD(AO$1,4)+1)),AO$2)),$E142,"")</f>
        <v/>
      </c>
      <c r="AP142" s="26" t="str" cm="1">
        <f t="array" aca="1" ref="AP142" ca="1">IF(ISNUMBER(SEARCH(INDIRECT(ADDRESS(ROW(AP142),MOD(AP$1,4)+1)),AP$2)),$E142,"")</f>
        <v/>
      </c>
      <c r="AQ142" s="31" t="str" cm="1">
        <f t="array" aca="1" ref="AQ142" ca="1">IF(ISNUMBER(SEARCH(INDIRECT(ADDRESS(ROW(AQ142),MOD(AQ$1,4)+1)),AQ$2)),$E142,"")</f>
        <v/>
      </c>
      <c r="AT142" t="e">
        <f>IF(VLOOKUP($E142,'Formatted NEW'!$B$2:$F$202,5,FALSE)=VLOOKUP($E142,'Formatted NEW'!$B$2:$F$202,8,FALSE),$E142,"")</f>
        <v>#N/A</v>
      </c>
      <c r="AW142" t="e">
        <f>IF(VLOOKUP($E142,'Formatted NEW'!$B$2:$F$202,5,FALSE)=VLOOKUP($E142,'Formatted NEW'!$B$2:$F$202,11,FALSE),$E142,"")</f>
        <v>#N/A</v>
      </c>
      <c r="AZ142" t="e">
        <f>IF(VLOOKUP($E142,'Formatted NEW'!$B$2:$F$202,5,FALSE)=VLOOKUP($E142,'Formatted NEW'!$B$2:$F$202,14,FALSE),$E142,"")</f>
        <v>#N/A</v>
      </c>
      <c r="BC142" t="str">
        <f>VLOOKUP($E142,'Formatted NEW'!$M$2:$T$202,6,FALSE)</f>
        <v>EMPTY</v>
      </c>
      <c r="BD142" s="26" t="e">
        <f>VLOOKUP(VLOOKUP(VLOOKUP($E142,'Formatted NEW'!$M$2:$O$202,2,FALSE),'Formatted NEW'!$D$2:$F$202,7,FALSE),'Formatted NEW'!$D$2:$O$202,12,FALSE)</f>
        <v>#REF!</v>
      </c>
      <c r="BE142" t="e">
        <f>VLOOKUP($BD142,'Formatted NEW'!$M$2:$T$202,5,FALSE)</f>
        <v>#REF!</v>
      </c>
      <c r="BF142" s="26" t="e">
        <f t="shared" si="9"/>
        <v>#REF!</v>
      </c>
      <c r="BH142">
        <f>VLOOKUP($E142,'Formatted NEW'!$M$2:$T$202,4,FALSE)</f>
        <v>0</v>
      </c>
      <c r="BI142" s="26" t="e">
        <f>VLOOKUP(VLOOKUP(VLOOKUP($E142,'Formatted NEW'!$M$2:$O$202,2,FALSE),'Formatted NEW'!$D$2:$F$202,10,FALSE),'Formatted NEW'!$D$2:$O$202,12,FALSE)</f>
        <v>#REF!</v>
      </c>
      <c r="BJ142" t="e">
        <f>VLOOKUP($BI142,'Formatted NEW'!$M$2:$T$202,3,FALSE)</f>
        <v>#REF!</v>
      </c>
      <c r="BK142" s="26" t="e">
        <f t="shared" si="10"/>
        <v>#REF!</v>
      </c>
    </row>
    <row r="143" spans="1:63" x14ac:dyDescent="0.25">
      <c r="A143" t="str">
        <f>'Formatted NEW'!Q141</f>
        <v>EMPTY</v>
      </c>
      <c r="B143" t="str">
        <f>'Formatted NEW'!R141</f>
        <v>ORTHO_RIGHT</v>
      </c>
      <c r="C143" t="str">
        <f>'Formatted NEW'!S141</f>
        <v>EMPTY</v>
      </c>
      <c r="D143" t="str">
        <f>'Formatted NEW'!T141</f>
        <v>ORTHO_DOWN</v>
      </c>
      <c r="E143" s="26">
        <f t="shared" si="8"/>
        <v>139</v>
      </c>
      <c r="H143" s="30" t="str" cm="1">
        <f t="array" aca="1" ref="H143" ca="1">IF(ISNUMBER(SEARCH(INDIRECT(ADDRESS(ROW(H143),MOD(H$1,4)+1)),H$2)),$E143,"")</f>
        <v/>
      </c>
      <c r="I143" s="26" t="str" cm="1">
        <f t="array" aca="1" ref="I143" ca="1">IF(ISNUMBER(SEARCH(INDIRECT(ADDRESS(ROW(I143),MOD(I$1,4)+1)),I$2)),$E143,"")</f>
        <v/>
      </c>
      <c r="J143" s="26" t="str" cm="1">
        <f t="array" aca="1" ref="J143" ca="1">IF(ISNUMBER(SEARCH(INDIRECT(ADDRESS(ROW(J143),MOD(J$1,4)+1)),J$2)),$E143,"")</f>
        <v/>
      </c>
      <c r="K143" s="26" t="str" cm="1">
        <f t="array" aca="1" ref="K143" ca="1">IF(ISNUMBER(SEARCH(INDIRECT(ADDRESS(ROW(K143),MOD(K$1,4)+1)),K$2)),$E143,"")</f>
        <v/>
      </c>
      <c r="L143" s="26" t="str" cm="1">
        <f t="array" aca="1" ref="L143" ca="1">IF(ISNUMBER(SEARCH(INDIRECT(ADDRESS(ROW(L143),MOD(L$1,4)+1)),L$2)),$E143,"")</f>
        <v/>
      </c>
      <c r="M143" s="26" t="str" cm="1">
        <f t="array" aca="1" ref="M143" ca="1">IF(ISNUMBER(SEARCH(INDIRECT(ADDRESS(ROW(M143),MOD(M$1,4)+1)),M$2)),$E143,"")</f>
        <v/>
      </c>
      <c r="N143" s="26" t="str" cm="1">
        <f t="array" aca="1" ref="N143" ca="1">IF(ISNUMBER(SEARCH(INDIRECT(ADDRESS(ROW(N143),MOD(N$1,4)+1)),N$2)),$E143,"")</f>
        <v/>
      </c>
      <c r="O143" s="26" t="str" cm="1">
        <f t="array" aca="1" ref="O143" ca="1">IF(ISNUMBER(SEARCH(INDIRECT(ADDRESS(ROW(O143),MOD(O$1,4)+1)),O$2)),$E143,"")</f>
        <v/>
      </c>
      <c r="P143" s="26" t="str" cm="1">
        <f t="array" aca="1" ref="P143" ca="1">IF(ISNUMBER(SEARCH(INDIRECT(ADDRESS(ROW(P143),MOD(P$1,4)+1)),P$2)),$E143,"")</f>
        <v/>
      </c>
      <c r="Q143" s="26" t="str" cm="1">
        <f t="array" aca="1" ref="Q143" ca="1">IF(ISNUMBER(SEARCH(INDIRECT(ADDRESS(ROW(Q143),MOD(Q$1,4)+1)),Q$2)),$E143,"")</f>
        <v/>
      </c>
      <c r="R143" s="26" t="str" cm="1">
        <f t="array" aca="1" ref="R143" ca="1">IF(ISNUMBER(SEARCH(INDIRECT(ADDRESS(ROW(R143),MOD(R$1,4)+1)),R$2)),$E143,"")</f>
        <v/>
      </c>
      <c r="S143" s="26" t="str" cm="1">
        <f t="array" aca="1" ref="S143" ca="1">IF(ISNUMBER(SEARCH(INDIRECT(ADDRESS(ROW(S143),MOD(S$1,4)+1)),S$2)),$E143,"")</f>
        <v/>
      </c>
      <c r="T143" s="26" t="str" cm="1">
        <f t="array" aca="1" ref="T143" ca="1">IF(ISNUMBER(SEARCH(INDIRECT(ADDRESS(ROW(T143),MOD(T$1,4)+1)),T$2)),$E143,"")</f>
        <v/>
      </c>
      <c r="U143" s="26" t="str" cm="1">
        <f t="array" aca="1" ref="U143" ca="1">IF(ISNUMBER(SEARCH(INDIRECT(ADDRESS(ROW(U143),MOD(U$1,4)+1)),U$2)),$E143,"")</f>
        <v/>
      </c>
      <c r="V143" s="26" t="str" cm="1">
        <f t="array" aca="1" ref="V143" ca="1">IF(ISNUMBER(SEARCH(INDIRECT(ADDRESS(ROW(V143),MOD(V$1,4)+1)),V$2)),$E143,"")</f>
        <v/>
      </c>
      <c r="W143" s="26" t="str" cm="1">
        <f t="array" aca="1" ref="W143" ca="1">IF(ISNUMBER(SEARCH(INDIRECT(ADDRESS(ROW(W143),MOD(W$1,4)+1)),W$2)),$E143,"")</f>
        <v/>
      </c>
      <c r="X143" s="26" t="str" cm="1">
        <f t="array" aca="1" ref="X143" ca="1">IF(ISNUMBER(SEARCH(INDIRECT(ADDRESS(ROW(X143),MOD(X$1,4)+1)),X$2)),$E143,"")</f>
        <v/>
      </c>
      <c r="Y143" s="26" t="str" cm="1">
        <f t="array" aca="1" ref="Y143" ca="1">IF(ISNUMBER(SEARCH(INDIRECT(ADDRESS(ROW(Y143),MOD(Y$1,4)+1)),Y$2)),$E143,"")</f>
        <v/>
      </c>
      <c r="Z143" s="26" t="str" cm="1">
        <f t="array" aca="1" ref="Z143" ca="1">IF(ISNUMBER(SEARCH(INDIRECT(ADDRESS(ROW(Z143),MOD(Z$1,4)+1)),Z$2)),$E143,"")</f>
        <v/>
      </c>
      <c r="AA143" s="26" t="str" cm="1">
        <f t="array" aca="1" ref="AA143" ca="1">IF(ISNUMBER(SEARCH(INDIRECT(ADDRESS(ROW(AA143),MOD(AA$1,4)+1)),AA$2)),$E143,"")</f>
        <v/>
      </c>
      <c r="AB143" s="26" t="str" cm="1">
        <f t="array" aca="1" ref="AB143" ca="1">IF(ISNUMBER(SEARCH(INDIRECT(ADDRESS(ROW(AB143),MOD(AB$1,4)+1)),AB$2)),$E143,"")</f>
        <v/>
      </c>
      <c r="AC143" s="26" t="str" cm="1">
        <f t="array" aca="1" ref="AC143" ca="1">IF(ISNUMBER(SEARCH(INDIRECT(ADDRESS(ROW(AC143),MOD(AC$1,4)+1)),AC$2)),$E143,"")</f>
        <v/>
      </c>
      <c r="AD143" s="26" t="str" cm="1">
        <f t="array" aca="1" ref="AD143" ca="1">IF(ISNUMBER(SEARCH(INDIRECT(ADDRESS(ROW(AD143),MOD(AD$1,4)+1)),AD$2)),$E143,"")</f>
        <v/>
      </c>
      <c r="AE143" s="26" t="str" cm="1">
        <f t="array" aca="1" ref="AE143" ca="1">IF(ISNUMBER(SEARCH(INDIRECT(ADDRESS(ROW(AE143),MOD(AE$1,4)+1)),AE$2)),$E143,"")</f>
        <v/>
      </c>
      <c r="AF143" s="26" t="str" cm="1">
        <f t="array" aca="1" ref="AF143" ca="1">IF(ISNUMBER(SEARCH(INDIRECT(ADDRESS(ROW(AF143),MOD(AF$1,4)+1)),AF$2)),$E143,"")</f>
        <v/>
      </c>
      <c r="AG143" s="26" t="str" cm="1">
        <f t="array" aca="1" ref="AG143" ca="1">IF(ISNUMBER(SEARCH(INDIRECT(ADDRESS(ROW(AG143),MOD(AG$1,4)+1)),AG$2)),$E143,"")</f>
        <v/>
      </c>
      <c r="AH143" s="26" t="str" cm="1">
        <f t="array" aca="1" ref="AH143" ca="1">IF(ISNUMBER(SEARCH(INDIRECT(ADDRESS(ROW(AH143),MOD(AH$1,4)+1)),AH$2)),$E143,"")</f>
        <v/>
      </c>
      <c r="AI143" s="26" t="str" cm="1">
        <f t="array" aca="1" ref="AI143" ca="1">IF(ISNUMBER(SEARCH(INDIRECT(ADDRESS(ROW(AI143),MOD(AI$1,4)+1)),AI$2)),$E143,"")</f>
        <v/>
      </c>
      <c r="AJ143" s="26" t="str" cm="1">
        <f t="array" aca="1" ref="AJ143" ca="1">IF(ISNUMBER(SEARCH(INDIRECT(ADDRESS(ROW(AJ143),MOD(AJ$1,4)+1)),AJ$2)),$E143,"")</f>
        <v/>
      </c>
      <c r="AK143" s="26" t="str" cm="1">
        <f t="array" aca="1" ref="AK143" ca="1">IF(ISNUMBER(SEARCH(INDIRECT(ADDRESS(ROW(AK143),MOD(AK$1,4)+1)),AK$2)),$E143,"")</f>
        <v/>
      </c>
      <c r="AL143" s="26" t="str" cm="1">
        <f t="array" aca="1" ref="AL143" ca="1">IF(ISNUMBER(SEARCH(INDIRECT(ADDRESS(ROW(AL143),MOD(AL$1,4)+1)),AL$2)),$E143,"")</f>
        <v/>
      </c>
      <c r="AM143" s="26" t="str" cm="1">
        <f t="array" aca="1" ref="AM143" ca="1">IF(ISNUMBER(SEARCH(INDIRECT(ADDRESS(ROW(AM143),MOD(AM$1,4)+1)),AM$2)),$E143,"")</f>
        <v/>
      </c>
      <c r="AN143" s="26" t="str" cm="1">
        <f t="array" aca="1" ref="AN143" ca="1">IF(ISNUMBER(SEARCH(INDIRECT(ADDRESS(ROW(AN143),MOD(AN$1,4)+1)),AN$2)),$E143,"")</f>
        <v/>
      </c>
      <c r="AO143" s="26" cm="1">
        <f t="array" aca="1" ref="AO143" ca="1">IF(ISNUMBER(SEARCH(INDIRECT(ADDRESS(ROW(AO143),MOD(AO$1,4)+1)),AO$2)),$E143,"")</f>
        <v>139</v>
      </c>
      <c r="AP143" s="26" t="str" cm="1">
        <f t="array" aca="1" ref="AP143" ca="1">IF(ISNUMBER(SEARCH(INDIRECT(ADDRESS(ROW(AP143),MOD(AP$1,4)+1)),AP$2)),$E143,"")</f>
        <v/>
      </c>
      <c r="AQ143" s="31" t="str" cm="1">
        <f t="array" aca="1" ref="AQ143" ca="1">IF(ISNUMBER(SEARCH(INDIRECT(ADDRESS(ROW(AQ143),MOD(AQ$1,4)+1)),AQ$2)),$E143,"")</f>
        <v/>
      </c>
      <c r="AT143" t="e">
        <f>IF(VLOOKUP($E143,'Formatted NEW'!$B$2:$F$202,5,FALSE)=VLOOKUP($E143,'Formatted NEW'!$B$2:$F$202,8,FALSE),$E143,"")</f>
        <v>#N/A</v>
      </c>
      <c r="AW143" t="e">
        <f>IF(VLOOKUP($E143,'Formatted NEW'!$B$2:$F$202,5,FALSE)=VLOOKUP($E143,'Formatted NEW'!$B$2:$F$202,11,FALSE),$E143,"")</f>
        <v>#N/A</v>
      </c>
      <c r="AZ143" t="e">
        <f>IF(VLOOKUP($E143,'Formatted NEW'!$B$2:$F$202,5,FALSE)=VLOOKUP($E143,'Formatted NEW'!$B$2:$F$202,14,FALSE),$E143,"")</f>
        <v>#N/A</v>
      </c>
      <c r="BC143" t="str">
        <f>VLOOKUP($E143,'Formatted NEW'!$M$2:$T$202,6,FALSE)</f>
        <v>ORTHO_RIGHT</v>
      </c>
      <c r="BD143" s="26" t="e">
        <f>VLOOKUP(VLOOKUP(VLOOKUP($E143,'Formatted NEW'!$M$2:$O$202,2,FALSE),'Formatted NEW'!$D$2:$F$202,7,FALSE),'Formatted NEW'!$D$2:$O$202,12,FALSE)</f>
        <v>#REF!</v>
      </c>
      <c r="BE143" t="e">
        <f>VLOOKUP($BD143,'Formatted NEW'!$M$2:$T$202,5,FALSE)</f>
        <v>#REF!</v>
      </c>
      <c r="BF143" s="26" t="e">
        <f t="shared" si="9"/>
        <v>#REF!</v>
      </c>
      <c r="BH143">
        <f>VLOOKUP($E143,'Formatted NEW'!$M$2:$T$202,4,FALSE)</f>
        <v>0</v>
      </c>
      <c r="BI143" s="26" t="e">
        <f>VLOOKUP(VLOOKUP(VLOOKUP($E143,'Formatted NEW'!$M$2:$O$202,2,FALSE),'Formatted NEW'!$D$2:$F$202,10,FALSE),'Formatted NEW'!$D$2:$O$202,12,FALSE)</f>
        <v>#REF!</v>
      </c>
      <c r="BJ143" t="e">
        <f>VLOOKUP($BI143,'Formatted NEW'!$M$2:$T$202,3,FALSE)</f>
        <v>#REF!</v>
      </c>
      <c r="BK143" s="26" t="e">
        <f t="shared" si="10"/>
        <v>#REF!</v>
      </c>
    </row>
    <row r="144" spans="1:63" x14ac:dyDescent="0.25">
      <c r="A144" t="str">
        <f>'Formatted NEW'!Q142</f>
        <v>EMPTY</v>
      </c>
      <c r="B144" t="str">
        <f>'Formatted NEW'!R142</f>
        <v>ORTHO_LEFT</v>
      </c>
      <c r="C144" t="str">
        <f>'Formatted NEW'!S142</f>
        <v>ORTHO_DOWN</v>
      </c>
      <c r="D144" t="str">
        <f>'Formatted NEW'!T142</f>
        <v>EMPTY</v>
      </c>
      <c r="E144" s="26">
        <f t="shared" si="8"/>
        <v>140</v>
      </c>
      <c r="H144" s="30" t="str" cm="1">
        <f t="array" aca="1" ref="H144" ca="1">IF(ISNUMBER(SEARCH(INDIRECT(ADDRESS(ROW(H144),MOD(H$1,4)+1)),H$2)),$E144,"")</f>
        <v/>
      </c>
      <c r="I144" s="26" t="str" cm="1">
        <f t="array" aca="1" ref="I144" ca="1">IF(ISNUMBER(SEARCH(INDIRECT(ADDRESS(ROW(I144),MOD(I$1,4)+1)),I$2)),$E144,"")</f>
        <v/>
      </c>
      <c r="J144" s="26" t="str" cm="1">
        <f t="array" aca="1" ref="J144" ca="1">IF(ISNUMBER(SEARCH(INDIRECT(ADDRESS(ROW(J144),MOD(J$1,4)+1)),J$2)),$E144,"")</f>
        <v/>
      </c>
      <c r="K144" s="26" t="str" cm="1">
        <f t="array" aca="1" ref="K144" ca="1">IF(ISNUMBER(SEARCH(INDIRECT(ADDRESS(ROW(K144),MOD(K$1,4)+1)),K$2)),$E144,"")</f>
        <v/>
      </c>
      <c r="L144" s="26" t="str" cm="1">
        <f t="array" aca="1" ref="L144" ca="1">IF(ISNUMBER(SEARCH(INDIRECT(ADDRESS(ROW(L144),MOD(L$1,4)+1)),L$2)),$E144,"")</f>
        <v/>
      </c>
      <c r="M144" s="26" t="str" cm="1">
        <f t="array" aca="1" ref="M144" ca="1">IF(ISNUMBER(SEARCH(INDIRECT(ADDRESS(ROW(M144),MOD(M$1,4)+1)),M$2)),$E144,"")</f>
        <v/>
      </c>
      <c r="N144" s="26" t="str" cm="1">
        <f t="array" aca="1" ref="N144" ca="1">IF(ISNUMBER(SEARCH(INDIRECT(ADDRESS(ROW(N144),MOD(N$1,4)+1)),N$2)),$E144,"")</f>
        <v/>
      </c>
      <c r="O144" s="26" t="str" cm="1">
        <f t="array" aca="1" ref="O144" ca="1">IF(ISNUMBER(SEARCH(INDIRECT(ADDRESS(ROW(O144),MOD(O$1,4)+1)),O$2)),$E144,"")</f>
        <v/>
      </c>
      <c r="P144" s="26" t="str" cm="1">
        <f t="array" aca="1" ref="P144" ca="1">IF(ISNUMBER(SEARCH(INDIRECT(ADDRESS(ROW(P144),MOD(P$1,4)+1)),P$2)),$E144,"")</f>
        <v/>
      </c>
      <c r="Q144" s="26" t="str" cm="1">
        <f t="array" aca="1" ref="Q144" ca="1">IF(ISNUMBER(SEARCH(INDIRECT(ADDRESS(ROW(Q144),MOD(Q$1,4)+1)),Q$2)),$E144,"")</f>
        <v/>
      </c>
      <c r="R144" s="26" t="str" cm="1">
        <f t="array" aca="1" ref="R144" ca="1">IF(ISNUMBER(SEARCH(INDIRECT(ADDRESS(ROW(R144),MOD(R$1,4)+1)),R$2)),$E144,"")</f>
        <v/>
      </c>
      <c r="S144" s="26" t="str" cm="1">
        <f t="array" aca="1" ref="S144" ca="1">IF(ISNUMBER(SEARCH(INDIRECT(ADDRESS(ROW(S144),MOD(S$1,4)+1)),S$2)),$E144,"")</f>
        <v/>
      </c>
      <c r="T144" s="26" t="str" cm="1">
        <f t="array" aca="1" ref="T144" ca="1">IF(ISNUMBER(SEARCH(INDIRECT(ADDRESS(ROW(T144),MOD(T$1,4)+1)),T$2)),$E144,"")</f>
        <v/>
      </c>
      <c r="U144" s="26" t="str" cm="1">
        <f t="array" aca="1" ref="U144" ca="1">IF(ISNUMBER(SEARCH(INDIRECT(ADDRESS(ROW(U144),MOD(U$1,4)+1)),U$2)),$E144,"")</f>
        <v/>
      </c>
      <c r="V144" s="26" t="str" cm="1">
        <f t="array" aca="1" ref="V144" ca="1">IF(ISNUMBER(SEARCH(INDIRECT(ADDRESS(ROW(V144),MOD(V$1,4)+1)),V$2)),$E144,"")</f>
        <v/>
      </c>
      <c r="W144" s="26" t="str" cm="1">
        <f t="array" aca="1" ref="W144" ca="1">IF(ISNUMBER(SEARCH(INDIRECT(ADDRESS(ROW(W144),MOD(W$1,4)+1)),W$2)),$E144,"")</f>
        <v/>
      </c>
      <c r="X144" s="26" t="str" cm="1">
        <f t="array" aca="1" ref="X144" ca="1">IF(ISNUMBER(SEARCH(INDIRECT(ADDRESS(ROW(X144),MOD(X$1,4)+1)),X$2)),$E144,"")</f>
        <v/>
      </c>
      <c r="Y144" s="26" t="str" cm="1">
        <f t="array" aca="1" ref="Y144" ca="1">IF(ISNUMBER(SEARCH(INDIRECT(ADDRESS(ROW(Y144),MOD(Y$1,4)+1)),Y$2)),$E144,"")</f>
        <v/>
      </c>
      <c r="Z144" s="26" t="str" cm="1">
        <f t="array" aca="1" ref="Z144" ca="1">IF(ISNUMBER(SEARCH(INDIRECT(ADDRESS(ROW(Z144),MOD(Z$1,4)+1)),Z$2)),$E144,"")</f>
        <v/>
      </c>
      <c r="AA144" s="26" t="str" cm="1">
        <f t="array" aca="1" ref="AA144" ca="1">IF(ISNUMBER(SEARCH(INDIRECT(ADDRESS(ROW(AA144),MOD(AA$1,4)+1)),AA$2)),$E144,"")</f>
        <v/>
      </c>
      <c r="AB144" s="26" t="str" cm="1">
        <f t="array" aca="1" ref="AB144" ca="1">IF(ISNUMBER(SEARCH(INDIRECT(ADDRESS(ROW(AB144),MOD(AB$1,4)+1)),AB$2)),$E144,"")</f>
        <v/>
      </c>
      <c r="AC144" s="26" t="str" cm="1">
        <f t="array" aca="1" ref="AC144" ca="1">IF(ISNUMBER(SEARCH(INDIRECT(ADDRESS(ROW(AC144),MOD(AC$1,4)+1)),AC$2)),$E144,"")</f>
        <v/>
      </c>
      <c r="AD144" s="26" t="str" cm="1">
        <f t="array" aca="1" ref="AD144" ca="1">IF(ISNUMBER(SEARCH(INDIRECT(ADDRESS(ROW(AD144),MOD(AD$1,4)+1)),AD$2)),$E144,"")</f>
        <v/>
      </c>
      <c r="AE144" s="26" t="str" cm="1">
        <f t="array" aca="1" ref="AE144" ca="1">IF(ISNUMBER(SEARCH(INDIRECT(ADDRESS(ROW(AE144),MOD(AE$1,4)+1)),AE$2)),$E144,"")</f>
        <v/>
      </c>
      <c r="AF144" s="26" t="str" cm="1">
        <f t="array" aca="1" ref="AF144" ca="1">IF(ISNUMBER(SEARCH(INDIRECT(ADDRESS(ROW(AF144),MOD(AF$1,4)+1)),AF$2)),$E144,"")</f>
        <v/>
      </c>
      <c r="AG144" s="26" t="str" cm="1">
        <f t="array" aca="1" ref="AG144" ca="1">IF(ISNUMBER(SEARCH(INDIRECT(ADDRESS(ROW(AG144),MOD(AG$1,4)+1)),AG$2)),$E144,"")</f>
        <v/>
      </c>
      <c r="AH144" s="26" t="str" cm="1">
        <f t="array" aca="1" ref="AH144" ca="1">IF(ISNUMBER(SEARCH(INDIRECT(ADDRESS(ROW(AH144),MOD(AH$1,4)+1)),AH$2)),$E144,"")</f>
        <v/>
      </c>
      <c r="AI144" s="26" t="str" cm="1">
        <f t="array" aca="1" ref="AI144" ca="1">IF(ISNUMBER(SEARCH(INDIRECT(ADDRESS(ROW(AI144),MOD(AI$1,4)+1)),AI$2)),$E144,"")</f>
        <v/>
      </c>
      <c r="AJ144" s="26" t="str" cm="1">
        <f t="array" aca="1" ref="AJ144" ca="1">IF(ISNUMBER(SEARCH(INDIRECT(ADDRESS(ROW(AJ144),MOD(AJ$1,4)+1)),AJ$2)),$E144,"")</f>
        <v/>
      </c>
      <c r="AK144" s="26" cm="1">
        <f t="array" aca="1" ref="AK144" ca="1">IF(ISNUMBER(SEARCH(INDIRECT(ADDRESS(ROW(AK144),MOD(AK$1,4)+1)),AK$2)),$E144,"")</f>
        <v>140</v>
      </c>
      <c r="AL144" s="26" t="str" cm="1">
        <f t="array" aca="1" ref="AL144" ca="1">IF(ISNUMBER(SEARCH(INDIRECT(ADDRESS(ROW(AL144),MOD(AL$1,4)+1)),AL$2)),$E144,"")</f>
        <v/>
      </c>
      <c r="AM144" s="26" t="str" cm="1">
        <f t="array" aca="1" ref="AM144" ca="1">IF(ISNUMBER(SEARCH(INDIRECT(ADDRESS(ROW(AM144),MOD(AM$1,4)+1)),AM$2)),$E144,"")</f>
        <v/>
      </c>
      <c r="AN144" s="26" t="str" cm="1">
        <f t="array" aca="1" ref="AN144" ca="1">IF(ISNUMBER(SEARCH(INDIRECT(ADDRESS(ROW(AN144),MOD(AN$1,4)+1)),AN$2)),$E144,"")</f>
        <v/>
      </c>
      <c r="AO144" s="26" t="str" cm="1">
        <f t="array" aca="1" ref="AO144" ca="1">IF(ISNUMBER(SEARCH(INDIRECT(ADDRESS(ROW(AO144),MOD(AO$1,4)+1)),AO$2)),$E144,"")</f>
        <v/>
      </c>
      <c r="AP144" s="26" t="str" cm="1">
        <f t="array" aca="1" ref="AP144" ca="1">IF(ISNUMBER(SEARCH(INDIRECT(ADDRESS(ROW(AP144),MOD(AP$1,4)+1)),AP$2)),$E144,"")</f>
        <v/>
      </c>
      <c r="AQ144" s="31" t="str" cm="1">
        <f t="array" aca="1" ref="AQ144" ca="1">IF(ISNUMBER(SEARCH(INDIRECT(ADDRESS(ROW(AQ144),MOD(AQ$1,4)+1)),AQ$2)),$E144,"")</f>
        <v/>
      </c>
      <c r="AT144" t="e">
        <f>IF(VLOOKUP($E144,'Formatted NEW'!$B$2:$F$202,5,FALSE)=VLOOKUP($E144,'Formatted NEW'!$B$2:$F$202,8,FALSE),$E144,"")</f>
        <v>#N/A</v>
      </c>
      <c r="AW144" t="e">
        <f>IF(VLOOKUP($E144,'Formatted NEW'!$B$2:$F$202,5,FALSE)=VLOOKUP($E144,'Formatted NEW'!$B$2:$F$202,11,FALSE),$E144,"")</f>
        <v>#N/A</v>
      </c>
      <c r="AZ144" t="e">
        <f>IF(VLOOKUP($E144,'Formatted NEW'!$B$2:$F$202,5,FALSE)=VLOOKUP($E144,'Formatted NEW'!$B$2:$F$202,14,FALSE),$E144,"")</f>
        <v>#N/A</v>
      </c>
      <c r="BC144" t="str">
        <f>VLOOKUP($E144,'Formatted NEW'!$M$2:$T$202,6,FALSE)</f>
        <v>ORTHO_LEFT</v>
      </c>
      <c r="BD144" s="26" t="e">
        <f>VLOOKUP(VLOOKUP(VLOOKUP($E144,'Formatted NEW'!$M$2:$O$202,2,FALSE),'Formatted NEW'!$D$2:$F$202,7,FALSE),'Formatted NEW'!$D$2:$O$202,12,FALSE)</f>
        <v>#REF!</v>
      </c>
      <c r="BE144" t="e">
        <f>VLOOKUP($BD144,'Formatted NEW'!$M$2:$T$202,5,FALSE)</f>
        <v>#REF!</v>
      </c>
      <c r="BF144" s="26" t="e">
        <f t="shared" si="9"/>
        <v>#REF!</v>
      </c>
      <c r="BH144">
        <f>VLOOKUP($E144,'Formatted NEW'!$M$2:$T$202,4,FALSE)</f>
        <v>0</v>
      </c>
      <c r="BI144" s="26" t="e">
        <f>VLOOKUP(VLOOKUP(VLOOKUP($E144,'Formatted NEW'!$M$2:$O$202,2,FALSE),'Formatted NEW'!$D$2:$F$202,10,FALSE),'Formatted NEW'!$D$2:$O$202,12,FALSE)</f>
        <v>#REF!</v>
      </c>
      <c r="BJ144" t="e">
        <f>VLOOKUP($BI144,'Formatted NEW'!$M$2:$T$202,3,FALSE)</f>
        <v>#REF!</v>
      </c>
      <c r="BK144" s="26" t="e">
        <f t="shared" si="10"/>
        <v>#REF!</v>
      </c>
    </row>
    <row r="145" spans="1:63" x14ac:dyDescent="0.25">
      <c r="A145" t="str">
        <f>'Formatted NEW'!Q143</f>
        <v>ORTHO_RIGHT</v>
      </c>
      <c r="B145" t="str">
        <f>'Formatted NEW'!R143</f>
        <v>EMPTY</v>
      </c>
      <c r="C145" t="str">
        <f>'Formatted NEW'!S143</f>
        <v>EMPTY</v>
      </c>
      <c r="D145" t="str">
        <f>'Formatted NEW'!T143</f>
        <v>ORTHO_UP</v>
      </c>
      <c r="E145" s="26">
        <f t="shared" si="8"/>
        <v>141</v>
      </c>
      <c r="H145" s="30" t="str" cm="1">
        <f t="array" aca="1" ref="H145" ca="1">IF(ISNUMBER(SEARCH(INDIRECT(ADDRESS(ROW(H145),MOD(H$1,4)+1)),H$2)),$E145,"")</f>
        <v/>
      </c>
      <c r="I145" s="26" t="str" cm="1">
        <f t="array" aca="1" ref="I145" ca="1">IF(ISNUMBER(SEARCH(INDIRECT(ADDRESS(ROW(I145),MOD(I$1,4)+1)),I$2)),$E145,"")</f>
        <v/>
      </c>
      <c r="J145" s="26" t="str" cm="1">
        <f t="array" aca="1" ref="J145" ca="1">IF(ISNUMBER(SEARCH(INDIRECT(ADDRESS(ROW(J145),MOD(J$1,4)+1)),J$2)),$E145,"")</f>
        <v/>
      </c>
      <c r="K145" s="26" t="str" cm="1">
        <f t="array" aca="1" ref="K145" ca="1">IF(ISNUMBER(SEARCH(INDIRECT(ADDRESS(ROW(K145),MOD(K$1,4)+1)),K$2)),$E145,"")</f>
        <v/>
      </c>
      <c r="L145" s="26" t="str" cm="1">
        <f t="array" aca="1" ref="L145" ca="1">IF(ISNUMBER(SEARCH(INDIRECT(ADDRESS(ROW(L145),MOD(L$1,4)+1)),L$2)),$E145,"")</f>
        <v/>
      </c>
      <c r="M145" s="26" t="str" cm="1">
        <f t="array" aca="1" ref="M145" ca="1">IF(ISNUMBER(SEARCH(INDIRECT(ADDRESS(ROW(M145),MOD(M$1,4)+1)),M$2)),$E145,"")</f>
        <v/>
      </c>
      <c r="N145" s="26" t="str" cm="1">
        <f t="array" aca="1" ref="N145" ca="1">IF(ISNUMBER(SEARCH(INDIRECT(ADDRESS(ROW(N145),MOD(N$1,4)+1)),N$2)),$E145,"")</f>
        <v/>
      </c>
      <c r="O145" s="26" t="str" cm="1">
        <f t="array" aca="1" ref="O145" ca="1">IF(ISNUMBER(SEARCH(INDIRECT(ADDRESS(ROW(O145),MOD(O$1,4)+1)),O$2)),$E145,"")</f>
        <v/>
      </c>
      <c r="P145" s="26" t="str" cm="1">
        <f t="array" aca="1" ref="P145" ca="1">IF(ISNUMBER(SEARCH(INDIRECT(ADDRESS(ROW(P145),MOD(P$1,4)+1)),P$2)),$E145,"")</f>
        <v/>
      </c>
      <c r="Q145" s="26" t="str" cm="1">
        <f t="array" aca="1" ref="Q145" ca="1">IF(ISNUMBER(SEARCH(INDIRECT(ADDRESS(ROW(Q145),MOD(Q$1,4)+1)),Q$2)),$E145,"")</f>
        <v/>
      </c>
      <c r="R145" s="26" t="str" cm="1">
        <f t="array" aca="1" ref="R145" ca="1">IF(ISNUMBER(SEARCH(INDIRECT(ADDRESS(ROW(R145),MOD(R$1,4)+1)),R$2)),$E145,"")</f>
        <v/>
      </c>
      <c r="S145" s="26" t="str" cm="1">
        <f t="array" aca="1" ref="S145" ca="1">IF(ISNUMBER(SEARCH(INDIRECT(ADDRESS(ROW(S145),MOD(S$1,4)+1)),S$2)),$E145,"")</f>
        <v/>
      </c>
      <c r="T145" s="26" t="str" cm="1">
        <f t="array" aca="1" ref="T145" ca="1">IF(ISNUMBER(SEARCH(INDIRECT(ADDRESS(ROW(T145),MOD(T$1,4)+1)),T$2)),$E145,"")</f>
        <v/>
      </c>
      <c r="U145" s="26" t="str" cm="1">
        <f t="array" aca="1" ref="U145" ca="1">IF(ISNUMBER(SEARCH(INDIRECT(ADDRESS(ROW(U145),MOD(U$1,4)+1)),U$2)),$E145,"")</f>
        <v/>
      </c>
      <c r="V145" s="26" t="str" cm="1">
        <f t="array" aca="1" ref="V145" ca="1">IF(ISNUMBER(SEARCH(INDIRECT(ADDRESS(ROW(V145),MOD(V$1,4)+1)),V$2)),$E145,"")</f>
        <v/>
      </c>
      <c r="W145" s="26" t="str" cm="1">
        <f t="array" aca="1" ref="W145" ca="1">IF(ISNUMBER(SEARCH(INDIRECT(ADDRESS(ROW(W145),MOD(W$1,4)+1)),W$2)),$E145,"")</f>
        <v/>
      </c>
      <c r="X145" s="26" t="str" cm="1">
        <f t="array" aca="1" ref="X145" ca="1">IF(ISNUMBER(SEARCH(INDIRECT(ADDRESS(ROW(X145),MOD(X$1,4)+1)),X$2)),$E145,"")</f>
        <v/>
      </c>
      <c r="Y145" s="26" t="str" cm="1">
        <f t="array" aca="1" ref="Y145" ca="1">IF(ISNUMBER(SEARCH(INDIRECT(ADDRESS(ROW(Y145),MOD(Y$1,4)+1)),Y$2)),$E145,"")</f>
        <v/>
      </c>
      <c r="Z145" s="26" t="str" cm="1">
        <f t="array" aca="1" ref="Z145" ca="1">IF(ISNUMBER(SEARCH(INDIRECT(ADDRESS(ROW(Z145),MOD(Z$1,4)+1)),Z$2)),$E145,"")</f>
        <v/>
      </c>
      <c r="AA145" s="26" t="str" cm="1">
        <f t="array" aca="1" ref="AA145" ca="1">IF(ISNUMBER(SEARCH(INDIRECT(ADDRESS(ROW(AA145),MOD(AA$1,4)+1)),AA$2)),$E145,"")</f>
        <v/>
      </c>
      <c r="AB145" s="26" t="str" cm="1">
        <f t="array" aca="1" ref="AB145" ca="1">IF(ISNUMBER(SEARCH(INDIRECT(ADDRESS(ROW(AB145),MOD(AB$1,4)+1)),AB$2)),$E145,"")</f>
        <v/>
      </c>
      <c r="AC145" s="26" t="str" cm="1">
        <f t="array" aca="1" ref="AC145" ca="1">IF(ISNUMBER(SEARCH(INDIRECT(ADDRESS(ROW(AC145),MOD(AC$1,4)+1)),AC$2)),$E145,"")</f>
        <v/>
      </c>
      <c r="AD145" s="26" t="str" cm="1">
        <f t="array" aca="1" ref="AD145" ca="1">IF(ISNUMBER(SEARCH(INDIRECT(ADDRESS(ROW(AD145),MOD(AD$1,4)+1)),AD$2)),$E145,"")</f>
        <v/>
      </c>
      <c r="AE145" s="26" t="str" cm="1">
        <f t="array" aca="1" ref="AE145" ca="1">IF(ISNUMBER(SEARCH(INDIRECT(ADDRESS(ROW(AE145),MOD(AE$1,4)+1)),AE$2)),$E145,"")</f>
        <v/>
      </c>
      <c r="AF145" s="26" t="str" cm="1">
        <f t="array" aca="1" ref="AF145" ca="1">IF(ISNUMBER(SEARCH(INDIRECT(ADDRESS(ROW(AF145),MOD(AF$1,4)+1)),AF$2)),$E145,"")</f>
        <v/>
      </c>
      <c r="AG145" s="26" t="str" cm="1">
        <f t="array" aca="1" ref="AG145" ca="1">IF(ISNUMBER(SEARCH(INDIRECT(ADDRESS(ROW(AG145),MOD(AG$1,4)+1)),AG$2)),$E145,"")</f>
        <v/>
      </c>
      <c r="AH145" s="26" t="str" cm="1">
        <f t="array" aca="1" ref="AH145" ca="1">IF(ISNUMBER(SEARCH(INDIRECT(ADDRESS(ROW(AH145),MOD(AH$1,4)+1)),AH$2)),$E145,"")</f>
        <v/>
      </c>
      <c r="AI145" s="26" t="str" cm="1">
        <f t="array" aca="1" ref="AI145" ca="1">IF(ISNUMBER(SEARCH(INDIRECT(ADDRESS(ROW(AI145),MOD(AI$1,4)+1)),AI$2)),$E145,"")</f>
        <v/>
      </c>
      <c r="AJ145" s="26" t="str" cm="1">
        <f t="array" aca="1" ref="AJ145" ca="1">IF(ISNUMBER(SEARCH(INDIRECT(ADDRESS(ROW(AJ145),MOD(AJ$1,4)+1)),AJ$2)),$E145,"")</f>
        <v/>
      </c>
      <c r="AK145" s="26" t="str" cm="1">
        <f t="array" aca="1" ref="AK145" ca="1">IF(ISNUMBER(SEARCH(INDIRECT(ADDRESS(ROW(AK145),MOD(AK$1,4)+1)),AK$2)),$E145,"")</f>
        <v/>
      </c>
      <c r="AL145" s="26" t="str" cm="1">
        <f t="array" aca="1" ref="AL145" ca="1">IF(ISNUMBER(SEARCH(INDIRECT(ADDRESS(ROW(AL145),MOD(AL$1,4)+1)),AL$2)),$E145,"")</f>
        <v/>
      </c>
      <c r="AM145" s="26" t="str" cm="1">
        <f t="array" aca="1" ref="AM145" ca="1">IF(ISNUMBER(SEARCH(INDIRECT(ADDRESS(ROW(AM145),MOD(AM$1,4)+1)),AM$2)),$E145,"")</f>
        <v/>
      </c>
      <c r="AN145" s="26" cm="1">
        <f t="array" aca="1" ref="AN145" ca="1">IF(ISNUMBER(SEARCH(INDIRECT(ADDRESS(ROW(AN145),MOD(AN$1,4)+1)),AN$2)),$E145,"")</f>
        <v>141</v>
      </c>
      <c r="AO145" s="26" t="str" cm="1">
        <f t="array" aca="1" ref="AO145" ca="1">IF(ISNUMBER(SEARCH(INDIRECT(ADDRESS(ROW(AO145),MOD(AO$1,4)+1)),AO$2)),$E145,"")</f>
        <v/>
      </c>
      <c r="AP145" s="26" t="str" cm="1">
        <f t="array" aca="1" ref="AP145" ca="1">IF(ISNUMBER(SEARCH(INDIRECT(ADDRESS(ROW(AP145),MOD(AP$1,4)+1)),AP$2)),$E145,"")</f>
        <v/>
      </c>
      <c r="AQ145" s="31" t="str" cm="1">
        <f t="array" aca="1" ref="AQ145" ca="1">IF(ISNUMBER(SEARCH(INDIRECT(ADDRESS(ROW(AQ145),MOD(AQ$1,4)+1)),AQ$2)),$E145,"")</f>
        <v/>
      </c>
      <c r="AT145" t="e">
        <f>IF(VLOOKUP($E145,'Formatted NEW'!$B$2:$F$202,5,FALSE)=VLOOKUP($E145,'Formatted NEW'!$B$2:$F$202,8,FALSE),$E145,"")</f>
        <v>#N/A</v>
      </c>
      <c r="AW145" t="e">
        <f>IF(VLOOKUP($E145,'Formatted NEW'!$B$2:$F$202,5,FALSE)=VLOOKUP($E145,'Formatted NEW'!$B$2:$F$202,11,FALSE),$E145,"")</f>
        <v>#N/A</v>
      </c>
      <c r="AZ145" t="e">
        <f>IF(VLOOKUP($E145,'Formatted NEW'!$B$2:$F$202,5,FALSE)=VLOOKUP($E145,'Formatted NEW'!$B$2:$F$202,14,FALSE),$E145,"")</f>
        <v>#N/A</v>
      </c>
      <c r="BC145" t="str">
        <f>VLOOKUP($E145,'Formatted NEW'!$M$2:$T$202,6,FALSE)</f>
        <v>EMPTY</v>
      </c>
      <c r="BD145" s="26" t="e">
        <f>VLOOKUP(VLOOKUP(VLOOKUP($E145,'Formatted NEW'!$M$2:$O$202,2,FALSE),'Formatted NEW'!$D$2:$F$202,7,FALSE),'Formatted NEW'!$D$2:$O$202,12,FALSE)</f>
        <v>#REF!</v>
      </c>
      <c r="BE145" t="e">
        <f>VLOOKUP($BD145,'Formatted NEW'!$M$2:$T$202,5,FALSE)</f>
        <v>#REF!</v>
      </c>
      <c r="BF145" s="26" t="e">
        <f t="shared" si="9"/>
        <v>#REF!</v>
      </c>
      <c r="BH145">
        <f>VLOOKUP($E145,'Formatted NEW'!$M$2:$T$202,4,FALSE)</f>
        <v>0</v>
      </c>
      <c r="BI145" s="26" t="e">
        <f>VLOOKUP(VLOOKUP(VLOOKUP($E145,'Formatted NEW'!$M$2:$O$202,2,FALSE),'Formatted NEW'!$D$2:$F$202,10,FALSE),'Formatted NEW'!$D$2:$O$202,12,FALSE)</f>
        <v>#REF!</v>
      </c>
      <c r="BJ145" t="e">
        <f>VLOOKUP($BI145,'Formatted NEW'!$M$2:$T$202,3,FALSE)</f>
        <v>#REF!</v>
      </c>
      <c r="BK145" s="26" t="e">
        <f t="shared" si="10"/>
        <v>#REF!</v>
      </c>
    </row>
    <row r="146" spans="1:63" x14ac:dyDescent="0.25">
      <c r="A146" t="str">
        <f>'Formatted NEW'!Q144</f>
        <v>ORTHO_LEFT</v>
      </c>
      <c r="B146" t="str">
        <f>'Formatted NEW'!R144</f>
        <v>EMPTY</v>
      </c>
      <c r="C146" t="str">
        <f>'Formatted NEW'!S144</f>
        <v>ORTHO_UP</v>
      </c>
      <c r="D146" t="str">
        <f>'Formatted NEW'!T144</f>
        <v>EMPTY</v>
      </c>
      <c r="E146" s="26">
        <f t="shared" si="8"/>
        <v>142</v>
      </c>
      <c r="H146" s="30" t="str" cm="1">
        <f t="array" aca="1" ref="H146" ca="1">IF(ISNUMBER(SEARCH(INDIRECT(ADDRESS(ROW(H146),MOD(H$1,4)+1)),H$2)),$E146,"")</f>
        <v/>
      </c>
      <c r="I146" s="26" t="str" cm="1">
        <f t="array" aca="1" ref="I146" ca="1">IF(ISNUMBER(SEARCH(INDIRECT(ADDRESS(ROW(I146),MOD(I$1,4)+1)),I$2)),$E146,"")</f>
        <v/>
      </c>
      <c r="J146" s="26" t="str" cm="1">
        <f t="array" aca="1" ref="J146" ca="1">IF(ISNUMBER(SEARCH(INDIRECT(ADDRESS(ROW(J146),MOD(J$1,4)+1)),J$2)),$E146,"")</f>
        <v/>
      </c>
      <c r="K146" s="26" t="str" cm="1">
        <f t="array" aca="1" ref="K146" ca="1">IF(ISNUMBER(SEARCH(INDIRECT(ADDRESS(ROW(K146),MOD(K$1,4)+1)),K$2)),$E146,"")</f>
        <v/>
      </c>
      <c r="L146" s="26" t="str" cm="1">
        <f t="array" aca="1" ref="L146" ca="1">IF(ISNUMBER(SEARCH(INDIRECT(ADDRESS(ROW(L146),MOD(L$1,4)+1)),L$2)),$E146,"")</f>
        <v/>
      </c>
      <c r="M146" s="26" t="str" cm="1">
        <f t="array" aca="1" ref="M146" ca="1">IF(ISNUMBER(SEARCH(INDIRECT(ADDRESS(ROW(M146),MOD(M$1,4)+1)),M$2)),$E146,"")</f>
        <v/>
      </c>
      <c r="N146" s="26" t="str" cm="1">
        <f t="array" aca="1" ref="N146" ca="1">IF(ISNUMBER(SEARCH(INDIRECT(ADDRESS(ROW(N146),MOD(N$1,4)+1)),N$2)),$E146,"")</f>
        <v/>
      </c>
      <c r="O146" s="26" t="str" cm="1">
        <f t="array" aca="1" ref="O146" ca="1">IF(ISNUMBER(SEARCH(INDIRECT(ADDRESS(ROW(O146),MOD(O$1,4)+1)),O$2)),$E146,"")</f>
        <v/>
      </c>
      <c r="P146" s="26" t="str" cm="1">
        <f t="array" aca="1" ref="P146" ca="1">IF(ISNUMBER(SEARCH(INDIRECT(ADDRESS(ROW(P146),MOD(P$1,4)+1)),P$2)),$E146,"")</f>
        <v/>
      </c>
      <c r="Q146" s="26" t="str" cm="1">
        <f t="array" aca="1" ref="Q146" ca="1">IF(ISNUMBER(SEARCH(INDIRECT(ADDRESS(ROW(Q146),MOD(Q$1,4)+1)),Q$2)),$E146,"")</f>
        <v/>
      </c>
      <c r="R146" s="26" t="str" cm="1">
        <f t="array" aca="1" ref="R146" ca="1">IF(ISNUMBER(SEARCH(INDIRECT(ADDRESS(ROW(R146),MOD(R$1,4)+1)),R$2)),$E146,"")</f>
        <v/>
      </c>
      <c r="S146" s="26" t="str" cm="1">
        <f t="array" aca="1" ref="S146" ca="1">IF(ISNUMBER(SEARCH(INDIRECT(ADDRESS(ROW(S146),MOD(S$1,4)+1)),S$2)),$E146,"")</f>
        <v/>
      </c>
      <c r="T146" s="26" t="str" cm="1">
        <f t="array" aca="1" ref="T146" ca="1">IF(ISNUMBER(SEARCH(INDIRECT(ADDRESS(ROW(T146),MOD(T$1,4)+1)),T$2)),$E146,"")</f>
        <v/>
      </c>
      <c r="U146" s="26" t="str" cm="1">
        <f t="array" aca="1" ref="U146" ca="1">IF(ISNUMBER(SEARCH(INDIRECT(ADDRESS(ROW(U146),MOD(U$1,4)+1)),U$2)),$E146,"")</f>
        <v/>
      </c>
      <c r="V146" s="26" t="str" cm="1">
        <f t="array" aca="1" ref="V146" ca="1">IF(ISNUMBER(SEARCH(INDIRECT(ADDRESS(ROW(V146),MOD(V$1,4)+1)),V$2)),$E146,"")</f>
        <v/>
      </c>
      <c r="W146" s="26" t="str" cm="1">
        <f t="array" aca="1" ref="W146" ca="1">IF(ISNUMBER(SEARCH(INDIRECT(ADDRESS(ROW(W146),MOD(W$1,4)+1)),W$2)),$E146,"")</f>
        <v/>
      </c>
      <c r="X146" s="26" t="str" cm="1">
        <f t="array" aca="1" ref="X146" ca="1">IF(ISNUMBER(SEARCH(INDIRECT(ADDRESS(ROW(X146),MOD(X$1,4)+1)),X$2)),$E146,"")</f>
        <v/>
      </c>
      <c r="Y146" s="26" t="str" cm="1">
        <f t="array" aca="1" ref="Y146" ca="1">IF(ISNUMBER(SEARCH(INDIRECT(ADDRESS(ROW(Y146),MOD(Y$1,4)+1)),Y$2)),$E146,"")</f>
        <v/>
      </c>
      <c r="Z146" s="26" t="str" cm="1">
        <f t="array" aca="1" ref="Z146" ca="1">IF(ISNUMBER(SEARCH(INDIRECT(ADDRESS(ROW(Z146),MOD(Z$1,4)+1)),Z$2)),$E146,"")</f>
        <v/>
      </c>
      <c r="AA146" s="26" t="str" cm="1">
        <f t="array" aca="1" ref="AA146" ca="1">IF(ISNUMBER(SEARCH(INDIRECT(ADDRESS(ROW(AA146),MOD(AA$1,4)+1)),AA$2)),$E146,"")</f>
        <v/>
      </c>
      <c r="AB146" s="26" t="str" cm="1">
        <f t="array" aca="1" ref="AB146" ca="1">IF(ISNUMBER(SEARCH(INDIRECT(ADDRESS(ROW(AB146),MOD(AB$1,4)+1)),AB$2)),$E146,"")</f>
        <v/>
      </c>
      <c r="AC146" s="26" t="str" cm="1">
        <f t="array" aca="1" ref="AC146" ca="1">IF(ISNUMBER(SEARCH(INDIRECT(ADDRESS(ROW(AC146),MOD(AC$1,4)+1)),AC$2)),$E146,"")</f>
        <v/>
      </c>
      <c r="AD146" s="26" t="str" cm="1">
        <f t="array" aca="1" ref="AD146" ca="1">IF(ISNUMBER(SEARCH(INDIRECT(ADDRESS(ROW(AD146),MOD(AD$1,4)+1)),AD$2)),$E146,"")</f>
        <v/>
      </c>
      <c r="AE146" s="26" t="str" cm="1">
        <f t="array" aca="1" ref="AE146" ca="1">IF(ISNUMBER(SEARCH(INDIRECT(ADDRESS(ROW(AE146),MOD(AE$1,4)+1)),AE$2)),$E146,"")</f>
        <v/>
      </c>
      <c r="AF146" s="26" t="str" cm="1">
        <f t="array" aca="1" ref="AF146" ca="1">IF(ISNUMBER(SEARCH(INDIRECT(ADDRESS(ROW(AF146),MOD(AF$1,4)+1)),AF$2)),$E146,"")</f>
        <v/>
      </c>
      <c r="AG146" s="26" t="str" cm="1">
        <f t="array" aca="1" ref="AG146" ca="1">IF(ISNUMBER(SEARCH(INDIRECT(ADDRESS(ROW(AG146),MOD(AG$1,4)+1)),AG$2)),$E146,"")</f>
        <v/>
      </c>
      <c r="AH146" s="26" t="str" cm="1">
        <f t="array" aca="1" ref="AH146" ca="1">IF(ISNUMBER(SEARCH(INDIRECT(ADDRESS(ROW(AH146),MOD(AH$1,4)+1)),AH$2)),$E146,"")</f>
        <v/>
      </c>
      <c r="AI146" s="26" t="str" cm="1">
        <f t="array" aca="1" ref="AI146" ca="1">IF(ISNUMBER(SEARCH(INDIRECT(ADDRESS(ROW(AI146),MOD(AI$1,4)+1)),AI$2)),$E146,"")</f>
        <v/>
      </c>
      <c r="AJ146" s="26" cm="1">
        <f t="array" aca="1" ref="AJ146" ca="1">IF(ISNUMBER(SEARCH(INDIRECT(ADDRESS(ROW(AJ146),MOD(AJ$1,4)+1)),AJ$2)),$E146,"")</f>
        <v>142</v>
      </c>
      <c r="AK146" s="26" t="str" cm="1">
        <f t="array" aca="1" ref="AK146" ca="1">IF(ISNUMBER(SEARCH(INDIRECT(ADDRESS(ROW(AK146),MOD(AK$1,4)+1)),AK$2)),$E146,"")</f>
        <v/>
      </c>
      <c r="AL146" s="26" t="str" cm="1">
        <f t="array" aca="1" ref="AL146" ca="1">IF(ISNUMBER(SEARCH(INDIRECT(ADDRESS(ROW(AL146),MOD(AL$1,4)+1)),AL$2)),$E146,"")</f>
        <v/>
      </c>
      <c r="AM146" s="26" t="str" cm="1">
        <f t="array" aca="1" ref="AM146" ca="1">IF(ISNUMBER(SEARCH(INDIRECT(ADDRESS(ROW(AM146),MOD(AM$1,4)+1)),AM$2)),$E146,"")</f>
        <v/>
      </c>
      <c r="AN146" s="26" t="str" cm="1">
        <f t="array" aca="1" ref="AN146" ca="1">IF(ISNUMBER(SEARCH(INDIRECT(ADDRESS(ROW(AN146),MOD(AN$1,4)+1)),AN$2)),$E146,"")</f>
        <v/>
      </c>
      <c r="AO146" s="26" t="str" cm="1">
        <f t="array" aca="1" ref="AO146" ca="1">IF(ISNUMBER(SEARCH(INDIRECT(ADDRESS(ROW(AO146),MOD(AO$1,4)+1)),AO$2)),$E146,"")</f>
        <v/>
      </c>
      <c r="AP146" s="26" t="str" cm="1">
        <f t="array" aca="1" ref="AP146" ca="1">IF(ISNUMBER(SEARCH(INDIRECT(ADDRESS(ROW(AP146),MOD(AP$1,4)+1)),AP$2)),$E146,"")</f>
        <v/>
      </c>
      <c r="AQ146" s="31" t="str" cm="1">
        <f t="array" aca="1" ref="AQ146" ca="1">IF(ISNUMBER(SEARCH(INDIRECT(ADDRESS(ROW(AQ146),MOD(AQ$1,4)+1)),AQ$2)),$E146,"")</f>
        <v/>
      </c>
      <c r="AT146" t="e">
        <f>IF(VLOOKUP($E146,'Formatted NEW'!$B$2:$F$202,5,FALSE)=VLOOKUP($E146,'Formatted NEW'!$B$2:$F$202,8,FALSE),$E146,"")</f>
        <v>#N/A</v>
      </c>
      <c r="AW146" t="e">
        <f>IF(VLOOKUP($E146,'Formatted NEW'!$B$2:$F$202,5,FALSE)=VLOOKUP($E146,'Formatted NEW'!$B$2:$F$202,11,FALSE),$E146,"")</f>
        <v>#N/A</v>
      </c>
      <c r="AZ146" t="e">
        <f>IF(VLOOKUP($E146,'Formatted NEW'!$B$2:$F$202,5,FALSE)=VLOOKUP($E146,'Formatted NEW'!$B$2:$F$202,14,FALSE),$E146,"")</f>
        <v>#N/A</v>
      </c>
      <c r="BC146" t="str">
        <f>VLOOKUP($E146,'Formatted NEW'!$M$2:$T$202,6,FALSE)</f>
        <v>EMPTY</v>
      </c>
      <c r="BD146" s="26" t="e">
        <f>VLOOKUP(VLOOKUP(VLOOKUP($E146,'Formatted NEW'!$M$2:$O$202,2,FALSE),'Formatted NEW'!$D$2:$F$202,7,FALSE),'Formatted NEW'!$D$2:$O$202,12,FALSE)</f>
        <v>#REF!</v>
      </c>
      <c r="BE146" t="e">
        <f>VLOOKUP($BD146,'Formatted NEW'!$M$2:$T$202,5,FALSE)</f>
        <v>#REF!</v>
      </c>
      <c r="BF146" s="26" t="e">
        <f t="shared" si="9"/>
        <v>#REF!</v>
      </c>
      <c r="BH146">
        <f>VLOOKUP($E146,'Formatted NEW'!$M$2:$T$202,4,FALSE)</f>
        <v>0</v>
      </c>
      <c r="BI146" s="26" t="e">
        <f>VLOOKUP(VLOOKUP(VLOOKUP($E146,'Formatted NEW'!$M$2:$O$202,2,FALSE),'Formatted NEW'!$D$2:$F$202,10,FALSE),'Formatted NEW'!$D$2:$O$202,12,FALSE)</f>
        <v>#REF!</v>
      </c>
      <c r="BJ146" t="e">
        <f>VLOOKUP($BI146,'Formatted NEW'!$M$2:$T$202,3,FALSE)</f>
        <v>#REF!</v>
      </c>
      <c r="BK146" s="26" t="e">
        <f t="shared" si="10"/>
        <v>#REF!</v>
      </c>
    </row>
    <row r="147" spans="1:63" x14ac:dyDescent="0.25">
      <c r="A147" t="str">
        <f>'Formatted NEW'!Q145</f>
        <v>ORTHO_LEFT</v>
      </c>
      <c r="B147" t="str">
        <f>'Formatted NEW'!R145</f>
        <v>ORTHO_RIGHT</v>
      </c>
      <c r="C147" t="str">
        <f>'Formatted NEW'!S145</f>
        <v>EMPTY</v>
      </c>
      <c r="D147" t="str">
        <f>'Formatted NEW'!T145</f>
        <v>EMPTY</v>
      </c>
      <c r="E147" s="26">
        <f t="shared" si="8"/>
        <v>143</v>
      </c>
      <c r="H147" s="30" t="str" cm="1">
        <f t="array" aca="1" ref="H147" ca="1">IF(ISNUMBER(SEARCH(INDIRECT(ADDRESS(ROW(H147),MOD(H$1,4)+1)),H$2)),$E147,"")</f>
        <v/>
      </c>
      <c r="I147" s="26" t="str" cm="1">
        <f t="array" aca="1" ref="I147" ca="1">IF(ISNUMBER(SEARCH(INDIRECT(ADDRESS(ROW(I147),MOD(I$1,4)+1)),I$2)),$E147,"")</f>
        <v/>
      </c>
      <c r="J147" s="26" t="str" cm="1">
        <f t="array" aca="1" ref="J147" ca="1">IF(ISNUMBER(SEARCH(INDIRECT(ADDRESS(ROW(J147),MOD(J$1,4)+1)),J$2)),$E147,"")</f>
        <v/>
      </c>
      <c r="K147" s="26" t="str" cm="1">
        <f t="array" aca="1" ref="K147" ca="1">IF(ISNUMBER(SEARCH(INDIRECT(ADDRESS(ROW(K147),MOD(K$1,4)+1)),K$2)),$E147,"")</f>
        <v/>
      </c>
      <c r="L147" s="26" t="str" cm="1">
        <f t="array" aca="1" ref="L147" ca="1">IF(ISNUMBER(SEARCH(INDIRECT(ADDRESS(ROW(L147),MOD(L$1,4)+1)),L$2)),$E147,"")</f>
        <v/>
      </c>
      <c r="M147" s="26" t="str" cm="1">
        <f t="array" aca="1" ref="M147" ca="1">IF(ISNUMBER(SEARCH(INDIRECT(ADDRESS(ROW(M147),MOD(M$1,4)+1)),M$2)),$E147,"")</f>
        <v/>
      </c>
      <c r="N147" s="26" t="str" cm="1">
        <f t="array" aca="1" ref="N147" ca="1">IF(ISNUMBER(SEARCH(INDIRECT(ADDRESS(ROW(N147),MOD(N$1,4)+1)),N$2)),$E147,"")</f>
        <v/>
      </c>
      <c r="O147" s="26" t="str" cm="1">
        <f t="array" aca="1" ref="O147" ca="1">IF(ISNUMBER(SEARCH(INDIRECT(ADDRESS(ROW(O147),MOD(O$1,4)+1)),O$2)),$E147,"")</f>
        <v/>
      </c>
      <c r="P147" s="26" t="str" cm="1">
        <f t="array" aca="1" ref="P147" ca="1">IF(ISNUMBER(SEARCH(INDIRECT(ADDRESS(ROW(P147),MOD(P$1,4)+1)),P$2)),$E147,"")</f>
        <v/>
      </c>
      <c r="Q147" s="26" t="str" cm="1">
        <f t="array" aca="1" ref="Q147" ca="1">IF(ISNUMBER(SEARCH(INDIRECT(ADDRESS(ROW(Q147),MOD(Q$1,4)+1)),Q$2)),$E147,"")</f>
        <v/>
      </c>
      <c r="R147" s="26" t="str" cm="1">
        <f t="array" aca="1" ref="R147" ca="1">IF(ISNUMBER(SEARCH(INDIRECT(ADDRESS(ROW(R147),MOD(R$1,4)+1)),R$2)),$E147,"")</f>
        <v/>
      </c>
      <c r="S147" s="26" t="str" cm="1">
        <f t="array" aca="1" ref="S147" ca="1">IF(ISNUMBER(SEARCH(INDIRECT(ADDRESS(ROW(S147),MOD(S$1,4)+1)),S$2)),$E147,"")</f>
        <v/>
      </c>
      <c r="T147" s="26" t="str" cm="1">
        <f t="array" aca="1" ref="T147" ca="1">IF(ISNUMBER(SEARCH(INDIRECT(ADDRESS(ROW(T147),MOD(T$1,4)+1)),T$2)),$E147,"")</f>
        <v/>
      </c>
      <c r="U147" s="26" t="str" cm="1">
        <f t="array" aca="1" ref="U147" ca="1">IF(ISNUMBER(SEARCH(INDIRECT(ADDRESS(ROW(U147),MOD(U$1,4)+1)),U$2)),$E147,"")</f>
        <v/>
      </c>
      <c r="V147" s="26" t="str" cm="1">
        <f t="array" aca="1" ref="V147" ca="1">IF(ISNUMBER(SEARCH(INDIRECT(ADDRESS(ROW(V147),MOD(V$1,4)+1)),V$2)),$E147,"")</f>
        <v/>
      </c>
      <c r="W147" s="26" t="str" cm="1">
        <f t="array" aca="1" ref="W147" ca="1">IF(ISNUMBER(SEARCH(INDIRECT(ADDRESS(ROW(W147),MOD(W$1,4)+1)),W$2)),$E147,"")</f>
        <v/>
      </c>
      <c r="X147" s="26" t="str" cm="1">
        <f t="array" aca="1" ref="X147" ca="1">IF(ISNUMBER(SEARCH(INDIRECT(ADDRESS(ROW(X147),MOD(X$1,4)+1)),X$2)),$E147,"")</f>
        <v/>
      </c>
      <c r="Y147" s="26" t="str" cm="1">
        <f t="array" aca="1" ref="Y147" ca="1">IF(ISNUMBER(SEARCH(INDIRECT(ADDRESS(ROW(Y147),MOD(Y$1,4)+1)),Y$2)),$E147,"")</f>
        <v/>
      </c>
      <c r="Z147" s="26" t="str" cm="1">
        <f t="array" aca="1" ref="Z147" ca="1">IF(ISNUMBER(SEARCH(INDIRECT(ADDRESS(ROW(Z147),MOD(Z$1,4)+1)),Z$2)),$E147,"")</f>
        <v/>
      </c>
      <c r="AA147" s="26" t="str" cm="1">
        <f t="array" aca="1" ref="AA147" ca="1">IF(ISNUMBER(SEARCH(INDIRECT(ADDRESS(ROW(AA147),MOD(AA$1,4)+1)),AA$2)),$E147,"")</f>
        <v/>
      </c>
      <c r="AB147" s="26" t="str" cm="1">
        <f t="array" aca="1" ref="AB147" ca="1">IF(ISNUMBER(SEARCH(INDIRECT(ADDRESS(ROW(AB147),MOD(AB$1,4)+1)),AB$2)),$E147,"")</f>
        <v/>
      </c>
      <c r="AC147" s="26" t="str" cm="1">
        <f t="array" aca="1" ref="AC147" ca="1">IF(ISNUMBER(SEARCH(INDIRECT(ADDRESS(ROW(AC147),MOD(AC$1,4)+1)),AC$2)),$E147,"")</f>
        <v/>
      </c>
      <c r="AD147" s="26" t="str" cm="1">
        <f t="array" aca="1" ref="AD147" ca="1">IF(ISNUMBER(SEARCH(INDIRECT(ADDRESS(ROW(AD147),MOD(AD$1,4)+1)),AD$2)),$E147,"")</f>
        <v/>
      </c>
      <c r="AE147" s="26" t="str" cm="1">
        <f t="array" aca="1" ref="AE147" ca="1">IF(ISNUMBER(SEARCH(INDIRECT(ADDRESS(ROW(AE147),MOD(AE$1,4)+1)),AE$2)),$E147,"")</f>
        <v/>
      </c>
      <c r="AF147" s="26" t="str" cm="1">
        <f t="array" aca="1" ref="AF147" ca="1">IF(ISNUMBER(SEARCH(INDIRECT(ADDRESS(ROW(AF147),MOD(AF$1,4)+1)),AF$2)),$E147,"")</f>
        <v/>
      </c>
      <c r="AG147" s="26" t="str" cm="1">
        <f t="array" aca="1" ref="AG147" ca="1">IF(ISNUMBER(SEARCH(INDIRECT(ADDRESS(ROW(AG147),MOD(AG$1,4)+1)),AG$2)),$E147,"")</f>
        <v/>
      </c>
      <c r="AH147" s="26" t="str" cm="1">
        <f t="array" aca="1" ref="AH147" ca="1">IF(ISNUMBER(SEARCH(INDIRECT(ADDRESS(ROW(AH147),MOD(AH$1,4)+1)),AH$2)),$E147,"")</f>
        <v/>
      </c>
      <c r="AI147" s="26" t="str" cm="1">
        <f t="array" aca="1" ref="AI147" ca="1">IF(ISNUMBER(SEARCH(INDIRECT(ADDRESS(ROW(AI147),MOD(AI$1,4)+1)),AI$2)),$E147,"")</f>
        <v/>
      </c>
      <c r="AJ147" s="26" cm="1">
        <f t="array" aca="1" ref="AJ147" ca="1">IF(ISNUMBER(SEARCH(INDIRECT(ADDRESS(ROW(AJ147),MOD(AJ$1,4)+1)),AJ$2)),$E147,"")</f>
        <v>143</v>
      </c>
      <c r="AK147" s="26" t="str" cm="1">
        <f t="array" aca="1" ref="AK147" ca="1">IF(ISNUMBER(SEARCH(INDIRECT(ADDRESS(ROW(AK147),MOD(AK$1,4)+1)),AK$2)),$E147,"")</f>
        <v/>
      </c>
      <c r="AL147" s="26" t="str" cm="1">
        <f t="array" aca="1" ref="AL147" ca="1">IF(ISNUMBER(SEARCH(INDIRECT(ADDRESS(ROW(AL147),MOD(AL$1,4)+1)),AL$2)),$E147,"")</f>
        <v/>
      </c>
      <c r="AM147" s="26" t="str" cm="1">
        <f t="array" aca="1" ref="AM147" ca="1">IF(ISNUMBER(SEARCH(INDIRECT(ADDRESS(ROW(AM147),MOD(AM$1,4)+1)),AM$2)),$E147,"")</f>
        <v/>
      </c>
      <c r="AN147" s="26" t="str" cm="1">
        <f t="array" aca="1" ref="AN147" ca="1">IF(ISNUMBER(SEARCH(INDIRECT(ADDRESS(ROW(AN147),MOD(AN$1,4)+1)),AN$2)),$E147,"")</f>
        <v/>
      </c>
      <c r="AO147" s="26" cm="1">
        <f t="array" aca="1" ref="AO147" ca="1">IF(ISNUMBER(SEARCH(INDIRECT(ADDRESS(ROW(AO147),MOD(AO$1,4)+1)),AO$2)),$E147,"")</f>
        <v>143</v>
      </c>
      <c r="AP147" s="26" t="str" cm="1">
        <f t="array" aca="1" ref="AP147" ca="1">IF(ISNUMBER(SEARCH(INDIRECT(ADDRESS(ROW(AP147),MOD(AP$1,4)+1)),AP$2)),$E147,"")</f>
        <v/>
      </c>
      <c r="AQ147" s="31" t="str" cm="1">
        <f t="array" aca="1" ref="AQ147" ca="1">IF(ISNUMBER(SEARCH(INDIRECT(ADDRESS(ROW(AQ147),MOD(AQ$1,4)+1)),AQ$2)),$E147,"")</f>
        <v/>
      </c>
      <c r="AT147" t="e">
        <f>IF(VLOOKUP($E147,'Formatted NEW'!$B$2:$F$202,5,FALSE)=VLOOKUP($E147,'Formatted NEW'!$B$2:$F$202,8,FALSE),$E147,"")</f>
        <v>#N/A</v>
      </c>
      <c r="AW147" t="e">
        <f>IF(VLOOKUP($E147,'Formatted NEW'!$B$2:$F$202,5,FALSE)=VLOOKUP($E147,'Formatted NEW'!$B$2:$F$202,11,FALSE),$E147,"")</f>
        <v>#N/A</v>
      </c>
      <c r="AZ147" t="e">
        <f>IF(VLOOKUP($E147,'Formatted NEW'!$B$2:$F$202,5,FALSE)=VLOOKUP($E147,'Formatted NEW'!$B$2:$F$202,14,FALSE),$E147,"")</f>
        <v>#N/A</v>
      </c>
      <c r="BC147" t="str">
        <f>VLOOKUP($E147,'Formatted NEW'!$M$2:$T$202,6,FALSE)</f>
        <v>ORTHO_RIGHT</v>
      </c>
      <c r="BD147" s="26" t="e">
        <f>VLOOKUP(VLOOKUP(VLOOKUP($E147,'Formatted NEW'!$M$2:$O$202,2,FALSE),'Formatted NEW'!$D$2:$F$202,7,FALSE),'Formatted NEW'!$D$2:$O$202,12,FALSE)</f>
        <v>#REF!</v>
      </c>
      <c r="BE147" t="e">
        <f>VLOOKUP($BD147,'Formatted NEW'!$M$2:$T$202,5,FALSE)</f>
        <v>#REF!</v>
      </c>
      <c r="BF147" s="26" t="e">
        <f t="shared" si="9"/>
        <v>#REF!</v>
      </c>
      <c r="BH147">
        <f>VLOOKUP($E147,'Formatted NEW'!$M$2:$T$202,4,FALSE)</f>
        <v>0</v>
      </c>
      <c r="BI147" s="26" t="e">
        <f>VLOOKUP(VLOOKUP(VLOOKUP($E147,'Formatted NEW'!$M$2:$O$202,2,FALSE),'Formatted NEW'!$D$2:$F$202,10,FALSE),'Formatted NEW'!$D$2:$O$202,12,FALSE)</f>
        <v>#REF!</v>
      </c>
      <c r="BJ147" t="e">
        <f>VLOOKUP($BI147,'Formatted NEW'!$M$2:$T$202,3,FALSE)</f>
        <v>#REF!</v>
      </c>
      <c r="BK147" s="26" t="e">
        <f t="shared" si="10"/>
        <v>#REF!</v>
      </c>
    </row>
    <row r="148" spans="1:63" x14ac:dyDescent="0.25">
      <c r="A148" t="str">
        <f>'Formatted NEW'!Q146</f>
        <v>ORTHO_RIGHT</v>
      </c>
      <c r="B148" t="str">
        <f>'Formatted NEW'!R146</f>
        <v>ORTHO_LEFT</v>
      </c>
      <c r="C148" t="str">
        <f>'Formatted NEW'!S146</f>
        <v>EMPTY</v>
      </c>
      <c r="D148" t="str">
        <f>'Formatted NEW'!T146</f>
        <v>EMPTY</v>
      </c>
      <c r="E148" s="26">
        <f t="shared" si="8"/>
        <v>144</v>
      </c>
      <c r="H148" s="30" t="str" cm="1">
        <f t="array" aca="1" ref="H148" ca="1">IF(ISNUMBER(SEARCH(INDIRECT(ADDRESS(ROW(H148),MOD(H$1,4)+1)),H$2)),$E148,"")</f>
        <v/>
      </c>
      <c r="I148" s="26" t="str" cm="1">
        <f t="array" aca="1" ref="I148" ca="1">IF(ISNUMBER(SEARCH(INDIRECT(ADDRESS(ROW(I148),MOD(I$1,4)+1)),I$2)),$E148,"")</f>
        <v/>
      </c>
      <c r="J148" s="26" t="str" cm="1">
        <f t="array" aca="1" ref="J148" ca="1">IF(ISNUMBER(SEARCH(INDIRECT(ADDRESS(ROW(J148),MOD(J$1,4)+1)),J$2)),$E148,"")</f>
        <v/>
      </c>
      <c r="K148" s="26" t="str" cm="1">
        <f t="array" aca="1" ref="K148" ca="1">IF(ISNUMBER(SEARCH(INDIRECT(ADDRESS(ROW(K148),MOD(K$1,4)+1)),K$2)),$E148,"")</f>
        <v/>
      </c>
      <c r="L148" s="26" t="str" cm="1">
        <f t="array" aca="1" ref="L148" ca="1">IF(ISNUMBER(SEARCH(INDIRECT(ADDRESS(ROW(L148),MOD(L$1,4)+1)),L$2)),$E148,"")</f>
        <v/>
      </c>
      <c r="M148" s="26" t="str" cm="1">
        <f t="array" aca="1" ref="M148" ca="1">IF(ISNUMBER(SEARCH(INDIRECT(ADDRESS(ROW(M148),MOD(M$1,4)+1)),M$2)),$E148,"")</f>
        <v/>
      </c>
      <c r="N148" s="26" t="str" cm="1">
        <f t="array" aca="1" ref="N148" ca="1">IF(ISNUMBER(SEARCH(INDIRECT(ADDRESS(ROW(N148),MOD(N$1,4)+1)),N$2)),$E148,"")</f>
        <v/>
      </c>
      <c r="O148" s="26" t="str" cm="1">
        <f t="array" aca="1" ref="O148" ca="1">IF(ISNUMBER(SEARCH(INDIRECT(ADDRESS(ROW(O148),MOD(O$1,4)+1)),O$2)),$E148,"")</f>
        <v/>
      </c>
      <c r="P148" s="26" t="str" cm="1">
        <f t="array" aca="1" ref="P148" ca="1">IF(ISNUMBER(SEARCH(INDIRECT(ADDRESS(ROW(P148),MOD(P$1,4)+1)),P$2)),$E148,"")</f>
        <v/>
      </c>
      <c r="Q148" s="26" t="str" cm="1">
        <f t="array" aca="1" ref="Q148" ca="1">IF(ISNUMBER(SEARCH(INDIRECT(ADDRESS(ROW(Q148),MOD(Q$1,4)+1)),Q$2)),$E148,"")</f>
        <v/>
      </c>
      <c r="R148" s="26" t="str" cm="1">
        <f t="array" aca="1" ref="R148" ca="1">IF(ISNUMBER(SEARCH(INDIRECT(ADDRESS(ROW(R148),MOD(R$1,4)+1)),R$2)),$E148,"")</f>
        <v/>
      </c>
      <c r="S148" s="26" t="str" cm="1">
        <f t="array" aca="1" ref="S148" ca="1">IF(ISNUMBER(SEARCH(INDIRECT(ADDRESS(ROW(S148),MOD(S$1,4)+1)),S$2)),$E148,"")</f>
        <v/>
      </c>
      <c r="T148" s="26" t="str" cm="1">
        <f t="array" aca="1" ref="T148" ca="1">IF(ISNUMBER(SEARCH(INDIRECT(ADDRESS(ROW(T148),MOD(T$1,4)+1)),T$2)),$E148,"")</f>
        <v/>
      </c>
      <c r="U148" s="26" t="str" cm="1">
        <f t="array" aca="1" ref="U148" ca="1">IF(ISNUMBER(SEARCH(INDIRECT(ADDRESS(ROW(U148),MOD(U$1,4)+1)),U$2)),$E148,"")</f>
        <v/>
      </c>
      <c r="V148" s="26" t="str" cm="1">
        <f t="array" aca="1" ref="V148" ca="1">IF(ISNUMBER(SEARCH(INDIRECT(ADDRESS(ROW(V148),MOD(V$1,4)+1)),V$2)),$E148,"")</f>
        <v/>
      </c>
      <c r="W148" s="26" t="str" cm="1">
        <f t="array" aca="1" ref="W148" ca="1">IF(ISNUMBER(SEARCH(INDIRECT(ADDRESS(ROW(W148),MOD(W$1,4)+1)),W$2)),$E148,"")</f>
        <v/>
      </c>
      <c r="X148" s="26" t="str" cm="1">
        <f t="array" aca="1" ref="X148" ca="1">IF(ISNUMBER(SEARCH(INDIRECT(ADDRESS(ROW(X148),MOD(X$1,4)+1)),X$2)),$E148,"")</f>
        <v/>
      </c>
      <c r="Y148" s="26" t="str" cm="1">
        <f t="array" aca="1" ref="Y148" ca="1">IF(ISNUMBER(SEARCH(INDIRECT(ADDRESS(ROW(Y148),MOD(Y$1,4)+1)),Y$2)),$E148,"")</f>
        <v/>
      </c>
      <c r="Z148" s="26" t="str" cm="1">
        <f t="array" aca="1" ref="Z148" ca="1">IF(ISNUMBER(SEARCH(INDIRECT(ADDRESS(ROW(Z148),MOD(Z$1,4)+1)),Z$2)),$E148,"")</f>
        <v/>
      </c>
      <c r="AA148" s="26" t="str" cm="1">
        <f t="array" aca="1" ref="AA148" ca="1">IF(ISNUMBER(SEARCH(INDIRECT(ADDRESS(ROW(AA148),MOD(AA$1,4)+1)),AA$2)),$E148,"")</f>
        <v/>
      </c>
      <c r="AB148" s="26" t="str" cm="1">
        <f t="array" aca="1" ref="AB148" ca="1">IF(ISNUMBER(SEARCH(INDIRECT(ADDRESS(ROW(AB148),MOD(AB$1,4)+1)),AB$2)),$E148,"")</f>
        <v/>
      </c>
      <c r="AC148" s="26" t="str" cm="1">
        <f t="array" aca="1" ref="AC148" ca="1">IF(ISNUMBER(SEARCH(INDIRECT(ADDRESS(ROW(AC148),MOD(AC$1,4)+1)),AC$2)),$E148,"")</f>
        <v/>
      </c>
      <c r="AD148" s="26" t="str" cm="1">
        <f t="array" aca="1" ref="AD148" ca="1">IF(ISNUMBER(SEARCH(INDIRECT(ADDRESS(ROW(AD148),MOD(AD$1,4)+1)),AD$2)),$E148,"")</f>
        <v/>
      </c>
      <c r="AE148" s="26" t="str" cm="1">
        <f t="array" aca="1" ref="AE148" ca="1">IF(ISNUMBER(SEARCH(INDIRECT(ADDRESS(ROW(AE148),MOD(AE$1,4)+1)),AE$2)),$E148,"")</f>
        <v/>
      </c>
      <c r="AF148" s="26" t="str" cm="1">
        <f t="array" aca="1" ref="AF148" ca="1">IF(ISNUMBER(SEARCH(INDIRECT(ADDRESS(ROW(AF148),MOD(AF$1,4)+1)),AF$2)),$E148,"")</f>
        <v/>
      </c>
      <c r="AG148" s="26" t="str" cm="1">
        <f t="array" aca="1" ref="AG148" ca="1">IF(ISNUMBER(SEARCH(INDIRECT(ADDRESS(ROW(AG148),MOD(AG$1,4)+1)),AG$2)),$E148,"")</f>
        <v/>
      </c>
      <c r="AH148" s="26" t="str" cm="1">
        <f t="array" aca="1" ref="AH148" ca="1">IF(ISNUMBER(SEARCH(INDIRECT(ADDRESS(ROW(AH148),MOD(AH$1,4)+1)),AH$2)),$E148,"")</f>
        <v/>
      </c>
      <c r="AI148" s="26" t="str" cm="1">
        <f t="array" aca="1" ref="AI148" ca="1">IF(ISNUMBER(SEARCH(INDIRECT(ADDRESS(ROW(AI148),MOD(AI$1,4)+1)),AI$2)),$E148,"")</f>
        <v/>
      </c>
      <c r="AJ148" s="26" t="str" cm="1">
        <f t="array" aca="1" ref="AJ148" ca="1">IF(ISNUMBER(SEARCH(INDIRECT(ADDRESS(ROW(AJ148),MOD(AJ$1,4)+1)),AJ$2)),$E148,"")</f>
        <v/>
      </c>
      <c r="AK148" s="26" cm="1">
        <f t="array" aca="1" ref="AK148" ca="1">IF(ISNUMBER(SEARCH(INDIRECT(ADDRESS(ROW(AK148),MOD(AK$1,4)+1)),AK$2)),$E148,"")</f>
        <v>144</v>
      </c>
      <c r="AL148" s="26" t="str" cm="1">
        <f t="array" aca="1" ref="AL148" ca="1">IF(ISNUMBER(SEARCH(INDIRECT(ADDRESS(ROW(AL148),MOD(AL$1,4)+1)),AL$2)),$E148,"")</f>
        <v/>
      </c>
      <c r="AM148" s="26" t="str" cm="1">
        <f t="array" aca="1" ref="AM148" ca="1">IF(ISNUMBER(SEARCH(INDIRECT(ADDRESS(ROW(AM148),MOD(AM$1,4)+1)),AM$2)),$E148,"")</f>
        <v/>
      </c>
      <c r="AN148" s="26" cm="1">
        <f t="array" aca="1" ref="AN148" ca="1">IF(ISNUMBER(SEARCH(INDIRECT(ADDRESS(ROW(AN148),MOD(AN$1,4)+1)),AN$2)),$E148,"")</f>
        <v>144</v>
      </c>
      <c r="AO148" s="26" t="str" cm="1">
        <f t="array" aca="1" ref="AO148" ca="1">IF(ISNUMBER(SEARCH(INDIRECT(ADDRESS(ROW(AO148),MOD(AO$1,4)+1)),AO$2)),$E148,"")</f>
        <v/>
      </c>
      <c r="AP148" s="26" t="str" cm="1">
        <f t="array" aca="1" ref="AP148" ca="1">IF(ISNUMBER(SEARCH(INDIRECT(ADDRESS(ROW(AP148),MOD(AP$1,4)+1)),AP$2)),$E148,"")</f>
        <v/>
      </c>
      <c r="AQ148" s="31" t="str" cm="1">
        <f t="array" aca="1" ref="AQ148" ca="1">IF(ISNUMBER(SEARCH(INDIRECT(ADDRESS(ROW(AQ148),MOD(AQ$1,4)+1)),AQ$2)),$E148,"")</f>
        <v/>
      </c>
      <c r="AT148" t="e">
        <f>IF(VLOOKUP($E148,'Formatted NEW'!$B$2:$F$202,5,FALSE)=VLOOKUP($E148,'Formatted NEW'!$B$2:$F$202,8,FALSE),$E148,"")</f>
        <v>#N/A</v>
      </c>
      <c r="AW148" t="e">
        <f>IF(VLOOKUP($E148,'Formatted NEW'!$B$2:$F$202,5,FALSE)=VLOOKUP($E148,'Formatted NEW'!$B$2:$F$202,11,FALSE),$E148,"")</f>
        <v>#N/A</v>
      </c>
      <c r="AZ148" t="e">
        <f>IF(VLOOKUP($E148,'Formatted NEW'!$B$2:$F$202,5,FALSE)=VLOOKUP($E148,'Formatted NEW'!$B$2:$F$202,14,FALSE),$E148,"")</f>
        <v>#N/A</v>
      </c>
      <c r="BC148" t="str">
        <f>VLOOKUP($E148,'Formatted NEW'!$M$2:$T$202,6,FALSE)</f>
        <v>ORTHO_LEFT</v>
      </c>
      <c r="BD148" s="26" t="e">
        <f>VLOOKUP(VLOOKUP(VLOOKUP($E148,'Formatted NEW'!$M$2:$O$202,2,FALSE),'Formatted NEW'!$D$2:$F$202,7,FALSE),'Formatted NEW'!$D$2:$O$202,12,FALSE)</f>
        <v>#REF!</v>
      </c>
      <c r="BE148" t="e">
        <f>VLOOKUP($BD148,'Formatted NEW'!$M$2:$T$202,5,FALSE)</f>
        <v>#REF!</v>
      </c>
      <c r="BF148" s="26" t="e">
        <f t="shared" si="9"/>
        <v>#REF!</v>
      </c>
      <c r="BH148">
        <f>VLOOKUP($E148,'Formatted NEW'!$M$2:$T$202,4,FALSE)</f>
        <v>0</v>
      </c>
      <c r="BI148" s="26" t="e">
        <f>VLOOKUP(VLOOKUP(VLOOKUP($E148,'Formatted NEW'!$M$2:$O$202,2,FALSE),'Formatted NEW'!$D$2:$F$202,10,FALSE),'Formatted NEW'!$D$2:$O$202,12,FALSE)</f>
        <v>#REF!</v>
      </c>
      <c r="BJ148" t="e">
        <f>VLOOKUP($BI148,'Formatted NEW'!$M$2:$T$202,3,FALSE)</f>
        <v>#REF!</v>
      </c>
      <c r="BK148" s="26" t="e">
        <f t="shared" si="10"/>
        <v>#REF!</v>
      </c>
    </row>
    <row r="149" spans="1:63" x14ac:dyDescent="0.25">
      <c r="A149" t="str">
        <f>'Formatted NEW'!Q147</f>
        <v>EMPTY</v>
      </c>
      <c r="B149" t="str">
        <f>'Formatted NEW'!R147</f>
        <v>EMPTY</v>
      </c>
      <c r="C149" t="str">
        <f>'Formatted NEW'!S147</f>
        <v>ORTHO_DOWN</v>
      </c>
      <c r="D149" t="str">
        <f>'Formatted NEW'!T147</f>
        <v>ORTHO_UP</v>
      </c>
      <c r="E149" s="26">
        <f t="shared" si="8"/>
        <v>145</v>
      </c>
      <c r="H149" s="30" t="str" cm="1">
        <f t="array" aca="1" ref="H149" ca="1">IF(ISNUMBER(SEARCH(INDIRECT(ADDRESS(ROW(H149),MOD(H$1,4)+1)),H$2)),$E149,"")</f>
        <v/>
      </c>
      <c r="I149" s="26" t="str" cm="1">
        <f t="array" aca="1" ref="I149" ca="1">IF(ISNUMBER(SEARCH(INDIRECT(ADDRESS(ROW(I149),MOD(I$1,4)+1)),I$2)),$E149,"")</f>
        <v/>
      </c>
      <c r="J149" s="26" t="str" cm="1">
        <f t="array" aca="1" ref="J149" ca="1">IF(ISNUMBER(SEARCH(INDIRECT(ADDRESS(ROW(J149),MOD(J$1,4)+1)),J$2)),$E149,"")</f>
        <v/>
      </c>
      <c r="K149" s="26" t="str" cm="1">
        <f t="array" aca="1" ref="K149" ca="1">IF(ISNUMBER(SEARCH(INDIRECT(ADDRESS(ROW(K149),MOD(K$1,4)+1)),K$2)),$E149,"")</f>
        <v/>
      </c>
      <c r="L149" s="26" t="str" cm="1">
        <f t="array" aca="1" ref="L149" ca="1">IF(ISNUMBER(SEARCH(INDIRECT(ADDRESS(ROW(L149),MOD(L$1,4)+1)),L$2)),$E149,"")</f>
        <v/>
      </c>
      <c r="M149" s="26" t="str" cm="1">
        <f t="array" aca="1" ref="M149" ca="1">IF(ISNUMBER(SEARCH(INDIRECT(ADDRESS(ROW(M149),MOD(M$1,4)+1)),M$2)),$E149,"")</f>
        <v/>
      </c>
      <c r="N149" s="26" t="str" cm="1">
        <f t="array" aca="1" ref="N149" ca="1">IF(ISNUMBER(SEARCH(INDIRECT(ADDRESS(ROW(N149),MOD(N$1,4)+1)),N$2)),$E149,"")</f>
        <v/>
      </c>
      <c r="O149" s="26" t="str" cm="1">
        <f t="array" aca="1" ref="O149" ca="1">IF(ISNUMBER(SEARCH(INDIRECT(ADDRESS(ROW(O149),MOD(O$1,4)+1)),O$2)),$E149,"")</f>
        <v/>
      </c>
      <c r="P149" s="26" t="str" cm="1">
        <f t="array" aca="1" ref="P149" ca="1">IF(ISNUMBER(SEARCH(INDIRECT(ADDRESS(ROW(P149),MOD(P$1,4)+1)),P$2)),$E149,"")</f>
        <v/>
      </c>
      <c r="Q149" s="26" t="str" cm="1">
        <f t="array" aca="1" ref="Q149" ca="1">IF(ISNUMBER(SEARCH(INDIRECT(ADDRESS(ROW(Q149),MOD(Q$1,4)+1)),Q$2)),$E149,"")</f>
        <v/>
      </c>
      <c r="R149" s="26" t="str" cm="1">
        <f t="array" aca="1" ref="R149" ca="1">IF(ISNUMBER(SEARCH(INDIRECT(ADDRESS(ROW(R149),MOD(R$1,4)+1)),R$2)),$E149,"")</f>
        <v/>
      </c>
      <c r="S149" s="26" t="str" cm="1">
        <f t="array" aca="1" ref="S149" ca="1">IF(ISNUMBER(SEARCH(INDIRECT(ADDRESS(ROW(S149),MOD(S$1,4)+1)),S$2)),$E149,"")</f>
        <v/>
      </c>
      <c r="T149" s="26" t="str" cm="1">
        <f t="array" aca="1" ref="T149" ca="1">IF(ISNUMBER(SEARCH(INDIRECT(ADDRESS(ROW(T149),MOD(T$1,4)+1)),T$2)),$E149,"")</f>
        <v/>
      </c>
      <c r="U149" s="26" t="str" cm="1">
        <f t="array" aca="1" ref="U149" ca="1">IF(ISNUMBER(SEARCH(INDIRECT(ADDRESS(ROW(U149),MOD(U$1,4)+1)),U$2)),$E149,"")</f>
        <v/>
      </c>
      <c r="V149" s="26" t="str" cm="1">
        <f t="array" aca="1" ref="V149" ca="1">IF(ISNUMBER(SEARCH(INDIRECT(ADDRESS(ROW(V149),MOD(V$1,4)+1)),V$2)),$E149,"")</f>
        <v/>
      </c>
      <c r="W149" s="26" t="str" cm="1">
        <f t="array" aca="1" ref="W149" ca="1">IF(ISNUMBER(SEARCH(INDIRECT(ADDRESS(ROW(W149),MOD(W$1,4)+1)),W$2)),$E149,"")</f>
        <v/>
      </c>
      <c r="X149" s="26" t="str" cm="1">
        <f t="array" aca="1" ref="X149" ca="1">IF(ISNUMBER(SEARCH(INDIRECT(ADDRESS(ROW(X149),MOD(X$1,4)+1)),X$2)),$E149,"")</f>
        <v/>
      </c>
      <c r="Y149" s="26" t="str" cm="1">
        <f t="array" aca="1" ref="Y149" ca="1">IF(ISNUMBER(SEARCH(INDIRECT(ADDRESS(ROW(Y149),MOD(Y$1,4)+1)),Y$2)),$E149,"")</f>
        <v/>
      </c>
      <c r="Z149" s="26" t="str" cm="1">
        <f t="array" aca="1" ref="Z149" ca="1">IF(ISNUMBER(SEARCH(INDIRECT(ADDRESS(ROW(Z149),MOD(Z$1,4)+1)),Z$2)),$E149,"")</f>
        <v/>
      </c>
      <c r="AA149" s="26" t="str" cm="1">
        <f t="array" aca="1" ref="AA149" ca="1">IF(ISNUMBER(SEARCH(INDIRECT(ADDRESS(ROW(AA149),MOD(AA$1,4)+1)),AA$2)),$E149,"")</f>
        <v/>
      </c>
      <c r="AB149" s="26" t="str" cm="1">
        <f t="array" aca="1" ref="AB149" ca="1">IF(ISNUMBER(SEARCH(INDIRECT(ADDRESS(ROW(AB149),MOD(AB$1,4)+1)),AB$2)),$E149,"")</f>
        <v/>
      </c>
      <c r="AC149" s="26" t="str" cm="1">
        <f t="array" aca="1" ref="AC149" ca="1">IF(ISNUMBER(SEARCH(INDIRECT(ADDRESS(ROW(AC149),MOD(AC$1,4)+1)),AC$2)),$E149,"")</f>
        <v/>
      </c>
      <c r="AD149" s="26" t="str" cm="1">
        <f t="array" aca="1" ref="AD149" ca="1">IF(ISNUMBER(SEARCH(INDIRECT(ADDRESS(ROW(AD149),MOD(AD$1,4)+1)),AD$2)),$E149,"")</f>
        <v/>
      </c>
      <c r="AE149" s="26" t="str" cm="1">
        <f t="array" aca="1" ref="AE149" ca="1">IF(ISNUMBER(SEARCH(INDIRECT(ADDRESS(ROW(AE149),MOD(AE$1,4)+1)),AE$2)),$E149,"")</f>
        <v/>
      </c>
      <c r="AF149" s="26" t="str" cm="1">
        <f t="array" aca="1" ref="AF149" ca="1">IF(ISNUMBER(SEARCH(INDIRECT(ADDRESS(ROW(AF149),MOD(AF$1,4)+1)),AF$2)),$E149,"")</f>
        <v/>
      </c>
      <c r="AG149" s="26" t="str" cm="1">
        <f t="array" aca="1" ref="AG149" ca="1">IF(ISNUMBER(SEARCH(INDIRECT(ADDRESS(ROW(AG149),MOD(AG$1,4)+1)),AG$2)),$E149,"")</f>
        <v/>
      </c>
      <c r="AH149" s="26" t="str" cm="1">
        <f t="array" aca="1" ref="AH149" ca="1">IF(ISNUMBER(SEARCH(INDIRECT(ADDRESS(ROW(AH149),MOD(AH$1,4)+1)),AH$2)),$E149,"")</f>
        <v/>
      </c>
      <c r="AI149" s="26" t="str" cm="1">
        <f t="array" aca="1" ref="AI149" ca="1">IF(ISNUMBER(SEARCH(INDIRECT(ADDRESS(ROW(AI149),MOD(AI$1,4)+1)),AI$2)),$E149,"")</f>
        <v/>
      </c>
      <c r="AJ149" s="26" t="str" cm="1">
        <f t="array" aca="1" ref="AJ149" ca="1">IF(ISNUMBER(SEARCH(INDIRECT(ADDRESS(ROW(AJ149),MOD(AJ$1,4)+1)),AJ$2)),$E149,"")</f>
        <v/>
      </c>
      <c r="AK149" s="26" t="str" cm="1">
        <f t="array" aca="1" ref="AK149" ca="1">IF(ISNUMBER(SEARCH(INDIRECT(ADDRESS(ROW(AK149),MOD(AK$1,4)+1)),AK$2)),$E149,"")</f>
        <v/>
      </c>
      <c r="AL149" s="26" t="str" cm="1">
        <f t="array" aca="1" ref="AL149" ca="1">IF(ISNUMBER(SEARCH(INDIRECT(ADDRESS(ROW(AL149),MOD(AL$1,4)+1)),AL$2)),$E149,"")</f>
        <v/>
      </c>
      <c r="AM149" s="26" t="str" cm="1">
        <f t="array" aca="1" ref="AM149" ca="1">IF(ISNUMBER(SEARCH(INDIRECT(ADDRESS(ROW(AM149),MOD(AM$1,4)+1)),AM$2)),$E149,"")</f>
        <v/>
      </c>
      <c r="AN149" s="26" t="str" cm="1">
        <f t="array" aca="1" ref="AN149" ca="1">IF(ISNUMBER(SEARCH(INDIRECT(ADDRESS(ROW(AN149),MOD(AN$1,4)+1)),AN$2)),$E149,"")</f>
        <v/>
      </c>
      <c r="AO149" s="26" t="str" cm="1">
        <f t="array" aca="1" ref="AO149" ca="1">IF(ISNUMBER(SEARCH(INDIRECT(ADDRESS(ROW(AO149),MOD(AO$1,4)+1)),AO$2)),$E149,"")</f>
        <v/>
      </c>
      <c r="AP149" s="26" t="str" cm="1">
        <f t="array" aca="1" ref="AP149" ca="1">IF(ISNUMBER(SEARCH(INDIRECT(ADDRESS(ROW(AP149),MOD(AP$1,4)+1)),AP$2)),$E149,"")</f>
        <v/>
      </c>
      <c r="AQ149" s="31" t="str" cm="1">
        <f t="array" aca="1" ref="AQ149" ca="1">IF(ISNUMBER(SEARCH(INDIRECT(ADDRESS(ROW(AQ149),MOD(AQ$1,4)+1)),AQ$2)),$E149,"")</f>
        <v/>
      </c>
      <c r="AT149" t="e">
        <f>IF(VLOOKUP($E149,'Formatted NEW'!$B$2:$F$202,5,FALSE)=VLOOKUP($E149,'Formatted NEW'!$B$2:$F$202,8,FALSE),$E149,"")</f>
        <v>#N/A</v>
      </c>
      <c r="AW149" t="e">
        <f>IF(VLOOKUP($E149,'Formatted NEW'!$B$2:$F$202,5,FALSE)=VLOOKUP($E149,'Formatted NEW'!$B$2:$F$202,11,FALSE),$E149,"")</f>
        <v>#N/A</v>
      </c>
      <c r="AZ149" t="e">
        <f>IF(VLOOKUP($E149,'Formatted NEW'!$B$2:$F$202,5,FALSE)=VLOOKUP($E149,'Formatted NEW'!$B$2:$F$202,14,FALSE),$E149,"")</f>
        <v>#N/A</v>
      </c>
      <c r="BC149" t="str">
        <f>VLOOKUP($E149,'Formatted NEW'!$M$2:$T$202,6,FALSE)</f>
        <v>EMPTY</v>
      </c>
      <c r="BD149" s="26" t="e">
        <f>VLOOKUP(VLOOKUP(VLOOKUP($E149,'Formatted NEW'!$M$2:$O$202,2,FALSE),'Formatted NEW'!$D$2:$F$202,7,FALSE),'Formatted NEW'!$D$2:$O$202,12,FALSE)</f>
        <v>#REF!</v>
      </c>
      <c r="BE149" t="e">
        <f>VLOOKUP($BD149,'Formatted NEW'!$M$2:$T$202,5,FALSE)</f>
        <v>#REF!</v>
      </c>
      <c r="BF149" s="26" t="e">
        <f t="shared" si="9"/>
        <v>#REF!</v>
      </c>
      <c r="BH149">
        <f>VLOOKUP($E149,'Formatted NEW'!$M$2:$T$202,4,FALSE)</f>
        <v>0</v>
      </c>
      <c r="BI149" s="26" t="e">
        <f>VLOOKUP(VLOOKUP(VLOOKUP($E149,'Formatted NEW'!$M$2:$O$202,2,FALSE),'Formatted NEW'!$D$2:$F$202,10,FALSE),'Formatted NEW'!$D$2:$O$202,12,FALSE)</f>
        <v>#REF!</v>
      </c>
      <c r="BJ149" t="e">
        <f>VLOOKUP($BI149,'Formatted NEW'!$M$2:$T$202,3,FALSE)</f>
        <v>#REF!</v>
      </c>
      <c r="BK149" s="26" t="e">
        <f t="shared" si="10"/>
        <v>#REF!</v>
      </c>
    </row>
    <row r="150" spans="1:63" x14ac:dyDescent="0.25">
      <c r="A150" t="str">
        <f>'Formatted NEW'!Q148</f>
        <v>EMPTY</v>
      </c>
      <c r="B150" t="str">
        <f>'Formatted NEW'!R148</f>
        <v>EMPTY</v>
      </c>
      <c r="C150" t="str">
        <f>'Formatted NEW'!S148</f>
        <v>ORTHO_UP</v>
      </c>
      <c r="D150" t="str">
        <f>'Formatted NEW'!T148</f>
        <v>ORTHO_DOWN</v>
      </c>
      <c r="E150" s="26">
        <f t="shared" si="8"/>
        <v>146</v>
      </c>
      <c r="H150" s="30" t="str" cm="1">
        <f t="array" aca="1" ref="H150" ca="1">IF(ISNUMBER(SEARCH(INDIRECT(ADDRESS(ROW(H150),MOD(H$1,4)+1)),H$2)),$E150,"")</f>
        <v/>
      </c>
      <c r="I150" s="26" t="str" cm="1">
        <f t="array" aca="1" ref="I150" ca="1">IF(ISNUMBER(SEARCH(INDIRECT(ADDRESS(ROW(I150),MOD(I$1,4)+1)),I$2)),$E150,"")</f>
        <v/>
      </c>
      <c r="J150" s="26" t="str" cm="1">
        <f t="array" aca="1" ref="J150" ca="1">IF(ISNUMBER(SEARCH(INDIRECT(ADDRESS(ROW(J150),MOD(J$1,4)+1)),J$2)),$E150,"")</f>
        <v/>
      </c>
      <c r="K150" s="26" t="str" cm="1">
        <f t="array" aca="1" ref="K150" ca="1">IF(ISNUMBER(SEARCH(INDIRECT(ADDRESS(ROW(K150),MOD(K$1,4)+1)),K$2)),$E150,"")</f>
        <v/>
      </c>
      <c r="L150" s="26" t="str" cm="1">
        <f t="array" aca="1" ref="L150" ca="1">IF(ISNUMBER(SEARCH(INDIRECT(ADDRESS(ROW(L150),MOD(L$1,4)+1)),L$2)),$E150,"")</f>
        <v/>
      </c>
      <c r="M150" s="26" t="str" cm="1">
        <f t="array" aca="1" ref="M150" ca="1">IF(ISNUMBER(SEARCH(INDIRECT(ADDRESS(ROW(M150),MOD(M$1,4)+1)),M$2)),$E150,"")</f>
        <v/>
      </c>
      <c r="N150" s="26" t="str" cm="1">
        <f t="array" aca="1" ref="N150" ca="1">IF(ISNUMBER(SEARCH(INDIRECT(ADDRESS(ROW(N150),MOD(N$1,4)+1)),N$2)),$E150,"")</f>
        <v/>
      </c>
      <c r="O150" s="26" t="str" cm="1">
        <f t="array" aca="1" ref="O150" ca="1">IF(ISNUMBER(SEARCH(INDIRECT(ADDRESS(ROW(O150),MOD(O$1,4)+1)),O$2)),$E150,"")</f>
        <v/>
      </c>
      <c r="P150" s="26" t="str" cm="1">
        <f t="array" aca="1" ref="P150" ca="1">IF(ISNUMBER(SEARCH(INDIRECT(ADDRESS(ROW(P150),MOD(P$1,4)+1)),P$2)),$E150,"")</f>
        <v/>
      </c>
      <c r="Q150" s="26" t="str" cm="1">
        <f t="array" aca="1" ref="Q150" ca="1">IF(ISNUMBER(SEARCH(INDIRECT(ADDRESS(ROW(Q150),MOD(Q$1,4)+1)),Q$2)),$E150,"")</f>
        <v/>
      </c>
      <c r="R150" s="26" t="str" cm="1">
        <f t="array" aca="1" ref="R150" ca="1">IF(ISNUMBER(SEARCH(INDIRECT(ADDRESS(ROW(R150),MOD(R$1,4)+1)),R$2)),$E150,"")</f>
        <v/>
      </c>
      <c r="S150" s="26" t="str" cm="1">
        <f t="array" aca="1" ref="S150" ca="1">IF(ISNUMBER(SEARCH(INDIRECT(ADDRESS(ROW(S150),MOD(S$1,4)+1)),S$2)),$E150,"")</f>
        <v/>
      </c>
      <c r="T150" s="26" t="str" cm="1">
        <f t="array" aca="1" ref="T150" ca="1">IF(ISNUMBER(SEARCH(INDIRECT(ADDRESS(ROW(T150),MOD(T$1,4)+1)),T$2)),$E150,"")</f>
        <v/>
      </c>
      <c r="U150" s="26" t="str" cm="1">
        <f t="array" aca="1" ref="U150" ca="1">IF(ISNUMBER(SEARCH(INDIRECT(ADDRESS(ROW(U150),MOD(U$1,4)+1)),U$2)),$E150,"")</f>
        <v/>
      </c>
      <c r="V150" s="26" t="str" cm="1">
        <f t="array" aca="1" ref="V150" ca="1">IF(ISNUMBER(SEARCH(INDIRECT(ADDRESS(ROW(V150),MOD(V$1,4)+1)),V$2)),$E150,"")</f>
        <v/>
      </c>
      <c r="W150" s="26" t="str" cm="1">
        <f t="array" aca="1" ref="W150" ca="1">IF(ISNUMBER(SEARCH(INDIRECT(ADDRESS(ROW(W150),MOD(W$1,4)+1)),W$2)),$E150,"")</f>
        <v/>
      </c>
      <c r="X150" s="26" t="str" cm="1">
        <f t="array" aca="1" ref="X150" ca="1">IF(ISNUMBER(SEARCH(INDIRECT(ADDRESS(ROW(X150),MOD(X$1,4)+1)),X$2)),$E150,"")</f>
        <v/>
      </c>
      <c r="Y150" s="26" t="str" cm="1">
        <f t="array" aca="1" ref="Y150" ca="1">IF(ISNUMBER(SEARCH(INDIRECT(ADDRESS(ROW(Y150),MOD(Y$1,4)+1)),Y$2)),$E150,"")</f>
        <v/>
      </c>
      <c r="Z150" s="26" t="str" cm="1">
        <f t="array" aca="1" ref="Z150" ca="1">IF(ISNUMBER(SEARCH(INDIRECT(ADDRESS(ROW(Z150),MOD(Z$1,4)+1)),Z$2)),$E150,"")</f>
        <v/>
      </c>
      <c r="AA150" s="26" t="str" cm="1">
        <f t="array" aca="1" ref="AA150" ca="1">IF(ISNUMBER(SEARCH(INDIRECT(ADDRESS(ROW(AA150),MOD(AA$1,4)+1)),AA$2)),$E150,"")</f>
        <v/>
      </c>
      <c r="AB150" s="26" t="str" cm="1">
        <f t="array" aca="1" ref="AB150" ca="1">IF(ISNUMBER(SEARCH(INDIRECT(ADDRESS(ROW(AB150),MOD(AB$1,4)+1)),AB$2)),$E150,"")</f>
        <v/>
      </c>
      <c r="AC150" s="26" t="str" cm="1">
        <f t="array" aca="1" ref="AC150" ca="1">IF(ISNUMBER(SEARCH(INDIRECT(ADDRESS(ROW(AC150),MOD(AC$1,4)+1)),AC$2)),$E150,"")</f>
        <v/>
      </c>
      <c r="AD150" s="26" t="str" cm="1">
        <f t="array" aca="1" ref="AD150" ca="1">IF(ISNUMBER(SEARCH(INDIRECT(ADDRESS(ROW(AD150),MOD(AD$1,4)+1)),AD$2)),$E150,"")</f>
        <v/>
      </c>
      <c r="AE150" s="26" t="str" cm="1">
        <f t="array" aca="1" ref="AE150" ca="1">IF(ISNUMBER(SEARCH(INDIRECT(ADDRESS(ROW(AE150),MOD(AE$1,4)+1)),AE$2)),$E150,"")</f>
        <v/>
      </c>
      <c r="AF150" s="26" t="str" cm="1">
        <f t="array" aca="1" ref="AF150" ca="1">IF(ISNUMBER(SEARCH(INDIRECT(ADDRESS(ROW(AF150),MOD(AF$1,4)+1)),AF$2)),$E150,"")</f>
        <v/>
      </c>
      <c r="AG150" s="26" t="str" cm="1">
        <f t="array" aca="1" ref="AG150" ca="1">IF(ISNUMBER(SEARCH(INDIRECT(ADDRESS(ROW(AG150),MOD(AG$1,4)+1)),AG$2)),$E150,"")</f>
        <v/>
      </c>
      <c r="AH150" s="26" t="str" cm="1">
        <f t="array" aca="1" ref="AH150" ca="1">IF(ISNUMBER(SEARCH(INDIRECT(ADDRESS(ROW(AH150),MOD(AH$1,4)+1)),AH$2)),$E150,"")</f>
        <v/>
      </c>
      <c r="AI150" s="26" t="str" cm="1">
        <f t="array" aca="1" ref="AI150" ca="1">IF(ISNUMBER(SEARCH(INDIRECT(ADDRESS(ROW(AI150),MOD(AI$1,4)+1)),AI$2)),$E150,"")</f>
        <v/>
      </c>
      <c r="AJ150" s="26" t="str" cm="1">
        <f t="array" aca="1" ref="AJ150" ca="1">IF(ISNUMBER(SEARCH(INDIRECT(ADDRESS(ROW(AJ150),MOD(AJ$1,4)+1)),AJ$2)),$E150,"")</f>
        <v/>
      </c>
      <c r="AK150" s="26" t="str" cm="1">
        <f t="array" aca="1" ref="AK150" ca="1">IF(ISNUMBER(SEARCH(INDIRECT(ADDRESS(ROW(AK150),MOD(AK$1,4)+1)),AK$2)),$E150,"")</f>
        <v/>
      </c>
      <c r="AL150" s="26" t="str" cm="1">
        <f t="array" aca="1" ref="AL150" ca="1">IF(ISNUMBER(SEARCH(INDIRECT(ADDRESS(ROW(AL150),MOD(AL$1,4)+1)),AL$2)),$E150,"")</f>
        <v/>
      </c>
      <c r="AM150" s="26" t="str" cm="1">
        <f t="array" aca="1" ref="AM150" ca="1">IF(ISNUMBER(SEARCH(INDIRECT(ADDRESS(ROW(AM150),MOD(AM$1,4)+1)),AM$2)),$E150,"")</f>
        <v/>
      </c>
      <c r="AN150" s="26" t="str" cm="1">
        <f t="array" aca="1" ref="AN150" ca="1">IF(ISNUMBER(SEARCH(INDIRECT(ADDRESS(ROW(AN150),MOD(AN$1,4)+1)),AN$2)),$E150,"")</f>
        <v/>
      </c>
      <c r="AO150" s="26" t="str" cm="1">
        <f t="array" aca="1" ref="AO150" ca="1">IF(ISNUMBER(SEARCH(INDIRECT(ADDRESS(ROW(AO150),MOD(AO$1,4)+1)),AO$2)),$E150,"")</f>
        <v/>
      </c>
      <c r="AP150" s="26" t="str" cm="1">
        <f t="array" aca="1" ref="AP150" ca="1">IF(ISNUMBER(SEARCH(INDIRECT(ADDRESS(ROW(AP150),MOD(AP$1,4)+1)),AP$2)),$E150,"")</f>
        <v/>
      </c>
      <c r="AQ150" s="31" t="str" cm="1">
        <f t="array" aca="1" ref="AQ150" ca="1">IF(ISNUMBER(SEARCH(INDIRECT(ADDRESS(ROW(AQ150),MOD(AQ$1,4)+1)),AQ$2)),$E150,"")</f>
        <v/>
      </c>
      <c r="AT150" t="e">
        <f>IF(VLOOKUP($E150,'Formatted NEW'!$B$2:$F$202,5,FALSE)=VLOOKUP($E150,'Formatted NEW'!$B$2:$F$202,8,FALSE),$E150,"")</f>
        <v>#N/A</v>
      </c>
      <c r="AW150" t="e">
        <f>IF(VLOOKUP($E150,'Formatted NEW'!$B$2:$F$202,5,FALSE)=VLOOKUP($E150,'Formatted NEW'!$B$2:$F$202,11,FALSE),$E150,"")</f>
        <v>#N/A</v>
      </c>
      <c r="AZ150" t="e">
        <f>IF(VLOOKUP($E150,'Formatted NEW'!$B$2:$F$202,5,FALSE)=VLOOKUP($E150,'Formatted NEW'!$B$2:$F$202,14,FALSE),$E150,"")</f>
        <v>#N/A</v>
      </c>
      <c r="BC150" t="str">
        <f>VLOOKUP($E150,'Formatted NEW'!$M$2:$T$202,6,FALSE)</f>
        <v>EMPTY</v>
      </c>
      <c r="BD150" s="26" t="e">
        <f>VLOOKUP(VLOOKUP(VLOOKUP($E150,'Formatted NEW'!$M$2:$O$202,2,FALSE),'Formatted NEW'!$D$2:$F$202,7,FALSE),'Formatted NEW'!$D$2:$O$202,12,FALSE)</f>
        <v>#REF!</v>
      </c>
      <c r="BE150" t="e">
        <f>VLOOKUP($BD150,'Formatted NEW'!$M$2:$T$202,5,FALSE)</f>
        <v>#REF!</v>
      </c>
      <c r="BF150" s="26" t="e">
        <f t="shared" si="9"/>
        <v>#REF!</v>
      </c>
      <c r="BH150">
        <f>VLOOKUP($E150,'Formatted NEW'!$M$2:$T$202,4,FALSE)</f>
        <v>0</v>
      </c>
      <c r="BI150" s="26" t="e">
        <f>VLOOKUP(VLOOKUP(VLOOKUP($E150,'Formatted NEW'!$M$2:$O$202,2,FALSE),'Formatted NEW'!$D$2:$F$202,10,FALSE),'Formatted NEW'!$D$2:$O$202,12,FALSE)</f>
        <v>#REF!</v>
      </c>
      <c r="BJ150" t="e">
        <f>VLOOKUP($BI150,'Formatted NEW'!$M$2:$T$202,3,FALSE)</f>
        <v>#REF!</v>
      </c>
      <c r="BK150" s="26" t="e">
        <f t="shared" si="10"/>
        <v>#REF!</v>
      </c>
    </row>
    <row r="151" spans="1:63" x14ac:dyDescent="0.25">
      <c r="A151" t="str">
        <f>'Formatted NEW'!Q149</f>
        <v>EMPTY</v>
      </c>
      <c r="B151" t="str">
        <f>'Formatted NEW'!R149</f>
        <v>ORTHO_BOTH</v>
      </c>
      <c r="C151" t="str">
        <f>'Formatted NEW'!S149</f>
        <v>ORTHO_BOTH</v>
      </c>
      <c r="D151" t="str">
        <f>'Formatted NEW'!T149</f>
        <v>ORTHO_BOTH</v>
      </c>
      <c r="E151" s="26">
        <f t="shared" si="8"/>
        <v>147</v>
      </c>
      <c r="H151" s="30" t="str" cm="1">
        <f t="array" aca="1" ref="H151" ca="1">IF(ISNUMBER(SEARCH(INDIRECT(ADDRESS(ROW(H151),MOD(H$1,4)+1)),H$2)),$E151,"")</f>
        <v/>
      </c>
      <c r="I151" s="26" t="str" cm="1">
        <f t="array" aca="1" ref="I151" ca="1">IF(ISNUMBER(SEARCH(INDIRECT(ADDRESS(ROW(I151),MOD(I$1,4)+1)),I$2)),$E151,"")</f>
        <v/>
      </c>
      <c r="J151" s="26" t="str" cm="1">
        <f t="array" aca="1" ref="J151" ca="1">IF(ISNUMBER(SEARCH(INDIRECT(ADDRESS(ROW(J151),MOD(J$1,4)+1)),J$2)),$E151,"")</f>
        <v/>
      </c>
      <c r="K151" s="26" t="str" cm="1">
        <f t="array" aca="1" ref="K151" ca="1">IF(ISNUMBER(SEARCH(INDIRECT(ADDRESS(ROW(K151),MOD(K$1,4)+1)),K$2)),$E151,"")</f>
        <v/>
      </c>
      <c r="L151" s="26" t="str" cm="1">
        <f t="array" aca="1" ref="L151" ca="1">IF(ISNUMBER(SEARCH(INDIRECT(ADDRESS(ROW(L151),MOD(L$1,4)+1)),L$2)),$E151,"")</f>
        <v/>
      </c>
      <c r="M151" s="26" t="str" cm="1">
        <f t="array" aca="1" ref="M151" ca="1">IF(ISNUMBER(SEARCH(INDIRECT(ADDRESS(ROW(M151),MOD(M$1,4)+1)),M$2)),$E151,"")</f>
        <v/>
      </c>
      <c r="N151" s="26" t="str" cm="1">
        <f t="array" aca="1" ref="N151" ca="1">IF(ISNUMBER(SEARCH(INDIRECT(ADDRESS(ROW(N151),MOD(N$1,4)+1)),N$2)),$E151,"")</f>
        <v/>
      </c>
      <c r="O151" s="26" t="str" cm="1">
        <f t="array" aca="1" ref="O151" ca="1">IF(ISNUMBER(SEARCH(INDIRECT(ADDRESS(ROW(O151),MOD(O$1,4)+1)),O$2)),$E151,"")</f>
        <v/>
      </c>
      <c r="P151" s="26" t="str" cm="1">
        <f t="array" aca="1" ref="P151" ca="1">IF(ISNUMBER(SEARCH(INDIRECT(ADDRESS(ROW(P151),MOD(P$1,4)+1)),P$2)),$E151,"")</f>
        <v/>
      </c>
      <c r="Q151" s="26" cm="1">
        <f t="array" aca="1" ref="Q151" ca="1">IF(ISNUMBER(SEARCH(INDIRECT(ADDRESS(ROW(Q151),MOD(Q$1,4)+1)),Q$2)),$E151,"")</f>
        <v>147</v>
      </c>
      <c r="R151" s="26" cm="1">
        <f t="array" aca="1" ref="R151" ca="1">IF(ISNUMBER(SEARCH(INDIRECT(ADDRESS(ROW(R151),MOD(R$1,4)+1)),R$2)),$E151,"")</f>
        <v>147</v>
      </c>
      <c r="S151" s="26" cm="1">
        <f t="array" aca="1" ref="S151" ca="1">IF(ISNUMBER(SEARCH(INDIRECT(ADDRESS(ROW(S151),MOD(S$1,4)+1)),S$2)),$E151,"")</f>
        <v>147</v>
      </c>
      <c r="T151" s="26" t="str" cm="1">
        <f t="array" aca="1" ref="T151" ca="1">IF(ISNUMBER(SEARCH(INDIRECT(ADDRESS(ROW(T151),MOD(T$1,4)+1)),T$2)),$E151,"")</f>
        <v/>
      </c>
      <c r="U151" s="26" t="str" cm="1">
        <f t="array" aca="1" ref="U151" ca="1">IF(ISNUMBER(SEARCH(INDIRECT(ADDRESS(ROW(U151),MOD(U$1,4)+1)),U$2)),$E151,"")</f>
        <v/>
      </c>
      <c r="V151" s="26" t="str" cm="1">
        <f t="array" aca="1" ref="V151" ca="1">IF(ISNUMBER(SEARCH(INDIRECT(ADDRESS(ROW(V151),MOD(V$1,4)+1)),V$2)),$E151,"")</f>
        <v/>
      </c>
      <c r="W151" s="26" t="str" cm="1">
        <f t="array" aca="1" ref="W151" ca="1">IF(ISNUMBER(SEARCH(INDIRECT(ADDRESS(ROW(W151),MOD(W$1,4)+1)),W$2)),$E151,"")</f>
        <v/>
      </c>
      <c r="X151" s="26" t="str" cm="1">
        <f t="array" aca="1" ref="X151" ca="1">IF(ISNUMBER(SEARCH(INDIRECT(ADDRESS(ROW(X151),MOD(X$1,4)+1)),X$2)),$E151,"")</f>
        <v/>
      </c>
      <c r="Y151" s="26" t="str" cm="1">
        <f t="array" aca="1" ref="Y151" ca="1">IF(ISNUMBER(SEARCH(INDIRECT(ADDRESS(ROW(Y151),MOD(Y$1,4)+1)),Y$2)),$E151,"")</f>
        <v/>
      </c>
      <c r="Z151" s="26" t="str" cm="1">
        <f t="array" aca="1" ref="Z151" ca="1">IF(ISNUMBER(SEARCH(INDIRECT(ADDRESS(ROW(Z151),MOD(Z$1,4)+1)),Z$2)),$E151,"")</f>
        <v/>
      </c>
      <c r="AA151" s="26" t="str" cm="1">
        <f t="array" aca="1" ref="AA151" ca="1">IF(ISNUMBER(SEARCH(INDIRECT(ADDRESS(ROW(AA151),MOD(AA$1,4)+1)),AA$2)),$E151,"")</f>
        <v/>
      </c>
      <c r="AB151" s="26" t="str" cm="1">
        <f t="array" aca="1" ref="AB151" ca="1">IF(ISNUMBER(SEARCH(INDIRECT(ADDRESS(ROW(AB151),MOD(AB$1,4)+1)),AB$2)),$E151,"")</f>
        <v/>
      </c>
      <c r="AC151" s="26" t="str" cm="1">
        <f t="array" aca="1" ref="AC151" ca="1">IF(ISNUMBER(SEARCH(INDIRECT(ADDRESS(ROW(AC151),MOD(AC$1,4)+1)),AC$2)),$E151,"")</f>
        <v/>
      </c>
      <c r="AD151" s="26" t="str" cm="1">
        <f t="array" aca="1" ref="AD151" ca="1">IF(ISNUMBER(SEARCH(INDIRECT(ADDRESS(ROW(AD151),MOD(AD$1,4)+1)),AD$2)),$E151,"")</f>
        <v/>
      </c>
      <c r="AE151" s="26" t="str" cm="1">
        <f t="array" aca="1" ref="AE151" ca="1">IF(ISNUMBER(SEARCH(INDIRECT(ADDRESS(ROW(AE151),MOD(AE$1,4)+1)),AE$2)),$E151,"")</f>
        <v/>
      </c>
      <c r="AF151" s="26" t="str" cm="1">
        <f t="array" aca="1" ref="AF151" ca="1">IF(ISNUMBER(SEARCH(INDIRECT(ADDRESS(ROW(AF151),MOD(AF$1,4)+1)),AF$2)),$E151,"")</f>
        <v/>
      </c>
      <c r="AG151" s="26" t="str" cm="1">
        <f t="array" aca="1" ref="AG151" ca="1">IF(ISNUMBER(SEARCH(INDIRECT(ADDRESS(ROW(AG151),MOD(AG$1,4)+1)),AG$2)),$E151,"")</f>
        <v/>
      </c>
      <c r="AH151" s="26" t="str" cm="1">
        <f t="array" aca="1" ref="AH151" ca="1">IF(ISNUMBER(SEARCH(INDIRECT(ADDRESS(ROW(AH151),MOD(AH$1,4)+1)),AH$2)),$E151,"")</f>
        <v/>
      </c>
      <c r="AI151" s="26" t="str" cm="1">
        <f t="array" aca="1" ref="AI151" ca="1">IF(ISNUMBER(SEARCH(INDIRECT(ADDRESS(ROW(AI151),MOD(AI$1,4)+1)),AI$2)),$E151,"")</f>
        <v/>
      </c>
      <c r="AJ151" s="26" t="str" cm="1">
        <f t="array" aca="1" ref="AJ151" ca="1">IF(ISNUMBER(SEARCH(INDIRECT(ADDRESS(ROW(AJ151),MOD(AJ$1,4)+1)),AJ$2)),$E151,"")</f>
        <v/>
      </c>
      <c r="AK151" s="26" t="str" cm="1">
        <f t="array" aca="1" ref="AK151" ca="1">IF(ISNUMBER(SEARCH(INDIRECT(ADDRESS(ROW(AK151),MOD(AK$1,4)+1)),AK$2)),$E151,"")</f>
        <v/>
      </c>
      <c r="AL151" s="26" t="str" cm="1">
        <f t="array" aca="1" ref="AL151" ca="1">IF(ISNUMBER(SEARCH(INDIRECT(ADDRESS(ROW(AL151),MOD(AL$1,4)+1)),AL$2)),$E151,"")</f>
        <v/>
      </c>
      <c r="AM151" s="26" t="str" cm="1">
        <f t="array" aca="1" ref="AM151" ca="1">IF(ISNUMBER(SEARCH(INDIRECT(ADDRESS(ROW(AM151),MOD(AM$1,4)+1)),AM$2)),$E151,"")</f>
        <v/>
      </c>
      <c r="AN151" s="26" t="str" cm="1">
        <f t="array" aca="1" ref="AN151" ca="1">IF(ISNUMBER(SEARCH(INDIRECT(ADDRESS(ROW(AN151),MOD(AN$1,4)+1)),AN$2)),$E151,"")</f>
        <v/>
      </c>
      <c r="AO151" s="26" t="str" cm="1">
        <f t="array" aca="1" ref="AO151" ca="1">IF(ISNUMBER(SEARCH(INDIRECT(ADDRESS(ROW(AO151),MOD(AO$1,4)+1)),AO$2)),$E151,"")</f>
        <v/>
      </c>
      <c r="AP151" s="26" t="str" cm="1">
        <f t="array" aca="1" ref="AP151" ca="1">IF(ISNUMBER(SEARCH(INDIRECT(ADDRESS(ROW(AP151),MOD(AP$1,4)+1)),AP$2)),$E151,"")</f>
        <v/>
      </c>
      <c r="AQ151" s="31" t="str" cm="1">
        <f t="array" aca="1" ref="AQ151" ca="1">IF(ISNUMBER(SEARCH(INDIRECT(ADDRESS(ROW(AQ151),MOD(AQ$1,4)+1)),AQ$2)),$E151,"")</f>
        <v/>
      </c>
      <c r="AT151" t="e">
        <f>IF(VLOOKUP($E151,'Formatted NEW'!$B$2:$F$202,5,FALSE)=VLOOKUP($E151,'Formatted NEW'!$B$2:$F$202,8,FALSE),$E151,"")</f>
        <v>#N/A</v>
      </c>
      <c r="AW151" t="e">
        <f>IF(VLOOKUP($E151,'Formatted NEW'!$B$2:$F$202,5,FALSE)=VLOOKUP($E151,'Formatted NEW'!$B$2:$F$202,11,FALSE),$E151,"")</f>
        <v>#N/A</v>
      </c>
      <c r="AZ151" t="e">
        <f>IF(VLOOKUP($E151,'Formatted NEW'!$B$2:$F$202,5,FALSE)=VLOOKUP($E151,'Formatted NEW'!$B$2:$F$202,14,FALSE),$E151,"")</f>
        <v>#N/A</v>
      </c>
      <c r="BC151" t="str">
        <f>VLOOKUP($E151,'Formatted NEW'!$M$2:$T$202,6,FALSE)</f>
        <v>ORTHO_BOTH</v>
      </c>
      <c r="BD151" s="26" t="e">
        <f>VLOOKUP(VLOOKUP(VLOOKUP($E151,'Formatted NEW'!$M$2:$O$202,2,FALSE),'Formatted NEW'!$D$2:$F$202,7,FALSE),'Formatted NEW'!$D$2:$O$202,12,FALSE)</f>
        <v>#REF!</v>
      </c>
      <c r="BE151" t="e">
        <f>VLOOKUP($BD151,'Formatted NEW'!$M$2:$T$202,5,FALSE)</f>
        <v>#REF!</v>
      </c>
      <c r="BF151" s="26" t="e">
        <f t="shared" si="9"/>
        <v>#REF!</v>
      </c>
      <c r="BH151">
        <f>VLOOKUP($E151,'Formatted NEW'!$M$2:$T$202,4,FALSE)</f>
        <v>0</v>
      </c>
      <c r="BI151" s="26" t="e">
        <f>VLOOKUP(VLOOKUP(VLOOKUP($E151,'Formatted NEW'!$M$2:$O$202,2,FALSE),'Formatted NEW'!$D$2:$F$202,10,FALSE),'Formatted NEW'!$D$2:$O$202,12,FALSE)</f>
        <v>#REF!</v>
      </c>
      <c r="BJ151" t="e">
        <f>VLOOKUP($BI151,'Formatted NEW'!$M$2:$T$202,3,FALSE)</f>
        <v>#REF!</v>
      </c>
      <c r="BK151" s="26" t="e">
        <f t="shared" si="10"/>
        <v>#REF!</v>
      </c>
    </row>
    <row r="152" spans="1:63" x14ac:dyDescent="0.25">
      <c r="A152" t="str">
        <f>'Formatted NEW'!Q150</f>
        <v>ORTHO_BOTH</v>
      </c>
      <c r="B152" t="str">
        <f>'Formatted NEW'!R150</f>
        <v>ORTHO_BOTH</v>
      </c>
      <c r="C152" t="str">
        <f>'Formatted NEW'!S150</f>
        <v>ORTHO_BOTH</v>
      </c>
      <c r="D152" t="str">
        <f>'Formatted NEW'!T150</f>
        <v>EMPTY</v>
      </c>
      <c r="E152" s="26">
        <f t="shared" si="8"/>
        <v>148</v>
      </c>
      <c r="H152" s="30" t="str" cm="1">
        <f t="array" aca="1" ref="H152" ca="1">IF(ISNUMBER(SEARCH(INDIRECT(ADDRESS(ROW(H152),MOD(H$1,4)+1)),H$2)),$E152,"")</f>
        <v/>
      </c>
      <c r="I152" s="26" t="str" cm="1">
        <f t="array" aca="1" ref="I152" ca="1">IF(ISNUMBER(SEARCH(INDIRECT(ADDRESS(ROW(I152),MOD(I$1,4)+1)),I$2)),$E152,"")</f>
        <v/>
      </c>
      <c r="J152" s="26" t="str" cm="1">
        <f t="array" aca="1" ref="J152" ca="1">IF(ISNUMBER(SEARCH(INDIRECT(ADDRESS(ROW(J152),MOD(J$1,4)+1)),J$2)),$E152,"")</f>
        <v/>
      </c>
      <c r="K152" s="26" t="str" cm="1">
        <f t="array" aca="1" ref="K152" ca="1">IF(ISNUMBER(SEARCH(INDIRECT(ADDRESS(ROW(K152),MOD(K$1,4)+1)),K$2)),$E152,"")</f>
        <v/>
      </c>
      <c r="L152" s="26" t="str" cm="1">
        <f t="array" aca="1" ref="L152" ca="1">IF(ISNUMBER(SEARCH(INDIRECT(ADDRESS(ROW(L152),MOD(L$1,4)+1)),L$2)),$E152,"")</f>
        <v/>
      </c>
      <c r="M152" s="26" t="str" cm="1">
        <f t="array" aca="1" ref="M152" ca="1">IF(ISNUMBER(SEARCH(INDIRECT(ADDRESS(ROW(M152),MOD(M$1,4)+1)),M$2)),$E152,"")</f>
        <v/>
      </c>
      <c r="N152" s="26" t="str" cm="1">
        <f t="array" aca="1" ref="N152" ca="1">IF(ISNUMBER(SEARCH(INDIRECT(ADDRESS(ROW(N152),MOD(N$1,4)+1)),N$2)),$E152,"")</f>
        <v/>
      </c>
      <c r="O152" s="26" t="str" cm="1">
        <f t="array" aca="1" ref="O152" ca="1">IF(ISNUMBER(SEARCH(INDIRECT(ADDRESS(ROW(O152),MOD(O$1,4)+1)),O$2)),$E152,"")</f>
        <v/>
      </c>
      <c r="P152" s="26" cm="1">
        <f t="array" aca="1" ref="P152" ca="1">IF(ISNUMBER(SEARCH(INDIRECT(ADDRESS(ROW(P152),MOD(P$1,4)+1)),P$2)),$E152,"")</f>
        <v>148</v>
      </c>
      <c r="Q152" s="26" cm="1">
        <f t="array" aca="1" ref="Q152" ca="1">IF(ISNUMBER(SEARCH(INDIRECT(ADDRESS(ROW(Q152),MOD(Q$1,4)+1)),Q$2)),$E152,"")</f>
        <v>148</v>
      </c>
      <c r="R152" s="26" cm="1">
        <f t="array" aca="1" ref="R152" ca="1">IF(ISNUMBER(SEARCH(INDIRECT(ADDRESS(ROW(R152),MOD(R$1,4)+1)),R$2)),$E152,"")</f>
        <v>148</v>
      </c>
      <c r="S152" s="26" t="str" cm="1">
        <f t="array" aca="1" ref="S152" ca="1">IF(ISNUMBER(SEARCH(INDIRECT(ADDRESS(ROW(S152),MOD(S$1,4)+1)),S$2)),$E152,"")</f>
        <v/>
      </c>
      <c r="T152" s="26" t="str" cm="1">
        <f t="array" aca="1" ref="T152" ca="1">IF(ISNUMBER(SEARCH(INDIRECT(ADDRESS(ROW(T152),MOD(T$1,4)+1)),T$2)),$E152,"")</f>
        <v/>
      </c>
      <c r="U152" s="26" t="str" cm="1">
        <f t="array" aca="1" ref="U152" ca="1">IF(ISNUMBER(SEARCH(INDIRECT(ADDRESS(ROW(U152),MOD(U$1,4)+1)),U$2)),$E152,"")</f>
        <v/>
      </c>
      <c r="V152" s="26" t="str" cm="1">
        <f t="array" aca="1" ref="V152" ca="1">IF(ISNUMBER(SEARCH(INDIRECT(ADDRESS(ROW(V152),MOD(V$1,4)+1)),V$2)),$E152,"")</f>
        <v/>
      </c>
      <c r="W152" s="26" t="str" cm="1">
        <f t="array" aca="1" ref="W152" ca="1">IF(ISNUMBER(SEARCH(INDIRECT(ADDRESS(ROW(W152),MOD(W$1,4)+1)),W$2)),$E152,"")</f>
        <v/>
      </c>
      <c r="X152" s="26" t="str" cm="1">
        <f t="array" aca="1" ref="X152" ca="1">IF(ISNUMBER(SEARCH(INDIRECT(ADDRESS(ROW(X152),MOD(X$1,4)+1)),X$2)),$E152,"")</f>
        <v/>
      </c>
      <c r="Y152" s="26" t="str" cm="1">
        <f t="array" aca="1" ref="Y152" ca="1">IF(ISNUMBER(SEARCH(INDIRECT(ADDRESS(ROW(Y152),MOD(Y$1,4)+1)),Y$2)),$E152,"")</f>
        <v/>
      </c>
      <c r="Z152" s="26" t="str" cm="1">
        <f t="array" aca="1" ref="Z152" ca="1">IF(ISNUMBER(SEARCH(INDIRECT(ADDRESS(ROW(Z152),MOD(Z$1,4)+1)),Z$2)),$E152,"")</f>
        <v/>
      </c>
      <c r="AA152" s="26" t="str" cm="1">
        <f t="array" aca="1" ref="AA152" ca="1">IF(ISNUMBER(SEARCH(INDIRECT(ADDRESS(ROW(AA152),MOD(AA$1,4)+1)),AA$2)),$E152,"")</f>
        <v/>
      </c>
      <c r="AB152" s="26" t="str" cm="1">
        <f t="array" aca="1" ref="AB152" ca="1">IF(ISNUMBER(SEARCH(INDIRECT(ADDRESS(ROW(AB152),MOD(AB$1,4)+1)),AB$2)),$E152,"")</f>
        <v/>
      </c>
      <c r="AC152" s="26" t="str" cm="1">
        <f t="array" aca="1" ref="AC152" ca="1">IF(ISNUMBER(SEARCH(INDIRECT(ADDRESS(ROW(AC152),MOD(AC$1,4)+1)),AC$2)),$E152,"")</f>
        <v/>
      </c>
      <c r="AD152" s="26" t="str" cm="1">
        <f t="array" aca="1" ref="AD152" ca="1">IF(ISNUMBER(SEARCH(INDIRECT(ADDRESS(ROW(AD152),MOD(AD$1,4)+1)),AD$2)),$E152,"")</f>
        <v/>
      </c>
      <c r="AE152" s="26" t="str" cm="1">
        <f t="array" aca="1" ref="AE152" ca="1">IF(ISNUMBER(SEARCH(INDIRECT(ADDRESS(ROW(AE152),MOD(AE$1,4)+1)),AE$2)),$E152,"")</f>
        <v/>
      </c>
      <c r="AF152" s="26" t="str" cm="1">
        <f t="array" aca="1" ref="AF152" ca="1">IF(ISNUMBER(SEARCH(INDIRECT(ADDRESS(ROW(AF152),MOD(AF$1,4)+1)),AF$2)),$E152,"")</f>
        <v/>
      </c>
      <c r="AG152" s="26" t="str" cm="1">
        <f t="array" aca="1" ref="AG152" ca="1">IF(ISNUMBER(SEARCH(INDIRECT(ADDRESS(ROW(AG152),MOD(AG$1,4)+1)),AG$2)),$E152,"")</f>
        <v/>
      </c>
      <c r="AH152" s="26" t="str" cm="1">
        <f t="array" aca="1" ref="AH152" ca="1">IF(ISNUMBER(SEARCH(INDIRECT(ADDRESS(ROW(AH152),MOD(AH$1,4)+1)),AH$2)),$E152,"")</f>
        <v/>
      </c>
      <c r="AI152" s="26" t="str" cm="1">
        <f t="array" aca="1" ref="AI152" ca="1">IF(ISNUMBER(SEARCH(INDIRECT(ADDRESS(ROW(AI152),MOD(AI$1,4)+1)),AI$2)),$E152,"")</f>
        <v/>
      </c>
      <c r="AJ152" s="26" t="str" cm="1">
        <f t="array" aca="1" ref="AJ152" ca="1">IF(ISNUMBER(SEARCH(INDIRECT(ADDRESS(ROW(AJ152),MOD(AJ$1,4)+1)),AJ$2)),$E152,"")</f>
        <v/>
      </c>
      <c r="AK152" s="26" t="str" cm="1">
        <f t="array" aca="1" ref="AK152" ca="1">IF(ISNUMBER(SEARCH(INDIRECT(ADDRESS(ROW(AK152),MOD(AK$1,4)+1)),AK$2)),$E152,"")</f>
        <v/>
      </c>
      <c r="AL152" s="26" t="str" cm="1">
        <f t="array" aca="1" ref="AL152" ca="1">IF(ISNUMBER(SEARCH(INDIRECT(ADDRESS(ROW(AL152),MOD(AL$1,4)+1)),AL$2)),$E152,"")</f>
        <v/>
      </c>
      <c r="AM152" s="26" t="str" cm="1">
        <f t="array" aca="1" ref="AM152" ca="1">IF(ISNUMBER(SEARCH(INDIRECT(ADDRESS(ROW(AM152),MOD(AM$1,4)+1)),AM$2)),$E152,"")</f>
        <v/>
      </c>
      <c r="AN152" s="26" t="str" cm="1">
        <f t="array" aca="1" ref="AN152" ca="1">IF(ISNUMBER(SEARCH(INDIRECT(ADDRESS(ROW(AN152),MOD(AN$1,4)+1)),AN$2)),$E152,"")</f>
        <v/>
      </c>
      <c r="AO152" s="26" t="str" cm="1">
        <f t="array" aca="1" ref="AO152" ca="1">IF(ISNUMBER(SEARCH(INDIRECT(ADDRESS(ROW(AO152),MOD(AO$1,4)+1)),AO$2)),$E152,"")</f>
        <v/>
      </c>
      <c r="AP152" s="26" t="str" cm="1">
        <f t="array" aca="1" ref="AP152" ca="1">IF(ISNUMBER(SEARCH(INDIRECT(ADDRESS(ROW(AP152),MOD(AP$1,4)+1)),AP$2)),$E152,"")</f>
        <v/>
      </c>
      <c r="AQ152" s="31" t="str" cm="1">
        <f t="array" aca="1" ref="AQ152" ca="1">IF(ISNUMBER(SEARCH(INDIRECT(ADDRESS(ROW(AQ152),MOD(AQ$1,4)+1)),AQ$2)),$E152,"")</f>
        <v/>
      </c>
      <c r="AT152" t="e">
        <f>IF(VLOOKUP($E152,'Formatted NEW'!$B$2:$F$202,5,FALSE)=VLOOKUP($E152,'Formatted NEW'!$B$2:$F$202,8,FALSE),$E152,"")</f>
        <v>#N/A</v>
      </c>
      <c r="AW152" t="e">
        <f>IF(VLOOKUP($E152,'Formatted NEW'!$B$2:$F$202,5,FALSE)=VLOOKUP($E152,'Formatted NEW'!$B$2:$F$202,11,FALSE),$E152,"")</f>
        <v>#N/A</v>
      </c>
      <c r="AZ152" t="e">
        <f>IF(VLOOKUP($E152,'Formatted NEW'!$B$2:$F$202,5,FALSE)=VLOOKUP($E152,'Formatted NEW'!$B$2:$F$202,14,FALSE),$E152,"")</f>
        <v>#N/A</v>
      </c>
      <c r="BC152" t="str">
        <f>VLOOKUP($E152,'Formatted NEW'!$M$2:$T$202,6,FALSE)</f>
        <v>ORTHO_BOTH</v>
      </c>
      <c r="BD152" s="26" t="e">
        <f>VLOOKUP(VLOOKUP(VLOOKUP($E152,'Formatted NEW'!$M$2:$O$202,2,FALSE),'Formatted NEW'!$D$2:$F$202,7,FALSE),'Formatted NEW'!$D$2:$O$202,12,FALSE)</f>
        <v>#REF!</v>
      </c>
      <c r="BE152" t="e">
        <f>VLOOKUP($BD152,'Formatted NEW'!$M$2:$T$202,5,FALSE)</f>
        <v>#REF!</v>
      </c>
      <c r="BF152" s="26" t="e">
        <f t="shared" si="9"/>
        <v>#REF!</v>
      </c>
      <c r="BH152">
        <f>VLOOKUP($E152,'Formatted NEW'!$M$2:$T$202,4,FALSE)</f>
        <v>0</v>
      </c>
      <c r="BI152" s="26" t="e">
        <f>VLOOKUP(VLOOKUP(VLOOKUP($E152,'Formatted NEW'!$M$2:$O$202,2,FALSE),'Formatted NEW'!$D$2:$F$202,10,FALSE),'Formatted NEW'!$D$2:$O$202,12,FALSE)</f>
        <v>#REF!</v>
      </c>
      <c r="BJ152" t="e">
        <f>VLOOKUP($BI152,'Formatted NEW'!$M$2:$T$202,3,FALSE)</f>
        <v>#REF!</v>
      </c>
      <c r="BK152" s="26" t="e">
        <f t="shared" si="10"/>
        <v>#REF!</v>
      </c>
    </row>
    <row r="153" spans="1:63" x14ac:dyDescent="0.25">
      <c r="A153" t="str">
        <f>'Formatted NEW'!Q151</f>
        <v>ORTHO_BOTH</v>
      </c>
      <c r="B153" t="str">
        <f>'Formatted NEW'!R151</f>
        <v>EMPTY</v>
      </c>
      <c r="C153" t="str">
        <f>'Formatted NEW'!S151</f>
        <v>ORTHO_BOTH</v>
      </c>
      <c r="D153" t="str">
        <f>'Formatted NEW'!T151</f>
        <v>ORTHO_BOTH</v>
      </c>
      <c r="E153" s="26">
        <f t="shared" si="8"/>
        <v>149</v>
      </c>
      <c r="H153" s="30" t="str" cm="1">
        <f t="array" aca="1" ref="H153" ca="1">IF(ISNUMBER(SEARCH(INDIRECT(ADDRESS(ROW(H153),MOD(H$1,4)+1)),H$2)),$E153,"")</f>
        <v/>
      </c>
      <c r="I153" s="26" t="str" cm="1">
        <f t="array" aca="1" ref="I153" ca="1">IF(ISNUMBER(SEARCH(INDIRECT(ADDRESS(ROW(I153),MOD(I$1,4)+1)),I$2)),$E153,"")</f>
        <v/>
      </c>
      <c r="J153" s="26" t="str" cm="1">
        <f t="array" aca="1" ref="J153" ca="1">IF(ISNUMBER(SEARCH(INDIRECT(ADDRESS(ROW(J153),MOD(J$1,4)+1)),J$2)),$E153,"")</f>
        <v/>
      </c>
      <c r="K153" s="26" t="str" cm="1">
        <f t="array" aca="1" ref="K153" ca="1">IF(ISNUMBER(SEARCH(INDIRECT(ADDRESS(ROW(K153),MOD(K$1,4)+1)),K$2)),$E153,"")</f>
        <v/>
      </c>
      <c r="L153" s="26" t="str" cm="1">
        <f t="array" aca="1" ref="L153" ca="1">IF(ISNUMBER(SEARCH(INDIRECT(ADDRESS(ROW(L153),MOD(L$1,4)+1)),L$2)),$E153,"")</f>
        <v/>
      </c>
      <c r="M153" s="26" t="str" cm="1">
        <f t="array" aca="1" ref="M153" ca="1">IF(ISNUMBER(SEARCH(INDIRECT(ADDRESS(ROW(M153),MOD(M$1,4)+1)),M$2)),$E153,"")</f>
        <v/>
      </c>
      <c r="N153" s="26" t="str" cm="1">
        <f t="array" aca="1" ref="N153" ca="1">IF(ISNUMBER(SEARCH(INDIRECT(ADDRESS(ROW(N153),MOD(N$1,4)+1)),N$2)),$E153,"")</f>
        <v/>
      </c>
      <c r="O153" s="26" t="str" cm="1">
        <f t="array" aca="1" ref="O153" ca="1">IF(ISNUMBER(SEARCH(INDIRECT(ADDRESS(ROW(O153),MOD(O$1,4)+1)),O$2)),$E153,"")</f>
        <v/>
      </c>
      <c r="P153" s="26" cm="1">
        <f t="array" aca="1" ref="P153" ca="1">IF(ISNUMBER(SEARCH(INDIRECT(ADDRESS(ROW(P153),MOD(P$1,4)+1)),P$2)),$E153,"")</f>
        <v>149</v>
      </c>
      <c r="Q153" s="26" t="str" cm="1">
        <f t="array" aca="1" ref="Q153" ca="1">IF(ISNUMBER(SEARCH(INDIRECT(ADDRESS(ROW(Q153),MOD(Q$1,4)+1)),Q$2)),$E153,"")</f>
        <v/>
      </c>
      <c r="R153" s="26" cm="1">
        <f t="array" aca="1" ref="R153" ca="1">IF(ISNUMBER(SEARCH(INDIRECT(ADDRESS(ROW(R153),MOD(R$1,4)+1)),R$2)),$E153,"")</f>
        <v>149</v>
      </c>
      <c r="S153" s="26" cm="1">
        <f t="array" aca="1" ref="S153" ca="1">IF(ISNUMBER(SEARCH(INDIRECT(ADDRESS(ROW(S153),MOD(S$1,4)+1)),S$2)),$E153,"")</f>
        <v>149</v>
      </c>
      <c r="T153" s="26" t="str" cm="1">
        <f t="array" aca="1" ref="T153" ca="1">IF(ISNUMBER(SEARCH(INDIRECT(ADDRESS(ROW(T153),MOD(T$1,4)+1)),T$2)),$E153,"")</f>
        <v/>
      </c>
      <c r="U153" s="26" t="str" cm="1">
        <f t="array" aca="1" ref="U153" ca="1">IF(ISNUMBER(SEARCH(INDIRECT(ADDRESS(ROW(U153),MOD(U$1,4)+1)),U$2)),$E153,"")</f>
        <v/>
      </c>
      <c r="V153" s="26" t="str" cm="1">
        <f t="array" aca="1" ref="V153" ca="1">IF(ISNUMBER(SEARCH(INDIRECT(ADDRESS(ROW(V153),MOD(V$1,4)+1)),V$2)),$E153,"")</f>
        <v/>
      </c>
      <c r="W153" s="26" t="str" cm="1">
        <f t="array" aca="1" ref="W153" ca="1">IF(ISNUMBER(SEARCH(INDIRECT(ADDRESS(ROW(W153),MOD(W$1,4)+1)),W$2)),$E153,"")</f>
        <v/>
      </c>
      <c r="X153" s="26" t="str" cm="1">
        <f t="array" aca="1" ref="X153" ca="1">IF(ISNUMBER(SEARCH(INDIRECT(ADDRESS(ROW(X153),MOD(X$1,4)+1)),X$2)),$E153,"")</f>
        <v/>
      </c>
      <c r="Y153" s="26" t="str" cm="1">
        <f t="array" aca="1" ref="Y153" ca="1">IF(ISNUMBER(SEARCH(INDIRECT(ADDRESS(ROW(Y153),MOD(Y$1,4)+1)),Y$2)),$E153,"")</f>
        <v/>
      </c>
      <c r="Z153" s="26" t="str" cm="1">
        <f t="array" aca="1" ref="Z153" ca="1">IF(ISNUMBER(SEARCH(INDIRECT(ADDRESS(ROW(Z153),MOD(Z$1,4)+1)),Z$2)),$E153,"")</f>
        <v/>
      </c>
      <c r="AA153" s="26" t="str" cm="1">
        <f t="array" aca="1" ref="AA153" ca="1">IF(ISNUMBER(SEARCH(INDIRECT(ADDRESS(ROW(AA153),MOD(AA$1,4)+1)),AA$2)),$E153,"")</f>
        <v/>
      </c>
      <c r="AB153" s="26" t="str" cm="1">
        <f t="array" aca="1" ref="AB153" ca="1">IF(ISNUMBER(SEARCH(INDIRECT(ADDRESS(ROW(AB153),MOD(AB$1,4)+1)),AB$2)),$E153,"")</f>
        <v/>
      </c>
      <c r="AC153" s="26" t="str" cm="1">
        <f t="array" aca="1" ref="AC153" ca="1">IF(ISNUMBER(SEARCH(INDIRECT(ADDRESS(ROW(AC153),MOD(AC$1,4)+1)),AC$2)),$E153,"")</f>
        <v/>
      </c>
      <c r="AD153" s="26" t="str" cm="1">
        <f t="array" aca="1" ref="AD153" ca="1">IF(ISNUMBER(SEARCH(INDIRECT(ADDRESS(ROW(AD153),MOD(AD$1,4)+1)),AD$2)),$E153,"")</f>
        <v/>
      </c>
      <c r="AE153" s="26" t="str" cm="1">
        <f t="array" aca="1" ref="AE153" ca="1">IF(ISNUMBER(SEARCH(INDIRECT(ADDRESS(ROW(AE153),MOD(AE$1,4)+1)),AE$2)),$E153,"")</f>
        <v/>
      </c>
      <c r="AF153" s="26" t="str" cm="1">
        <f t="array" aca="1" ref="AF153" ca="1">IF(ISNUMBER(SEARCH(INDIRECT(ADDRESS(ROW(AF153),MOD(AF$1,4)+1)),AF$2)),$E153,"")</f>
        <v/>
      </c>
      <c r="AG153" s="26" t="str" cm="1">
        <f t="array" aca="1" ref="AG153" ca="1">IF(ISNUMBER(SEARCH(INDIRECT(ADDRESS(ROW(AG153),MOD(AG$1,4)+1)),AG$2)),$E153,"")</f>
        <v/>
      </c>
      <c r="AH153" s="26" t="str" cm="1">
        <f t="array" aca="1" ref="AH153" ca="1">IF(ISNUMBER(SEARCH(INDIRECT(ADDRESS(ROW(AH153),MOD(AH$1,4)+1)),AH$2)),$E153,"")</f>
        <v/>
      </c>
      <c r="AI153" s="26" t="str" cm="1">
        <f t="array" aca="1" ref="AI153" ca="1">IF(ISNUMBER(SEARCH(INDIRECT(ADDRESS(ROW(AI153),MOD(AI$1,4)+1)),AI$2)),$E153,"")</f>
        <v/>
      </c>
      <c r="AJ153" s="26" t="str" cm="1">
        <f t="array" aca="1" ref="AJ153" ca="1">IF(ISNUMBER(SEARCH(INDIRECT(ADDRESS(ROW(AJ153),MOD(AJ$1,4)+1)),AJ$2)),$E153,"")</f>
        <v/>
      </c>
      <c r="AK153" s="26" t="str" cm="1">
        <f t="array" aca="1" ref="AK153" ca="1">IF(ISNUMBER(SEARCH(INDIRECT(ADDRESS(ROW(AK153),MOD(AK$1,4)+1)),AK$2)),$E153,"")</f>
        <v/>
      </c>
      <c r="AL153" s="26" t="str" cm="1">
        <f t="array" aca="1" ref="AL153" ca="1">IF(ISNUMBER(SEARCH(INDIRECT(ADDRESS(ROW(AL153),MOD(AL$1,4)+1)),AL$2)),$E153,"")</f>
        <v/>
      </c>
      <c r="AM153" s="26" t="str" cm="1">
        <f t="array" aca="1" ref="AM153" ca="1">IF(ISNUMBER(SEARCH(INDIRECT(ADDRESS(ROW(AM153),MOD(AM$1,4)+1)),AM$2)),$E153,"")</f>
        <v/>
      </c>
      <c r="AN153" s="26" t="str" cm="1">
        <f t="array" aca="1" ref="AN153" ca="1">IF(ISNUMBER(SEARCH(INDIRECT(ADDRESS(ROW(AN153),MOD(AN$1,4)+1)),AN$2)),$E153,"")</f>
        <v/>
      </c>
      <c r="AO153" s="26" t="str" cm="1">
        <f t="array" aca="1" ref="AO153" ca="1">IF(ISNUMBER(SEARCH(INDIRECT(ADDRESS(ROW(AO153),MOD(AO$1,4)+1)),AO$2)),$E153,"")</f>
        <v/>
      </c>
      <c r="AP153" s="26" t="str" cm="1">
        <f t="array" aca="1" ref="AP153" ca="1">IF(ISNUMBER(SEARCH(INDIRECT(ADDRESS(ROW(AP153),MOD(AP$1,4)+1)),AP$2)),$E153,"")</f>
        <v/>
      </c>
      <c r="AQ153" s="31" t="str" cm="1">
        <f t="array" aca="1" ref="AQ153" ca="1">IF(ISNUMBER(SEARCH(INDIRECT(ADDRESS(ROW(AQ153),MOD(AQ$1,4)+1)),AQ$2)),$E153,"")</f>
        <v/>
      </c>
      <c r="AT153" t="e">
        <f>IF(VLOOKUP($E153,'Formatted NEW'!$B$2:$F$202,5,FALSE)=VLOOKUP($E153,'Formatted NEW'!$B$2:$F$202,8,FALSE),$E153,"")</f>
        <v>#N/A</v>
      </c>
      <c r="AW153" t="e">
        <f>IF(VLOOKUP($E153,'Formatted NEW'!$B$2:$F$202,5,FALSE)=VLOOKUP($E153,'Formatted NEW'!$B$2:$F$202,11,FALSE),$E153,"")</f>
        <v>#N/A</v>
      </c>
      <c r="AZ153" t="e">
        <f>IF(VLOOKUP($E153,'Formatted NEW'!$B$2:$F$202,5,FALSE)=VLOOKUP($E153,'Formatted NEW'!$B$2:$F$202,14,FALSE),$E153,"")</f>
        <v>#N/A</v>
      </c>
      <c r="BC153" t="str">
        <f>VLOOKUP($E153,'Formatted NEW'!$M$2:$T$202,6,FALSE)</f>
        <v>EMPTY</v>
      </c>
      <c r="BD153" s="26" t="e">
        <f>VLOOKUP(VLOOKUP(VLOOKUP($E153,'Formatted NEW'!$M$2:$O$202,2,FALSE),'Formatted NEW'!$D$2:$F$202,7,FALSE),'Formatted NEW'!$D$2:$O$202,12,FALSE)</f>
        <v>#REF!</v>
      </c>
      <c r="BE153" t="e">
        <f>VLOOKUP($BD153,'Formatted NEW'!$M$2:$T$202,5,FALSE)</f>
        <v>#REF!</v>
      </c>
      <c r="BF153" s="26" t="e">
        <f t="shared" si="9"/>
        <v>#REF!</v>
      </c>
      <c r="BH153">
        <f>VLOOKUP($E153,'Formatted NEW'!$M$2:$T$202,4,FALSE)</f>
        <v>0</v>
      </c>
      <c r="BI153" s="26" t="e">
        <f>VLOOKUP(VLOOKUP(VLOOKUP($E153,'Formatted NEW'!$M$2:$O$202,2,FALSE),'Formatted NEW'!$D$2:$F$202,10,FALSE),'Formatted NEW'!$D$2:$O$202,12,FALSE)</f>
        <v>#REF!</v>
      </c>
      <c r="BJ153" t="e">
        <f>VLOOKUP($BI153,'Formatted NEW'!$M$2:$T$202,3,FALSE)</f>
        <v>#REF!</v>
      </c>
      <c r="BK153" s="26" t="e">
        <f t="shared" si="10"/>
        <v>#REF!</v>
      </c>
    </row>
    <row r="154" spans="1:63" x14ac:dyDescent="0.25">
      <c r="A154" t="str">
        <f>'Formatted NEW'!Q152</f>
        <v>ORTHO_BOTH</v>
      </c>
      <c r="B154" t="str">
        <f>'Formatted NEW'!R152</f>
        <v>ORTHO_BOTH</v>
      </c>
      <c r="C154" t="str">
        <f>'Formatted NEW'!S152</f>
        <v>EMPTY</v>
      </c>
      <c r="D154" t="str">
        <f>'Formatted NEW'!T152</f>
        <v>ORTHO_BOTH</v>
      </c>
      <c r="E154" s="26">
        <f t="shared" si="8"/>
        <v>150</v>
      </c>
      <c r="H154" s="30" t="str" cm="1">
        <f t="array" aca="1" ref="H154" ca="1">IF(ISNUMBER(SEARCH(INDIRECT(ADDRESS(ROW(H154),MOD(H$1,4)+1)),H$2)),$E154,"")</f>
        <v/>
      </c>
      <c r="I154" s="26" t="str" cm="1">
        <f t="array" aca="1" ref="I154" ca="1">IF(ISNUMBER(SEARCH(INDIRECT(ADDRESS(ROW(I154),MOD(I$1,4)+1)),I$2)),$E154,"")</f>
        <v/>
      </c>
      <c r="J154" s="26" t="str" cm="1">
        <f t="array" aca="1" ref="J154" ca="1">IF(ISNUMBER(SEARCH(INDIRECT(ADDRESS(ROW(J154),MOD(J$1,4)+1)),J$2)),$E154,"")</f>
        <v/>
      </c>
      <c r="K154" s="26" t="str" cm="1">
        <f t="array" aca="1" ref="K154" ca="1">IF(ISNUMBER(SEARCH(INDIRECT(ADDRESS(ROW(K154),MOD(K$1,4)+1)),K$2)),$E154,"")</f>
        <v/>
      </c>
      <c r="L154" s="26" t="str" cm="1">
        <f t="array" aca="1" ref="L154" ca="1">IF(ISNUMBER(SEARCH(INDIRECT(ADDRESS(ROW(L154),MOD(L$1,4)+1)),L$2)),$E154,"")</f>
        <v/>
      </c>
      <c r="M154" s="26" t="str" cm="1">
        <f t="array" aca="1" ref="M154" ca="1">IF(ISNUMBER(SEARCH(INDIRECT(ADDRESS(ROW(M154),MOD(M$1,4)+1)),M$2)),$E154,"")</f>
        <v/>
      </c>
      <c r="N154" s="26" t="str" cm="1">
        <f t="array" aca="1" ref="N154" ca="1">IF(ISNUMBER(SEARCH(INDIRECT(ADDRESS(ROW(N154),MOD(N$1,4)+1)),N$2)),$E154,"")</f>
        <v/>
      </c>
      <c r="O154" s="26" t="str" cm="1">
        <f t="array" aca="1" ref="O154" ca="1">IF(ISNUMBER(SEARCH(INDIRECT(ADDRESS(ROW(O154),MOD(O$1,4)+1)),O$2)),$E154,"")</f>
        <v/>
      </c>
      <c r="P154" s="26" cm="1">
        <f t="array" aca="1" ref="P154" ca="1">IF(ISNUMBER(SEARCH(INDIRECT(ADDRESS(ROW(P154),MOD(P$1,4)+1)),P$2)),$E154,"")</f>
        <v>150</v>
      </c>
      <c r="Q154" s="26" cm="1">
        <f t="array" aca="1" ref="Q154" ca="1">IF(ISNUMBER(SEARCH(INDIRECT(ADDRESS(ROW(Q154),MOD(Q$1,4)+1)),Q$2)),$E154,"")</f>
        <v>150</v>
      </c>
      <c r="R154" s="26" t="str" cm="1">
        <f t="array" aca="1" ref="R154" ca="1">IF(ISNUMBER(SEARCH(INDIRECT(ADDRESS(ROW(R154),MOD(R$1,4)+1)),R$2)),$E154,"")</f>
        <v/>
      </c>
      <c r="S154" s="26" cm="1">
        <f t="array" aca="1" ref="S154" ca="1">IF(ISNUMBER(SEARCH(INDIRECT(ADDRESS(ROW(S154),MOD(S$1,4)+1)),S$2)),$E154,"")</f>
        <v>150</v>
      </c>
      <c r="T154" s="26" t="str" cm="1">
        <f t="array" aca="1" ref="T154" ca="1">IF(ISNUMBER(SEARCH(INDIRECT(ADDRESS(ROW(T154),MOD(T$1,4)+1)),T$2)),$E154,"")</f>
        <v/>
      </c>
      <c r="U154" s="26" t="str" cm="1">
        <f t="array" aca="1" ref="U154" ca="1">IF(ISNUMBER(SEARCH(INDIRECT(ADDRESS(ROW(U154),MOD(U$1,4)+1)),U$2)),$E154,"")</f>
        <v/>
      </c>
      <c r="V154" s="26" t="str" cm="1">
        <f t="array" aca="1" ref="V154" ca="1">IF(ISNUMBER(SEARCH(INDIRECT(ADDRESS(ROW(V154),MOD(V$1,4)+1)),V$2)),$E154,"")</f>
        <v/>
      </c>
      <c r="W154" s="26" t="str" cm="1">
        <f t="array" aca="1" ref="W154" ca="1">IF(ISNUMBER(SEARCH(INDIRECT(ADDRESS(ROW(W154),MOD(W$1,4)+1)),W$2)),$E154,"")</f>
        <v/>
      </c>
      <c r="X154" s="26" t="str" cm="1">
        <f t="array" aca="1" ref="X154" ca="1">IF(ISNUMBER(SEARCH(INDIRECT(ADDRESS(ROW(X154),MOD(X$1,4)+1)),X$2)),$E154,"")</f>
        <v/>
      </c>
      <c r="Y154" s="26" t="str" cm="1">
        <f t="array" aca="1" ref="Y154" ca="1">IF(ISNUMBER(SEARCH(INDIRECT(ADDRESS(ROW(Y154),MOD(Y$1,4)+1)),Y$2)),$E154,"")</f>
        <v/>
      </c>
      <c r="Z154" s="26" t="str" cm="1">
        <f t="array" aca="1" ref="Z154" ca="1">IF(ISNUMBER(SEARCH(INDIRECT(ADDRESS(ROW(Z154),MOD(Z$1,4)+1)),Z$2)),$E154,"")</f>
        <v/>
      </c>
      <c r="AA154" s="26" t="str" cm="1">
        <f t="array" aca="1" ref="AA154" ca="1">IF(ISNUMBER(SEARCH(INDIRECT(ADDRESS(ROW(AA154),MOD(AA$1,4)+1)),AA$2)),$E154,"")</f>
        <v/>
      </c>
      <c r="AB154" s="26" t="str" cm="1">
        <f t="array" aca="1" ref="AB154" ca="1">IF(ISNUMBER(SEARCH(INDIRECT(ADDRESS(ROW(AB154),MOD(AB$1,4)+1)),AB$2)),$E154,"")</f>
        <v/>
      </c>
      <c r="AC154" s="26" t="str" cm="1">
        <f t="array" aca="1" ref="AC154" ca="1">IF(ISNUMBER(SEARCH(INDIRECT(ADDRESS(ROW(AC154),MOD(AC$1,4)+1)),AC$2)),$E154,"")</f>
        <v/>
      </c>
      <c r="AD154" s="26" t="str" cm="1">
        <f t="array" aca="1" ref="AD154" ca="1">IF(ISNUMBER(SEARCH(INDIRECT(ADDRESS(ROW(AD154),MOD(AD$1,4)+1)),AD$2)),$E154,"")</f>
        <v/>
      </c>
      <c r="AE154" s="26" t="str" cm="1">
        <f t="array" aca="1" ref="AE154" ca="1">IF(ISNUMBER(SEARCH(INDIRECT(ADDRESS(ROW(AE154),MOD(AE$1,4)+1)),AE$2)),$E154,"")</f>
        <v/>
      </c>
      <c r="AF154" s="26" t="str" cm="1">
        <f t="array" aca="1" ref="AF154" ca="1">IF(ISNUMBER(SEARCH(INDIRECT(ADDRESS(ROW(AF154),MOD(AF$1,4)+1)),AF$2)),$E154,"")</f>
        <v/>
      </c>
      <c r="AG154" s="26" t="str" cm="1">
        <f t="array" aca="1" ref="AG154" ca="1">IF(ISNUMBER(SEARCH(INDIRECT(ADDRESS(ROW(AG154),MOD(AG$1,4)+1)),AG$2)),$E154,"")</f>
        <v/>
      </c>
      <c r="AH154" s="26" t="str" cm="1">
        <f t="array" aca="1" ref="AH154" ca="1">IF(ISNUMBER(SEARCH(INDIRECT(ADDRESS(ROW(AH154),MOD(AH$1,4)+1)),AH$2)),$E154,"")</f>
        <v/>
      </c>
      <c r="AI154" s="26" t="str" cm="1">
        <f t="array" aca="1" ref="AI154" ca="1">IF(ISNUMBER(SEARCH(INDIRECT(ADDRESS(ROW(AI154),MOD(AI$1,4)+1)),AI$2)),$E154,"")</f>
        <v/>
      </c>
      <c r="AJ154" s="26" t="str" cm="1">
        <f t="array" aca="1" ref="AJ154" ca="1">IF(ISNUMBER(SEARCH(INDIRECT(ADDRESS(ROW(AJ154),MOD(AJ$1,4)+1)),AJ$2)),$E154,"")</f>
        <v/>
      </c>
      <c r="AK154" s="26" t="str" cm="1">
        <f t="array" aca="1" ref="AK154" ca="1">IF(ISNUMBER(SEARCH(INDIRECT(ADDRESS(ROW(AK154),MOD(AK$1,4)+1)),AK$2)),$E154,"")</f>
        <v/>
      </c>
      <c r="AL154" s="26" t="str" cm="1">
        <f t="array" aca="1" ref="AL154" ca="1">IF(ISNUMBER(SEARCH(INDIRECT(ADDRESS(ROW(AL154),MOD(AL$1,4)+1)),AL$2)),$E154,"")</f>
        <v/>
      </c>
      <c r="AM154" s="26" t="str" cm="1">
        <f t="array" aca="1" ref="AM154" ca="1">IF(ISNUMBER(SEARCH(INDIRECT(ADDRESS(ROW(AM154),MOD(AM$1,4)+1)),AM$2)),$E154,"")</f>
        <v/>
      </c>
      <c r="AN154" s="26" t="str" cm="1">
        <f t="array" aca="1" ref="AN154" ca="1">IF(ISNUMBER(SEARCH(INDIRECT(ADDRESS(ROW(AN154),MOD(AN$1,4)+1)),AN$2)),$E154,"")</f>
        <v/>
      </c>
      <c r="AO154" s="26" t="str" cm="1">
        <f t="array" aca="1" ref="AO154" ca="1">IF(ISNUMBER(SEARCH(INDIRECT(ADDRESS(ROW(AO154),MOD(AO$1,4)+1)),AO$2)),$E154,"")</f>
        <v/>
      </c>
      <c r="AP154" s="26" t="str" cm="1">
        <f t="array" aca="1" ref="AP154" ca="1">IF(ISNUMBER(SEARCH(INDIRECT(ADDRESS(ROW(AP154),MOD(AP$1,4)+1)),AP$2)),$E154,"")</f>
        <v/>
      </c>
      <c r="AQ154" s="31" t="str" cm="1">
        <f t="array" aca="1" ref="AQ154" ca="1">IF(ISNUMBER(SEARCH(INDIRECT(ADDRESS(ROW(AQ154),MOD(AQ$1,4)+1)),AQ$2)),$E154,"")</f>
        <v/>
      </c>
      <c r="AT154" t="e">
        <f>IF(VLOOKUP($E154,'Formatted NEW'!$B$2:$F$202,5,FALSE)=VLOOKUP($E154,'Formatted NEW'!$B$2:$F$202,8,FALSE),$E154,"")</f>
        <v>#N/A</v>
      </c>
      <c r="AW154" t="e">
        <f>IF(VLOOKUP($E154,'Formatted NEW'!$B$2:$F$202,5,FALSE)=VLOOKUP($E154,'Formatted NEW'!$B$2:$F$202,11,FALSE),$E154,"")</f>
        <v>#N/A</v>
      </c>
      <c r="AZ154" t="e">
        <f>IF(VLOOKUP($E154,'Formatted NEW'!$B$2:$F$202,5,FALSE)=VLOOKUP($E154,'Formatted NEW'!$B$2:$F$202,14,FALSE),$E154,"")</f>
        <v>#N/A</v>
      </c>
      <c r="BC154" t="str">
        <f>VLOOKUP($E154,'Formatted NEW'!$M$2:$T$202,6,FALSE)</f>
        <v>ORTHO_BOTH</v>
      </c>
      <c r="BD154" s="26" t="e">
        <f>VLOOKUP(VLOOKUP(VLOOKUP($E154,'Formatted NEW'!$M$2:$O$202,2,FALSE),'Formatted NEW'!$D$2:$F$202,7,FALSE),'Formatted NEW'!$D$2:$O$202,12,FALSE)</f>
        <v>#REF!</v>
      </c>
      <c r="BE154" t="e">
        <f>VLOOKUP($BD154,'Formatted NEW'!$M$2:$T$202,5,FALSE)</f>
        <v>#REF!</v>
      </c>
      <c r="BF154" s="26" t="e">
        <f t="shared" si="9"/>
        <v>#REF!</v>
      </c>
      <c r="BH154">
        <f>VLOOKUP($E154,'Formatted NEW'!$M$2:$T$202,4,FALSE)</f>
        <v>0</v>
      </c>
      <c r="BI154" s="26" t="e">
        <f>VLOOKUP(VLOOKUP(VLOOKUP($E154,'Formatted NEW'!$M$2:$O$202,2,FALSE),'Formatted NEW'!$D$2:$F$202,10,FALSE),'Formatted NEW'!$D$2:$O$202,12,FALSE)</f>
        <v>#REF!</v>
      </c>
      <c r="BJ154" t="e">
        <f>VLOOKUP($BI154,'Formatted NEW'!$M$2:$T$202,3,FALSE)</f>
        <v>#REF!</v>
      </c>
      <c r="BK154" s="26" t="e">
        <f t="shared" si="10"/>
        <v>#REF!</v>
      </c>
    </row>
    <row r="155" spans="1:63" x14ac:dyDescent="0.25">
      <c r="A155" t="str">
        <f>'Formatted NEW'!Q153</f>
        <v>EMPTY</v>
      </c>
      <c r="B155" t="str">
        <f>'Formatted NEW'!R153</f>
        <v>ORTHO_BOTH</v>
      </c>
      <c r="C155" t="str">
        <f>'Formatted NEW'!S153</f>
        <v>ORTHO_BOTH</v>
      </c>
      <c r="D155" t="str">
        <f>'Formatted NEW'!T153</f>
        <v>ORTHO_BOTH</v>
      </c>
      <c r="E155" s="26">
        <f t="shared" si="8"/>
        <v>151</v>
      </c>
      <c r="H155" s="30" t="str" cm="1">
        <f t="array" aca="1" ref="H155" ca="1">IF(ISNUMBER(SEARCH(INDIRECT(ADDRESS(ROW(H155),MOD(H$1,4)+1)),H$2)),$E155,"")</f>
        <v/>
      </c>
      <c r="I155" s="26" t="str" cm="1">
        <f t="array" aca="1" ref="I155" ca="1">IF(ISNUMBER(SEARCH(INDIRECT(ADDRESS(ROW(I155),MOD(I$1,4)+1)),I$2)),$E155,"")</f>
        <v/>
      </c>
      <c r="J155" s="26" t="str" cm="1">
        <f t="array" aca="1" ref="J155" ca="1">IF(ISNUMBER(SEARCH(INDIRECT(ADDRESS(ROW(J155),MOD(J$1,4)+1)),J$2)),$E155,"")</f>
        <v/>
      </c>
      <c r="K155" s="26" t="str" cm="1">
        <f t="array" aca="1" ref="K155" ca="1">IF(ISNUMBER(SEARCH(INDIRECT(ADDRESS(ROW(K155),MOD(K$1,4)+1)),K$2)),$E155,"")</f>
        <v/>
      </c>
      <c r="L155" s="26" t="str" cm="1">
        <f t="array" aca="1" ref="L155" ca="1">IF(ISNUMBER(SEARCH(INDIRECT(ADDRESS(ROW(L155),MOD(L$1,4)+1)),L$2)),$E155,"")</f>
        <v/>
      </c>
      <c r="M155" s="26" t="str" cm="1">
        <f t="array" aca="1" ref="M155" ca="1">IF(ISNUMBER(SEARCH(INDIRECT(ADDRESS(ROW(M155),MOD(M$1,4)+1)),M$2)),$E155,"")</f>
        <v/>
      </c>
      <c r="N155" s="26" t="str" cm="1">
        <f t="array" aca="1" ref="N155" ca="1">IF(ISNUMBER(SEARCH(INDIRECT(ADDRESS(ROW(N155),MOD(N$1,4)+1)),N$2)),$E155,"")</f>
        <v/>
      </c>
      <c r="O155" s="26" t="str" cm="1">
        <f t="array" aca="1" ref="O155" ca="1">IF(ISNUMBER(SEARCH(INDIRECT(ADDRESS(ROW(O155),MOD(O$1,4)+1)),O$2)),$E155,"")</f>
        <v/>
      </c>
      <c r="P155" s="26" t="str" cm="1">
        <f t="array" aca="1" ref="P155" ca="1">IF(ISNUMBER(SEARCH(INDIRECT(ADDRESS(ROW(P155),MOD(P$1,4)+1)),P$2)),$E155,"")</f>
        <v/>
      </c>
      <c r="Q155" s="26" cm="1">
        <f t="array" aca="1" ref="Q155" ca="1">IF(ISNUMBER(SEARCH(INDIRECT(ADDRESS(ROW(Q155),MOD(Q$1,4)+1)),Q$2)),$E155,"")</f>
        <v>151</v>
      </c>
      <c r="R155" s="26" cm="1">
        <f t="array" aca="1" ref="R155" ca="1">IF(ISNUMBER(SEARCH(INDIRECT(ADDRESS(ROW(R155),MOD(R$1,4)+1)),R$2)),$E155,"")</f>
        <v>151</v>
      </c>
      <c r="S155" s="26" cm="1">
        <f t="array" aca="1" ref="S155" ca="1">IF(ISNUMBER(SEARCH(INDIRECT(ADDRESS(ROW(S155),MOD(S$1,4)+1)),S$2)),$E155,"")</f>
        <v>151</v>
      </c>
      <c r="T155" s="26" t="str" cm="1">
        <f t="array" aca="1" ref="T155" ca="1">IF(ISNUMBER(SEARCH(INDIRECT(ADDRESS(ROW(T155),MOD(T$1,4)+1)),T$2)),$E155,"")</f>
        <v/>
      </c>
      <c r="U155" s="26" t="str" cm="1">
        <f t="array" aca="1" ref="U155" ca="1">IF(ISNUMBER(SEARCH(INDIRECT(ADDRESS(ROW(U155),MOD(U$1,4)+1)),U$2)),$E155,"")</f>
        <v/>
      </c>
      <c r="V155" s="26" t="str" cm="1">
        <f t="array" aca="1" ref="V155" ca="1">IF(ISNUMBER(SEARCH(INDIRECT(ADDRESS(ROW(V155),MOD(V$1,4)+1)),V$2)),$E155,"")</f>
        <v/>
      </c>
      <c r="W155" s="26" t="str" cm="1">
        <f t="array" aca="1" ref="W155" ca="1">IF(ISNUMBER(SEARCH(INDIRECT(ADDRESS(ROW(W155),MOD(W$1,4)+1)),W$2)),$E155,"")</f>
        <v/>
      </c>
      <c r="X155" s="26" t="str" cm="1">
        <f t="array" aca="1" ref="X155" ca="1">IF(ISNUMBER(SEARCH(INDIRECT(ADDRESS(ROW(X155),MOD(X$1,4)+1)),X$2)),$E155,"")</f>
        <v/>
      </c>
      <c r="Y155" s="26" t="str" cm="1">
        <f t="array" aca="1" ref="Y155" ca="1">IF(ISNUMBER(SEARCH(INDIRECT(ADDRESS(ROW(Y155),MOD(Y$1,4)+1)),Y$2)),$E155,"")</f>
        <v/>
      </c>
      <c r="Z155" s="26" t="str" cm="1">
        <f t="array" aca="1" ref="Z155" ca="1">IF(ISNUMBER(SEARCH(INDIRECT(ADDRESS(ROW(Z155),MOD(Z$1,4)+1)),Z$2)),$E155,"")</f>
        <v/>
      </c>
      <c r="AA155" s="26" t="str" cm="1">
        <f t="array" aca="1" ref="AA155" ca="1">IF(ISNUMBER(SEARCH(INDIRECT(ADDRESS(ROW(AA155),MOD(AA$1,4)+1)),AA$2)),$E155,"")</f>
        <v/>
      </c>
      <c r="AB155" s="26" t="str" cm="1">
        <f t="array" aca="1" ref="AB155" ca="1">IF(ISNUMBER(SEARCH(INDIRECT(ADDRESS(ROW(AB155),MOD(AB$1,4)+1)),AB$2)),$E155,"")</f>
        <v/>
      </c>
      <c r="AC155" s="26" t="str" cm="1">
        <f t="array" aca="1" ref="AC155" ca="1">IF(ISNUMBER(SEARCH(INDIRECT(ADDRESS(ROW(AC155),MOD(AC$1,4)+1)),AC$2)),$E155,"")</f>
        <v/>
      </c>
      <c r="AD155" s="26" t="str" cm="1">
        <f t="array" aca="1" ref="AD155" ca="1">IF(ISNUMBER(SEARCH(INDIRECT(ADDRESS(ROW(AD155),MOD(AD$1,4)+1)),AD$2)),$E155,"")</f>
        <v/>
      </c>
      <c r="AE155" s="26" t="str" cm="1">
        <f t="array" aca="1" ref="AE155" ca="1">IF(ISNUMBER(SEARCH(INDIRECT(ADDRESS(ROW(AE155),MOD(AE$1,4)+1)),AE$2)),$E155,"")</f>
        <v/>
      </c>
      <c r="AF155" s="26" t="str" cm="1">
        <f t="array" aca="1" ref="AF155" ca="1">IF(ISNUMBER(SEARCH(INDIRECT(ADDRESS(ROW(AF155),MOD(AF$1,4)+1)),AF$2)),$E155,"")</f>
        <v/>
      </c>
      <c r="AG155" s="26" t="str" cm="1">
        <f t="array" aca="1" ref="AG155" ca="1">IF(ISNUMBER(SEARCH(INDIRECT(ADDRESS(ROW(AG155),MOD(AG$1,4)+1)),AG$2)),$E155,"")</f>
        <v/>
      </c>
      <c r="AH155" s="26" t="str" cm="1">
        <f t="array" aca="1" ref="AH155" ca="1">IF(ISNUMBER(SEARCH(INDIRECT(ADDRESS(ROW(AH155),MOD(AH$1,4)+1)),AH$2)),$E155,"")</f>
        <v/>
      </c>
      <c r="AI155" s="26" t="str" cm="1">
        <f t="array" aca="1" ref="AI155" ca="1">IF(ISNUMBER(SEARCH(INDIRECT(ADDRESS(ROW(AI155),MOD(AI$1,4)+1)),AI$2)),$E155,"")</f>
        <v/>
      </c>
      <c r="AJ155" s="26" t="str" cm="1">
        <f t="array" aca="1" ref="AJ155" ca="1">IF(ISNUMBER(SEARCH(INDIRECT(ADDRESS(ROW(AJ155),MOD(AJ$1,4)+1)),AJ$2)),$E155,"")</f>
        <v/>
      </c>
      <c r="AK155" s="26" t="str" cm="1">
        <f t="array" aca="1" ref="AK155" ca="1">IF(ISNUMBER(SEARCH(INDIRECT(ADDRESS(ROW(AK155),MOD(AK$1,4)+1)),AK$2)),$E155,"")</f>
        <v/>
      </c>
      <c r="AL155" s="26" t="str" cm="1">
        <f t="array" aca="1" ref="AL155" ca="1">IF(ISNUMBER(SEARCH(INDIRECT(ADDRESS(ROW(AL155),MOD(AL$1,4)+1)),AL$2)),$E155,"")</f>
        <v/>
      </c>
      <c r="AM155" s="26" t="str" cm="1">
        <f t="array" aca="1" ref="AM155" ca="1">IF(ISNUMBER(SEARCH(INDIRECT(ADDRESS(ROW(AM155),MOD(AM$1,4)+1)),AM$2)),$E155,"")</f>
        <v/>
      </c>
      <c r="AN155" s="26" t="str" cm="1">
        <f t="array" aca="1" ref="AN155" ca="1">IF(ISNUMBER(SEARCH(INDIRECT(ADDRESS(ROW(AN155),MOD(AN$1,4)+1)),AN$2)),$E155,"")</f>
        <v/>
      </c>
      <c r="AO155" s="26" t="str" cm="1">
        <f t="array" aca="1" ref="AO155" ca="1">IF(ISNUMBER(SEARCH(INDIRECT(ADDRESS(ROW(AO155),MOD(AO$1,4)+1)),AO$2)),$E155,"")</f>
        <v/>
      </c>
      <c r="AP155" s="26" t="str" cm="1">
        <f t="array" aca="1" ref="AP155" ca="1">IF(ISNUMBER(SEARCH(INDIRECT(ADDRESS(ROW(AP155),MOD(AP$1,4)+1)),AP$2)),$E155,"")</f>
        <v/>
      </c>
      <c r="AQ155" s="31" t="str" cm="1">
        <f t="array" aca="1" ref="AQ155" ca="1">IF(ISNUMBER(SEARCH(INDIRECT(ADDRESS(ROW(AQ155),MOD(AQ$1,4)+1)),AQ$2)),$E155,"")</f>
        <v/>
      </c>
      <c r="AT155" t="e">
        <f>IF(VLOOKUP($E155,'Formatted NEW'!$B$2:$F$202,5,FALSE)=VLOOKUP($E155,'Formatted NEW'!$B$2:$F$202,8,FALSE),$E155,"")</f>
        <v>#N/A</v>
      </c>
      <c r="AW155" t="e">
        <f>IF(VLOOKUP($E155,'Formatted NEW'!$B$2:$F$202,5,FALSE)=VLOOKUP($E155,'Formatted NEW'!$B$2:$F$202,11,FALSE),$E155,"")</f>
        <v>#N/A</v>
      </c>
      <c r="AZ155" t="e">
        <f>IF(VLOOKUP($E155,'Formatted NEW'!$B$2:$F$202,5,FALSE)=VLOOKUP($E155,'Formatted NEW'!$B$2:$F$202,14,FALSE),$E155,"")</f>
        <v>#N/A</v>
      </c>
      <c r="BC155" t="str">
        <f>VLOOKUP($E155,'Formatted NEW'!$M$2:$T$202,6,FALSE)</f>
        <v>ORTHO_BOTH</v>
      </c>
      <c r="BD155" s="26" t="e">
        <f>VLOOKUP(VLOOKUP(VLOOKUP($E155,'Formatted NEW'!$M$2:$O$202,2,FALSE),'Formatted NEW'!$D$2:$F$202,7,FALSE),'Formatted NEW'!$D$2:$O$202,12,FALSE)</f>
        <v>#REF!</v>
      </c>
      <c r="BE155" t="e">
        <f>VLOOKUP($BD155,'Formatted NEW'!$M$2:$T$202,5,FALSE)</f>
        <v>#REF!</v>
      </c>
      <c r="BF155" s="26" t="e">
        <f t="shared" si="9"/>
        <v>#REF!</v>
      </c>
      <c r="BH155">
        <f>VLOOKUP($E155,'Formatted NEW'!$M$2:$T$202,4,FALSE)</f>
        <v>0</v>
      </c>
      <c r="BI155" s="26" t="e">
        <f>VLOOKUP(VLOOKUP(VLOOKUP($E155,'Formatted NEW'!$M$2:$O$202,2,FALSE),'Formatted NEW'!$D$2:$F$202,10,FALSE),'Formatted NEW'!$D$2:$O$202,12,FALSE)</f>
        <v>#REF!</v>
      </c>
      <c r="BJ155" t="e">
        <f>VLOOKUP($BI155,'Formatted NEW'!$M$2:$T$202,3,FALSE)</f>
        <v>#REF!</v>
      </c>
      <c r="BK155" s="26" t="e">
        <f t="shared" si="10"/>
        <v>#REF!</v>
      </c>
    </row>
    <row r="156" spans="1:63" x14ac:dyDescent="0.25">
      <c r="A156" t="str">
        <f>'Formatted NEW'!Q154</f>
        <v>ORTHO_BOTH</v>
      </c>
      <c r="B156" t="str">
        <f>'Formatted NEW'!R154</f>
        <v>ORTHO_BOTH</v>
      </c>
      <c r="C156" t="str">
        <f>'Formatted NEW'!S154</f>
        <v>ORTHO_BOTH</v>
      </c>
      <c r="D156" t="str">
        <f>'Formatted NEW'!T154</f>
        <v>EMPTY</v>
      </c>
      <c r="E156" s="26">
        <f t="shared" si="8"/>
        <v>152</v>
      </c>
      <c r="H156" s="30" t="str" cm="1">
        <f t="array" aca="1" ref="H156" ca="1">IF(ISNUMBER(SEARCH(INDIRECT(ADDRESS(ROW(H156),MOD(H$1,4)+1)),H$2)),$E156,"")</f>
        <v/>
      </c>
      <c r="I156" s="26" t="str" cm="1">
        <f t="array" aca="1" ref="I156" ca="1">IF(ISNUMBER(SEARCH(INDIRECT(ADDRESS(ROW(I156),MOD(I$1,4)+1)),I$2)),$E156,"")</f>
        <v/>
      </c>
      <c r="J156" s="26" t="str" cm="1">
        <f t="array" aca="1" ref="J156" ca="1">IF(ISNUMBER(SEARCH(INDIRECT(ADDRESS(ROW(J156),MOD(J$1,4)+1)),J$2)),$E156,"")</f>
        <v/>
      </c>
      <c r="K156" s="26" t="str" cm="1">
        <f t="array" aca="1" ref="K156" ca="1">IF(ISNUMBER(SEARCH(INDIRECT(ADDRESS(ROW(K156),MOD(K$1,4)+1)),K$2)),$E156,"")</f>
        <v/>
      </c>
      <c r="L156" s="26" t="str" cm="1">
        <f t="array" aca="1" ref="L156" ca="1">IF(ISNUMBER(SEARCH(INDIRECT(ADDRESS(ROW(L156),MOD(L$1,4)+1)),L$2)),$E156,"")</f>
        <v/>
      </c>
      <c r="M156" s="26" t="str" cm="1">
        <f t="array" aca="1" ref="M156" ca="1">IF(ISNUMBER(SEARCH(INDIRECT(ADDRESS(ROW(M156),MOD(M$1,4)+1)),M$2)),$E156,"")</f>
        <v/>
      </c>
      <c r="N156" s="26" t="str" cm="1">
        <f t="array" aca="1" ref="N156" ca="1">IF(ISNUMBER(SEARCH(INDIRECT(ADDRESS(ROW(N156),MOD(N$1,4)+1)),N$2)),$E156,"")</f>
        <v/>
      </c>
      <c r="O156" s="26" t="str" cm="1">
        <f t="array" aca="1" ref="O156" ca="1">IF(ISNUMBER(SEARCH(INDIRECT(ADDRESS(ROW(O156),MOD(O$1,4)+1)),O$2)),$E156,"")</f>
        <v/>
      </c>
      <c r="P156" s="26" cm="1">
        <f t="array" aca="1" ref="P156" ca="1">IF(ISNUMBER(SEARCH(INDIRECT(ADDRESS(ROW(P156),MOD(P$1,4)+1)),P$2)),$E156,"")</f>
        <v>152</v>
      </c>
      <c r="Q156" s="26" cm="1">
        <f t="array" aca="1" ref="Q156" ca="1">IF(ISNUMBER(SEARCH(INDIRECT(ADDRESS(ROW(Q156),MOD(Q$1,4)+1)),Q$2)),$E156,"")</f>
        <v>152</v>
      </c>
      <c r="R156" s="26" cm="1">
        <f t="array" aca="1" ref="R156" ca="1">IF(ISNUMBER(SEARCH(INDIRECT(ADDRESS(ROW(R156),MOD(R$1,4)+1)),R$2)),$E156,"")</f>
        <v>152</v>
      </c>
      <c r="S156" s="26" t="str" cm="1">
        <f t="array" aca="1" ref="S156" ca="1">IF(ISNUMBER(SEARCH(INDIRECT(ADDRESS(ROW(S156),MOD(S$1,4)+1)),S$2)),$E156,"")</f>
        <v/>
      </c>
      <c r="T156" s="26" t="str" cm="1">
        <f t="array" aca="1" ref="T156" ca="1">IF(ISNUMBER(SEARCH(INDIRECT(ADDRESS(ROW(T156),MOD(T$1,4)+1)),T$2)),$E156,"")</f>
        <v/>
      </c>
      <c r="U156" s="26" t="str" cm="1">
        <f t="array" aca="1" ref="U156" ca="1">IF(ISNUMBER(SEARCH(INDIRECT(ADDRESS(ROW(U156),MOD(U$1,4)+1)),U$2)),$E156,"")</f>
        <v/>
      </c>
      <c r="V156" s="26" t="str" cm="1">
        <f t="array" aca="1" ref="V156" ca="1">IF(ISNUMBER(SEARCH(INDIRECT(ADDRESS(ROW(V156),MOD(V$1,4)+1)),V$2)),$E156,"")</f>
        <v/>
      </c>
      <c r="W156" s="26" t="str" cm="1">
        <f t="array" aca="1" ref="W156" ca="1">IF(ISNUMBER(SEARCH(INDIRECT(ADDRESS(ROW(W156),MOD(W$1,4)+1)),W$2)),$E156,"")</f>
        <v/>
      </c>
      <c r="X156" s="26" t="str" cm="1">
        <f t="array" aca="1" ref="X156" ca="1">IF(ISNUMBER(SEARCH(INDIRECT(ADDRESS(ROW(X156),MOD(X$1,4)+1)),X$2)),$E156,"")</f>
        <v/>
      </c>
      <c r="Y156" s="26" t="str" cm="1">
        <f t="array" aca="1" ref="Y156" ca="1">IF(ISNUMBER(SEARCH(INDIRECT(ADDRESS(ROW(Y156),MOD(Y$1,4)+1)),Y$2)),$E156,"")</f>
        <v/>
      </c>
      <c r="Z156" s="26" t="str" cm="1">
        <f t="array" aca="1" ref="Z156" ca="1">IF(ISNUMBER(SEARCH(INDIRECT(ADDRESS(ROW(Z156),MOD(Z$1,4)+1)),Z$2)),$E156,"")</f>
        <v/>
      </c>
      <c r="AA156" s="26" t="str" cm="1">
        <f t="array" aca="1" ref="AA156" ca="1">IF(ISNUMBER(SEARCH(INDIRECT(ADDRESS(ROW(AA156),MOD(AA$1,4)+1)),AA$2)),$E156,"")</f>
        <v/>
      </c>
      <c r="AB156" s="26" t="str" cm="1">
        <f t="array" aca="1" ref="AB156" ca="1">IF(ISNUMBER(SEARCH(INDIRECT(ADDRESS(ROW(AB156),MOD(AB$1,4)+1)),AB$2)),$E156,"")</f>
        <v/>
      </c>
      <c r="AC156" s="26" t="str" cm="1">
        <f t="array" aca="1" ref="AC156" ca="1">IF(ISNUMBER(SEARCH(INDIRECT(ADDRESS(ROW(AC156),MOD(AC$1,4)+1)),AC$2)),$E156,"")</f>
        <v/>
      </c>
      <c r="AD156" s="26" t="str" cm="1">
        <f t="array" aca="1" ref="AD156" ca="1">IF(ISNUMBER(SEARCH(INDIRECT(ADDRESS(ROW(AD156),MOD(AD$1,4)+1)),AD$2)),$E156,"")</f>
        <v/>
      </c>
      <c r="AE156" s="26" t="str" cm="1">
        <f t="array" aca="1" ref="AE156" ca="1">IF(ISNUMBER(SEARCH(INDIRECT(ADDRESS(ROW(AE156),MOD(AE$1,4)+1)),AE$2)),$E156,"")</f>
        <v/>
      </c>
      <c r="AF156" s="26" t="str" cm="1">
        <f t="array" aca="1" ref="AF156" ca="1">IF(ISNUMBER(SEARCH(INDIRECT(ADDRESS(ROW(AF156),MOD(AF$1,4)+1)),AF$2)),$E156,"")</f>
        <v/>
      </c>
      <c r="AG156" s="26" t="str" cm="1">
        <f t="array" aca="1" ref="AG156" ca="1">IF(ISNUMBER(SEARCH(INDIRECT(ADDRESS(ROW(AG156),MOD(AG$1,4)+1)),AG$2)),$E156,"")</f>
        <v/>
      </c>
      <c r="AH156" s="26" t="str" cm="1">
        <f t="array" aca="1" ref="AH156" ca="1">IF(ISNUMBER(SEARCH(INDIRECT(ADDRESS(ROW(AH156),MOD(AH$1,4)+1)),AH$2)),$E156,"")</f>
        <v/>
      </c>
      <c r="AI156" s="26" t="str" cm="1">
        <f t="array" aca="1" ref="AI156" ca="1">IF(ISNUMBER(SEARCH(INDIRECT(ADDRESS(ROW(AI156),MOD(AI$1,4)+1)),AI$2)),$E156,"")</f>
        <v/>
      </c>
      <c r="AJ156" s="26" t="str" cm="1">
        <f t="array" aca="1" ref="AJ156" ca="1">IF(ISNUMBER(SEARCH(INDIRECT(ADDRESS(ROW(AJ156),MOD(AJ$1,4)+1)),AJ$2)),$E156,"")</f>
        <v/>
      </c>
      <c r="AK156" s="26" t="str" cm="1">
        <f t="array" aca="1" ref="AK156" ca="1">IF(ISNUMBER(SEARCH(INDIRECT(ADDRESS(ROW(AK156),MOD(AK$1,4)+1)),AK$2)),$E156,"")</f>
        <v/>
      </c>
      <c r="AL156" s="26" t="str" cm="1">
        <f t="array" aca="1" ref="AL156" ca="1">IF(ISNUMBER(SEARCH(INDIRECT(ADDRESS(ROW(AL156),MOD(AL$1,4)+1)),AL$2)),$E156,"")</f>
        <v/>
      </c>
      <c r="AM156" s="26" t="str" cm="1">
        <f t="array" aca="1" ref="AM156" ca="1">IF(ISNUMBER(SEARCH(INDIRECT(ADDRESS(ROW(AM156),MOD(AM$1,4)+1)),AM$2)),$E156,"")</f>
        <v/>
      </c>
      <c r="AN156" s="26" t="str" cm="1">
        <f t="array" aca="1" ref="AN156" ca="1">IF(ISNUMBER(SEARCH(INDIRECT(ADDRESS(ROW(AN156),MOD(AN$1,4)+1)),AN$2)),$E156,"")</f>
        <v/>
      </c>
      <c r="AO156" s="26" t="str" cm="1">
        <f t="array" aca="1" ref="AO156" ca="1">IF(ISNUMBER(SEARCH(INDIRECT(ADDRESS(ROW(AO156),MOD(AO$1,4)+1)),AO$2)),$E156,"")</f>
        <v/>
      </c>
      <c r="AP156" s="26" t="str" cm="1">
        <f t="array" aca="1" ref="AP156" ca="1">IF(ISNUMBER(SEARCH(INDIRECT(ADDRESS(ROW(AP156),MOD(AP$1,4)+1)),AP$2)),$E156,"")</f>
        <v/>
      </c>
      <c r="AQ156" s="31" t="str" cm="1">
        <f t="array" aca="1" ref="AQ156" ca="1">IF(ISNUMBER(SEARCH(INDIRECT(ADDRESS(ROW(AQ156),MOD(AQ$1,4)+1)),AQ$2)),$E156,"")</f>
        <v/>
      </c>
      <c r="AT156" t="e">
        <f>IF(VLOOKUP($E156,'Formatted NEW'!$B$2:$F$202,5,FALSE)=VLOOKUP($E156,'Formatted NEW'!$B$2:$F$202,8,FALSE),$E156,"")</f>
        <v>#N/A</v>
      </c>
      <c r="AW156" t="e">
        <f>IF(VLOOKUP($E156,'Formatted NEW'!$B$2:$F$202,5,FALSE)=VLOOKUP($E156,'Formatted NEW'!$B$2:$F$202,11,FALSE),$E156,"")</f>
        <v>#N/A</v>
      </c>
      <c r="AZ156" t="e">
        <f>IF(VLOOKUP($E156,'Formatted NEW'!$B$2:$F$202,5,FALSE)=VLOOKUP($E156,'Formatted NEW'!$B$2:$F$202,14,FALSE),$E156,"")</f>
        <v>#N/A</v>
      </c>
      <c r="BC156" t="str">
        <f>VLOOKUP($E156,'Formatted NEW'!$M$2:$T$202,6,FALSE)</f>
        <v>ORTHO_BOTH</v>
      </c>
      <c r="BD156" s="26" t="e">
        <f>VLOOKUP(VLOOKUP(VLOOKUP($E156,'Formatted NEW'!$M$2:$O$202,2,FALSE),'Formatted NEW'!$D$2:$F$202,7,FALSE),'Formatted NEW'!$D$2:$O$202,12,FALSE)</f>
        <v>#REF!</v>
      </c>
      <c r="BE156" t="e">
        <f>VLOOKUP($BD156,'Formatted NEW'!$M$2:$T$202,5,FALSE)</f>
        <v>#REF!</v>
      </c>
      <c r="BF156" s="26" t="e">
        <f t="shared" si="9"/>
        <v>#REF!</v>
      </c>
      <c r="BH156">
        <f>VLOOKUP($E156,'Formatted NEW'!$M$2:$T$202,4,FALSE)</f>
        <v>0</v>
      </c>
      <c r="BI156" s="26" t="e">
        <f>VLOOKUP(VLOOKUP(VLOOKUP($E156,'Formatted NEW'!$M$2:$O$202,2,FALSE),'Formatted NEW'!$D$2:$F$202,10,FALSE),'Formatted NEW'!$D$2:$O$202,12,FALSE)</f>
        <v>#REF!</v>
      </c>
      <c r="BJ156" t="e">
        <f>VLOOKUP($BI156,'Formatted NEW'!$M$2:$T$202,3,FALSE)</f>
        <v>#REF!</v>
      </c>
      <c r="BK156" s="26" t="e">
        <f t="shared" si="10"/>
        <v>#REF!</v>
      </c>
    </row>
    <row r="157" spans="1:63" x14ac:dyDescent="0.25">
      <c r="A157" t="str">
        <f>'Formatted NEW'!Q155</f>
        <v>ORTHO_BOTH</v>
      </c>
      <c r="B157" t="str">
        <f>'Formatted NEW'!R155</f>
        <v>EMPTY</v>
      </c>
      <c r="C157" t="str">
        <f>'Formatted NEW'!S155</f>
        <v>ORTHO_BOTH</v>
      </c>
      <c r="D157" t="str">
        <f>'Formatted NEW'!T155</f>
        <v>ORTHO_BOTH</v>
      </c>
      <c r="E157" s="26">
        <f t="shared" si="8"/>
        <v>153</v>
      </c>
      <c r="H157" s="30" t="str" cm="1">
        <f t="array" aca="1" ref="H157" ca="1">IF(ISNUMBER(SEARCH(INDIRECT(ADDRESS(ROW(H157),MOD(H$1,4)+1)),H$2)),$E157,"")</f>
        <v/>
      </c>
      <c r="I157" s="26" t="str" cm="1">
        <f t="array" aca="1" ref="I157" ca="1">IF(ISNUMBER(SEARCH(INDIRECT(ADDRESS(ROW(I157),MOD(I$1,4)+1)),I$2)),$E157,"")</f>
        <v/>
      </c>
      <c r="J157" s="26" t="str" cm="1">
        <f t="array" aca="1" ref="J157" ca="1">IF(ISNUMBER(SEARCH(INDIRECT(ADDRESS(ROW(J157),MOD(J$1,4)+1)),J$2)),$E157,"")</f>
        <v/>
      </c>
      <c r="K157" s="26" t="str" cm="1">
        <f t="array" aca="1" ref="K157" ca="1">IF(ISNUMBER(SEARCH(INDIRECT(ADDRESS(ROW(K157),MOD(K$1,4)+1)),K$2)),$E157,"")</f>
        <v/>
      </c>
      <c r="L157" s="26" t="str" cm="1">
        <f t="array" aca="1" ref="L157" ca="1">IF(ISNUMBER(SEARCH(INDIRECT(ADDRESS(ROW(L157),MOD(L$1,4)+1)),L$2)),$E157,"")</f>
        <v/>
      </c>
      <c r="M157" s="26" t="str" cm="1">
        <f t="array" aca="1" ref="M157" ca="1">IF(ISNUMBER(SEARCH(INDIRECT(ADDRESS(ROW(M157),MOD(M$1,4)+1)),M$2)),$E157,"")</f>
        <v/>
      </c>
      <c r="N157" s="26" t="str" cm="1">
        <f t="array" aca="1" ref="N157" ca="1">IF(ISNUMBER(SEARCH(INDIRECT(ADDRESS(ROW(N157),MOD(N$1,4)+1)),N$2)),$E157,"")</f>
        <v/>
      </c>
      <c r="O157" s="26" t="str" cm="1">
        <f t="array" aca="1" ref="O157" ca="1">IF(ISNUMBER(SEARCH(INDIRECT(ADDRESS(ROW(O157),MOD(O$1,4)+1)),O$2)),$E157,"")</f>
        <v/>
      </c>
      <c r="P157" s="26" cm="1">
        <f t="array" aca="1" ref="P157" ca="1">IF(ISNUMBER(SEARCH(INDIRECT(ADDRESS(ROW(P157),MOD(P$1,4)+1)),P$2)),$E157,"")</f>
        <v>153</v>
      </c>
      <c r="Q157" s="26" t="str" cm="1">
        <f t="array" aca="1" ref="Q157" ca="1">IF(ISNUMBER(SEARCH(INDIRECT(ADDRESS(ROW(Q157),MOD(Q$1,4)+1)),Q$2)),$E157,"")</f>
        <v/>
      </c>
      <c r="R157" s="26" cm="1">
        <f t="array" aca="1" ref="R157" ca="1">IF(ISNUMBER(SEARCH(INDIRECT(ADDRESS(ROW(R157),MOD(R$1,4)+1)),R$2)),$E157,"")</f>
        <v>153</v>
      </c>
      <c r="S157" s="26" cm="1">
        <f t="array" aca="1" ref="S157" ca="1">IF(ISNUMBER(SEARCH(INDIRECT(ADDRESS(ROW(S157),MOD(S$1,4)+1)),S$2)),$E157,"")</f>
        <v>153</v>
      </c>
      <c r="T157" s="26" t="str" cm="1">
        <f t="array" aca="1" ref="T157" ca="1">IF(ISNUMBER(SEARCH(INDIRECT(ADDRESS(ROW(T157),MOD(T$1,4)+1)),T$2)),$E157,"")</f>
        <v/>
      </c>
      <c r="U157" s="26" t="str" cm="1">
        <f t="array" aca="1" ref="U157" ca="1">IF(ISNUMBER(SEARCH(INDIRECT(ADDRESS(ROW(U157),MOD(U$1,4)+1)),U$2)),$E157,"")</f>
        <v/>
      </c>
      <c r="V157" s="26" t="str" cm="1">
        <f t="array" aca="1" ref="V157" ca="1">IF(ISNUMBER(SEARCH(INDIRECT(ADDRESS(ROW(V157),MOD(V$1,4)+1)),V$2)),$E157,"")</f>
        <v/>
      </c>
      <c r="W157" s="26" t="str" cm="1">
        <f t="array" aca="1" ref="W157" ca="1">IF(ISNUMBER(SEARCH(INDIRECT(ADDRESS(ROW(W157),MOD(W$1,4)+1)),W$2)),$E157,"")</f>
        <v/>
      </c>
      <c r="X157" s="26" t="str" cm="1">
        <f t="array" aca="1" ref="X157" ca="1">IF(ISNUMBER(SEARCH(INDIRECT(ADDRESS(ROW(X157),MOD(X$1,4)+1)),X$2)),$E157,"")</f>
        <v/>
      </c>
      <c r="Y157" s="26" t="str" cm="1">
        <f t="array" aca="1" ref="Y157" ca="1">IF(ISNUMBER(SEARCH(INDIRECT(ADDRESS(ROW(Y157),MOD(Y$1,4)+1)),Y$2)),$E157,"")</f>
        <v/>
      </c>
      <c r="Z157" s="26" t="str" cm="1">
        <f t="array" aca="1" ref="Z157" ca="1">IF(ISNUMBER(SEARCH(INDIRECT(ADDRESS(ROW(Z157),MOD(Z$1,4)+1)),Z$2)),$E157,"")</f>
        <v/>
      </c>
      <c r="AA157" s="26" t="str" cm="1">
        <f t="array" aca="1" ref="AA157" ca="1">IF(ISNUMBER(SEARCH(INDIRECT(ADDRESS(ROW(AA157),MOD(AA$1,4)+1)),AA$2)),$E157,"")</f>
        <v/>
      </c>
      <c r="AB157" s="26" t="str" cm="1">
        <f t="array" aca="1" ref="AB157" ca="1">IF(ISNUMBER(SEARCH(INDIRECT(ADDRESS(ROW(AB157),MOD(AB$1,4)+1)),AB$2)),$E157,"")</f>
        <v/>
      </c>
      <c r="AC157" s="26" t="str" cm="1">
        <f t="array" aca="1" ref="AC157" ca="1">IF(ISNUMBER(SEARCH(INDIRECT(ADDRESS(ROW(AC157),MOD(AC$1,4)+1)),AC$2)),$E157,"")</f>
        <v/>
      </c>
      <c r="AD157" s="26" t="str" cm="1">
        <f t="array" aca="1" ref="AD157" ca="1">IF(ISNUMBER(SEARCH(INDIRECT(ADDRESS(ROW(AD157),MOD(AD$1,4)+1)),AD$2)),$E157,"")</f>
        <v/>
      </c>
      <c r="AE157" s="26" t="str" cm="1">
        <f t="array" aca="1" ref="AE157" ca="1">IF(ISNUMBER(SEARCH(INDIRECT(ADDRESS(ROW(AE157),MOD(AE$1,4)+1)),AE$2)),$E157,"")</f>
        <v/>
      </c>
      <c r="AF157" s="26" t="str" cm="1">
        <f t="array" aca="1" ref="AF157" ca="1">IF(ISNUMBER(SEARCH(INDIRECT(ADDRESS(ROW(AF157),MOD(AF$1,4)+1)),AF$2)),$E157,"")</f>
        <v/>
      </c>
      <c r="AG157" s="26" t="str" cm="1">
        <f t="array" aca="1" ref="AG157" ca="1">IF(ISNUMBER(SEARCH(INDIRECT(ADDRESS(ROW(AG157),MOD(AG$1,4)+1)),AG$2)),$E157,"")</f>
        <v/>
      </c>
      <c r="AH157" s="26" t="str" cm="1">
        <f t="array" aca="1" ref="AH157" ca="1">IF(ISNUMBER(SEARCH(INDIRECT(ADDRESS(ROW(AH157),MOD(AH$1,4)+1)),AH$2)),$E157,"")</f>
        <v/>
      </c>
      <c r="AI157" s="26" t="str" cm="1">
        <f t="array" aca="1" ref="AI157" ca="1">IF(ISNUMBER(SEARCH(INDIRECT(ADDRESS(ROW(AI157),MOD(AI$1,4)+1)),AI$2)),$E157,"")</f>
        <v/>
      </c>
      <c r="AJ157" s="26" t="str" cm="1">
        <f t="array" aca="1" ref="AJ157" ca="1">IF(ISNUMBER(SEARCH(INDIRECT(ADDRESS(ROW(AJ157),MOD(AJ$1,4)+1)),AJ$2)),$E157,"")</f>
        <v/>
      </c>
      <c r="AK157" s="26" t="str" cm="1">
        <f t="array" aca="1" ref="AK157" ca="1">IF(ISNUMBER(SEARCH(INDIRECT(ADDRESS(ROW(AK157),MOD(AK$1,4)+1)),AK$2)),$E157,"")</f>
        <v/>
      </c>
      <c r="AL157" s="26" t="str" cm="1">
        <f t="array" aca="1" ref="AL157" ca="1">IF(ISNUMBER(SEARCH(INDIRECT(ADDRESS(ROW(AL157),MOD(AL$1,4)+1)),AL$2)),$E157,"")</f>
        <v/>
      </c>
      <c r="AM157" s="26" t="str" cm="1">
        <f t="array" aca="1" ref="AM157" ca="1">IF(ISNUMBER(SEARCH(INDIRECT(ADDRESS(ROW(AM157),MOD(AM$1,4)+1)),AM$2)),$E157,"")</f>
        <v/>
      </c>
      <c r="AN157" s="26" t="str" cm="1">
        <f t="array" aca="1" ref="AN157" ca="1">IF(ISNUMBER(SEARCH(INDIRECT(ADDRESS(ROW(AN157),MOD(AN$1,4)+1)),AN$2)),$E157,"")</f>
        <v/>
      </c>
      <c r="AO157" s="26" t="str" cm="1">
        <f t="array" aca="1" ref="AO157" ca="1">IF(ISNUMBER(SEARCH(INDIRECT(ADDRESS(ROW(AO157),MOD(AO$1,4)+1)),AO$2)),$E157,"")</f>
        <v/>
      </c>
      <c r="AP157" s="26" t="str" cm="1">
        <f t="array" aca="1" ref="AP157" ca="1">IF(ISNUMBER(SEARCH(INDIRECT(ADDRESS(ROW(AP157),MOD(AP$1,4)+1)),AP$2)),$E157,"")</f>
        <v/>
      </c>
      <c r="AQ157" s="31" t="str" cm="1">
        <f t="array" aca="1" ref="AQ157" ca="1">IF(ISNUMBER(SEARCH(INDIRECT(ADDRESS(ROW(AQ157),MOD(AQ$1,4)+1)),AQ$2)),$E157,"")</f>
        <v/>
      </c>
      <c r="AT157" t="e">
        <f>IF(VLOOKUP($E157,'Formatted NEW'!$B$2:$F$202,5,FALSE)=VLOOKUP($E157,'Formatted NEW'!$B$2:$F$202,8,FALSE),$E157,"")</f>
        <v>#N/A</v>
      </c>
      <c r="AW157" t="e">
        <f>IF(VLOOKUP($E157,'Formatted NEW'!$B$2:$F$202,5,FALSE)=VLOOKUP($E157,'Formatted NEW'!$B$2:$F$202,11,FALSE),$E157,"")</f>
        <v>#N/A</v>
      </c>
      <c r="AZ157" t="e">
        <f>IF(VLOOKUP($E157,'Formatted NEW'!$B$2:$F$202,5,FALSE)=VLOOKUP($E157,'Formatted NEW'!$B$2:$F$202,14,FALSE),$E157,"")</f>
        <v>#N/A</v>
      </c>
      <c r="BC157" t="str">
        <f>VLOOKUP($E157,'Formatted NEW'!$M$2:$T$202,6,FALSE)</f>
        <v>EMPTY</v>
      </c>
      <c r="BD157" s="26" t="e">
        <f>VLOOKUP(VLOOKUP(VLOOKUP($E157,'Formatted NEW'!$M$2:$O$202,2,FALSE),'Formatted NEW'!$D$2:$F$202,7,FALSE),'Formatted NEW'!$D$2:$O$202,12,FALSE)</f>
        <v>#REF!</v>
      </c>
      <c r="BE157" t="e">
        <f>VLOOKUP($BD157,'Formatted NEW'!$M$2:$T$202,5,FALSE)</f>
        <v>#REF!</v>
      </c>
      <c r="BF157" s="26" t="e">
        <f t="shared" si="9"/>
        <v>#REF!</v>
      </c>
      <c r="BH157">
        <f>VLOOKUP($E157,'Formatted NEW'!$M$2:$T$202,4,FALSE)</f>
        <v>0</v>
      </c>
      <c r="BI157" s="26" t="e">
        <f>VLOOKUP(VLOOKUP(VLOOKUP($E157,'Formatted NEW'!$M$2:$O$202,2,FALSE),'Formatted NEW'!$D$2:$F$202,10,FALSE),'Formatted NEW'!$D$2:$O$202,12,FALSE)</f>
        <v>#REF!</v>
      </c>
      <c r="BJ157" t="e">
        <f>VLOOKUP($BI157,'Formatted NEW'!$M$2:$T$202,3,FALSE)</f>
        <v>#REF!</v>
      </c>
      <c r="BK157" s="26" t="e">
        <f t="shared" si="10"/>
        <v>#REF!</v>
      </c>
    </row>
    <row r="158" spans="1:63" x14ac:dyDescent="0.25">
      <c r="A158" t="str">
        <f>'Formatted NEW'!Q156</f>
        <v>ORTHO_BOTH</v>
      </c>
      <c r="B158" t="str">
        <f>'Formatted NEW'!R156</f>
        <v>ORTHO_BOTH</v>
      </c>
      <c r="C158" t="str">
        <f>'Formatted NEW'!S156</f>
        <v>EMPTY</v>
      </c>
      <c r="D158" t="str">
        <f>'Formatted NEW'!T156</f>
        <v>ORTHO_BOTH</v>
      </c>
      <c r="E158" s="26">
        <f t="shared" si="8"/>
        <v>154</v>
      </c>
      <c r="H158" s="30" t="str" cm="1">
        <f t="array" aca="1" ref="H158" ca="1">IF(ISNUMBER(SEARCH(INDIRECT(ADDRESS(ROW(H158),MOD(H$1,4)+1)),H$2)),$E158,"")</f>
        <v/>
      </c>
      <c r="I158" s="26" t="str" cm="1">
        <f t="array" aca="1" ref="I158" ca="1">IF(ISNUMBER(SEARCH(INDIRECT(ADDRESS(ROW(I158),MOD(I$1,4)+1)),I$2)),$E158,"")</f>
        <v/>
      </c>
      <c r="J158" s="26" t="str" cm="1">
        <f t="array" aca="1" ref="J158" ca="1">IF(ISNUMBER(SEARCH(INDIRECT(ADDRESS(ROW(J158),MOD(J$1,4)+1)),J$2)),$E158,"")</f>
        <v/>
      </c>
      <c r="K158" s="26" t="str" cm="1">
        <f t="array" aca="1" ref="K158" ca="1">IF(ISNUMBER(SEARCH(INDIRECT(ADDRESS(ROW(K158),MOD(K$1,4)+1)),K$2)),$E158,"")</f>
        <v/>
      </c>
      <c r="L158" s="26" t="str" cm="1">
        <f t="array" aca="1" ref="L158" ca="1">IF(ISNUMBER(SEARCH(INDIRECT(ADDRESS(ROW(L158),MOD(L$1,4)+1)),L$2)),$E158,"")</f>
        <v/>
      </c>
      <c r="M158" s="26" t="str" cm="1">
        <f t="array" aca="1" ref="M158" ca="1">IF(ISNUMBER(SEARCH(INDIRECT(ADDRESS(ROW(M158),MOD(M$1,4)+1)),M$2)),$E158,"")</f>
        <v/>
      </c>
      <c r="N158" s="26" t="str" cm="1">
        <f t="array" aca="1" ref="N158" ca="1">IF(ISNUMBER(SEARCH(INDIRECT(ADDRESS(ROW(N158),MOD(N$1,4)+1)),N$2)),$E158,"")</f>
        <v/>
      </c>
      <c r="O158" s="26" t="str" cm="1">
        <f t="array" aca="1" ref="O158" ca="1">IF(ISNUMBER(SEARCH(INDIRECT(ADDRESS(ROW(O158),MOD(O$1,4)+1)),O$2)),$E158,"")</f>
        <v/>
      </c>
      <c r="P158" s="26" cm="1">
        <f t="array" aca="1" ref="P158" ca="1">IF(ISNUMBER(SEARCH(INDIRECT(ADDRESS(ROW(P158),MOD(P$1,4)+1)),P$2)),$E158,"")</f>
        <v>154</v>
      </c>
      <c r="Q158" s="26" cm="1">
        <f t="array" aca="1" ref="Q158" ca="1">IF(ISNUMBER(SEARCH(INDIRECT(ADDRESS(ROW(Q158),MOD(Q$1,4)+1)),Q$2)),$E158,"")</f>
        <v>154</v>
      </c>
      <c r="R158" s="26" t="str" cm="1">
        <f t="array" aca="1" ref="R158" ca="1">IF(ISNUMBER(SEARCH(INDIRECT(ADDRESS(ROW(R158),MOD(R$1,4)+1)),R$2)),$E158,"")</f>
        <v/>
      </c>
      <c r="S158" s="26" cm="1">
        <f t="array" aca="1" ref="S158" ca="1">IF(ISNUMBER(SEARCH(INDIRECT(ADDRESS(ROW(S158),MOD(S$1,4)+1)),S$2)),$E158,"")</f>
        <v>154</v>
      </c>
      <c r="T158" s="26" t="str" cm="1">
        <f t="array" aca="1" ref="T158" ca="1">IF(ISNUMBER(SEARCH(INDIRECT(ADDRESS(ROW(T158),MOD(T$1,4)+1)),T$2)),$E158,"")</f>
        <v/>
      </c>
      <c r="U158" s="26" t="str" cm="1">
        <f t="array" aca="1" ref="U158" ca="1">IF(ISNUMBER(SEARCH(INDIRECT(ADDRESS(ROW(U158),MOD(U$1,4)+1)),U$2)),$E158,"")</f>
        <v/>
      </c>
      <c r="V158" s="26" t="str" cm="1">
        <f t="array" aca="1" ref="V158" ca="1">IF(ISNUMBER(SEARCH(INDIRECT(ADDRESS(ROW(V158),MOD(V$1,4)+1)),V$2)),$E158,"")</f>
        <v/>
      </c>
      <c r="W158" s="26" t="str" cm="1">
        <f t="array" aca="1" ref="W158" ca="1">IF(ISNUMBER(SEARCH(INDIRECT(ADDRESS(ROW(W158),MOD(W$1,4)+1)),W$2)),$E158,"")</f>
        <v/>
      </c>
      <c r="X158" s="26" t="str" cm="1">
        <f t="array" aca="1" ref="X158" ca="1">IF(ISNUMBER(SEARCH(INDIRECT(ADDRESS(ROW(X158),MOD(X$1,4)+1)),X$2)),$E158,"")</f>
        <v/>
      </c>
      <c r="Y158" s="26" t="str" cm="1">
        <f t="array" aca="1" ref="Y158" ca="1">IF(ISNUMBER(SEARCH(INDIRECT(ADDRESS(ROW(Y158),MOD(Y$1,4)+1)),Y$2)),$E158,"")</f>
        <v/>
      </c>
      <c r="Z158" s="26" t="str" cm="1">
        <f t="array" aca="1" ref="Z158" ca="1">IF(ISNUMBER(SEARCH(INDIRECT(ADDRESS(ROW(Z158),MOD(Z$1,4)+1)),Z$2)),$E158,"")</f>
        <v/>
      </c>
      <c r="AA158" s="26" t="str" cm="1">
        <f t="array" aca="1" ref="AA158" ca="1">IF(ISNUMBER(SEARCH(INDIRECT(ADDRESS(ROW(AA158),MOD(AA$1,4)+1)),AA$2)),$E158,"")</f>
        <v/>
      </c>
      <c r="AB158" s="26" t="str" cm="1">
        <f t="array" aca="1" ref="AB158" ca="1">IF(ISNUMBER(SEARCH(INDIRECT(ADDRESS(ROW(AB158),MOD(AB$1,4)+1)),AB$2)),$E158,"")</f>
        <v/>
      </c>
      <c r="AC158" s="26" t="str" cm="1">
        <f t="array" aca="1" ref="AC158" ca="1">IF(ISNUMBER(SEARCH(INDIRECT(ADDRESS(ROW(AC158),MOD(AC$1,4)+1)),AC$2)),$E158,"")</f>
        <v/>
      </c>
      <c r="AD158" s="26" t="str" cm="1">
        <f t="array" aca="1" ref="AD158" ca="1">IF(ISNUMBER(SEARCH(INDIRECT(ADDRESS(ROW(AD158),MOD(AD$1,4)+1)),AD$2)),$E158,"")</f>
        <v/>
      </c>
      <c r="AE158" s="26" t="str" cm="1">
        <f t="array" aca="1" ref="AE158" ca="1">IF(ISNUMBER(SEARCH(INDIRECT(ADDRESS(ROW(AE158),MOD(AE$1,4)+1)),AE$2)),$E158,"")</f>
        <v/>
      </c>
      <c r="AF158" s="26" t="str" cm="1">
        <f t="array" aca="1" ref="AF158" ca="1">IF(ISNUMBER(SEARCH(INDIRECT(ADDRESS(ROW(AF158),MOD(AF$1,4)+1)),AF$2)),$E158,"")</f>
        <v/>
      </c>
      <c r="AG158" s="26" t="str" cm="1">
        <f t="array" aca="1" ref="AG158" ca="1">IF(ISNUMBER(SEARCH(INDIRECT(ADDRESS(ROW(AG158),MOD(AG$1,4)+1)),AG$2)),$E158,"")</f>
        <v/>
      </c>
      <c r="AH158" s="26" t="str" cm="1">
        <f t="array" aca="1" ref="AH158" ca="1">IF(ISNUMBER(SEARCH(INDIRECT(ADDRESS(ROW(AH158),MOD(AH$1,4)+1)),AH$2)),$E158,"")</f>
        <v/>
      </c>
      <c r="AI158" s="26" t="str" cm="1">
        <f t="array" aca="1" ref="AI158" ca="1">IF(ISNUMBER(SEARCH(INDIRECT(ADDRESS(ROW(AI158),MOD(AI$1,4)+1)),AI$2)),$E158,"")</f>
        <v/>
      </c>
      <c r="AJ158" s="26" t="str" cm="1">
        <f t="array" aca="1" ref="AJ158" ca="1">IF(ISNUMBER(SEARCH(INDIRECT(ADDRESS(ROW(AJ158),MOD(AJ$1,4)+1)),AJ$2)),$E158,"")</f>
        <v/>
      </c>
      <c r="AK158" s="26" t="str" cm="1">
        <f t="array" aca="1" ref="AK158" ca="1">IF(ISNUMBER(SEARCH(INDIRECT(ADDRESS(ROW(AK158),MOD(AK$1,4)+1)),AK$2)),$E158,"")</f>
        <v/>
      </c>
      <c r="AL158" s="26" t="str" cm="1">
        <f t="array" aca="1" ref="AL158" ca="1">IF(ISNUMBER(SEARCH(INDIRECT(ADDRESS(ROW(AL158),MOD(AL$1,4)+1)),AL$2)),$E158,"")</f>
        <v/>
      </c>
      <c r="AM158" s="26" t="str" cm="1">
        <f t="array" aca="1" ref="AM158" ca="1">IF(ISNUMBER(SEARCH(INDIRECT(ADDRESS(ROW(AM158),MOD(AM$1,4)+1)),AM$2)),$E158,"")</f>
        <v/>
      </c>
      <c r="AN158" s="26" t="str" cm="1">
        <f t="array" aca="1" ref="AN158" ca="1">IF(ISNUMBER(SEARCH(INDIRECT(ADDRESS(ROW(AN158),MOD(AN$1,4)+1)),AN$2)),$E158,"")</f>
        <v/>
      </c>
      <c r="AO158" s="26" t="str" cm="1">
        <f t="array" aca="1" ref="AO158" ca="1">IF(ISNUMBER(SEARCH(INDIRECT(ADDRESS(ROW(AO158),MOD(AO$1,4)+1)),AO$2)),$E158,"")</f>
        <v/>
      </c>
      <c r="AP158" s="26" t="str" cm="1">
        <f t="array" aca="1" ref="AP158" ca="1">IF(ISNUMBER(SEARCH(INDIRECT(ADDRESS(ROW(AP158),MOD(AP$1,4)+1)),AP$2)),$E158,"")</f>
        <v/>
      </c>
      <c r="AQ158" s="31" t="str" cm="1">
        <f t="array" aca="1" ref="AQ158" ca="1">IF(ISNUMBER(SEARCH(INDIRECT(ADDRESS(ROW(AQ158),MOD(AQ$1,4)+1)),AQ$2)),$E158,"")</f>
        <v/>
      </c>
      <c r="AT158" t="e">
        <f>IF(VLOOKUP($E158,'Formatted NEW'!$B$2:$F$202,5,FALSE)=VLOOKUP($E158,'Formatted NEW'!$B$2:$F$202,8,FALSE),$E158,"")</f>
        <v>#N/A</v>
      </c>
      <c r="AW158" t="e">
        <f>IF(VLOOKUP($E158,'Formatted NEW'!$B$2:$F$202,5,FALSE)=VLOOKUP($E158,'Formatted NEW'!$B$2:$F$202,11,FALSE),$E158,"")</f>
        <v>#N/A</v>
      </c>
      <c r="AZ158" t="e">
        <f>IF(VLOOKUP($E158,'Formatted NEW'!$B$2:$F$202,5,FALSE)=VLOOKUP($E158,'Formatted NEW'!$B$2:$F$202,14,FALSE),$E158,"")</f>
        <v>#N/A</v>
      </c>
      <c r="BC158" t="str">
        <f>VLOOKUP($E158,'Formatted NEW'!$M$2:$T$202,6,FALSE)</f>
        <v>ORTHO_BOTH</v>
      </c>
      <c r="BD158" s="26" t="e">
        <f>VLOOKUP(VLOOKUP(VLOOKUP($E158,'Formatted NEW'!$M$2:$O$202,2,FALSE),'Formatted NEW'!$D$2:$F$202,7,FALSE),'Formatted NEW'!$D$2:$O$202,12,FALSE)</f>
        <v>#REF!</v>
      </c>
      <c r="BE158" t="e">
        <f>VLOOKUP($BD158,'Formatted NEW'!$M$2:$T$202,5,FALSE)</f>
        <v>#REF!</v>
      </c>
      <c r="BF158" s="26" t="e">
        <f t="shared" si="9"/>
        <v>#REF!</v>
      </c>
      <c r="BH158">
        <f>VLOOKUP($E158,'Formatted NEW'!$M$2:$T$202,4,FALSE)</f>
        <v>0</v>
      </c>
      <c r="BI158" s="26" t="e">
        <f>VLOOKUP(VLOOKUP(VLOOKUP($E158,'Formatted NEW'!$M$2:$O$202,2,FALSE),'Formatted NEW'!$D$2:$F$202,10,FALSE),'Formatted NEW'!$D$2:$O$202,12,FALSE)</f>
        <v>#REF!</v>
      </c>
      <c r="BJ158" t="e">
        <f>VLOOKUP($BI158,'Formatted NEW'!$M$2:$T$202,3,FALSE)</f>
        <v>#REF!</v>
      </c>
      <c r="BK158" s="26" t="e">
        <f t="shared" si="10"/>
        <v>#REF!</v>
      </c>
    </row>
    <row r="159" spans="1:63" x14ac:dyDescent="0.25">
      <c r="A159" t="str">
        <f>'Formatted NEW'!Q157</f>
        <v>ORTHO_BOTH</v>
      </c>
      <c r="B159" t="str">
        <f>'Formatted NEW'!R157</f>
        <v>ORTHO_BOTH</v>
      </c>
      <c r="C159" t="str">
        <f>'Formatted NEW'!S157</f>
        <v>ORTHO_BOTH</v>
      </c>
      <c r="D159" t="str">
        <f>'Formatted NEW'!T157</f>
        <v>ORTHO_BOTH</v>
      </c>
      <c r="E159" s="26">
        <f t="shared" si="8"/>
        <v>155</v>
      </c>
      <c r="H159" s="30" t="str" cm="1">
        <f t="array" aca="1" ref="H159" ca="1">IF(ISNUMBER(SEARCH(INDIRECT(ADDRESS(ROW(H159),MOD(H$1,4)+1)),H$2)),$E159,"")</f>
        <v/>
      </c>
      <c r="I159" s="26" t="str" cm="1">
        <f t="array" aca="1" ref="I159" ca="1">IF(ISNUMBER(SEARCH(INDIRECT(ADDRESS(ROW(I159),MOD(I$1,4)+1)),I$2)),$E159,"")</f>
        <v/>
      </c>
      <c r="J159" s="26" t="str" cm="1">
        <f t="array" aca="1" ref="J159" ca="1">IF(ISNUMBER(SEARCH(INDIRECT(ADDRESS(ROW(J159),MOD(J$1,4)+1)),J$2)),$E159,"")</f>
        <v/>
      </c>
      <c r="K159" s="26" t="str" cm="1">
        <f t="array" aca="1" ref="K159" ca="1">IF(ISNUMBER(SEARCH(INDIRECT(ADDRESS(ROW(K159),MOD(K$1,4)+1)),K$2)),$E159,"")</f>
        <v/>
      </c>
      <c r="L159" s="26" t="str" cm="1">
        <f t="array" aca="1" ref="L159" ca="1">IF(ISNUMBER(SEARCH(INDIRECT(ADDRESS(ROW(L159),MOD(L$1,4)+1)),L$2)),$E159,"")</f>
        <v/>
      </c>
      <c r="M159" s="26" t="str" cm="1">
        <f t="array" aca="1" ref="M159" ca="1">IF(ISNUMBER(SEARCH(INDIRECT(ADDRESS(ROW(M159),MOD(M$1,4)+1)),M$2)),$E159,"")</f>
        <v/>
      </c>
      <c r="N159" s="26" t="str" cm="1">
        <f t="array" aca="1" ref="N159" ca="1">IF(ISNUMBER(SEARCH(INDIRECT(ADDRESS(ROW(N159),MOD(N$1,4)+1)),N$2)),$E159,"")</f>
        <v/>
      </c>
      <c r="O159" s="26" t="str" cm="1">
        <f t="array" aca="1" ref="O159" ca="1">IF(ISNUMBER(SEARCH(INDIRECT(ADDRESS(ROW(O159),MOD(O$1,4)+1)),O$2)),$E159,"")</f>
        <v/>
      </c>
      <c r="P159" s="26" cm="1">
        <f t="array" aca="1" ref="P159" ca="1">IF(ISNUMBER(SEARCH(INDIRECT(ADDRESS(ROW(P159),MOD(P$1,4)+1)),P$2)),$E159,"")</f>
        <v>155</v>
      </c>
      <c r="Q159" s="26" cm="1">
        <f t="array" aca="1" ref="Q159" ca="1">IF(ISNUMBER(SEARCH(INDIRECT(ADDRESS(ROW(Q159),MOD(Q$1,4)+1)),Q$2)),$E159,"")</f>
        <v>155</v>
      </c>
      <c r="R159" s="26" cm="1">
        <f t="array" aca="1" ref="R159" ca="1">IF(ISNUMBER(SEARCH(INDIRECT(ADDRESS(ROW(R159),MOD(R$1,4)+1)),R$2)),$E159,"")</f>
        <v>155</v>
      </c>
      <c r="S159" s="26" cm="1">
        <f t="array" aca="1" ref="S159" ca="1">IF(ISNUMBER(SEARCH(INDIRECT(ADDRESS(ROW(S159),MOD(S$1,4)+1)),S$2)),$E159,"")</f>
        <v>155</v>
      </c>
      <c r="T159" s="26" t="str" cm="1">
        <f t="array" aca="1" ref="T159" ca="1">IF(ISNUMBER(SEARCH(INDIRECT(ADDRESS(ROW(T159),MOD(T$1,4)+1)),T$2)),$E159,"")</f>
        <v/>
      </c>
      <c r="U159" s="26" t="str" cm="1">
        <f t="array" aca="1" ref="U159" ca="1">IF(ISNUMBER(SEARCH(INDIRECT(ADDRESS(ROW(U159),MOD(U$1,4)+1)),U$2)),$E159,"")</f>
        <v/>
      </c>
      <c r="V159" s="26" t="str" cm="1">
        <f t="array" aca="1" ref="V159" ca="1">IF(ISNUMBER(SEARCH(INDIRECT(ADDRESS(ROW(V159),MOD(V$1,4)+1)),V$2)),$E159,"")</f>
        <v/>
      </c>
      <c r="W159" s="26" t="str" cm="1">
        <f t="array" aca="1" ref="W159" ca="1">IF(ISNUMBER(SEARCH(INDIRECT(ADDRESS(ROW(W159),MOD(W$1,4)+1)),W$2)),$E159,"")</f>
        <v/>
      </c>
      <c r="X159" s="26" t="str" cm="1">
        <f t="array" aca="1" ref="X159" ca="1">IF(ISNUMBER(SEARCH(INDIRECT(ADDRESS(ROW(X159),MOD(X$1,4)+1)),X$2)),$E159,"")</f>
        <v/>
      </c>
      <c r="Y159" s="26" t="str" cm="1">
        <f t="array" aca="1" ref="Y159" ca="1">IF(ISNUMBER(SEARCH(INDIRECT(ADDRESS(ROW(Y159),MOD(Y$1,4)+1)),Y$2)),$E159,"")</f>
        <v/>
      </c>
      <c r="Z159" s="26" t="str" cm="1">
        <f t="array" aca="1" ref="Z159" ca="1">IF(ISNUMBER(SEARCH(INDIRECT(ADDRESS(ROW(Z159),MOD(Z$1,4)+1)),Z$2)),$E159,"")</f>
        <v/>
      </c>
      <c r="AA159" s="26" t="str" cm="1">
        <f t="array" aca="1" ref="AA159" ca="1">IF(ISNUMBER(SEARCH(INDIRECT(ADDRESS(ROW(AA159),MOD(AA$1,4)+1)),AA$2)),$E159,"")</f>
        <v/>
      </c>
      <c r="AB159" s="26" t="str" cm="1">
        <f t="array" aca="1" ref="AB159" ca="1">IF(ISNUMBER(SEARCH(INDIRECT(ADDRESS(ROW(AB159),MOD(AB$1,4)+1)),AB$2)),$E159,"")</f>
        <v/>
      </c>
      <c r="AC159" s="26" t="str" cm="1">
        <f t="array" aca="1" ref="AC159" ca="1">IF(ISNUMBER(SEARCH(INDIRECT(ADDRESS(ROW(AC159),MOD(AC$1,4)+1)),AC$2)),$E159,"")</f>
        <v/>
      </c>
      <c r="AD159" s="26" t="str" cm="1">
        <f t="array" aca="1" ref="AD159" ca="1">IF(ISNUMBER(SEARCH(INDIRECT(ADDRESS(ROW(AD159),MOD(AD$1,4)+1)),AD$2)),$E159,"")</f>
        <v/>
      </c>
      <c r="AE159" s="26" t="str" cm="1">
        <f t="array" aca="1" ref="AE159" ca="1">IF(ISNUMBER(SEARCH(INDIRECT(ADDRESS(ROW(AE159),MOD(AE$1,4)+1)),AE$2)),$E159,"")</f>
        <v/>
      </c>
      <c r="AF159" s="26" t="str" cm="1">
        <f t="array" aca="1" ref="AF159" ca="1">IF(ISNUMBER(SEARCH(INDIRECT(ADDRESS(ROW(AF159),MOD(AF$1,4)+1)),AF$2)),$E159,"")</f>
        <v/>
      </c>
      <c r="AG159" s="26" t="str" cm="1">
        <f t="array" aca="1" ref="AG159" ca="1">IF(ISNUMBER(SEARCH(INDIRECT(ADDRESS(ROW(AG159),MOD(AG$1,4)+1)),AG$2)),$E159,"")</f>
        <v/>
      </c>
      <c r="AH159" s="26" t="str" cm="1">
        <f t="array" aca="1" ref="AH159" ca="1">IF(ISNUMBER(SEARCH(INDIRECT(ADDRESS(ROW(AH159),MOD(AH$1,4)+1)),AH$2)),$E159,"")</f>
        <v/>
      </c>
      <c r="AI159" s="26" t="str" cm="1">
        <f t="array" aca="1" ref="AI159" ca="1">IF(ISNUMBER(SEARCH(INDIRECT(ADDRESS(ROW(AI159),MOD(AI$1,4)+1)),AI$2)),$E159,"")</f>
        <v/>
      </c>
      <c r="AJ159" s="26" t="str" cm="1">
        <f t="array" aca="1" ref="AJ159" ca="1">IF(ISNUMBER(SEARCH(INDIRECT(ADDRESS(ROW(AJ159),MOD(AJ$1,4)+1)),AJ$2)),$E159,"")</f>
        <v/>
      </c>
      <c r="AK159" s="26" t="str" cm="1">
        <f t="array" aca="1" ref="AK159" ca="1">IF(ISNUMBER(SEARCH(INDIRECT(ADDRESS(ROW(AK159),MOD(AK$1,4)+1)),AK$2)),$E159,"")</f>
        <v/>
      </c>
      <c r="AL159" s="26" t="str" cm="1">
        <f t="array" aca="1" ref="AL159" ca="1">IF(ISNUMBER(SEARCH(INDIRECT(ADDRESS(ROW(AL159),MOD(AL$1,4)+1)),AL$2)),$E159,"")</f>
        <v/>
      </c>
      <c r="AM159" s="26" t="str" cm="1">
        <f t="array" aca="1" ref="AM159" ca="1">IF(ISNUMBER(SEARCH(INDIRECT(ADDRESS(ROW(AM159),MOD(AM$1,4)+1)),AM$2)),$E159,"")</f>
        <v/>
      </c>
      <c r="AN159" s="26" t="str" cm="1">
        <f t="array" aca="1" ref="AN159" ca="1">IF(ISNUMBER(SEARCH(INDIRECT(ADDRESS(ROW(AN159),MOD(AN$1,4)+1)),AN$2)),$E159,"")</f>
        <v/>
      </c>
      <c r="AO159" s="26" t="str" cm="1">
        <f t="array" aca="1" ref="AO159" ca="1">IF(ISNUMBER(SEARCH(INDIRECT(ADDRESS(ROW(AO159),MOD(AO$1,4)+1)),AO$2)),$E159,"")</f>
        <v/>
      </c>
      <c r="AP159" s="26" t="str" cm="1">
        <f t="array" aca="1" ref="AP159" ca="1">IF(ISNUMBER(SEARCH(INDIRECT(ADDRESS(ROW(AP159),MOD(AP$1,4)+1)),AP$2)),$E159,"")</f>
        <v/>
      </c>
      <c r="AQ159" s="31" t="str" cm="1">
        <f t="array" aca="1" ref="AQ159" ca="1">IF(ISNUMBER(SEARCH(INDIRECT(ADDRESS(ROW(AQ159),MOD(AQ$1,4)+1)),AQ$2)),$E159,"")</f>
        <v/>
      </c>
      <c r="AT159" t="e">
        <f>IF(VLOOKUP($E159,'Formatted NEW'!$B$2:$F$202,5,FALSE)=VLOOKUP($E159,'Formatted NEW'!$B$2:$F$202,8,FALSE),$E159,"")</f>
        <v>#N/A</v>
      </c>
      <c r="AW159" t="e">
        <f>IF(VLOOKUP($E159,'Formatted NEW'!$B$2:$F$202,5,FALSE)=VLOOKUP($E159,'Formatted NEW'!$B$2:$F$202,11,FALSE),$E159,"")</f>
        <v>#N/A</v>
      </c>
      <c r="AZ159" t="e">
        <f>IF(VLOOKUP($E159,'Formatted NEW'!$B$2:$F$202,5,FALSE)=VLOOKUP($E159,'Formatted NEW'!$B$2:$F$202,14,FALSE),$E159,"")</f>
        <v>#N/A</v>
      </c>
      <c r="BC159" t="str">
        <f>VLOOKUP($E159,'Formatted NEW'!$M$2:$T$202,6,FALSE)</f>
        <v>ORTHO_BOTH</v>
      </c>
      <c r="BD159" s="26" t="e">
        <f>VLOOKUP(VLOOKUP(VLOOKUP($E159,'Formatted NEW'!$M$2:$O$202,2,FALSE),'Formatted NEW'!$D$2:$F$202,7,FALSE),'Formatted NEW'!$D$2:$O$202,12,FALSE)</f>
        <v>#REF!</v>
      </c>
      <c r="BE159" t="e">
        <f>VLOOKUP($BD159,'Formatted NEW'!$M$2:$T$202,5,FALSE)</f>
        <v>#REF!</v>
      </c>
      <c r="BF159" s="26" t="e">
        <f t="shared" si="9"/>
        <v>#REF!</v>
      </c>
      <c r="BH159">
        <f>VLOOKUP($E159,'Formatted NEW'!$M$2:$T$202,4,FALSE)</f>
        <v>0</v>
      </c>
      <c r="BI159" s="26" t="e">
        <f>VLOOKUP(VLOOKUP(VLOOKUP($E159,'Formatted NEW'!$M$2:$O$202,2,FALSE),'Formatted NEW'!$D$2:$F$202,10,FALSE),'Formatted NEW'!$D$2:$O$202,12,FALSE)</f>
        <v>#REF!</v>
      </c>
      <c r="BJ159" t="e">
        <f>VLOOKUP($BI159,'Formatted NEW'!$M$2:$T$202,3,FALSE)</f>
        <v>#REF!</v>
      </c>
      <c r="BK159" s="26" t="e">
        <f t="shared" si="10"/>
        <v>#REF!</v>
      </c>
    </row>
    <row r="160" spans="1:63" x14ac:dyDescent="0.25">
      <c r="A160" t="str">
        <f>'Formatted NEW'!Q158</f>
        <v>ORTHO_RIGHT</v>
      </c>
      <c r="B160" t="str">
        <f>'Formatted NEW'!R158</f>
        <v>ORTHO_BOTH</v>
      </c>
      <c r="C160" t="str">
        <f>'Formatted NEW'!S158</f>
        <v>ORTHO_DOWN</v>
      </c>
      <c r="D160" t="str">
        <f>'Formatted NEW'!T158</f>
        <v>ORTHO_BOTH</v>
      </c>
      <c r="E160" s="26">
        <f t="shared" si="8"/>
        <v>156</v>
      </c>
      <c r="H160" s="30" t="str" cm="1">
        <f t="array" aca="1" ref="H160" ca="1">IF(ISNUMBER(SEARCH(INDIRECT(ADDRESS(ROW(H160),MOD(H$1,4)+1)),H$2)),$E160,"")</f>
        <v/>
      </c>
      <c r="I160" s="26" t="str" cm="1">
        <f t="array" aca="1" ref="I160" ca="1">IF(ISNUMBER(SEARCH(INDIRECT(ADDRESS(ROW(I160),MOD(I$1,4)+1)),I$2)),$E160,"")</f>
        <v/>
      </c>
      <c r="J160" s="26" t="str" cm="1">
        <f t="array" aca="1" ref="J160" ca="1">IF(ISNUMBER(SEARCH(INDIRECT(ADDRESS(ROW(J160),MOD(J$1,4)+1)),J$2)),$E160,"")</f>
        <v/>
      </c>
      <c r="K160" s="26" t="str" cm="1">
        <f t="array" aca="1" ref="K160" ca="1">IF(ISNUMBER(SEARCH(INDIRECT(ADDRESS(ROW(K160),MOD(K$1,4)+1)),K$2)),$E160,"")</f>
        <v/>
      </c>
      <c r="L160" s="26" t="str" cm="1">
        <f t="array" aca="1" ref="L160" ca="1">IF(ISNUMBER(SEARCH(INDIRECT(ADDRESS(ROW(L160),MOD(L$1,4)+1)),L$2)),$E160,"")</f>
        <v/>
      </c>
      <c r="M160" s="26" t="str" cm="1">
        <f t="array" aca="1" ref="M160" ca="1">IF(ISNUMBER(SEARCH(INDIRECT(ADDRESS(ROW(M160),MOD(M$1,4)+1)),M$2)),$E160,"")</f>
        <v/>
      </c>
      <c r="N160" s="26" t="str" cm="1">
        <f t="array" aca="1" ref="N160" ca="1">IF(ISNUMBER(SEARCH(INDIRECT(ADDRESS(ROW(N160),MOD(N$1,4)+1)),N$2)),$E160,"")</f>
        <v/>
      </c>
      <c r="O160" s="26" t="str" cm="1">
        <f t="array" aca="1" ref="O160" ca="1">IF(ISNUMBER(SEARCH(INDIRECT(ADDRESS(ROW(O160),MOD(O$1,4)+1)),O$2)),$E160,"")</f>
        <v/>
      </c>
      <c r="P160" s="26" t="str" cm="1">
        <f t="array" aca="1" ref="P160" ca="1">IF(ISNUMBER(SEARCH(INDIRECT(ADDRESS(ROW(P160),MOD(P$1,4)+1)),P$2)),$E160,"")</f>
        <v/>
      </c>
      <c r="Q160" s="26" cm="1">
        <f t="array" aca="1" ref="Q160" ca="1">IF(ISNUMBER(SEARCH(INDIRECT(ADDRESS(ROW(Q160),MOD(Q$1,4)+1)),Q$2)),$E160,"")</f>
        <v>156</v>
      </c>
      <c r="R160" s="26" t="str" cm="1">
        <f t="array" aca="1" ref="R160" ca="1">IF(ISNUMBER(SEARCH(INDIRECT(ADDRESS(ROW(R160),MOD(R$1,4)+1)),R$2)),$E160,"")</f>
        <v/>
      </c>
      <c r="S160" s="26" cm="1">
        <f t="array" aca="1" ref="S160" ca="1">IF(ISNUMBER(SEARCH(INDIRECT(ADDRESS(ROW(S160),MOD(S$1,4)+1)),S$2)),$E160,"")</f>
        <v>156</v>
      </c>
      <c r="T160" s="26" t="str" cm="1">
        <f t="array" aca="1" ref="T160" ca="1">IF(ISNUMBER(SEARCH(INDIRECT(ADDRESS(ROW(T160),MOD(T$1,4)+1)),T$2)),$E160,"")</f>
        <v/>
      </c>
      <c r="U160" s="26" t="str" cm="1">
        <f t="array" aca="1" ref="U160" ca="1">IF(ISNUMBER(SEARCH(INDIRECT(ADDRESS(ROW(U160),MOD(U$1,4)+1)),U$2)),$E160,"")</f>
        <v/>
      </c>
      <c r="V160" s="26" t="str" cm="1">
        <f t="array" aca="1" ref="V160" ca="1">IF(ISNUMBER(SEARCH(INDIRECT(ADDRESS(ROW(V160),MOD(V$1,4)+1)),V$2)),$E160,"")</f>
        <v/>
      </c>
      <c r="W160" s="26" t="str" cm="1">
        <f t="array" aca="1" ref="W160" ca="1">IF(ISNUMBER(SEARCH(INDIRECT(ADDRESS(ROW(W160),MOD(W$1,4)+1)),W$2)),$E160,"")</f>
        <v/>
      </c>
      <c r="X160" s="26" t="str" cm="1">
        <f t="array" aca="1" ref="X160" ca="1">IF(ISNUMBER(SEARCH(INDIRECT(ADDRESS(ROW(X160),MOD(X$1,4)+1)),X$2)),$E160,"")</f>
        <v/>
      </c>
      <c r="Y160" s="26" t="str" cm="1">
        <f t="array" aca="1" ref="Y160" ca="1">IF(ISNUMBER(SEARCH(INDIRECT(ADDRESS(ROW(Y160),MOD(Y$1,4)+1)),Y$2)),$E160,"")</f>
        <v/>
      </c>
      <c r="Z160" s="26" t="str" cm="1">
        <f t="array" aca="1" ref="Z160" ca="1">IF(ISNUMBER(SEARCH(INDIRECT(ADDRESS(ROW(Z160),MOD(Z$1,4)+1)),Z$2)),$E160,"")</f>
        <v/>
      </c>
      <c r="AA160" s="26" t="str" cm="1">
        <f t="array" aca="1" ref="AA160" ca="1">IF(ISNUMBER(SEARCH(INDIRECT(ADDRESS(ROW(AA160),MOD(AA$1,4)+1)),AA$2)),$E160,"")</f>
        <v/>
      </c>
      <c r="AB160" s="26" t="str" cm="1">
        <f t="array" aca="1" ref="AB160" ca="1">IF(ISNUMBER(SEARCH(INDIRECT(ADDRESS(ROW(AB160),MOD(AB$1,4)+1)),AB$2)),$E160,"")</f>
        <v/>
      </c>
      <c r="AC160" s="26" t="str" cm="1">
        <f t="array" aca="1" ref="AC160" ca="1">IF(ISNUMBER(SEARCH(INDIRECT(ADDRESS(ROW(AC160),MOD(AC$1,4)+1)),AC$2)),$E160,"")</f>
        <v/>
      </c>
      <c r="AD160" s="26" t="str" cm="1">
        <f t="array" aca="1" ref="AD160" ca="1">IF(ISNUMBER(SEARCH(INDIRECT(ADDRESS(ROW(AD160),MOD(AD$1,4)+1)),AD$2)),$E160,"")</f>
        <v/>
      </c>
      <c r="AE160" s="26" t="str" cm="1">
        <f t="array" aca="1" ref="AE160" ca="1">IF(ISNUMBER(SEARCH(INDIRECT(ADDRESS(ROW(AE160),MOD(AE$1,4)+1)),AE$2)),$E160,"")</f>
        <v/>
      </c>
      <c r="AF160" s="26" t="str" cm="1">
        <f t="array" aca="1" ref="AF160" ca="1">IF(ISNUMBER(SEARCH(INDIRECT(ADDRESS(ROW(AF160),MOD(AF$1,4)+1)),AF$2)),$E160,"")</f>
        <v/>
      </c>
      <c r="AG160" s="26" t="str" cm="1">
        <f t="array" aca="1" ref="AG160" ca="1">IF(ISNUMBER(SEARCH(INDIRECT(ADDRESS(ROW(AG160),MOD(AG$1,4)+1)),AG$2)),$E160,"")</f>
        <v/>
      </c>
      <c r="AH160" s="26" t="str" cm="1">
        <f t="array" aca="1" ref="AH160" ca="1">IF(ISNUMBER(SEARCH(INDIRECT(ADDRESS(ROW(AH160),MOD(AH$1,4)+1)),AH$2)),$E160,"")</f>
        <v/>
      </c>
      <c r="AI160" s="26" t="str" cm="1">
        <f t="array" aca="1" ref="AI160" ca="1">IF(ISNUMBER(SEARCH(INDIRECT(ADDRESS(ROW(AI160),MOD(AI$1,4)+1)),AI$2)),$E160,"")</f>
        <v/>
      </c>
      <c r="AJ160" s="26" t="str" cm="1">
        <f t="array" aca="1" ref="AJ160" ca="1">IF(ISNUMBER(SEARCH(INDIRECT(ADDRESS(ROW(AJ160),MOD(AJ$1,4)+1)),AJ$2)),$E160,"")</f>
        <v/>
      </c>
      <c r="AK160" s="26" t="str" cm="1">
        <f t="array" aca="1" ref="AK160" ca="1">IF(ISNUMBER(SEARCH(INDIRECT(ADDRESS(ROW(AK160),MOD(AK$1,4)+1)),AK$2)),$E160,"")</f>
        <v/>
      </c>
      <c r="AL160" s="26" t="str" cm="1">
        <f t="array" aca="1" ref="AL160" ca="1">IF(ISNUMBER(SEARCH(INDIRECT(ADDRESS(ROW(AL160),MOD(AL$1,4)+1)),AL$2)),$E160,"")</f>
        <v/>
      </c>
      <c r="AM160" s="26" t="str" cm="1">
        <f t="array" aca="1" ref="AM160" ca="1">IF(ISNUMBER(SEARCH(INDIRECT(ADDRESS(ROW(AM160),MOD(AM$1,4)+1)),AM$2)),$E160,"")</f>
        <v/>
      </c>
      <c r="AN160" s="26" cm="1">
        <f t="array" aca="1" ref="AN160" ca="1">IF(ISNUMBER(SEARCH(INDIRECT(ADDRESS(ROW(AN160),MOD(AN$1,4)+1)),AN$2)),$E160,"")</f>
        <v>156</v>
      </c>
      <c r="AO160" s="26" t="str" cm="1">
        <f t="array" aca="1" ref="AO160" ca="1">IF(ISNUMBER(SEARCH(INDIRECT(ADDRESS(ROW(AO160),MOD(AO$1,4)+1)),AO$2)),$E160,"")</f>
        <v/>
      </c>
      <c r="AP160" s="26" t="str" cm="1">
        <f t="array" aca="1" ref="AP160" ca="1">IF(ISNUMBER(SEARCH(INDIRECT(ADDRESS(ROW(AP160),MOD(AP$1,4)+1)),AP$2)),$E160,"")</f>
        <v/>
      </c>
      <c r="AQ160" s="31" t="str" cm="1">
        <f t="array" aca="1" ref="AQ160" ca="1">IF(ISNUMBER(SEARCH(INDIRECT(ADDRESS(ROW(AQ160),MOD(AQ$1,4)+1)),AQ$2)),$E160,"")</f>
        <v/>
      </c>
      <c r="AT160" t="e">
        <f>IF(VLOOKUP($E160,'Formatted NEW'!$B$2:$F$202,5,FALSE)=VLOOKUP($E160,'Formatted NEW'!$B$2:$F$202,8,FALSE),$E160,"")</f>
        <v>#N/A</v>
      </c>
      <c r="AW160" t="e">
        <f>IF(VLOOKUP($E160,'Formatted NEW'!$B$2:$F$202,5,FALSE)=VLOOKUP($E160,'Formatted NEW'!$B$2:$F$202,11,FALSE),$E160,"")</f>
        <v>#N/A</v>
      </c>
      <c r="AZ160" t="e">
        <f>IF(VLOOKUP($E160,'Formatted NEW'!$B$2:$F$202,5,FALSE)=VLOOKUP($E160,'Formatted NEW'!$B$2:$F$202,14,FALSE),$E160,"")</f>
        <v>#N/A</v>
      </c>
      <c r="BC160" t="str">
        <f>VLOOKUP($E160,'Formatted NEW'!$M$2:$T$202,6,FALSE)</f>
        <v>ORTHO_BOTH</v>
      </c>
      <c r="BD160" s="26" t="e">
        <f>VLOOKUP(VLOOKUP(VLOOKUP($E160,'Formatted NEW'!$M$2:$O$202,2,FALSE),'Formatted NEW'!$D$2:$F$202,7,FALSE),'Formatted NEW'!$D$2:$O$202,12,FALSE)</f>
        <v>#REF!</v>
      </c>
      <c r="BE160" t="e">
        <f>VLOOKUP($BD160,'Formatted NEW'!$M$2:$T$202,5,FALSE)</f>
        <v>#REF!</v>
      </c>
      <c r="BF160" s="26" t="e">
        <f t="shared" si="9"/>
        <v>#REF!</v>
      </c>
      <c r="BH160">
        <f>VLOOKUP($E160,'Formatted NEW'!$M$2:$T$202,4,FALSE)</f>
        <v>0</v>
      </c>
      <c r="BI160" s="26" t="e">
        <f>VLOOKUP(VLOOKUP(VLOOKUP($E160,'Formatted NEW'!$M$2:$O$202,2,FALSE),'Formatted NEW'!$D$2:$F$202,10,FALSE),'Formatted NEW'!$D$2:$O$202,12,FALSE)</f>
        <v>#REF!</v>
      </c>
      <c r="BJ160" t="e">
        <f>VLOOKUP($BI160,'Formatted NEW'!$M$2:$T$202,3,FALSE)</f>
        <v>#REF!</v>
      </c>
      <c r="BK160" s="26" t="e">
        <f t="shared" si="10"/>
        <v>#REF!</v>
      </c>
    </row>
    <row r="161" spans="1:63" x14ac:dyDescent="0.25">
      <c r="A161" t="str">
        <f>'Formatted NEW'!Q159</f>
        <v>ORTHO_LEFT</v>
      </c>
      <c r="B161" t="str">
        <f>'Formatted NEW'!R159</f>
        <v>ORTHO_BOTH</v>
      </c>
      <c r="C161" t="str">
        <f>'Formatted NEW'!S159</f>
        <v>ORTHO_BOTH</v>
      </c>
      <c r="D161" t="str">
        <f>'Formatted NEW'!T159</f>
        <v>ORTHO_DOWN</v>
      </c>
      <c r="E161" s="26">
        <f t="shared" si="8"/>
        <v>157</v>
      </c>
      <c r="H161" s="30" t="str" cm="1">
        <f t="array" aca="1" ref="H161" ca="1">IF(ISNUMBER(SEARCH(INDIRECT(ADDRESS(ROW(H161),MOD(H$1,4)+1)),H$2)),$E161,"")</f>
        <v/>
      </c>
      <c r="I161" s="26" t="str" cm="1">
        <f t="array" aca="1" ref="I161" ca="1">IF(ISNUMBER(SEARCH(INDIRECT(ADDRESS(ROW(I161),MOD(I$1,4)+1)),I$2)),$E161,"")</f>
        <v/>
      </c>
      <c r="J161" s="26" t="str" cm="1">
        <f t="array" aca="1" ref="J161" ca="1">IF(ISNUMBER(SEARCH(INDIRECT(ADDRESS(ROW(J161),MOD(J$1,4)+1)),J$2)),$E161,"")</f>
        <v/>
      </c>
      <c r="K161" s="26" t="str" cm="1">
        <f t="array" aca="1" ref="K161" ca="1">IF(ISNUMBER(SEARCH(INDIRECT(ADDRESS(ROW(K161),MOD(K$1,4)+1)),K$2)),$E161,"")</f>
        <v/>
      </c>
      <c r="L161" s="26" t="str" cm="1">
        <f t="array" aca="1" ref="L161" ca="1">IF(ISNUMBER(SEARCH(INDIRECT(ADDRESS(ROW(L161),MOD(L$1,4)+1)),L$2)),$E161,"")</f>
        <v/>
      </c>
      <c r="M161" s="26" t="str" cm="1">
        <f t="array" aca="1" ref="M161" ca="1">IF(ISNUMBER(SEARCH(INDIRECT(ADDRESS(ROW(M161),MOD(M$1,4)+1)),M$2)),$E161,"")</f>
        <v/>
      </c>
      <c r="N161" s="26" t="str" cm="1">
        <f t="array" aca="1" ref="N161" ca="1">IF(ISNUMBER(SEARCH(INDIRECT(ADDRESS(ROW(N161),MOD(N$1,4)+1)),N$2)),$E161,"")</f>
        <v/>
      </c>
      <c r="O161" s="26" t="str" cm="1">
        <f t="array" aca="1" ref="O161" ca="1">IF(ISNUMBER(SEARCH(INDIRECT(ADDRESS(ROW(O161),MOD(O$1,4)+1)),O$2)),$E161,"")</f>
        <v/>
      </c>
      <c r="P161" s="26" t="str" cm="1">
        <f t="array" aca="1" ref="P161" ca="1">IF(ISNUMBER(SEARCH(INDIRECT(ADDRESS(ROW(P161),MOD(P$1,4)+1)),P$2)),$E161,"")</f>
        <v/>
      </c>
      <c r="Q161" s="26" cm="1">
        <f t="array" aca="1" ref="Q161" ca="1">IF(ISNUMBER(SEARCH(INDIRECT(ADDRESS(ROW(Q161),MOD(Q$1,4)+1)),Q$2)),$E161,"")</f>
        <v>157</v>
      </c>
      <c r="R161" s="26" cm="1">
        <f t="array" aca="1" ref="R161" ca="1">IF(ISNUMBER(SEARCH(INDIRECT(ADDRESS(ROW(R161),MOD(R$1,4)+1)),R$2)),$E161,"")</f>
        <v>157</v>
      </c>
      <c r="S161" s="26" t="str" cm="1">
        <f t="array" aca="1" ref="S161" ca="1">IF(ISNUMBER(SEARCH(INDIRECT(ADDRESS(ROW(S161),MOD(S$1,4)+1)),S$2)),$E161,"")</f>
        <v/>
      </c>
      <c r="T161" s="26" t="str" cm="1">
        <f t="array" aca="1" ref="T161" ca="1">IF(ISNUMBER(SEARCH(INDIRECT(ADDRESS(ROW(T161),MOD(T$1,4)+1)),T$2)),$E161,"")</f>
        <v/>
      </c>
      <c r="U161" s="26" t="str" cm="1">
        <f t="array" aca="1" ref="U161" ca="1">IF(ISNUMBER(SEARCH(INDIRECT(ADDRESS(ROW(U161),MOD(U$1,4)+1)),U$2)),$E161,"")</f>
        <v/>
      </c>
      <c r="V161" s="26" t="str" cm="1">
        <f t="array" aca="1" ref="V161" ca="1">IF(ISNUMBER(SEARCH(INDIRECT(ADDRESS(ROW(V161),MOD(V$1,4)+1)),V$2)),$E161,"")</f>
        <v/>
      </c>
      <c r="W161" s="26" t="str" cm="1">
        <f t="array" aca="1" ref="W161" ca="1">IF(ISNUMBER(SEARCH(INDIRECT(ADDRESS(ROW(W161),MOD(W$1,4)+1)),W$2)),$E161,"")</f>
        <v/>
      </c>
      <c r="X161" s="26" t="str" cm="1">
        <f t="array" aca="1" ref="X161" ca="1">IF(ISNUMBER(SEARCH(INDIRECT(ADDRESS(ROW(X161),MOD(X$1,4)+1)),X$2)),$E161,"")</f>
        <v/>
      </c>
      <c r="Y161" s="26" t="str" cm="1">
        <f t="array" aca="1" ref="Y161" ca="1">IF(ISNUMBER(SEARCH(INDIRECT(ADDRESS(ROW(Y161),MOD(Y$1,4)+1)),Y$2)),$E161,"")</f>
        <v/>
      </c>
      <c r="Z161" s="26" t="str" cm="1">
        <f t="array" aca="1" ref="Z161" ca="1">IF(ISNUMBER(SEARCH(INDIRECT(ADDRESS(ROW(Z161),MOD(Z$1,4)+1)),Z$2)),$E161,"")</f>
        <v/>
      </c>
      <c r="AA161" s="26" t="str" cm="1">
        <f t="array" aca="1" ref="AA161" ca="1">IF(ISNUMBER(SEARCH(INDIRECT(ADDRESS(ROW(AA161),MOD(AA$1,4)+1)),AA$2)),$E161,"")</f>
        <v/>
      </c>
      <c r="AB161" s="26" t="str" cm="1">
        <f t="array" aca="1" ref="AB161" ca="1">IF(ISNUMBER(SEARCH(INDIRECT(ADDRESS(ROW(AB161),MOD(AB$1,4)+1)),AB$2)),$E161,"")</f>
        <v/>
      </c>
      <c r="AC161" s="26" t="str" cm="1">
        <f t="array" aca="1" ref="AC161" ca="1">IF(ISNUMBER(SEARCH(INDIRECT(ADDRESS(ROW(AC161),MOD(AC$1,4)+1)),AC$2)),$E161,"")</f>
        <v/>
      </c>
      <c r="AD161" s="26" t="str" cm="1">
        <f t="array" aca="1" ref="AD161" ca="1">IF(ISNUMBER(SEARCH(INDIRECT(ADDRESS(ROW(AD161),MOD(AD$1,4)+1)),AD$2)),$E161,"")</f>
        <v/>
      </c>
      <c r="AE161" s="26" t="str" cm="1">
        <f t="array" aca="1" ref="AE161" ca="1">IF(ISNUMBER(SEARCH(INDIRECT(ADDRESS(ROW(AE161),MOD(AE$1,4)+1)),AE$2)),$E161,"")</f>
        <v/>
      </c>
      <c r="AF161" s="26" t="str" cm="1">
        <f t="array" aca="1" ref="AF161" ca="1">IF(ISNUMBER(SEARCH(INDIRECT(ADDRESS(ROW(AF161),MOD(AF$1,4)+1)),AF$2)),$E161,"")</f>
        <v/>
      </c>
      <c r="AG161" s="26" t="str" cm="1">
        <f t="array" aca="1" ref="AG161" ca="1">IF(ISNUMBER(SEARCH(INDIRECT(ADDRESS(ROW(AG161),MOD(AG$1,4)+1)),AG$2)),$E161,"")</f>
        <v/>
      </c>
      <c r="AH161" s="26" t="str" cm="1">
        <f t="array" aca="1" ref="AH161" ca="1">IF(ISNUMBER(SEARCH(INDIRECT(ADDRESS(ROW(AH161),MOD(AH$1,4)+1)),AH$2)),$E161,"")</f>
        <v/>
      </c>
      <c r="AI161" s="26" t="str" cm="1">
        <f t="array" aca="1" ref="AI161" ca="1">IF(ISNUMBER(SEARCH(INDIRECT(ADDRESS(ROW(AI161),MOD(AI$1,4)+1)),AI$2)),$E161,"")</f>
        <v/>
      </c>
      <c r="AJ161" s="26" cm="1">
        <f t="array" aca="1" ref="AJ161" ca="1">IF(ISNUMBER(SEARCH(INDIRECT(ADDRESS(ROW(AJ161),MOD(AJ$1,4)+1)),AJ$2)),$E161,"")</f>
        <v>157</v>
      </c>
      <c r="AK161" s="26" t="str" cm="1">
        <f t="array" aca="1" ref="AK161" ca="1">IF(ISNUMBER(SEARCH(INDIRECT(ADDRESS(ROW(AK161),MOD(AK$1,4)+1)),AK$2)),$E161,"")</f>
        <v/>
      </c>
      <c r="AL161" s="26" t="str" cm="1">
        <f t="array" aca="1" ref="AL161" ca="1">IF(ISNUMBER(SEARCH(INDIRECT(ADDRESS(ROW(AL161),MOD(AL$1,4)+1)),AL$2)),$E161,"")</f>
        <v/>
      </c>
      <c r="AM161" s="26" t="str" cm="1">
        <f t="array" aca="1" ref="AM161" ca="1">IF(ISNUMBER(SEARCH(INDIRECT(ADDRESS(ROW(AM161),MOD(AM$1,4)+1)),AM$2)),$E161,"")</f>
        <v/>
      </c>
      <c r="AN161" s="26" t="str" cm="1">
        <f t="array" aca="1" ref="AN161" ca="1">IF(ISNUMBER(SEARCH(INDIRECT(ADDRESS(ROW(AN161),MOD(AN$1,4)+1)),AN$2)),$E161,"")</f>
        <v/>
      </c>
      <c r="AO161" s="26" t="str" cm="1">
        <f t="array" aca="1" ref="AO161" ca="1">IF(ISNUMBER(SEARCH(INDIRECT(ADDRESS(ROW(AO161),MOD(AO$1,4)+1)),AO$2)),$E161,"")</f>
        <v/>
      </c>
      <c r="AP161" s="26" t="str" cm="1">
        <f t="array" aca="1" ref="AP161" ca="1">IF(ISNUMBER(SEARCH(INDIRECT(ADDRESS(ROW(AP161),MOD(AP$1,4)+1)),AP$2)),$E161,"")</f>
        <v/>
      </c>
      <c r="AQ161" s="31" t="str" cm="1">
        <f t="array" aca="1" ref="AQ161" ca="1">IF(ISNUMBER(SEARCH(INDIRECT(ADDRESS(ROW(AQ161),MOD(AQ$1,4)+1)),AQ$2)),$E161,"")</f>
        <v/>
      </c>
      <c r="AT161" t="e">
        <f>IF(VLOOKUP($E161,'Formatted NEW'!$B$2:$F$202,5,FALSE)=VLOOKUP($E161,'Formatted NEW'!$B$2:$F$202,8,FALSE),$E161,"")</f>
        <v>#N/A</v>
      </c>
      <c r="AW161" t="e">
        <f>IF(VLOOKUP($E161,'Formatted NEW'!$B$2:$F$202,5,FALSE)=VLOOKUP($E161,'Formatted NEW'!$B$2:$F$202,11,FALSE),$E161,"")</f>
        <v>#N/A</v>
      </c>
      <c r="AZ161" t="e">
        <f>IF(VLOOKUP($E161,'Formatted NEW'!$B$2:$F$202,5,FALSE)=VLOOKUP($E161,'Formatted NEW'!$B$2:$F$202,14,FALSE),$E161,"")</f>
        <v>#N/A</v>
      </c>
      <c r="BC161" t="str">
        <f>VLOOKUP($E161,'Formatted NEW'!$M$2:$T$202,6,FALSE)</f>
        <v>ORTHO_BOTH</v>
      </c>
      <c r="BD161" s="26" t="e">
        <f>VLOOKUP(VLOOKUP(VLOOKUP($E161,'Formatted NEW'!$M$2:$O$202,2,FALSE),'Formatted NEW'!$D$2:$F$202,7,FALSE),'Formatted NEW'!$D$2:$O$202,12,FALSE)</f>
        <v>#REF!</v>
      </c>
      <c r="BE161" t="e">
        <f>VLOOKUP($BD161,'Formatted NEW'!$M$2:$T$202,5,FALSE)</f>
        <v>#REF!</v>
      </c>
      <c r="BF161" s="26" t="e">
        <f t="shared" si="9"/>
        <v>#REF!</v>
      </c>
      <c r="BH161">
        <f>VLOOKUP($E161,'Formatted NEW'!$M$2:$T$202,4,FALSE)</f>
        <v>0</v>
      </c>
      <c r="BI161" s="26" t="e">
        <f>VLOOKUP(VLOOKUP(VLOOKUP($E161,'Formatted NEW'!$M$2:$O$202,2,FALSE),'Formatted NEW'!$D$2:$F$202,10,FALSE),'Formatted NEW'!$D$2:$O$202,12,FALSE)</f>
        <v>#REF!</v>
      </c>
      <c r="BJ161" t="e">
        <f>VLOOKUP($BI161,'Formatted NEW'!$M$2:$T$202,3,FALSE)</f>
        <v>#REF!</v>
      </c>
      <c r="BK161" s="26" t="e">
        <f t="shared" si="10"/>
        <v>#REF!</v>
      </c>
    </row>
    <row r="162" spans="1:63" x14ac:dyDescent="0.25">
      <c r="A162" t="str">
        <f>'Formatted NEW'!Q160</f>
        <v>ORTHO_BOTH</v>
      </c>
      <c r="B162" t="str">
        <f>'Formatted NEW'!R160</f>
        <v>ORTHO_LEFT</v>
      </c>
      <c r="C162" t="str">
        <f>'Formatted NEW'!S160</f>
        <v>ORTHO_BOTH</v>
      </c>
      <c r="D162" t="str">
        <f>'Formatted NEW'!T160</f>
        <v>ORTHO_UP</v>
      </c>
      <c r="E162" s="26">
        <f t="shared" si="8"/>
        <v>158</v>
      </c>
      <c r="H162" s="30" t="str" cm="1">
        <f t="array" aca="1" ref="H162" ca="1">IF(ISNUMBER(SEARCH(INDIRECT(ADDRESS(ROW(H162),MOD(H$1,4)+1)),H$2)),$E162,"")</f>
        <v/>
      </c>
      <c r="I162" s="26" t="str" cm="1">
        <f t="array" aca="1" ref="I162" ca="1">IF(ISNUMBER(SEARCH(INDIRECT(ADDRESS(ROW(I162),MOD(I$1,4)+1)),I$2)),$E162,"")</f>
        <v/>
      </c>
      <c r="J162" s="26" t="str" cm="1">
        <f t="array" aca="1" ref="J162" ca="1">IF(ISNUMBER(SEARCH(INDIRECT(ADDRESS(ROW(J162),MOD(J$1,4)+1)),J$2)),$E162,"")</f>
        <v/>
      </c>
      <c r="K162" s="26" t="str" cm="1">
        <f t="array" aca="1" ref="K162" ca="1">IF(ISNUMBER(SEARCH(INDIRECT(ADDRESS(ROW(K162),MOD(K$1,4)+1)),K$2)),$E162,"")</f>
        <v/>
      </c>
      <c r="L162" s="26" t="str" cm="1">
        <f t="array" aca="1" ref="L162" ca="1">IF(ISNUMBER(SEARCH(INDIRECT(ADDRESS(ROW(L162),MOD(L$1,4)+1)),L$2)),$E162,"")</f>
        <v/>
      </c>
      <c r="M162" s="26" t="str" cm="1">
        <f t="array" aca="1" ref="M162" ca="1">IF(ISNUMBER(SEARCH(INDIRECT(ADDRESS(ROW(M162),MOD(M$1,4)+1)),M$2)),$E162,"")</f>
        <v/>
      </c>
      <c r="N162" s="26" t="str" cm="1">
        <f t="array" aca="1" ref="N162" ca="1">IF(ISNUMBER(SEARCH(INDIRECT(ADDRESS(ROW(N162),MOD(N$1,4)+1)),N$2)),$E162,"")</f>
        <v/>
      </c>
      <c r="O162" s="26" t="str" cm="1">
        <f t="array" aca="1" ref="O162" ca="1">IF(ISNUMBER(SEARCH(INDIRECT(ADDRESS(ROW(O162),MOD(O$1,4)+1)),O$2)),$E162,"")</f>
        <v/>
      </c>
      <c r="P162" s="26" cm="1">
        <f t="array" aca="1" ref="P162" ca="1">IF(ISNUMBER(SEARCH(INDIRECT(ADDRESS(ROW(P162),MOD(P$1,4)+1)),P$2)),$E162,"")</f>
        <v>158</v>
      </c>
      <c r="Q162" s="26" t="str" cm="1">
        <f t="array" aca="1" ref="Q162" ca="1">IF(ISNUMBER(SEARCH(INDIRECT(ADDRESS(ROW(Q162),MOD(Q$1,4)+1)),Q$2)),$E162,"")</f>
        <v/>
      </c>
      <c r="R162" s="26" cm="1">
        <f t="array" aca="1" ref="R162" ca="1">IF(ISNUMBER(SEARCH(INDIRECT(ADDRESS(ROW(R162),MOD(R$1,4)+1)),R$2)),$E162,"")</f>
        <v>158</v>
      </c>
      <c r="S162" s="26" t="str" cm="1">
        <f t="array" aca="1" ref="S162" ca="1">IF(ISNUMBER(SEARCH(INDIRECT(ADDRESS(ROW(S162),MOD(S$1,4)+1)),S$2)),$E162,"")</f>
        <v/>
      </c>
      <c r="T162" s="26" t="str" cm="1">
        <f t="array" aca="1" ref="T162" ca="1">IF(ISNUMBER(SEARCH(INDIRECT(ADDRESS(ROW(T162),MOD(T$1,4)+1)),T$2)),$E162,"")</f>
        <v/>
      </c>
      <c r="U162" s="26" t="str" cm="1">
        <f t="array" aca="1" ref="U162" ca="1">IF(ISNUMBER(SEARCH(INDIRECT(ADDRESS(ROW(U162),MOD(U$1,4)+1)),U$2)),$E162,"")</f>
        <v/>
      </c>
      <c r="V162" s="26" t="str" cm="1">
        <f t="array" aca="1" ref="V162" ca="1">IF(ISNUMBER(SEARCH(INDIRECT(ADDRESS(ROW(V162),MOD(V$1,4)+1)),V$2)),$E162,"")</f>
        <v/>
      </c>
      <c r="W162" s="26" t="str" cm="1">
        <f t="array" aca="1" ref="W162" ca="1">IF(ISNUMBER(SEARCH(INDIRECT(ADDRESS(ROW(W162),MOD(W$1,4)+1)),W$2)),$E162,"")</f>
        <v/>
      </c>
      <c r="X162" s="26" t="str" cm="1">
        <f t="array" aca="1" ref="X162" ca="1">IF(ISNUMBER(SEARCH(INDIRECT(ADDRESS(ROW(X162),MOD(X$1,4)+1)),X$2)),$E162,"")</f>
        <v/>
      </c>
      <c r="Y162" s="26" t="str" cm="1">
        <f t="array" aca="1" ref="Y162" ca="1">IF(ISNUMBER(SEARCH(INDIRECT(ADDRESS(ROW(Y162),MOD(Y$1,4)+1)),Y$2)),$E162,"")</f>
        <v/>
      </c>
      <c r="Z162" s="26" t="str" cm="1">
        <f t="array" aca="1" ref="Z162" ca="1">IF(ISNUMBER(SEARCH(INDIRECT(ADDRESS(ROW(Z162),MOD(Z$1,4)+1)),Z$2)),$E162,"")</f>
        <v/>
      </c>
      <c r="AA162" s="26" t="str" cm="1">
        <f t="array" aca="1" ref="AA162" ca="1">IF(ISNUMBER(SEARCH(INDIRECT(ADDRESS(ROW(AA162),MOD(AA$1,4)+1)),AA$2)),$E162,"")</f>
        <v/>
      </c>
      <c r="AB162" s="26" t="str" cm="1">
        <f t="array" aca="1" ref="AB162" ca="1">IF(ISNUMBER(SEARCH(INDIRECT(ADDRESS(ROW(AB162),MOD(AB$1,4)+1)),AB$2)),$E162,"")</f>
        <v/>
      </c>
      <c r="AC162" s="26" t="str" cm="1">
        <f t="array" aca="1" ref="AC162" ca="1">IF(ISNUMBER(SEARCH(INDIRECT(ADDRESS(ROW(AC162),MOD(AC$1,4)+1)),AC$2)),$E162,"")</f>
        <v/>
      </c>
      <c r="AD162" s="26" t="str" cm="1">
        <f t="array" aca="1" ref="AD162" ca="1">IF(ISNUMBER(SEARCH(INDIRECT(ADDRESS(ROW(AD162),MOD(AD$1,4)+1)),AD$2)),$E162,"")</f>
        <v/>
      </c>
      <c r="AE162" s="26" t="str" cm="1">
        <f t="array" aca="1" ref="AE162" ca="1">IF(ISNUMBER(SEARCH(INDIRECT(ADDRESS(ROW(AE162),MOD(AE$1,4)+1)),AE$2)),$E162,"")</f>
        <v/>
      </c>
      <c r="AF162" s="26" t="str" cm="1">
        <f t="array" aca="1" ref="AF162" ca="1">IF(ISNUMBER(SEARCH(INDIRECT(ADDRESS(ROW(AF162),MOD(AF$1,4)+1)),AF$2)),$E162,"")</f>
        <v/>
      </c>
      <c r="AG162" s="26" t="str" cm="1">
        <f t="array" aca="1" ref="AG162" ca="1">IF(ISNUMBER(SEARCH(INDIRECT(ADDRESS(ROW(AG162),MOD(AG$1,4)+1)),AG$2)),$E162,"")</f>
        <v/>
      </c>
      <c r="AH162" s="26" t="str" cm="1">
        <f t="array" aca="1" ref="AH162" ca="1">IF(ISNUMBER(SEARCH(INDIRECT(ADDRESS(ROW(AH162),MOD(AH$1,4)+1)),AH$2)),$E162,"")</f>
        <v/>
      </c>
      <c r="AI162" s="26" t="str" cm="1">
        <f t="array" aca="1" ref="AI162" ca="1">IF(ISNUMBER(SEARCH(INDIRECT(ADDRESS(ROW(AI162),MOD(AI$1,4)+1)),AI$2)),$E162,"")</f>
        <v/>
      </c>
      <c r="AJ162" s="26" t="str" cm="1">
        <f t="array" aca="1" ref="AJ162" ca="1">IF(ISNUMBER(SEARCH(INDIRECT(ADDRESS(ROW(AJ162),MOD(AJ$1,4)+1)),AJ$2)),$E162,"")</f>
        <v/>
      </c>
      <c r="AK162" s="26" cm="1">
        <f t="array" aca="1" ref="AK162" ca="1">IF(ISNUMBER(SEARCH(INDIRECT(ADDRESS(ROW(AK162),MOD(AK$1,4)+1)),AK$2)),$E162,"")</f>
        <v>158</v>
      </c>
      <c r="AL162" s="26" t="str" cm="1">
        <f t="array" aca="1" ref="AL162" ca="1">IF(ISNUMBER(SEARCH(INDIRECT(ADDRESS(ROW(AL162),MOD(AL$1,4)+1)),AL$2)),$E162,"")</f>
        <v/>
      </c>
      <c r="AM162" s="26" t="str" cm="1">
        <f t="array" aca="1" ref="AM162" ca="1">IF(ISNUMBER(SEARCH(INDIRECT(ADDRESS(ROW(AM162),MOD(AM$1,4)+1)),AM$2)),$E162,"")</f>
        <v/>
      </c>
      <c r="AN162" s="26" t="str" cm="1">
        <f t="array" aca="1" ref="AN162" ca="1">IF(ISNUMBER(SEARCH(INDIRECT(ADDRESS(ROW(AN162),MOD(AN$1,4)+1)),AN$2)),$E162,"")</f>
        <v/>
      </c>
      <c r="AO162" s="26" t="str" cm="1">
        <f t="array" aca="1" ref="AO162" ca="1">IF(ISNUMBER(SEARCH(INDIRECT(ADDRESS(ROW(AO162),MOD(AO$1,4)+1)),AO$2)),$E162,"")</f>
        <v/>
      </c>
      <c r="AP162" s="26" t="str" cm="1">
        <f t="array" aca="1" ref="AP162" ca="1">IF(ISNUMBER(SEARCH(INDIRECT(ADDRESS(ROW(AP162),MOD(AP$1,4)+1)),AP$2)),$E162,"")</f>
        <v/>
      </c>
      <c r="AQ162" s="31" t="str" cm="1">
        <f t="array" aca="1" ref="AQ162" ca="1">IF(ISNUMBER(SEARCH(INDIRECT(ADDRESS(ROW(AQ162),MOD(AQ$1,4)+1)),AQ$2)),$E162,"")</f>
        <v/>
      </c>
      <c r="AT162" t="e">
        <f>IF(VLOOKUP($E162,'Formatted NEW'!$B$2:$F$202,5,FALSE)=VLOOKUP($E162,'Formatted NEW'!$B$2:$F$202,8,FALSE),$E162,"")</f>
        <v>#N/A</v>
      </c>
      <c r="AW162" t="e">
        <f>IF(VLOOKUP($E162,'Formatted NEW'!$B$2:$F$202,5,FALSE)=VLOOKUP($E162,'Formatted NEW'!$B$2:$F$202,11,FALSE),$E162,"")</f>
        <v>#N/A</v>
      </c>
      <c r="AZ162" t="e">
        <f>IF(VLOOKUP($E162,'Formatted NEW'!$B$2:$F$202,5,FALSE)=VLOOKUP($E162,'Formatted NEW'!$B$2:$F$202,14,FALSE),$E162,"")</f>
        <v>#N/A</v>
      </c>
      <c r="BC162" t="str">
        <f>VLOOKUP($E162,'Formatted NEW'!$M$2:$T$202,6,FALSE)</f>
        <v>ORTHO_LEFT</v>
      </c>
      <c r="BD162" s="26" t="e">
        <f>VLOOKUP(VLOOKUP(VLOOKUP($E162,'Formatted NEW'!$M$2:$O$202,2,FALSE),'Formatted NEW'!$D$2:$F$202,7,FALSE),'Formatted NEW'!$D$2:$O$202,12,FALSE)</f>
        <v>#REF!</v>
      </c>
      <c r="BE162" t="e">
        <f>VLOOKUP($BD162,'Formatted NEW'!$M$2:$T$202,5,FALSE)</f>
        <v>#REF!</v>
      </c>
      <c r="BF162" s="26" t="e">
        <f t="shared" si="9"/>
        <v>#REF!</v>
      </c>
      <c r="BH162">
        <f>VLOOKUP($E162,'Formatted NEW'!$M$2:$T$202,4,FALSE)</f>
        <v>0</v>
      </c>
      <c r="BI162" s="26" t="e">
        <f>VLOOKUP(VLOOKUP(VLOOKUP($E162,'Formatted NEW'!$M$2:$O$202,2,FALSE),'Formatted NEW'!$D$2:$F$202,10,FALSE),'Formatted NEW'!$D$2:$O$202,12,FALSE)</f>
        <v>#REF!</v>
      </c>
      <c r="BJ162" t="e">
        <f>VLOOKUP($BI162,'Formatted NEW'!$M$2:$T$202,3,FALSE)</f>
        <v>#REF!</v>
      </c>
      <c r="BK162" s="26" t="e">
        <f t="shared" si="10"/>
        <v>#REF!</v>
      </c>
    </row>
    <row r="163" spans="1:63" x14ac:dyDescent="0.25">
      <c r="A163" t="str">
        <f>'Formatted NEW'!Q161</f>
        <v>ORTHO_BOTH</v>
      </c>
      <c r="B163" t="str">
        <f>'Formatted NEW'!R161</f>
        <v>ORTHO_RIGHT</v>
      </c>
      <c r="C163" t="str">
        <f>'Formatted NEW'!S161</f>
        <v>ORTHO_UP</v>
      </c>
      <c r="D163" t="str">
        <f>'Formatted NEW'!T161</f>
        <v>ORTHO_BOTH</v>
      </c>
      <c r="E163" s="26">
        <f t="shared" si="8"/>
        <v>159</v>
      </c>
      <c r="H163" s="30" t="str" cm="1">
        <f t="array" aca="1" ref="H163" ca="1">IF(ISNUMBER(SEARCH(INDIRECT(ADDRESS(ROW(H163),MOD(H$1,4)+1)),H$2)),$E163,"")</f>
        <v/>
      </c>
      <c r="I163" s="26" t="str" cm="1">
        <f t="array" aca="1" ref="I163" ca="1">IF(ISNUMBER(SEARCH(INDIRECT(ADDRESS(ROW(I163),MOD(I$1,4)+1)),I$2)),$E163,"")</f>
        <v/>
      </c>
      <c r="J163" s="26" t="str" cm="1">
        <f t="array" aca="1" ref="J163" ca="1">IF(ISNUMBER(SEARCH(INDIRECT(ADDRESS(ROW(J163),MOD(J$1,4)+1)),J$2)),$E163,"")</f>
        <v/>
      </c>
      <c r="K163" s="26" t="str" cm="1">
        <f t="array" aca="1" ref="K163" ca="1">IF(ISNUMBER(SEARCH(INDIRECT(ADDRESS(ROW(K163),MOD(K$1,4)+1)),K$2)),$E163,"")</f>
        <v/>
      </c>
      <c r="L163" s="26" t="str" cm="1">
        <f t="array" aca="1" ref="L163" ca="1">IF(ISNUMBER(SEARCH(INDIRECT(ADDRESS(ROW(L163),MOD(L$1,4)+1)),L$2)),$E163,"")</f>
        <v/>
      </c>
      <c r="M163" s="26" t="str" cm="1">
        <f t="array" aca="1" ref="M163" ca="1">IF(ISNUMBER(SEARCH(INDIRECT(ADDRESS(ROW(M163),MOD(M$1,4)+1)),M$2)),$E163,"")</f>
        <v/>
      </c>
      <c r="N163" s="26" t="str" cm="1">
        <f t="array" aca="1" ref="N163" ca="1">IF(ISNUMBER(SEARCH(INDIRECT(ADDRESS(ROW(N163),MOD(N$1,4)+1)),N$2)),$E163,"")</f>
        <v/>
      </c>
      <c r="O163" s="26" t="str" cm="1">
        <f t="array" aca="1" ref="O163" ca="1">IF(ISNUMBER(SEARCH(INDIRECT(ADDRESS(ROW(O163),MOD(O$1,4)+1)),O$2)),$E163,"")</f>
        <v/>
      </c>
      <c r="P163" s="26" cm="1">
        <f t="array" aca="1" ref="P163" ca="1">IF(ISNUMBER(SEARCH(INDIRECT(ADDRESS(ROW(P163),MOD(P$1,4)+1)),P$2)),$E163,"")</f>
        <v>159</v>
      </c>
      <c r="Q163" s="26" t="str" cm="1">
        <f t="array" aca="1" ref="Q163" ca="1">IF(ISNUMBER(SEARCH(INDIRECT(ADDRESS(ROW(Q163),MOD(Q$1,4)+1)),Q$2)),$E163,"")</f>
        <v/>
      </c>
      <c r="R163" s="26" t="str" cm="1">
        <f t="array" aca="1" ref="R163" ca="1">IF(ISNUMBER(SEARCH(INDIRECT(ADDRESS(ROW(R163),MOD(R$1,4)+1)),R$2)),$E163,"")</f>
        <v/>
      </c>
      <c r="S163" s="26" cm="1">
        <f t="array" aca="1" ref="S163" ca="1">IF(ISNUMBER(SEARCH(INDIRECT(ADDRESS(ROW(S163),MOD(S$1,4)+1)),S$2)),$E163,"")</f>
        <v>159</v>
      </c>
      <c r="T163" s="26" t="str" cm="1">
        <f t="array" aca="1" ref="T163" ca="1">IF(ISNUMBER(SEARCH(INDIRECT(ADDRESS(ROW(T163),MOD(T$1,4)+1)),T$2)),$E163,"")</f>
        <v/>
      </c>
      <c r="U163" s="26" t="str" cm="1">
        <f t="array" aca="1" ref="U163" ca="1">IF(ISNUMBER(SEARCH(INDIRECT(ADDRESS(ROW(U163),MOD(U$1,4)+1)),U$2)),$E163,"")</f>
        <v/>
      </c>
      <c r="V163" s="26" t="str" cm="1">
        <f t="array" aca="1" ref="V163" ca="1">IF(ISNUMBER(SEARCH(INDIRECT(ADDRESS(ROW(V163),MOD(V$1,4)+1)),V$2)),$E163,"")</f>
        <v/>
      </c>
      <c r="W163" s="26" t="str" cm="1">
        <f t="array" aca="1" ref="W163" ca="1">IF(ISNUMBER(SEARCH(INDIRECT(ADDRESS(ROW(W163),MOD(W$1,4)+1)),W$2)),$E163,"")</f>
        <v/>
      </c>
      <c r="X163" s="26" t="str" cm="1">
        <f t="array" aca="1" ref="X163" ca="1">IF(ISNUMBER(SEARCH(INDIRECT(ADDRESS(ROW(X163),MOD(X$1,4)+1)),X$2)),$E163,"")</f>
        <v/>
      </c>
      <c r="Y163" s="26" t="str" cm="1">
        <f t="array" aca="1" ref="Y163" ca="1">IF(ISNUMBER(SEARCH(INDIRECT(ADDRESS(ROW(Y163),MOD(Y$1,4)+1)),Y$2)),$E163,"")</f>
        <v/>
      </c>
      <c r="Z163" s="26" t="str" cm="1">
        <f t="array" aca="1" ref="Z163" ca="1">IF(ISNUMBER(SEARCH(INDIRECT(ADDRESS(ROW(Z163),MOD(Z$1,4)+1)),Z$2)),$E163,"")</f>
        <v/>
      </c>
      <c r="AA163" s="26" t="str" cm="1">
        <f t="array" aca="1" ref="AA163" ca="1">IF(ISNUMBER(SEARCH(INDIRECT(ADDRESS(ROW(AA163),MOD(AA$1,4)+1)),AA$2)),$E163,"")</f>
        <v/>
      </c>
      <c r="AB163" s="26" t="str" cm="1">
        <f t="array" aca="1" ref="AB163" ca="1">IF(ISNUMBER(SEARCH(INDIRECT(ADDRESS(ROW(AB163),MOD(AB$1,4)+1)),AB$2)),$E163,"")</f>
        <v/>
      </c>
      <c r="AC163" s="26" t="str" cm="1">
        <f t="array" aca="1" ref="AC163" ca="1">IF(ISNUMBER(SEARCH(INDIRECT(ADDRESS(ROW(AC163),MOD(AC$1,4)+1)),AC$2)),$E163,"")</f>
        <v/>
      </c>
      <c r="AD163" s="26" t="str" cm="1">
        <f t="array" aca="1" ref="AD163" ca="1">IF(ISNUMBER(SEARCH(INDIRECT(ADDRESS(ROW(AD163),MOD(AD$1,4)+1)),AD$2)),$E163,"")</f>
        <v/>
      </c>
      <c r="AE163" s="26" t="str" cm="1">
        <f t="array" aca="1" ref="AE163" ca="1">IF(ISNUMBER(SEARCH(INDIRECT(ADDRESS(ROW(AE163),MOD(AE$1,4)+1)),AE$2)),$E163,"")</f>
        <v/>
      </c>
      <c r="AF163" s="26" t="str" cm="1">
        <f t="array" aca="1" ref="AF163" ca="1">IF(ISNUMBER(SEARCH(INDIRECT(ADDRESS(ROW(AF163),MOD(AF$1,4)+1)),AF$2)),$E163,"")</f>
        <v/>
      </c>
      <c r="AG163" s="26" t="str" cm="1">
        <f t="array" aca="1" ref="AG163" ca="1">IF(ISNUMBER(SEARCH(INDIRECT(ADDRESS(ROW(AG163),MOD(AG$1,4)+1)),AG$2)),$E163,"")</f>
        <v/>
      </c>
      <c r="AH163" s="26" t="str" cm="1">
        <f t="array" aca="1" ref="AH163" ca="1">IF(ISNUMBER(SEARCH(INDIRECT(ADDRESS(ROW(AH163),MOD(AH$1,4)+1)),AH$2)),$E163,"")</f>
        <v/>
      </c>
      <c r="AI163" s="26" t="str" cm="1">
        <f t="array" aca="1" ref="AI163" ca="1">IF(ISNUMBER(SEARCH(INDIRECT(ADDRESS(ROW(AI163),MOD(AI$1,4)+1)),AI$2)),$E163,"")</f>
        <v/>
      </c>
      <c r="AJ163" s="26" t="str" cm="1">
        <f t="array" aca="1" ref="AJ163" ca="1">IF(ISNUMBER(SEARCH(INDIRECT(ADDRESS(ROW(AJ163),MOD(AJ$1,4)+1)),AJ$2)),$E163,"")</f>
        <v/>
      </c>
      <c r="AK163" s="26" t="str" cm="1">
        <f t="array" aca="1" ref="AK163" ca="1">IF(ISNUMBER(SEARCH(INDIRECT(ADDRESS(ROW(AK163),MOD(AK$1,4)+1)),AK$2)),$E163,"")</f>
        <v/>
      </c>
      <c r="AL163" s="26" t="str" cm="1">
        <f t="array" aca="1" ref="AL163" ca="1">IF(ISNUMBER(SEARCH(INDIRECT(ADDRESS(ROW(AL163),MOD(AL$1,4)+1)),AL$2)),$E163,"")</f>
        <v/>
      </c>
      <c r="AM163" s="26" t="str" cm="1">
        <f t="array" aca="1" ref="AM163" ca="1">IF(ISNUMBER(SEARCH(INDIRECT(ADDRESS(ROW(AM163),MOD(AM$1,4)+1)),AM$2)),$E163,"")</f>
        <v/>
      </c>
      <c r="AN163" s="26" t="str" cm="1">
        <f t="array" aca="1" ref="AN163" ca="1">IF(ISNUMBER(SEARCH(INDIRECT(ADDRESS(ROW(AN163),MOD(AN$1,4)+1)),AN$2)),$E163,"")</f>
        <v/>
      </c>
      <c r="AO163" s="26" cm="1">
        <f t="array" aca="1" ref="AO163" ca="1">IF(ISNUMBER(SEARCH(INDIRECT(ADDRESS(ROW(AO163),MOD(AO$1,4)+1)),AO$2)),$E163,"")</f>
        <v>159</v>
      </c>
      <c r="AP163" s="26" t="str" cm="1">
        <f t="array" aca="1" ref="AP163" ca="1">IF(ISNUMBER(SEARCH(INDIRECT(ADDRESS(ROW(AP163),MOD(AP$1,4)+1)),AP$2)),$E163,"")</f>
        <v/>
      </c>
      <c r="AQ163" s="31" t="str" cm="1">
        <f t="array" aca="1" ref="AQ163" ca="1">IF(ISNUMBER(SEARCH(INDIRECT(ADDRESS(ROW(AQ163),MOD(AQ$1,4)+1)),AQ$2)),$E163,"")</f>
        <v/>
      </c>
      <c r="AT163" t="e">
        <f>IF(VLOOKUP($E163,'Formatted NEW'!$B$2:$F$202,5,FALSE)=VLOOKUP($E163,'Formatted NEW'!$B$2:$F$202,8,FALSE),$E163,"")</f>
        <v>#N/A</v>
      </c>
      <c r="AW163" t="e">
        <f>IF(VLOOKUP($E163,'Formatted NEW'!$B$2:$F$202,5,FALSE)=VLOOKUP($E163,'Formatted NEW'!$B$2:$F$202,11,FALSE),$E163,"")</f>
        <v>#N/A</v>
      </c>
      <c r="AZ163" t="e">
        <f>IF(VLOOKUP($E163,'Formatted NEW'!$B$2:$F$202,5,FALSE)=VLOOKUP($E163,'Formatted NEW'!$B$2:$F$202,14,FALSE),$E163,"")</f>
        <v>#N/A</v>
      </c>
      <c r="BC163" t="str">
        <f>VLOOKUP($E163,'Formatted NEW'!$M$2:$T$202,6,FALSE)</f>
        <v>ORTHO_RIGHT</v>
      </c>
      <c r="BD163" s="26" t="e">
        <f>VLOOKUP(VLOOKUP(VLOOKUP($E163,'Formatted NEW'!$M$2:$O$202,2,FALSE),'Formatted NEW'!$D$2:$F$202,7,FALSE),'Formatted NEW'!$D$2:$O$202,12,FALSE)</f>
        <v>#REF!</v>
      </c>
      <c r="BE163" t="e">
        <f>VLOOKUP($BD163,'Formatted NEW'!$M$2:$T$202,5,FALSE)</f>
        <v>#REF!</v>
      </c>
      <c r="BF163" s="26" t="e">
        <f t="shared" si="9"/>
        <v>#REF!</v>
      </c>
      <c r="BH163">
        <f>VLOOKUP($E163,'Formatted NEW'!$M$2:$T$202,4,FALSE)</f>
        <v>0</v>
      </c>
      <c r="BI163" s="26" t="e">
        <f>VLOOKUP(VLOOKUP(VLOOKUP($E163,'Formatted NEW'!$M$2:$O$202,2,FALSE),'Formatted NEW'!$D$2:$F$202,10,FALSE),'Formatted NEW'!$D$2:$O$202,12,FALSE)</f>
        <v>#REF!</v>
      </c>
      <c r="BJ163" t="e">
        <f>VLOOKUP($BI163,'Formatted NEW'!$M$2:$T$202,3,FALSE)</f>
        <v>#REF!</v>
      </c>
      <c r="BK163" s="26" t="e">
        <f t="shared" si="10"/>
        <v>#REF!</v>
      </c>
    </row>
    <row r="164" spans="1:63" x14ac:dyDescent="0.25">
      <c r="A164" t="str">
        <f>'Formatted NEW'!Q173</f>
        <v>EMPTY</v>
      </c>
      <c r="B164" t="str">
        <f>'Formatted NEW'!R173</f>
        <v>EMPTY</v>
      </c>
      <c r="C164" t="str">
        <f>'Formatted NEW'!S173</f>
        <v>DIAG_FRONT</v>
      </c>
      <c r="D164" t="str">
        <f>'Formatted NEW'!T173</f>
        <v>DIAG_BACK</v>
      </c>
      <c r="E164" s="26">
        <f t="shared" ref="E164:E193" si="11">ROW(E164)-ROW(E$4)</f>
        <v>160</v>
      </c>
      <c r="H164" s="30" t="str" cm="1">
        <f t="array" aca="1" ref="H164" ca="1">IF(ISNUMBER(SEARCH(INDIRECT(ADDRESS(ROW(H164),MOD(H$1,4)+1)),H$2)),$E164,"")</f>
        <v/>
      </c>
      <c r="I164" s="26" t="str" cm="1">
        <f t="array" aca="1" ref="I164" ca="1">IF(ISNUMBER(SEARCH(INDIRECT(ADDRESS(ROW(I164),MOD(I$1,4)+1)),I$2)),$E164,"")</f>
        <v/>
      </c>
      <c r="J164" s="26" t="str" cm="1">
        <f t="array" aca="1" ref="J164" ca="1">IF(ISNUMBER(SEARCH(INDIRECT(ADDRESS(ROW(J164),MOD(J$1,4)+1)),J$2)),$E164,"")</f>
        <v/>
      </c>
      <c r="K164" s="26" t="str" cm="1">
        <f t="array" aca="1" ref="K164" ca="1">IF(ISNUMBER(SEARCH(INDIRECT(ADDRESS(ROW(K164),MOD(K$1,4)+1)),K$2)),$E164,"")</f>
        <v/>
      </c>
      <c r="L164" s="26" t="str" cm="1">
        <f t="array" aca="1" ref="L164" ca="1">IF(ISNUMBER(SEARCH(INDIRECT(ADDRESS(ROW(L164),MOD(L$1,4)+1)),L$2)),$E164,"")</f>
        <v/>
      </c>
      <c r="M164" s="26" t="str" cm="1">
        <f t="array" aca="1" ref="M164" ca="1">IF(ISNUMBER(SEARCH(INDIRECT(ADDRESS(ROW(M164),MOD(M$1,4)+1)),M$2)),$E164,"")</f>
        <v/>
      </c>
      <c r="N164" s="26" t="str" cm="1">
        <f t="array" aca="1" ref="N164" ca="1">IF(ISNUMBER(SEARCH(INDIRECT(ADDRESS(ROW(N164),MOD(N$1,4)+1)),N$2)),$E164,"")</f>
        <v/>
      </c>
      <c r="O164" s="26" t="str" cm="1">
        <f t="array" aca="1" ref="O164" ca="1">IF(ISNUMBER(SEARCH(INDIRECT(ADDRESS(ROW(O164),MOD(O$1,4)+1)),O$2)),$E164,"")</f>
        <v/>
      </c>
      <c r="P164" s="26" t="str" cm="1">
        <f t="array" aca="1" ref="P164" ca="1">IF(ISNUMBER(SEARCH(INDIRECT(ADDRESS(ROW(P164),MOD(P$1,4)+1)),P$2)),$E164,"")</f>
        <v/>
      </c>
      <c r="Q164" s="26" t="str" cm="1">
        <f t="array" aca="1" ref="Q164" ca="1">IF(ISNUMBER(SEARCH(INDIRECT(ADDRESS(ROW(Q164),MOD(Q$1,4)+1)),Q$2)),$E164,"")</f>
        <v/>
      </c>
      <c r="R164" s="26" t="str" cm="1">
        <f t="array" aca="1" ref="R164" ca="1">IF(ISNUMBER(SEARCH(INDIRECT(ADDRESS(ROW(R164),MOD(R$1,4)+1)),R$2)),$E164,"")</f>
        <v/>
      </c>
      <c r="S164" s="26" t="str" cm="1">
        <f t="array" aca="1" ref="S164" ca="1">IF(ISNUMBER(SEARCH(INDIRECT(ADDRESS(ROW(S164),MOD(S$1,4)+1)),S$2)),$E164,"")</f>
        <v/>
      </c>
      <c r="T164" s="26" t="str" cm="1">
        <f t="array" aca="1" ref="T164" ca="1">IF(ISNUMBER(SEARCH(INDIRECT(ADDRESS(ROW(T164),MOD(T$1,4)+1)),T$2)),$E164,"")</f>
        <v/>
      </c>
      <c r="U164" s="26" t="str" cm="1">
        <f t="array" aca="1" ref="U164" ca="1">IF(ISNUMBER(SEARCH(INDIRECT(ADDRESS(ROW(U164),MOD(U$1,4)+1)),U$2)),$E164,"")</f>
        <v/>
      </c>
      <c r="V164" s="26" cm="1">
        <f t="array" aca="1" ref="V164" ca="1">IF(ISNUMBER(SEARCH(INDIRECT(ADDRESS(ROW(V164),MOD(V$1,4)+1)),V$2)),$E164,"")</f>
        <v>160</v>
      </c>
      <c r="W164" s="26" t="str" cm="1">
        <f t="array" aca="1" ref="W164" ca="1">IF(ISNUMBER(SEARCH(INDIRECT(ADDRESS(ROW(W164),MOD(W$1,4)+1)),W$2)),$E164,"")</f>
        <v/>
      </c>
      <c r="X164" s="26" t="str" cm="1">
        <f t="array" aca="1" ref="X164" ca="1">IF(ISNUMBER(SEARCH(INDIRECT(ADDRESS(ROW(X164),MOD(X$1,4)+1)),X$2)),$E164,"")</f>
        <v/>
      </c>
      <c r="Y164" s="26" t="str" cm="1">
        <f t="array" aca="1" ref="Y164" ca="1">IF(ISNUMBER(SEARCH(INDIRECT(ADDRESS(ROW(Y164),MOD(Y$1,4)+1)),Y$2)),$E164,"")</f>
        <v/>
      </c>
      <c r="Z164" s="26" t="str" cm="1">
        <f t="array" aca="1" ref="Z164" ca="1">IF(ISNUMBER(SEARCH(INDIRECT(ADDRESS(ROW(Z164),MOD(Z$1,4)+1)),Z$2)),$E164,"")</f>
        <v/>
      </c>
      <c r="AA164" s="26" cm="1">
        <f t="array" aca="1" ref="AA164" ca="1">IF(ISNUMBER(SEARCH(INDIRECT(ADDRESS(ROW(AA164),MOD(AA$1,4)+1)),AA$2)),$E164,"")</f>
        <v>160</v>
      </c>
      <c r="AB164" s="26" t="str" cm="1">
        <f t="array" aca="1" ref="AB164" ca="1">IF(ISNUMBER(SEARCH(INDIRECT(ADDRESS(ROW(AB164),MOD(AB$1,4)+1)),AB$2)),$E164,"")</f>
        <v/>
      </c>
      <c r="AC164" s="26" t="str" cm="1">
        <f t="array" aca="1" ref="AC164" ca="1">IF(ISNUMBER(SEARCH(INDIRECT(ADDRESS(ROW(AC164),MOD(AC$1,4)+1)),AC$2)),$E164,"")</f>
        <v/>
      </c>
      <c r="AD164" s="26" t="str" cm="1">
        <f t="array" aca="1" ref="AD164" ca="1">IF(ISNUMBER(SEARCH(INDIRECT(ADDRESS(ROW(AD164),MOD(AD$1,4)+1)),AD$2)),$E164,"")</f>
        <v/>
      </c>
      <c r="AE164" s="26" t="str" cm="1">
        <f t="array" aca="1" ref="AE164" ca="1">IF(ISNUMBER(SEARCH(INDIRECT(ADDRESS(ROW(AE164),MOD(AE$1,4)+1)),AE$2)),$E164,"")</f>
        <v/>
      </c>
      <c r="AF164" s="26" t="str" cm="1">
        <f t="array" aca="1" ref="AF164" ca="1">IF(ISNUMBER(SEARCH(INDIRECT(ADDRESS(ROW(AF164),MOD(AF$1,4)+1)),AF$2)),$E164,"")</f>
        <v/>
      </c>
      <c r="AG164" s="26" t="str" cm="1">
        <f t="array" aca="1" ref="AG164" ca="1">IF(ISNUMBER(SEARCH(INDIRECT(ADDRESS(ROW(AG164),MOD(AG$1,4)+1)),AG$2)),$E164,"")</f>
        <v/>
      </c>
      <c r="AH164" s="26" t="str" cm="1">
        <f t="array" aca="1" ref="AH164" ca="1">IF(ISNUMBER(SEARCH(INDIRECT(ADDRESS(ROW(AH164),MOD(AH$1,4)+1)),AH$2)),$E164,"")</f>
        <v/>
      </c>
      <c r="AI164" s="26" t="str" cm="1">
        <f t="array" aca="1" ref="AI164" ca="1">IF(ISNUMBER(SEARCH(INDIRECT(ADDRESS(ROW(AI164),MOD(AI$1,4)+1)),AI$2)),$E164,"")</f>
        <v/>
      </c>
      <c r="AJ164" s="26" t="str" cm="1">
        <f t="array" aca="1" ref="AJ164" ca="1">IF(ISNUMBER(SEARCH(INDIRECT(ADDRESS(ROW(AJ164),MOD(AJ$1,4)+1)),AJ$2)),$E164,"")</f>
        <v/>
      </c>
      <c r="AK164" s="26" t="str" cm="1">
        <f t="array" aca="1" ref="AK164" ca="1">IF(ISNUMBER(SEARCH(INDIRECT(ADDRESS(ROW(AK164),MOD(AK$1,4)+1)),AK$2)),$E164,"")</f>
        <v/>
      </c>
      <c r="AL164" s="26" t="str" cm="1">
        <f t="array" aca="1" ref="AL164" ca="1">IF(ISNUMBER(SEARCH(INDIRECT(ADDRESS(ROW(AL164),MOD(AL$1,4)+1)),AL$2)),$E164,"")</f>
        <v/>
      </c>
      <c r="AM164" s="26" t="str" cm="1">
        <f t="array" aca="1" ref="AM164" ca="1">IF(ISNUMBER(SEARCH(INDIRECT(ADDRESS(ROW(AM164),MOD(AM$1,4)+1)),AM$2)),$E164,"")</f>
        <v/>
      </c>
      <c r="AN164" s="26" t="str" cm="1">
        <f t="array" aca="1" ref="AN164" ca="1">IF(ISNUMBER(SEARCH(INDIRECT(ADDRESS(ROW(AN164),MOD(AN$1,4)+1)),AN$2)),$E164,"")</f>
        <v/>
      </c>
      <c r="AO164" s="26" t="str" cm="1">
        <f t="array" aca="1" ref="AO164" ca="1">IF(ISNUMBER(SEARCH(INDIRECT(ADDRESS(ROW(AO164),MOD(AO$1,4)+1)),AO$2)),$E164,"")</f>
        <v/>
      </c>
      <c r="AP164" s="26" t="str" cm="1">
        <f t="array" aca="1" ref="AP164" ca="1">IF(ISNUMBER(SEARCH(INDIRECT(ADDRESS(ROW(AP164),MOD(AP$1,4)+1)),AP$2)),$E164,"")</f>
        <v/>
      </c>
      <c r="AQ164" s="31" t="str" cm="1">
        <f t="array" aca="1" ref="AQ164" ca="1">IF(ISNUMBER(SEARCH(INDIRECT(ADDRESS(ROW(AQ164),MOD(AQ$1,4)+1)),AQ$2)),$E164,"")</f>
        <v/>
      </c>
      <c r="AT164" t="e">
        <f>IF(VLOOKUP($E164,'Formatted NEW'!$B$2:$F$202,5,FALSE)=VLOOKUP($E164,'Formatted NEW'!$B$2:$F$202,8,FALSE),$E164,"")</f>
        <v>#N/A</v>
      </c>
      <c r="AW164" t="e">
        <f>IF(VLOOKUP($E164,'Formatted NEW'!$B$2:$F$202,5,FALSE)=VLOOKUP($E164,'Formatted NEW'!$B$2:$F$202,11,FALSE),$E164,"")</f>
        <v>#N/A</v>
      </c>
      <c r="AZ164" t="e">
        <f>IF(VLOOKUP($E164,'Formatted NEW'!$B$2:$F$202,5,FALSE)=VLOOKUP($E164,'Formatted NEW'!$B$2:$F$202,14,FALSE),$E164,"")</f>
        <v>#N/A</v>
      </c>
      <c r="BC164" t="str">
        <f>VLOOKUP($E164,'Formatted NEW'!$M$2:$T$202,6,FALSE)</f>
        <v>EMPTY</v>
      </c>
      <c r="BD164" s="26" t="e">
        <f>VLOOKUP(VLOOKUP(VLOOKUP($E164,'Formatted NEW'!$M$2:$O$202,2,FALSE),'Formatted NEW'!$D$2:$F$202,7,FALSE),'Formatted NEW'!$D$2:$O$202,12,FALSE)</f>
        <v>#REF!</v>
      </c>
      <c r="BE164" t="e">
        <f>VLOOKUP($BD164,'Formatted NEW'!$M$2:$T$202,5,FALSE)</f>
        <v>#REF!</v>
      </c>
      <c r="BF164" s="26" t="e">
        <f t="shared" si="9"/>
        <v>#REF!</v>
      </c>
      <c r="BH164">
        <f>VLOOKUP($E164,'Formatted NEW'!$M$2:$T$202,4,FALSE)</f>
        <v>0</v>
      </c>
      <c r="BI164" s="26" t="e">
        <f>VLOOKUP(VLOOKUP(VLOOKUP($E164,'Formatted NEW'!$M$2:$O$202,2,FALSE),'Formatted NEW'!$D$2:$F$202,10,FALSE),'Formatted NEW'!$D$2:$O$202,12,FALSE)</f>
        <v>#REF!</v>
      </c>
      <c r="BJ164" t="e">
        <f>VLOOKUP($BI164,'Formatted NEW'!$M$2:$T$202,3,FALSE)</f>
        <v>#REF!</v>
      </c>
      <c r="BK164" s="26" t="e">
        <f t="shared" si="10"/>
        <v>#REF!</v>
      </c>
    </row>
    <row r="165" spans="1:63" x14ac:dyDescent="0.25">
      <c r="A165" t="str">
        <f>'Formatted NEW'!Q174</f>
        <v>EMPTY</v>
      </c>
      <c r="B165" t="str">
        <f>'Formatted NEW'!R174</f>
        <v>EMPTY</v>
      </c>
      <c r="C165" t="str">
        <f>'Formatted NEW'!S174</f>
        <v>DIAG_BACK</v>
      </c>
      <c r="D165" t="str">
        <f>'Formatted NEW'!T174</f>
        <v>DIAG_FRONT</v>
      </c>
      <c r="E165" s="26">
        <f t="shared" si="11"/>
        <v>161</v>
      </c>
      <c r="H165" s="30" t="str" cm="1">
        <f t="array" aca="1" ref="H165" ca="1">IF(ISNUMBER(SEARCH(INDIRECT(ADDRESS(ROW(H165),MOD(H$1,4)+1)),H$2)),$E165,"")</f>
        <v/>
      </c>
      <c r="I165" s="26" t="str" cm="1">
        <f t="array" aca="1" ref="I165" ca="1">IF(ISNUMBER(SEARCH(INDIRECT(ADDRESS(ROW(I165),MOD(I$1,4)+1)),I$2)),$E165,"")</f>
        <v/>
      </c>
      <c r="J165" s="26" t="str" cm="1">
        <f t="array" aca="1" ref="J165" ca="1">IF(ISNUMBER(SEARCH(INDIRECT(ADDRESS(ROW(J165),MOD(J$1,4)+1)),J$2)),$E165,"")</f>
        <v/>
      </c>
      <c r="K165" s="26" t="str" cm="1">
        <f t="array" aca="1" ref="K165" ca="1">IF(ISNUMBER(SEARCH(INDIRECT(ADDRESS(ROW(K165),MOD(K$1,4)+1)),K$2)),$E165,"")</f>
        <v/>
      </c>
      <c r="L165" s="26" t="str" cm="1">
        <f t="array" aca="1" ref="L165" ca="1">IF(ISNUMBER(SEARCH(INDIRECT(ADDRESS(ROW(L165),MOD(L$1,4)+1)),L$2)),$E165,"")</f>
        <v/>
      </c>
      <c r="M165" s="26" t="str" cm="1">
        <f t="array" aca="1" ref="M165" ca="1">IF(ISNUMBER(SEARCH(INDIRECT(ADDRESS(ROW(M165),MOD(M$1,4)+1)),M$2)),$E165,"")</f>
        <v/>
      </c>
      <c r="N165" s="26" t="str" cm="1">
        <f t="array" aca="1" ref="N165" ca="1">IF(ISNUMBER(SEARCH(INDIRECT(ADDRESS(ROW(N165),MOD(N$1,4)+1)),N$2)),$E165,"")</f>
        <v/>
      </c>
      <c r="O165" s="26" t="str" cm="1">
        <f t="array" aca="1" ref="O165" ca="1">IF(ISNUMBER(SEARCH(INDIRECT(ADDRESS(ROW(O165),MOD(O$1,4)+1)),O$2)),$E165,"")</f>
        <v/>
      </c>
      <c r="P165" s="26" t="str" cm="1">
        <f t="array" aca="1" ref="P165" ca="1">IF(ISNUMBER(SEARCH(INDIRECT(ADDRESS(ROW(P165),MOD(P$1,4)+1)),P$2)),$E165,"")</f>
        <v/>
      </c>
      <c r="Q165" s="26" t="str" cm="1">
        <f t="array" aca="1" ref="Q165" ca="1">IF(ISNUMBER(SEARCH(INDIRECT(ADDRESS(ROW(Q165),MOD(Q$1,4)+1)),Q$2)),$E165,"")</f>
        <v/>
      </c>
      <c r="R165" s="26" t="str" cm="1">
        <f t="array" aca="1" ref="R165" ca="1">IF(ISNUMBER(SEARCH(INDIRECT(ADDRESS(ROW(R165),MOD(R$1,4)+1)),R$2)),$E165,"")</f>
        <v/>
      </c>
      <c r="S165" s="26" t="str" cm="1">
        <f t="array" aca="1" ref="S165" ca="1">IF(ISNUMBER(SEARCH(INDIRECT(ADDRESS(ROW(S165),MOD(S$1,4)+1)),S$2)),$E165,"")</f>
        <v/>
      </c>
      <c r="T165" s="26" t="str" cm="1">
        <f t="array" aca="1" ref="T165" ca="1">IF(ISNUMBER(SEARCH(INDIRECT(ADDRESS(ROW(T165),MOD(T$1,4)+1)),T$2)),$E165,"")</f>
        <v/>
      </c>
      <c r="U165" s="26" t="str" cm="1">
        <f t="array" aca="1" ref="U165" ca="1">IF(ISNUMBER(SEARCH(INDIRECT(ADDRESS(ROW(U165),MOD(U$1,4)+1)),U$2)),$E165,"")</f>
        <v/>
      </c>
      <c r="V165" s="26" t="str" cm="1">
        <f t="array" aca="1" ref="V165" ca="1">IF(ISNUMBER(SEARCH(INDIRECT(ADDRESS(ROW(V165),MOD(V$1,4)+1)),V$2)),$E165,"")</f>
        <v/>
      </c>
      <c r="W165" s="26" cm="1">
        <f t="array" aca="1" ref="W165" ca="1">IF(ISNUMBER(SEARCH(INDIRECT(ADDRESS(ROW(W165),MOD(W$1,4)+1)),W$2)),$E165,"")</f>
        <v>161</v>
      </c>
      <c r="X165" s="26" t="str" cm="1">
        <f t="array" aca="1" ref="X165" ca="1">IF(ISNUMBER(SEARCH(INDIRECT(ADDRESS(ROW(X165),MOD(X$1,4)+1)),X$2)),$E165,"")</f>
        <v/>
      </c>
      <c r="Y165" s="26" t="str" cm="1">
        <f t="array" aca="1" ref="Y165" ca="1">IF(ISNUMBER(SEARCH(INDIRECT(ADDRESS(ROW(Y165),MOD(Y$1,4)+1)),Y$2)),$E165,"")</f>
        <v/>
      </c>
      <c r="Z165" s="26" cm="1">
        <f t="array" aca="1" ref="Z165" ca="1">IF(ISNUMBER(SEARCH(INDIRECT(ADDRESS(ROW(Z165),MOD(Z$1,4)+1)),Z$2)),$E165,"")</f>
        <v>161</v>
      </c>
      <c r="AA165" s="26" t="str" cm="1">
        <f t="array" aca="1" ref="AA165" ca="1">IF(ISNUMBER(SEARCH(INDIRECT(ADDRESS(ROW(AA165),MOD(AA$1,4)+1)),AA$2)),$E165,"")</f>
        <v/>
      </c>
      <c r="AB165" s="26" t="str" cm="1">
        <f t="array" aca="1" ref="AB165" ca="1">IF(ISNUMBER(SEARCH(INDIRECT(ADDRESS(ROW(AB165),MOD(AB$1,4)+1)),AB$2)),$E165,"")</f>
        <v/>
      </c>
      <c r="AC165" s="26" t="str" cm="1">
        <f t="array" aca="1" ref="AC165" ca="1">IF(ISNUMBER(SEARCH(INDIRECT(ADDRESS(ROW(AC165),MOD(AC$1,4)+1)),AC$2)),$E165,"")</f>
        <v/>
      </c>
      <c r="AD165" s="26" t="str" cm="1">
        <f t="array" aca="1" ref="AD165" ca="1">IF(ISNUMBER(SEARCH(INDIRECT(ADDRESS(ROW(AD165),MOD(AD$1,4)+1)),AD$2)),$E165,"")</f>
        <v/>
      </c>
      <c r="AE165" s="26" t="str" cm="1">
        <f t="array" aca="1" ref="AE165" ca="1">IF(ISNUMBER(SEARCH(INDIRECT(ADDRESS(ROW(AE165),MOD(AE$1,4)+1)),AE$2)),$E165,"")</f>
        <v/>
      </c>
      <c r="AF165" s="26" t="str" cm="1">
        <f t="array" aca="1" ref="AF165" ca="1">IF(ISNUMBER(SEARCH(INDIRECT(ADDRESS(ROW(AF165),MOD(AF$1,4)+1)),AF$2)),$E165,"")</f>
        <v/>
      </c>
      <c r="AG165" s="26" t="str" cm="1">
        <f t="array" aca="1" ref="AG165" ca="1">IF(ISNUMBER(SEARCH(INDIRECT(ADDRESS(ROW(AG165),MOD(AG$1,4)+1)),AG$2)),$E165,"")</f>
        <v/>
      </c>
      <c r="AH165" s="26" t="str" cm="1">
        <f t="array" aca="1" ref="AH165" ca="1">IF(ISNUMBER(SEARCH(INDIRECT(ADDRESS(ROW(AH165),MOD(AH$1,4)+1)),AH$2)),$E165,"")</f>
        <v/>
      </c>
      <c r="AI165" s="26" t="str" cm="1">
        <f t="array" aca="1" ref="AI165" ca="1">IF(ISNUMBER(SEARCH(INDIRECT(ADDRESS(ROW(AI165),MOD(AI$1,4)+1)),AI$2)),$E165,"")</f>
        <v/>
      </c>
      <c r="AJ165" s="26" t="str" cm="1">
        <f t="array" aca="1" ref="AJ165" ca="1">IF(ISNUMBER(SEARCH(INDIRECT(ADDRESS(ROW(AJ165),MOD(AJ$1,4)+1)),AJ$2)),$E165,"")</f>
        <v/>
      </c>
      <c r="AK165" s="26" t="str" cm="1">
        <f t="array" aca="1" ref="AK165" ca="1">IF(ISNUMBER(SEARCH(INDIRECT(ADDRESS(ROW(AK165),MOD(AK$1,4)+1)),AK$2)),$E165,"")</f>
        <v/>
      </c>
      <c r="AL165" s="26" t="str" cm="1">
        <f t="array" aca="1" ref="AL165" ca="1">IF(ISNUMBER(SEARCH(INDIRECT(ADDRESS(ROW(AL165),MOD(AL$1,4)+1)),AL$2)),$E165,"")</f>
        <v/>
      </c>
      <c r="AM165" s="26" t="str" cm="1">
        <f t="array" aca="1" ref="AM165" ca="1">IF(ISNUMBER(SEARCH(INDIRECT(ADDRESS(ROW(AM165),MOD(AM$1,4)+1)),AM$2)),$E165,"")</f>
        <v/>
      </c>
      <c r="AN165" s="26" t="str" cm="1">
        <f t="array" aca="1" ref="AN165" ca="1">IF(ISNUMBER(SEARCH(INDIRECT(ADDRESS(ROW(AN165),MOD(AN$1,4)+1)),AN$2)),$E165,"")</f>
        <v/>
      </c>
      <c r="AO165" s="26" t="str" cm="1">
        <f t="array" aca="1" ref="AO165" ca="1">IF(ISNUMBER(SEARCH(INDIRECT(ADDRESS(ROW(AO165),MOD(AO$1,4)+1)),AO$2)),$E165,"")</f>
        <v/>
      </c>
      <c r="AP165" s="26" t="str" cm="1">
        <f t="array" aca="1" ref="AP165" ca="1">IF(ISNUMBER(SEARCH(INDIRECT(ADDRESS(ROW(AP165),MOD(AP$1,4)+1)),AP$2)),$E165,"")</f>
        <v/>
      </c>
      <c r="AQ165" s="31" t="str" cm="1">
        <f t="array" aca="1" ref="AQ165" ca="1">IF(ISNUMBER(SEARCH(INDIRECT(ADDRESS(ROW(AQ165),MOD(AQ$1,4)+1)),AQ$2)),$E165,"")</f>
        <v/>
      </c>
      <c r="AT165" t="e">
        <f>IF(VLOOKUP($E165,'Formatted NEW'!$B$2:$F$202,5,FALSE)=VLOOKUP($E165,'Formatted NEW'!$B$2:$F$202,8,FALSE),$E165,"")</f>
        <v>#N/A</v>
      </c>
      <c r="AW165" t="e">
        <f>IF(VLOOKUP($E165,'Formatted NEW'!$B$2:$F$202,5,FALSE)=VLOOKUP($E165,'Formatted NEW'!$B$2:$F$202,11,FALSE),$E165,"")</f>
        <v>#N/A</v>
      </c>
      <c r="AZ165" t="e">
        <f>IF(VLOOKUP($E165,'Formatted NEW'!$B$2:$F$202,5,FALSE)=VLOOKUP($E165,'Formatted NEW'!$B$2:$F$202,14,FALSE),$E165,"")</f>
        <v>#N/A</v>
      </c>
      <c r="BC165" t="str">
        <f>VLOOKUP($E165,'Formatted NEW'!$M$2:$T$202,6,FALSE)</f>
        <v>EMPTY</v>
      </c>
      <c r="BD165" s="26" t="e">
        <f>VLOOKUP(VLOOKUP(VLOOKUP($E165,'Formatted NEW'!$M$2:$O$202,2,FALSE),'Formatted NEW'!$D$2:$F$202,7,FALSE),'Formatted NEW'!$D$2:$O$202,12,FALSE)</f>
        <v>#REF!</v>
      </c>
      <c r="BE165" t="e">
        <f>VLOOKUP($BD165,'Formatted NEW'!$M$2:$T$202,5,FALSE)</f>
        <v>#REF!</v>
      </c>
      <c r="BF165" s="26" t="e">
        <f t="shared" si="9"/>
        <v>#REF!</v>
      </c>
      <c r="BH165">
        <f>VLOOKUP($E165,'Formatted NEW'!$M$2:$T$202,4,FALSE)</f>
        <v>0</v>
      </c>
      <c r="BI165" s="26" t="e">
        <f>VLOOKUP(VLOOKUP(VLOOKUP($E165,'Formatted NEW'!$M$2:$O$202,2,FALSE),'Formatted NEW'!$D$2:$F$202,10,FALSE),'Formatted NEW'!$D$2:$O$202,12,FALSE)</f>
        <v>#REF!</v>
      </c>
      <c r="BJ165" t="e">
        <f>VLOOKUP($BI165,'Formatted NEW'!$M$2:$T$202,3,FALSE)</f>
        <v>#REF!</v>
      </c>
      <c r="BK165" s="26" t="e">
        <f t="shared" si="10"/>
        <v>#REF!</v>
      </c>
    </row>
    <row r="166" spans="1:63" x14ac:dyDescent="0.25">
      <c r="A166" t="str">
        <f>'Formatted NEW'!Q175</f>
        <v>DIAG_BACK</v>
      </c>
      <c r="B166" t="str">
        <f>'Formatted NEW'!R175</f>
        <v>DIAG_FRONT</v>
      </c>
      <c r="C166" t="str">
        <f>'Formatted NEW'!S175</f>
        <v>EMPTY</v>
      </c>
      <c r="D166" t="str">
        <f>'Formatted NEW'!T175</f>
        <v>EMPTY</v>
      </c>
      <c r="E166" s="26">
        <f t="shared" si="11"/>
        <v>162</v>
      </c>
      <c r="H166" s="30" t="str" cm="1">
        <f t="array" aca="1" ref="H166" ca="1">IF(ISNUMBER(SEARCH(INDIRECT(ADDRESS(ROW(H166),MOD(H$1,4)+1)),H$2)),$E166,"")</f>
        <v/>
      </c>
      <c r="I166" s="26" t="str" cm="1">
        <f t="array" aca="1" ref="I166" ca="1">IF(ISNUMBER(SEARCH(INDIRECT(ADDRESS(ROW(I166),MOD(I$1,4)+1)),I$2)),$E166,"")</f>
        <v/>
      </c>
      <c r="J166" s="26" t="str" cm="1">
        <f t="array" aca="1" ref="J166" ca="1">IF(ISNUMBER(SEARCH(INDIRECT(ADDRESS(ROW(J166),MOD(J$1,4)+1)),J$2)),$E166,"")</f>
        <v/>
      </c>
      <c r="K166" s="26" t="str" cm="1">
        <f t="array" aca="1" ref="K166" ca="1">IF(ISNUMBER(SEARCH(INDIRECT(ADDRESS(ROW(K166),MOD(K$1,4)+1)),K$2)),$E166,"")</f>
        <v/>
      </c>
      <c r="L166" s="26" t="str" cm="1">
        <f t="array" aca="1" ref="L166" ca="1">IF(ISNUMBER(SEARCH(INDIRECT(ADDRESS(ROW(L166),MOD(L$1,4)+1)),L$2)),$E166,"")</f>
        <v/>
      </c>
      <c r="M166" s="26" t="str" cm="1">
        <f t="array" aca="1" ref="M166" ca="1">IF(ISNUMBER(SEARCH(INDIRECT(ADDRESS(ROW(M166),MOD(M$1,4)+1)),M$2)),$E166,"")</f>
        <v/>
      </c>
      <c r="N166" s="26" t="str" cm="1">
        <f t="array" aca="1" ref="N166" ca="1">IF(ISNUMBER(SEARCH(INDIRECT(ADDRESS(ROW(N166),MOD(N$1,4)+1)),N$2)),$E166,"")</f>
        <v/>
      </c>
      <c r="O166" s="26" t="str" cm="1">
        <f t="array" aca="1" ref="O166" ca="1">IF(ISNUMBER(SEARCH(INDIRECT(ADDRESS(ROW(O166),MOD(O$1,4)+1)),O$2)),$E166,"")</f>
        <v/>
      </c>
      <c r="P166" s="26" t="str" cm="1">
        <f t="array" aca="1" ref="P166" ca="1">IF(ISNUMBER(SEARCH(INDIRECT(ADDRESS(ROW(P166),MOD(P$1,4)+1)),P$2)),$E166,"")</f>
        <v/>
      </c>
      <c r="Q166" s="26" t="str" cm="1">
        <f t="array" aca="1" ref="Q166" ca="1">IF(ISNUMBER(SEARCH(INDIRECT(ADDRESS(ROW(Q166),MOD(Q$1,4)+1)),Q$2)),$E166,"")</f>
        <v/>
      </c>
      <c r="R166" s="26" t="str" cm="1">
        <f t="array" aca="1" ref="R166" ca="1">IF(ISNUMBER(SEARCH(INDIRECT(ADDRESS(ROW(R166),MOD(R$1,4)+1)),R$2)),$E166,"")</f>
        <v/>
      </c>
      <c r="S166" s="26" t="str" cm="1">
        <f t="array" aca="1" ref="S166" ca="1">IF(ISNUMBER(SEARCH(INDIRECT(ADDRESS(ROW(S166),MOD(S$1,4)+1)),S$2)),$E166,"")</f>
        <v/>
      </c>
      <c r="T166" s="26" t="str" cm="1">
        <f t="array" aca="1" ref="T166" ca="1">IF(ISNUMBER(SEARCH(INDIRECT(ADDRESS(ROW(T166),MOD(T$1,4)+1)),T$2)),$E166,"")</f>
        <v/>
      </c>
      <c r="U166" s="26" cm="1">
        <f t="array" aca="1" ref="U166" ca="1">IF(ISNUMBER(SEARCH(INDIRECT(ADDRESS(ROW(U166),MOD(U$1,4)+1)),U$2)),$E166,"")</f>
        <v>162</v>
      </c>
      <c r="V166" s="26" t="str" cm="1">
        <f t="array" aca="1" ref="V166" ca="1">IF(ISNUMBER(SEARCH(INDIRECT(ADDRESS(ROW(V166),MOD(V$1,4)+1)),V$2)),$E166,"")</f>
        <v/>
      </c>
      <c r="W166" s="26" t="str" cm="1">
        <f t="array" aca="1" ref="W166" ca="1">IF(ISNUMBER(SEARCH(INDIRECT(ADDRESS(ROW(W166),MOD(W$1,4)+1)),W$2)),$E166,"")</f>
        <v/>
      </c>
      <c r="X166" s="26" cm="1">
        <f t="array" aca="1" ref="X166" ca="1">IF(ISNUMBER(SEARCH(INDIRECT(ADDRESS(ROW(X166),MOD(X$1,4)+1)),X$2)),$E166,"")</f>
        <v>162</v>
      </c>
      <c r="Y166" s="26" t="str" cm="1">
        <f t="array" aca="1" ref="Y166" ca="1">IF(ISNUMBER(SEARCH(INDIRECT(ADDRESS(ROW(Y166),MOD(Y$1,4)+1)),Y$2)),$E166,"")</f>
        <v/>
      </c>
      <c r="Z166" s="26" t="str" cm="1">
        <f t="array" aca="1" ref="Z166" ca="1">IF(ISNUMBER(SEARCH(INDIRECT(ADDRESS(ROW(Z166),MOD(Z$1,4)+1)),Z$2)),$E166,"")</f>
        <v/>
      </c>
      <c r="AA166" s="26" t="str" cm="1">
        <f t="array" aca="1" ref="AA166" ca="1">IF(ISNUMBER(SEARCH(INDIRECT(ADDRESS(ROW(AA166),MOD(AA$1,4)+1)),AA$2)),$E166,"")</f>
        <v/>
      </c>
      <c r="AB166" s="26" t="str" cm="1">
        <f t="array" aca="1" ref="AB166" ca="1">IF(ISNUMBER(SEARCH(INDIRECT(ADDRESS(ROW(AB166),MOD(AB$1,4)+1)),AB$2)),$E166,"")</f>
        <v/>
      </c>
      <c r="AC166" s="26" t="str" cm="1">
        <f t="array" aca="1" ref="AC166" ca="1">IF(ISNUMBER(SEARCH(INDIRECT(ADDRESS(ROW(AC166),MOD(AC$1,4)+1)),AC$2)),$E166,"")</f>
        <v/>
      </c>
      <c r="AD166" s="26" t="str" cm="1">
        <f t="array" aca="1" ref="AD166" ca="1">IF(ISNUMBER(SEARCH(INDIRECT(ADDRESS(ROW(AD166),MOD(AD$1,4)+1)),AD$2)),$E166,"")</f>
        <v/>
      </c>
      <c r="AE166" s="26" t="str" cm="1">
        <f t="array" aca="1" ref="AE166" ca="1">IF(ISNUMBER(SEARCH(INDIRECT(ADDRESS(ROW(AE166),MOD(AE$1,4)+1)),AE$2)),$E166,"")</f>
        <v/>
      </c>
      <c r="AF166" s="26" t="str" cm="1">
        <f t="array" aca="1" ref="AF166" ca="1">IF(ISNUMBER(SEARCH(INDIRECT(ADDRESS(ROW(AF166),MOD(AF$1,4)+1)),AF$2)),$E166,"")</f>
        <v/>
      </c>
      <c r="AG166" s="26" t="str" cm="1">
        <f t="array" aca="1" ref="AG166" ca="1">IF(ISNUMBER(SEARCH(INDIRECT(ADDRESS(ROW(AG166),MOD(AG$1,4)+1)),AG$2)),$E166,"")</f>
        <v/>
      </c>
      <c r="AH166" s="26" t="str" cm="1">
        <f t="array" aca="1" ref="AH166" ca="1">IF(ISNUMBER(SEARCH(INDIRECT(ADDRESS(ROW(AH166),MOD(AH$1,4)+1)),AH$2)),$E166,"")</f>
        <v/>
      </c>
      <c r="AI166" s="26" t="str" cm="1">
        <f t="array" aca="1" ref="AI166" ca="1">IF(ISNUMBER(SEARCH(INDIRECT(ADDRESS(ROW(AI166),MOD(AI$1,4)+1)),AI$2)),$E166,"")</f>
        <v/>
      </c>
      <c r="AJ166" s="26" t="str" cm="1">
        <f t="array" aca="1" ref="AJ166" ca="1">IF(ISNUMBER(SEARCH(INDIRECT(ADDRESS(ROW(AJ166),MOD(AJ$1,4)+1)),AJ$2)),$E166,"")</f>
        <v/>
      </c>
      <c r="AK166" s="26" t="str" cm="1">
        <f t="array" aca="1" ref="AK166" ca="1">IF(ISNUMBER(SEARCH(INDIRECT(ADDRESS(ROW(AK166),MOD(AK$1,4)+1)),AK$2)),$E166,"")</f>
        <v/>
      </c>
      <c r="AL166" s="26" t="str" cm="1">
        <f t="array" aca="1" ref="AL166" ca="1">IF(ISNUMBER(SEARCH(INDIRECT(ADDRESS(ROW(AL166),MOD(AL$1,4)+1)),AL$2)),$E166,"")</f>
        <v/>
      </c>
      <c r="AM166" s="26" t="str" cm="1">
        <f t="array" aca="1" ref="AM166" ca="1">IF(ISNUMBER(SEARCH(INDIRECT(ADDRESS(ROW(AM166),MOD(AM$1,4)+1)),AM$2)),$E166,"")</f>
        <v/>
      </c>
      <c r="AN166" s="26" t="str" cm="1">
        <f t="array" aca="1" ref="AN166" ca="1">IF(ISNUMBER(SEARCH(INDIRECT(ADDRESS(ROW(AN166),MOD(AN$1,4)+1)),AN$2)),$E166,"")</f>
        <v/>
      </c>
      <c r="AO166" s="26" t="str" cm="1">
        <f t="array" aca="1" ref="AO166" ca="1">IF(ISNUMBER(SEARCH(INDIRECT(ADDRESS(ROW(AO166),MOD(AO$1,4)+1)),AO$2)),$E166,"")</f>
        <v/>
      </c>
      <c r="AP166" s="26" t="str" cm="1">
        <f t="array" aca="1" ref="AP166" ca="1">IF(ISNUMBER(SEARCH(INDIRECT(ADDRESS(ROW(AP166),MOD(AP$1,4)+1)),AP$2)),$E166,"")</f>
        <v/>
      </c>
      <c r="AQ166" s="31" t="str" cm="1">
        <f t="array" aca="1" ref="AQ166" ca="1">IF(ISNUMBER(SEARCH(INDIRECT(ADDRESS(ROW(AQ166),MOD(AQ$1,4)+1)),AQ$2)),$E166,"")</f>
        <v/>
      </c>
      <c r="AT166" t="e">
        <f>IF(VLOOKUP($E166,'Formatted NEW'!$B$2:$F$202,5,FALSE)=VLOOKUP($E166,'Formatted NEW'!$B$2:$F$202,8,FALSE),$E166,"")</f>
        <v>#N/A</v>
      </c>
      <c r="AW166" t="e">
        <f>IF(VLOOKUP($E166,'Formatted NEW'!$B$2:$F$202,5,FALSE)=VLOOKUP($E166,'Formatted NEW'!$B$2:$F$202,11,FALSE),$E166,"")</f>
        <v>#N/A</v>
      </c>
      <c r="AZ166" t="e">
        <f>IF(VLOOKUP($E166,'Formatted NEW'!$B$2:$F$202,5,FALSE)=VLOOKUP($E166,'Formatted NEW'!$B$2:$F$202,14,FALSE),$E166,"")</f>
        <v>#N/A</v>
      </c>
      <c r="BC166" t="str">
        <f>VLOOKUP($E166,'Formatted NEW'!$M$2:$T$202,6,FALSE)</f>
        <v>DIAG_FRONT</v>
      </c>
      <c r="BD166" s="26" t="e">
        <f>VLOOKUP(VLOOKUP(VLOOKUP($E166,'Formatted NEW'!$M$2:$O$202,2,FALSE),'Formatted NEW'!$D$2:$F$202,7,FALSE),'Formatted NEW'!$D$2:$O$202,12,FALSE)</f>
        <v>#REF!</v>
      </c>
      <c r="BE166" t="e">
        <f>VLOOKUP($BD166,'Formatted NEW'!$M$2:$T$202,5,FALSE)</f>
        <v>#REF!</v>
      </c>
      <c r="BF166" s="26" t="e">
        <f t="shared" si="9"/>
        <v>#REF!</v>
      </c>
      <c r="BH166">
        <f>VLOOKUP($E166,'Formatted NEW'!$M$2:$T$202,4,FALSE)</f>
        <v>0</v>
      </c>
      <c r="BI166" s="26" t="e">
        <f>VLOOKUP(VLOOKUP(VLOOKUP($E166,'Formatted NEW'!$M$2:$O$202,2,FALSE),'Formatted NEW'!$D$2:$F$202,10,FALSE),'Formatted NEW'!$D$2:$O$202,12,FALSE)</f>
        <v>#REF!</v>
      </c>
      <c r="BJ166" t="e">
        <f>VLOOKUP($BI166,'Formatted NEW'!$M$2:$T$202,3,FALSE)</f>
        <v>#REF!</v>
      </c>
      <c r="BK166" s="26" t="e">
        <f t="shared" si="10"/>
        <v>#REF!</v>
      </c>
    </row>
    <row r="167" spans="1:63" x14ac:dyDescent="0.25">
      <c r="A167" t="str">
        <f>'Formatted NEW'!Q176</f>
        <v>DIAG_FRONT</v>
      </c>
      <c r="B167" t="str">
        <f>'Formatted NEW'!R176</f>
        <v>DIAG_BACK</v>
      </c>
      <c r="C167" t="str">
        <f>'Formatted NEW'!S176</f>
        <v>EMPTY</v>
      </c>
      <c r="D167" t="str">
        <f>'Formatted NEW'!T176</f>
        <v>EMPTY</v>
      </c>
      <c r="E167" s="26">
        <f t="shared" si="11"/>
        <v>163</v>
      </c>
      <c r="H167" s="30" t="str" cm="1">
        <f t="array" aca="1" ref="H167" ca="1">IF(ISNUMBER(SEARCH(INDIRECT(ADDRESS(ROW(H167),MOD(H$1,4)+1)),H$2)),$E167,"")</f>
        <v/>
      </c>
      <c r="I167" s="26" t="str" cm="1">
        <f t="array" aca="1" ref="I167" ca="1">IF(ISNUMBER(SEARCH(INDIRECT(ADDRESS(ROW(I167),MOD(I$1,4)+1)),I$2)),$E167,"")</f>
        <v/>
      </c>
      <c r="J167" s="26" t="str" cm="1">
        <f t="array" aca="1" ref="J167" ca="1">IF(ISNUMBER(SEARCH(INDIRECT(ADDRESS(ROW(J167),MOD(J$1,4)+1)),J$2)),$E167,"")</f>
        <v/>
      </c>
      <c r="K167" s="26" t="str" cm="1">
        <f t="array" aca="1" ref="K167" ca="1">IF(ISNUMBER(SEARCH(INDIRECT(ADDRESS(ROW(K167),MOD(K$1,4)+1)),K$2)),$E167,"")</f>
        <v/>
      </c>
      <c r="L167" s="26" t="str" cm="1">
        <f t="array" aca="1" ref="L167" ca="1">IF(ISNUMBER(SEARCH(INDIRECT(ADDRESS(ROW(L167),MOD(L$1,4)+1)),L$2)),$E167,"")</f>
        <v/>
      </c>
      <c r="M167" s="26" t="str" cm="1">
        <f t="array" aca="1" ref="M167" ca="1">IF(ISNUMBER(SEARCH(INDIRECT(ADDRESS(ROW(M167),MOD(M$1,4)+1)),M$2)),$E167,"")</f>
        <v/>
      </c>
      <c r="N167" s="26" t="str" cm="1">
        <f t="array" aca="1" ref="N167" ca="1">IF(ISNUMBER(SEARCH(INDIRECT(ADDRESS(ROW(N167),MOD(N$1,4)+1)),N$2)),$E167,"")</f>
        <v/>
      </c>
      <c r="O167" s="26" t="str" cm="1">
        <f t="array" aca="1" ref="O167" ca="1">IF(ISNUMBER(SEARCH(INDIRECT(ADDRESS(ROW(O167),MOD(O$1,4)+1)),O$2)),$E167,"")</f>
        <v/>
      </c>
      <c r="P167" s="26" t="str" cm="1">
        <f t="array" aca="1" ref="P167" ca="1">IF(ISNUMBER(SEARCH(INDIRECT(ADDRESS(ROW(P167),MOD(P$1,4)+1)),P$2)),$E167,"")</f>
        <v/>
      </c>
      <c r="Q167" s="26" t="str" cm="1">
        <f t="array" aca="1" ref="Q167" ca="1">IF(ISNUMBER(SEARCH(INDIRECT(ADDRESS(ROW(Q167),MOD(Q$1,4)+1)),Q$2)),$E167,"")</f>
        <v/>
      </c>
      <c r="R167" s="26" t="str" cm="1">
        <f t="array" aca="1" ref="R167" ca="1">IF(ISNUMBER(SEARCH(INDIRECT(ADDRESS(ROW(R167),MOD(R$1,4)+1)),R$2)),$E167,"")</f>
        <v/>
      </c>
      <c r="S167" s="26" t="str" cm="1">
        <f t="array" aca="1" ref="S167" ca="1">IF(ISNUMBER(SEARCH(INDIRECT(ADDRESS(ROW(S167),MOD(S$1,4)+1)),S$2)),$E167,"")</f>
        <v/>
      </c>
      <c r="T167" s="26" cm="1">
        <f t="array" aca="1" ref="T167" ca="1">IF(ISNUMBER(SEARCH(INDIRECT(ADDRESS(ROW(T167),MOD(T$1,4)+1)),T$2)),$E167,"")</f>
        <v>163</v>
      </c>
      <c r="U167" s="26" t="str" cm="1">
        <f t="array" aca="1" ref="U167" ca="1">IF(ISNUMBER(SEARCH(INDIRECT(ADDRESS(ROW(U167),MOD(U$1,4)+1)),U$2)),$E167,"")</f>
        <v/>
      </c>
      <c r="V167" s="26" t="str" cm="1">
        <f t="array" aca="1" ref="V167" ca="1">IF(ISNUMBER(SEARCH(INDIRECT(ADDRESS(ROW(V167),MOD(V$1,4)+1)),V$2)),$E167,"")</f>
        <v/>
      </c>
      <c r="W167" s="26" t="str" cm="1">
        <f t="array" aca="1" ref="W167" ca="1">IF(ISNUMBER(SEARCH(INDIRECT(ADDRESS(ROW(W167),MOD(W$1,4)+1)),W$2)),$E167,"")</f>
        <v/>
      </c>
      <c r="X167" s="26" t="str" cm="1">
        <f t="array" aca="1" ref="X167" ca="1">IF(ISNUMBER(SEARCH(INDIRECT(ADDRESS(ROW(X167),MOD(X$1,4)+1)),X$2)),$E167,"")</f>
        <v/>
      </c>
      <c r="Y167" s="26" cm="1">
        <f t="array" aca="1" ref="Y167" ca="1">IF(ISNUMBER(SEARCH(INDIRECT(ADDRESS(ROW(Y167),MOD(Y$1,4)+1)),Y$2)),$E167,"")</f>
        <v>163</v>
      </c>
      <c r="Z167" s="26" t="str" cm="1">
        <f t="array" aca="1" ref="Z167" ca="1">IF(ISNUMBER(SEARCH(INDIRECT(ADDRESS(ROW(Z167),MOD(Z$1,4)+1)),Z$2)),$E167,"")</f>
        <v/>
      </c>
      <c r="AA167" s="26" t="str" cm="1">
        <f t="array" aca="1" ref="AA167" ca="1">IF(ISNUMBER(SEARCH(INDIRECT(ADDRESS(ROW(AA167),MOD(AA$1,4)+1)),AA$2)),$E167,"")</f>
        <v/>
      </c>
      <c r="AB167" s="26" t="str" cm="1">
        <f t="array" aca="1" ref="AB167" ca="1">IF(ISNUMBER(SEARCH(INDIRECT(ADDRESS(ROW(AB167),MOD(AB$1,4)+1)),AB$2)),$E167,"")</f>
        <v/>
      </c>
      <c r="AC167" s="26" t="str" cm="1">
        <f t="array" aca="1" ref="AC167" ca="1">IF(ISNUMBER(SEARCH(INDIRECT(ADDRESS(ROW(AC167),MOD(AC$1,4)+1)),AC$2)),$E167,"")</f>
        <v/>
      </c>
      <c r="AD167" s="26" t="str" cm="1">
        <f t="array" aca="1" ref="AD167" ca="1">IF(ISNUMBER(SEARCH(INDIRECT(ADDRESS(ROW(AD167),MOD(AD$1,4)+1)),AD$2)),$E167,"")</f>
        <v/>
      </c>
      <c r="AE167" s="26" t="str" cm="1">
        <f t="array" aca="1" ref="AE167" ca="1">IF(ISNUMBER(SEARCH(INDIRECT(ADDRESS(ROW(AE167),MOD(AE$1,4)+1)),AE$2)),$E167,"")</f>
        <v/>
      </c>
      <c r="AF167" s="26" t="str" cm="1">
        <f t="array" aca="1" ref="AF167" ca="1">IF(ISNUMBER(SEARCH(INDIRECT(ADDRESS(ROW(AF167),MOD(AF$1,4)+1)),AF$2)),$E167,"")</f>
        <v/>
      </c>
      <c r="AG167" s="26" t="str" cm="1">
        <f t="array" aca="1" ref="AG167" ca="1">IF(ISNUMBER(SEARCH(INDIRECT(ADDRESS(ROW(AG167),MOD(AG$1,4)+1)),AG$2)),$E167,"")</f>
        <v/>
      </c>
      <c r="AH167" s="26" t="str" cm="1">
        <f t="array" aca="1" ref="AH167" ca="1">IF(ISNUMBER(SEARCH(INDIRECT(ADDRESS(ROW(AH167),MOD(AH$1,4)+1)),AH$2)),$E167,"")</f>
        <v/>
      </c>
      <c r="AI167" s="26" t="str" cm="1">
        <f t="array" aca="1" ref="AI167" ca="1">IF(ISNUMBER(SEARCH(INDIRECT(ADDRESS(ROW(AI167),MOD(AI$1,4)+1)),AI$2)),$E167,"")</f>
        <v/>
      </c>
      <c r="AJ167" s="26" t="str" cm="1">
        <f t="array" aca="1" ref="AJ167" ca="1">IF(ISNUMBER(SEARCH(INDIRECT(ADDRESS(ROW(AJ167),MOD(AJ$1,4)+1)),AJ$2)),$E167,"")</f>
        <v/>
      </c>
      <c r="AK167" s="26" t="str" cm="1">
        <f t="array" aca="1" ref="AK167" ca="1">IF(ISNUMBER(SEARCH(INDIRECT(ADDRESS(ROW(AK167),MOD(AK$1,4)+1)),AK$2)),$E167,"")</f>
        <v/>
      </c>
      <c r="AL167" s="26" t="str" cm="1">
        <f t="array" aca="1" ref="AL167" ca="1">IF(ISNUMBER(SEARCH(INDIRECT(ADDRESS(ROW(AL167),MOD(AL$1,4)+1)),AL$2)),$E167,"")</f>
        <v/>
      </c>
      <c r="AM167" s="26" t="str" cm="1">
        <f t="array" aca="1" ref="AM167" ca="1">IF(ISNUMBER(SEARCH(INDIRECT(ADDRESS(ROW(AM167),MOD(AM$1,4)+1)),AM$2)),$E167,"")</f>
        <v/>
      </c>
      <c r="AN167" s="26" t="str" cm="1">
        <f t="array" aca="1" ref="AN167" ca="1">IF(ISNUMBER(SEARCH(INDIRECT(ADDRESS(ROW(AN167),MOD(AN$1,4)+1)),AN$2)),$E167,"")</f>
        <v/>
      </c>
      <c r="AO167" s="26" t="str" cm="1">
        <f t="array" aca="1" ref="AO167" ca="1">IF(ISNUMBER(SEARCH(INDIRECT(ADDRESS(ROW(AO167),MOD(AO$1,4)+1)),AO$2)),$E167,"")</f>
        <v/>
      </c>
      <c r="AP167" s="26" t="str" cm="1">
        <f t="array" aca="1" ref="AP167" ca="1">IF(ISNUMBER(SEARCH(INDIRECT(ADDRESS(ROW(AP167),MOD(AP$1,4)+1)),AP$2)),$E167,"")</f>
        <v/>
      </c>
      <c r="AQ167" s="31" t="str" cm="1">
        <f t="array" aca="1" ref="AQ167" ca="1">IF(ISNUMBER(SEARCH(INDIRECT(ADDRESS(ROW(AQ167),MOD(AQ$1,4)+1)),AQ$2)),$E167,"")</f>
        <v/>
      </c>
      <c r="AT167" t="e">
        <f>IF(VLOOKUP($E167,'Formatted NEW'!$B$2:$F$202,5,FALSE)=VLOOKUP($E167,'Formatted NEW'!$B$2:$F$202,8,FALSE),$E167,"")</f>
        <v>#N/A</v>
      </c>
      <c r="AW167" t="e">
        <f>IF(VLOOKUP($E167,'Formatted NEW'!$B$2:$F$202,5,FALSE)=VLOOKUP($E167,'Formatted NEW'!$B$2:$F$202,11,FALSE),$E167,"")</f>
        <v>#N/A</v>
      </c>
      <c r="AZ167" t="e">
        <f>IF(VLOOKUP($E167,'Formatted NEW'!$B$2:$F$202,5,FALSE)=VLOOKUP($E167,'Formatted NEW'!$B$2:$F$202,14,FALSE),$E167,"")</f>
        <v>#N/A</v>
      </c>
      <c r="BC167" t="str">
        <f>VLOOKUP($E167,'Formatted NEW'!$M$2:$T$202,6,FALSE)</f>
        <v>DIAG_BACK</v>
      </c>
      <c r="BD167" s="26" t="e">
        <f>VLOOKUP(VLOOKUP(VLOOKUP($E167,'Formatted NEW'!$M$2:$O$202,2,FALSE),'Formatted NEW'!$D$2:$F$202,7,FALSE),'Formatted NEW'!$D$2:$O$202,12,FALSE)</f>
        <v>#REF!</v>
      </c>
      <c r="BE167" t="e">
        <f>VLOOKUP($BD167,'Formatted NEW'!$M$2:$T$202,5,FALSE)</f>
        <v>#REF!</v>
      </c>
      <c r="BF167" s="26" t="e">
        <f t="shared" si="9"/>
        <v>#REF!</v>
      </c>
      <c r="BH167">
        <f>VLOOKUP($E167,'Formatted NEW'!$M$2:$T$202,4,FALSE)</f>
        <v>0</v>
      </c>
      <c r="BI167" s="26" t="e">
        <f>VLOOKUP(VLOOKUP(VLOOKUP($E167,'Formatted NEW'!$M$2:$O$202,2,FALSE),'Formatted NEW'!$D$2:$F$202,10,FALSE),'Formatted NEW'!$D$2:$O$202,12,FALSE)</f>
        <v>#REF!</v>
      </c>
      <c r="BJ167" t="e">
        <f>VLOOKUP($BI167,'Formatted NEW'!$M$2:$T$202,3,FALSE)</f>
        <v>#REF!</v>
      </c>
      <c r="BK167" s="26" t="e">
        <f t="shared" si="10"/>
        <v>#REF!</v>
      </c>
    </row>
    <row r="168" spans="1:63" x14ac:dyDescent="0.25">
      <c r="A168" t="str">
        <f>'Formatted NEW'!Q177</f>
        <v>EMPTY</v>
      </c>
      <c r="B168" t="str">
        <f>'Formatted NEW'!R177</f>
        <v>DIAG_BOTH</v>
      </c>
      <c r="C168" t="str">
        <f>'Formatted NEW'!S177</f>
        <v>EMPTY</v>
      </c>
      <c r="D168" t="str">
        <f>'Formatted NEW'!T177</f>
        <v>ORTHO_BOTH</v>
      </c>
      <c r="E168" s="26">
        <f t="shared" si="11"/>
        <v>164</v>
      </c>
      <c r="H168" s="30" t="str" cm="1">
        <f t="array" aca="1" ref="H168" ca="1">IF(ISNUMBER(SEARCH(INDIRECT(ADDRESS(ROW(H168),MOD(H$1,4)+1)),H$2)),$E168,"")</f>
        <v/>
      </c>
      <c r="I168" s="26" t="str" cm="1">
        <f t="array" aca="1" ref="I168" ca="1">IF(ISNUMBER(SEARCH(INDIRECT(ADDRESS(ROW(I168),MOD(I$1,4)+1)),I$2)),$E168,"")</f>
        <v/>
      </c>
      <c r="J168" s="26" t="str" cm="1">
        <f t="array" aca="1" ref="J168" ca="1">IF(ISNUMBER(SEARCH(INDIRECT(ADDRESS(ROW(J168),MOD(J$1,4)+1)),J$2)),$E168,"")</f>
        <v/>
      </c>
      <c r="K168" s="26" t="str" cm="1">
        <f t="array" aca="1" ref="K168" ca="1">IF(ISNUMBER(SEARCH(INDIRECT(ADDRESS(ROW(K168),MOD(K$1,4)+1)),K$2)),$E168,"")</f>
        <v/>
      </c>
      <c r="L168" s="26" t="str" cm="1">
        <f t="array" aca="1" ref="L168" ca="1">IF(ISNUMBER(SEARCH(INDIRECT(ADDRESS(ROW(L168),MOD(L$1,4)+1)),L$2)),$E168,"")</f>
        <v/>
      </c>
      <c r="M168" s="26" cm="1">
        <f t="array" aca="1" ref="M168" ca="1">IF(ISNUMBER(SEARCH(INDIRECT(ADDRESS(ROW(M168),MOD(M$1,4)+1)),M$2)),$E168,"")</f>
        <v>164</v>
      </c>
      <c r="N168" s="26" t="str" cm="1">
        <f t="array" aca="1" ref="N168" ca="1">IF(ISNUMBER(SEARCH(INDIRECT(ADDRESS(ROW(N168),MOD(N$1,4)+1)),N$2)),$E168,"")</f>
        <v/>
      </c>
      <c r="O168" s="26" t="str" cm="1">
        <f t="array" aca="1" ref="O168" ca="1">IF(ISNUMBER(SEARCH(INDIRECT(ADDRESS(ROW(O168),MOD(O$1,4)+1)),O$2)),$E168,"")</f>
        <v/>
      </c>
      <c r="P168" s="26" t="str" cm="1">
        <f t="array" aca="1" ref="P168" ca="1">IF(ISNUMBER(SEARCH(INDIRECT(ADDRESS(ROW(P168),MOD(P$1,4)+1)),P$2)),$E168,"")</f>
        <v/>
      </c>
      <c r="Q168" s="26" t="str" cm="1">
        <f t="array" aca="1" ref="Q168" ca="1">IF(ISNUMBER(SEARCH(INDIRECT(ADDRESS(ROW(Q168),MOD(Q$1,4)+1)),Q$2)),$E168,"")</f>
        <v/>
      </c>
      <c r="R168" s="26" t="str" cm="1">
        <f t="array" aca="1" ref="R168" ca="1">IF(ISNUMBER(SEARCH(INDIRECT(ADDRESS(ROW(R168),MOD(R$1,4)+1)),R$2)),$E168,"")</f>
        <v/>
      </c>
      <c r="S168" s="26" cm="1">
        <f t="array" aca="1" ref="S168" ca="1">IF(ISNUMBER(SEARCH(INDIRECT(ADDRESS(ROW(S168),MOD(S$1,4)+1)),S$2)),$E168,"")</f>
        <v>164</v>
      </c>
      <c r="T168" s="26" t="str" cm="1">
        <f t="array" aca="1" ref="T168" ca="1">IF(ISNUMBER(SEARCH(INDIRECT(ADDRESS(ROW(T168),MOD(T$1,4)+1)),T$2)),$E168,"")</f>
        <v/>
      </c>
      <c r="U168" s="26" t="str" cm="1">
        <f t="array" aca="1" ref="U168" ca="1">IF(ISNUMBER(SEARCH(INDIRECT(ADDRESS(ROW(U168),MOD(U$1,4)+1)),U$2)),$E168,"")</f>
        <v/>
      </c>
      <c r="V168" s="26" t="str" cm="1">
        <f t="array" aca="1" ref="V168" ca="1">IF(ISNUMBER(SEARCH(INDIRECT(ADDRESS(ROW(V168),MOD(V$1,4)+1)),V$2)),$E168,"")</f>
        <v/>
      </c>
      <c r="W168" s="26" t="str" cm="1">
        <f t="array" aca="1" ref="W168" ca="1">IF(ISNUMBER(SEARCH(INDIRECT(ADDRESS(ROW(W168),MOD(W$1,4)+1)),W$2)),$E168,"")</f>
        <v/>
      </c>
      <c r="X168" s="26" t="str" cm="1">
        <f t="array" aca="1" ref="X168" ca="1">IF(ISNUMBER(SEARCH(INDIRECT(ADDRESS(ROW(X168),MOD(X$1,4)+1)),X$2)),$E168,"")</f>
        <v/>
      </c>
      <c r="Y168" s="26" t="str" cm="1">
        <f t="array" aca="1" ref="Y168" ca="1">IF(ISNUMBER(SEARCH(INDIRECT(ADDRESS(ROW(Y168),MOD(Y$1,4)+1)),Y$2)),$E168,"")</f>
        <v/>
      </c>
      <c r="Z168" s="26" t="str" cm="1">
        <f t="array" aca="1" ref="Z168" ca="1">IF(ISNUMBER(SEARCH(INDIRECT(ADDRESS(ROW(Z168),MOD(Z$1,4)+1)),Z$2)),$E168,"")</f>
        <v/>
      </c>
      <c r="AA168" s="26" t="str" cm="1">
        <f t="array" aca="1" ref="AA168" ca="1">IF(ISNUMBER(SEARCH(INDIRECT(ADDRESS(ROW(AA168),MOD(AA$1,4)+1)),AA$2)),$E168,"")</f>
        <v/>
      </c>
      <c r="AB168" s="26" t="str" cm="1">
        <f t="array" aca="1" ref="AB168" ca="1">IF(ISNUMBER(SEARCH(INDIRECT(ADDRESS(ROW(AB168),MOD(AB$1,4)+1)),AB$2)),$E168,"")</f>
        <v/>
      </c>
      <c r="AC168" s="26" t="str" cm="1">
        <f t="array" aca="1" ref="AC168" ca="1">IF(ISNUMBER(SEARCH(INDIRECT(ADDRESS(ROW(AC168),MOD(AC$1,4)+1)),AC$2)),$E168,"")</f>
        <v/>
      </c>
      <c r="AD168" s="26" t="str" cm="1">
        <f t="array" aca="1" ref="AD168" ca="1">IF(ISNUMBER(SEARCH(INDIRECT(ADDRESS(ROW(AD168),MOD(AD$1,4)+1)),AD$2)),$E168,"")</f>
        <v/>
      </c>
      <c r="AE168" s="26" t="str" cm="1">
        <f t="array" aca="1" ref="AE168" ca="1">IF(ISNUMBER(SEARCH(INDIRECT(ADDRESS(ROW(AE168),MOD(AE$1,4)+1)),AE$2)),$E168,"")</f>
        <v/>
      </c>
      <c r="AF168" s="26" t="str" cm="1">
        <f t="array" aca="1" ref="AF168" ca="1">IF(ISNUMBER(SEARCH(INDIRECT(ADDRESS(ROW(AF168),MOD(AF$1,4)+1)),AF$2)),$E168,"")</f>
        <v/>
      </c>
      <c r="AG168" s="26" t="str" cm="1">
        <f t="array" aca="1" ref="AG168" ca="1">IF(ISNUMBER(SEARCH(INDIRECT(ADDRESS(ROW(AG168),MOD(AG$1,4)+1)),AG$2)),$E168,"")</f>
        <v/>
      </c>
      <c r="AH168" s="26" t="str" cm="1">
        <f t="array" aca="1" ref="AH168" ca="1">IF(ISNUMBER(SEARCH(INDIRECT(ADDRESS(ROW(AH168),MOD(AH$1,4)+1)),AH$2)),$E168,"")</f>
        <v/>
      </c>
      <c r="AI168" s="26" t="str" cm="1">
        <f t="array" aca="1" ref="AI168" ca="1">IF(ISNUMBER(SEARCH(INDIRECT(ADDRESS(ROW(AI168),MOD(AI$1,4)+1)),AI$2)),$E168,"")</f>
        <v/>
      </c>
      <c r="AJ168" s="26" t="str" cm="1">
        <f t="array" aca="1" ref="AJ168" ca="1">IF(ISNUMBER(SEARCH(INDIRECT(ADDRESS(ROW(AJ168),MOD(AJ$1,4)+1)),AJ$2)),$E168,"")</f>
        <v/>
      </c>
      <c r="AK168" s="26" t="str" cm="1">
        <f t="array" aca="1" ref="AK168" ca="1">IF(ISNUMBER(SEARCH(INDIRECT(ADDRESS(ROW(AK168),MOD(AK$1,4)+1)),AK$2)),$E168,"")</f>
        <v/>
      </c>
      <c r="AL168" s="26" t="str" cm="1">
        <f t="array" aca="1" ref="AL168" ca="1">IF(ISNUMBER(SEARCH(INDIRECT(ADDRESS(ROW(AL168),MOD(AL$1,4)+1)),AL$2)),$E168,"")</f>
        <v/>
      </c>
      <c r="AM168" s="26" t="str" cm="1">
        <f t="array" aca="1" ref="AM168" ca="1">IF(ISNUMBER(SEARCH(INDIRECT(ADDRESS(ROW(AM168),MOD(AM$1,4)+1)),AM$2)),$E168,"")</f>
        <v/>
      </c>
      <c r="AN168" s="26" t="str" cm="1">
        <f t="array" aca="1" ref="AN168" ca="1">IF(ISNUMBER(SEARCH(INDIRECT(ADDRESS(ROW(AN168),MOD(AN$1,4)+1)),AN$2)),$E168,"")</f>
        <v/>
      </c>
      <c r="AO168" s="26" t="str" cm="1">
        <f t="array" aca="1" ref="AO168" ca="1">IF(ISNUMBER(SEARCH(INDIRECT(ADDRESS(ROW(AO168),MOD(AO$1,4)+1)),AO$2)),$E168,"")</f>
        <v/>
      </c>
      <c r="AP168" s="26" t="str" cm="1">
        <f t="array" aca="1" ref="AP168" ca="1">IF(ISNUMBER(SEARCH(INDIRECT(ADDRESS(ROW(AP168),MOD(AP$1,4)+1)),AP$2)),$E168,"")</f>
        <v/>
      </c>
      <c r="AQ168" s="31" t="str" cm="1">
        <f t="array" aca="1" ref="AQ168" ca="1">IF(ISNUMBER(SEARCH(INDIRECT(ADDRESS(ROW(AQ168),MOD(AQ$1,4)+1)),AQ$2)),$E168,"")</f>
        <v/>
      </c>
      <c r="AT168" t="e">
        <f>IF(VLOOKUP($E168,'Formatted NEW'!$B$2:$F$202,5,FALSE)=VLOOKUP($E168,'Formatted NEW'!$B$2:$F$202,8,FALSE),$E168,"")</f>
        <v>#N/A</v>
      </c>
      <c r="AW168" t="e">
        <f>IF(VLOOKUP($E168,'Formatted NEW'!$B$2:$F$202,5,FALSE)=VLOOKUP($E168,'Formatted NEW'!$B$2:$F$202,11,FALSE),$E168,"")</f>
        <v>#N/A</v>
      </c>
      <c r="AZ168" t="e">
        <f>IF(VLOOKUP($E168,'Formatted NEW'!$B$2:$F$202,5,FALSE)=VLOOKUP($E168,'Formatted NEW'!$B$2:$F$202,14,FALSE),$E168,"")</f>
        <v>#N/A</v>
      </c>
      <c r="BC168" t="str">
        <f>VLOOKUP($E168,'Formatted NEW'!$M$2:$T$202,6,FALSE)</f>
        <v>DIAG_BOTH</v>
      </c>
      <c r="BD168" s="26" t="e">
        <f>VLOOKUP(VLOOKUP(VLOOKUP($E168,'Formatted NEW'!$M$2:$O$202,2,FALSE),'Formatted NEW'!$D$2:$F$202,7,FALSE),'Formatted NEW'!$D$2:$O$202,12,FALSE)</f>
        <v>#REF!</v>
      </c>
      <c r="BE168" t="e">
        <f>VLOOKUP($BD168,'Formatted NEW'!$M$2:$T$202,5,FALSE)</f>
        <v>#REF!</v>
      </c>
      <c r="BF168" s="26" t="e">
        <f t="shared" si="9"/>
        <v>#REF!</v>
      </c>
      <c r="BH168">
        <f>VLOOKUP($E168,'Formatted NEW'!$M$2:$T$202,4,FALSE)</f>
        <v>0</v>
      </c>
      <c r="BI168" s="26" t="e">
        <f>VLOOKUP(VLOOKUP(VLOOKUP($E168,'Formatted NEW'!$M$2:$O$202,2,FALSE),'Formatted NEW'!$D$2:$F$202,10,FALSE),'Formatted NEW'!$D$2:$O$202,12,FALSE)</f>
        <v>#REF!</v>
      </c>
      <c r="BJ168" t="e">
        <f>VLOOKUP($BI168,'Formatted NEW'!$M$2:$T$202,3,FALSE)</f>
        <v>#REF!</v>
      </c>
      <c r="BK168" s="26" t="e">
        <f t="shared" si="10"/>
        <v>#REF!</v>
      </c>
    </row>
    <row r="169" spans="1:63" x14ac:dyDescent="0.25">
      <c r="A169" t="str">
        <f>'Formatted NEW'!Q178</f>
        <v>EMPTY</v>
      </c>
      <c r="B169" t="str">
        <f>'Formatted NEW'!R178</f>
        <v>DIAG_BOTH</v>
      </c>
      <c r="C169" t="str">
        <f>'Formatted NEW'!S178</f>
        <v>ORTHO_BOTH</v>
      </c>
      <c r="D169" t="str">
        <f>'Formatted NEW'!T178</f>
        <v>EMPTY</v>
      </c>
      <c r="E169" s="26">
        <f t="shared" si="11"/>
        <v>165</v>
      </c>
      <c r="H169" s="30" t="str" cm="1">
        <f t="array" aca="1" ref="H169" ca="1">IF(ISNUMBER(SEARCH(INDIRECT(ADDRESS(ROW(H169),MOD(H$1,4)+1)),H$2)),$E169,"")</f>
        <v/>
      </c>
      <c r="I169" s="26" t="str" cm="1">
        <f t="array" aca="1" ref="I169" ca="1">IF(ISNUMBER(SEARCH(INDIRECT(ADDRESS(ROW(I169),MOD(I$1,4)+1)),I$2)),$E169,"")</f>
        <v/>
      </c>
      <c r="J169" s="26" t="str" cm="1">
        <f t="array" aca="1" ref="J169" ca="1">IF(ISNUMBER(SEARCH(INDIRECT(ADDRESS(ROW(J169),MOD(J$1,4)+1)),J$2)),$E169,"")</f>
        <v/>
      </c>
      <c r="K169" s="26" t="str" cm="1">
        <f t="array" aca="1" ref="K169" ca="1">IF(ISNUMBER(SEARCH(INDIRECT(ADDRESS(ROW(K169),MOD(K$1,4)+1)),K$2)),$E169,"")</f>
        <v/>
      </c>
      <c r="L169" s="26" t="str" cm="1">
        <f t="array" aca="1" ref="L169" ca="1">IF(ISNUMBER(SEARCH(INDIRECT(ADDRESS(ROW(L169),MOD(L$1,4)+1)),L$2)),$E169,"")</f>
        <v/>
      </c>
      <c r="M169" s="26" cm="1">
        <f t="array" aca="1" ref="M169" ca="1">IF(ISNUMBER(SEARCH(INDIRECT(ADDRESS(ROW(M169),MOD(M$1,4)+1)),M$2)),$E169,"")</f>
        <v>165</v>
      </c>
      <c r="N169" s="26" t="str" cm="1">
        <f t="array" aca="1" ref="N169" ca="1">IF(ISNUMBER(SEARCH(INDIRECT(ADDRESS(ROW(N169),MOD(N$1,4)+1)),N$2)),$E169,"")</f>
        <v/>
      </c>
      <c r="O169" s="26" t="str" cm="1">
        <f t="array" aca="1" ref="O169" ca="1">IF(ISNUMBER(SEARCH(INDIRECT(ADDRESS(ROW(O169),MOD(O$1,4)+1)),O$2)),$E169,"")</f>
        <v/>
      </c>
      <c r="P169" s="26" t="str" cm="1">
        <f t="array" aca="1" ref="P169" ca="1">IF(ISNUMBER(SEARCH(INDIRECT(ADDRESS(ROW(P169),MOD(P$1,4)+1)),P$2)),$E169,"")</f>
        <v/>
      </c>
      <c r="Q169" s="26" t="str" cm="1">
        <f t="array" aca="1" ref="Q169" ca="1">IF(ISNUMBER(SEARCH(INDIRECT(ADDRESS(ROW(Q169),MOD(Q$1,4)+1)),Q$2)),$E169,"")</f>
        <v/>
      </c>
      <c r="R169" s="26" cm="1">
        <f t="array" aca="1" ref="R169" ca="1">IF(ISNUMBER(SEARCH(INDIRECT(ADDRESS(ROW(R169),MOD(R$1,4)+1)),R$2)),$E169,"")</f>
        <v>165</v>
      </c>
      <c r="S169" s="26" t="str" cm="1">
        <f t="array" aca="1" ref="S169" ca="1">IF(ISNUMBER(SEARCH(INDIRECT(ADDRESS(ROW(S169),MOD(S$1,4)+1)),S$2)),$E169,"")</f>
        <v/>
      </c>
      <c r="T169" s="26" t="str" cm="1">
        <f t="array" aca="1" ref="T169" ca="1">IF(ISNUMBER(SEARCH(INDIRECT(ADDRESS(ROW(T169),MOD(T$1,4)+1)),T$2)),$E169,"")</f>
        <v/>
      </c>
      <c r="U169" s="26" t="str" cm="1">
        <f t="array" aca="1" ref="U169" ca="1">IF(ISNUMBER(SEARCH(INDIRECT(ADDRESS(ROW(U169),MOD(U$1,4)+1)),U$2)),$E169,"")</f>
        <v/>
      </c>
      <c r="V169" s="26" t="str" cm="1">
        <f t="array" aca="1" ref="V169" ca="1">IF(ISNUMBER(SEARCH(INDIRECT(ADDRESS(ROW(V169),MOD(V$1,4)+1)),V$2)),$E169,"")</f>
        <v/>
      </c>
      <c r="W169" s="26" t="str" cm="1">
        <f t="array" aca="1" ref="W169" ca="1">IF(ISNUMBER(SEARCH(INDIRECT(ADDRESS(ROW(W169),MOD(W$1,4)+1)),W$2)),$E169,"")</f>
        <v/>
      </c>
      <c r="X169" s="26" t="str" cm="1">
        <f t="array" aca="1" ref="X169" ca="1">IF(ISNUMBER(SEARCH(INDIRECT(ADDRESS(ROW(X169),MOD(X$1,4)+1)),X$2)),$E169,"")</f>
        <v/>
      </c>
      <c r="Y169" s="26" t="str" cm="1">
        <f t="array" aca="1" ref="Y169" ca="1">IF(ISNUMBER(SEARCH(INDIRECT(ADDRESS(ROW(Y169),MOD(Y$1,4)+1)),Y$2)),$E169,"")</f>
        <v/>
      </c>
      <c r="Z169" s="26" t="str" cm="1">
        <f t="array" aca="1" ref="Z169" ca="1">IF(ISNUMBER(SEARCH(INDIRECT(ADDRESS(ROW(Z169),MOD(Z$1,4)+1)),Z$2)),$E169,"")</f>
        <v/>
      </c>
      <c r="AA169" s="26" t="str" cm="1">
        <f t="array" aca="1" ref="AA169" ca="1">IF(ISNUMBER(SEARCH(INDIRECT(ADDRESS(ROW(AA169),MOD(AA$1,4)+1)),AA$2)),$E169,"")</f>
        <v/>
      </c>
      <c r="AB169" s="26" t="str" cm="1">
        <f t="array" aca="1" ref="AB169" ca="1">IF(ISNUMBER(SEARCH(INDIRECT(ADDRESS(ROW(AB169),MOD(AB$1,4)+1)),AB$2)),$E169,"")</f>
        <v/>
      </c>
      <c r="AC169" s="26" t="str" cm="1">
        <f t="array" aca="1" ref="AC169" ca="1">IF(ISNUMBER(SEARCH(INDIRECT(ADDRESS(ROW(AC169),MOD(AC$1,4)+1)),AC$2)),$E169,"")</f>
        <v/>
      </c>
      <c r="AD169" s="26" t="str" cm="1">
        <f t="array" aca="1" ref="AD169" ca="1">IF(ISNUMBER(SEARCH(INDIRECT(ADDRESS(ROW(AD169),MOD(AD$1,4)+1)),AD$2)),$E169,"")</f>
        <v/>
      </c>
      <c r="AE169" s="26" t="str" cm="1">
        <f t="array" aca="1" ref="AE169" ca="1">IF(ISNUMBER(SEARCH(INDIRECT(ADDRESS(ROW(AE169),MOD(AE$1,4)+1)),AE$2)),$E169,"")</f>
        <v/>
      </c>
      <c r="AF169" s="26" t="str" cm="1">
        <f t="array" aca="1" ref="AF169" ca="1">IF(ISNUMBER(SEARCH(INDIRECT(ADDRESS(ROW(AF169),MOD(AF$1,4)+1)),AF$2)),$E169,"")</f>
        <v/>
      </c>
      <c r="AG169" s="26" t="str" cm="1">
        <f t="array" aca="1" ref="AG169" ca="1">IF(ISNUMBER(SEARCH(INDIRECT(ADDRESS(ROW(AG169),MOD(AG$1,4)+1)),AG$2)),$E169,"")</f>
        <v/>
      </c>
      <c r="AH169" s="26" t="str" cm="1">
        <f t="array" aca="1" ref="AH169" ca="1">IF(ISNUMBER(SEARCH(INDIRECT(ADDRESS(ROW(AH169),MOD(AH$1,4)+1)),AH$2)),$E169,"")</f>
        <v/>
      </c>
      <c r="AI169" s="26" t="str" cm="1">
        <f t="array" aca="1" ref="AI169" ca="1">IF(ISNUMBER(SEARCH(INDIRECT(ADDRESS(ROW(AI169),MOD(AI$1,4)+1)),AI$2)),$E169,"")</f>
        <v/>
      </c>
      <c r="AJ169" s="26" t="str" cm="1">
        <f t="array" aca="1" ref="AJ169" ca="1">IF(ISNUMBER(SEARCH(INDIRECT(ADDRESS(ROW(AJ169),MOD(AJ$1,4)+1)),AJ$2)),$E169,"")</f>
        <v/>
      </c>
      <c r="AK169" s="26" t="str" cm="1">
        <f t="array" aca="1" ref="AK169" ca="1">IF(ISNUMBER(SEARCH(INDIRECT(ADDRESS(ROW(AK169),MOD(AK$1,4)+1)),AK$2)),$E169,"")</f>
        <v/>
      </c>
      <c r="AL169" s="26" t="str" cm="1">
        <f t="array" aca="1" ref="AL169" ca="1">IF(ISNUMBER(SEARCH(INDIRECT(ADDRESS(ROW(AL169),MOD(AL$1,4)+1)),AL$2)),$E169,"")</f>
        <v/>
      </c>
      <c r="AM169" s="26" t="str" cm="1">
        <f t="array" aca="1" ref="AM169" ca="1">IF(ISNUMBER(SEARCH(INDIRECT(ADDRESS(ROW(AM169),MOD(AM$1,4)+1)),AM$2)),$E169,"")</f>
        <v/>
      </c>
      <c r="AN169" s="26" t="str" cm="1">
        <f t="array" aca="1" ref="AN169" ca="1">IF(ISNUMBER(SEARCH(INDIRECT(ADDRESS(ROW(AN169),MOD(AN$1,4)+1)),AN$2)),$E169,"")</f>
        <v/>
      </c>
      <c r="AO169" s="26" t="str" cm="1">
        <f t="array" aca="1" ref="AO169" ca="1">IF(ISNUMBER(SEARCH(INDIRECT(ADDRESS(ROW(AO169),MOD(AO$1,4)+1)),AO$2)),$E169,"")</f>
        <v/>
      </c>
      <c r="AP169" s="26" t="str" cm="1">
        <f t="array" aca="1" ref="AP169" ca="1">IF(ISNUMBER(SEARCH(INDIRECT(ADDRESS(ROW(AP169),MOD(AP$1,4)+1)),AP$2)),$E169,"")</f>
        <v/>
      </c>
      <c r="AQ169" s="31" t="str" cm="1">
        <f t="array" aca="1" ref="AQ169" ca="1">IF(ISNUMBER(SEARCH(INDIRECT(ADDRESS(ROW(AQ169),MOD(AQ$1,4)+1)),AQ$2)),$E169,"")</f>
        <v/>
      </c>
      <c r="AT169" t="e">
        <f>IF(VLOOKUP($E169,'Formatted NEW'!$B$2:$F$202,5,FALSE)=VLOOKUP($E169,'Formatted NEW'!$B$2:$F$202,8,FALSE),$E169,"")</f>
        <v>#N/A</v>
      </c>
      <c r="AW169" t="e">
        <f>IF(VLOOKUP($E169,'Formatted NEW'!$B$2:$F$202,5,FALSE)=VLOOKUP($E169,'Formatted NEW'!$B$2:$F$202,11,FALSE),$E169,"")</f>
        <v>#N/A</v>
      </c>
      <c r="AZ169" t="e">
        <f>IF(VLOOKUP($E169,'Formatted NEW'!$B$2:$F$202,5,FALSE)=VLOOKUP($E169,'Formatted NEW'!$B$2:$F$202,14,FALSE),$E169,"")</f>
        <v>#N/A</v>
      </c>
      <c r="BC169" t="str">
        <f>VLOOKUP($E169,'Formatted NEW'!$M$2:$T$202,6,FALSE)</f>
        <v>DIAG_BOTH</v>
      </c>
      <c r="BD169" s="26" t="e">
        <f>VLOOKUP(VLOOKUP(VLOOKUP($E169,'Formatted NEW'!$M$2:$O$202,2,FALSE),'Formatted NEW'!$D$2:$F$202,7,FALSE),'Formatted NEW'!$D$2:$O$202,12,FALSE)</f>
        <v>#REF!</v>
      </c>
      <c r="BE169" t="e">
        <f>VLOOKUP($BD169,'Formatted NEW'!$M$2:$T$202,5,FALSE)</f>
        <v>#REF!</v>
      </c>
      <c r="BF169" s="26" t="e">
        <f t="shared" si="9"/>
        <v>#REF!</v>
      </c>
      <c r="BH169">
        <f>VLOOKUP($E169,'Formatted NEW'!$M$2:$T$202,4,FALSE)</f>
        <v>0</v>
      </c>
      <c r="BI169" s="26" t="e">
        <f>VLOOKUP(VLOOKUP(VLOOKUP($E169,'Formatted NEW'!$M$2:$O$202,2,FALSE),'Formatted NEW'!$D$2:$F$202,10,FALSE),'Formatted NEW'!$D$2:$O$202,12,FALSE)</f>
        <v>#REF!</v>
      </c>
      <c r="BJ169" t="e">
        <f>VLOOKUP($BI169,'Formatted NEW'!$M$2:$T$202,3,FALSE)</f>
        <v>#REF!</v>
      </c>
      <c r="BK169" s="26" t="e">
        <f t="shared" si="10"/>
        <v>#REF!</v>
      </c>
    </row>
    <row r="170" spans="1:63" x14ac:dyDescent="0.25">
      <c r="A170" t="str">
        <f>'Formatted NEW'!Q179</f>
        <v>DIAG_BOTH</v>
      </c>
      <c r="B170" t="str">
        <f>'Formatted NEW'!R179</f>
        <v>EMPTY</v>
      </c>
      <c r="C170" t="str">
        <f>'Formatted NEW'!S179</f>
        <v>EMPTY</v>
      </c>
      <c r="D170" t="str">
        <f>'Formatted NEW'!T179</f>
        <v>ORTHO_BOTH</v>
      </c>
      <c r="E170" s="26">
        <f t="shared" si="11"/>
        <v>166</v>
      </c>
      <c r="H170" s="30" t="str" cm="1">
        <f t="array" aca="1" ref="H170" ca="1">IF(ISNUMBER(SEARCH(INDIRECT(ADDRESS(ROW(H170),MOD(H$1,4)+1)),H$2)),$E170,"")</f>
        <v/>
      </c>
      <c r="I170" s="26" t="str" cm="1">
        <f t="array" aca="1" ref="I170" ca="1">IF(ISNUMBER(SEARCH(INDIRECT(ADDRESS(ROW(I170),MOD(I$1,4)+1)),I$2)),$E170,"")</f>
        <v/>
      </c>
      <c r="J170" s="26" t="str" cm="1">
        <f t="array" aca="1" ref="J170" ca="1">IF(ISNUMBER(SEARCH(INDIRECT(ADDRESS(ROW(J170),MOD(J$1,4)+1)),J$2)),$E170,"")</f>
        <v/>
      </c>
      <c r="K170" s="26" t="str" cm="1">
        <f t="array" aca="1" ref="K170" ca="1">IF(ISNUMBER(SEARCH(INDIRECT(ADDRESS(ROW(K170),MOD(K$1,4)+1)),K$2)),$E170,"")</f>
        <v/>
      </c>
      <c r="L170" s="26" cm="1">
        <f t="array" aca="1" ref="L170" ca="1">IF(ISNUMBER(SEARCH(INDIRECT(ADDRESS(ROW(L170),MOD(L$1,4)+1)),L$2)),$E170,"")</f>
        <v>166</v>
      </c>
      <c r="M170" s="26" t="str" cm="1">
        <f t="array" aca="1" ref="M170" ca="1">IF(ISNUMBER(SEARCH(INDIRECT(ADDRESS(ROW(M170),MOD(M$1,4)+1)),M$2)),$E170,"")</f>
        <v/>
      </c>
      <c r="N170" s="26" t="str" cm="1">
        <f t="array" aca="1" ref="N170" ca="1">IF(ISNUMBER(SEARCH(INDIRECT(ADDRESS(ROW(N170),MOD(N$1,4)+1)),N$2)),$E170,"")</f>
        <v/>
      </c>
      <c r="O170" s="26" t="str" cm="1">
        <f t="array" aca="1" ref="O170" ca="1">IF(ISNUMBER(SEARCH(INDIRECT(ADDRESS(ROW(O170),MOD(O$1,4)+1)),O$2)),$E170,"")</f>
        <v/>
      </c>
      <c r="P170" s="26" t="str" cm="1">
        <f t="array" aca="1" ref="P170" ca="1">IF(ISNUMBER(SEARCH(INDIRECT(ADDRESS(ROW(P170),MOD(P$1,4)+1)),P$2)),$E170,"")</f>
        <v/>
      </c>
      <c r="Q170" s="26" t="str" cm="1">
        <f t="array" aca="1" ref="Q170" ca="1">IF(ISNUMBER(SEARCH(INDIRECT(ADDRESS(ROW(Q170),MOD(Q$1,4)+1)),Q$2)),$E170,"")</f>
        <v/>
      </c>
      <c r="R170" s="26" t="str" cm="1">
        <f t="array" aca="1" ref="R170" ca="1">IF(ISNUMBER(SEARCH(INDIRECT(ADDRESS(ROW(R170),MOD(R$1,4)+1)),R$2)),$E170,"")</f>
        <v/>
      </c>
      <c r="S170" s="26" cm="1">
        <f t="array" aca="1" ref="S170" ca="1">IF(ISNUMBER(SEARCH(INDIRECT(ADDRESS(ROW(S170),MOD(S$1,4)+1)),S$2)),$E170,"")</f>
        <v>166</v>
      </c>
      <c r="T170" s="26" t="str" cm="1">
        <f t="array" aca="1" ref="T170" ca="1">IF(ISNUMBER(SEARCH(INDIRECT(ADDRESS(ROW(T170),MOD(T$1,4)+1)),T$2)),$E170,"")</f>
        <v/>
      </c>
      <c r="U170" s="26" t="str" cm="1">
        <f t="array" aca="1" ref="U170" ca="1">IF(ISNUMBER(SEARCH(INDIRECT(ADDRESS(ROW(U170),MOD(U$1,4)+1)),U$2)),$E170,"")</f>
        <v/>
      </c>
      <c r="V170" s="26" t="str" cm="1">
        <f t="array" aca="1" ref="V170" ca="1">IF(ISNUMBER(SEARCH(INDIRECT(ADDRESS(ROW(V170),MOD(V$1,4)+1)),V$2)),$E170,"")</f>
        <v/>
      </c>
      <c r="W170" s="26" t="str" cm="1">
        <f t="array" aca="1" ref="W170" ca="1">IF(ISNUMBER(SEARCH(INDIRECT(ADDRESS(ROW(W170),MOD(W$1,4)+1)),W$2)),$E170,"")</f>
        <v/>
      </c>
      <c r="X170" s="26" t="str" cm="1">
        <f t="array" aca="1" ref="X170" ca="1">IF(ISNUMBER(SEARCH(INDIRECT(ADDRESS(ROW(X170),MOD(X$1,4)+1)),X$2)),$E170,"")</f>
        <v/>
      </c>
      <c r="Y170" s="26" t="str" cm="1">
        <f t="array" aca="1" ref="Y170" ca="1">IF(ISNUMBER(SEARCH(INDIRECT(ADDRESS(ROW(Y170),MOD(Y$1,4)+1)),Y$2)),$E170,"")</f>
        <v/>
      </c>
      <c r="Z170" s="26" t="str" cm="1">
        <f t="array" aca="1" ref="Z170" ca="1">IF(ISNUMBER(SEARCH(INDIRECT(ADDRESS(ROW(Z170),MOD(Z$1,4)+1)),Z$2)),$E170,"")</f>
        <v/>
      </c>
      <c r="AA170" s="26" t="str" cm="1">
        <f t="array" aca="1" ref="AA170" ca="1">IF(ISNUMBER(SEARCH(INDIRECT(ADDRESS(ROW(AA170),MOD(AA$1,4)+1)),AA$2)),$E170,"")</f>
        <v/>
      </c>
      <c r="AB170" s="26" t="str" cm="1">
        <f t="array" aca="1" ref="AB170" ca="1">IF(ISNUMBER(SEARCH(INDIRECT(ADDRESS(ROW(AB170),MOD(AB$1,4)+1)),AB$2)),$E170,"")</f>
        <v/>
      </c>
      <c r="AC170" s="26" t="str" cm="1">
        <f t="array" aca="1" ref="AC170" ca="1">IF(ISNUMBER(SEARCH(INDIRECT(ADDRESS(ROW(AC170),MOD(AC$1,4)+1)),AC$2)),$E170,"")</f>
        <v/>
      </c>
      <c r="AD170" s="26" t="str" cm="1">
        <f t="array" aca="1" ref="AD170" ca="1">IF(ISNUMBER(SEARCH(INDIRECT(ADDRESS(ROW(AD170),MOD(AD$1,4)+1)),AD$2)),$E170,"")</f>
        <v/>
      </c>
      <c r="AE170" s="26" t="str" cm="1">
        <f t="array" aca="1" ref="AE170" ca="1">IF(ISNUMBER(SEARCH(INDIRECT(ADDRESS(ROW(AE170),MOD(AE$1,4)+1)),AE$2)),$E170,"")</f>
        <v/>
      </c>
      <c r="AF170" s="26" t="str" cm="1">
        <f t="array" aca="1" ref="AF170" ca="1">IF(ISNUMBER(SEARCH(INDIRECT(ADDRESS(ROW(AF170),MOD(AF$1,4)+1)),AF$2)),$E170,"")</f>
        <v/>
      </c>
      <c r="AG170" s="26" t="str" cm="1">
        <f t="array" aca="1" ref="AG170" ca="1">IF(ISNUMBER(SEARCH(INDIRECT(ADDRESS(ROW(AG170),MOD(AG$1,4)+1)),AG$2)),$E170,"")</f>
        <v/>
      </c>
      <c r="AH170" s="26" t="str" cm="1">
        <f t="array" aca="1" ref="AH170" ca="1">IF(ISNUMBER(SEARCH(INDIRECT(ADDRESS(ROW(AH170),MOD(AH$1,4)+1)),AH$2)),$E170,"")</f>
        <v/>
      </c>
      <c r="AI170" s="26" t="str" cm="1">
        <f t="array" aca="1" ref="AI170" ca="1">IF(ISNUMBER(SEARCH(INDIRECT(ADDRESS(ROW(AI170),MOD(AI$1,4)+1)),AI$2)),$E170,"")</f>
        <v/>
      </c>
      <c r="AJ170" s="26" t="str" cm="1">
        <f t="array" aca="1" ref="AJ170" ca="1">IF(ISNUMBER(SEARCH(INDIRECT(ADDRESS(ROW(AJ170),MOD(AJ$1,4)+1)),AJ$2)),$E170,"")</f>
        <v/>
      </c>
      <c r="AK170" s="26" t="str" cm="1">
        <f t="array" aca="1" ref="AK170" ca="1">IF(ISNUMBER(SEARCH(INDIRECT(ADDRESS(ROW(AK170),MOD(AK$1,4)+1)),AK$2)),$E170,"")</f>
        <v/>
      </c>
      <c r="AL170" s="26" t="str" cm="1">
        <f t="array" aca="1" ref="AL170" ca="1">IF(ISNUMBER(SEARCH(INDIRECT(ADDRESS(ROW(AL170),MOD(AL$1,4)+1)),AL$2)),$E170,"")</f>
        <v/>
      </c>
      <c r="AM170" s="26" t="str" cm="1">
        <f t="array" aca="1" ref="AM170" ca="1">IF(ISNUMBER(SEARCH(INDIRECT(ADDRESS(ROW(AM170),MOD(AM$1,4)+1)),AM$2)),$E170,"")</f>
        <v/>
      </c>
      <c r="AN170" s="26" t="str" cm="1">
        <f t="array" aca="1" ref="AN170" ca="1">IF(ISNUMBER(SEARCH(INDIRECT(ADDRESS(ROW(AN170),MOD(AN$1,4)+1)),AN$2)),$E170,"")</f>
        <v/>
      </c>
      <c r="AO170" s="26" t="str" cm="1">
        <f t="array" aca="1" ref="AO170" ca="1">IF(ISNUMBER(SEARCH(INDIRECT(ADDRESS(ROW(AO170),MOD(AO$1,4)+1)),AO$2)),$E170,"")</f>
        <v/>
      </c>
      <c r="AP170" s="26" t="str" cm="1">
        <f t="array" aca="1" ref="AP170" ca="1">IF(ISNUMBER(SEARCH(INDIRECT(ADDRESS(ROW(AP170),MOD(AP$1,4)+1)),AP$2)),$E170,"")</f>
        <v/>
      </c>
      <c r="AQ170" s="31" t="str" cm="1">
        <f t="array" aca="1" ref="AQ170" ca="1">IF(ISNUMBER(SEARCH(INDIRECT(ADDRESS(ROW(AQ170),MOD(AQ$1,4)+1)),AQ$2)),$E170,"")</f>
        <v/>
      </c>
      <c r="AT170" t="e">
        <f>IF(VLOOKUP($E170,'Formatted NEW'!$B$2:$F$202,5,FALSE)=VLOOKUP($E170,'Formatted NEW'!$B$2:$F$202,8,FALSE),$E170,"")</f>
        <v>#N/A</v>
      </c>
      <c r="AW170" t="e">
        <f>IF(VLOOKUP($E170,'Formatted NEW'!$B$2:$F$202,5,FALSE)=VLOOKUP($E170,'Formatted NEW'!$B$2:$F$202,11,FALSE),$E170,"")</f>
        <v>#N/A</v>
      </c>
      <c r="AZ170" t="e">
        <f>IF(VLOOKUP($E170,'Formatted NEW'!$B$2:$F$202,5,FALSE)=VLOOKUP($E170,'Formatted NEW'!$B$2:$F$202,14,FALSE),$E170,"")</f>
        <v>#N/A</v>
      </c>
      <c r="BC170" t="str">
        <f>VLOOKUP($E170,'Formatted NEW'!$M$2:$T$202,6,FALSE)</f>
        <v>EMPTY</v>
      </c>
      <c r="BD170" s="26" t="e">
        <f>VLOOKUP(VLOOKUP(VLOOKUP($E170,'Formatted NEW'!$M$2:$O$202,2,FALSE),'Formatted NEW'!$D$2:$F$202,7,FALSE),'Formatted NEW'!$D$2:$O$202,12,FALSE)</f>
        <v>#REF!</v>
      </c>
      <c r="BE170" t="e">
        <f>VLOOKUP($BD170,'Formatted NEW'!$M$2:$T$202,5,FALSE)</f>
        <v>#REF!</v>
      </c>
      <c r="BF170" s="26" t="e">
        <f t="shared" si="9"/>
        <v>#REF!</v>
      </c>
      <c r="BH170">
        <f>VLOOKUP($E170,'Formatted NEW'!$M$2:$T$202,4,FALSE)</f>
        <v>0</v>
      </c>
      <c r="BI170" s="26" t="e">
        <f>VLOOKUP(VLOOKUP(VLOOKUP($E170,'Formatted NEW'!$M$2:$O$202,2,FALSE),'Formatted NEW'!$D$2:$F$202,10,FALSE),'Formatted NEW'!$D$2:$O$202,12,FALSE)</f>
        <v>#REF!</v>
      </c>
      <c r="BJ170" t="e">
        <f>VLOOKUP($BI170,'Formatted NEW'!$M$2:$T$202,3,FALSE)</f>
        <v>#REF!</v>
      </c>
      <c r="BK170" s="26" t="e">
        <f t="shared" si="10"/>
        <v>#REF!</v>
      </c>
    </row>
    <row r="171" spans="1:63" x14ac:dyDescent="0.25">
      <c r="A171" t="str">
        <f>'Formatted NEW'!Q180</f>
        <v>DIAG_BOTH</v>
      </c>
      <c r="B171" t="str">
        <f>'Formatted NEW'!R180</f>
        <v>EMPTY</v>
      </c>
      <c r="C171" t="str">
        <f>'Formatted NEW'!S180</f>
        <v>ORTHO_BOTH</v>
      </c>
      <c r="D171" t="str">
        <f>'Formatted NEW'!T180</f>
        <v>EMPTY</v>
      </c>
      <c r="E171" s="26">
        <f t="shared" si="11"/>
        <v>167</v>
      </c>
      <c r="H171" s="30" t="str" cm="1">
        <f t="array" aca="1" ref="H171" ca="1">IF(ISNUMBER(SEARCH(INDIRECT(ADDRESS(ROW(H171),MOD(H$1,4)+1)),H$2)),$E171,"")</f>
        <v/>
      </c>
      <c r="I171" s="26" t="str" cm="1">
        <f t="array" aca="1" ref="I171" ca="1">IF(ISNUMBER(SEARCH(INDIRECT(ADDRESS(ROW(I171),MOD(I$1,4)+1)),I$2)),$E171,"")</f>
        <v/>
      </c>
      <c r="J171" s="26" t="str" cm="1">
        <f t="array" aca="1" ref="J171" ca="1">IF(ISNUMBER(SEARCH(INDIRECT(ADDRESS(ROW(J171),MOD(J$1,4)+1)),J$2)),$E171,"")</f>
        <v/>
      </c>
      <c r="K171" s="26" t="str" cm="1">
        <f t="array" aca="1" ref="K171" ca="1">IF(ISNUMBER(SEARCH(INDIRECT(ADDRESS(ROW(K171),MOD(K$1,4)+1)),K$2)),$E171,"")</f>
        <v/>
      </c>
      <c r="L171" s="26" cm="1">
        <f t="array" aca="1" ref="L171" ca="1">IF(ISNUMBER(SEARCH(INDIRECT(ADDRESS(ROW(L171),MOD(L$1,4)+1)),L$2)),$E171,"")</f>
        <v>167</v>
      </c>
      <c r="M171" s="26" t="str" cm="1">
        <f t="array" aca="1" ref="M171" ca="1">IF(ISNUMBER(SEARCH(INDIRECT(ADDRESS(ROW(M171),MOD(M$1,4)+1)),M$2)),$E171,"")</f>
        <v/>
      </c>
      <c r="N171" s="26" t="str" cm="1">
        <f t="array" aca="1" ref="N171" ca="1">IF(ISNUMBER(SEARCH(INDIRECT(ADDRESS(ROW(N171),MOD(N$1,4)+1)),N$2)),$E171,"")</f>
        <v/>
      </c>
      <c r="O171" s="26" t="str" cm="1">
        <f t="array" aca="1" ref="O171" ca="1">IF(ISNUMBER(SEARCH(INDIRECT(ADDRESS(ROW(O171),MOD(O$1,4)+1)),O$2)),$E171,"")</f>
        <v/>
      </c>
      <c r="P171" s="26" t="str" cm="1">
        <f t="array" aca="1" ref="P171" ca="1">IF(ISNUMBER(SEARCH(INDIRECT(ADDRESS(ROW(P171),MOD(P$1,4)+1)),P$2)),$E171,"")</f>
        <v/>
      </c>
      <c r="Q171" s="26" t="str" cm="1">
        <f t="array" aca="1" ref="Q171" ca="1">IF(ISNUMBER(SEARCH(INDIRECT(ADDRESS(ROW(Q171),MOD(Q$1,4)+1)),Q$2)),$E171,"")</f>
        <v/>
      </c>
      <c r="R171" s="26" cm="1">
        <f t="array" aca="1" ref="R171" ca="1">IF(ISNUMBER(SEARCH(INDIRECT(ADDRESS(ROW(R171),MOD(R$1,4)+1)),R$2)),$E171,"")</f>
        <v>167</v>
      </c>
      <c r="S171" s="26" t="str" cm="1">
        <f t="array" aca="1" ref="S171" ca="1">IF(ISNUMBER(SEARCH(INDIRECT(ADDRESS(ROW(S171),MOD(S$1,4)+1)),S$2)),$E171,"")</f>
        <v/>
      </c>
      <c r="T171" s="26" t="str" cm="1">
        <f t="array" aca="1" ref="T171" ca="1">IF(ISNUMBER(SEARCH(INDIRECT(ADDRESS(ROW(T171),MOD(T$1,4)+1)),T$2)),$E171,"")</f>
        <v/>
      </c>
      <c r="U171" s="26" t="str" cm="1">
        <f t="array" aca="1" ref="U171" ca="1">IF(ISNUMBER(SEARCH(INDIRECT(ADDRESS(ROW(U171),MOD(U$1,4)+1)),U$2)),$E171,"")</f>
        <v/>
      </c>
      <c r="V171" s="26" t="str" cm="1">
        <f t="array" aca="1" ref="V171" ca="1">IF(ISNUMBER(SEARCH(INDIRECT(ADDRESS(ROW(V171),MOD(V$1,4)+1)),V$2)),$E171,"")</f>
        <v/>
      </c>
      <c r="W171" s="26" t="str" cm="1">
        <f t="array" aca="1" ref="W171" ca="1">IF(ISNUMBER(SEARCH(INDIRECT(ADDRESS(ROW(W171),MOD(W$1,4)+1)),W$2)),$E171,"")</f>
        <v/>
      </c>
      <c r="X171" s="26" t="str" cm="1">
        <f t="array" aca="1" ref="X171" ca="1">IF(ISNUMBER(SEARCH(INDIRECT(ADDRESS(ROW(X171),MOD(X$1,4)+1)),X$2)),$E171,"")</f>
        <v/>
      </c>
      <c r="Y171" s="26" t="str" cm="1">
        <f t="array" aca="1" ref="Y171" ca="1">IF(ISNUMBER(SEARCH(INDIRECT(ADDRESS(ROW(Y171),MOD(Y$1,4)+1)),Y$2)),$E171,"")</f>
        <v/>
      </c>
      <c r="Z171" s="26" t="str" cm="1">
        <f t="array" aca="1" ref="Z171" ca="1">IF(ISNUMBER(SEARCH(INDIRECT(ADDRESS(ROW(Z171),MOD(Z$1,4)+1)),Z$2)),$E171,"")</f>
        <v/>
      </c>
      <c r="AA171" s="26" t="str" cm="1">
        <f t="array" aca="1" ref="AA171" ca="1">IF(ISNUMBER(SEARCH(INDIRECT(ADDRESS(ROW(AA171),MOD(AA$1,4)+1)),AA$2)),$E171,"")</f>
        <v/>
      </c>
      <c r="AB171" s="26" t="str" cm="1">
        <f t="array" aca="1" ref="AB171" ca="1">IF(ISNUMBER(SEARCH(INDIRECT(ADDRESS(ROW(AB171),MOD(AB$1,4)+1)),AB$2)),$E171,"")</f>
        <v/>
      </c>
      <c r="AC171" s="26" t="str" cm="1">
        <f t="array" aca="1" ref="AC171" ca="1">IF(ISNUMBER(SEARCH(INDIRECT(ADDRESS(ROW(AC171),MOD(AC$1,4)+1)),AC$2)),$E171,"")</f>
        <v/>
      </c>
      <c r="AD171" s="26" t="str" cm="1">
        <f t="array" aca="1" ref="AD171" ca="1">IF(ISNUMBER(SEARCH(INDIRECT(ADDRESS(ROW(AD171),MOD(AD$1,4)+1)),AD$2)),$E171,"")</f>
        <v/>
      </c>
      <c r="AE171" s="26" t="str" cm="1">
        <f t="array" aca="1" ref="AE171" ca="1">IF(ISNUMBER(SEARCH(INDIRECT(ADDRESS(ROW(AE171),MOD(AE$1,4)+1)),AE$2)),$E171,"")</f>
        <v/>
      </c>
      <c r="AF171" s="26" t="str" cm="1">
        <f t="array" aca="1" ref="AF171" ca="1">IF(ISNUMBER(SEARCH(INDIRECT(ADDRESS(ROW(AF171),MOD(AF$1,4)+1)),AF$2)),$E171,"")</f>
        <v/>
      </c>
      <c r="AG171" s="26" t="str" cm="1">
        <f t="array" aca="1" ref="AG171" ca="1">IF(ISNUMBER(SEARCH(INDIRECT(ADDRESS(ROW(AG171),MOD(AG$1,4)+1)),AG$2)),$E171,"")</f>
        <v/>
      </c>
      <c r="AH171" s="26" t="str" cm="1">
        <f t="array" aca="1" ref="AH171" ca="1">IF(ISNUMBER(SEARCH(INDIRECT(ADDRESS(ROW(AH171),MOD(AH$1,4)+1)),AH$2)),$E171,"")</f>
        <v/>
      </c>
      <c r="AI171" s="26" t="str" cm="1">
        <f t="array" aca="1" ref="AI171" ca="1">IF(ISNUMBER(SEARCH(INDIRECT(ADDRESS(ROW(AI171),MOD(AI$1,4)+1)),AI$2)),$E171,"")</f>
        <v/>
      </c>
      <c r="AJ171" s="26" t="str" cm="1">
        <f t="array" aca="1" ref="AJ171" ca="1">IF(ISNUMBER(SEARCH(INDIRECT(ADDRESS(ROW(AJ171),MOD(AJ$1,4)+1)),AJ$2)),$E171,"")</f>
        <v/>
      </c>
      <c r="AK171" s="26" t="str" cm="1">
        <f t="array" aca="1" ref="AK171" ca="1">IF(ISNUMBER(SEARCH(INDIRECT(ADDRESS(ROW(AK171),MOD(AK$1,4)+1)),AK$2)),$E171,"")</f>
        <v/>
      </c>
      <c r="AL171" s="26" t="str" cm="1">
        <f t="array" aca="1" ref="AL171" ca="1">IF(ISNUMBER(SEARCH(INDIRECT(ADDRESS(ROW(AL171),MOD(AL$1,4)+1)),AL$2)),$E171,"")</f>
        <v/>
      </c>
      <c r="AM171" s="26" t="str" cm="1">
        <f t="array" aca="1" ref="AM171" ca="1">IF(ISNUMBER(SEARCH(INDIRECT(ADDRESS(ROW(AM171),MOD(AM$1,4)+1)),AM$2)),$E171,"")</f>
        <v/>
      </c>
      <c r="AN171" s="26" t="str" cm="1">
        <f t="array" aca="1" ref="AN171" ca="1">IF(ISNUMBER(SEARCH(INDIRECT(ADDRESS(ROW(AN171),MOD(AN$1,4)+1)),AN$2)),$E171,"")</f>
        <v/>
      </c>
      <c r="AO171" s="26" t="str" cm="1">
        <f t="array" aca="1" ref="AO171" ca="1">IF(ISNUMBER(SEARCH(INDIRECT(ADDRESS(ROW(AO171),MOD(AO$1,4)+1)),AO$2)),$E171,"")</f>
        <v/>
      </c>
      <c r="AP171" s="26" t="str" cm="1">
        <f t="array" aca="1" ref="AP171" ca="1">IF(ISNUMBER(SEARCH(INDIRECT(ADDRESS(ROW(AP171),MOD(AP$1,4)+1)),AP$2)),$E171,"")</f>
        <v/>
      </c>
      <c r="AQ171" s="31" t="str" cm="1">
        <f t="array" aca="1" ref="AQ171" ca="1">IF(ISNUMBER(SEARCH(INDIRECT(ADDRESS(ROW(AQ171),MOD(AQ$1,4)+1)),AQ$2)),$E171,"")</f>
        <v/>
      </c>
      <c r="AT171" t="e">
        <f>IF(VLOOKUP($E171,'Formatted NEW'!$B$2:$F$202,5,FALSE)=VLOOKUP($E171,'Formatted NEW'!$B$2:$F$202,8,FALSE),$E171,"")</f>
        <v>#N/A</v>
      </c>
      <c r="AW171" t="e">
        <f>IF(VLOOKUP($E171,'Formatted NEW'!$B$2:$F$202,5,FALSE)=VLOOKUP($E171,'Formatted NEW'!$B$2:$F$202,11,FALSE),$E171,"")</f>
        <v>#N/A</v>
      </c>
      <c r="AZ171" t="e">
        <f>IF(VLOOKUP($E171,'Formatted NEW'!$B$2:$F$202,5,FALSE)=VLOOKUP($E171,'Formatted NEW'!$B$2:$F$202,14,FALSE),$E171,"")</f>
        <v>#N/A</v>
      </c>
      <c r="BC171" t="str">
        <f>VLOOKUP($E171,'Formatted NEW'!$M$2:$T$202,6,FALSE)</f>
        <v>EMPTY</v>
      </c>
      <c r="BD171" s="26" t="e">
        <f>VLOOKUP(VLOOKUP(VLOOKUP($E171,'Formatted NEW'!$M$2:$O$202,2,FALSE),'Formatted NEW'!$D$2:$F$202,7,FALSE),'Formatted NEW'!$D$2:$O$202,12,FALSE)</f>
        <v>#REF!</v>
      </c>
      <c r="BE171" t="e">
        <f>VLOOKUP($BD171,'Formatted NEW'!$M$2:$T$202,5,FALSE)</f>
        <v>#REF!</v>
      </c>
      <c r="BF171" s="26" t="e">
        <f>IF(BC171=BE171,$E171,"")</f>
        <v>#REF!</v>
      </c>
      <c r="BH171">
        <f>VLOOKUP($E171,'Formatted NEW'!$M$2:$T$202,4,FALSE)</f>
        <v>0</v>
      </c>
      <c r="BI171" s="26" t="e">
        <f>VLOOKUP(VLOOKUP(VLOOKUP($E171,'Formatted NEW'!$M$2:$O$202,2,FALSE),'Formatted NEW'!$D$2:$F$202,10,FALSE),'Formatted NEW'!$D$2:$O$202,12,FALSE)</f>
        <v>#REF!</v>
      </c>
      <c r="BJ171" t="e">
        <f>VLOOKUP($BI171,'Formatted NEW'!$M$2:$T$202,3,FALSE)</f>
        <v>#REF!</v>
      </c>
      <c r="BK171" s="26" t="e">
        <f>IF(BH171=BJ171,$E171,"")</f>
        <v>#REF!</v>
      </c>
    </row>
    <row r="172" spans="1:63" x14ac:dyDescent="0.25">
      <c r="A172" t="str">
        <f>'Formatted NEW'!Q181</f>
        <v>EMPTY</v>
      </c>
      <c r="B172" t="str">
        <f>'Formatted NEW'!R181</f>
        <v>ORTHO_BOTH</v>
      </c>
      <c r="C172" t="str">
        <f>'Formatted NEW'!S181</f>
        <v>EMPTY</v>
      </c>
      <c r="D172" t="str">
        <f>'Formatted NEW'!T181</f>
        <v>DIAG_BOTH</v>
      </c>
      <c r="E172" s="26">
        <f t="shared" si="11"/>
        <v>168</v>
      </c>
      <c r="H172" s="30" t="str" cm="1">
        <f t="array" aca="1" ref="H172" ca="1">IF(ISNUMBER(SEARCH(INDIRECT(ADDRESS(ROW(H172),MOD(H$1,4)+1)),H$2)),$E172,"")</f>
        <v/>
      </c>
      <c r="I172" s="26" t="str" cm="1">
        <f t="array" aca="1" ref="I172" ca="1">IF(ISNUMBER(SEARCH(INDIRECT(ADDRESS(ROW(I172),MOD(I$1,4)+1)),I$2)),$E172,"")</f>
        <v/>
      </c>
      <c r="J172" s="26" t="str" cm="1">
        <f t="array" aca="1" ref="J172" ca="1">IF(ISNUMBER(SEARCH(INDIRECT(ADDRESS(ROW(J172),MOD(J$1,4)+1)),J$2)),$E172,"")</f>
        <v/>
      </c>
      <c r="K172" s="26" t="str" cm="1">
        <f t="array" aca="1" ref="K172" ca="1">IF(ISNUMBER(SEARCH(INDIRECT(ADDRESS(ROW(K172),MOD(K$1,4)+1)),K$2)),$E172,"")</f>
        <v/>
      </c>
      <c r="L172" s="26" t="str" cm="1">
        <f t="array" aca="1" ref="L172" ca="1">IF(ISNUMBER(SEARCH(INDIRECT(ADDRESS(ROW(L172),MOD(L$1,4)+1)),L$2)),$E172,"")</f>
        <v/>
      </c>
      <c r="M172" s="26" t="str" cm="1">
        <f t="array" aca="1" ref="M172" ca="1">IF(ISNUMBER(SEARCH(INDIRECT(ADDRESS(ROW(M172),MOD(M$1,4)+1)),M$2)),$E172,"")</f>
        <v/>
      </c>
      <c r="N172" s="26" t="str" cm="1">
        <f t="array" aca="1" ref="N172" ca="1">IF(ISNUMBER(SEARCH(INDIRECT(ADDRESS(ROW(N172),MOD(N$1,4)+1)),N$2)),$E172,"")</f>
        <v/>
      </c>
      <c r="O172" s="26" cm="1">
        <f t="array" aca="1" ref="O172" ca="1">IF(ISNUMBER(SEARCH(INDIRECT(ADDRESS(ROW(O172),MOD(O$1,4)+1)),O$2)),$E172,"")</f>
        <v>168</v>
      </c>
      <c r="P172" s="26" t="str" cm="1">
        <f t="array" aca="1" ref="P172" ca="1">IF(ISNUMBER(SEARCH(INDIRECT(ADDRESS(ROW(P172),MOD(P$1,4)+1)),P$2)),$E172,"")</f>
        <v/>
      </c>
      <c r="Q172" s="26" cm="1">
        <f t="array" aca="1" ref="Q172" ca="1">IF(ISNUMBER(SEARCH(INDIRECT(ADDRESS(ROW(Q172),MOD(Q$1,4)+1)),Q$2)),$E172,"")</f>
        <v>168</v>
      </c>
      <c r="R172" s="26" t="str" cm="1">
        <f t="array" aca="1" ref="R172" ca="1">IF(ISNUMBER(SEARCH(INDIRECT(ADDRESS(ROW(R172),MOD(R$1,4)+1)),R$2)),$E172,"")</f>
        <v/>
      </c>
      <c r="S172" s="26" t="str" cm="1">
        <f t="array" aca="1" ref="S172" ca="1">IF(ISNUMBER(SEARCH(INDIRECT(ADDRESS(ROW(S172),MOD(S$1,4)+1)),S$2)),$E172,"")</f>
        <v/>
      </c>
      <c r="T172" s="26" t="str" cm="1">
        <f t="array" aca="1" ref="T172" ca="1">IF(ISNUMBER(SEARCH(INDIRECT(ADDRESS(ROW(T172),MOD(T$1,4)+1)),T$2)),$E172,"")</f>
        <v/>
      </c>
      <c r="U172" s="26" t="str" cm="1">
        <f t="array" aca="1" ref="U172" ca="1">IF(ISNUMBER(SEARCH(INDIRECT(ADDRESS(ROW(U172),MOD(U$1,4)+1)),U$2)),$E172,"")</f>
        <v/>
      </c>
      <c r="V172" s="26" t="str" cm="1">
        <f t="array" aca="1" ref="V172" ca="1">IF(ISNUMBER(SEARCH(INDIRECT(ADDRESS(ROW(V172),MOD(V$1,4)+1)),V$2)),$E172,"")</f>
        <v/>
      </c>
      <c r="W172" s="26" t="str" cm="1">
        <f t="array" aca="1" ref="W172" ca="1">IF(ISNUMBER(SEARCH(INDIRECT(ADDRESS(ROW(W172),MOD(W$1,4)+1)),W$2)),$E172,"")</f>
        <v/>
      </c>
      <c r="X172" s="26" t="str" cm="1">
        <f t="array" aca="1" ref="X172" ca="1">IF(ISNUMBER(SEARCH(INDIRECT(ADDRESS(ROW(X172),MOD(X$1,4)+1)),X$2)),$E172,"")</f>
        <v/>
      </c>
      <c r="Y172" s="26" t="str" cm="1">
        <f t="array" aca="1" ref="Y172" ca="1">IF(ISNUMBER(SEARCH(INDIRECT(ADDRESS(ROW(Y172),MOD(Y$1,4)+1)),Y$2)),$E172,"")</f>
        <v/>
      </c>
      <c r="Z172" s="26" t="str" cm="1">
        <f t="array" aca="1" ref="Z172" ca="1">IF(ISNUMBER(SEARCH(INDIRECT(ADDRESS(ROW(Z172),MOD(Z$1,4)+1)),Z$2)),$E172,"")</f>
        <v/>
      </c>
      <c r="AA172" s="26" t="str" cm="1">
        <f t="array" aca="1" ref="AA172" ca="1">IF(ISNUMBER(SEARCH(INDIRECT(ADDRESS(ROW(AA172),MOD(AA$1,4)+1)),AA$2)),$E172,"")</f>
        <v/>
      </c>
      <c r="AB172" s="26" t="str" cm="1">
        <f t="array" aca="1" ref="AB172" ca="1">IF(ISNUMBER(SEARCH(INDIRECT(ADDRESS(ROW(AB172),MOD(AB$1,4)+1)),AB$2)),$E172,"")</f>
        <v/>
      </c>
      <c r="AC172" s="26" t="str" cm="1">
        <f t="array" aca="1" ref="AC172" ca="1">IF(ISNUMBER(SEARCH(INDIRECT(ADDRESS(ROW(AC172),MOD(AC$1,4)+1)),AC$2)),$E172,"")</f>
        <v/>
      </c>
      <c r="AD172" s="26" t="str" cm="1">
        <f t="array" aca="1" ref="AD172" ca="1">IF(ISNUMBER(SEARCH(INDIRECT(ADDRESS(ROW(AD172),MOD(AD$1,4)+1)),AD$2)),$E172,"")</f>
        <v/>
      </c>
      <c r="AE172" s="26" t="str" cm="1">
        <f t="array" aca="1" ref="AE172" ca="1">IF(ISNUMBER(SEARCH(INDIRECT(ADDRESS(ROW(AE172),MOD(AE$1,4)+1)),AE$2)),$E172,"")</f>
        <v/>
      </c>
      <c r="AF172" s="26" t="str" cm="1">
        <f t="array" aca="1" ref="AF172" ca="1">IF(ISNUMBER(SEARCH(INDIRECT(ADDRESS(ROW(AF172),MOD(AF$1,4)+1)),AF$2)),$E172,"")</f>
        <v/>
      </c>
      <c r="AG172" s="26" t="str" cm="1">
        <f t="array" aca="1" ref="AG172" ca="1">IF(ISNUMBER(SEARCH(INDIRECT(ADDRESS(ROW(AG172),MOD(AG$1,4)+1)),AG$2)),$E172,"")</f>
        <v/>
      </c>
      <c r="AH172" s="26" t="str" cm="1">
        <f t="array" aca="1" ref="AH172" ca="1">IF(ISNUMBER(SEARCH(INDIRECT(ADDRESS(ROW(AH172),MOD(AH$1,4)+1)),AH$2)),$E172,"")</f>
        <v/>
      </c>
      <c r="AI172" s="26" t="str" cm="1">
        <f t="array" aca="1" ref="AI172" ca="1">IF(ISNUMBER(SEARCH(INDIRECT(ADDRESS(ROW(AI172),MOD(AI$1,4)+1)),AI$2)),$E172,"")</f>
        <v/>
      </c>
      <c r="AJ172" s="26" t="str" cm="1">
        <f t="array" aca="1" ref="AJ172" ca="1">IF(ISNUMBER(SEARCH(INDIRECT(ADDRESS(ROW(AJ172),MOD(AJ$1,4)+1)),AJ$2)),$E172,"")</f>
        <v/>
      </c>
      <c r="AK172" s="26" t="str" cm="1">
        <f t="array" aca="1" ref="AK172" ca="1">IF(ISNUMBER(SEARCH(INDIRECT(ADDRESS(ROW(AK172),MOD(AK$1,4)+1)),AK$2)),$E172,"")</f>
        <v/>
      </c>
      <c r="AL172" s="26" t="str" cm="1">
        <f t="array" aca="1" ref="AL172" ca="1">IF(ISNUMBER(SEARCH(INDIRECT(ADDRESS(ROW(AL172),MOD(AL$1,4)+1)),AL$2)),$E172,"")</f>
        <v/>
      </c>
      <c r="AM172" s="26" t="str" cm="1">
        <f t="array" aca="1" ref="AM172" ca="1">IF(ISNUMBER(SEARCH(INDIRECT(ADDRESS(ROW(AM172),MOD(AM$1,4)+1)),AM$2)),$E172,"")</f>
        <v/>
      </c>
      <c r="AN172" s="26" t="str" cm="1">
        <f t="array" aca="1" ref="AN172" ca="1">IF(ISNUMBER(SEARCH(INDIRECT(ADDRESS(ROW(AN172),MOD(AN$1,4)+1)),AN$2)),$E172,"")</f>
        <v/>
      </c>
      <c r="AO172" s="26" t="str" cm="1">
        <f t="array" aca="1" ref="AO172" ca="1">IF(ISNUMBER(SEARCH(INDIRECT(ADDRESS(ROW(AO172),MOD(AO$1,4)+1)),AO$2)),$E172,"")</f>
        <v/>
      </c>
      <c r="AP172" s="26" t="str" cm="1">
        <f t="array" aca="1" ref="AP172" ca="1">IF(ISNUMBER(SEARCH(INDIRECT(ADDRESS(ROW(AP172),MOD(AP$1,4)+1)),AP$2)),$E172,"")</f>
        <v/>
      </c>
      <c r="AQ172" s="31" t="str" cm="1">
        <f t="array" aca="1" ref="AQ172" ca="1">IF(ISNUMBER(SEARCH(INDIRECT(ADDRESS(ROW(AQ172),MOD(AQ$1,4)+1)),AQ$2)),$E172,"")</f>
        <v/>
      </c>
      <c r="AT172" t="e">
        <f>IF(VLOOKUP($E172,'Formatted NEW'!$B$2:$F$202,5,FALSE)=VLOOKUP($E172,'Formatted NEW'!$B$2:$F$202,8,FALSE),$E172,"")</f>
        <v>#N/A</v>
      </c>
      <c r="AW172" t="e">
        <f>IF(VLOOKUP($E172,'Formatted NEW'!$B$2:$F$202,5,FALSE)=VLOOKUP($E172,'Formatted NEW'!$B$2:$F$202,11,FALSE),$E172,"")</f>
        <v>#N/A</v>
      </c>
      <c r="AZ172" t="e">
        <f>IF(VLOOKUP($E172,'Formatted NEW'!$B$2:$F$202,5,FALSE)=VLOOKUP($E172,'Formatted NEW'!$B$2:$F$202,14,FALSE),$E172,"")</f>
        <v>#N/A</v>
      </c>
      <c r="BC172" t="str">
        <f>VLOOKUP($E172,'Formatted NEW'!$M$2:$T$202,6,FALSE)</f>
        <v>ORTHO_BOTH</v>
      </c>
      <c r="BD172" s="26" t="e">
        <f>VLOOKUP(VLOOKUP(VLOOKUP($E172,'Formatted NEW'!$M$2:$O$202,2,FALSE),'Formatted NEW'!$D$2:$F$202,7,FALSE),'Formatted NEW'!$D$2:$O$202,12,FALSE)</f>
        <v>#REF!</v>
      </c>
      <c r="BE172" t="e">
        <f>VLOOKUP($BD172,'Formatted NEW'!$M$2:$T$202,5,FALSE)</f>
        <v>#REF!</v>
      </c>
      <c r="BF172" s="26" t="e">
        <f t="shared" si="9"/>
        <v>#REF!</v>
      </c>
      <c r="BH172">
        <f>VLOOKUP($E172,'Formatted NEW'!$M$2:$T$202,4,FALSE)</f>
        <v>0</v>
      </c>
      <c r="BI172" s="26" t="e">
        <f>VLOOKUP(VLOOKUP(VLOOKUP($E172,'Formatted NEW'!$M$2:$O$202,2,FALSE),'Formatted NEW'!$D$2:$F$202,10,FALSE),'Formatted NEW'!$D$2:$O$202,12,FALSE)</f>
        <v>#REF!</v>
      </c>
      <c r="BJ172" t="e">
        <f>VLOOKUP($BI172,'Formatted NEW'!$M$2:$T$202,3,FALSE)</f>
        <v>#REF!</v>
      </c>
      <c r="BK172" s="26" t="e">
        <f t="shared" si="10"/>
        <v>#REF!</v>
      </c>
    </row>
    <row r="173" spans="1:63" x14ac:dyDescent="0.25">
      <c r="A173" t="str">
        <f>'Formatted NEW'!Q182</f>
        <v>EMPTY</v>
      </c>
      <c r="B173" t="str">
        <f>'Formatted NEW'!R182</f>
        <v>ORTHO_BOTH</v>
      </c>
      <c r="C173" t="str">
        <f>'Formatted NEW'!S182</f>
        <v>DIAG_BOTH</v>
      </c>
      <c r="D173" t="str">
        <f>'Formatted NEW'!T182</f>
        <v>EMPTY</v>
      </c>
      <c r="E173" s="26">
        <f t="shared" si="11"/>
        <v>169</v>
      </c>
      <c r="H173" s="30" t="str" cm="1">
        <f t="array" aca="1" ref="H173" ca="1">IF(ISNUMBER(SEARCH(INDIRECT(ADDRESS(ROW(H173),MOD(H$1,4)+1)),H$2)),$E173,"")</f>
        <v/>
      </c>
      <c r="I173" s="26" t="str" cm="1">
        <f t="array" aca="1" ref="I173" ca="1">IF(ISNUMBER(SEARCH(INDIRECT(ADDRESS(ROW(I173),MOD(I$1,4)+1)),I$2)),$E173,"")</f>
        <v/>
      </c>
      <c r="J173" s="26" t="str" cm="1">
        <f t="array" aca="1" ref="J173" ca="1">IF(ISNUMBER(SEARCH(INDIRECT(ADDRESS(ROW(J173),MOD(J$1,4)+1)),J$2)),$E173,"")</f>
        <v/>
      </c>
      <c r="K173" s="26" t="str" cm="1">
        <f t="array" aca="1" ref="K173" ca="1">IF(ISNUMBER(SEARCH(INDIRECT(ADDRESS(ROW(K173),MOD(K$1,4)+1)),K$2)),$E173,"")</f>
        <v/>
      </c>
      <c r="L173" s="26" t="str" cm="1">
        <f t="array" aca="1" ref="L173" ca="1">IF(ISNUMBER(SEARCH(INDIRECT(ADDRESS(ROW(L173),MOD(L$1,4)+1)),L$2)),$E173,"")</f>
        <v/>
      </c>
      <c r="M173" s="26" t="str" cm="1">
        <f t="array" aca="1" ref="M173" ca="1">IF(ISNUMBER(SEARCH(INDIRECT(ADDRESS(ROW(M173),MOD(M$1,4)+1)),M$2)),$E173,"")</f>
        <v/>
      </c>
      <c r="N173" s="26" cm="1">
        <f t="array" aca="1" ref="N173" ca="1">IF(ISNUMBER(SEARCH(INDIRECT(ADDRESS(ROW(N173),MOD(N$1,4)+1)),N$2)),$E173,"")</f>
        <v>169</v>
      </c>
      <c r="O173" s="26" t="str" cm="1">
        <f t="array" aca="1" ref="O173" ca="1">IF(ISNUMBER(SEARCH(INDIRECT(ADDRESS(ROW(O173),MOD(O$1,4)+1)),O$2)),$E173,"")</f>
        <v/>
      </c>
      <c r="P173" s="26" t="str" cm="1">
        <f t="array" aca="1" ref="P173" ca="1">IF(ISNUMBER(SEARCH(INDIRECT(ADDRESS(ROW(P173),MOD(P$1,4)+1)),P$2)),$E173,"")</f>
        <v/>
      </c>
      <c r="Q173" s="26" cm="1">
        <f t="array" aca="1" ref="Q173" ca="1">IF(ISNUMBER(SEARCH(INDIRECT(ADDRESS(ROW(Q173),MOD(Q$1,4)+1)),Q$2)),$E173,"")</f>
        <v>169</v>
      </c>
      <c r="R173" s="26" t="str" cm="1">
        <f t="array" aca="1" ref="R173" ca="1">IF(ISNUMBER(SEARCH(INDIRECT(ADDRESS(ROW(R173),MOD(R$1,4)+1)),R$2)),$E173,"")</f>
        <v/>
      </c>
      <c r="S173" s="26" t="str" cm="1">
        <f t="array" aca="1" ref="S173" ca="1">IF(ISNUMBER(SEARCH(INDIRECT(ADDRESS(ROW(S173),MOD(S$1,4)+1)),S$2)),$E173,"")</f>
        <v/>
      </c>
      <c r="T173" s="26" t="str" cm="1">
        <f t="array" aca="1" ref="T173" ca="1">IF(ISNUMBER(SEARCH(INDIRECT(ADDRESS(ROW(T173),MOD(T$1,4)+1)),T$2)),$E173,"")</f>
        <v/>
      </c>
      <c r="U173" s="26" t="str" cm="1">
        <f t="array" aca="1" ref="U173" ca="1">IF(ISNUMBER(SEARCH(INDIRECT(ADDRESS(ROW(U173),MOD(U$1,4)+1)),U$2)),$E173,"")</f>
        <v/>
      </c>
      <c r="V173" s="26" t="str" cm="1">
        <f t="array" aca="1" ref="V173" ca="1">IF(ISNUMBER(SEARCH(INDIRECT(ADDRESS(ROW(V173),MOD(V$1,4)+1)),V$2)),$E173,"")</f>
        <v/>
      </c>
      <c r="W173" s="26" t="str" cm="1">
        <f t="array" aca="1" ref="W173" ca="1">IF(ISNUMBER(SEARCH(INDIRECT(ADDRESS(ROW(W173),MOD(W$1,4)+1)),W$2)),$E173,"")</f>
        <v/>
      </c>
      <c r="X173" s="26" t="str" cm="1">
        <f t="array" aca="1" ref="X173" ca="1">IF(ISNUMBER(SEARCH(INDIRECT(ADDRESS(ROW(X173),MOD(X$1,4)+1)),X$2)),$E173,"")</f>
        <v/>
      </c>
      <c r="Y173" s="26" t="str" cm="1">
        <f t="array" aca="1" ref="Y173" ca="1">IF(ISNUMBER(SEARCH(INDIRECT(ADDRESS(ROW(Y173),MOD(Y$1,4)+1)),Y$2)),$E173,"")</f>
        <v/>
      </c>
      <c r="Z173" s="26" t="str" cm="1">
        <f t="array" aca="1" ref="Z173" ca="1">IF(ISNUMBER(SEARCH(INDIRECT(ADDRESS(ROW(Z173),MOD(Z$1,4)+1)),Z$2)),$E173,"")</f>
        <v/>
      </c>
      <c r="AA173" s="26" t="str" cm="1">
        <f t="array" aca="1" ref="AA173" ca="1">IF(ISNUMBER(SEARCH(INDIRECT(ADDRESS(ROW(AA173),MOD(AA$1,4)+1)),AA$2)),$E173,"")</f>
        <v/>
      </c>
      <c r="AB173" s="26" t="str" cm="1">
        <f t="array" aca="1" ref="AB173" ca="1">IF(ISNUMBER(SEARCH(INDIRECT(ADDRESS(ROW(AB173),MOD(AB$1,4)+1)),AB$2)),$E173,"")</f>
        <v/>
      </c>
      <c r="AC173" s="26" t="str" cm="1">
        <f t="array" aca="1" ref="AC173" ca="1">IF(ISNUMBER(SEARCH(INDIRECT(ADDRESS(ROW(AC173),MOD(AC$1,4)+1)),AC$2)),$E173,"")</f>
        <v/>
      </c>
      <c r="AD173" s="26" t="str" cm="1">
        <f t="array" aca="1" ref="AD173" ca="1">IF(ISNUMBER(SEARCH(INDIRECT(ADDRESS(ROW(AD173),MOD(AD$1,4)+1)),AD$2)),$E173,"")</f>
        <v/>
      </c>
      <c r="AE173" s="26" t="str" cm="1">
        <f t="array" aca="1" ref="AE173" ca="1">IF(ISNUMBER(SEARCH(INDIRECT(ADDRESS(ROW(AE173),MOD(AE$1,4)+1)),AE$2)),$E173,"")</f>
        <v/>
      </c>
      <c r="AF173" s="26" t="str" cm="1">
        <f t="array" aca="1" ref="AF173" ca="1">IF(ISNUMBER(SEARCH(INDIRECT(ADDRESS(ROW(AF173),MOD(AF$1,4)+1)),AF$2)),$E173,"")</f>
        <v/>
      </c>
      <c r="AG173" s="26" t="str" cm="1">
        <f t="array" aca="1" ref="AG173" ca="1">IF(ISNUMBER(SEARCH(INDIRECT(ADDRESS(ROW(AG173),MOD(AG$1,4)+1)),AG$2)),$E173,"")</f>
        <v/>
      </c>
      <c r="AH173" s="26" t="str" cm="1">
        <f t="array" aca="1" ref="AH173" ca="1">IF(ISNUMBER(SEARCH(INDIRECT(ADDRESS(ROW(AH173),MOD(AH$1,4)+1)),AH$2)),$E173,"")</f>
        <v/>
      </c>
      <c r="AI173" s="26" t="str" cm="1">
        <f t="array" aca="1" ref="AI173" ca="1">IF(ISNUMBER(SEARCH(INDIRECT(ADDRESS(ROW(AI173),MOD(AI$1,4)+1)),AI$2)),$E173,"")</f>
        <v/>
      </c>
      <c r="AJ173" s="26" t="str" cm="1">
        <f t="array" aca="1" ref="AJ173" ca="1">IF(ISNUMBER(SEARCH(INDIRECT(ADDRESS(ROW(AJ173),MOD(AJ$1,4)+1)),AJ$2)),$E173,"")</f>
        <v/>
      </c>
      <c r="AK173" s="26" t="str" cm="1">
        <f t="array" aca="1" ref="AK173" ca="1">IF(ISNUMBER(SEARCH(INDIRECT(ADDRESS(ROW(AK173),MOD(AK$1,4)+1)),AK$2)),$E173,"")</f>
        <v/>
      </c>
      <c r="AL173" s="26" t="str" cm="1">
        <f t="array" aca="1" ref="AL173" ca="1">IF(ISNUMBER(SEARCH(INDIRECT(ADDRESS(ROW(AL173),MOD(AL$1,4)+1)),AL$2)),$E173,"")</f>
        <v/>
      </c>
      <c r="AM173" s="26" t="str" cm="1">
        <f t="array" aca="1" ref="AM173" ca="1">IF(ISNUMBER(SEARCH(INDIRECT(ADDRESS(ROW(AM173),MOD(AM$1,4)+1)),AM$2)),$E173,"")</f>
        <v/>
      </c>
      <c r="AN173" s="26" t="str" cm="1">
        <f t="array" aca="1" ref="AN173" ca="1">IF(ISNUMBER(SEARCH(INDIRECT(ADDRESS(ROW(AN173),MOD(AN$1,4)+1)),AN$2)),$E173,"")</f>
        <v/>
      </c>
      <c r="AO173" s="26" t="str" cm="1">
        <f t="array" aca="1" ref="AO173" ca="1">IF(ISNUMBER(SEARCH(INDIRECT(ADDRESS(ROW(AO173),MOD(AO$1,4)+1)),AO$2)),$E173,"")</f>
        <v/>
      </c>
      <c r="AP173" s="26" t="str" cm="1">
        <f t="array" aca="1" ref="AP173" ca="1">IF(ISNUMBER(SEARCH(INDIRECT(ADDRESS(ROW(AP173),MOD(AP$1,4)+1)),AP$2)),$E173,"")</f>
        <v/>
      </c>
      <c r="AQ173" s="31" t="str" cm="1">
        <f t="array" aca="1" ref="AQ173" ca="1">IF(ISNUMBER(SEARCH(INDIRECT(ADDRESS(ROW(AQ173),MOD(AQ$1,4)+1)),AQ$2)),$E173,"")</f>
        <v/>
      </c>
      <c r="AT173" t="e">
        <f>IF(VLOOKUP($E173,'Formatted NEW'!$B$2:$F$202,5,FALSE)=VLOOKUP($E173,'Formatted NEW'!$B$2:$F$202,8,FALSE),$E173,"")</f>
        <v>#N/A</v>
      </c>
      <c r="AW173" t="e">
        <f>IF(VLOOKUP($E173,'Formatted NEW'!$B$2:$F$202,5,FALSE)=VLOOKUP($E173,'Formatted NEW'!$B$2:$F$202,11,FALSE),$E173,"")</f>
        <v>#N/A</v>
      </c>
      <c r="AZ173" t="e">
        <f>IF(VLOOKUP($E173,'Formatted NEW'!$B$2:$F$202,5,FALSE)=VLOOKUP($E173,'Formatted NEW'!$B$2:$F$202,14,FALSE),$E173,"")</f>
        <v>#N/A</v>
      </c>
      <c r="BC173" t="str">
        <f>VLOOKUP($E173,'Formatted NEW'!$M$2:$T$202,6,FALSE)</f>
        <v>ORTHO_BOTH</v>
      </c>
      <c r="BD173" s="26" t="e">
        <f>VLOOKUP(VLOOKUP(VLOOKUP($E173,'Formatted NEW'!$M$2:$O$202,2,FALSE),'Formatted NEW'!$D$2:$F$202,7,FALSE),'Formatted NEW'!$D$2:$O$202,12,FALSE)</f>
        <v>#REF!</v>
      </c>
      <c r="BE173" t="e">
        <f>VLOOKUP($BD173,'Formatted NEW'!$M$2:$T$202,5,FALSE)</f>
        <v>#REF!</v>
      </c>
      <c r="BF173" s="26" t="e">
        <f t="shared" si="9"/>
        <v>#REF!</v>
      </c>
      <c r="BH173">
        <f>VLOOKUP($E173,'Formatted NEW'!$M$2:$T$202,4,FALSE)</f>
        <v>0</v>
      </c>
      <c r="BI173" s="26" t="e">
        <f>VLOOKUP(VLOOKUP(VLOOKUP($E173,'Formatted NEW'!$M$2:$O$202,2,FALSE),'Formatted NEW'!$D$2:$F$202,10,FALSE),'Formatted NEW'!$D$2:$O$202,12,FALSE)</f>
        <v>#REF!</v>
      </c>
      <c r="BJ173" t="e">
        <f>VLOOKUP($BI173,'Formatted NEW'!$M$2:$T$202,3,FALSE)</f>
        <v>#REF!</v>
      </c>
      <c r="BK173" s="26" t="e">
        <f t="shared" si="10"/>
        <v>#REF!</v>
      </c>
    </row>
    <row r="174" spans="1:63" x14ac:dyDescent="0.25">
      <c r="A174" t="str">
        <f>'Formatted NEW'!Q183</f>
        <v>ORTHO_BOTH</v>
      </c>
      <c r="B174" t="str">
        <f>'Formatted NEW'!R183</f>
        <v>EMPTY</v>
      </c>
      <c r="C174" t="str">
        <f>'Formatted NEW'!S183</f>
        <v>EMPTY</v>
      </c>
      <c r="D174" t="str">
        <f>'Formatted NEW'!T183</f>
        <v>DIAG_BOTH</v>
      </c>
      <c r="E174" s="26">
        <f t="shared" si="11"/>
        <v>170</v>
      </c>
      <c r="H174" s="30" t="str" cm="1">
        <f t="array" aca="1" ref="H174" ca="1">IF(ISNUMBER(SEARCH(INDIRECT(ADDRESS(ROW(H174),MOD(H$1,4)+1)),H$2)),$E174,"")</f>
        <v/>
      </c>
      <c r="I174" s="26" t="str" cm="1">
        <f t="array" aca="1" ref="I174" ca="1">IF(ISNUMBER(SEARCH(INDIRECT(ADDRESS(ROW(I174),MOD(I$1,4)+1)),I$2)),$E174,"")</f>
        <v/>
      </c>
      <c r="J174" s="26" t="str" cm="1">
        <f t="array" aca="1" ref="J174" ca="1">IF(ISNUMBER(SEARCH(INDIRECT(ADDRESS(ROW(J174),MOD(J$1,4)+1)),J$2)),$E174,"")</f>
        <v/>
      </c>
      <c r="K174" s="26" t="str" cm="1">
        <f t="array" aca="1" ref="K174" ca="1">IF(ISNUMBER(SEARCH(INDIRECT(ADDRESS(ROW(K174),MOD(K$1,4)+1)),K$2)),$E174,"")</f>
        <v/>
      </c>
      <c r="L174" s="26" t="str" cm="1">
        <f t="array" aca="1" ref="L174" ca="1">IF(ISNUMBER(SEARCH(INDIRECT(ADDRESS(ROW(L174),MOD(L$1,4)+1)),L$2)),$E174,"")</f>
        <v/>
      </c>
      <c r="M174" s="26" t="str" cm="1">
        <f t="array" aca="1" ref="M174" ca="1">IF(ISNUMBER(SEARCH(INDIRECT(ADDRESS(ROW(M174),MOD(M$1,4)+1)),M$2)),$E174,"")</f>
        <v/>
      </c>
      <c r="N174" s="26" t="str" cm="1">
        <f t="array" aca="1" ref="N174" ca="1">IF(ISNUMBER(SEARCH(INDIRECT(ADDRESS(ROW(N174),MOD(N$1,4)+1)),N$2)),$E174,"")</f>
        <v/>
      </c>
      <c r="O174" s="26" cm="1">
        <f t="array" aca="1" ref="O174" ca="1">IF(ISNUMBER(SEARCH(INDIRECT(ADDRESS(ROW(O174),MOD(O$1,4)+1)),O$2)),$E174,"")</f>
        <v>170</v>
      </c>
      <c r="P174" s="26" cm="1">
        <f t="array" aca="1" ref="P174" ca="1">IF(ISNUMBER(SEARCH(INDIRECT(ADDRESS(ROW(P174),MOD(P$1,4)+1)),P$2)),$E174,"")</f>
        <v>170</v>
      </c>
      <c r="Q174" s="26" t="str" cm="1">
        <f t="array" aca="1" ref="Q174" ca="1">IF(ISNUMBER(SEARCH(INDIRECT(ADDRESS(ROW(Q174),MOD(Q$1,4)+1)),Q$2)),$E174,"")</f>
        <v/>
      </c>
      <c r="R174" s="26" t="str" cm="1">
        <f t="array" aca="1" ref="R174" ca="1">IF(ISNUMBER(SEARCH(INDIRECT(ADDRESS(ROW(R174),MOD(R$1,4)+1)),R$2)),$E174,"")</f>
        <v/>
      </c>
      <c r="S174" s="26" t="str" cm="1">
        <f t="array" aca="1" ref="S174" ca="1">IF(ISNUMBER(SEARCH(INDIRECT(ADDRESS(ROW(S174),MOD(S$1,4)+1)),S$2)),$E174,"")</f>
        <v/>
      </c>
      <c r="T174" s="26" t="str" cm="1">
        <f t="array" aca="1" ref="T174" ca="1">IF(ISNUMBER(SEARCH(INDIRECT(ADDRESS(ROW(T174),MOD(T$1,4)+1)),T$2)),$E174,"")</f>
        <v/>
      </c>
      <c r="U174" s="26" t="str" cm="1">
        <f t="array" aca="1" ref="U174" ca="1">IF(ISNUMBER(SEARCH(INDIRECT(ADDRESS(ROW(U174),MOD(U$1,4)+1)),U$2)),$E174,"")</f>
        <v/>
      </c>
      <c r="V174" s="26" t="str" cm="1">
        <f t="array" aca="1" ref="V174" ca="1">IF(ISNUMBER(SEARCH(INDIRECT(ADDRESS(ROW(V174),MOD(V$1,4)+1)),V$2)),$E174,"")</f>
        <v/>
      </c>
      <c r="W174" s="26" t="str" cm="1">
        <f t="array" aca="1" ref="W174" ca="1">IF(ISNUMBER(SEARCH(INDIRECT(ADDRESS(ROW(W174),MOD(W$1,4)+1)),W$2)),$E174,"")</f>
        <v/>
      </c>
      <c r="X174" s="26" t="str" cm="1">
        <f t="array" aca="1" ref="X174" ca="1">IF(ISNUMBER(SEARCH(INDIRECT(ADDRESS(ROW(X174),MOD(X$1,4)+1)),X$2)),$E174,"")</f>
        <v/>
      </c>
      <c r="Y174" s="26" t="str" cm="1">
        <f t="array" aca="1" ref="Y174" ca="1">IF(ISNUMBER(SEARCH(INDIRECT(ADDRESS(ROW(Y174),MOD(Y$1,4)+1)),Y$2)),$E174,"")</f>
        <v/>
      </c>
      <c r="Z174" s="26" t="str" cm="1">
        <f t="array" aca="1" ref="Z174" ca="1">IF(ISNUMBER(SEARCH(INDIRECT(ADDRESS(ROW(Z174),MOD(Z$1,4)+1)),Z$2)),$E174,"")</f>
        <v/>
      </c>
      <c r="AA174" s="26" t="str" cm="1">
        <f t="array" aca="1" ref="AA174" ca="1">IF(ISNUMBER(SEARCH(INDIRECT(ADDRESS(ROW(AA174),MOD(AA$1,4)+1)),AA$2)),$E174,"")</f>
        <v/>
      </c>
      <c r="AB174" s="26" t="str" cm="1">
        <f t="array" aca="1" ref="AB174" ca="1">IF(ISNUMBER(SEARCH(INDIRECT(ADDRESS(ROW(AB174),MOD(AB$1,4)+1)),AB$2)),$E174,"")</f>
        <v/>
      </c>
      <c r="AC174" s="26" t="str" cm="1">
        <f t="array" aca="1" ref="AC174" ca="1">IF(ISNUMBER(SEARCH(INDIRECT(ADDRESS(ROW(AC174),MOD(AC$1,4)+1)),AC$2)),$E174,"")</f>
        <v/>
      </c>
      <c r="AD174" s="26" t="str" cm="1">
        <f t="array" aca="1" ref="AD174" ca="1">IF(ISNUMBER(SEARCH(INDIRECT(ADDRESS(ROW(AD174),MOD(AD$1,4)+1)),AD$2)),$E174,"")</f>
        <v/>
      </c>
      <c r="AE174" s="26" t="str" cm="1">
        <f t="array" aca="1" ref="AE174" ca="1">IF(ISNUMBER(SEARCH(INDIRECT(ADDRESS(ROW(AE174),MOD(AE$1,4)+1)),AE$2)),$E174,"")</f>
        <v/>
      </c>
      <c r="AF174" s="26" t="str" cm="1">
        <f t="array" aca="1" ref="AF174" ca="1">IF(ISNUMBER(SEARCH(INDIRECT(ADDRESS(ROW(AF174),MOD(AF$1,4)+1)),AF$2)),$E174,"")</f>
        <v/>
      </c>
      <c r="AG174" s="26" t="str" cm="1">
        <f t="array" aca="1" ref="AG174" ca="1">IF(ISNUMBER(SEARCH(INDIRECT(ADDRESS(ROW(AG174),MOD(AG$1,4)+1)),AG$2)),$E174,"")</f>
        <v/>
      </c>
      <c r="AH174" s="26" t="str" cm="1">
        <f t="array" aca="1" ref="AH174" ca="1">IF(ISNUMBER(SEARCH(INDIRECT(ADDRESS(ROW(AH174),MOD(AH$1,4)+1)),AH$2)),$E174,"")</f>
        <v/>
      </c>
      <c r="AI174" s="26" t="str" cm="1">
        <f t="array" aca="1" ref="AI174" ca="1">IF(ISNUMBER(SEARCH(INDIRECT(ADDRESS(ROW(AI174),MOD(AI$1,4)+1)),AI$2)),$E174,"")</f>
        <v/>
      </c>
      <c r="AJ174" s="26" t="str" cm="1">
        <f t="array" aca="1" ref="AJ174" ca="1">IF(ISNUMBER(SEARCH(INDIRECT(ADDRESS(ROW(AJ174),MOD(AJ$1,4)+1)),AJ$2)),$E174,"")</f>
        <v/>
      </c>
      <c r="AK174" s="26" t="str" cm="1">
        <f t="array" aca="1" ref="AK174" ca="1">IF(ISNUMBER(SEARCH(INDIRECT(ADDRESS(ROW(AK174),MOD(AK$1,4)+1)),AK$2)),$E174,"")</f>
        <v/>
      </c>
      <c r="AL174" s="26" t="str" cm="1">
        <f t="array" aca="1" ref="AL174" ca="1">IF(ISNUMBER(SEARCH(INDIRECT(ADDRESS(ROW(AL174),MOD(AL$1,4)+1)),AL$2)),$E174,"")</f>
        <v/>
      </c>
      <c r="AM174" s="26" t="str" cm="1">
        <f t="array" aca="1" ref="AM174" ca="1">IF(ISNUMBER(SEARCH(INDIRECT(ADDRESS(ROW(AM174),MOD(AM$1,4)+1)),AM$2)),$E174,"")</f>
        <v/>
      </c>
      <c r="AN174" s="26" t="str" cm="1">
        <f t="array" aca="1" ref="AN174" ca="1">IF(ISNUMBER(SEARCH(INDIRECT(ADDRESS(ROW(AN174),MOD(AN$1,4)+1)),AN$2)),$E174,"")</f>
        <v/>
      </c>
      <c r="AO174" s="26" t="str" cm="1">
        <f t="array" aca="1" ref="AO174" ca="1">IF(ISNUMBER(SEARCH(INDIRECT(ADDRESS(ROW(AO174),MOD(AO$1,4)+1)),AO$2)),$E174,"")</f>
        <v/>
      </c>
      <c r="AP174" s="26" t="str" cm="1">
        <f t="array" aca="1" ref="AP174" ca="1">IF(ISNUMBER(SEARCH(INDIRECT(ADDRESS(ROW(AP174),MOD(AP$1,4)+1)),AP$2)),$E174,"")</f>
        <v/>
      </c>
      <c r="AQ174" s="31" t="str" cm="1">
        <f t="array" aca="1" ref="AQ174" ca="1">IF(ISNUMBER(SEARCH(INDIRECT(ADDRESS(ROW(AQ174),MOD(AQ$1,4)+1)),AQ$2)),$E174,"")</f>
        <v/>
      </c>
      <c r="AT174" t="e">
        <f>IF(VLOOKUP($E174,'Formatted NEW'!$B$2:$F$202,5,FALSE)=VLOOKUP($E174,'Formatted NEW'!$B$2:$F$202,8,FALSE),$E174,"")</f>
        <v>#N/A</v>
      </c>
      <c r="AW174" t="e">
        <f>IF(VLOOKUP($E174,'Formatted NEW'!$B$2:$F$202,5,FALSE)=VLOOKUP($E174,'Formatted NEW'!$B$2:$F$202,11,FALSE),$E174,"")</f>
        <v>#N/A</v>
      </c>
      <c r="AZ174" t="e">
        <f>IF(VLOOKUP($E174,'Formatted NEW'!$B$2:$F$202,5,FALSE)=VLOOKUP($E174,'Formatted NEW'!$B$2:$F$202,14,FALSE),$E174,"")</f>
        <v>#N/A</v>
      </c>
      <c r="BC174" t="str">
        <f>VLOOKUP($E174,'Formatted NEW'!$M$2:$T$202,6,FALSE)</f>
        <v>EMPTY</v>
      </c>
      <c r="BD174" s="26" t="e">
        <f>VLOOKUP(VLOOKUP(VLOOKUP($E174,'Formatted NEW'!$M$2:$O$202,2,FALSE),'Formatted NEW'!$D$2:$F$202,7,FALSE),'Formatted NEW'!$D$2:$O$202,12,FALSE)</f>
        <v>#REF!</v>
      </c>
      <c r="BE174" t="e">
        <f>VLOOKUP($BD174,'Formatted NEW'!$M$2:$T$202,5,FALSE)</f>
        <v>#REF!</v>
      </c>
      <c r="BF174" s="26" t="e">
        <f t="shared" si="9"/>
        <v>#REF!</v>
      </c>
      <c r="BH174">
        <f>VLOOKUP($E174,'Formatted NEW'!$M$2:$T$202,4,FALSE)</f>
        <v>0</v>
      </c>
      <c r="BI174" s="26" t="e">
        <f>VLOOKUP(VLOOKUP(VLOOKUP($E174,'Formatted NEW'!$M$2:$O$202,2,FALSE),'Formatted NEW'!$D$2:$F$202,10,FALSE),'Formatted NEW'!$D$2:$O$202,12,FALSE)</f>
        <v>#REF!</v>
      </c>
      <c r="BJ174" t="e">
        <f>VLOOKUP($BI174,'Formatted NEW'!$M$2:$T$202,3,FALSE)</f>
        <v>#REF!</v>
      </c>
      <c r="BK174" s="26" t="e">
        <f t="shared" si="10"/>
        <v>#REF!</v>
      </c>
    </row>
    <row r="175" spans="1:63" x14ac:dyDescent="0.25">
      <c r="A175" t="str">
        <f>'Formatted NEW'!Q184</f>
        <v>ORTHO_BOTH</v>
      </c>
      <c r="B175" t="str">
        <f>'Formatted NEW'!R184</f>
        <v>EMPTY</v>
      </c>
      <c r="C175" t="str">
        <f>'Formatted NEW'!S184</f>
        <v>DIAG_BOTH</v>
      </c>
      <c r="D175" t="str">
        <f>'Formatted NEW'!T184</f>
        <v>EMPTY</v>
      </c>
      <c r="E175" s="26">
        <f t="shared" si="11"/>
        <v>171</v>
      </c>
      <c r="H175" s="30" t="str" cm="1">
        <f t="array" aca="1" ref="H175" ca="1">IF(ISNUMBER(SEARCH(INDIRECT(ADDRESS(ROW(H175),MOD(H$1,4)+1)),H$2)),$E175,"")</f>
        <v/>
      </c>
      <c r="I175" s="26" t="str" cm="1">
        <f t="array" aca="1" ref="I175" ca="1">IF(ISNUMBER(SEARCH(INDIRECT(ADDRESS(ROW(I175),MOD(I$1,4)+1)),I$2)),$E175,"")</f>
        <v/>
      </c>
      <c r="J175" s="26" t="str" cm="1">
        <f t="array" aca="1" ref="J175" ca="1">IF(ISNUMBER(SEARCH(INDIRECT(ADDRESS(ROW(J175),MOD(J$1,4)+1)),J$2)),$E175,"")</f>
        <v/>
      </c>
      <c r="K175" s="26" t="str" cm="1">
        <f t="array" aca="1" ref="K175" ca="1">IF(ISNUMBER(SEARCH(INDIRECT(ADDRESS(ROW(K175),MOD(K$1,4)+1)),K$2)),$E175,"")</f>
        <v/>
      </c>
      <c r="L175" s="26" t="str" cm="1">
        <f t="array" aca="1" ref="L175" ca="1">IF(ISNUMBER(SEARCH(INDIRECT(ADDRESS(ROW(L175),MOD(L$1,4)+1)),L$2)),$E175,"")</f>
        <v/>
      </c>
      <c r="M175" s="26" t="str" cm="1">
        <f t="array" aca="1" ref="M175" ca="1">IF(ISNUMBER(SEARCH(INDIRECT(ADDRESS(ROW(M175),MOD(M$1,4)+1)),M$2)),$E175,"")</f>
        <v/>
      </c>
      <c r="N175" s="26" cm="1">
        <f t="array" aca="1" ref="N175" ca="1">IF(ISNUMBER(SEARCH(INDIRECT(ADDRESS(ROW(N175),MOD(N$1,4)+1)),N$2)),$E175,"")</f>
        <v>171</v>
      </c>
      <c r="O175" s="26" t="str" cm="1">
        <f t="array" aca="1" ref="O175" ca="1">IF(ISNUMBER(SEARCH(INDIRECT(ADDRESS(ROW(O175),MOD(O$1,4)+1)),O$2)),$E175,"")</f>
        <v/>
      </c>
      <c r="P175" s="26" cm="1">
        <f t="array" aca="1" ref="P175" ca="1">IF(ISNUMBER(SEARCH(INDIRECT(ADDRESS(ROW(P175),MOD(P$1,4)+1)),P$2)),$E175,"")</f>
        <v>171</v>
      </c>
      <c r="Q175" s="26" t="str" cm="1">
        <f t="array" aca="1" ref="Q175" ca="1">IF(ISNUMBER(SEARCH(INDIRECT(ADDRESS(ROW(Q175),MOD(Q$1,4)+1)),Q$2)),$E175,"")</f>
        <v/>
      </c>
      <c r="R175" s="26" t="str" cm="1">
        <f t="array" aca="1" ref="R175" ca="1">IF(ISNUMBER(SEARCH(INDIRECT(ADDRESS(ROW(R175),MOD(R$1,4)+1)),R$2)),$E175,"")</f>
        <v/>
      </c>
      <c r="S175" s="26" t="str" cm="1">
        <f t="array" aca="1" ref="S175" ca="1">IF(ISNUMBER(SEARCH(INDIRECT(ADDRESS(ROW(S175),MOD(S$1,4)+1)),S$2)),$E175,"")</f>
        <v/>
      </c>
      <c r="T175" s="26" t="str" cm="1">
        <f t="array" aca="1" ref="T175" ca="1">IF(ISNUMBER(SEARCH(INDIRECT(ADDRESS(ROW(T175),MOD(T$1,4)+1)),T$2)),$E175,"")</f>
        <v/>
      </c>
      <c r="U175" s="26" t="str" cm="1">
        <f t="array" aca="1" ref="U175" ca="1">IF(ISNUMBER(SEARCH(INDIRECT(ADDRESS(ROW(U175),MOD(U$1,4)+1)),U$2)),$E175,"")</f>
        <v/>
      </c>
      <c r="V175" s="26" t="str" cm="1">
        <f t="array" aca="1" ref="V175" ca="1">IF(ISNUMBER(SEARCH(INDIRECT(ADDRESS(ROW(V175),MOD(V$1,4)+1)),V$2)),$E175,"")</f>
        <v/>
      </c>
      <c r="W175" s="26" t="str" cm="1">
        <f t="array" aca="1" ref="W175" ca="1">IF(ISNUMBER(SEARCH(INDIRECT(ADDRESS(ROW(W175),MOD(W$1,4)+1)),W$2)),$E175,"")</f>
        <v/>
      </c>
      <c r="X175" s="26" t="str" cm="1">
        <f t="array" aca="1" ref="X175" ca="1">IF(ISNUMBER(SEARCH(INDIRECT(ADDRESS(ROW(X175),MOD(X$1,4)+1)),X$2)),$E175,"")</f>
        <v/>
      </c>
      <c r="Y175" s="26" t="str" cm="1">
        <f t="array" aca="1" ref="Y175" ca="1">IF(ISNUMBER(SEARCH(INDIRECT(ADDRESS(ROW(Y175),MOD(Y$1,4)+1)),Y$2)),$E175,"")</f>
        <v/>
      </c>
      <c r="Z175" s="26" t="str" cm="1">
        <f t="array" aca="1" ref="Z175" ca="1">IF(ISNUMBER(SEARCH(INDIRECT(ADDRESS(ROW(Z175),MOD(Z$1,4)+1)),Z$2)),$E175,"")</f>
        <v/>
      </c>
      <c r="AA175" s="26" t="str" cm="1">
        <f t="array" aca="1" ref="AA175" ca="1">IF(ISNUMBER(SEARCH(INDIRECT(ADDRESS(ROW(AA175),MOD(AA$1,4)+1)),AA$2)),$E175,"")</f>
        <v/>
      </c>
      <c r="AB175" s="26" t="str" cm="1">
        <f t="array" aca="1" ref="AB175" ca="1">IF(ISNUMBER(SEARCH(INDIRECT(ADDRESS(ROW(AB175),MOD(AB$1,4)+1)),AB$2)),$E175,"")</f>
        <v/>
      </c>
      <c r="AC175" s="26" t="str" cm="1">
        <f t="array" aca="1" ref="AC175" ca="1">IF(ISNUMBER(SEARCH(INDIRECT(ADDRESS(ROW(AC175),MOD(AC$1,4)+1)),AC$2)),$E175,"")</f>
        <v/>
      </c>
      <c r="AD175" s="26" t="str" cm="1">
        <f t="array" aca="1" ref="AD175" ca="1">IF(ISNUMBER(SEARCH(INDIRECT(ADDRESS(ROW(AD175),MOD(AD$1,4)+1)),AD$2)),$E175,"")</f>
        <v/>
      </c>
      <c r="AE175" s="26" t="str" cm="1">
        <f t="array" aca="1" ref="AE175" ca="1">IF(ISNUMBER(SEARCH(INDIRECT(ADDRESS(ROW(AE175),MOD(AE$1,4)+1)),AE$2)),$E175,"")</f>
        <v/>
      </c>
      <c r="AF175" s="26" t="str" cm="1">
        <f t="array" aca="1" ref="AF175" ca="1">IF(ISNUMBER(SEARCH(INDIRECT(ADDRESS(ROW(AF175),MOD(AF$1,4)+1)),AF$2)),$E175,"")</f>
        <v/>
      </c>
      <c r="AG175" s="26" t="str" cm="1">
        <f t="array" aca="1" ref="AG175" ca="1">IF(ISNUMBER(SEARCH(INDIRECT(ADDRESS(ROW(AG175),MOD(AG$1,4)+1)),AG$2)),$E175,"")</f>
        <v/>
      </c>
      <c r="AH175" s="26" t="str" cm="1">
        <f t="array" aca="1" ref="AH175" ca="1">IF(ISNUMBER(SEARCH(INDIRECT(ADDRESS(ROW(AH175),MOD(AH$1,4)+1)),AH$2)),$E175,"")</f>
        <v/>
      </c>
      <c r="AI175" s="26" t="str" cm="1">
        <f t="array" aca="1" ref="AI175" ca="1">IF(ISNUMBER(SEARCH(INDIRECT(ADDRESS(ROW(AI175),MOD(AI$1,4)+1)),AI$2)),$E175,"")</f>
        <v/>
      </c>
      <c r="AJ175" s="26" t="str" cm="1">
        <f t="array" aca="1" ref="AJ175" ca="1">IF(ISNUMBER(SEARCH(INDIRECT(ADDRESS(ROW(AJ175),MOD(AJ$1,4)+1)),AJ$2)),$E175,"")</f>
        <v/>
      </c>
      <c r="AK175" s="26" t="str" cm="1">
        <f t="array" aca="1" ref="AK175" ca="1">IF(ISNUMBER(SEARCH(INDIRECT(ADDRESS(ROW(AK175),MOD(AK$1,4)+1)),AK$2)),$E175,"")</f>
        <v/>
      </c>
      <c r="AL175" s="26" t="str" cm="1">
        <f t="array" aca="1" ref="AL175" ca="1">IF(ISNUMBER(SEARCH(INDIRECT(ADDRESS(ROW(AL175),MOD(AL$1,4)+1)),AL$2)),$E175,"")</f>
        <v/>
      </c>
      <c r="AM175" s="26" t="str" cm="1">
        <f t="array" aca="1" ref="AM175" ca="1">IF(ISNUMBER(SEARCH(INDIRECT(ADDRESS(ROW(AM175),MOD(AM$1,4)+1)),AM$2)),$E175,"")</f>
        <v/>
      </c>
      <c r="AN175" s="26" t="str" cm="1">
        <f t="array" aca="1" ref="AN175" ca="1">IF(ISNUMBER(SEARCH(INDIRECT(ADDRESS(ROW(AN175),MOD(AN$1,4)+1)),AN$2)),$E175,"")</f>
        <v/>
      </c>
      <c r="AO175" s="26" t="str" cm="1">
        <f t="array" aca="1" ref="AO175" ca="1">IF(ISNUMBER(SEARCH(INDIRECT(ADDRESS(ROW(AO175),MOD(AO$1,4)+1)),AO$2)),$E175,"")</f>
        <v/>
      </c>
      <c r="AP175" s="26" t="str" cm="1">
        <f t="array" aca="1" ref="AP175" ca="1">IF(ISNUMBER(SEARCH(INDIRECT(ADDRESS(ROW(AP175),MOD(AP$1,4)+1)),AP$2)),$E175,"")</f>
        <v/>
      </c>
      <c r="AQ175" s="31" t="str" cm="1">
        <f t="array" aca="1" ref="AQ175" ca="1">IF(ISNUMBER(SEARCH(INDIRECT(ADDRESS(ROW(AQ175),MOD(AQ$1,4)+1)),AQ$2)),$E175,"")</f>
        <v/>
      </c>
      <c r="AT175" t="e">
        <f>IF(VLOOKUP($E175,'Formatted NEW'!$B$2:$F$202,5,FALSE)=VLOOKUP($E175,'Formatted NEW'!$B$2:$F$202,8,FALSE),$E175,"")</f>
        <v>#N/A</v>
      </c>
      <c r="AW175" t="e">
        <f>IF(VLOOKUP($E175,'Formatted NEW'!$B$2:$F$202,5,FALSE)=VLOOKUP($E175,'Formatted NEW'!$B$2:$F$202,11,FALSE),$E175,"")</f>
        <v>#N/A</v>
      </c>
      <c r="AZ175" t="e">
        <f>IF(VLOOKUP($E175,'Formatted NEW'!$B$2:$F$202,5,FALSE)=VLOOKUP($E175,'Formatted NEW'!$B$2:$F$202,14,FALSE),$E175,"")</f>
        <v>#N/A</v>
      </c>
      <c r="BC175" t="str">
        <f>VLOOKUP($E175,'Formatted NEW'!$M$2:$T$202,6,FALSE)</f>
        <v>EMPTY</v>
      </c>
      <c r="BD175" s="26" t="e">
        <f>VLOOKUP(VLOOKUP(VLOOKUP($E175,'Formatted NEW'!$M$2:$O$202,2,FALSE),'Formatted NEW'!$D$2:$F$202,7,FALSE),'Formatted NEW'!$D$2:$O$202,12,FALSE)</f>
        <v>#REF!</v>
      </c>
      <c r="BE175" t="e">
        <f>VLOOKUP($BD175,'Formatted NEW'!$M$2:$T$202,5,FALSE)</f>
        <v>#REF!</v>
      </c>
      <c r="BF175" s="26" t="e">
        <f t="shared" si="9"/>
        <v>#REF!</v>
      </c>
      <c r="BH175">
        <f>VLOOKUP($E175,'Formatted NEW'!$M$2:$T$202,4,FALSE)</f>
        <v>0</v>
      </c>
      <c r="BI175" s="26" t="e">
        <f>VLOOKUP(VLOOKUP(VLOOKUP($E175,'Formatted NEW'!$M$2:$O$202,2,FALSE),'Formatted NEW'!$D$2:$F$202,10,FALSE),'Formatted NEW'!$D$2:$O$202,12,FALSE)</f>
        <v>#REF!</v>
      </c>
      <c r="BJ175" t="e">
        <f>VLOOKUP($BI175,'Formatted NEW'!$M$2:$T$202,3,FALSE)</f>
        <v>#REF!</v>
      </c>
      <c r="BK175" s="26" t="e">
        <f t="shared" si="10"/>
        <v>#REF!</v>
      </c>
    </row>
    <row r="176" spans="1:63" x14ac:dyDescent="0.25">
      <c r="A176" t="str">
        <f>'Formatted NEW'!Q185</f>
        <v>EMPTY</v>
      </c>
      <c r="B176" t="str">
        <f>'Formatted NEW'!R185</f>
        <v>DIAG_FRONT</v>
      </c>
      <c r="C176" t="str">
        <f>'Formatted NEW'!S185</f>
        <v>ORTHO_DOWN</v>
      </c>
      <c r="D176" t="str">
        <f>'Formatted NEW'!T185</f>
        <v>EMPTY</v>
      </c>
      <c r="E176" s="26">
        <f t="shared" si="11"/>
        <v>172</v>
      </c>
      <c r="H176" s="30" t="str" cm="1">
        <f t="array" aca="1" ref="H176" ca="1">IF(ISNUMBER(SEARCH(INDIRECT(ADDRESS(ROW(H176),MOD(H$1,4)+1)),H$2)),$E176,"")</f>
        <v/>
      </c>
      <c r="I176" s="26" t="str" cm="1">
        <f t="array" aca="1" ref="I176" ca="1">IF(ISNUMBER(SEARCH(INDIRECT(ADDRESS(ROW(I176),MOD(I$1,4)+1)),I$2)),$E176,"")</f>
        <v/>
      </c>
      <c r="J176" s="26" t="str" cm="1">
        <f t="array" aca="1" ref="J176" ca="1">IF(ISNUMBER(SEARCH(INDIRECT(ADDRESS(ROW(J176),MOD(J$1,4)+1)),J$2)),$E176,"")</f>
        <v/>
      </c>
      <c r="K176" s="26" t="str" cm="1">
        <f t="array" aca="1" ref="K176" ca="1">IF(ISNUMBER(SEARCH(INDIRECT(ADDRESS(ROW(K176),MOD(K$1,4)+1)),K$2)),$E176,"")</f>
        <v/>
      </c>
      <c r="L176" s="26" t="str" cm="1">
        <f t="array" aca="1" ref="L176" ca="1">IF(ISNUMBER(SEARCH(INDIRECT(ADDRESS(ROW(L176),MOD(L$1,4)+1)),L$2)),$E176,"")</f>
        <v/>
      </c>
      <c r="M176" s="26" t="str" cm="1">
        <f t="array" aca="1" ref="M176" ca="1">IF(ISNUMBER(SEARCH(INDIRECT(ADDRESS(ROW(M176),MOD(M$1,4)+1)),M$2)),$E176,"")</f>
        <v/>
      </c>
      <c r="N176" s="26" t="str" cm="1">
        <f t="array" aca="1" ref="N176" ca="1">IF(ISNUMBER(SEARCH(INDIRECT(ADDRESS(ROW(N176),MOD(N$1,4)+1)),N$2)),$E176,"")</f>
        <v/>
      </c>
      <c r="O176" s="26" t="str" cm="1">
        <f t="array" aca="1" ref="O176" ca="1">IF(ISNUMBER(SEARCH(INDIRECT(ADDRESS(ROW(O176),MOD(O$1,4)+1)),O$2)),$E176,"")</f>
        <v/>
      </c>
      <c r="P176" s="26" t="str" cm="1">
        <f t="array" aca="1" ref="P176" ca="1">IF(ISNUMBER(SEARCH(INDIRECT(ADDRESS(ROW(P176),MOD(P$1,4)+1)),P$2)),$E176,"")</f>
        <v/>
      </c>
      <c r="Q176" s="26" t="str" cm="1">
        <f t="array" aca="1" ref="Q176" ca="1">IF(ISNUMBER(SEARCH(INDIRECT(ADDRESS(ROW(Q176),MOD(Q$1,4)+1)),Q$2)),$E176,"")</f>
        <v/>
      </c>
      <c r="R176" s="26" t="str" cm="1">
        <f t="array" aca="1" ref="R176" ca="1">IF(ISNUMBER(SEARCH(INDIRECT(ADDRESS(ROW(R176),MOD(R$1,4)+1)),R$2)),$E176,"")</f>
        <v/>
      </c>
      <c r="S176" s="26" t="str" cm="1">
        <f t="array" aca="1" ref="S176" ca="1">IF(ISNUMBER(SEARCH(INDIRECT(ADDRESS(ROW(S176),MOD(S$1,4)+1)),S$2)),$E176,"")</f>
        <v/>
      </c>
      <c r="T176" s="26" t="str" cm="1">
        <f t="array" aca="1" ref="T176" ca="1">IF(ISNUMBER(SEARCH(INDIRECT(ADDRESS(ROW(T176),MOD(T$1,4)+1)),T$2)),$E176,"")</f>
        <v/>
      </c>
      <c r="U176" s="26" cm="1">
        <f t="array" aca="1" ref="U176" ca="1">IF(ISNUMBER(SEARCH(INDIRECT(ADDRESS(ROW(U176),MOD(U$1,4)+1)),U$2)),$E176,"")</f>
        <v>172</v>
      </c>
      <c r="V176" s="26" t="str" cm="1">
        <f t="array" aca="1" ref="V176" ca="1">IF(ISNUMBER(SEARCH(INDIRECT(ADDRESS(ROW(V176),MOD(V$1,4)+1)),V$2)),$E176,"")</f>
        <v/>
      </c>
      <c r="W176" s="26" t="str" cm="1">
        <f t="array" aca="1" ref="W176" ca="1">IF(ISNUMBER(SEARCH(INDIRECT(ADDRESS(ROW(W176),MOD(W$1,4)+1)),W$2)),$E176,"")</f>
        <v/>
      </c>
      <c r="X176" s="26" t="str" cm="1">
        <f t="array" aca="1" ref="X176" ca="1">IF(ISNUMBER(SEARCH(INDIRECT(ADDRESS(ROW(X176),MOD(X$1,4)+1)),X$2)),$E176,"")</f>
        <v/>
      </c>
      <c r="Y176" s="26" t="str" cm="1">
        <f t="array" aca="1" ref="Y176" ca="1">IF(ISNUMBER(SEARCH(INDIRECT(ADDRESS(ROW(Y176),MOD(Y$1,4)+1)),Y$2)),$E176,"")</f>
        <v/>
      </c>
      <c r="Z176" s="26" t="str" cm="1">
        <f t="array" aca="1" ref="Z176" ca="1">IF(ISNUMBER(SEARCH(INDIRECT(ADDRESS(ROW(Z176),MOD(Z$1,4)+1)),Z$2)),$E176,"")</f>
        <v/>
      </c>
      <c r="AA176" s="26" t="str" cm="1">
        <f t="array" aca="1" ref="AA176" ca="1">IF(ISNUMBER(SEARCH(INDIRECT(ADDRESS(ROW(AA176),MOD(AA$1,4)+1)),AA$2)),$E176,"")</f>
        <v/>
      </c>
      <c r="AB176" s="26" t="str" cm="1">
        <f t="array" aca="1" ref="AB176" ca="1">IF(ISNUMBER(SEARCH(INDIRECT(ADDRESS(ROW(AB176),MOD(AB$1,4)+1)),AB$2)),$E176,"")</f>
        <v/>
      </c>
      <c r="AC176" s="26" t="str" cm="1">
        <f t="array" aca="1" ref="AC176" ca="1">IF(ISNUMBER(SEARCH(INDIRECT(ADDRESS(ROW(AC176),MOD(AC$1,4)+1)),AC$2)),$E176,"")</f>
        <v/>
      </c>
      <c r="AD176" s="26" t="str" cm="1">
        <f t="array" aca="1" ref="AD176" ca="1">IF(ISNUMBER(SEARCH(INDIRECT(ADDRESS(ROW(AD176),MOD(AD$1,4)+1)),AD$2)),$E176,"")</f>
        <v/>
      </c>
      <c r="AE176" s="26" t="str" cm="1">
        <f t="array" aca="1" ref="AE176" ca="1">IF(ISNUMBER(SEARCH(INDIRECT(ADDRESS(ROW(AE176),MOD(AE$1,4)+1)),AE$2)),$E176,"")</f>
        <v/>
      </c>
      <c r="AF176" s="26" t="str" cm="1">
        <f t="array" aca="1" ref="AF176" ca="1">IF(ISNUMBER(SEARCH(INDIRECT(ADDRESS(ROW(AF176),MOD(AF$1,4)+1)),AF$2)),$E176,"")</f>
        <v/>
      </c>
      <c r="AG176" s="26" t="str" cm="1">
        <f t="array" aca="1" ref="AG176" ca="1">IF(ISNUMBER(SEARCH(INDIRECT(ADDRESS(ROW(AG176),MOD(AG$1,4)+1)),AG$2)),$E176,"")</f>
        <v/>
      </c>
      <c r="AH176" s="26" t="str" cm="1">
        <f t="array" aca="1" ref="AH176" ca="1">IF(ISNUMBER(SEARCH(INDIRECT(ADDRESS(ROW(AH176),MOD(AH$1,4)+1)),AH$2)),$E176,"")</f>
        <v/>
      </c>
      <c r="AI176" s="26" t="str" cm="1">
        <f t="array" aca="1" ref="AI176" ca="1">IF(ISNUMBER(SEARCH(INDIRECT(ADDRESS(ROW(AI176),MOD(AI$1,4)+1)),AI$2)),$E176,"")</f>
        <v/>
      </c>
      <c r="AJ176" s="26" t="str" cm="1">
        <f t="array" aca="1" ref="AJ176" ca="1">IF(ISNUMBER(SEARCH(INDIRECT(ADDRESS(ROW(AJ176),MOD(AJ$1,4)+1)),AJ$2)),$E176,"")</f>
        <v/>
      </c>
      <c r="AK176" s="26" t="str" cm="1">
        <f t="array" aca="1" ref="AK176" ca="1">IF(ISNUMBER(SEARCH(INDIRECT(ADDRESS(ROW(AK176),MOD(AK$1,4)+1)),AK$2)),$E176,"")</f>
        <v/>
      </c>
      <c r="AL176" s="26" t="str" cm="1">
        <f t="array" aca="1" ref="AL176" ca="1">IF(ISNUMBER(SEARCH(INDIRECT(ADDRESS(ROW(AL176),MOD(AL$1,4)+1)),AL$2)),$E176,"")</f>
        <v/>
      </c>
      <c r="AM176" s="26" t="str" cm="1">
        <f t="array" aca="1" ref="AM176" ca="1">IF(ISNUMBER(SEARCH(INDIRECT(ADDRESS(ROW(AM176),MOD(AM$1,4)+1)),AM$2)),$E176,"")</f>
        <v/>
      </c>
      <c r="AN176" s="26" t="str" cm="1">
        <f t="array" aca="1" ref="AN176" ca="1">IF(ISNUMBER(SEARCH(INDIRECT(ADDRESS(ROW(AN176),MOD(AN$1,4)+1)),AN$2)),$E176,"")</f>
        <v/>
      </c>
      <c r="AO176" s="26" t="str" cm="1">
        <f t="array" aca="1" ref="AO176" ca="1">IF(ISNUMBER(SEARCH(INDIRECT(ADDRESS(ROW(AO176),MOD(AO$1,4)+1)),AO$2)),$E176,"")</f>
        <v/>
      </c>
      <c r="AP176" s="26" t="str" cm="1">
        <f t="array" aca="1" ref="AP176" ca="1">IF(ISNUMBER(SEARCH(INDIRECT(ADDRESS(ROW(AP176),MOD(AP$1,4)+1)),AP$2)),$E176,"")</f>
        <v/>
      </c>
      <c r="AQ176" s="31" t="str" cm="1">
        <f t="array" aca="1" ref="AQ176" ca="1">IF(ISNUMBER(SEARCH(INDIRECT(ADDRESS(ROW(AQ176),MOD(AQ$1,4)+1)),AQ$2)),$E176,"")</f>
        <v/>
      </c>
      <c r="AT176" t="e">
        <f>IF(VLOOKUP($E176,'Formatted NEW'!$B$2:$F$202,5,FALSE)=VLOOKUP($E176,'Formatted NEW'!$B$2:$F$202,8,FALSE),$E176,"")</f>
        <v>#N/A</v>
      </c>
      <c r="AW176" t="e">
        <f>IF(VLOOKUP($E176,'Formatted NEW'!$B$2:$F$202,5,FALSE)=VLOOKUP($E176,'Formatted NEW'!$B$2:$F$202,11,FALSE),$E176,"")</f>
        <v>#N/A</v>
      </c>
      <c r="AZ176" t="e">
        <f>IF(VLOOKUP($E176,'Formatted NEW'!$B$2:$F$202,5,FALSE)=VLOOKUP($E176,'Formatted NEW'!$B$2:$F$202,14,FALSE),$E176,"")</f>
        <v>#N/A</v>
      </c>
      <c r="BC176" t="str">
        <f>VLOOKUP($E176,'Formatted NEW'!$M$2:$T$202,6,FALSE)</f>
        <v>DIAG_FRONT</v>
      </c>
      <c r="BD176" s="26" t="e">
        <f>VLOOKUP(VLOOKUP(VLOOKUP($E176,'Formatted NEW'!$M$2:$O$202,2,FALSE),'Formatted NEW'!$D$2:$F$202,7,FALSE),'Formatted NEW'!$D$2:$O$202,12,FALSE)</f>
        <v>#REF!</v>
      </c>
      <c r="BE176" t="e">
        <f>VLOOKUP($BD176,'Formatted NEW'!$M$2:$T$202,5,FALSE)</f>
        <v>#REF!</v>
      </c>
      <c r="BF176" s="26" t="e">
        <f t="shared" si="9"/>
        <v>#REF!</v>
      </c>
      <c r="BH176">
        <f>VLOOKUP($E176,'Formatted NEW'!$M$2:$T$202,4,FALSE)</f>
        <v>0</v>
      </c>
      <c r="BI176" s="26" t="e">
        <f>VLOOKUP(VLOOKUP(VLOOKUP($E176,'Formatted NEW'!$M$2:$O$202,2,FALSE),'Formatted NEW'!$D$2:$F$202,10,FALSE),'Formatted NEW'!$D$2:$O$202,12,FALSE)</f>
        <v>#REF!</v>
      </c>
      <c r="BJ176" t="e">
        <f>VLOOKUP($BI176,'Formatted NEW'!$M$2:$T$202,3,FALSE)</f>
        <v>#REF!</v>
      </c>
      <c r="BK176" s="26" t="e">
        <f t="shared" si="10"/>
        <v>#REF!</v>
      </c>
    </row>
    <row r="177" spans="1:63" x14ac:dyDescent="0.25">
      <c r="A177" t="str">
        <f>'Formatted NEW'!Q186</f>
        <v>ORTHO_LEFT</v>
      </c>
      <c r="B177" t="str">
        <f>'Formatted NEW'!R186</f>
        <v>EMPTY</v>
      </c>
      <c r="C177" t="str">
        <f>'Formatted NEW'!S186</f>
        <v>DIAG_FRONT</v>
      </c>
      <c r="D177" t="str">
        <f>'Formatted NEW'!T186</f>
        <v>EMPTY</v>
      </c>
      <c r="E177" s="26">
        <f t="shared" si="11"/>
        <v>173</v>
      </c>
      <c r="H177" s="30" t="str" cm="1">
        <f t="array" aca="1" ref="H177" ca="1">IF(ISNUMBER(SEARCH(INDIRECT(ADDRESS(ROW(H177),MOD(H$1,4)+1)),H$2)),$E177,"")</f>
        <v/>
      </c>
      <c r="I177" s="26" t="str" cm="1">
        <f t="array" aca="1" ref="I177" ca="1">IF(ISNUMBER(SEARCH(INDIRECT(ADDRESS(ROW(I177),MOD(I$1,4)+1)),I$2)),$E177,"")</f>
        <v/>
      </c>
      <c r="J177" s="26" t="str" cm="1">
        <f t="array" aca="1" ref="J177" ca="1">IF(ISNUMBER(SEARCH(INDIRECT(ADDRESS(ROW(J177),MOD(J$1,4)+1)),J$2)),$E177,"")</f>
        <v/>
      </c>
      <c r="K177" s="26" t="str" cm="1">
        <f t="array" aca="1" ref="K177" ca="1">IF(ISNUMBER(SEARCH(INDIRECT(ADDRESS(ROW(K177),MOD(K$1,4)+1)),K$2)),$E177,"")</f>
        <v/>
      </c>
      <c r="L177" s="26" t="str" cm="1">
        <f t="array" aca="1" ref="L177" ca="1">IF(ISNUMBER(SEARCH(INDIRECT(ADDRESS(ROW(L177),MOD(L$1,4)+1)),L$2)),$E177,"")</f>
        <v/>
      </c>
      <c r="M177" s="26" t="str" cm="1">
        <f t="array" aca="1" ref="M177" ca="1">IF(ISNUMBER(SEARCH(INDIRECT(ADDRESS(ROW(M177),MOD(M$1,4)+1)),M$2)),$E177,"")</f>
        <v/>
      </c>
      <c r="N177" s="26" t="str" cm="1">
        <f t="array" aca="1" ref="N177" ca="1">IF(ISNUMBER(SEARCH(INDIRECT(ADDRESS(ROW(N177),MOD(N$1,4)+1)),N$2)),$E177,"")</f>
        <v/>
      </c>
      <c r="O177" s="26" t="str" cm="1">
        <f t="array" aca="1" ref="O177" ca="1">IF(ISNUMBER(SEARCH(INDIRECT(ADDRESS(ROW(O177),MOD(O$1,4)+1)),O$2)),$E177,"")</f>
        <v/>
      </c>
      <c r="P177" s="26" t="str" cm="1">
        <f t="array" aca="1" ref="P177" ca="1">IF(ISNUMBER(SEARCH(INDIRECT(ADDRESS(ROW(P177),MOD(P$1,4)+1)),P$2)),$E177,"")</f>
        <v/>
      </c>
      <c r="Q177" s="26" t="str" cm="1">
        <f t="array" aca="1" ref="Q177" ca="1">IF(ISNUMBER(SEARCH(INDIRECT(ADDRESS(ROW(Q177),MOD(Q$1,4)+1)),Q$2)),$E177,"")</f>
        <v/>
      </c>
      <c r="R177" s="26" t="str" cm="1">
        <f t="array" aca="1" ref="R177" ca="1">IF(ISNUMBER(SEARCH(INDIRECT(ADDRESS(ROW(R177),MOD(R$1,4)+1)),R$2)),$E177,"")</f>
        <v/>
      </c>
      <c r="S177" s="26" t="str" cm="1">
        <f t="array" aca="1" ref="S177" ca="1">IF(ISNUMBER(SEARCH(INDIRECT(ADDRESS(ROW(S177),MOD(S$1,4)+1)),S$2)),$E177,"")</f>
        <v/>
      </c>
      <c r="T177" s="26" t="str" cm="1">
        <f t="array" aca="1" ref="T177" ca="1">IF(ISNUMBER(SEARCH(INDIRECT(ADDRESS(ROW(T177),MOD(T$1,4)+1)),T$2)),$E177,"")</f>
        <v/>
      </c>
      <c r="U177" s="26" t="str" cm="1">
        <f t="array" aca="1" ref="U177" ca="1">IF(ISNUMBER(SEARCH(INDIRECT(ADDRESS(ROW(U177),MOD(U$1,4)+1)),U$2)),$E177,"")</f>
        <v/>
      </c>
      <c r="V177" s="26" cm="1">
        <f t="array" aca="1" ref="V177" ca="1">IF(ISNUMBER(SEARCH(INDIRECT(ADDRESS(ROW(V177),MOD(V$1,4)+1)),V$2)),$E177,"")</f>
        <v>173</v>
      </c>
      <c r="W177" s="26" t="str" cm="1">
        <f t="array" aca="1" ref="W177" ca="1">IF(ISNUMBER(SEARCH(INDIRECT(ADDRESS(ROW(W177),MOD(W$1,4)+1)),W$2)),$E177,"")</f>
        <v/>
      </c>
      <c r="X177" s="26" t="str" cm="1">
        <f t="array" aca="1" ref="X177" ca="1">IF(ISNUMBER(SEARCH(INDIRECT(ADDRESS(ROW(X177),MOD(X$1,4)+1)),X$2)),$E177,"")</f>
        <v/>
      </c>
      <c r="Y177" s="26" t="str" cm="1">
        <f t="array" aca="1" ref="Y177" ca="1">IF(ISNUMBER(SEARCH(INDIRECT(ADDRESS(ROW(Y177),MOD(Y$1,4)+1)),Y$2)),$E177,"")</f>
        <v/>
      </c>
      <c r="Z177" s="26" t="str" cm="1">
        <f t="array" aca="1" ref="Z177" ca="1">IF(ISNUMBER(SEARCH(INDIRECT(ADDRESS(ROW(Z177),MOD(Z$1,4)+1)),Z$2)),$E177,"")</f>
        <v/>
      </c>
      <c r="AA177" s="26" t="str" cm="1">
        <f t="array" aca="1" ref="AA177" ca="1">IF(ISNUMBER(SEARCH(INDIRECT(ADDRESS(ROW(AA177),MOD(AA$1,4)+1)),AA$2)),$E177,"")</f>
        <v/>
      </c>
      <c r="AB177" s="26" t="str" cm="1">
        <f t="array" aca="1" ref="AB177" ca="1">IF(ISNUMBER(SEARCH(INDIRECT(ADDRESS(ROW(AB177),MOD(AB$1,4)+1)),AB$2)),$E177,"")</f>
        <v/>
      </c>
      <c r="AC177" s="26" t="str" cm="1">
        <f t="array" aca="1" ref="AC177" ca="1">IF(ISNUMBER(SEARCH(INDIRECT(ADDRESS(ROW(AC177),MOD(AC$1,4)+1)),AC$2)),$E177,"")</f>
        <v/>
      </c>
      <c r="AD177" s="26" t="str" cm="1">
        <f t="array" aca="1" ref="AD177" ca="1">IF(ISNUMBER(SEARCH(INDIRECT(ADDRESS(ROW(AD177),MOD(AD$1,4)+1)),AD$2)),$E177,"")</f>
        <v/>
      </c>
      <c r="AE177" s="26" t="str" cm="1">
        <f t="array" aca="1" ref="AE177" ca="1">IF(ISNUMBER(SEARCH(INDIRECT(ADDRESS(ROW(AE177),MOD(AE$1,4)+1)),AE$2)),$E177,"")</f>
        <v/>
      </c>
      <c r="AF177" s="26" t="str" cm="1">
        <f t="array" aca="1" ref="AF177" ca="1">IF(ISNUMBER(SEARCH(INDIRECT(ADDRESS(ROW(AF177),MOD(AF$1,4)+1)),AF$2)),$E177,"")</f>
        <v/>
      </c>
      <c r="AG177" s="26" t="str" cm="1">
        <f t="array" aca="1" ref="AG177" ca="1">IF(ISNUMBER(SEARCH(INDIRECT(ADDRESS(ROW(AG177),MOD(AG$1,4)+1)),AG$2)),$E177,"")</f>
        <v/>
      </c>
      <c r="AH177" s="26" t="str" cm="1">
        <f t="array" aca="1" ref="AH177" ca="1">IF(ISNUMBER(SEARCH(INDIRECT(ADDRESS(ROW(AH177),MOD(AH$1,4)+1)),AH$2)),$E177,"")</f>
        <v/>
      </c>
      <c r="AI177" s="26" t="str" cm="1">
        <f t="array" aca="1" ref="AI177" ca="1">IF(ISNUMBER(SEARCH(INDIRECT(ADDRESS(ROW(AI177),MOD(AI$1,4)+1)),AI$2)),$E177,"")</f>
        <v/>
      </c>
      <c r="AJ177" s="26" cm="1">
        <f t="array" aca="1" ref="AJ177" ca="1">IF(ISNUMBER(SEARCH(INDIRECT(ADDRESS(ROW(AJ177),MOD(AJ$1,4)+1)),AJ$2)),$E177,"")</f>
        <v>173</v>
      </c>
      <c r="AK177" s="26" t="str" cm="1">
        <f t="array" aca="1" ref="AK177" ca="1">IF(ISNUMBER(SEARCH(INDIRECT(ADDRESS(ROW(AK177),MOD(AK$1,4)+1)),AK$2)),$E177,"")</f>
        <v/>
      </c>
      <c r="AL177" s="26" t="str" cm="1">
        <f t="array" aca="1" ref="AL177" ca="1">IF(ISNUMBER(SEARCH(INDIRECT(ADDRESS(ROW(AL177),MOD(AL$1,4)+1)),AL$2)),$E177,"")</f>
        <v/>
      </c>
      <c r="AM177" s="26" t="str" cm="1">
        <f t="array" aca="1" ref="AM177" ca="1">IF(ISNUMBER(SEARCH(INDIRECT(ADDRESS(ROW(AM177),MOD(AM$1,4)+1)),AM$2)),$E177,"")</f>
        <v/>
      </c>
      <c r="AN177" s="26" t="str" cm="1">
        <f t="array" aca="1" ref="AN177" ca="1">IF(ISNUMBER(SEARCH(INDIRECT(ADDRESS(ROW(AN177),MOD(AN$1,4)+1)),AN$2)),$E177,"")</f>
        <v/>
      </c>
      <c r="AO177" s="26" t="str" cm="1">
        <f t="array" aca="1" ref="AO177" ca="1">IF(ISNUMBER(SEARCH(INDIRECT(ADDRESS(ROW(AO177),MOD(AO$1,4)+1)),AO$2)),$E177,"")</f>
        <v/>
      </c>
      <c r="AP177" s="26" t="str" cm="1">
        <f t="array" aca="1" ref="AP177" ca="1">IF(ISNUMBER(SEARCH(INDIRECT(ADDRESS(ROW(AP177),MOD(AP$1,4)+1)),AP$2)),$E177,"")</f>
        <v/>
      </c>
      <c r="AQ177" s="31" t="str" cm="1">
        <f t="array" aca="1" ref="AQ177" ca="1">IF(ISNUMBER(SEARCH(INDIRECT(ADDRESS(ROW(AQ177),MOD(AQ$1,4)+1)),AQ$2)),$E177,"")</f>
        <v/>
      </c>
      <c r="AT177" t="e">
        <f>IF(VLOOKUP($E177,'Formatted NEW'!$B$2:$F$202,5,FALSE)=VLOOKUP($E177,'Formatted NEW'!$B$2:$F$202,8,FALSE),$E177,"")</f>
        <v>#N/A</v>
      </c>
      <c r="AW177" t="e">
        <f>IF(VLOOKUP($E177,'Formatted NEW'!$B$2:$F$202,5,FALSE)=VLOOKUP($E177,'Formatted NEW'!$B$2:$F$202,11,FALSE),$E177,"")</f>
        <v>#N/A</v>
      </c>
      <c r="AZ177" t="e">
        <f>IF(VLOOKUP($E177,'Formatted NEW'!$B$2:$F$202,5,FALSE)=VLOOKUP($E177,'Formatted NEW'!$B$2:$F$202,14,FALSE),$E177,"")</f>
        <v>#N/A</v>
      </c>
      <c r="BC177" t="str">
        <f>VLOOKUP($E177,'Formatted NEW'!$M$2:$T$202,6,FALSE)</f>
        <v>EMPTY</v>
      </c>
      <c r="BD177" s="26" t="e">
        <f>VLOOKUP(VLOOKUP(VLOOKUP($E177,'Formatted NEW'!$M$2:$O$202,2,FALSE),'Formatted NEW'!$D$2:$F$202,7,FALSE),'Formatted NEW'!$D$2:$O$202,12,FALSE)</f>
        <v>#REF!</v>
      </c>
      <c r="BE177" t="e">
        <f>VLOOKUP($BD177,'Formatted NEW'!$M$2:$T$202,5,FALSE)</f>
        <v>#REF!</v>
      </c>
      <c r="BF177" s="26" t="e">
        <f t="shared" si="9"/>
        <v>#REF!</v>
      </c>
      <c r="BH177">
        <f>VLOOKUP($E177,'Formatted NEW'!$M$2:$T$202,4,FALSE)</f>
        <v>0</v>
      </c>
      <c r="BI177" s="26" t="e">
        <f>VLOOKUP(VLOOKUP(VLOOKUP($E177,'Formatted NEW'!$M$2:$O$202,2,FALSE),'Formatted NEW'!$D$2:$F$202,10,FALSE),'Formatted NEW'!$D$2:$O$202,12,FALSE)</f>
        <v>#REF!</v>
      </c>
      <c r="BJ177" t="e">
        <f>VLOOKUP($BI177,'Formatted NEW'!$M$2:$T$202,3,FALSE)</f>
        <v>#REF!</v>
      </c>
      <c r="BK177" s="26" t="e">
        <f t="shared" si="10"/>
        <v>#REF!</v>
      </c>
    </row>
    <row r="178" spans="1:63" x14ac:dyDescent="0.25">
      <c r="A178" t="str">
        <f>'Formatted NEW'!Q187</f>
        <v>DIAG_FRONT</v>
      </c>
      <c r="B178" t="str">
        <f>'Formatted NEW'!R187</f>
        <v>EMPTY</v>
      </c>
      <c r="C178" t="str">
        <f>'Formatted NEW'!S187</f>
        <v>EMPTY</v>
      </c>
      <c r="D178" t="str">
        <f>'Formatted NEW'!T187</f>
        <v>ORTHO_UP</v>
      </c>
      <c r="E178" s="26">
        <f t="shared" si="11"/>
        <v>174</v>
      </c>
      <c r="H178" s="30" t="str" cm="1">
        <f t="array" aca="1" ref="H178" ca="1">IF(ISNUMBER(SEARCH(INDIRECT(ADDRESS(ROW(H178),MOD(H$1,4)+1)),H$2)),$E178,"")</f>
        <v/>
      </c>
      <c r="I178" s="26" t="str" cm="1">
        <f t="array" aca="1" ref="I178" ca="1">IF(ISNUMBER(SEARCH(INDIRECT(ADDRESS(ROW(I178),MOD(I$1,4)+1)),I$2)),$E178,"")</f>
        <v/>
      </c>
      <c r="J178" s="26" t="str" cm="1">
        <f t="array" aca="1" ref="J178" ca="1">IF(ISNUMBER(SEARCH(INDIRECT(ADDRESS(ROW(J178),MOD(J$1,4)+1)),J$2)),$E178,"")</f>
        <v/>
      </c>
      <c r="K178" s="26" t="str" cm="1">
        <f t="array" aca="1" ref="K178" ca="1">IF(ISNUMBER(SEARCH(INDIRECT(ADDRESS(ROW(K178),MOD(K$1,4)+1)),K$2)),$E178,"")</f>
        <v/>
      </c>
      <c r="L178" s="26" t="str" cm="1">
        <f t="array" aca="1" ref="L178" ca="1">IF(ISNUMBER(SEARCH(INDIRECT(ADDRESS(ROW(L178),MOD(L$1,4)+1)),L$2)),$E178,"")</f>
        <v/>
      </c>
      <c r="M178" s="26" t="str" cm="1">
        <f t="array" aca="1" ref="M178" ca="1">IF(ISNUMBER(SEARCH(INDIRECT(ADDRESS(ROW(M178),MOD(M$1,4)+1)),M$2)),$E178,"")</f>
        <v/>
      </c>
      <c r="N178" s="26" t="str" cm="1">
        <f t="array" aca="1" ref="N178" ca="1">IF(ISNUMBER(SEARCH(INDIRECT(ADDRESS(ROW(N178),MOD(N$1,4)+1)),N$2)),$E178,"")</f>
        <v/>
      </c>
      <c r="O178" s="26" t="str" cm="1">
        <f t="array" aca="1" ref="O178" ca="1">IF(ISNUMBER(SEARCH(INDIRECT(ADDRESS(ROW(O178),MOD(O$1,4)+1)),O$2)),$E178,"")</f>
        <v/>
      </c>
      <c r="P178" s="26" t="str" cm="1">
        <f t="array" aca="1" ref="P178" ca="1">IF(ISNUMBER(SEARCH(INDIRECT(ADDRESS(ROW(P178),MOD(P$1,4)+1)),P$2)),$E178,"")</f>
        <v/>
      </c>
      <c r="Q178" s="26" t="str" cm="1">
        <f t="array" aca="1" ref="Q178" ca="1">IF(ISNUMBER(SEARCH(INDIRECT(ADDRESS(ROW(Q178),MOD(Q$1,4)+1)),Q$2)),$E178,"")</f>
        <v/>
      </c>
      <c r="R178" s="26" t="str" cm="1">
        <f t="array" aca="1" ref="R178" ca="1">IF(ISNUMBER(SEARCH(INDIRECT(ADDRESS(ROW(R178),MOD(R$1,4)+1)),R$2)),$E178,"")</f>
        <v/>
      </c>
      <c r="S178" s="26" t="str" cm="1">
        <f t="array" aca="1" ref="S178" ca="1">IF(ISNUMBER(SEARCH(INDIRECT(ADDRESS(ROW(S178),MOD(S$1,4)+1)),S$2)),$E178,"")</f>
        <v/>
      </c>
      <c r="T178" s="26" cm="1">
        <f t="array" aca="1" ref="T178" ca="1">IF(ISNUMBER(SEARCH(INDIRECT(ADDRESS(ROW(T178),MOD(T$1,4)+1)),T$2)),$E178,"")</f>
        <v>174</v>
      </c>
      <c r="U178" s="26" t="str" cm="1">
        <f t="array" aca="1" ref="U178" ca="1">IF(ISNUMBER(SEARCH(INDIRECT(ADDRESS(ROW(U178),MOD(U$1,4)+1)),U$2)),$E178,"")</f>
        <v/>
      </c>
      <c r="V178" s="26" t="str" cm="1">
        <f t="array" aca="1" ref="V178" ca="1">IF(ISNUMBER(SEARCH(INDIRECT(ADDRESS(ROW(V178),MOD(V$1,4)+1)),V$2)),$E178,"")</f>
        <v/>
      </c>
      <c r="W178" s="26" t="str" cm="1">
        <f t="array" aca="1" ref="W178" ca="1">IF(ISNUMBER(SEARCH(INDIRECT(ADDRESS(ROW(W178),MOD(W$1,4)+1)),W$2)),$E178,"")</f>
        <v/>
      </c>
      <c r="X178" s="26" t="str" cm="1">
        <f t="array" aca="1" ref="X178" ca="1">IF(ISNUMBER(SEARCH(INDIRECT(ADDRESS(ROW(X178),MOD(X$1,4)+1)),X$2)),$E178,"")</f>
        <v/>
      </c>
      <c r="Y178" s="26" t="str" cm="1">
        <f t="array" aca="1" ref="Y178" ca="1">IF(ISNUMBER(SEARCH(INDIRECT(ADDRESS(ROW(Y178),MOD(Y$1,4)+1)),Y$2)),$E178,"")</f>
        <v/>
      </c>
      <c r="Z178" s="26" t="str" cm="1">
        <f t="array" aca="1" ref="Z178" ca="1">IF(ISNUMBER(SEARCH(INDIRECT(ADDRESS(ROW(Z178),MOD(Z$1,4)+1)),Z$2)),$E178,"")</f>
        <v/>
      </c>
      <c r="AA178" s="26" t="str" cm="1">
        <f t="array" aca="1" ref="AA178" ca="1">IF(ISNUMBER(SEARCH(INDIRECT(ADDRESS(ROW(AA178),MOD(AA$1,4)+1)),AA$2)),$E178,"")</f>
        <v/>
      </c>
      <c r="AB178" s="26" t="str" cm="1">
        <f t="array" aca="1" ref="AB178" ca="1">IF(ISNUMBER(SEARCH(INDIRECT(ADDRESS(ROW(AB178),MOD(AB$1,4)+1)),AB$2)),$E178,"")</f>
        <v/>
      </c>
      <c r="AC178" s="26" t="str" cm="1">
        <f t="array" aca="1" ref="AC178" ca="1">IF(ISNUMBER(SEARCH(INDIRECT(ADDRESS(ROW(AC178),MOD(AC$1,4)+1)),AC$2)),$E178,"")</f>
        <v/>
      </c>
      <c r="AD178" s="26" t="str" cm="1">
        <f t="array" aca="1" ref="AD178" ca="1">IF(ISNUMBER(SEARCH(INDIRECT(ADDRESS(ROW(AD178),MOD(AD$1,4)+1)),AD$2)),$E178,"")</f>
        <v/>
      </c>
      <c r="AE178" s="26" t="str" cm="1">
        <f t="array" aca="1" ref="AE178" ca="1">IF(ISNUMBER(SEARCH(INDIRECT(ADDRESS(ROW(AE178),MOD(AE$1,4)+1)),AE$2)),$E178,"")</f>
        <v/>
      </c>
      <c r="AF178" s="26" t="str" cm="1">
        <f t="array" aca="1" ref="AF178" ca="1">IF(ISNUMBER(SEARCH(INDIRECT(ADDRESS(ROW(AF178),MOD(AF$1,4)+1)),AF$2)),$E178,"")</f>
        <v/>
      </c>
      <c r="AG178" s="26" t="str" cm="1">
        <f t="array" aca="1" ref="AG178" ca="1">IF(ISNUMBER(SEARCH(INDIRECT(ADDRESS(ROW(AG178),MOD(AG$1,4)+1)),AG$2)),$E178,"")</f>
        <v/>
      </c>
      <c r="AH178" s="26" t="str" cm="1">
        <f t="array" aca="1" ref="AH178" ca="1">IF(ISNUMBER(SEARCH(INDIRECT(ADDRESS(ROW(AH178),MOD(AH$1,4)+1)),AH$2)),$E178,"")</f>
        <v/>
      </c>
      <c r="AI178" s="26" t="str" cm="1">
        <f t="array" aca="1" ref="AI178" ca="1">IF(ISNUMBER(SEARCH(INDIRECT(ADDRESS(ROW(AI178),MOD(AI$1,4)+1)),AI$2)),$E178,"")</f>
        <v/>
      </c>
      <c r="AJ178" s="26" t="str" cm="1">
        <f t="array" aca="1" ref="AJ178" ca="1">IF(ISNUMBER(SEARCH(INDIRECT(ADDRESS(ROW(AJ178),MOD(AJ$1,4)+1)),AJ$2)),$E178,"")</f>
        <v/>
      </c>
      <c r="AK178" s="26" t="str" cm="1">
        <f t="array" aca="1" ref="AK178" ca="1">IF(ISNUMBER(SEARCH(INDIRECT(ADDRESS(ROW(AK178),MOD(AK$1,4)+1)),AK$2)),$E178,"")</f>
        <v/>
      </c>
      <c r="AL178" s="26" t="str" cm="1">
        <f t="array" aca="1" ref="AL178" ca="1">IF(ISNUMBER(SEARCH(INDIRECT(ADDRESS(ROW(AL178),MOD(AL$1,4)+1)),AL$2)),$E178,"")</f>
        <v/>
      </c>
      <c r="AM178" s="26" t="str" cm="1">
        <f t="array" aca="1" ref="AM178" ca="1">IF(ISNUMBER(SEARCH(INDIRECT(ADDRESS(ROW(AM178),MOD(AM$1,4)+1)),AM$2)),$E178,"")</f>
        <v/>
      </c>
      <c r="AN178" s="26" t="str" cm="1">
        <f t="array" aca="1" ref="AN178" ca="1">IF(ISNUMBER(SEARCH(INDIRECT(ADDRESS(ROW(AN178),MOD(AN$1,4)+1)),AN$2)),$E178,"")</f>
        <v/>
      </c>
      <c r="AO178" s="26" t="str" cm="1">
        <f t="array" aca="1" ref="AO178" ca="1">IF(ISNUMBER(SEARCH(INDIRECT(ADDRESS(ROW(AO178),MOD(AO$1,4)+1)),AO$2)),$E178,"")</f>
        <v/>
      </c>
      <c r="AP178" s="26" t="str" cm="1">
        <f t="array" aca="1" ref="AP178" ca="1">IF(ISNUMBER(SEARCH(INDIRECT(ADDRESS(ROW(AP178),MOD(AP$1,4)+1)),AP$2)),$E178,"")</f>
        <v/>
      </c>
      <c r="AQ178" s="31" t="str" cm="1">
        <f t="array" aca="1" ref="AQ178" ca="1">IF(ISNUMBER(SEARCH(INDIRECT(ADDRESS(ROW(AQ178),MOD(AQ$1,4)+1)),AQ$2)),$E178,"")</f>
        <v/>
      </c>
      <c r="AT178" t="e">
        <f>IF(VLOOKUP($E178,'Formatted NEW'!$B$2:$F$202,5,FALSE)=VLOOKUP($E178,'Formatted NEW'!$B$2:$F$202,8,FALSE),$E178,"")</f>
        <v>#N/A</v>
      </c>
      <c r="AW178" t="e">
        <f>IF(VLOOKUP($E178,'Formatted NEW'!$B$2:$F$202,5,FALSE)=VLOOKUP($E178,'Formatted NEW'!$B$2:$F$202,11,FALSE),$E178,"")</f>
        <v>#N/A</v>
      </c>
      <c r="AZ178" t="e">
        <f>IF(VLOOKUP($E178,'Formatted NEW'!$B$2:$F$202,5,FALSE)=VLOOKUP($E178,'Formatted NEW'!$B$2:$F$202,14,FALSE),$E178,"")</f>
        <v>#N/A</v>
      </c>
      <c r="BC178" t="str">
        <f>VLOOKUP($E178,'Formatted NEW'!$M$2:$T$202,6,FALSE)</f>
        <v>EMPTY</v>
      </c>
      <c r="BD178" s="26" t="e">
        <f>VLOOKUP(VLOOKUP(VLOOKUP($E178,'Formatted NEW'!$M$2:$O$202,2,FALSE),'Formatted NEW'!$D$2:$F$202,7,FALSE),'Formatted NEW'!$D$2:$O$202,12,FALSE)</f>
        <v>#REF!</v>
      </c>
      <c r="BE178" t="e">
        <f>VLOOKUP($BD178,'Formatted NEW'!$M$2:$T$202,5,FALSE)</f>
        <v>#REF!</v>
      </c>
      <c r="BF178" s="26" t="e">
        <f t="shared" si="9"/>
        <v>#REF!</v>
      </c>
      <c r="BH178">
        <f>VLOOKUP($E178,'Formatted NEW'!$M$2:$T$202,4,FALSE)</f>
        <v>0</v>
      </c>
      <c r="BI178" s="26" t="e">
        <f>VLOOKUP(VLOOKUP(VLOOKUP($E178,'Formatted NEW'!$M$2:$O$202,2,FALSE),'Formatted NEW'!$D$2:$F$202,10,FALSE),'Formatted NEW'!$D$2:$O$202,12,FALSE)</f>
        <v>#REF!</v>
      </c>
      <c r="BJ178" t="e">
        <f>VLOOKUP($BI178,'Formatted NEW'!$M$2:$T$202,3,FALSE)</f>
        <v>#REF!</v>
      </c>
      <c r="BK178" s="26" t="e">
        <f t="shared" si="10"/>
        <v>#REF!</v>
      </c>
    </row>
    <row r="179" spans="1:63" x14ac:dyDescent="0.25">
      <c r="A179" t="str">
        <f>'Formatted NEW'!Q188</f>
        <v>EMPTY</v>
      </c>
      <c r="B179" t="str">
        <f>'Formatted NEW'!R188</f>
        <v>ORTHO_RIGHT</v>
      </c>
      <c r="C179" t="str">
        <f>'Formatted NEW'!S188</f>
        <v>EMPTY</v>
      </c>
      <c r="D179" t="str">
        <f>'Formatted NEW'!T188</f>
        <v>DIAG_FRONT</v>
      </c>
      <c r="E179" s="26">
        <f t="shared" si="11"/>
        <v>175</v>
      </c>
      <c r="H179" s="30" t="str" cm="1">
        <f t="array" aca="1" ref="H179" ca="1">IF(ISNUMBER(SEARCH(INDIRECT(ADDRESS(ROW(H179),MOD(H$1,4)+1)),H$2)),$E179,"")</f>
        <v/>
      </c>
      <c r="I179" s="26" t="str" cm="1">
        <f t="array" aca="1" ref="I179" ca="1">IF(ISNUMBER(SEARCH(INDIRECT(ADDRESS(ROW(I179),MOD(I$1,4)+1)),I$2)),$E179,"")</f>
        <v/>
      </c>
      <c r="J179" s="26" t="str" cm="1">
        <f t="array" aca="1" ref="J179" ca="1">IF(ISNUMBER(SEARCH(INDIRECT(ADDRESS(ROW(J179),MOD(J$1,4)+1)),J$2)),$E179,"")</f>
        <v/>
      </c>
      <c r="K179" s="26" t="str" cm="1">
        <f t="array" aca="1" ref="K179" ca="1">IF(ISNUMBER(SEARCH(INDIRECT(ADDRESS(ROW(K179),MOD(K$1,4)+1)),K$2)),$E179,"")</f>
        <v/>
      </c>
      <c r="L179" s="26" t="str" cm="1">
        <f t="array" aca="1" ref="L179" ca="1">IF(ISNUMBER(SEARCH(INDIRECT(ADDRESS(ROW(L179),MOD(L$1,4)+1)),L$2)),$E179,"")</f>
        <v/>
      </c>
      <c r="M179" s="26" t="str" cm="1">
        <f t="array" aca="1" ref="M179" ca="1">IF(ISNUMBER(SEARCH(INDIRECT(ADDRESS(ROW(M179),MOD(M$1,4)+1)),M$2)),$E179,"")</f>
        <v/>
      </c>
      <c r="N179" s="26" t="str" cm="1">
        <f t="array" aca="1" ref="N179" ca="1">IF(ISNUMBER(SEARCH(INDIRECT(ADDRESS(ROW(N179),MOD(N$1,4)+1)),N$2)),$E179,"")</f>
        <v/>
      </c>
      <c r="O179" s="26" t="str" cm="1">
        <f t="array" aca="1" ref="O179" ca="1">IF(ISNUMBER(SEARCH(INDIRECT(ADDRESS(ROW(O179),MOD(O$1,4)+1)),O$2)),$E179,"")</f>
        <v/>
      </c>
      <c r="P179" s="26" t="str" cm="1">
        <f t="array" aca="1" ref="P179" ca="1">IF(ISNUMBER(SEARCH(INDIRECT(ADDRESS(ROW(P179),MOD(P$1,4)+1)),P$2)),$E179,"")</f>
        <v/>
      </c>
      <c r="Q179" s="26" t="str" cm="1">
        <f t="array" aca="1" ref="Q179" ca="1">IF(ISNUMBER(SEARCH(INDIRECT(ADDRESS(ROW(Q179),MOD(Q$1,4)+1)),Q$2)),$E179,"")</f>
        <v/>
      </c>
      <c r="R179" s="26" t="str" cm="1">
        <f t="array" aca="1" ref="R179" ca="1">IF(ISNUMBER(SEARCH(INDIRECT(ADDRESS(ROW(R179),MOD(R$1,4)+1)),R$2)),$E179,"")</f>
        <v/>
      </c>
      <c r="S179" s="26" t="str" cm="1">
        <f t="array" aca="1" ref="S179" ca="1">IF(ISNUMBER(SEARCH(INDIRECT(ADDRESS(ROW(S179),MOD(S$1,4)+1)),S$2)),$E179,"")</f>
        <v/>
      </c>
      <c r="T179" s="26" t="str" cm="1">
        <f t="array" aca="1" ref="T179" ca="1">IF(ISNUMBER(SEARCH(INDIRECT(ADDRESS(ROW(T179),MOD(T$1,4)+1)),T$2)),$E179,"")</f>
        <v/>
      </c>
      <c r="U179" s="26" t="str" cm="1">
        <f t="array" aca="1" ref="U179" ca="1">IF(ISNUMBER(SEARCH(INDIRECT(ADDRESS(ROW(U179),MOD(U$1,4)+1)),U$2)),$E179,"")</f>
        <v/>
      </c>
      <c r="V179" s="26" t="str" cm="1">
        <f t="array" aca="1" ref="V179" ca="1">IF(ISNUMBER(SEARCH(INDIRECT(ADDRESS(ROW(V179),MOD(V$1,4)+1)),V$2)),$E179,"")</f>
        <v/>
      </c>
      <c r="W179" s="26" cm="1">
        <f t="array" aca="1" ref="W179" ca="1">IF(ISNUMBER(SEARCH(INDIRECT(ADDRESS(ROW(W179),MOD(W$1,4)+1)),W$2)),$E179,"")</f>
        <v>175</v>
      </c>
      <c r="X179" s="26" t="str" cm="1">
        <f t="array" aca="1" ref="X179" ca="1">IF(ISNUMBER(SEARCH(INDIRECT(ADDRESS(ROW(X179),MOD(X$1,4)+1)),X$2)),$E179,"")</f>
        <v/>
      </c>
      <c r="Y179" s="26" t="str" cm="1">
        <f t="array" aca="1" ref="Y179" ca="1">IF(ISNUMBER(SEARCH(INDIRECT(ADDRESS(ROW(Y179),MOD(Y$1,4)+1)),Y$2)),$E179,"")</f>
        <v/>
      </c>
      <c r="Z179" s="26" t="str" cm="1">
        <f t="array" aca="1" ref="Z179" ca="1">IF(ISNUMBER(SEARCH(INDIRECT(ADDRESS(ROW(Z179),MOD(Z$1,4)+1)),Z$2)),$E179,"")</f>
        <v/>
      </c>
      <c r="AA179" s="26" t="str" cm="1">
        <f t="array" aca="1" ref="AA179" ca="1">IF(ISNUMBER(SEARCH(INDIRECT(ADDRESS(ROW(AA179),MOD(AA$1,4)+1)),AA$2)),$E179,"")</f>
        <v/>
      </c>
      <c r="AB179" s="26" t="str" cm="1">
        <f t="array" aca="1" ref="AB179" ca="1">IF(ISNUMBER(SEARCH(INDIRECT(ADDRESS(ROW(AB179),MOD(AB$1,4)+1)),AB$2)),$E179,"")</f>
        <v/>
      </c>
      <c r="AC179" s="26" t="str" cm="1">
        <f t="array" aca="1" ref="AC179" ca="1">IF(ISNUMBER(SEARCH(INDIRECT(ADDRESS(ROW(AC179),MOD(AC$1,4)+1)),AC$2)),$E179,"")</f>
        <v/>
      </c>
      <c r="AD179" s="26" t="str" cm="1">
        <f t="array" aca="1" ref="AD179" ca="1">IF(ISNUMBER(SEARCH(INDIRECT(ADDRESS(ROW(AD179),MOD(AD$1,4)+1)),AD$2)),$E179,"")</f>
        <v/>
      </c>
      <c r="AE179" s="26" t="str" cm="1">
        <f t="array" aca="1" ref="AE179" ca="1">IF(ISNUMBER(SEARCH(INDIRECT(ADDRESS(ROW(AE179),MOD(AE$1,4)+1)),AE$2)),$E179,"")</f>
        <v/>
      </c>
      <c r="AF179" s="26" t="str" cm="1">
        <f t="array" aca="1" ref="AF179" ca="1">IF(ISNUMBER(SEARCH(INDIRECT(ADDRESS(ROW(AF179),MOD(AF$1,4)+1)),AF$2)),$E179,"")</f>
        <v/>
      </c>
      <c r="AG179" s="26" t="str" cm="1">
        <f t="array" aca="1" ref="AG179" ca="1">IF(ISNUMBER(SEARCH(INDIRECT(ADDRESS(ROW(AG179),MOD(AG$1,4)+1)),AG$2)),$E179,"")</f>
        <v/>
      </c>
      <c r="AH179" s="26" t="str" cm="1">
        <f t="array" aca="1" ref="AH179" ca="1">IF(ISNUMBER(SEARCH(INDIRECT(ADDRESS(ROW(AH179),MOD(AH$1,4)+1)),AH$2)),$E179,"")</f>
        <v/>
      </c>
      <c r="AI179" s="26" t="str" cm="1">
        <f t="array" aca="1" ref="AI179" ca="1">IF(ISNUMBER(SEARCH(INDIRECT(ADDRESS(ROW(AI179),MOD(AI$1,4)+1)),AI$2)),$E179,"")</f>
        <v/>
      </c>
      <c r="AJ179" s="26" t="str" cm="1">
        <f t="array" aca="1" ref="AJ179" ca="1">IF(ISNUMBER(SEARCH(INDIRECT(ADDRESS(ROW(AJ179),MOD(AJ$1,4)+1)),AJ$2)),$E179,"")</f>
        <v/>
      </c>
      <c r="AK179" s="26" t="str" cm="1">
        <f t="array" aca="1" ref="AK179" ca="1">IF(ISNUMBER(SEARCH(INDIRECT(ADDRESS(ROW(AK179),MOD(AK$1,4)+1)),AK$2)),$E179,"")</f>
        <v/>
      </c>
      <c r="AL179" s="26" t="str" cm="1">
        <f t="array" aca="1" ref="AL179" ca="1">IF(ISNUMBER(SEARCH(INDIRECT(ADDRESS(ROW(AL179),MOD(AL$1,4)+1)),AL$2)),$E179,"")</f>
        <v/>
      </c>
      <c r="AM179" s="26" t="str" cm="1">
        <f t="array" aca="1" ref="AM179" ca="1">IF(ISNUMBER(SEARCH(INDIRECT(ADDRESS(ROW(AM179),MOD(AM$1,4)+1)),AM$2)),$E179,"")</f>
        <v/>
      </c>
      <c r="AN179" s="26" t="str" cm="1">
        <f t="array" aca="1" ref="AN179" ca="1">IF(ISNUMBER(SEARCH(INDIRECT(ADDRESS(ROW(AN179),MOD(AN$1,4)+1)),AN$2)),$E179,"")</f>
        <v/>
      </c>
      <c r="AO179" s="26" cm="1">
        <f t="array" aca="1" ref="AO179" ca="1">IF(ISNUMBER(SEARCH(INDIRECT(ADDRESS(ROW(AO179),MOD(AO$1,4)+1)),AO$2)),$E179,"")</f>
        <v>175</v>
      </c>
      <c r="AP179" s="26" t="str" cm="1">
        <f t="array" aca="1" ref="AP179" ca="1">IF(ISNUMBER(SEARCH(INDIRECT(ADDRESS(ROW(AP179),MOD(AP$1,4)+1)),AP$2)),$E179,"")</f>
        <v/>
      </c>
      <c r="AQ179" s="31" t="str" cm="1">
        <f t="array" aca="1" ref="AQ179" ca="1">IF(ISNUMBER(SEARCH(INDIRECT(ADDRESS(ROW(AQ179),MOD(AQ$1,4)+1)),AQ$2)),$E179,"")</f>
        <v/>
      </c>
      <c r="AT179" t="e">
        <f>IF(VLOOKUP($E179,'Formatted NEW'!$B$2:$F$202,5,FALSE)=VLOOKUP($E179,'Formatted NEW'!$B$2:$F$202,8,FALSE),$E179,"")</f>
        <v>#N/A</v>
      </c>
      <c r="AW179" t="e">
        <f>IF(VLOOKUP($E179,'Formatted NEW'!$B$2:$F$202,5,FALSE)=VLOOKUP($E179,'Formatted NEW'!$B$2:$F$202,11,FALSE),$E179,"")</f>
        <v>#N/A</v>
      </c>
      <c r="AZ179" t="e">
        <f>IF(VLOOKUP($E179,'Formatted NEW'!$B$2:$F$202,5,FALSE)=VLOOKUP($E179,'Formatted NEW'!$B$2:$F$202,14,FALSE),$E179,"")</f>
        <v>#N/A</v>
      </c>
      <c r="BC179" t="str">
        <f>VLOOKUP($E179,'Formatted NEW'!$M$2:$T$202,6,FALSE)</f>
        <v>ORTHO_RIGHT</v>
      </c>
      <c r="BD179" s="26" t="e">
        <f>VLOOKUP(VLOOKUP(VLOOKUP($E179,'Formatted NEW'!$M$2:$O$202,2,FALSE),'Formatted NEW'!$D$2:$F$202,7,FALSE),'Formatted NEW'!$D$2:$O$202,12,FALSE)</f>
        <v>#REF!</v>
      </c>
      <c r="BE179" t="e">
        <f>VLOOKUP($BD179,'Formatted NEW'!$M$2:$T$202,5,FALSE)</f>
        <v>#REF!</v>
      </c>
      <c r="BF179" s="26" t="e">
        <f t="shared" si="9"/>
        <v>#REF!</v>
      </c>
      <c r="BH179">
        <f>VLOOKUP($E179,'Formatted NEW'!$M$2:$T$202,4,FALSE)</f>
        <v>0</v>
      </c>
      <c r="BI179" s="26" t="e">
        <f>VLOOKUP(VLOOKUP(VLOOKUP($E179,'Formatted NEW'!$M$2:$O$202,2,FALSE),'Formatted NEW'!$D$2:$F$202,10,FALSE),'Formatted NEW'!$D$2:$O$202,12,FALSE)</f>
        <v>#REF!</v>
      </c>
      <c r="BJ179" t="e">
        <f>VLOOKUP($BI179,'Formatted NEW'!$M$2:$T$202,3,FALSE)</f>
        <v>#REF!</v>
      </c>
      <c r="BK179" s="26" t="e">
        <f t="shared" si="10"/>
        <v>#REF!</v>
      </c>
    </row>
    <row r="180" spans="1:63" x14ac:dyDescent="0.25">
      <c r="A180" t="str">
        <f>'Formatted NEW'!Q189</f>
        <v>EMPTY</v>
      </c>
      <c r="B180" t="str">
        <f>'Formatted NEW'!R189</f>
        <v>DIAG_BACK</v>
      </c>
      <c r="C180" t="str">
        <f>'Formatted NEW'!S189</f>
        <v>EMPTY</v>
      </c>
      <c r="D180" t="str">
        <f>'Formatted NEW'!T189</f>
        <v>ORTHO_DOWN</v>
      </c>
      <c r="E180" s="26">
        <f t="shared" si="11"/>
        <v>176</v>
      </c>
      <c r="H180" s="30" t="str" cm="1">
        <f t="array" aca="1" ref="H180" ca="1">IF(ISNUMBER(SEARCH(INDIRECT(ADDRESS(ROW(H180),MOD(H$1,4)+1)),H$2)),$E180,"")</f>
        <v/>
      </c>
      <c r="I180" s="26" t="str" cm="1">
        <f t="array" aca="1" ref="I180" ca="1">IF(ISNUMBER(SEARCH(INDIRECT(ADDRESS(ROW(I180),MOD(I$1,4)+1)),I$2)),$E180,"")</f>
        <v/>
      </c>
      <c r="J180" s="26" t="str" cm="1">
        <f t="array" aca="1" ref="J180" ca="1">IF(ISNUMBER(SEARCH(INDIRECT(ADDRESS(ROW(J180),MOD(J$1,4)+1)),J$2)),$E180,"")</f>
        <v/>
      </c>
      <c r="K180" s="26" t="str" cm="1">
        <f t="array" aca="1" ref="K180" ca="1">IF(ISNUMBER(SEARCH(INDIRECT(ADDRESS(ROW(K180),MOD(K$1,4)+1)),K$2)),$E180,"")</f>
        <v/>
      </c>
      <c r="L180" s="26" t="str" cm="1">
        <f t="array" aca="1" ref="L180" ca="1">IF(ISNUMBER(SEARCH(INDIRECT(ADDRESS(ROW(L180),MOD(L$1,4)+1)),L$2)),$E180,"")</f>
        <v/>
      </c>
      <c r="M180" s="26" t="str" cm="1">
        <f t="array" aca="1" ref="M180" ca="1">IF(ISNUMBER(SEARCH(INDIRECT(ADDRESS(ROW(M180),MOD(M$1,4)+1)),M$2)),$E180,"")</f>
        <v/>
      </c>
      <c r="N180" s="26" t="str" cm="1">
        <f t="array" aca="1" ref="N180" ca="1">IF(ISNUMBER(SEARCH(INDIRECT(ADDRESS(ROW(N180),MOD(N$1,4)+1)),N$2)),$E180,"")</f>
        <v/>
      </c>
      <c r="O180" s="26" t="str" cm="1">
        <f t="array" aca="1" ref="O180" ca="1">IF(ISNUMBER(SEARCH(INDIRECT(ADDRESS(ROW(O180),MOD(O$1,4)+1)),O$2)),$E180,"")</f>
        <v/>
      </c>
      <c r="P180" s="26" t="str" cm="1">
        <f t="array" aca="1" ref="P180" ca="1">IF(ISNUMBER(SEARCH(INDIRECT(ADDRESS(ROW(P180),MOD(P$1,4)+1)),P$2)),$E180,"")</f>
        <v/>
      </c>
      <c r="Q180" s="26" t="str" cm="1">
        <f t="array" aca="1" ref="Q180" ca="1">IF(ISNUMBER(SEARCH(INDIRECT(ADDRESS(ROW(Q180),MOD(Q$1,4)+1)),Q$2)),$E180,"")</f>
        <v/>
      </c>
      <c r="R180" s="26" t="str" cm="1">
        <f t="array" aca="1" ref="R180" ca="1">IF(ISNUMBER(SEARCH(INDIRECT(ADDRESS(ROW(R180),MOD(R$1,4)+1)),R$2)),$E180,"")</f>
        <v/>
      </c>
      <c r="S180" s="26" t="str" cm="1">
        <f t="array" aca="1" ref="S180" ca="1">IF(ISNUMBER(SEARCH(INDIRECT(ADDRESS(ROW(S180),MOD(S$1,4)+1)),S$2)),$E180,"")</f>
        <v/>
      </c>
      <c r="T180" s="26" t="str" cm="1">
        <f t="array" aca="1" ref="T180" ca="1">IF(ISNUMBER(SEARCH(INDIRECT(ADDRESS(ROW(T180),MOD(T$1,4)+1)),T$2)),$E180,"")</f>
        <v/>
      </c>
      <c r="U180" s="26" t="str" cm="1">
        <f t="array" aca="1" ref="U180" ca="1">IF(ISNUMBER(SEARCH(INDIRECT(ADDRESS(ROW(U180),MOD(U$1,4)+1)),U$2)),$E180,"")</f>
        <v/>
      </c>
      <c r="V180" s="26" t="str" cm="1">
        <f t="array" aca="1" ref="V180" ca="1">IF(ISNUMBER(SEARCH(INDIRECT(ADDRESS(ROW(V180),MOD(V$1,4)+1)),V$2)),$E180,"")</f>
        <v/>
      </c>
      <c r="W180" s="26" t="str" cm="1">
        <f t="array" aca="1" ref="W180" ca="1">IF(ISNUMBER(SEARCH(INDIRECT(ADDRESS(ROW(W180),MOD(W$1,4)+1)),W$2)),$E180,"")</f>
        <v/>
      </c>
      <c r="X180" s="26" t="str" cm="1">
        <f t="array" aca="1" ref="X180" ca="1">IF(ISNUMBER(SEARCH(INDIRECT(ADDRESS(ROW(X180),MOD(X$1,4)+1)),X$2)),$E180,"")</f>
        <v/>
      </c>
      <c r="Y180" s="26" cm="1">
        <f t="array" aca="1" ref="Y180" ca="1">IF(ISNUMBER(SEARCH(INDIRECT(ADDRESS(ROW(Y180),MOD(Y$1,4)+1)),Y$2)),$E180,"")</f>
        <v>176</v>
      </c>
      <c r="Z180" s="26" t="str" cm="1">
        <f t="array" aca="1" ref="Z180" ca="1">IF(ISNUMBER(SEARCH(INDIRECT(ADDRESS(ROW(Z180),MOD(Z$1,4)+1)),Z$2)),$E180,"")</f>
        <v/>
      </c>
      <c r="AA180" s="26" t="str" cm="1">
        <f t="array" aca="1" ref="AA180" ca="1">IF(ISNUMBER(SEARCH(INDIRECT(ADDRESS(ROW(AA180),MOD(AA$1,4)+1)),AA$2)),$E180,"")</f>
        <v/>
      </c>
      <c r="AB180" s="26" t="str" cm="1">
        <f t="array" aca="1" ref="AB180" ca="1">IF(ISNUMBER(SEARCH(INDIRECT(ADDRESS(ROW(AB180),MOD(AB$1,4)+1)),AB$2)),$E180,"")</f>
        <v/>
      </c>
      <c r="AC180" s="26" t="str" cm="1">
        <f t="array" aca="1" ref="AC180" ca="1">IF(ISNUMBER(SEARCH(INDIRECT(ADDRESS(ROW(AC180),MOD(AC$1,4)+1)),AC$2)),$E180,"")</f>
        <v/>
      </c>
      <c r="AD180" s="26" t="str" cm="1">
        <f t="array" aca="1" ref="AD180" ca="1">IF(ISNUMBER(SEARCH(INDIRECT(ADDRESS(ROW(AD180),MOD(AD$1,4)+1)),AD$2)),$E180,"")</f>
        <v/>
      </c>
      <c r="AE180" s="26" t="str" cm="1">
        <f t="array" aca="1" ref="AE180" ca="1">IF(ISNUMBER(SEARCH(INDIRECT(ADDRESS(ROW(AE180),MOD(AE$1,4)+1)),AE$2)),$E180,"")</f>
        <v/>
      </c>
      <c r="AF180" s="26" t="str" cm="1">
        <f t="array" aca="1" ref="AF180" ca="1">IF(ISNUMBER(SEARCH(INDIRECT(ADDRESS(ROW(AF180),MOD(AF$1,4)+1)),AF$2)),$E180,"")</f>
        <v/>
      </c>
      <c r="AG180" s="26" t="str" cm="1">
        <f t="array" aca="1" ref="AG180" ca="1">IF(ISNUMBER(SEARCH(INDIRECT(ADDRESS(ROW(AG180),MOD(AG$1,4)+1)),AG$2)),$E180,"")</f>
        <v/>
      </c>
      <c r="AH180" s="26" t="str" cm="1">
        <f t="array" aca="1" ref="AH180" ca="1">IF(ISNUMBER(SEARCH(INDIRECT(ADDRESS(ROW(AH180),MOD(AH$1,4)+1)),AH$2)),$E180,"")</f>
        <v/>
      </c>
      <c r="AI180" s="26" t="str" cm="1">
        <f t="array" aca="1" ref="AI180" ca="1">IF(ISNUMBER(SEARCH(INDIRECT(ADDRESS(ROW(AI180),MOD(AI$1,4)+1)),AI$2)),$E180,"")</f>
        <v/>
      </c>
      <c r="AJ180" s="26" t="str" cm="1">
        <f t="array" aca="1" ref="AJ180" ca="1">IF(ISNUMBER(SEARCH(INDIRECT(ADDRESS(ROW(AJ180),MOD(AJ$1,4)+1)),AJ$2)),$E180,"")</f>
        <v/>
      </c>
      <c r="AK180" s="26" t="str" cm="1">
        <f t="array" aca="1" ref="AK180" ca="1">IF(ISNUMBER(SEARCH(INDIRECT(ADDRESS(ROW(AK180),MOD(AK$1,4)+1)),AK$2)),$E180,"")</f>
        <v/>
      </c>
      <c r="AL180" s="26" t="str" cm="1">
        <f t="array" aca="1" ref="AL180" ca="1">IF(ISNUMBER(SEARCH(INDIRECT(ADDRESS(ROW(AL180),MOD(AL$1,4)+1)),AL$2)),$E180,"")</f>
        <v/>
      </c>
      <c r="AM180" s="26" t="str" cm="1">
        <f t="array" aca="1" ref="AM180" ca="1">IF(ISNUMBER(SEARCH(INDIRECT(ADDRESS(ROW(AM180),MOD(AM$1,4)+1)),AM$2)),$E180,"")</f>
        <v/>
      </c>
      <c r="AN180" s="26" t="str" cm="1">
        <f t="array" aca="1" ref="AN180" ca="1">IF(ISNUMBER(SEARCH(INDIRECT(ADDRESS(ROW(AN180),MOD(AN$1,4)+1)),AN$2)),$E180,"")</f>
        <v/>
      </c>
      <c r="AO180" s="26" t="str" cm="1">
        <f t="array" aca="1" ref="AO180" ca="1">IF(ISNUMBER(SEARCH(INDIRECT(ADDRESS(ROW(AO180),MOD(AO$1,4)+1)),AO$2)),$E180,"")</f>
        <v/>
      </c>
      <c r="AP180" s="26" t="str" cm="1">
        <f t="array" aca="1" ref="AP180" ca="1">IF(ISNUMBER(SEARCH(INDIRECT(ADDRESS(ROW(AP180),MOD(AP$1,4)+1)),AP$2)),$E180,"")</f>
        <v/>
      </c>
      <c r="AQ180" s="31" t="str" cm="1">
        <f t="array" aca="1" ref="AQ180" ca="1">IF(ISNUMBER(SEARCH(INDIRECT(ADDRESS(ROW(AQ180),MOD(AQ$1,4)+1)),AQ$2)),$E180,"")</f>
        <v/>
      </c>
      <c r="AT180" t="e">
        <f>IF(VLOOKUP($E180,'Formatted NEW'!$B$2:$F$202,5,FALSE)=VLOOKUP($E180,'Formatted NEW'!$B$2:$F$202,8,FALSE),$E180,"")</f>
        <v>#N/A</v>
      </c>
      <c r="AW180" t="e">
        <f>IF(VLOOKUP($E180,'Formatted NEW'!$B$2:$F$202,5,FALSE)=VLOOKUP($E180,'Formatted NEW'!$B$2:$F$202,11,FALSE),$E180,"")</f>
        <v>#N/A</v>
      </c>
      <c r="AZ180" t="e">
        <f>IF(VLOOKUP($E180,'Formatted NEW'!$B$2:$F$202,5,FALSE)=VLOOKUP($E180,'Formatted NEW'!$B$2:$F$202,14,FALSE),$E180,"")</f>
        <v>#N/A</v>
      </c>
      <c r="BC180" t="str">
        <f>VLOOKUP($E180,'Formatted NEW'!$M$2:$T$202,6,FALSE)</f>
        <v>DIAG_BACK</v>
      </c>
      <c r="BD180" s="26" t="e">
        <f>VLOOKUP(VLOOKUP(VLOOKUP($E180,'Formatted NEW'!$M$2:$O$202,2,FALSE),'Formatted NEW'!$D$2:$F$202,7,FALSE),'Formatted NEW'!$D$2:$O$202,12,FALSE)</f>
        <v>#REF!</v>
      </c>
      <c r="BE180" t="e">
        <f>VLOOKUP($BD180,'Formatted NEW'!$M$2:$T$202,5,FALSE)</f>
        <v>#REF!</v>
      </c>
      <c r="BF180" s="26" t="e">
        <f t="shared" si="9"/>
        <v>#REF!</v>
      </c>
      <c r="BH180">
        <f>VLOOKUP($E180,'Formatted NEW'!$M$2:$T$202,4,FALSE)</f>
        <v>0</v>
      </c>
      <c r="BI180" s="26" t="e">
        <f>VLOOKUP(VLOOKUP(VLOOKUP($E180,'Formatted NEW'!$M$2:$O$202,2,FALSE),'Formatted NEW'!$D$2:$F$202,10,FALSE),'Formatted NEW'!$D$2:$O$202,12,FALSE)</f>
        <v>#REF!</v>
      </c>
      <c r="BJ180" t="e">
        <f>VLOOKUP($BI180,'Formatted NEW'!$M$2:$T$202,3,FALSE)</f>
        <v>#REF!</v>
      </c>
      <c r="BK180" s="26" t="e">
        <f t="shared" si="10"/>
        <v>#REF!</v>
      </c>
    </row>
    <row r="181" spans="1:63" x14ac:dyDescent="0.25">
      <c r="A181" t="str">
        <f>'Formatted NEW'!Q190</f>
        <v>EMPTY</v>
      </c>
      <c r="B181" t="str">
        <f>'Formatted NEW'!R190</f>
        <v>ORTHO_LEFT</v>
      </c>
      <c r="C181" t="str">
        <f>'Formatted NEW'!S190</f>
        <v>DIAG_BACK</v>
      </c>
      <c r="D181" t="str">
        <f>'Formatted NEW'!T190</f>
        <v>EMPTY</v>
      </c>
      <c r="E181" s="26">
        <f t="shared" si="11"/>
        <v>177</v>
      </c>
      <c r="H181" s="30" t="str" cm="1">
        <f t="array" aca="1" ref="H181" ca="1">IF(ISNUMBER(SEARCH(INDIRECT(ADDRESS(ROW(H181),MOD(H$1,4)+1)),H$2)),$E181,"")</f>
        <v/>
      </c>
      <c r="I181" s="26" t="str" cm="1">
        <f t="array" aca="1" ref="I181" ca="1">IF(ISNUMBER(SEARCH(INDIRECT(ADDRESS(ROW(I181),MOD(I$1,4)+1)),I$2)),$E181,"")</f>
        <v/>
      </c>
      <c r="J181" s="26" t="str" cm="1">
        <f t="array" aca="1" ref="J181" ca="1">IF(ISNUMBER(SEARCH(INDIRECT(ADDRESS(ROW(J181),MOD(J$1,4)+1)),J$2)),$E181,"")</f>
        <v/>
      </c>
      <c r="K181" s="26" t="str" cm="1">
        <f t="array" aca="1" ref="K181" ca="1">IF(ISNUMBER(SEARCH(INDIRECT(ADDRESS(ROW(K181),MOD(K$1,4)+1)),K$2)),$E181,"")</f>
        <v/>
      </c>
      <c r="L181" s="26" t="str" cm="1">
        <f t="array" aca="1" ref="L181" ca="1">IF(ISNUMBER(SEARCH(INDIRECT(ADDRESS(ROW(L181),MOD(L$1,4)+1)),L$2)),$E181,"")</f>
        <v/>
      </c>
      <c r="M181" s="26" t="str" cm="1">
        <f t="array" aca="1" ref="M181" ca="1">IF(ISNUMBER(SEARCH(INDIRECT(ADDRESS(ROW(M181),MOD(M$1,4)+1)),M$2)),$E181,"")</f>
        <v/>
      </c>
      <c r="N181" s="26" t="str" cm="1">
        <f t="array" aca="1" ref="N181" ca="1">IF(ISNUMBER(SEARCH(INDIRECT(ADDRESS(ROW(N181),MOD(N$1,4)+1)),N$2)),$E181,"")</f>
        <v/>
      </c>
      <c r="O181" s="26" t="str" cm="1">
        <f t="array" aca="1" ref="O181" ca="1">IF(ISNUMBER(SEARCH(INDIRECT(ADDRESS(ROW(O181),MOD(O$1,4)+1)),O$2)),$E181,"")</f>
        <v/>
      </c>
      <c r="P181" s="26" t="str" cm="1">
        <f t="array" aca="1" ref="P181" ca="1">IF(ISNUMBER(SEARCH(INDIRECT(ADDRESS(ROW(P181),MOD(P$1,4)+1)),P$2)),$E181,"")</f>
        <v/>
      </c>
      <c r="Q181" s="26" t="str" cm="1">
        <f t="array" aca="1" ref="Q181" ca="1">IF(ISNUMBER(SEARCH(INDIRECT(ADDRESS(ROW(Q181),MOD(Q$1,4)+1)),Q$2)),$E181,"")</f>
        <v/>
      </c>
      <c r="R181" s="26" t="str" cm="1">
        <f t="array" aca="1" ref="R181" ca="1">IF(ISNUMBER(SEARCH(INDIRECT(ADDRESS(ROW(R181),MOD(R$1,4)+1)),R$2)),$E181,"")</f>
        <v/>
      </c>
      <c r="S181" s="26" t="str" cm="1">
        <f t="array" aca="1" ref="S181" ca="1">IF(ISNUMBER(SEARCH(INDIRECT(ADDRESS(ROW(S181),MOD(S$1,4)+1)),S$2)),$E181,"")</f>
        <v/>
      </c>
      <c r="T181" s="26" t="str" cm="1">
        <f t="array" aca="1" ref="T181" ca="1">IF(ISNUMBER(SEARCH(INDIRECT(ADDRESS(ROW(T181),MOD(T$1,4)+1)),T$2)),$E181,"")</f>
        <v/>
      </c>
      <c r="U181" s="26" t="str" cm="1">
        <f t="array" aca="1" ref="U181" ca="1">IF(ISNUMBER(SEARCH(INDIRECT(ADDRESS(ROW(U181),MOD(U$1,4)+1)),U$2)),$E181,"")</f>
        <v/>
      </c>
      <c r="V181" s="26" t="str" cm="1">
        <f t="array" aca="1" ref="V181" ca="1">IF(ISNUMBER(SEARCH(INDIRECT(ADDRESS(ROW(V181),MOD(V$1,4)+1)),V$2)),$E181,"")</f>
        <v/>
      </c>
      <c r="W181" s="26" t="str" cm="1">
        <f t="array" aca="1" ref="W181" ca="1">IF(ISNUMBER(SEARCH(INDIRECT(ADDRESS(ROW(W181),MOD(W$1,4)+1)),W$2)),$E181,"")</f>
        <v/>
      </c>
      <c r="X181" s="26" t="str" cm="1">
        <f t="array" aca="1" ref="X181" ca="1">IF(ISNUMBER(SEARCH(INDIRECT(ADDRESS(ROW(X181),MOD(X$1,4)+1)),X$2)),$E181,"")</f>
        <v/>
      </c>
      <c r="Y181" s="26" t="str" cm="1">
        <f t="array" aca="1" ref="Y181" ca="1">IF(ISNUMBER(SEARCH(INDIRECT(ADDRESS(ROW(Y181),MOD(Y$1,4)+1)),Y$2)),$E181,"")</f>
        <v/>
      </c>
      <c r="Z181" s="26" cm="1">
        <f t="array" aca="1" ref="Z181" ca="1">IF(ISNUMBER(SEARCH(INDIRECT(ADDRESS(ROW(Z181),MOD(Z$1,4)+1)),Z$2)),$E181,"")</f>
        <v>177</v>
      </c>
      <c r="AA181" s="26" t="str" cm="1">
        <f t="array" aca="1" ref="AA181" ca="1">IF(ISNUMBER(SEARCH(INDIRECT(ADDRESS(ROW(AA181),MOD(AA$1,4)+1)),AA$2)),$E181,"")</f>
        <v/>
      </c>
      <c r="AB181" s="26" t="str" cm="1">
        <f t="array" aca="1" ref="AB181" ca="1">IF(ISNUMBER(SEARCH(INDIRECT(ADDRESS(ROW(AB181),MOD(AB$1,4)+1)),AB$2)),$E181,"")</f>
        <v/>
      </c>
      <c r="AC181" s="26" t="str" cm="1">
        <f t="array" aca="1" ref="AC181" ca="1">IF(ISNUMBER(SEARCH(INDIRECT(ADDRESS(ROW(AC181),MOD(AC$1,4)+1)),AC$2)),$E181,"")</f>
        <v/>
      </c>
      <c r="AD181" s="26" t="str" cm="1">
        <f t="array" aca="1" ref="AD181" ca="1">IF(ISNUMBER(SEARCH(INDIRECT(ADDRESS(ROW(AD181),MOD(AD$1,4)+1)),AD$2)),$E181,"")</f>
        <v/>
      </c>
      <c r="AE181" s="26" t="str" cm="1">
        <f t="array" aca="1" ref="AE181" ca="1">IF(ISNUMBER(SEARCH(INDIRECT(ADDRESS(ROW(AE181),MOD(AE$1,4)+1)),AE$2)),$E181,"")</f>
        <v/>
      </c>
      <c r="AF181" s="26" t="str" cm="1">
        <f t="array" aca="1" ref="AF181" ca="1">IF(ISNUMBER(SEARCH(INDIRECT(ADDRESS(ROW(AF181),MOD(AF$1,4)+1)),AF$2)),$E181,"")</f>
        <v/>
      </c>
      <c r="AG181" s="26" t="str" cm="1">
        <f t="array" aca="1" ref="AG181" ca="1">IF(ISNUMBER(SEARCH(INDIRECT(ADDRESS(ROW(AG181),MOD(AG$1,4)+1)),AG$2)),$E181,"")</f>
        <v/>
      </c>
      <c r="AH181" s="26" t="str" cm="1">
        <f t="array" aca="1" ref="AH181" ca="1">IF(ISNUMBER(SEARCH(INDIRECT(ADDRESS(ROW(AH181),MOD(AH$1,4)+1)),AH$2)),$E181,"")</f>
        <v/>
      </c>
      <c r="AI181" s="26" t="str" cm="1">
        <f t="array" aca="1" ref="AI181" ca="1">IF(ISNUMBER(SEARCH(INDIRECT(ADDRESS(ROW(AI181),MOD(AI$1,4)+1)),AI$2)),$E181,"")</f>
        <v/>
      </c>
      <c r="AJ181" s="26" t="str" cm="1">
        <f t="array" aca="1" ref="AJ181" ca="1">IF(ISNUMBER(SEARCH(INDIRECT(ADDRESS(ROW(AJ181),MOD(AJ$1,4)+1)),AJ$2)),$E181,"")</f>
        <v/>
      </c>
      <c r="AK181" s="26" cm="1">
        <f t="array" aca="1" ref="AK181" ca="1">IF(ISNUMBER(SEARCH(INDIRECT(ADDRESS(ROW(AK181),MOD(AK$1,4)+1)),AK$2)),$E181,"")</f>
        <v>177</v>
      </c>
      <c r="AL181" s="26" t="str" cm="1">
        <f t="array" aca="1" ref="AL181" ca="1">IF(ISNUMBER(SEARCH(INDIRECT(ADDRESS(ROW(AL181),MOD(AL$1,4)+1)),AL$2)),$E181,"")</f>
        <v/>
      </c>
      <c r="AM181" s="26" t="str" cm="1">
        <f t="array" aca="1" ref="AM181" ca="1">IF(ISNUMBER(SEARCH(INDIRECT(ADDRESS(ROW(AM181),MOD(AM$1,4)+1)),AM$2)),$E181,"")</f>
        <v/>
      </c>
      <c r="AN181" s="26" t="str" cm="1">
        <f t="array" aca="1" ref="AN181" ca="1">IF(ISNUMBER(SEARCH(INDIRECT(ADDRESS(ROW(AN181),MOD(AN$1,4)+1)),AN$2)),$E181,"")</f>
        <v/>
      </c>
      <c r="AO181" s="26" t="str" cm="1">
        <f t="array" aca="1" ref="AO181" ca="1">IF(ISNUMBER(SEARCH(INDIRECT(ADDRESS(ROW(AO181),MOD(AO$1,4)+1)),AO$2)),$E181,"")</f>
        <v/>
      </c>
      <c r="AP181" s="26" t="str" cm="1">
        <f t="array" aca="1" ref="AP181" ca="1">IF(ISNUMBER(SEARCH(INDIRECT(ADDRESS(ROW(AP181),MOD(AP$1,4)+1)),AP$2)),$E181,"")</f>
        <v/>
      </c>
      <c r="AQ181" s="31" t="str" cm="1">
        <f t="array" aca="1" ref="AQ181" ca="1">IF(ISNUMBER(SEARCH(INDIRECT(ADDRESS(ROW(AQ181),MOD(AQ$1,4)+1)),AQ$2)),$E181,"")</f>
        <v/>
      </c>
      <c r="AT181" t="e">
        <f>IF(VLOOKUP($E181,'Formatted NEW'!$B$2:$F$202,5,FALSE)=VLOOKUP($E181,'Formatted NEW'!$B$2:$F$202,8,FALSE),$E181,"")</f>
        <v>#N/A</v>
      </c>
      <c r="AW181" t="e">
        <f>IF(VLOOKUP($E181,'Formatted NEW'!$B$2:$F$202,5,FALSE)=VLOOKUP($E181,'Formatted NEW'!$B$2:$F$202,11,FALSE),$E181,"")</f>
        <v>#N/A</v>
      </c>
      <c r="AZ181" t="e">
        <f>IF(VLOOKUP($E181,'Formatted NEW'!$B$2:$F$202,5,FALSE)=VLOOKUP($E181,'Formatted NEW'!$B$2:$F$202,14,FALSE),$E181,"")</f>
        <v>#N/A</v>
      </c>
      <c r="BC181" t="str">
        <f>VLOOKUP($E181,'Formatted NEW'!$M$2:$T$202,6,FALSE)</f>
        <v>ORTHO_LEFT</v>
      </c>
      <c r="BD181" s="26" t="e">
        <f>VLOOKUP(VLOOKUP(VLOOKUP($E181,'Formatted NEW'!$M$2:$O$202,2,FALSE),'Formatted NEW'!$D$2:$F$202,7,FALSE),'Formatted NEW'!$D$2:$O$202,12,FALSE)</f>
        <v>#REF!</v>
      </c>
      <c r="BE181" t="e">
        <f>VLOOKUP($BD181,'Formatted NEW'!$M$2:$T$202,5,FALSE)</f>
        <v>#REF!</v>
      </c>
      <c r="BF181" s="26" t="e">
        <f t="shared" si="9"/>
        <v>#REF!</v>
      </c>
      <c r="BH181">
        <f>VLOOKUP($E181,'Formatted NEW'!$M$2:$T$202,4,FALSE)</f>
        <v>0</v>
      </c>
      <c r="BI181" s="26" t="e">
        <f>VLOOKUP(VLOOKUP(VLOOKUP($E181,'Formatted NEW'!$M$2:$O$202,2,FALSE),'Formatted NEW'!$D$2:$F$202,10,FALSE),'Formatted NEW'!$D$2:$O$202,12,FALSE)</f>
        <v>#REF!</v>
      </c>
      <c r="BJ181" t="e">
        <f>VLOOKUP($BI181,'Formatted NEW'!$M$2:$T$202,3,FALSE)</f>
        <v>#REF!</v>
      </c>
      <c r="BK181" s="26" t="e">
        <f t="shared" si="10"/>
        <v>#REF!</v>
      </c>
    </row>
    <row r="182" spans="1:63" x14ac:dyDescent="0.25">
      <c r="A182" t="str">
        <f>'Formatted NEW'!Q191</f>
        <v>DIAG_BACK</v>
      </c>
      <c r="B182" t="str">
        <f>'Formatted NEW'!R191</f>
        <v>EMPTY</v>
      </c>
      <c r="C182" t="str">
        <f>'Formatted NEW'!S191</f>
        <v>ORTHO_UP</v>
      </c>
      <c r="D182" t="str">
        <f>'Formatted NEW'!T191</f>
        <v>EMPTY</v>
      </c>
      <c r="E182" s="26">
        <f t="shared" si="11"/>
        <v>178</v>
      </c>
      <c r="H182" s="30" t="str" cm="1">
        <f t="array" aca="1" ref="H182" ca="1">IF(ISNUMBER(SEARCH(INDIRECT(ADDRESS(ROW(H182),MOD(H$1,4)+1)),H$2)),$E182,"")</f>
        <v/>
      </c>
      <c r="I182" s="26" t="str" cm="1">
        <f t="array" aca="1" ref="I182" ca="1">IF(ISNUMBER(SEARCH(INDIRECT(ADDRESS(ROW(I182),MOD(I$1,4)+1)),I$2)),$E182,"")</f>
        <v/>
      </c>
      <c r="J182" s="26" t="str" cm="1">
        <f t="array" aca="1" ref="J182" ca="1">IF(ISNUMBER(SEARCH(INDIRECT(ADDRESS(ROW(J182),MOD(J$1,4)+1)),J$2)),$E182,"")</f>
        <v/>
      </c>
      <c r="K182" s="26" t="str" cm="1">
        <f t="array" aca="1" ref="K182" ca="1">IF(ISNUMBER(SEARCH(INDIRECT(ADDRESS(ROW(K182),MOD(K$1,4)+1)),K$2)),$E182,"")</f>
        <v/>
      </c>
      <c r="L182" s="26" t="str" cm="1">
        <f t="array" aca="1" ref="L182" ca="1">IF(ISNUMBER(SEARCH(INDIRECT(ADDRESS(ROW(L182),MOD(L$1,4)+1)),L$2)),$E182,"")</f>
        <v/>
      </c>
      <c r="M182" s="26" t="str" cm="1">
        <f t="array" aca="1" ref="M182" ca="1">IF(ISNUMBER(SEARCH(INDIRECT(ADDRESS(ROW(M182),MOD(M$1,4)+1)),M$2)),$E182,"")</f>
        <v/>
      </c>
      <c r="N182" s="26" t="str" cm="1">
        <f t="array" aca="1" ref="N182" ca="1">IF(ISNUMBER(SEARCH(INDIRECT(ADDRESS(ROW(N182),MOD(N$1,4)+1)),N$2)),$E182,"")</f>
        <v/>
      </c>
      <c r="O182" s="26" t="str" cm="1">
        <f t="array" aca="1" ref="O182" ca="1">IF(ISNUMBER(SEARCH(INDIRECT(ADDRESS(ROW(O182),MOD(O$1,4)+1)),O$2)),$E182,"")</f>
        <v/>
      </c>
      <c r="P182" s="26" t="str" cm="1">
        <f t="array" aca="1" ref="P182" ca="1">IF(ISNUMBER(SEARCH(INDIRECT(ADDRESS(ROW(P182),MOD(P$1,4)+1)),P$2)),$E182,"")</f>
        <v/>
      </c>
      <c r="Q182" s="26" t="str" cm="1">
        <f t="array" aca="1" ref="Q182" ca="1">IF(ISNUMBER(SEARCH(INDIRECT(ADDRESS(ROW(Q182),MOD(Q$1,4)+1)),Q$2)),$E182,"")</f>
        <v/>
      </c>
      <c r="R182" s="26" t="str" cm="1">
        <f t="array" aca="1" ref="R182" ca="1">IF(ISNUMBER(SEARCH(INDIRECT(ADDRESS(ROW(R182),MOD(R$1,4)+1)),R$2)),$E182,"")</f>
        <v/>
      </c>
      <c r="S182" s="26" t="str" cm="1">
        <f t="array" aca="1" ref="S182" ca="1">IF(ISNUMBER(SEARCH(INDIRECT(ADDRESS(ROW(S182),MOD(S$1,4)+1)),S$2)),$E182,"")</f>
        <v/>
      </c>
      <c r="T182" s="26" t="str" cm="1">
        <f t="array" aca="1" ref="T182" ca="1">IF(ISNUMBER(SEARCH(INDIRECT(ADDRESS(ROW(T182),MOD(T$1,4)+1)),T$2)),$E182,"")</f>
        <v/>
      </c>
      <c r="U182" s="26" t="str" cm="1">
        <f t="array" aca="1" ref="U182" ca="1">IF(ISNUMBER(SEARCH(INDIRECT(ADDRESS(ROW(U182),MOD(U$1,4)+1)),U$2)),$E182,"")</f>
        <v/>
      </c>
      <c r="V182" s="26" t="str" cm="1">
        <f t="array" aca="1" ref="V182" ca="1">IF(ISNUMBER(SEARCH(INDIRECT(ADDRESS(ROW(V182),MOD(V$1,4)+1)),V$2)),$E182,"")</f>
        <v/>
      </c>
      <c r="W182" s="26" t="str" cm="1">
        <f t="array" aca="1" ref="W182" ca="1">IF(ISNUMBER(SEARCH(INDIRECT(ADDRESS(ROW(W182),MOD(W$1,4)+1)),W$2)),$E182,"")</f>
        <v/>
      </c>
      <c r="X182" s="26" cm="1">
        <f t="array" aca="1" ref="X182" ca="1">IF(ISNUMBER(SEARCH(INDIRECT(ADDRESS(ROW(X182),MOD(X$1,4)+1)),X$2)),$E182,"")</f>
        <v>178</v>
      </c>
      <c r="Y182" s="26" t="str" cm="1">
        <f t="array" aca="1" ref="Y182" ca="1">IF(ISNUMBER(SEARCH(INDIRECT(ADDRESS(ROW(Y182),MOD(Y$1,4)+1)),Y$2)),$E182,"")</f>
        <v/>
      </c>
      <c r="Z182" s="26" t="str" cm="1">
        <f t="array" aca="1" ref="Z182" ca="1">IF(ISNUMBER(SEARCH(INDIRECT(ADDRESS(ROW(Z182),MOD(Z$1,4)+1)),Z$2)),$E182,"")</f>
        <v/>
      </c>
      <c r="AA182" s="26" t="str" cm="1">
        <f t="array" aca="1" ref="AA182" ca="1">IF(ISNUMBER(SEARCH(INDIRECT(ADDRESS(ROW(AA182),MOD(AA$1,4)+1)),AA$2)),$E182,"")</f>
        <v/>
      </c>
      <c r="AB182" s="26" t="str" cm="1">
        <f t="array" aca="1" ref="AB182" ca="1">IF(ISNUMBER(SEARCH(INDIRECT(ADDRESS(ROW(AB182),MOD(AB$1,4)+1)),AB$2)),$E182,"")</f>
        <v/>
      </c>
      <c r="AC182" s="26" t="str" cm="1">
        <f t="array" aca="1" ref="AC182" ca="1">IF(ISNUMBER(SEARCH(INDIRECT(ADDRESS(ROW(AC182),MOD(AC$1,4)+1)),AC$2)),$E182,"")</f>
        <v/>
      </c>
      <c r="AD182" s="26" t="str" cm="1">
        <f t="array" aca="1" ref="AD182" ca="1">IF(ISNUMBER(SEARCH(INDIRECT(ADDRESS(ROW(AD182),MOD(AD$1,4)+1)),AD$2)),$E182,"")</f>
        <v/>
      </c>
      <c r="AE182" s="26" t="str" cm="1">
        <f t="array" aca="1" ref="AE182" ca="1">IF(ISNUMBER(SEARCH(INDIRECT(ADDRESS(ROW(AE182),MOD(AE$1,4)+1)),AE$2)),$E182,"")</f>
        <v/>
      </c>
      <c r="AF182" s="26" t="str" cm="1">
        <f t="array" aca="1" ref="AF182" ca="1">IF(ISNUMBER(SEARCH(INDIRECT(ADDRESS(ROW(AF182),MOD(AF$1,4)+1)),AF$2)),$E182,"")</f>
        <v/>
      </c>
      <c r="AG182" s="26" t="str" cm="1">
        <f t="array" aca="1" ref="AG182" ca="1">IF(ISNUMBER(SEARCH(INDIRECT(ADDRESS(ROW(AG182),MOD(AG$1,4)+1)),AG$2)),$E182,"")</f>
        <v/>
      </c>
      <c r="AH182" s="26" t="str" cm="1">
        <f t="array" aca="1" ref="AH182" ca="1">IF(ISNUMBER(SEARCH(INDIRECT(ADDRESS(ROW(AH182),MOD(AH$1,4)+1)),AH$2)),$E182,"")</f>
        <v/>
      </c>
      <c r="AI182" s="26" t="str" cm="1">
        <f t="array" aca="1" ref="AI182" ca="1">IF(ISNUMBER(SEARCH(INDIRECT(ADDRESS(ROW(AI182),MOD(AI$1,4)+1)),AI$2)),$E182,"")</f>
        <v/>
      </c>
      <c r="AJ182" s="26" t="str" cm="1">
        <f t="array" aca="1" ref="AJ182" ca="1">IF(ISNUMBER(SEARCH(INDIRECT(ADDRESS(ROW(AJ182),MOD(AJ$1,4)+1)),AJ$2)),$E182,"")</f>
        <v/>
      </c>
      <c r="AK182" s="26" t="str" cm="1">
        <f t="array" aca="1" ref="AK182" ca="1">IF(ISNUMBER(SEARCH(INDIRECT(ADDRESS(ROW(AK182),MOD(AK$1,4)+1)),AK$2)),$E182,"")</f>
        <v/>
      </c>
      <c r="AL182" s="26" t="str" cm="1">
        <f t="array" aca="1" ref="AL182" ca="1">IF(ISNUMBER(SEARCH(INDIRECT(ADDRESS(ROW(AL182),MOD(AL$1,4)+1)),AL$2)),$E182,"")</f>
        <v/>
      </c>
      <c r="AM182" s="26" t="str" cm="1">
        <f t="array" aca="1" ref="AM182" ca="1">IF(ISNUMBER(SEARCH(INDIRECT(ADDRESS(ROW(AM182),MOD(AM$1,4)+1)),AM$2)),$E182,"")</f>
        <v/>
      </c>
      <c r="AN182" s="26" t="str" cm="1">
        <f t="array" aca="1" ref="AN182" ca="1">IF(ISNUMBER(SEARCH(INDIRECT(ADDRESS(ROW(AN182),MOD(AN$1,4)+1)),AN$2)),$E182,"")</f>
        <v/>
      </c>
      <c r="AO182" s="26" t="str" cm="1">
        <f t="array" aca="1" ref="AO182" ca="1">IF(ISNUMBER(SEARCH(INDIRECT(ADDRESS(ROW(AO182),MOD(AO$1,4)+1)),AO$2)),$E182,"")</f>
        <v/>
      </c>
      <c r="AP182" s="26" t="str" cm="1">
        <f t="array" aca="1" ref="AP182" ca="1">IF(ISNUMBER(SEARCH(INDIRECT(ADDRESS(ROW(AP182),MOD(AP$1,4)+1)),AP$2)),$E182,"")</f>
        <v/>
      </c>
      <c r="AQ182" s="31" t="str" cm="1">
        <f t="array" aca="1" ref="AQ182" ca="1">IF(ISNUMBER(SEARCH(INDIRECT(ADDRESS(ROW(AQ182),MOD(AQ$1,4)+1)),AQ$2)),$E182,"")</f>
        <v/>
      </c>
      <c r="AT182" t="e">
        <f>IF(VLOOKUP($E182,'Formatted NEW'!$B$2:$F$202,5,FALSE)=VLOOKUP($E182,'Formatted NEW'!$B$2:$F$202,8,FALSE),$E182,"")</f>
        <v>#N/A</v>
      </c>
      <c r="AW182" t="e">
        <f>IF(VLOOKUP($E182,'Formatted NEW'!$B$2:$F$202,5,FALSE)=VLOOKUP($E182,'Formatted NEW'!$B$2:$F$202,11,FALSE),$E182,"")</f>
        <v>#N/A</v>
      </c>
      <c r="AZ182" t="e">
        <f>IF(VLOOKUP($E182,'Formatted NEW'!$B$2:$F$202,5,FALSE)=VLOOKUP($E182,'Formatted NEW'!$B$2:$F$202,14,FALSE),$E182,"")</f>
        <v>#N/A</v>
      </c>
      <c r="BC182" t="str">
        <f>VLOOKUP($E182,'Formatted NEW'!$M$2:$T$202,6,FALSE)</f>
        <v>EMPTY</v>
      </c>
      <c r="BD182" s="26" t="e">
        <f>VLOOKUP(VLOOKUP(VLOOKUP($E182,'Formatted NEW'!$M$2:$O$202,2,FALSE),'Formatted NEW'!$D$2:$F$202,7,FALSE),'Formatted NEW'!$D$2:$O$202,12,FALSE)</f>
        <v>#REF!</v>
      </c>
      <c r="BE182" t="e">
        <f>VLOOKUP($BD182,'Formatted NEW'!$M$2:$T$202,5,FALSE)</f>
        <v>#REF!</v>
      </c>
      <c r="BF182" s="26" t="e">
        <f t="shared" si="9"/>
        <v>#REF!</v>
      </c>
      <c r="BH182">
        <f>VLOOKUP($E182,'Formatted NEW'!$M$2:$T$202,4,FALSE)</f>
        <v>0</v>
      </c>
      <c r="BI182" s="26" t="e">
        <f>VLOOKUP(VLOOKUP(VLOOKUP($E182,'Formatted NEW'!$M$2:$O$202,2,FALSE),'Formatted NEW'!$D$2:$F$202,10,FALSE),'Formatted NEW'!$D$2:$O$202,12,FALSE)</f>
        <v>#REF!</v>
      </c>
      <c r="BJ182" t="e">
        <f>VLOOKUP($BI182,'Formatted NEW'!$M$2:$T$202,3,FALSE)</f>
        <v>#REF!</v>
      </c>
      <c r="BK182" s="26" t="e">
        <f t="shared" si="10"/>
        <v>#REF!</v>
      </c>
    </row>
    <row r="183" spans="1:63" x14ac:dyDescent="0.25">
      <c r="A183" t="str">
        <f>'Formatted NEW'!Q192</f>
        <v>ORTHO_RIGHT</v>
      </c>
      <c r="B183" t="str">
        <f>'Formatted NEW'!R192</f>
        <v>EMPTY</v>
      </c>
      <c r="C183" t="str">
        <f>'Formatted NEW'!S192</f>
        <v>EMPTY</v>
      </c>
      <c r="D183" t="str">
        <f>'Formatted NEW'!T192</f>
        <v>DIAG_BACK</v>
      </c>
      <c r="E183" s="26">
        <f t="shared" si="11"/>
        <v>179</v>
      </c>
      <c r="H183" s="30" t="str" cm="1">
        <f t="array" aca="1" ref="H183" ca="1">IF(ISNUMBER(SEARCH(INDIRECT(ADDRESS(ROW(H183),MOD(H$1,4)+1)),H$2)),$E183,"")</f>
        <v/>
      </c>
      <c r="I183" s="26" t="str" cm="1">
        <f t="array" aca="1" ref="I183" ca="1">IF(ISNUMBER(SEARCH(INDIRECT(ADDRESS(ROW(I183),MOD(I$1,4)+1)),I$2)),$E183,"")</f>
        <v/>
      </c>
      <c r="J183" s="26" t="str" cm="1">
        <f t="array" aca="1" ref="J183" ca="1">IF(ISNUMBER(SEARCH(INDIRECT(ADDRESS(ROW(J183),MOD(J$1,4)+1)),J$2)),$E183,"")</f>
        <v/>
      </c>
      <c r="K183" s="26" t="str" cm="1">
        <f t="array" aca="1" ref="K183" ca="1">IF(ISNUMBER(SEARCH(INDIRECT(ADDRESS(ROW(K183),MOD(K$1,4)+1)),K$2)),$E183,"")</f>
        <v/>
      </c>
      <c r="L183" s="26" t="str" cm="1">
        <f t="array" aca="1" ref="L183" ca="1">IF(ISNUMBER(SEARCH(INDIRECT(ADDRESS(ROW(L183),MOD(L$1,4)+1)),L$2)),$E183,"")</f>
        <v/>
      </c>
      <c r="M183" s="26" t="str" cm="1">
        <f t="array" aca="1" ref="M183" ca="1">IF(ISNUMBER(SEARCH(INDIRECT(ADDRESS(ROW(M183),MOD(M$1,4)+1)),M$2)),$E183,"")</f>
        <v/>
      </c>
      <c r="N183" s="26" t="str" cm="1">
        <f t="array" aca="1" ref="N183" ca="1">IF(ISNUMBER(SEARCH(INDIRECT(ADDRESS(ROW(N183),MOD(N$1,4)+1)),N$2)),$E183,"")</f>
        <v/>
      </c>
      <c r="O183" s="26" t="str" cm="1">
        <f t="array" aca="1" ref="O183" ca="1">IF(ISNUMBER(SEARCH(INDIRECT(ADDRESS(ROW(O183),MOD(O$1,4)+1)),O$2)),$E183,"")</f>
        <v/>
      </c>
      <c r="P183" s="26" t="str" cm="1">
        <f t="array" aca="1" ref="P183" ca="1">IF(ISNUMBER(SEARCH(INDIRECT(ADDRESS(ROW(P183),MOD(P$1,4)+1)),P$2)),$E183,"")</f>
        <v/>
      </c>
      <c r="Q183" s="26" t="str" cm="1">
        <f t="array" aca="1" ref="Q183" ca="1">IF(ISNUMBER(SEARCH(INDIRECT(ADDRESS(ROW(Q183),MOD(Q$1,4)+1)),Q$2)),$E183,"")</f>
        <v/>
      </c>
      <c r="R183" s="26" t="str" cm="1">
        <f t="array" aca="1" ref="R183" ca="1">IF(ISNUMBER(SEARCH(INDIRECT(ADDRESS(ROW(R183),MOD(R$1,4)+1)),R$2)),$E183,"")</f>
        <v/>
      </c>
      <c r="S183" s="26" t="str" cm="1">
        <f t="array" aca="1" ref="S183" ca="1">IF(ISNUMBER(SEARCH(INDIRECT(ADDRESS(ROW(S183),MOD(S$1,4)+1)),S$2)),$E183,"")</f>
        <v/>
      </c>
      <c r="T183" s="26" t="str" cm="1">
        <f t="array" aca="1" ref="T183" ca="1">IF(ISNUMBER(SEARCH(INDIRECT(ADDRESS(ROW(T183),MOD(T$1,4)+1)),T$2)),$E183,"")</f>
        <v/>
      </c>
      <c r="U183" s="26" t="str" cm="1">
        <f t="array" aca="1" ref="U183" ca="1">IF(ISNUMBER(SEARCH(INDIRECT(ADDRESS(ROW(U183),MOD(U$1,4)+1)),U$2)),$E183,"")</f>
        <v/>
      </c>
      <c r="V183" s="26" t="str" cm="1">
        <f t="array" aca="1" ref="V183" ca="1">IF(ISNUMBER(SEARCH(INDIRECT(ADDRESS(ROW(V183),MOD(V$1,4)+1)),V$2)),$E183,"")</f>
        <v/>
      </c>
      <c r="W183" s="26" t="str" cm="1">
        <f t="array" aca="1" ref="W183" ca="1">IF(ISNUMBER(SEARCH(INDIRECT(ADDRESS(ROW(W183),MOD(W$1,4)+1)),W$2)),$E183,"")</f>
        <v/>
      </c>
      <c r="X183" s="26" t="str" cm="1">
        <f t="array" aca="1" ref="X183" ca="1">IF(ISNUMBER(SEARCH(INDIRECT(ADDRESS(ROW(X183),MOD(X$1,4)+1)),X$2)),$E183,"")</f>
        <v/>
      </c>
      <c r="Y183" s="26" t="str" cm="1">
        <f t="array" aca="1" ref="Y183" ca="1">IF(ISNUMBER(SEARCH(INDIRECT(ADDRESS(ROW(Y183),MOD(Y$1,4)+1)),Y$2)),$E183,"")</f>
        <v/>
      </c>
      <c r="Z183" s="26" t="str" cm="1">
        <f t="array" aca="1" ref="Z183" ca="1">IF(ISNUMBER(SEARCH(INDIRECT(ADDRESS(ROW(Z183),MOD(Z$1,4)+1)),Z$2)),$E183,"")</f>
        <v/>
      </c>
      <c r="AA183" s="26" cm="1">
        <f t="array" aca="1" ref="AA183" ca="1">IF(ISNUMBER(SEARCH(INDIRECT(ADDRESS(ROW(AA183),MOD(AA$1,4)+1)),AA$2)),$E183,"")</f>
        <v>179</v>
      </c>
      <c r="AB183" s="26" t="str" cm="1">
        <f t="array" aca="1" ref="AB183" ca="1">IF(ISNUMBER(SEARCH(INDIRECT(ADDRESS(ROW(AB183),MOD(AB$1,4)+1)),AB$2)),$E183,"")</f>
        <v/>
      </c>
      <c r="AC183" s="26" t="str" cm="1">
        <f t="array" aca="1" ref="AC183" ca="1">IF(ISNUMBER(SEARCH(INDIRECT(ADDRESS(ROW(AC183),MOD(AC$1,4)+1)),AC$2)),$E183,"")</f>
        <v/>
      </c>
      <c r="AD183" s="26" t="str" cm="1">
        <f t="array" aca="1" ref="AD183" ca="1">IF(ISNUMBER(SEARCH(INDIRECT(ADDRESS(ROW(AD183),MOD(AD$1,4)+1)),AD$2)),$E183,"")</f>
        <v/>
      </c>
      <c r="AE183" s="26" t="str" cm="1">
        <f t="array" aca="1" ref="AE183" ca="1">IF(ISNUMBER(SEARCH(INDIRECT(ADDRESS(ROW(AE183),MOD(AE$1,4)+1)),AE$2)),$E183,"")</f>
        <v/>
      </c>
      <c r="AF183" s="26" t="str" cm="1">
        <f t="array" aca="1" ref="AF183" ca="1">IF(ISNUMBER(SEARCH(INDIRECT(ADDRESS(ROW(AF183),MOD(AF$1,4)+1)),AF$2)),$E183,"")</f>
        <v/>
      </c>
      <c r="AG183" s="26" t="str" cm="1">
        <f t="array" aca="1" ref="AG183" ca="1">IF(ISNUMBER(SEARCH(INDIRECT(ADDRESS(ROW(AG183),MOD(AG$1,4)+1)),AG$2)),$E183,"")</f>
        <v/>
      </c>
      <c r="AH183" s="26" t="str" cm="1">
        <f t="array" aca="1" ref="AH183" ca="1">IF(ISNUMBER(SEARCH(INDIRECT(ADDRESS(ROW(AH183),MOD(AH$1,4)+1)),AH$2)),$E183,"")</f>
        <v/>
      </c>
      <c r="AI183" s="26" t="str" cm="1">
        <f t="array" aca="1" ref="AI183" ca="1">IF(ISNUMBER(SEARCH(INDIRECT(ADDRESS(ROW(AI183),MOD(AI$1,4)+1)),AI$2)),$E183,"")</f>
        <v/>
      </c>
      <c r="AJ183" s="26" t="str" cm="1">
        <f t="array" aca="1" ref="AJ183" ca="1">IF(ISNUMBER(SEARCH(INDIRECT(ADDRESS(ROW(AJ183),MOD(AJ$1,4)+1)),AJ$2)),$E183,"")</f>
        <v/>
      </c>
      <c r="AK183" s="26" t="str" cm="1">
        <f t="array" aca="1" ref="AK183" ca="1">IF(ISNUMBER(SEARCH(INDIRECT(ADDRESS(ROW(AK183),MOD(AK$1,4)+1)),AK$2)),$E183,"")</f>
        <v/>
      </c>
      <c r="AL183" s="26" t="str" cm="1">
        <f t="array" aca="1" ref="AL183" ca="1">IF(ISNUMBER(SEARCH(INDIRECT(ADDRESS(ROW(AL183),MOD(AL$1,4)+1)),AL$2)),$E183,"")</f>
        <v/>
      </c>
      <c r="AM183" s="26" t="str" cm="1">
        <f t="array" aca="1" ref="AM183" ca="1">IF(ISNUMBER(SEARCH(INDIRECT(ADDRESS(ROW(AM183),MOD(AM$1,4)+1)),AM$2)),$E183,"")</f>
        <v/>
      </c>
      <c r="AN183" s="26" cm="1">
        <f t="array" aca="1" ref="AN183" ca="1">IF(ISNUMBER(SEARCH(INDIRECT(ADDRESS(ROW(AN183),MOD(AN$1,4)+1)),AN$2)),$E183,"")</f>
        <v>179</v>
      </c>
      <c r="AO183" s="26" t="str" cm="1">
        <f t="array" aca="1" ref="AO183" ca="1">IF(ISNUMBER(SEARCH(INDIRECT(ADDRESS(ROW(AO183),MOD(AO$1,4)+1)),AO$2)),$E183,"")</f>
        <v/>
      </c>
      <c r="AP183" s="26" t="str" cm="1">
        <f t="array" aca="1" ref="AP183" ca="1">IF(ISNUMBER(SEARCH(INDIRECT(ADDRESS(ROW(AP183),MOD(AP$1,4)+1)),AP$2)),$E183,"")</f>
        <v/>
      </c>
      <c r="AQ183" s="31" t="str" cm="1">
        <f t="array" aca="1" ref="AQ183" ca="1">IF(ISNUMBER(SEARCH(INDIRECT(ADDRESS(ROW(AQ183),MOD(AQ$1,4)+1)),AQ$2)),$E183,"")</f>
        <v/>
      </c>
      <c r="AT183" t="e">
        <f>IF(VLOOKUP($E183,'Formatted NEW'!$B$2:$F$202,5,FALSE)=VLOOKUP($E183,'Formatted NEW'!$B$2:$F$202,8,FALSE),$E183,"")</f>
        <v>#N/A</v>
      </c>
      <c r="AW183" t="e">
        <f>IF(VLOOKUP($E183,'Formatted NEW'!$B$2:$F$202,5,FALSE)=VLOOKUP($E183,'Formatted NEW'!$B$2:$F$202,11,FALSE),$E183,"")</f>
        <v>#N/A</v>
      </c>
      <c r="AZ183" t="e">
        <f>IF(VLOOKUP($E183,'Formatted NEW'!$B$2:$F$202,5,FALSE)=VLOOKUP($E183,'Formatted NEW'!$B$2:$F$202,14,FALSE),$E183,"")</f>
        <v>#N/A</v>
      </c>
      <c r="BC183" t="str">
        <f>VLOOKUP($E183,'Formatted NEW'!$M$2:$T$202,6,FALSE)</f>
        <v>EMPTY</v>
      </c>
      <c r="BD183" s="26" t="e">
        <f>VLOOKUP(VLOOKUP(VLOOKUP($E183,'Formatted NEW'!$M$2:$O$202,2,FALSE),'Formatted NEW'!$D$2:$F$202,7,FALSE),'Formatted NEW'!$D$2:$O$202,12,FALSE)</f>
        <v>#REF!</v>
      </c>
      <c r="BE183" t="e">
        <f>VLOOKUP($BD183,'Formatted NEW'!$M$2:$T$202,5,FALSE)</f>
        <v>#REF!</v>
      </c>
      <c r="BF183" s="26" t="e">
        <f t="shared" si="9"/>
        <v>#REF!</v>
      </c>
      <c r="BH183">
        <f>VLOOKUP($E183,'Formatted NEW'!$M$2:$T$202,4,FALSE)</f>
        <v>0</v>
      </c>
      <c r="BI183" s="26" t="e">
        <f>VLOOKUP(VLOOKUP(VLOOKUP($E183,'Formatted NEW'!$M$2:$O$202,2,FALSE),'Formatted NEW'!$D$2:$F$202,10,FALSE),'Formatted NEW'!$D$2:$O$202,12,FALSE)</f>
        <v>#REF!</v>
      </c>
      <c r="BJ183" t="e">
        <f>VLOOKUP($BI183,'Formatted NEW'!$M$2:$T$202,3,FALSE)</f>
        <v>#REF!</v>
      </c>
      <c r="BK183" s="26" t="e">
        <f t="shared" si="10"/>
        <v>#REF!</v>
      </c>
    </row>
    <row r="184" spans="1:63" x14ac:dyDescent="0.25">
      <c r="A184" t="str">
        <f>'Formatted NEW'!Q193</f>
        <v>EMPTY</v>
      </c>
      <c r="B184" t="str">
        <f>'Formatted NEW'!R193</f>
        <v>EMPTY</v>
      </c>
      <c r="C184" t="str">
        <f>'Formatted NEW'!S193</f>
        <v>ORTHO_BOTH</v>
      </c>
      <c r="D184" t="str">
        <f>'Formatted NEW'!T193</f>
        <v>ORTHO_BOTH</v>
      </c>
      <c r="E184" s="26">
        <f t="shared" si="11"/>
        <v>180</v>
      </c>
      <c r="H184" s="30" t="str" cm="1">
        <f t="array" aca="1" ref="H184" ca="1">IF(ISNUMBER(SEARCH(INDIRECT(ADDRESS(ROW(H184),MOD(H$1,4)+1)),H$2)),$E184,"")</f>
        <v/>
      </c>
      <c r="I184" s="26" t="str" cm="1">
        <f t="array" aca="1" ref="I184" ca="1">IF(ISNUMBER(SEARCH(INDIRECT(ADDRESS(ROW(I184),MOD(I$1,4)+1)),I$2)),$E184,"")</f>
        <v/>
      </c>
      <c r="J184" s="26" t="str" cm="1">
        <f t="array" aca="1" ref="J184" ca="1">IF(ISNUMBER(SEARCH(INDIRECT(ADDRESS(ROW(J184),MOD(J$1,4)+1)),J$2)),$E184,"")</f>
        <v/>
      </c>
      <c r="K184" s="26" t="str" cm="1">
        <f t="array" aca="1" ref="K184" ca="1">IF(ISNUMBER(SEARCH(INDIRECT(ADDRESS(ROW(K184),MOD(K$1,4)+1)),K$2)),$E184,"")</f>
        <v/>
      </c>
      <c r="L184" s="26" t="str" cm="1">
        <f t="array" aca="1" ref="L184" ca="1">IF(ISNUMBER(SEARCH(INDIRECT(ADDRESS(ROW(L184),MOD(L$1,4)+1)),L$2)),$E184,"")</f>
        <v/>
      </c>
      <c r="M184" s="26" t="str" cm="1">
        <f t="array" aca="1" ref="M184" ca="1">IF(ISNUMBER(SEARCH(INDIRECT(ADDRESS(ROW(M184),MOD(M$1,4)+1)),M$2)),$E184,"")</f>
        <v/>
      </c>
      <c r="N184" s="26" t="str" cm="1">
        <f t="array" aca="1" ref="N184" ca="1">IF(ISNUMBER(SEARCH(INDIRECT(ADDRESS(ROW(N184),MOD(N$1,4)+1)),N$2)),$E184,"")</f>
        <v/>
      </c>
      <c r="O184" s="26" t="str" cm="1">
        <f t="array" aca="1" ref="O184" ca="1">IF(ISNUMBER(SEARCH(INDIRECT(ADDRESS(ROW(O184),MOD(O$1,4)+1)),O$2)),$E184,"")</f>
        <v/>
      </c>
      <c r="P184" s="26" t="str" cm="1">
        <f t="array" aca="1" ref="P184" ca="1">IF(ISNUMBER(SEARCH(INDIRECT(ADDRESS(ROW(P184),MOD(P$1,4)+1)),P$2)),$E184,"")</f>
        <v/>
      </c>
      <c r="Q184" s="26" t="str" cm="1">
        <f t="array" aca="1" ref="Q184" ca="1">IF(ISNUMBER(SEARCH(INDIRECT(ADDRESS(ROW(Q184),MOD(Q$1,4)+1)),Q$2)),$E184,"")</f>
        <v/>
      </c>
      <c r="R184" s="26" cm="1">
        <f t="array" aca="1" ref="R184" ca="1">IF(ISNUMBER(SEARCH(INDIRECT(ADDRESS(ROW(R184),MOD(R$1,4)+1)),R$2)),$E184,"")</f>
        <v>180</v>
      </c>
      <c r="S184" s="26" cm="1">
        <f t="array" aca="1" ref="S184" ca="1">IF(ISNUMBER(SEARCH(INDIRECT(ADDRESS(ROW(S184),MOD(S$1,4)+1)),S$2)),$E184,"")</f>
        <v>180</v>
      </c>
      <c r="T184" s="26" t="str" cm="1">
        <f t="array" aca="1" ref="T184" ca="1">IF(ISNUMBER(SEARCH(INDIRECT(ADDRESS(ROW(T184),MOD(T$1,4)+1)),T$2)),$E184,"")</f>
        <v/>
      </c>
      <c r="U184" s="26" t="str" cm="1">
        <f t="array" aca="1" ref="U184" ca="1">IF(ISNUMBER(SEARCH(INDIRECT(ADDRESS(ROW(U184),MOD(U$1,4)+1)),U$2)),$E184,"")</f>
        <v/>
      </c>
      <c r="V184" s="26" t="str" cm="1">
        <f t="array" aca="1" ref="V184" ca="1">IF(ISNUMBER(SEARCH(INDIRECT(ADDRESS(ROW(V184),MOD(V$1,4)+1)),V$2)),$E184,"")</f>
        <v/>
      </c>
      <c r="W184" s="26" t="str" cm="1">
        <f t="array" aca="1" ref="W184" ca="1">IF(ISNUMBER(SEARCH(INDIRECT(ADDRESS(ROW(W184),MOD(W$1,4)+1)),W$2)),$E184,"")</f>
        <v/>
      </c>
      <c r="X184" s="26" t="str" cm="1">
        <f t="array" aca="1" ref="X184" ca="1">IF(ISNUMBER(SEARCH(INDIRECT(ADDRESS(ROW(X184),MOD(X$1,4)+1)),X$2)),$E184,"")</f>
        <v/>
      </c>
      <c r="Y184" s="26" t="str" cm="1">
        <f t="array" aca="1" ref="Y184" ca="1">IF(ISNUMBER(SEARCH(INDIRECT(ADDRESS(ROW(Y184),MOD(Y$1,4)+1)),Y$2)),$E184,"")</f>
        <v/>
      </c>
      <c r="Z184" s="26" t="str" cm="1">
        <f t="array" aca="1" ref="Z184" ca="1">IF(ISNUMBER(SEARCH(INDIRECT(ADDRESS(ROW(Z184),MOD(Z$1,4)+1)),Z$2)),$E184,"")</f>
        <v/>
      </c>
      <c r="AA184" s="26" t="str" cm="1">
        <f t="array" aca="1" ref="AA184" ca="1">IF(ISNUMBER(SEARCH(INDIRECT(ADDRESS(ROW(AA184),MOD(AA$1,4)+1)),AA$2)),$E184,"")</f>
        <v/>
      </c>
      <c r="AB184" s="26" t="str" cm="1">
        <f t="array" aca="1" ref="AB184" ca="1">IF(ISNUMBER(SEARCH(INDIRECT(ADDRESS(ROW(AB184),MOD(AB$1,4)+1)),AB$2)),$E184,"")</f>
        <v/>
      </c>
      <c r="AC184" s="26" t="str" cm="1">
        <f t="array" aca="1" ref="AC184" ca="1">IF(ISNUMBER(SEARCH(INDIRECT(ADDRESS(ROW(AC184),MOD(AC$1,4)+1)),AC$2)),$E184,"")</f>
        <v/>
      </c>
      <c r="AD184" s="26" t="str" cm="1">
        <f t="array" aca="1" ref="AD184" ca="1">IF(ISNUMBER(SEARCH(INDIRECT(ADDRESS(ROW(AD184),MOD(AD$1,4)+1)),AD$2)),$E184,"")</f>
        <v/>
      </c>
      <c r="AE184" s="26" t="str" cm="1">
        <f t="array" aca="1" ref="AE184" ca="1">IF(ISNUMBER(SEARCH(INDIRECT(ADDRESS(ROW(AE184),MOD(AE$1,4)+1)),AE$2)),$E184,"")</f>
        <v/>
      </c>
      <c r="AF184" s="26" t="str" cm="1">
        <f t="array" aca="1" ref="AF184" ca="1">IF(ISNUMBER(SEARCH(INDIRECT(ADDRESS(ROW(AF184),MOD(AF$1,4)+1)),AF$2)),$E184,"")</f>
        <v/>
      </c>
      <c r="AG184" s="26" t="str" cm="1">
        <f t="array" aca="1" ref="AG184" ca="1">IF(ISNUMBER(SEARCH(INDIRECT(ADDRESS(ROW(AG184),MOD(AG$1,4)+1)),AG$2)),$E184,"")</f>
        <v/>
      </c>
      <c r="AH184" s="26" t="str" cm="1">
        <f t="array" aca="1" ref="AH184" ca="1">IF(ISNUMBER(SEARCH(INDIRECT(ADDRESS(ROW(AH184),MOD(AH$1,4)+1)),AH$2)),$E184,"")</f>
        <v/>
      </c>
      <c r="AI184" s="26" t="str" cm="1">
        <f t="array" aca="1" ref="AI184" ca="1">IF(ISNUMBER(SEARCH(INDIRECT(ADDRESS(ROW(AI184),MOD(AI$1,4)+1)),AI$2)),$E184,"")</f>
        <v/>
      </c>
      <c r="AJ184" s="26" t="str" cm="1">
        <f t="array" aca="1" ref="AJ184" ca="1">IF(ISNUMBER(SEARCH(INDIRECT(ADDRESS(ROW(AJ184),MOD(AJ$1,4)+1)),AJ$2)),$E184,"")</f>
        <v/>
      </c>
      <c r="AK184" s="26" t="str" cm="1">
        <f t="array" aca="1" ref="AK184" ca="1">IF(ISNUMBER(SEARCH(INDIRECT(ADDRESS(ROW(AK184),MOD(AK$1,4)+1)),AK$2)),$E184,"")</f>
        <v/>
      </c>
      <c r="AL184" s="26" t="str" cm="1">
        <f t="array" aca="1" ref="AL184" ca="1">IF(ISNUMBER(SEARCH(INDIRECT(ADDRESS(ROW(AL184),MOD(AL$1,4)+1)),AL$2)),$E184,"")</f>
        <v/>
      </c>
      <c r="AM184" s="26" t="str" cm="1">
        <f t="array" aca="1" ref="AM184" ca="1">IF(ISNUMBER(SEARCH(INDIRECT(ADDRESS(ROW(AM184),MOD(AM$1,4)+1)),AM$2)),$E184,"")</f>
        <v/>
      </c>
      <c r="AN184" s="26" t="str" cm="1">
        <f t="array" aca="1" ref="AN184" ca="1">IF(ISNUMBER(SEARCH(INDIRECT(ADDRESS(ROW(AN184),MOD(AN$1,4)+1)),AN$2)),$E184,"")</f>
        <v/>
      </c>
      <c r="AO184" s="26" t="str" cm="1">
        <f t="array" aca="1" ref="AO184" ca="1">IF(ISNUMBER(SEARCH(INDIRECT(ADDRESS(ROW(AO184),MOD(AO$1,4)+1)),AO$2)),$E184,"")</f>
        <v/>
      </c>
      <c r="AP184" s="26" t="str" cm="1">
        <f t="array" aca="1" ref="AP184" ca="1">IF(ISNUMBER(SEARCH(INDIRECT(ADDRESS(ROW(AP184),MOD(AP$1,4)+1)),AP$2)),$E184,"")</f>
        <v/>
      </c>
      <c r="AQ184" s="31" t="str" cm="1">
        <f t="array" aca="1" ref="AQ184" ca="1">IF(ISNUMBER(SEARCH(INDIRECT(ADDRESS(ROW(AQ184),MOD(AQ$1,4)+1)),AQ$2)),$E184,"")</f>
        <v/>
      </c>
      <c r="AT184" t="e">
        <f>IF(VLOOKUP($E184,'Formatted NEW'!$B$2:$F$202,5,FALSE)=VLOOKUP($E184,'Formatted NEW'!$B$2:$F$202,8,FALSE),$E184,"")</f>
        <v>#N/A</v>
      </c>
      <c r="AW184" t="e">
        <f>IF(VLOOKUP($E184,'Formatted NEW'!$B$2:$F$202,5,FALSE)=VLOOKUP($E184,'Formatted NEW'!$B$2:$F$202,11,FALSE),$E184,"")</f>
        <v>#N/A</v>
      </c>
      <c r="AZ184" t="e">
        <f>IF(VLOOKUP($E184,'Formatted NEW'!$B$2:$F$202,5,FALSE)=VLOOKUP($E184,'Formatted NEW'!$B$2:$F$202,14,FALSE),$E184,"")</f>
        <v>#N/A</v>
      </c>
      <c r="BC184" t="str">
        <f>VLOOKUP($E184,'Formatted NEW'!$M$2:$T$202,6,FALSE)</f>
        <v>EMPTY</v>
      </c>
      <c r="BD184" s="26" t="e">
        <f>VLOOKUP(VLOOKUP(VLOOKUP($E184,'Formatted NEW'!$M$2:$O$202,2,FALSE),'Formatted NEW'!$D$2:$F$202,7,FALSE),'Formatted NEW'!$D$2:$O$202,12,FALSE)</f>
        <v>#REF!</v>
      </c>
      <c r="BE184" t="e">
        <f>VLOOKUP($BD184,'Formatted NEW'!$M$2:$T$202,5,FALSE)</f>
        <v>#REF!</v>
      </c>
      <c r="BF184" s="26" t="e">
        <f t="shared" si="9"/>
        <v>#REF!</v>
      </c>
      <c r="BH184">
        <f>VLOOKUP($E184,'Formatted NEW'!$M$2:$T$202,4,FALSE)</f>
        <v>0</v>
      </c>
      <c r="BI184" s="26" t="e">
        <f>VLOOKUP(VLOOKUP(VLOOKUP($E184,'Formatted NEW'!$M$2:$O$202,2,FALSE),'Formatted NEW'!$D$2:$F$202,10,FALSE),'Formatted NEW'!$D$2:$O$202,12,FALSE)</f>
        <v>#REF!</v>
      </c>
      <c r="BJ184" t="e">
        <f>VLOOKUP($BI184,'Formatted NEW'!$M$2:$T$202,3,FALSE)</f>
        <v>#REF!</v>
      </c>
      <c r="BK184" s="26" t="e">
        <f t="shared" si="10"/>
        <v>#REF!</v>
      </c>
    </row>
    <row r="185" spans="1:63" x14ac:dyDescent="0.25">
      <c r="A185" t="str">
        <f>'Formatted NEW'!Q194</f>
        <v>EMPTY</v>
      </c>
      <c r="B185" t="str">
        <f>'Formatted NEW'!R194</f>
        <v>EMPTY</v>
      </c>
      <c r="C185" t="str">
        <f>'Formatted NEW'!S194</f>
        <v>EMPTY</v>
      </c>
      <c r="D185" t="str">
        <f>'Formatted NEW'!T194</f>
        <v>DIAG_BOTH</v>
      </c>
      <c r="E185" s="26">
        <f t="shared" si="11"/>
        <v>181</v>
      </c>
      <c r="H185" s="30" t="str" cm="1">
        <f t="array" aca="1" ref="H185" ca="1">IF(ISNUMBER(SEARCH(INDIRECT(ADDRESS(ROW(H185),MOD(H$1,4)+1)),H$2)),$E185,"")</f>
        <v/>
      </c>
      <c r="I185" s="26" t="str" cm="1">
        <f t="array" aca="1" ref="I185" ca="1">IF(ISNUMBER(SEARCH(INDIRECT(ADDRESS(ROW(I185),MOD(I$1,4)+1)),I$2)),$E185,"")</f>
        <v/>
      </c>
      <c r="J185" s="26" t="str" cm="1">
        <f t="array" aca="1" ref="J185" ca="1">IF(ISNUMBER(SEARCH(INDIRECT(ADDRESS(ROW(J185),MOD(J$1,4)+1)),J$2)),$E185,"")</f>
        <v/>
      </c>
      <c r="K185" s="26" t="str" cm="1">
        <f t="array" aca="1" ref="K185" ca="1">IF(ISNUMBER(SEARCH(INDIRECT(ADDRESS(ROW(K185),MOD(K$1,4)+1)),K$2)),$E185,"")</f>
        <v/>
      </c>
      <c r="L185" s="26" t="str" cm="1">
        <f t="array" aca="1" ref="L185" ca="1">IF(ISNUMBER(SEARCH(INDIRECT(ADDRESS(ROW(L185),MOD(L$1,4)+1)),L$2)),$E185,"")</f>
        <v/>
      </c>
      <c r="M185" s="26" t="str" cm="1">
        <f t="array" aca="1" ref="M185" ca="1">IF(ISNUMBER(SEARCH(INDIRECT(ADDRESS(ROW(M185),MOD(M$1,4)+1)),M$2)),$E185,"")</f>
        <v/>
      </c>
      <c r="N185" s="26" t="str" cm="1">
        <f t="array" aca="1" ref="N185" ca="1">IF(ISNUMBER(SEARCH(INDIRECT(ADDRESS(ROW(N185),MOD(N$1,4)+1)),N$2)),$E185,"")</f>
        <v/>
      </c>
      <c r="O185" s="26" cm="1">
        <f t="array" aca="1" ref="O185" ca="1">IF(ISNUMBER(SEARCH(INDIRECT(ADDRESS(ROW(O185),MOD(O$1,4)+1)),O$2)),$E185,"")</f>
        <v>181</v>
      </c>
      <c r="P185" s="26" t="str" cm="1">
        <f t="array" aca="1" ref="P185" ca="1">IF(ISNUMBER(SEARCH(INDIRECT(ADDRESS(ROW(P185),MOD(P$1,4)+1)),P$2)),$E185,"")</f>
        <v/>
      </c>
      <c r="Q185" s="26" t="str" cm="1">
        <f t="array" aca="1" ref="Q185" ca="1">IF(ISNUMBER(SEARCH(INDIRECT(ADDRESS(ROW(Q185),MOD(Q$1,4)+1)),Q$2)),$E185,"")</f>
        <v/>
      </c>
      <c r="R185" s="26" t="str" cm="1">
        <f t="array" aca="1" ref="R185" ca="1">IF(ISNUMBER(SEARCH(INDIRECT(ADDRESS(ROW(R185),MOD(R$1,4)+1)),R$2)),$E185,"")</f>
        <v/>
      </c>
      <c r="S185" s="26" t="str" cm="1">
        <f t="array" aca="1" ref="S185" ca="1">IF(ISNUMBER(SEARCH(INDIRECT(ADDRESS(ROW(S185),MOD(S$1,4)+1)),S$2)),$E185,"")</f>
        <v/>
      </c>
      <c r="T185" s="26" t="str" cm="1">
        <f t="array" aca="1" ref="T185" ca="1">IF(ISNUMBER(SEARCH(INDIRECT(ADDRESS(ROW(T185),MOD(T$1,4)+1)),T$2)),$E185,"")</f>
        <v/>
      </c>
      <c r="U185" s="26" t="str" cm="1">
        <f t="array" aca="1" ref="U185" ca="1">IF(ISNUMBER(SEARCH(INDIRECT(ADDRESS(ROW(U185),MOD(U$1,4)+1)),U$2)),$E185,"")</f>
        <v/>
      </c>
      <c r="V185" s="26" t="str" cm="1">
        <f t="array" aca="1" ref="V185" ca="1">IF(ISNUMBER(SEARCH(INDIRECT(ADDRESS(ROW(V185),MOD(V$1,4)+1)),V$2)),$E185,"")</f>
        <v/>
      </c>
      <c r="W185" s="26" t="str" cm="1">
        <f t="array" aca="1" ref="W185" ca="1">IF(ISNUMBER(SEARCH(INDIRECT(ADDRESS(ROW(W185),MOD(W$1,4)+1)),W$2)),$E185,"")</f>
        <v/>
      </c>
      <c r="X185" s="26" t="str" cm="1">
        <f t="array" aca="1" ref="X185" ca="1">IF(ISNUMBER(SEARCH(INDIRECT(ADDRESS(ROW(X185),MOD(X$1,4)+1)),X$2)),$E185,"")</f>
        <v/>
      </c>
      <c r="Y185" s="26" t="str" cm="1">
        <f t="array" aca="1" ref="Y185" ca="1">IF(ISNUMBER(SEARCH(INDIRECT(ADDRESS(ROW(Y185),MOD(Y$1,4)+1)),Y$2)),$E185,"")</f>
        <v/>
      </c>
      <c r="Z185" s="26" t="str" cm="1">
        <f t="array" aca="1" ref="Z185" ca="1">IF(ISNUMBER(SEARCH(INDIRECT(ADDRESS(ROW(Z185),MOD(Z$1,4)+1)),Z$2)),$E185,"")</f>
        <v/>
      </c>
      <c r="AA185" s="26" t="str" cm="1">
        <f t="array" aca="1" ref="AA185" ca="1">IF(ISNUMBER(SEARCH(INDIRECT(ADDRESS(ROW(AA185),MOD(AA$1,4)+1)),AA$2)),$E185,"")</f>
        <v/>
      </c>
      <c r="AB185" s="26" t="str" cm="1">
        <f t="array" aca="1" ref="AB185" ca="1">IF(ISNUMBER(SEARCH(INDIRECT(ADDRESS(ROW(AB185),MOD(AB$1,4)+1)),AB$2)),$E185,"")</f>
        <v/>
      </c>
      <c r="AC185" s="26" t="str" cm="1">
        <f t="array" aca="1" ref="AC185" ca="1">IF(ISNUMBER(SEARCH(INDIRECT(ADDRESS(ROW(AC185),MOD(AC$1,4)+1)),AC$2)),$E185,"")</f>
        <v/>
      </c>
      <c r="AD185" s="26" t="str" cm="1">
        <f t="array" aca="1" ref="AD185" ca="1">IF(ISNUMBER(SEARCH(INDIRECT(ADDRESS(ROW(AD185),MOD(AD$1,4)+1)),AD$2)),$E185,"")</f>
        <v/>
      </c>
      <c r="AE185" s="26" t="str" cm="1">
        <f t="array" aca="1" ref="AE185" ca="1">IF(ISNUMBER(SEARCH(INDIRECT(ADDRESS(ROW(AE185),MOD(AE$1,4)+1)),AE$2)),$E185,"")</f>
        <v/>
      </c>
      <c r="AF185" s="26" t="str" cm="1">
        <f t="array" aca="1" ref="AF185" ca="1">IF(ISNUMBER(SEARCH(INDIRECT(ADDRESS(ROW(AF185),MOD(AF$1,4)+1)),AF$2)),$E185,"")</f>
        <v/>
      </c>
      <c r="AG185" s="26" t="str" cm="1">
        <f t="array" aca="1" ref="AG185" ca="1">IF(ISNUMBER(SEARCH(INDIRECT(ADDRESS(ROW(AG185),MOD(AG$1,4)+1)),AG$2)),$E185,"")</f>
        <v/>
      </c>
      <c r="AH185" s="26" t="str" cm="1">
        <f t="array" aca="1" ref="AH185" ca="1">IF(ISNUMBER(SEARCH(INDIRECT(ADDRESS(ROW(AH185),MOD(AH$1,4)+1)),AH$2)),$E185,"")</f>
        <v/>
      </c>
      <c r="AI185" s="26" t="str" cm="1">
        <f t="array" aca="1" ref="AI185" ca="1">IF(ISNUMBER(SEARCH(INDIRECT(ADDRESS(ROW(AI185),MOD(AI$1,4)+1)),AI$2)),$E185,"")</f>
        <v/>
      </c>
      <c r="AJ185" s="26" t="str" cm="1">
        <f t="array" aca="1" ref="AJ185" ca="1">IF(ISNUMBER(SEARCH(INDIRECT(ADDRESS(ROW(AJ185),MOD(AJ$1,4)+1)),AJ$2)),$E185,"")</f>
        <v/>
      </c>
      <c r="AK185" s="26" t="str" cm="1">
        <f t="array" aca="1" ref="AK185" ca="1">IF(ISNUMBER(SEARCH(INDIRECT(ADDRESS(ROW(AK185),MOD(AK$1,4)+1)),AK$2)),$E185,"")</f>
        <v/>
      </c>
      <c r="AL185" s="26" t="str" cm="1">
        <f t="array" aca="1" ref="AL185" ca="1">IF(ISNUMBER(SEARCH(INDIRECT(ADDRESS(ROW(AL185),MOD(AL$1,4)+1)),AL$2)),$E185,"")</f>
        <v/>
      </c>
      <c r="AM185" s="26" t="str" cm="1">
        <f t="array" aca="1" ref="AM185" ca="1">IF(ISNUMBER(SEARCH(INDIRECT(ADDRESS(ROW(AM185),MOD(AM$1,4)+1)),AM$2)),$E185,"")</f>
        <v/>
      </c>
      <c r="AN185" s="26" t="str" cm="1">
        <f t="array" aca="1" ref="AN185" ca="1">IF(ISNUMBER(SEARCH(INDIRECT(ADDRESS(ROW(AN185),MOD(AN$1,4)+1)),AN$2)),$E185,"")</f>
        <v/>
      </c>
      <c r="AO185" s="26" t="str" cm="1">
        <f t="array" aca="1" ref="AO185" ca="1">IF(ISNUMBER(SEARCH(INDIRECT(ADDRESS(ROW(AO185),MOD(AO$1,4)+1)),AO$2)),$E185,"")</f>
        <v/>
      </c>
      <c r="AP185" s="26" t="str" cm="1">
        <f t="array" aca="1" ref="AP185" ca="1">IF(ISNUMBER(SEARCH(INDIRECT(ADDRESS(ROW(AP185),MOD(AP$1,4)+1)),AP$2)),$E185,"")</f>
        <v/>
      </c>
      <c r="AQ185" s="31" t="str" cm="1">
        <f t="array" aca="1" ref="AQ185" ca="1">IF(ISNUMBER(SEARCH(INDIRECT(ADDRESS(ROW(AQ185),MOD(AQ$1,4)+1)),AQ$2)),$E185,"")</f>
        <v/>
      </c>
      <c r="AT185" t="e">
        <f>IF(VLOOKUP($E185,'Formatted NEW'!$B$2:$F$202,5,FALSE)=VLOOKUP($E185,'Formatted NEW'!$B$2:$F$202,8,FALSE),$E185,"")</f>
        <v>#N/A</v>
      </c>
      <c r="AW185" t="e">
        <f>IF(VLOOKUP($E185,'Formatted NEW'!$B$2:$F$202,5,FALSE)=VLOOKUP($E185,'Formatted NEW'!$B$2:$F$202,11,FALSE),$E185,"")</f>
        <v>#N/A</v>
      </c>
      <c r="AZ185" t="e">
        <f>IF(VLOOKUP($E185,'Formatted NEW'!$B$2:$F$202,5,FALSE)=VLOOKUP($E185,'Formatted NEW'!$B$2:$F$202,14,FALSE),$E185,"")</f>
        <v>#N/A</v>
      </c>
      <c r="BC185" t="str">
        <f>VLOOKUP($E185,'Formatted NEW'!$M$2:$T$202,6,FALSE)</f>
        <v>EMPTY</v>
      </c>
      <c r="BD185" s="26" t="e">
        <f>VLOOKUP(VLOOKUP(VLOOKUP($E185,'Formatted NEW'!$M$2:$O$202,2,FALSE),'Formatted NEW'!$D$2:$F$202,7,FALSE),'Formatted NEW'!$D$2:$O$202,12,FALSE)</f>
        <v>#REF!</v>
      </c>
      <c r="BE185" t="e">
        <f>VLOOKUP($BD185,'Formatted NEW'!$M$2:$T$202,5,FALSE)</f>
        <v>#REF!</v>
      </c>
      <c r="BF185" s="26" t="e">
        <f t="shared" si="9"/>
        <v>#REF!</v>
      </c>
      <c r="BH185">
        <f>VLOOKUP($E185,'Formatted NEW'!$M$2:$T$202,4,FALSE)</f>
        <v>0</v>
      </c>
      <c r="BI185" s="26" t="e">
        <f>VLOOKUP(VLOOKUP(VLOOKUP($E185,'Formatted NEW'!$M$2:$O$202,2,FALSE),'Formatted NEW'!$D$2:$F$202,10,FALSE),'Formatted NEW'!$D$2:$O$202,12,FALSE)</f>
        <v>#REF!</v>
      </c>
      <c r="BJ185" t="e">
        <f>VLOOKUP($BI185,'Formatted NEW'!$M$2:$T$202,3,FALSE)</f>
        <v>#REF!</v>
      </c>
      <c r="BK185" s="26" t="e">
        <f t="shared" si="10"/>
        <v>#REF!</v>
      </c>
    </row>
    <row r="186" spans="1:63" x14ac:dyDescent="0.25">
      <c r="A186" t="str">
        <f>'Formatted NEW'!Q195</f>
        <v>EMPTY</v>
      </c>
      <c r="B186" t="str">
        <f>'Formatted NEW'!R195</f>
        <v>DIAG_BOTH</v>
      </c>
      <c r="C186" t="str">
        <f>'Formatted NEW'!S195</f>
        <v>EMPTY</v>
      </c>
      <c r="D186" t="str">
        <f>'Formatted NEW'!T195</f>
        <v>EMPTY</v>
      </c>
      <c r="E186" s="26">
        <f t="shared" si="11"/>
        <v>182</v>
      </c>
      <c r="H186" s="30" t="str" cm="1">
        <f t="array" aca="1" ref="H186" ca="1">IF(ISNUMBER(SEARCH(INDIRECT(ADDRESS(ROW(H186),MOD(H$1,4)+1)),H$2)),$E186,"")</f>
        <v/>
      </c>
      <c r="I186" s="26" t="str" cm="1">
        <f t="array" aca="1" ref="I186" ca="1">IF(ISNUMBER(SEARCH(INDIRECT(ADDRESS(ROW(I186),MOD(I$1,4)+1)),I$2)),$E186,"")</f>
        <v/>
      </c>
      <c r="J186" s="26" t="str" cm="1">
        <f t="array" aca="1" ref="J186" ca="1">IF(ISNUMBER(SEARCH(INDIRECT(ADDRESS(ROW(J186),MOD(J$1,4)+1)),J$2)),$E186,"")</f>
        <v/>
      </c>
      <c r="K186" s="26" t="str" cm="1">
        <f t="array" aca="1" ref="K186" ca="1">IF(ISNUMBER(SEARCH(INDIRECT(ADDRESS(ROW(K186),MOD(K$1,4)+1)),K$2)),$E186,"")</f>
        <v/>
      </c>
      <c r="L186" s="26" t="str" cm="1">
        <f t="array" aca="1" ref="L186" ca="1">IF(ISNUMBER(SEARCH(INDIRECT(ADDRESS(ROW(L186),MOD(L$1,4)+1)),L$2)),$E186,"")</f>
        <v/>
      </c>
      <c r="M186" s="26" cm="1">
        <f t="array" aca="1" ref="M186" ca="1">IF(ISNUMBER(SEARCH(INDIRECT(ADDRESS(ROW(M186),MOD(M$1,4)+1)),M$2)),$E186,"")</f>
        <v>182</v>
      </c>
      <c r="N186" s="26" t="str" cm="1">
        <f t="array" aca="1" ref="N186" ca="1">IF(ISNUMBER(SEARCH(INDIRECT(ADDRESS(ROW(N186),MOD(N$1,4)+1)),N$2)),$E186,"")</f>
        <v/>
      </c>
      <c r="O186" s="26" t="str" cm="1">
        <f t="array" aca="1" ref="O186" ca="1">IF(ISNUMBER(SEARCH(INDIRECT(ADDRESS(ROW(O186),MOD(O$1,4)+1)),O$2)),$E186,"")</f>
        <v/>
      </c>
      <c r="P186" s="26" t="str" cm="1">
        <f t="array" aca="1" ref="P186" ca="1">IF(ISNUMBER(SEARCH(INDIRECT(ADDRESS(ROW(P186),MOD(P$1,4)+1)),P$2)),$E186,"")</f>
        <v/>
      </c>
      <c r="Q186" s="26" t="str" cm="1">
        <f t="array" aca="1" ref="Q186" ca="1">IF(ISNUMBER(SEARCH(INDIRECT(ADDRESS(ROW(Q186),MOD(Q$1,4)+1)),Q$2)),$E186,"")</f>
        <v/>
      </c>
      <c r="R186" s="26" t="str" cm="1">
        <f t="array" aca="1" ref="R186" ca="1">IF(ISNUMBER(SEARCH(INDIRECT(ADDRESS(ROW(R186),MOD(R$1,4)+1)),R$2)),$E186,"")</f>
        <v/>
      </c>
      <c r="S186" s="26" t="str" cm="1">
        <f t="array" aca="1" ref="S186" ca="1">IF(ISNUMBER(SEARCH(INDIRECT(ADDRESS(ROW(S186),MOD(S$1,4)+1)),S$2)),$E186,"")</f>
        <v/>
      </c>
      <c r="T186" s="26" t="str" cm="1">
        <f t="array" aca="1" ref="T186" ca="1">IF(ISNUMBER(SEARCH(INDIRECT(ADDRESS(ROW(T186),MOD(T$1,4)+1)),T$2)),$E186,"")</f>
        <v/>
      </c>
      <c r="U186" s="26" t="str" cm="1">
        <f t="array" aca="1" ref="U186" ca="1">IF(ISNUMBER(SEARCH(INDIRECT(ADDRESS(ROW(U186),MOD(U$1,4)+1)),U$2)),$E186,"")</f>
        <v/>
      </c>
      <c r="V186" s="26" t="str" cm="1">
        <f t="array" aca="1" ref="V186" ca="1">IF(ISNUMBER(SEARCH(INDIRECT(ADDRESS(ROW(V186),MOD(V$1,4)+1)),V$2)),$E186,"")</f>
        <v/>
      </c>
      <c r="W186" s="26" t="str" cm="1">
        <f t="array" aca="1" ref="W186" ca="1">IF(ISNUMBER(SEARCH(INDIRECT(ADDRESS(ROW(W186),MOD(W$1,4)+1)),W$2)),$E186,"")</f>
        <v/>
      </c>
      <c r="X186" s="26" t="str" cm="1">
        <f t="array" aca="1" ref="X186" ca="1">IF(ISNUMBER(SEARCH(INDIRECT(ADDRESS(ROW(X186),MOD(X$1,4)+1)),X$2)),$E186,"")</f>
        <v/>
      </c>
      <c r="Y186" s="26" t="str" cm="1">
        <f t="array" aca="1" ref="Y186" ca="1">IF(ISNUMBER(SEARCH(INDIRECT(ADDRESS(ROW(Y186),MOD(Y$1,4)+1)),Y$2)),$E186,"")</f>
        <v/>
      </c>
      <c r="Z186" s="26" t="str" cm="1">
        <f t="array" aca="1" ref="Z186" ca="1">IF(ISNUMBER(SEARCH(INDIRECT(ADDRESS(ROW(Z186),MOD(Z$1,4)+1)),Z$2)),$E186,"")</f>
        <v/>
      </c>
      <c r="AA186" s="26" t="str" cm="1">
        <f t="array" aca="1" ref="AA186" ca="1">IF(ISNUMBER(SEARCH(INDIRECT(ADDRESS(ROW(AA186),MOD(AA$1,4)+1)),AA$2)),$E186,"")</f>
        <v/>
      </c>
      <c r="AB186" s="26" t="str" cm="1">
        <f t="array" aca="1" ref="AB186" ca="1">IF(ISNUMBER(SEARCH(INDIRECT(ADDRESS(ROW(AB186),MOD(AB$1,4)+1)),AB$2)),$E186,"")</f>
        <v/>
      </c>
      <c r="AC186" s="26" t="str" cm="1">
        <f t="array" aca="1" ref="AC186" ca="1">IF(ISNUMBER(SEARCH(INDIRECT(ADDRESS(ROW(AC186),MOD(AC$1,4)+1)),AC$2)),$E186,"")</f>
        <v/>
      </c>
      <c r="AD186" s="26" t="str" cm="1">
        <f t="array" aca="1" ref="AD186" ca="1">IF(ISNUMBER(SEARCH(INDIRECT(ADDRESS(ROW(AD186),MOD(AD$1,4)+1)),AD$2)),$E186,"")</f>
        <v/>
      </c>
      <c r="AE186" s="26" t="str" cm="1">
        <f t="array" aca="1" ref="AE186" ca="1">IF(ISNUMBER(SEARCH(INDIRECT(ADDRESS(ROW(AE186),MOD(AE$1,4)+1)),AE$2)),$E186,"")</f>
        <v/>
      </c>
      <c r="AF186" s="26" t="str" cm="1">
        <f t="array" aca="1" ref="AF186" ca="1">IF(ISNUMBER(SEARCH(INDIRECT(ADDRESS(ROW(AF186),MOD(AF$1,4)+1)),AF$2)),$E186,"")</f>
        <v/>
      </c>
      <c r="AG186" s="26" t="str" cm="1">
        <f t="array" aca="1" ref="AG186" ca="1">IF(ISNUMBER(SEARCH(INDIRECT(ADDRESS(ROW(AG186),MOD(AG$1,4)+1)),AG$2)),$E186,"")</f>
        <v/>
      </c>
      <c r="AH186" s="26" t="str" cm="1">
        <f t="array" aca="1" ref="AH186" ca="1">IF(ISNUMBER(SEARCH(INDIRECT(ADDRESS(ROW(AH186),MOD(AH$1,4)+1)),AH$2)),$E186,"")</f>
        <v/>
      </c>
      <c r="AI186" s="26" t="str" cm="1">
        <f t="array" aca="1" ref="AI186" ca="1">IF(ISNUMBER(SEARCH(INDIRECT(ADDRESS(ROW(AI186),MOD(AI$1,4)+1)),AI$2)),$E186,"")</f>
        <v/>
      </c>
      <c r="AJ186" s="26" t="str" cm="1">
        <f t="array" aca="1" ref="AJ186" ca="1">IF(ISNUMBER(SEARCH(INDIRECT(ADDRESS(ROW(AJ186),MOD(AJ$1,4)+1)),AJ$2)),$E186,"")</f>
        <v/>
      </c>
      <c r="AK186" s="26" t="str" cm="1">
        <f t="array" aca="1" ref="AK186" ca="1">IF(ISNUMBER(SEARCH(INDIRECT(ADDRESS(ROW(AK186),MOD(AK$1,4)+1)),AK$2)),$E186,"")</f>
        <v/>
      </c>
      <c r="AL186" s="26" t="str" cm="1">
        <f t="array" aca="1" ref="AL186" ca="1">IF(ISNUMBER(SEARCH(INDIRECT(ADDRESS(ROW(AL186),MOD(AL$1,4)+1)),AL$2)),$E186,"")</f>
        <v/>
      </c>
      <c r="AM186" s="26" t="str" cm="1">
        <f t="array" aca="1" ref="AM186" ca="1">IF(ISNUMBER(SEARCH(INDIRECT(ADDRESS(ROW(AM186),MOD(AM$1,4)+1)),AM$2)),$E186,"")</f>
        <v/>
      </c>
      <c r="AN186" s="26" t="str" cm="1">
        <f t="array" aca="1" ref="AN186" ca="1">IF(ISNUMBER(SEARCH(INDIRECT(ADDRESS(ROW(AN186),MOD(AN$1,4)+1)),AN$2)),$E186,"")</f>
        <v/>
      </c>
      <c r="AO186" s="26" t="str" cm="1">
        <f t="array" aca="1" ref="AO186" ca="1">IF(ISNUMBER(SEARCH(INDIRECT(ADDRESS(ROW(AO186),MOD(AO$1,4)+1)),AO$2)),$E186,"")</f>
        <v/>
      </c>
      <c r="AP186" s="26" t="str" cm="1">
        <f t="array" aca="1" ref="AP186" ca="1">IF(ISNUMBER(SEARCH(INDIRECT(ADDRESS(ROW(AP186),MOD(AP$1,4)+1)),AP$2)),$E186,"")</f>
        <v/>
      </c>
      <c r="AQ186" s="31" t="str" cm="1">
        <f t="array" aca="1" ref="AQ186" ca="1">IF(ISNUMBER(SEARCH(INDIRECT(ADDRESS(ROW(AQ186),MOD(AQ$1,4)+1)),AQ$2)),$E186,"")</f>
        <v/>
      </c>
      <c r="AT186" t="e">
        <f>IF(VLOOKUP($E186,'Formatted NEW'!$B$2:$F$202,5,FALSE)=VLOOKUP($E186,'Formatted NEW'!$B$2:$F$202,8,FALSE),$E186,"")</f>
        <v>#N/A</v>
      </c>
      <c r="AW186" t="e">
        <f>IF(VLOOKUP($E186,'Formatted NEW'!$B$2:$F$202,5,FALSE)=VLOOKUP($E186,'Formatted NEW'!$B$2:$F$202,11,FALSE),$E186,"")</f>
        <v>#N/A</v>
      </c>
      <c r="AZ186" t="e">
        <f>IF(VLOOKUP($E186,'Formatted NEW'!$B$2:$F$202,5,FALSE)=VLOOKUP($E186,'Formatted NEW'!$B$2:$F$202,14,FALSE),$E186,"")</f>
        <v>#N/A</v>
      </c>
      <c r="BC186" t="str">
        <f>VLOOKUP($E186,'Formatted NEW'!$M$2:$T$202,6,FALSE)</f>
        <v>DIAG_BOTH</v>
      </c>
      <c r="BD186" s="26" t="e">
        <f>VLOOKUP(VLOOKUP(VLOOKUP($E186,'Formatted NEW'!$M$2:$O$202,2,FALSE),'Formatted NEW'!$D$2:$F$202,7,FALSE),'Formatted NEW'!$D$2:$O$202,12,FALSE)</f>
        <v>#REF!</v>
      </c>
      <c r="BE186" t="e">
        <f>VLOOKUP($BD186,'Formatted NEW'!$M$2:$T$202,5,FALSE)</f>
        <v>#REF!</v>
      </c>
      <c r="BF186" s="26" t="e">
        <f t="shared" si="9"/>
        <v>#REF!</v>
      </c>
      <c r="BH186">
        <f>VLOOKUP($E186,'Formatted NEW'!$M$2:$T$202,4,FALSE)</f>
        <v>0</v>
      </c>
      <c r="BI186" s="26" t="e">
        <f>VLOOKUP(VLOOKUP(VLOOKUP($E186,'Formatted NEW'!$M$2:$O$202,2,FALSE),'Formatted NEW'!$D$2:$F$202,10,FALSE),'Formatted NEW'!$D$2:$O$202,12,FALSE)</f>
        <v>#REF!</v>
      </c>
      <c r="BJ186" t="e">
        <f>VLOOKUP($BI186,'Formatted NEW'!$M$2:$T$202,3,FALSE)</f>
        <v>#REF!</v>
      </c>
      <c r="BK186" s="26" t="e">
        <f t="shared" si="10"/>
        <v>#REF!</v>
      </c>
    </row>
    <row r="187" spans="1:63" x14ac:dyDescent="0.25">
      <c r="A187" t="str">
        <f>'Formatted NEW'!Q196</f>
        <v>ORTHO_BOTH</v>
      </c>
      <c r="B187" t="str">
        <f>'Formatted NEW'!R196</f>
        <v>ORTHO_BOTH</v>
      </c>
      <c r="C187" t="str">
        <f>'Formatted NEW'!S196</f>
        <v>EMPTY</v>
      </c>
      <c r="D187" t="str">
        <f>'Formatted NEW'!T196</f>
        <v>EMPTY</v>
      </c>
      <c r="E187" s="26">
        <f t="shared" si="11"/>
        <v>183</v>
      </c>
      <c r="H187" s="30" t="str" cm="1">
        <f t="array" aca="1" ref="H187" ca="1">IF(ISNUMBER(SEARCH(INDIRECT(ADDRESS(ROW(H187),MOD(H$1,4)+1)),H$2)),$E187,"")</f>
        <v/>
      </c>
      <c r="I187" s="26" t="str" cm="1">
        <f t="array" aca="1" ref="I187" ca="1">IF(ISNUMBER(SEARCH(INDIRECT(ADDRESS(ROW(I187),MOD(I$1,4)+1)),I$2)),$E187,"")</f>
        <v/>
      </c>
      <c r="J187" s="26" t="str" cm="1">
        <f t="array" aca="1" ref="J187" ca="1">IF(ISNUMBER(SEARCH(INDIRECT(ADDRESS(ROW(J187),MOD(J$1,4)+1)),J$2)),$E187,"")</f>
        <v/>
      </c>
      <c r="K187" s="26" t="str" cm="1">
        <f t="array" aca="1" ref="K187" ca="1">IF(ISNUMBER(SEARCH(INDIRECT(ADDRESS(ROW(K187),MOD(K$1,4)+1)),K$2)),$E187,"")</f>
        <v/>
      </c>
      <c r="L187" s="26" t="str" cm="1">
        <f t="array" aca="1" ref="L187" ca="1">IF(ISNUMBER(SEARCH(INDIRECT(ADDRESS(ROW(L187),MOD(L$1,4)+1)),L$2)),$E187,"")</f>
        <v/>
      </c>
      <c r="M187" s="26" t="str" cm="1">
        <f t="array" aca="1" ref="M187" ca="1">IF(ISNUMBER(SEARCH(INDIRECT(ADDRESS(ROW(M187),MOD(M$1,4)+1)),M$2)),$E187,"")</f>
        <v/>
      </c>
      <c r="N187" s="26" t="str" cm="1">
        <f t="array" aca="1" ref="N187" ca="1">IF(ISNUMBER(SEARCH(INDIRECT(ADDRESS(ROW(N187),MOD(N$1,4)+1)),N$2)),$E187,"")</f>
        <v/>
      </c>
      <c r="O187" s="26" t="str" cm="1">
        <f t="array" aca="1" ref="O187" ca="1">IF(ISNUMBER(SEARCH(INDIRECT(ADDRESS(ROW(O187),MOD(O$1,4)+1)),O$2)),$E187,"")</f>
        <v/>
      </c>
      <c r="P187" s="26" cm="1">
        <f t="array" aca="1" ref="P187" ca="1">IF(ISNUMBER(SEARCH(INDIRECT(ADDRESS(ROW(P187),MOD(P$1,4)+1)),P$2)),$E187,"")</f>
        <v>183</v>
      </c>
      <c r="Q187" s="26" cm="1">
        <f t="array" aca="1" ref="Q187" ca="1">IF(ISNUMBER(SEARCH(INDIRECT(ADDRESS(ROW(Q187),MOD(Q$1,4)+1)),Q$2)),$E187,"")</f>
        <v>183</v>
      </c>
      <c r="R187" s="26" t="str" cm="1">
        <f t="array" aca="1" ref="R187" ca="1">IF(ISNUMBER(SEARCH(INDIRECT(ADDRESS(ROW(R187),MOD(R$1,4)+1)),R$2)),$E187,"")</f>
        <v/>
      </c>
      <c r="S187" s="26" t="str" cm="1">
        <f t="array" aca="1" ref="S187" ca="1">IF(ISNUMBER(SEARCH(INDIRECT(ADDRESS(ROW(S187),MOD(S$1,4)+1)),S$2)),$E187,"")</f>
        <v/>
      </c>
      <c r="T187" s="26" t="str" cm="1">
        <f t="array" aca="1" ref="T187" ca="1">IF(ISNUMBER(SEARCH(INDIRECT(ADDRESS(ROW(T187),MOD(T$1,4)+1)),T$2)),$E187,"")</f>
        <v/>
      </c>
      <c r="U187" s="26" t="str" cm="1">
        <f t="array" aca="1" ref="U187" ca="1">IF(ISNUMBER(SEARCH(INDIRECT(ADDRESS(ROW(U187),MOD(U$1,4)+1)),U$2)),$E187,"")</f>
        <v/>
      </c>
      <c r="V187" s="26" t="str" cm="1">
        <f t="array" aca="1" ref="V187" ca="1">IF(ISNUMBER(SEARCH(INDIRECT(ADDRESS(ROW(V187),MOD(V$1,4)+1)),V$2)),$E187,"")</f>
        <v/>
      </c>
      <c r="W187" s="26" t="str" cm="1">
        <f t="array" aca="1" ref="W187" ca="1">IF(ISNUMBER(SEARCH(INDIRECT(ADDRESS(ROW(W187),MOD(W$1,4)+1)),W$2)),$E187,"")</f>
        <v/>
      </c>
      <c r="X187" s="26" t="str" cm="1">
        <f t="array" aca="1" ref="X187" ca="1">IF(ISNUMBER(SEARCH(INDIRECT(ADDRESS(ROW(X187),MOD(X$1,4)+1)),X$2)),$E187,"")</f>
        <v/>
      </c>
      <c r="Y187" s="26" t="str" cm="1">
        <f t="array" aca="1" ref="Y187" ca="1">IF(ISNUMBER(SEARCH(INDIRECT(ADDRESS(ROW(Y187),MOD(Y$1,4)+1)),Y$2)),$E187,"")</f>
        <v/>
      </c>
      <c r="Z187" s="26" t="str" cm="1">
        <f t="array" aca="1" ref="Z187" ca="1">IF(ISNUMBER(SEARCH(INDIRECT(ADDRESS(ROW(Z187),MOD(Z$1,4)+1)),Z$2)),$E187,"")</f>
        <v/>
      </c>
      <c r="AA187" s="26" t="str" cm="1">
        <f t="array" aca="1" ref="AA187" ca="1">IF(ISNUMBER(SEARCH(INDIRECT(ADDRESS(ROW(AA187),MOD(AA$1,4)+1)),AA$2)),$E187,"")</f>
        <v/>
      </c>
      <c r="AB187" s="26" t="str" cm="1">
        <f t="array" aca="1" ref="AB187" ca="1">IF(ISNUMBER(SEARCH(INDIRECT(ADDRESS(ROW(AB187),MOD(AB$1,4)+1)),AB$2)),$E187,"")</f>
        <v/>
      </c>
      <c r="AC187" s="26" t="str" cm="1">
        <f t="array" aca="1" ref="AC187" ca="1">IF(ISNUMBER(SEARCH(INDIRECT(ADDRESS(ROW(AC187),MOD(AC$1,4)+1)),AC$2)),$E187,"")</f>
        <v/>
      </c>
      <c r="AD187" s="26" t="str" cm="1">
        <f t="array" aca="1" ref="AD187" ca="1">IF(ISNUMBER(SEARCH(INDIRECT(ADDRESS(ROW(AD187),MOD(AD$1,4)+1)),AD$2)),$E187,"")</f>
        <v/>
      </c>
      <c r="AE187" s="26" t="str" cm="1">
        <f t="array" aca="1" ref="AE187" ca="1">IF(ISNUMBER(SEARCH(INDIRECT(ADDRESS(ROW(AE187),MOD(AE$1,4)+1)),AE$2)),$E187,"")</f>
        <v/>
      </c>
      <c r="AF187" s="26" t="str" cm="1">
        <f t="array" aca="1" ref="AF187" ca="1">IF(ISNUMBER(SEARCH(INDIRECT(ADDRESS(ROW(AF187),MOD(AF$1,4)+1)),AF$2)),$E187,"")</f>
        <v/>
      </c>
      <c r="AG187" s="26" t="str" cm="1">
        <f t="array" aca="1" ref="AG187" ca="1">IF(ISNUMBER(SEARCH(INDIRECT(ADDRESS(ROW(AG187),MOD(AG$1,4)+1)),AG$2)),$E187,"")</f>
        <v/>
      </c>
      <c r="AH187" s="26" t="str" cm="1">
        <f t="array" aca="1" ref="AH187" ca="1">IF(ISNUMBER(SEARCH(INDIRECT(ADDRESS(ROW(AH187),MOD(AH$1,4)+1)),AH$2)),$E187,"")</f>
        <v/>
      </c>
      <c r="AI187" s="26" t="str" cm="1">
        <f t="array" aca="1" ref="AI187" ca="1">IF(ISNUMBER(SEARCH(INDIRECT(ADDRESS(ROW(AI187),MOD(AI$1,4)+1)),AI$2)),$E187,"")</f>
        <v/>
      </c>
      <c r="AJ187" s="26" t="str" cm="1">
        <f t="array" aca="1" ref="AJ187" ca="1">IF(ISNUMBER(SEARCH(INDIRECT(ADDRESS(ROW(AJ187),MOD(AJ$1,4)+1)),AJ$2)),$E187,"")</f>
        <v/>
      </c>
      <c r="AK187" s="26" t="str" cm="1">
        <f t="array" aca="1" ref="AK187" ca="1">IF(ISNUMBER(SEARCH(INDIRECT(ADDRESS(ROW(AK187),MOD(AK$1,4)+1)),AK$2)),$E187,"")</f>
        <v/>
      </c>
      <c r="AL187" s="26" t="str" cm="1">
        <f t="array" aca="1" ref="AL187" ca="1">IF(ISNUMBER(SEARCH(INDIRECT(ADDRESS(ROW(AL187),MOD(AL$1,4)+1)),AL$2)),$E187,"")</f>
        <v/>
      </c>
      <c r="AM187" s="26" t="str" cm="1">
        <f t="array" aca="1" ref="AM187" ca="1">IF(ISNUMBER(SEARCH(INDIRECT(ADDRESS(ROW(AM187),MOD(AM$1,4)+1)),AM$2)),$E187,"")</f>
        <v/>
      </c>
      <c r="AN187" s="26" t="str" cm="1">
        <f t="array" aca="1" ref="AN187" ca="1">IF(ISNUMBER(SEARCH(INDIRECT(ADDRESS(ROW(AN187),MOD(AN$1,4)+1)),AN$2)),$E187,"")</f>
        <v/>
      </c>
      <c r="AO187" s="26" t="str" cm="1">
        <f t="array" aca="1" ref="AO187" ca="1">IF(ISNUMBER(SEARCH(INDIRECT(ADDRESS(ROW(AO187),MOD(AO$1,4)+1)),AO$2)),$E187,"")</f>
        <v/>
      </c>
      <c r="AP187" s="26" t="str" cm="1">
        <f t="array" aca="1" ref="AP187" ca="1">IF(ISNUMBER(SEARCH(INDIRECT(ADDRESS(ROW(AP187),MOD(AP$1,4)+1)),AP$2)),$E187,"")</f>
        <v/>
      </c>
      <c r="AQ187" s="31" t="str" cm="1">
        <f t="array" aca="1" ref="AQ187" ca="1">IF(ISNUMBER(SEARCH(INDIRECT(ADDRESS(ROW(AQ187),MOD(AQ$1,4)+1)),AQ$2)),$E187,"")</f>
        <v/>
      </c>
      <c r="AT187" t="e">
        <f>IF(VLOOKUP($E187,'Formatted NEW'!$B$2:$F$202,5,FALSE)=VLOOKUP($E187,'Formatted NEW'!$B$2:$F$202,8,FALSE),$E187,"")</f>
        <v>#N/A</v>
      </c>
      <c r="AW187" t="e">
        <f>IF(VLOOKUP($E187,'Formatted NEW'!$B$2:$F$202,5,FALSE)=VLOOKUP($E187,'Formatted NEW'!$B$2:$F$202,11,FALSE),$E187,"")</f>
        <v>#N/A</v>
      </c>
      <c r="AZ187" t="e">
        <f>IF(VLOOKUP($E187,'Formatted NEW'!$B$2:$F$202,5,FALSE)=VLOOKUP($E187,'Formatted NEW'!$B$2:$F$202,14,FALSE),$E187,"")</f>
        <v>#N/A</v>
      </c>
      <c r="BC187" t="str">
        <f>VLOOKUP($E187,'Formatted NEW'!$M$2:$T$202,6,FALSE)</f>
        <v>ORTHO_BOTH</v>
      </c>
      <c r="BD187" s="26" t="e">
        <f>VLOOKUP(VLOOKUP(VLOOKUP($E187,'Formatted NEW'!$M$2:$O$202,2,FALSE),'Formatted NEW'!$D$2:$F$202,7,FALSE),'Formatted NEW'!$D$2:$O$202,12,FALSE)</f>
        <v>#REF!</v>
      </c>
      <c r="BE187" t="e">
        <f>VLOOKUP($BD187,'Formatted NEW'!$M$2:$T$202,5,FALSE)</f>
        <v>#REF!</v>
      </c>
      <c r="BF187" s="26" t="e">
        <f t="shared" si="9"/>
        <v>#REF!</v>
      </c>
      <c r="BH187">
        <f>VLOOKUP($E187,'Formatted NEW'!$M$2:$T$202,4,FALSE)</f>
        <v>0</v>
      </c>
      <c r="BI187" s="26" t="e">
        <f>VLOOKUP(VLOOKUP(VLOOKUP($E187,'Formatted NEW'!$M$2:$O$202,2,FALSE),'Formatted NEW'!$D$2:$F$202,10,FALSE),'Formatted NEW'!$D$2:$O$202,12,FALSE)</f>
        <v>#REF!</v>
      </c>
      <c r="BJ187" t="e">
        <f>VLOOKUP($BI187,'Formatted NEW'!$M$2:$T$202,3,FALSE)</f>
        <v>#REF!</v>
      </c>
      <c r="BK187" s="26" t="e">
        <f t="shared" si="10"/>
        <v>#REF!</v>
      </c>
    </row>
    <row r="188" spans="1:63" x14ac:dyDescent="0.25">
      <c r="A188" t="str">
        <f>'Formatted NEW'!Q197</f>
        <v>EMPTY</v>
      </c>
      <c r="B188" t="str">
        <f>'Formatted NEW'!R197</f>
        <v>DIAG_BOTH</v>
      </c>
      <c r="C188" t="str">
        <f>'Formatted NEW'!S197</f>
        <v>EMPTY</v>
      </c>
      <c r="D188" t="str">
        <f>'Formatted NEW'!T197</f>
        <v>DIAG_BOTH</v>
      </c>
      <c r="E188" s="26">
        <f t="shared" si="11"/>
        <v>184</v>
      </c>
      <c r="H188" s="30" t="str" cm="1">
        <f t="array" aca="1" ref="H188" ca="1">IF(ISNUMBER(SEARCH(INDIRECT(ADDRESS(ROW(H188),MOD(H$1,4)+1)),H$2)),$E188,"")</f>
        <v/>
      </c>
      <c r="I188" s="26" t="str" cm="1">
        <f t="array" aca="1" ref="I188" ca="1">IF(ISNUMBER(SEARCH(INDIRECT(ADDRESS(ROW(I188),MOD(I$1,4)+1)),I$2)),$E188,"")</f>
        <v/>
      </c>
      <c r="J188" s="26" t="str" cm="1">
        <f t="array" aca="1" ref="J188" ca="1">IF(ISNUMBER(SEARCH(INDIRECT(ADDRESS(ROW(J188),MOD(J$1,4)+1)),J$2)),$E188,"")</f>
        <v/>
      </c>
      <c r="K188" s="26" t="str" cm="1">
        <f t="array" aca="1" ref="K188" ca="1">IF(ISNUMBER(SEARCH(INDIRECT(ADDRESS(ROW(K188),MOD(K$1,4)+1)),K$2)),$E188,"")</f>
        <v/>
      </c>
      <c r="L188" s="26" t="str" cm="1">
        <f t="array" aca="1" ref="L188" ca="1">IF(ISNUMBER(SEARCH(INDIRECT(ADDRESS(ROW(L188),MOD(L$1,4)+1)),L$2)),$E188,"")</f>
        <v/>
      </c>
      <c r="M188" s="26" cm="1">
        <f t="array" aca="1" ref="M188" ca="1">IF(ISNUMBER(SEARCH(INDIRECT(ADDRESS(ROW(M188),MOD(M$1,4)+1)),M$2)),$E188,"")</f>
        <v>184</v>
      </c>
      <c r="N188" s="26" t="str" cm="1">
        <f t="array" aca="1" ref="N188" ca="1">IF(ISNUMBER(SEARCH(INDIRECT(ADDRESS(ROW(N188),MOD(N$1,4)+1)),N$2)),$E188,"")</f>
        <v/>
      </c>
      <c r="O188" s="26" cm="1">
        <f t="array" aca="1" ref="O188" ca="1">IF(ISNUMBER(SEARCH(INDIRECT(ADDRESS(ROW(O188),MOD(O$1,4)+1)),O$2)),$E188,"")</f>
        <v>184</v>
      </c>
      <c r="P188" s="26" t="str" cm="1">
        <f t="array" aca="1" ref="P188" ca="1">IF(ISNUMBER(SEARCH(INDIRECT(ADDRESS(ROW(P188),MOD(P$1,4)+1)),P$2)),$E188,"")</f>
        <v/>
      </c>
      <c r="Q188" s="26" t="str" cm="1">
        <f t="array" aca="1" ref="Q188" ca="1">IF(ISNUMBER(SEARCH(INDIRECT(ADDRESS(ROW(Q188),MOD(Q$1,4)+1)),Q$2)),$E188,"")</f>
        <v/>
      </c>
      <c r="R188" s="26" t="str" cm="1">
        <f t="array" aca="1" ref="R188" ca="1">IF(ISNUMBER(SEARCH(INDIRECT(ADDRESS(ROW(R188),MOD(R$1,4)+1)),R$2)),$E188,"")</f>
        <v/>
      </c>
      <c r="S188" s="26" t="str" cm="1">
        <f t="array" aca="1" ref="S188" ca="1">IF(ISNUMBER(SEARCH(INDIRECT(ADDRESS(ROW(S188),MOD(S$1,4)+1)),S$2)),$E188,"")</f>
        <v/>
      </c>
      <c r="T188" s="26" t="str" cm="1">
        <f t="array" aca="1" ref="T188" ca="1">IF(ISNUMBER(SEARCH(INDIRECT(ADDRESS(ROW(T188),MOD(T$1,4)+1)),T$2)),$E188,"")</f>
        <v/>
      </c>
      <c r="U188" s="26" t="str" cm="1">
        <f t="array" aca="1" ref="U188" ca="1">IF(ISNUMBER(SEARCH(INDIRECT(ADDRESS(ROW(U188),MOD(U$1,4)+1)),U$2)),$E188,"")</f>
        <v/>
      </c>
      <c r="V188" s="26" t="str" cm="1">
        <f t="array" aca="1" ref="V188" ca="1">IF(ISNUMBER(SEARCH(INDIRECT(ADDRESS(ROW(V188),MOD(V$1,4)+1)),V$2)),$E188,"")</f>
        <v/>
      </c>
      <c r="W188" s="26" t="str" cm="1">
        <f t="array" aca="1" ref="W188" ca="1">IF(ISNUMBER(SEARCH(INDIRECT(ADDRESS(ROW(W188),MOD(W$1,4)+1)),W$2)),$E188,"")</f>
        <v/>
      </c>
      <c r="X188" s="26" t="str" cm="1">
        <f t="array" aca="1" ref="X188" ca="1">IF(ISNUMBER(SEARCH(INDIRECT(ADDRESS(ROW(X188),MOD(X$1,4)+1)),X$2)),$E188,"")</f>
        <v/>
      </c>
      <c r="Y188" s="26" t="str" cm="1">
        <f t="array" aca="1" ref="Y188" ca="1">IF(ISNUMBER(SEARCH(INDIRECT(ADDRESS(ROW(Y188),MOD(Y$1,4)+1)),Y$2)),$E188,"")</f>
        <v/>
      </c>
      <c r="Z188" s="26" t="str" cm="1">
        <f t="array" aca="1" ref="Z188" ca="1">IF(ISNUMBER(SEARCH(INDIRECT(ADDRESS(ROW(Z188),MOD(Z$1,4)+1)),Z$2)),$E188,"")</f>
        <v/>
      </c>
      <c r="AA188" s="26" t="str" cm="1">
        <f t="array" aca="1" ref="AA188" ca="1">IF(ISNUMBER(SEARCH(INDIRECT(ADDRESS(ROW(AA188),MOD(AA$1,4)+1)),AA$2)),$E188,"")</f>
        <v/>
      </c>
      <c r="AB188" s="26" t="str" cm="1">
        <f t="array" aca="1" ref="AB188" ca="1">IF(ISNUMBER(SEARCH(INDIRECT(ADDRESS(ROW(AB188),MOD(AB$1,4)+1)),AB$2)),$E188,"")</f>
        <v/>
      </c>
      <c r="AC188" s="26" t="str" cm="1">
        <f t="array" aca="1" ref="AC188" ca="1">IF(ISNUMBER(SEARCH(INDIRECT(ADDRESS(ROW(AC188),MOD(AC$1,4)+1)),AC$2)),$E188,"")</f>
        <v/>
      </c>
      <c r="AD188" s="26" t="str" cm="1">
        <f t="array" aca="1" ref="AD188" ca="1">IF(ISNUMBER(SEARCH(INDIRECT(ADDRESS(ROW(AD188),MOD(AD$1,4)+1)),AD$2)),$E188,"")</f>
        <v/>
      </c>
      <c r="AE188" s="26" t="str" cm="1">
        <f t="array" aca="1" ref="AE188" ca="1">IF(ISNUMBER(SEARCH(INDIRECT(ADDRESS(ROW(AE188),MOD(AE$1,4)+1)),AE$2)),$E188,"")</f>
        <v/>
      </c>
      <c r="AF188" s="26" t="str" cm="1">
        <f t="array" aca="1" ref="AF188" ca="1">IF(ISNUMBER(SEARCH(INDIRECT(ADDRESS(ROW(AF188),MOD(AF$1,4)+1)),AF$2)),$E188,"")</f>
        <v/>
      </c>
      <c r="AG188" s="26" t="str" cm="1">
        <f t="array" aca="1" ref="AG188" ca="1">IF(ISNUMBER(SEARCH(INDIRECT(ADDRESS(ROW(AG188),MOD(AG$1,4)+1)),AG$2)),$E188,"")</f>
        <v/>
      </c>
      <c r="AH188" s="26" t="str" cm="1">
        <f t="array" aca="1" ref="AH188" ca="1">IF(ISNUMBER(SEARCH(INDIRECT(ADDRESS(ROW(AH188),MOD(AH$1,4)+1)),AH$2)),$E188,"")</f>
        <v/>
      </c>
      <c r="AI188" s="26" t="str" cm="1">
        <f t="array" aca="1" ref="AI188" ca="1">IF(ISNUMBER(SEARCH(INDIRECT(ADDRESS(ROW(AI188),MOD(AI$1,4)+1)),AI$2)),$E188,"")</f>
        <v/>
      </c>
      <c r="AJ188" s="26" t="str" cm="1">
        <f t="array" aca="1" ref="AJ188" ca="1">IF(ISNUMBER(SEARCH(INDIRECT(ADDRESS(ROW(AJ188),MOD(AJ$1,4)+1)),AJ$2)),$E188,"")</f>
        <v/>
      </c>
      <c r="AK188" s="26" t="str" cm="1">
        <f t="array" aca="1" ref="AK188" ca="1">IF(ISNUMBER(SEARCH(INDIRECT(ADDRESS(ROW(AK188),MOD(AK$1,4)+1)),AK$2)),$E188,"")</f>
        <v/>
      </c>
      <c r="AL188" s="26" t="str" cm="1">
        <f t="array" aca="1" ref="AL188" ca="1">IF(ISNUMBER(SEARCH(INDIRECT(ADDRESS(ROW(AL188),MOD(AL$1,4)+1)),AL$2)),$E188,"")</f>
        <v/>
      </c>
      <c r="AM188" s="26" t="str" cm="1">
        <f t="array" aca="1" ref="AM188" ca="1">IF(ISNUMBER(SEARCH(INDIRECT(ADDRESS(ROW(AM188),MOD(AM$1,4)+1)),AM$2)),$E188,"")</f>
        <v/>
      </c>
      <c r="AN188" s="26" t="str" cm="1">
        <f t="array" aca="1" ref="AN188" ca="1">IF(ISNUMBER(SEARCH(INDIRECT(ADDRESS(ROW(AN188),MOD(AN$1,4)+1)),AN$2)),$E188,"")</f>
        <v/>
      </c>
      <c r="AO188" s="26" t="str" cm="1">
        <f t="array" aca="1" ref="AO188" ca="1">IF(ISNUMBER(SEARCH(INDIRECT(ADDRESS(ROW(AO188),MOD(AO$1,4)+1)),AO$2)),$E188,"")</f>
        <v/>
      </c>
      <c r="AP188" s="26" t="str" cm="1">
        <f t="array" aca="1" ref="AP188" ca="1">IF(ISNUMBER(SEARCH(INDIRECT(ADDRESS(ROW(AP188),MOD(AP$1,4)+1)),AP$2)),$E188,"")</f>
        <v/>
      </c>
      <c r="AQ188" s="31" t="str" cm="1">
        <f t="array" aca="1" ref="AQ188" ca="1">IF(ISNUMBER(SEARCH(INDIRECT(ADDRESS(ROW(AQ188),MOD(AQ$1,4)+1)),AQ$2)),$E188,"")</f>
        <v/>
      </c>
      <c r="AT188" t="e">
        <f>IF(VLOOKUP($E188,'Formatted NEW'!$B$2:$F$202,5,FALSE)=VLOOKUP($E188,'Formatted NEW'!$B$2:$F$202,8,FALSE),$E188,"")</f>
        <v>#N/A</v>
      </c>
      <c r="AW188" t="e">
        <f>IF(VLOOKUP($E188,'Formatted NEW'!$B$2:$F$202,5,FALSE)=VLOOKUP($E188,'Formatted NEW'!$B$2:$F$202,11,FALSE),$E188,"")</f>
        <v>#N/A</v>
      </c>
      <c r="AZ188" t="e">
        <f>IF(VLOOKUP($E188,'Formatted NEW'!$B$2:$F$202,5,FALSE)=VLOOKUP($E188,'Formatted NEW'!$B$2:$F$202,14,FALSE),$E188,"")</f>
        <v>#N/A</v>
      </c>
      <c r="BC188" t="str">
        <f>VLOOKUP($E188,'Formatted NEW'!$M$2:$T$202,6,FALSE)</f>
        <v>DIAG_BOTH</v>
      </c>
      <c r="BD188" s="26" t="e">
        <f>VLOOKUP(VLOOKUP(VLOOKUP($E188,'Formatted NEW'!$M$2:$O$202,2,FALSE),'Formatted NEW'!$D$2:$F$202,7,FALSE),'Formatted NEW'!$D$2:$O$202,12,FALSE)</f>
        <v>#REF!</v>
      </c>
      <c r="BE188" t="e">
        <f>VLOOKUP($BD188,'Formatted NEW'!$M$2:$T$202,5,FALSE)</f>
        <v>#REF!</v>
      </c>
      <c r="BF188" s="26" t="e">
        <f t="shared" si="9"/>
        <v>#REF!</v>
      </c>
      <c r="BH188">
        <f>VLOOKUP($E188,'Formatted NEW'!$M$2:$T$202,4,FALSE)</f>
        <v>0</v>
      </c>
      <c r="BI188" s="26" t="e">
        <f>VLOOKUP(VLOOKUP(VLOOKUP($E188,'Formatted NEW'!$M$2:$O$202,2,FALSE),'Formatted NEW'!$D$2:$F$202,10,FALSE),'Formatted NEW'!$D$2:$O$202,12,FALSE)</f>
        <v>#REF!</v>
      </c>
      <c r="BJ188" t="e">
        <f>VLOOKUP($BI188,'Formatted NEW'!$M$2:$T$202,3,FALSE)</f>
        <v>#REF!</v>
      </c>
      <c r="BK188" s="26" t="e">
        <f t="shared" si="10"/>
        <v>#REF!</v>
      </c>
    </row>
    <row r="189" spans="1:63" x14ac:dyDescent="0.25">
      <c r="A189" t="str">
        <f>'Formatted NEW'!Q198</f>
        <v>DIAG_BOTH</v>
      </c>
      <c r="B189" t="str">
        <f>'Formatted NEW'!R198</f>
        <v>EMPTY</v>
      </c>
      <c r="C189" t="str">
        <f>'Formatted NEW'!S198</f>
        <v>EMPTY</v>
      </c>
      <c r="D189" t="str">
        <f>'Formatted NEW'!T198</f>
        <v>DIAG_BOTH</v>
      </c>
      <c r="E189" s="26">
        <f t="shared" si="11"/>
        <v>185</v>
      </c>
      <c r="H189" s="30" t="str" cm="1">
        <f t="array" aca="1" ref="H189" ca="1">IF(ISNUMBER(SEARCH(INDIRECT(ADDRESS(ROW(H189),MOD(H$1,4)+1)),H$2)),$E189,"")</f>
        <v/>
      </c>
      <c r="I189" s="26" t="str" cm="1">
        <f t="array" aca="1" ref="I189" ca="1">IF(ISNUMBER(SEARCH(INDIRECT(ADDRESS(ROW(I189),MOD(I$1,4)+1)),I$2)),$E189,"")</f>
        <v/>
      </c>
      <c r="J189" s="26" t="str" cm="1">
        <f t="array" aca="1" ref="J189" ca="1">IF(ISNUMBER(SEARCH(INDIRECT(ADDRESS(ROW(J189),MOD(J$1,4)+1)),J$2)),$E189,"")</f>
        <v/>
      </c>
      <c r="K189" s="26" t="str" cm="1">
        <f t="array" aca="1" ref="K189" ca="1">IF(ISNUMBER(SEARCH(INDIRECT(ADDRESS(ROW(K189),MOD(K$1,4)+1)),K$2)),$E189,"")</f>
        <v/>
      </c>
      <c r="L189" s="26" cm="1">
        <f t="array" aca="1" ref="L189" ca="1">IF(ISNUMBER(SEARCH(INDIRECT(ADDRESS(ROW(L189),MOD(L$1,4)+1)),L$2)),$E189,"")</f>
        <v>185</v>
      </c>
      <c r="M189" s="26" t="str" cm="1">
        <f t="array" aca="1" ref="M189" ca="1">IF(ISNUMBER(SEARCH(INDIRECT(ADDRESS(ROW(M189),MOD(M$1,4)+1)),M$2)),$E189,"")</f>
        <v/>
      </c>
      <c r="N189" s="26" t="str" cm="1">
        <f t="array" aca="1" ref="N189" ca="1">IF(ISNUMBER(SEARCH(INDIRECT(ADDRESS(ROW(N189),MOD(N$1,4)+1)),N$2)),$E189,"")</f>
        <v/>
      </c>
      <c r="O189" s="26" cm="1">
        <f t="array" aca="1" ref="O189" ca="1">IF(ISNUMBER(SEARCH(INDIRECT(ADDRESS(ROW(O189),MOD(O$1,4)+1)),O$2)),$E189,"")</f>
        <v>185</v>
      </c>
      <c r="P189" s="26" t="str" cm="1">
        <f t="array" aca="1" ref="P189" ca="1">IF(ISNUMBER(SEARCH(INDIRECT(ADDRESS(ROW(P189),MOD(P$1,4)+1)),P$2)),$E189,"")</f>
        <v/>
      </c>
      <c r="Q189" s="26" t="str" cm="1">
        <f t="array" aca="1" ref="Q189" ca="1">IF(ISNUMBER(SEARCH(INDIRECT(ADDRESS(ROW(Q189),MOD(Q$1,4)+1)),Q$2)),$E189,"")</f>
        <v/>
      </c>
      <c r="R189" s="26" t="str" cm="1">
        <f t="array" aca="1" ref="R189" ca="1">IF(ISNUMBER(SEARCH(INDIRECT(ADDRESS(ROW(R189),MOD(R$1,4)+1)),R$2)),$E189,"")</f>
        <v/>
      </c>
      <c r="S189" s="26" t="str" cm="1">
        <f t="array" aca="1" ref="S189" ca="1">IF(ISNUMBER(SEARCH(INDIRECT(ADDRESS(ROW(S189),MOD(S$1,4)+1)),S$2)),$E189,"")</f>
        <v/>
      </c>
      <c r="T189" s="26" t="str" cm="1">
        <f t="array" aca="1" ref="T189" ca="1">IF(ISNUMBER(SEARCH(INDIRECT(ADDRESS(ROW(T189),MOD(T$1,4)+1)),T$2)),$E189,"")</f>
        <v/>
      </c>
      <c r="U189" s="26" t="str" cm="1">
        <f t="array" aca="1" ref="U189" ca="1">IF(ISNUMBER(SEARCH(INDIRECT(ADDRESS(ROW(U189),MOD(U$1,4)+1)),U$2)),$E189,"")</f>
        <v/>
      </c>
      <c r="V189" s="26" t="str" cm="1">
        <f t="array" aca="1" ref="V189" ca="1">IF(ISNUMBER(SEARCH(INDIRECT(ADDRESS(ROW(V189),MOD(V$1,4)+1)),V$2)),$E189,"")</f>
        <v/>
      </c>
      <c r="W189" s="26" t="str" cm="1">
        <f t="array" aca="1" ref="W189" ca="1">IF(ISNUMBER(SEARCH(INDIRECT(ADDRESS(ROW(W189),MOD(W$1,4)+1)),W$2)),$E189,"")</f>
        <v/>
      </c>
      <c r="X189" s="26" t="str" cm="1">
        <f t="array" aca="1" ref="X189" ca="1">IF(ISNUMBER(SEARCH(INDIRECT(ADDRESS(ROW(X189),MOD(X$1,4)+1)),X$2)),$E189,"")</f>
        <v/>
      </c>
      <c r="Y189" s="26" t="str" cm="1">
        <f t="array" aca="1" ref="Y189" ca="1">IF(ISNUMBER(SEARCH(INDIRECT(ADDRESS(ROW(Y189),MOD(Y$1,4)+1)),Y$2)),$E189,"")</f>
        <v/>
      </c>
      <c r="Z189" s="26" t="str" cm="1">
        <f t="array" aca="1" ref="Z189" ca="1">IF(ISNUMBER(SEARCH(INDIRECT(ADDRESS(ROW(Z189),MOD(Z$1,4)+1)),Z$2)),$E189,"")</f>
        <v/>
      </c>
      <c r="AA189" s="26" t="str" cm="1">
        <f t="array" aca="1" ref="AA189" ca="1">IF(ISNUMBER(SEARCH(INDIRECT(ADDRESS(ROW(AA189),MOD(AA$1,4)+1)),AA$2)),$E189,"")</f>
        <v/>
      </c>
      <c r="AB189" s="26" t="str" cm="1">
        <f t="array" aca="1" ref="AB189" ca="1">IF(ISNUMBER(SEARCH(INDIRECT(ADDRESS(ROW(AB189),MOD(AB$1,4)+1)),AB$2)),$E189,"")</f>
        <v/>
      </c>
      <c r="AC189" s="26" t="str" cm="1">
        <f t="array" aca="1" ref="AC189" ca="1">IF(ISNUMBER(SEARCH(INDIRECT(ADDRESS(ROW(AC189),MOD(AC$1,4)+1)),AC$2)),$E189,"")</f>
        <v/>
      </c>
      <c r="AD189" s="26" t="str" cm="1">
        <f t="array" aca="1" ref="AD189" ca="1">IF(ISNUMBER(SEARCH(INDIRECT(ADDRESS(ROW(AD189),MOD(AD$1,4)+1)),AD$2)),$E189,"")</f>
        <v/>
      </c>
      <c r="AE189" s="26" t="str" cm="1">
        <f t="array" aca="1" ref="AE189" ca="1">IF(ISNUMBER(SEARCH(INDIRECT(ADDRESS(ROW(AE189),MOD(AE$1,4)+1)),AE$2)),$E189,"")</f>
        <v/>
      </c>
      <c r="AF189" s="26" t="str" cm="1">
        <f t="array" aca="1" ref="AF189" ca="1">IF(ISNUMBER(SEARCH(INDIRECT(ADDRESS(ROW(AF189),MOD(AF$1,4)+1)),AF$2)),$E189,"")</f>
        <v/>
      </c>
      <c r="AG189" s="26" t="str" cm="1">
        <f t="array" aca="1" ref="AG189" ca="1">IF(ISNUMBER(SEARCH(INDIRECT(ADDRESS(ROW(AG189),MOD(AG$1,4)+1)),AG$2)),$E189,"")</f>
        <v/>
      </c>
      <c r="AH189" s="26" t="str" cm="1">
        <f t="array" aca="1" ref="AH189" ca="1">IF(ISNUMBER(SEARCH(INDIRECT(ADDRESS(ROW(AH189),MOD(AH$1,4)+1)),AH$2)),$E189,"")</f>
        <v/>
      </c>
      <c r="AI189" s="26" t="str" cm="1">
        <f t="array" aca="1" ref="AI189" ca="1">IF(ISNUMBER(SEARCH(INDIRECT(ADDRESS(ROW(AI189),MOD(AI$1,4)+1)),AI$2)),$E189,"")</f>
        <v/>
      </c>
      <c r="AJ189" s="26" t="str" cm="1">
        <f t="array" aca="1" ref="AJ189" ca="1">IF(ISNUMBER(SEARCH(INDIRECT(ADDRESS(ROW(AJ189),MOD(AJ$1,4)+1)),AJ$2)),$E189,"")</f>
        <v/>
      </c>
      <c r="AK189" s="26" t="str" cm="1">
        <f t="array" aca="1" ref="AK189" ca="1">IF(ISNUMBER(SEARCH(INDIRECT(ADDRESS(ROW(AK189),MOD(AK$1,4)+1)),AK$2)),$E189,"")</f>
        <v/>
      </c>
      <c r="AL189" s="26" t="str" cm="1">
        <f t="array" aca="1" ref="AL189" ca="1">IF(ISNUMBER(SEARCH(INDIRECT(ADDRESS(ROW(AL189),MOD(AL$1,4)+1)),AL$2)),$E189,"")</f>
        <v/>
      </c>
      <c r="AM189" s="26" t="str" cm="1">
        <f t="array" aca="1" ref="AM189" ca="1">IF(ISNUMBER(SEARCH(INDIRECT(ADDRESS(ROW(AM189),MOD(AM$1,4)+1)),AM$2)),$E189,"")</f>
        <v/>
      </c>
      <c r="AN189" s="26" t="str" cm="1">
        <f t="array" aca="1" ref="AN189" ca="1">IF(ISNUMBER(SEARCH(INDIRECT(ADDRESS(ROW(AN189),MOD(AN$1,4)+1)),AN$2)),$E189,"")</f>
        <v/>
      </c>
      <c r="AO189" s="26" t="str" cm="1">
        <f t="array" aca="1" ref="AO189" ca="1">IF(ISNUMBER(SEARCH(INDIRECT(ADDRESS(ROW(AO189),MOD(AO$1,4)+1)),AO$2)),$E189,"")</f>
        <v/>
      </c>
      <c r="AP189" s="26" t="str" cm="1">
        <f t="array" aca="1" ref="AP189" ca="1">IF(ISNUMBER(SEARCH(INDIRECT(ADDRESS(ROW(AP189),MOD(AP$1,4)+1)),AP$2)),$E189,"")</f>
        <v/>
      </c>
      <c r="AQ189" s="31" t="str" cm="1">
        <f t="array" aca="1" ref="AQ189" ca="1">IF(ISNUMBER(SEARCH(INDIRECT(ADDRESS(ROW(AQ189),MOD(AQ$1,4)+1)),AQ$2)),$E189,"")</f>
        <v/>
      </c>
      <c r="AT189" t="e">
        <f>IF(VLOOKUP($E189,'Formatted NEW'!$B$2:$F$202,5,FALSE)=VLOOKUP($E189,'Formatted NEW'!$B$2:$F$202,8,FALSE),$E189,"")</f>
        <v>#N/A</v>
      </c>
      <c r="AW189" t="e">
        <f>IF(VLOOKUP($E189,'Formatted NEW'!$B$2:$F$202,5,FALSE)=VLOOKUP($E189,'Formatted NEW'!$B$2:$F$202,11,FALSE),$E189,"")</f>
        <v>#N/A</v>
      </c>
      <c r="AZ189" t="e">
        <f>IF(VLOOKUP($E189,'Formatted NEW'!$B$2:$F$202,5,FALSE)=VLOOKUP($E189,'Formatted NEW'!$B$2:$F$202,14,FALSE),$E189,"")</f>
        <v>#N/A</v>
      </c>
      <c r="BC189" t="str">
        <f>VLOOKUP($E189,'Formatted NEW'!$M$2:$T$202,6,FALSE)</f>
        <v>EMPTY</v>
      </c>
      <c r="BD189" s="26" t="e">
        <f>VLOOKUP(VLOOKUP(VLOOKUP($E189,'Formatted NEW'!$M$2:$O$202,2,FALSE),'Formatted NEW'!$D$2:$F$202,7,FALSE),'Formatted NEW'!$D$2:$O$202,12,FALSE)</f>
        <v>#REF!</v>
      </c>
      <c r="BE189" t="e">
        <f>VLOOKUP($BD189,'Formatted NEW'!$M$2:$T$202,5,FALSE)</f>
        <v>#REF!</v>
      </c>
      <c r="BF189" s="26" t="e">
        <f t="shared" si="9"/>
        <v>#REF!</v>
      </c>
      <c r="BH189">
        <f>VLOOKUP($E189,'Formatted NEW'!$M$2:$T$202,4,FALSE)</f>
        <v>0</v>
      </c>
      <c r="BI189" s="26" t="e">
        <f>VLOOKUP(VLOOKUP(VLOOKUP($E189,'Formatted NEW'!$M$2:$O$202,2,FALSE),'Formatted NEW'!$D$2:$F$202,10,FALSE),'Formatted NEW'!$D$2:$O$202,12,FALSE)</f>
        <v>#REF!</v>
      </c>
      <c r="BJ189" t="e">
        <f>VLOOKUP($BI189,'Formatted NEW'!$M$2:$T$202,3,FALSE)</f>
        <v>#REF!</v>
      </c>
      <c r="BK189" s="26" t="e">
        <f t="shared" si="10"/>
        <v>#REF!</v>
      </c>
    </row>
    <row r="190" spans="1:63" x14ac:dyDescent="0.25">
      <c r="A190" t="str">
        <f>'Formatted NEW'!Q199</f>
        <v>DIAG_BOTH</v>
      </c>
      <c r="B190" t="str">
        <f>'Formatted NEW'!R199</f>
        <v>EMPTY</v>
      </c>
      <c r="C190" t="str">
        <f>'Formatted NEW'!S199</f>
        <v>DIAG_BOTH</v>
      </c>
      <c r="D190" t="str">
        <f>'Formatted NEW'!T199</f>
        <v>EMPTY</v>
      </c>
      <c r="E190" s="26">
        <f t="shared" si="11"/>
        <v>186</v>
      </c>
      <c r="H190" s="30" t="str" cm="1">
        <f t="array" aca="1" ref="H190" ca="1">IF(ISNUMBER(SEARCH(INDIRECT(ADDRESS(ROW(H190),MOD(H$1,4)+1)),H$2)),$E190,"")</f>
        <v/>
      </c>
      <c r="I190" s="26" t="str" cm="1">
        <f t="array" aca="1" ref="I190" ca="1">IF(ISNUMBER(SEARCH(INDIRECT(ADDRESS(ROW(I190),MOD(I$1,4)+1)),I$2)),$E190,"")</f>
        <v/>
      </c>
      <c r="J190" s="26" t="str" cm="1">
        <f t="array" aca="1" ref="J190" ca="1">IF(ISNUMBER(SEARCH(INDIRECT(ADDRESS(ROW(J190),MOD(J$1,4)+1)),J$2)),$E190,"")</f>
        <v/>
      </c>
      <c r="K190" s="26" t="str" cm="1">
        <f t="array" aca="1" ref="K190" ca="1">IF(ISNUMBER(SEARCH(INDIRECT(ADDRESS(ROW(K190),MOD(K$1,4)+1)),K$2)),$E190,"")</f>
        <v/>
      </c>
      <c r="L190" s="26" cm="1">
        <f t="array" aca="1" ref="L190" ca="1">IF(ISNUMBER(SEARCH(INDIRECT(ADDRESS(ROW(L190),MOD(L$1,4)+1)),L$2)),$E190,"")</f>
        <v>186</v>
      </c>
      <c r="M190" s="26" t="str" cm="1">
        <f t="array" aca="1" ref="M190" ca="1">IF(ISNUMBER(SEARCH(INDIRECT(ADDRESS(ROW(M190),MOD(M$1,4)+1)),M$2)),$E190,"")</f>
        <v/>
      </c>
      <c r="N190" s="26" cm="1">
        <f t="array" aca="1" ref="N190" ca="1">IF(ISNUMBER(SEARCH(INDIRECT(ADDRESS(ROW(N190),MOD(N$1,4)+1)),N$2)),$E190,"")</f>
        <v>186</v>
      </c>
      <c r="O190" s="26" t="str" cm="1">
        <f t="array" aca="1" ref="O190" ca="1">IF(ISNUMBER(SEARCH(INDIRECT(ADDRESS(ROW(O190),MOD(O$1,4)+1)),O$2)),$E190,"")</f>
        <v/>
      </c>
      <c r="P190" s="26" t="str" cm="1">
        <f t="array" aca="1" ref="P190" ca="1">IF(ISNUMBER(SEARCH(INDIRECT(ADDRESS(ROW(P190),MOD(P$1,4)+1)),P$2)),$E190,"")</f>
        <v/>
      </c>
      <c r="Q190" s="26" t="str" cm="1">
        <f t="array" aca="1" ref="Q190" ca="1">IF(ISNUMBER(SEARCH(INDIRECT(ADDRESS(ROW(Q190),MOD(Q$1,4)+1)),Q$2)),$E190,"")</f>
        <v/>
      </c>
      <c r="R190" s="26" t="str" cm="1">
        <f t="array" aca="1" ref="R190" ca="1">IF(ISNUMBER(SEARCH(INDIRECT(ADDRESS(ROW(R190),MOD(R$1,4)+1)),R$2)),$E190,"")</f>
        <v/>
      </c>
      <c r="S190" s="26" t="str" cm="1">
        <f t="array" aca="1" ref="S190" ca="1">IF(ISNUMBER(SEARCH(INDIRECT(ADDRESS(ROW(S190),MOD(S$1,4)+1)),S$2)),$E190,"")</f>
        <v/>
      </c>
      <c r="T190" s="26" t="str" cm="1">
        <f t="array" aca="1" ref="T190" ca="1">IF(ISNUMBER(SEARCH(INDIRECT(ADDRESS(ROW(T190),MOD(T$1,4)+1)),T$2)),$E190,"")</f>
        <v/>
      </c>
      <c r="U190" s="26" t="str" cm="1">
        <f t="array" aca="1" ref="U190" ca="1">IF(ISNUMBER(SEARCH(INDIRECT(ADDRESS(ROW(U190),MOD(U$1,4)+1)),U$2)),$E190,"")</f>
        <v/>
      </c>
      <c r="V190" s="26" t="str" cm="1">
        <f t="array" aca="1" ref="V190" ca="1">IF(ISNUMBER(SEARCH(INDIRECT(ADDRESS(ROW(V190),MOD(V$1,4)+1)),V$2)),$E190,"")</f>
        <v/>
      </c>
      <c r="W190" s="26" t="str" cm="1">
        <f t="array" aca="1" ref="W190" ca="1">IF(ISNUMBER(SEARCH(INDIRECT(ADDRESS(ROW(W190),MOD(W$1,4)+1)),W$2)),$E190,"")</f>
        <v/>
      </c>
      <c r="X190" s="26" t="str" cm="1">
        <f t="array" aca="1" ref="X190" ca="1">IF(ISNUMBER(SEARCH(INDIRECT(ADDRESS(ROW(X190),MOD(X$1,4)+1)),X$2)),$E190,"")</f>
        <v/>
      </c>
      <c r="Y190" s="26" t="str" cm="1">
        <f t="array" aca="1" ref="Y190" ca="1">IF(ISNUMBER(SEARCH(INDIRECT(ADDRESS(ROW(Y190),MOD(Y$1,4)+1)),Y$2)),$E190,"")</f>
        <v/>
      </c>
      <c r="Z190" s="26" t="str" cm="1">
        <f t="array" aca="1" ref="Z190" ca="1">IF(ISNUMBER(SEARCH(INDIRECT(ADDRESS(ROW(Z190),MOD(Z$1,4)+1)),Z$2)),$E190,"")</f>
        <v/>
      </c>
      <c r="AA190" s="26" t="str" cm="1">
        <f t="array" aca="1" ref="AA190" ca="1">IF(ISNUMBER(SEARCH(INDIRECT(ADDRESS(ROW(AA190),MOD(AA$1,4)+1)),AA$2)),$E190,"")</f>
        <v/>
      </c>
      <c r="AB190" s="26" t="str" cm="1">
        <f t="array" aca="1" ref="AB190" ca="1">IF(ISNUMBER(SEARCH(INDIRECT(ADDRESS(ROW(AB190),MOD(AB$1,4)+1)),AB$2)),$E190,"")</f>
        <v/>
      </c>
      <c r="AC190" s="26" t="str" cm="1">
        <f t="array" aca="1" ref="AC190" ca="1">IF(ISNUMBER(SEARCH(INDIRECT(ADDRESS(ROW(AC190),MOD(AC$1,4)+1)),AC$2)),$E190,"")</f>
        <v/>
      </c>
      <c r="AD190" s="26" t="str" cm="1">
        <f t="array" aca="1" ref="AD190" ca="1">IF(ISNUMBER(SEARCH(INDIRECT(ADDRESS(ROW(AD190),MOD(AD$1,4)+1)),AD$2)),$E190,"")</f>
        <v/>
      </c>
      <c r="AE190" s="26" t="str" cm="1">
        <f t="array" aca="1" ref="AE190" ca="1">IF(ISNUMBER(SEARCH(INDIRECT(ADDRESS(ROW(AE190),MOD(AE$1,4)+1)),AE$2)),$E190,"")</f>
        <v/>
      </c>
      <c r="AF190" s="26" t="str" cm="1">
        <f t="array" aca="1" ref="AF190" ca="1">IF(ISNUMBER(SEARCH(INDIRECT(ADDRESS(ROW(AF190),MOD(AF$1,4)+1)),AF$2)),$E190,"")</f>
        <v/>
      </c>
      <c r="AG190" s="26" t="str" cm="1">
        <f t="array" aca="1" ref="AG190" ca="1">IF(ISNUMBER(SEARCH(INDIRECT(ADDRESS(ROW(AG190),MOD(AG$1,4)+1)),AG$2)),$E190,"")</f>
        <v/>
      </c>
      <c r="AH190" s="26" t="str" cm="1">
        <f t="array" aca="1" ref="AH190" ca="1">IF(ISNUMBER(SEARCH(INDIRECT(ADDRESS(ROW(AH190),MOD(AH$1,4)+1)),AH$2)),$E190,"")</f>
        <v/>
      </c>
      <c r="AI190" s="26" t="str" cm="1">
        <f t="array" aca="1" ref="AI190" ca="1">IF(ISNUMBER(SEARCH(INDIRECT(ADDRESS(ROW(AI190),MOD(AI$1,4)+1)),AI$2)),$E190,"")</f>
        <v/>
      </c>
      <c r="AJ190" s="26" t="str" cm="1">
        <f t="array" aca="1" ref="AJ190" ca="1">IF(ISNUMBER(SEARCH(INDIRECT(ADDRESS(ROW(AJ190),MOD(AJ$1,4)+1)),AJ$2)),$E190,"")</f>
        <v/>
      </c>
      <c r="AK190" s="26" t="str" cm="1">
        <f t="array" aca="1" ref="AK190" ca="1">IF(ISNUMBER(SEARCH(INDIRECT(ADDRESS(ROW(AK190),MOD(AK$1,4)+1)),AK$2)),$E190,"")</f>
        <v/>
      </c>
      <c r="AL190" s="26" t="str" cm="1">
        <f t="array" aca="1" ref="AL190" ca="1">IF(ISNUMBER(SEARCH(INDIRECT(ADDRESS(ROW(AL190),MOD(AL$1,4)+1)),AL$2)),$E190,"")</f>
        <v/>
      </c>
      <c r="AM190" s="26" t="str" cm="1">
        <f t="array" aca="1" ref="AM190" ca="1">IF(ISNUMBER(SEARCH(INDIRECT(ADDRESS(ROW(AM190),MOD(AM$1,4)+1)),AM$2)),$E190,"")</f>
        <v/>
      </c>
      <c r="AN190" s="26" t="str" cm="1">
        <f t="array" aca="1" ref="AN190" ca="1">IF(ISNUMBER(SEARCH(INDIRECT(ADDRESS(ROW(AN190),MOD(AN$1,4)+1)),AN$2)),$E190,"")</f>
        <v/>
      </c>
      <c r="AO190" s="26" t="str" cm="1">
        <f t="array" aca="1" ref="AO190" ca="1">IF(ISNUMBER(SEARCH(INDIRECT(ADDRESS(ROW(AO190),MOD(AO$1,4)+1)),AO$2)),$E190,"")</f>
        <v/>
      </c>
      <c r="AP190" s="26" t="str" cm="1">
        <f t="array" aca="1" ref="AP190" ca="1">IF(ISNUMBER(SEARCH(INDIRECT(ADDRESS(ROW(AP190),MOD(AP$1,4)+1)),AP$2)),$E190,"")</f>
        <v/>
      </c>
      <c r="AQ190" s="31" t="str" cm="1">
        <f t="array" aca="1" ref="AQ190" ca="1">IF(ISNUMBER(SEARCH(INDIRECT(ADDRESS(ROW(AQ190),MOD(AQ$1,4)+1)),AQ$2)),$E190,"")</f>
        <v/>
      </c>
      <c r="AT190" t="e">
        <f>IF(VLOOKUP($E190,'Formatted NEW'!$B$2:$F$202,5,FALSE)=VLOOKUP($E190,'Formatted NEW'!$B$2:$F$202,8,FALSE),$E190,"")</f>
        <v>#N/A</v>
      </c>
      <c r="AW190" t="e">
        <f>IF(VLOOKUP($E190,'Formatted NEW'!$B$2:$F$202,5,FALSE)=VLOOKUP($E190,'Formatted NEW'!$B$2:$F$202,11,FALSE),$E190,"")</f>
        <v>#N/A</v>
      </c>
      <c r="AZ190" t="e">
        <f>IF(VLOOKUP($E190,'Formatted NEW'!$B$2:$F$202,5,FALSE)=VLOOKUP($E190,'Formatted NEW'!$B$2:$F$202,14,FALSE),$E190,"")</f>
        <v>#N/A</v>
      </c>
      <c r="BC190" t="str">
        <f>VLOOKUP($E190,'Formatted NEW'!$M$2:$T$202,6,FALSE)</f>
        <v>EMPTY</v>
      </c>
      <c r="BD190" s="26" t="e">
        <f>VLOOKUP(VLOOKUP(VLOOKUP($E190,'Formatted NEW'!$M$2:$O$202,2,FALSE),'Formatted NEW'!$D$2:$F$202,7,FALSE),'Formatted NEW'!$D$2:$O$202,12,FALSE)</f>
        <v>#REF!</v>
      </c>
      <c r="BE190" t="e">
        <f>VLOOKUP($BD190,'Formatted NEW'!$M$2:$T$202,5,FALSE)</f>
        <v>#REF!</v>
      </c>
      <c r="BF190" s="26" t="e">
        <f t="shared" si="9"/>
        <v>#REF!</v>
      </c>
      <c r="BH190">
        <f>VLOOKUP($E190,'Formatted NEW'!$M$2:$T$202,4,FALSE)</f>
        <v>0</v>
      </c>
      <c r="BI190" s="26" t="e">
        <f>VLOOKUP(VLOOKUP(VLOOKUP($E190,'Formatted NEW'!$M$2:$O$202,2,FALSE),'Formatted NEW'!$D$2:$F$202,10,FALSE),'Formatted NEW'!$D$2:$O$202,12,FALSE)</f>
        <v>#REF!</v>
      </c>
      <c r="BJ190" t="e">
        <f>VLOOKUP($BI190,'Formatted NEW'!$M$2:$T$202,3,FALSE)</f>
        <v>#REF!</v>
      </c>
      <c r="BK190" s="26" t="e">
        <f t="shared" si="10"/>
        <v>#REF!</v>
      </c>
    </row>
    <row r="191" spans="1:63" x14ac:dyDescent="0.25">
      <c r="A191" t="str">
        <f>'Formatted NEW'!Q200</f>
        <v>EMPTY</v>
      </c>
      <c r="B191" t="str">
        <f>'Formatted NEW'!R200</f>
        <v>DIAG_BOTH</v>
      </c>
      <c r="C191" t="str">
        <f>'Formatted NEW'!S200</f>
        <v>DIAG_BOTH</v>
      </c>
      <c r="D191" t="str">
        <f>'Formatted NEW'!T200</f>
        <v>EMPTY</v>
      </c>
      <c r="E191" s="26">
        <f t="shared" si="11"/>
        <v>187</v>
      </c>
      <c r="H191" s="30" t="str" cm="1">
        <f t="array" aca="1" ref="H191" ca="1">IF(ISNUMBER(SEARCH(INDIRECT(ADDRESS(ROW(H191),MOD(H$1,4)+1)),H$2)),$E191,"")</f>
        <v/>
      </c>
      <c r="I191" s="26" t="str" cm="1">
        <f t="array" aca="1" ref="I191" ca="1">IF(ISNUMBER(SEARCH(INDIRECT(ADDRESS(ROW(I191),MOD(I$1,4)+1)),I$2)),$E191,"")</f>
        <v/>
      </c>
      <c r="J191" s="26" t="str" cm="1">
        <f t="array" aca="1" ref="J191" ca="1">IF(ISNUMBER(SEARCH(INDIRECT(ADDRESS(ROW(J191),MOD(J$1,4)+1)),J$2)),$E191,"")</f>
        <v/>
      </c>
      <c r="K191" s="26" t="str" cm="1">
        <f t="array" aca="1" ref="K191" ca="1">IF(ISNUMBER(SEARCH(INDIRECT(ADDRESS(ROW(K191),MOD(K$1,4)+1)),K$2)),$E191,"")</f>
        <v/>
      </c>
      <c r="L191" s="26" t="str" cm="1">
        <f t="array" aca="1" ref="L191" ca="1">IF(ISNUMBER(SEARCH(INDIRECT(ADDRESS(ROW(L191),MOD(L$1,4)+1)),L$2)),$E191,"")</f>
        <v/>
      </c>
      <c r="M191" s="26" cm="1">
        <f t="array" aca="1" ref="M191" ca="1">IF(ISNUMBER(SEARCH(INDIRECT(ADDRESS(ROW(M191),MOD(M$1,4)+1)),M$2)),$E191,"")</f>
        <v>187</v>
      </c>
      <c r="N191" s="26" cm="1">
        <f t="array" aca="1" ref="N191" ca="1">IF(ISNUMBER(SEARCH(INDIRECT(ADDRESS(ROW(N191),MOD(N$1,4)+1)),N$2)),$E191,"")</f>
        <v>187</v>
      </c>
      <c r="O191" s="26" t="str" cm="1">
        <f t="array" aca="1" ref="O191" ca="1">IF(ISNUMBER(SEARCH(INDIRECT(ADDRESS(ROW(O191),MOD(O$1,4)+1)),O$2)),$E191,"")</f>
        <v/>
      </c>
      <c r="P191" s="26" t="str" cm="1">
        <f t="array" aca="1" ref="P191" ca="1">IF(ISNUMBER(SEARCH(INDIRECT(ADDRESS(ROW(P191),MOD(P$1,4)+1)),P$2)),$E191,"")</f>
        <v/>
      </c>
      <c r="Q191" s="26" t="str" cm="1">
        <f t="array" aca="1" ref="Q191" ca="1">IF(ISNUMBER(SEARCH(INDIRECT(ADDRESS(ROW(Q191),MOD(Q$1,4)+1)),Q$2)),$E191,"")</f>
        <v/>
      </c>
      <c r="R191" s="26" t="str" cm="1">
        <f t="array" aca="1" ref="R191" ca="1">IF(ISNUMBER(SEARCH(INDIRECT(ADDRESS(ROW(R191),MOD(R$1,4)+1)),R$2)),$E191,"")</f>
        <v/>
      </c>
      <c r="S191" s="26" t="str" cm="1">
        <f t="array" aca="1" ref="S191" ca="1">IF(ISNUMBER(SEARCH(INDIRECT(ADDRESS(ROW(S191),MOD(S$1,4)+1)),S$2)),$E191,"")</f>
        <v/>
      </c>
      <c r="T191" s="26" t="str" cm="1">
        <f t="array" aca="1" ref="T191" ca="1">IF(ISNUMBER(SEARCH(INDIRECT(ADDRESS(ROW(T191),MOD(T$1,4)+1)),T$2)),$E191,"")</f>
        <v/>
      </c>
      <c r="U191" s="26" t="str" cm="1">
        <f t="array" aca="1" ref="U191" ca="1">IF(ISNUMBER(SEARCH(INDIRECT(ADDRESS(ROW(U191),MOD(U$1,4)+1)),U$2)),$E191,"")</f>
        <v/>
      </c>
      <c r="V191" s="26" t="str" cm="1">
        <f t="array" aca="1" ref="V191" ca="1">IF(ISNUMBER(SEARCH(INDIRECT(ADDRESS(ROW(V191),MOD(V$1,4)+1)),V$2)),$E191,"")</f>
        <v/>
      </c>
      <c r="W191" s="26" t="str" cm="1">
        <f t="array" aca="1" ref="W191" ca="1">IF(ISNUMBER(SEARCH(INDIRECT(ADDRESS(ROW(W191),MOD(W$1,4)+1)),W$2)),$E191,"")</f>
        <v/>
      </c>
      <c r="X191" s="26" t="str" cm="1">
        <f t="array" aca="1" ref="X191" ca="1">IF(ISNUMBER(SEARCH(INDIRECT(ADDRESS(ROW(X191),MOD(X$1,4)+1)),X$2)),$E191,"")</f>
        <v/>
      </c>
      <c r="Y191" s="26" t="str" cm="1">
        <f t="array" aca="1" ref="Y191" ca="1">IF(ISNUMBER(SEARCH(INDIRECT(ADDRESS(ROW(Y191),MOD(Y$1,4)+1)),Y$2)),$E191,"")</f>
        <v/>
      </c>
      <c r="Z191" s="26" t="str" cm="1">
        <f t="array" aca="1" ref="Z191" ca="1">IF(ISNUMBER(SEARCH(INDIRECT(ADDRESS(ROW(Z191),MOD(Z$1,4)+1)),Z$2)),$E191,"")</f>
        <v/>
      </c>
      <c r="AA191" s="26" t="str" cm="1">
        <f t="array" aca="1" ref="AA191" ca="1">IF(ISNUMBER(SEARCH(INDIRECT(ADDRESS(ROW(AA191),MOD(AA$1,4)+1)),AA$2)),$E191,"")</f>
        <v/>
      </c>
      <c r="AB191" s="26" t="str" cm="1">
        <f t="array" aca="1" ref="AB191" ca="1">IF(ISNUMBER(SEARCH(INDIRECT(ADDRESS(ROW(AB191),MOD(AB$1,4)+1)),AB$2)),$E191,"")</f>
        <v/>
      </c>
      <c r="AC191" s="26" t="str" cm="1">
        <f t="array" aca="1" ref="AC191" ca="1">IF(ISNUMBER(SEARCH(INDIRECT(ADDRESS(ROW(AC191),MOD(AC$1,4)+1)),AC$2)),$E191,"")</f>
        <v/>
      </c>
      <c r="AD191" s="26" t="str" cm="1">
        <f t="array" aca="1" ref="AD191" ca="1">IF(ISNUMBER(SEARCH(INDIRECT(ADDRESS(ROW(AD191),MOD(AD$1,4)+1)),AD$2)),$E191,"")</f>
        <v/>
      </c>
      <c r="AE191" s="26" t="str" cm="1">
        <f t="array" aca="1" ref="AE191" ca="1">IF(ISNUMBER(SEARCH(INDIRECT(ADDRESS(ROW(AE191),MOD(AE$1,4)+1)),AE$2)),$E191,"")</f>
        <v/>
      </c>
      <c r="AF191" s="26" t="str" cm="1">
        <f t="array" aca="1" ref="AF191" ca="1">IF(ISNUMBER(SEARCH(INDIRECT(ADDRESS(ROW(AF191),MOD(AF$1,4)+1)),AF$2)),$E191,"")</f>
        <v/>
      </c>
      <c r="AG191" s="26" t="str" cm="1">
        <f t="array" aca="1" ref="AG191" ca="1">IF(ISNUMBER(SEARCH(INDIRECT(ADDRESS(ROW(AG191),MOD(AG$1,4)+1)),AG$2)),$E191,"")</f>
        <v/>
      </c>
      <c r="AH191" s="26" t="str" cm="1">
        <f t="array" aca="1" ref="AH191" ca="1">IF(ISNUMBER(SEARCH(INDIRECT(ADDRESS(ROW(AH191),MOD(AH$1,4)+1)),AH$2)),$E191,"")</f>
        <v/>
      </c>
      <c r="AI191" s="26" t="str" cm="1">
        <f t="array" aca="1" ref="AI191" ca="1">IF(ISNUMBER(SEARCH(INDIRECT(ADDRESS(ROW(AI191),MOD(AI$1,4)+1)),AI$2)),$E191,"")</f>
        <v/>
      </c>
      <c r="AJ191" s="26" t="str" cm="1">
        <f t="array" aca="1" ref="AJ191" ca="1">IF(ISNUMBER(SEARCH(INDIRECT(ADDRESS(ROW(AJ191),MOD(AJ$1,4)+1)),AJ$2)),$E191,"")</f>
        <v/>
      </c>
      <c r="AK191" s="26" t="str" cm="1">
        <f t="array" aca="1" ref="AK191" ca="1">IF(ISNUMBER(SEARCH(INDIRECT(ADDRESS(ROW(AK191),MOD(AK$1,4)+1)),AK$2)),$E191,"")</f>
        <v/>
      </c>
      <c r="AL191" s="26" t="str" cm="1">
        <f t="array" aca="1" ref="AL191" ca="1">IF(ISNUMBER(SEARCH(INDIRECT(ADDRESS(ROW(AL191),MOD(AL$1,4)+1)),AL$2)),$E191,"")</f>
        <v/>
      </c>
      <c r="AM191" s="26" t="str" cm="1">
        <f t="array" aca="1" ref="AM191" ca="1">IF(ISNUMBER(SEARCH(INDIRECT(ADDRESS(ROW(AM191),MOD(AM$1,4)+1)),AM$2)),$E191,"")</f>
        <v/>
      </c>
      <c r="AN191" s="26" t="str" cm="1">
        <f t="array" aca="1" ref="AN191" ca="1">IF(ISNUMBER(SEARCH(INDIRECT(ADDRESS(ROW(AN191),MOD(AN$1,4)+1)),AN$2)),$E191,"")</f>
        <v/>
      </c>
      <c r="AO191" s="26" t="str" cm="1">
        <f t="array" aca="1" ref="AO191" ca="1">IF(ISNUMBER(SEARCH(INDIRECT(ADDRESS(ROW(AO191),MOD(AO$1,4)+1)),AO$2)),$E191,"")</f>
        <v/>
      </c>
      <c r="AP191" s="26" t="str" cm="1">
        <f t="array" aca="1" ref="AP191" ca="1">IF(ISNUMBER(SEARCH(INDIRECT(ADDRESS(ROW(AP191),MOD(AP$1,4)+1)),AP$2)),$E191,"")</f>
        <v/>
      </c>
      <c r="AQ191" s="31" t="str" cm="1">
        <f t="array" aca="1" ref="AQ191" ca="1">IF(ISNUMBER(SEARCH(INDIRECT(ADDRESS(ROW(AQ191),MOD(AQ$1,4)+1)),AQ$2)),$E191,"")</f>
        <v/>
      </c>
      <c r="AT191" t="e">
        <f>IF(VLOOKUP($E191,'Formatted NEW'!$B$2:$F$202,5,FALSE)=VLOOKUP($E191,'Formatted NEW'!$B$2:$F$202,8,FALSE),$E191,"")</f>
        <v>#N/A</v>
      </c>
      <c r="AW191" t="e">
        <f>IF(VLOOKUP($E191,'Formatted NEW'!$B$2:$F$202,5,FALSE)=VLOOKUP($E191,'Formatted NEW'!$B$2:$F$202,11,FALSE),$E191,"")</f>
        <v>#N/A</v>
      </c>
      <c r="AZ191" t="e">
        <f>IF(VLOOKUP($E191,'Formatted NEW'!$B$2:$F$202,5,FALSE)=VLOOKUP($E191,'Formatted NEW'!$B$2:$F$202,14,FALSE),$E191,"")</f>
        <v>#N/A</v>
      </c>
      <c r="BC191" t="str">
        <f>VLOOKUP($E191,'Formatted NEW'!$M$2:$T$202,6,FALSE)</f>
        <v>DIAG_BOTH</v>
      </c>
      <c r="BD191" s="26" t="e">
        <f>VLOOKUP(VLOOKUP(VLOOKUP($E191,'Formatted NEW'!$M$2:$O$202,2,FALSE),'Formatted NEW'!$D$2:$F$202,7,FALSE),'Formatted NEW'!$D$2:$O$202,12,FALSE)</f>
        <v>#REF!</v>
      </c>
      <c r="BE191" t="e">
        <f>VLOOKUP($BD191,'Formatted NEW'!$M$2:$T$202,5,FALSE)</f>
        <v>#REF!</v>
      </c>
      <c r="BF191" s="26" t="e">
        <f t="shared" si="9"/>
        <v>#REF!</v>
      </c>
      <c r="BH191">
        <f>VLOOKUP($E191,'Formatted NEW'!$M$2:$T$202,4,FALSE)</f>
        <v>0</v>
      </c>
      <c r="BI191" s="26" t="e">
        <f>VLOOKUP(VLOOKUP(VLOOKUP($E191,'Formatted NEW'!$M$2:$O$202,2,FALSE),'Formatted NEW'!$D$2:$F$202,10,FALSE),'Formatted NEW'!$D$2:$O$202,12,FALSE)</f>
        <v>#REF!</v>
      </c>
      <c r="BJ191" t="e">
        <f>VLOOKUP($BI191,'Formatted NEW'!$M$2:$T$202,3,FALSE)</f>
        <v>#REF!</v>
      </c>
      <c r="BK191" s="26" t="e">
        <f t="shared" si="10"/>
        <v>#REF!</v>
      </c>
    </row>
    <row r="192" spans="1:63" x14ac:dyDescent="0.25">
      <c r="A192" t="str">
        <f>'Formatted NEW'!Q201</f>
        <v>DIAG_BOTH</v>
      </c>
      <c r="B192" t="str">
        <f>'Formatted NEW'!R201</f>
        <v>EMPTY</v>
      </c>
      <c r="C192" t="str">
        <f>'Formatted NEW'!S201</f>
        <v>EMPTY</v>
      </c>
      <c r="D192" t="str">
        <f>'Formatted NEW'!T201</f>
        <v>EMPTY</v>
      </c>
      <c r="E192" s="26">
        <f t="shared" si="11"/>
        <v>188</v>
      </c>
      <c r="H192" s="30" t="str" cm="1">
        <f t="array" aca="1" ref="H192" ca="1">IF(ISNUMBER(SEARCH(INDIRECT(ADDRESS(ROW(H192),MOD(H$1,4)+1)),H$2)),$E192,"")</f>
        <v/>
      </c>
      <c r="I192" s="26" t="str" cm="1">
        <f t="array" aca="1" ref="I192" ca="1">IF(ISNUMBER(SEARCH(INDIRECT(ADDRESS(ROW(I192),MOD(I$1,4)+1)),I$2)),$E192,"")</f>
        <v/>
      </c>
      <c r="J192" s="26" t="str" cm="1">
        <f t="array" aca="1" ref="J192" ca="1">IF(ISNUMBER(SEARCH(INDIRECT(ADDRESS(ROW(J192),MOD(J$1,4)+1)),J$2)),$E192,"")</f>
        <v/>
      </c>
      <c r="K192" s="26" t="str" cm="1">
        <f t="array" aca="1" ref="K192" ca="1">IF(ISNUMBER(SEARCH(INDIRECT(ADDRESS(ROW(K192),MOD(K$1,4)+1)),K$2)),$E192,"")</f>
        <v/>
      </c>
      <c r="L192" s="26" cm="1">
        <f t="array" aca="1" ref="L192" ca="1">IF(ISNUMBER(SEARCH(INDIRECT(ADDRESS(ROW(L192),MOD(L$1,4)+1)),L$2)),$E192,"")</f>
        <v>188</v>
      </c>
      <c r="M192" s="26" t="str" cm="1">
        <f t="array" aca="1" ref="M192" ca="1">IF(ISNUMBER(SEARCH(INDIRECT(ADDRESS(ROW(M192),MOD(M$1,4)+1)),M$2)),$E192,"")</f>
        <v/>
      </c>
      <c r="N192" s="26" t="str" cm="1">
        <f t="array" aca="1" ref="N192" ca="1">IF(ISNUMBER(SEARCH(INDIRECT(ADDRESS(ROW(N192),MOD(N$1,4)+1)),N$2)),$E192,"")</f>
        <v/>
      </c>
      <c r="O192" s="26" t="str" cm="1">
        <f t="array" aca="1" ref="O192" ca="1">IF(ISNUMBER(SEARCH(INDIRECT(ADDRESS(ROW(O192),MOD(O$1,4)+1)),O$2)),$E192,"")</f>
        <v/>
      </c>
      <c r="P192" s="26" t="str" cm="1">
        <f t="array" aca="1" ref="P192" ca="1">IF(ISNUMBER(SEARCH(INDIRECT(ADDRESS(ROW(P192),MOD(P$1,4)+1)),P$2)),$E192,"")</f>
        <v/>
      </c>
      <c r="Q192" s="26" t="str" cm="1">
        <f t="array" aca="1" ref="Q192" ca="1">IF(ISNUMBER(SEARCH(INDIRECT(ADDRESS(ROW(Q192),MOD(Q$1,4)+1)),Q$2)),$E192,"")</f>
        <v/>
      </c>
      <c r="R192" s="26" t="str" cm="1">
        <f t="array" aca="1" ref="R192" ca="1">IF(ISNUMBER(SEARCH(INDIRECT(ADDRESS(ROW(R192),MOD(R$1,4)+1)),R$2)),$E192,"")</f>
        <v/>
      </c>
      <c r="S192" s="26" t="str" cm="1">
        <f t="array" aca="1" ref="S192" ca="1">IF(ISNUMBER(SEARCH(INDIRECT(ADDRESS(ROW(S192),MOD(S$1,4)+1)),S$2)),$E192,"")</f>
        <v/>
      </c>
      <c r="T192" s="26" t="str" cm="1">
        <f t="array" aca="1" ref="T192" ca="1">IF(ISNUMBER(SEARCH(INDIRECT(ADDRESS(ROW(T192),MOD(T$1,4)+1)),T$2)),$E192,"")</f>
        <v/>
      </c>
      <c r="U192" s="26" t="str" cm="1">
        <f t="array" aca="1" ref="U192" ca="1">IF(ISNUMBER(SEARCH(INDIRECT(ADDRESS(ROW(U192),MOD(U$1,4)+1)),U$2)),$E192,"")</f>
        <v/>
      </c>
      <c r="V192" s="26" t="str" cm="1">
        <f t="array" aca="1" ref="V192" ca="1">IF(ISNUMBER(SEARCH(INDIRECT(ADDRESS(ROW(V192),MOD(V$1,4)+1)),V$2)),$E192,"")</f>
        <v/>
      </c>
      <c r="W192" s="26" t="str" cm="1">
        <f t="array" aca="1" ref="W192" ca="1">IF(ISNUMBER(SEARCH(INDIRECT(ADDRESS(ROW(W192),MOD(W$1,4)+1)),W$2)),$E192,"")</f>
        <v/>
      </c>
      <c r="X192" s="26" t="str" cm="1">
        <f t="array" aca="1" ref="X192" ca="1">IF(ISNUMBER(SEARCH(INDIRECT(ADDRESS(ROW(X192),MOD(X$1,4)+1)),X$2)),$E192,"")</f>
        <v/>
      </c>
      <c r="Y192" s="26" t="str" cm="1">
        <f t="array" aca="1" ref="Y192" ca="1">IF(ISNUMBER(SEARCH(INDIRECT(ADDRESS(ROW(Y192),MOD(Y$1,4)+1)),Y$2)),$E192,"")</f>
        <v/>
      </c>
      <c r="Z192" s="26" t="str" cm="1">
        <f t="array" aca="1" ref="Z192" ca="1">IF(ISNUMBER(SEARCH(INDIRECT(ADDRESS(ROW(Z192),MOD(Z$1,4)+1)),Z$2)),$E192,"")</f>
        <v/>
      </c>
      <c r="AA192" s="26" t="str" cm="1">
        <f t="array" aca="1" ref="AA192" ca="1">IF(ISNUMBER(SEARCH(INDIRECT(ADDRESS(ROW(AA192),MOD(AA$1,4)+1)),AA$2)),$E192,"")</f>
        <v/>
      </c>
      <c r="AB192" s="26" t="str" cm="1">
        <f t="array" aca="1" ref="AB192" ca="1">IF(ISNUMBER(SEARCH(INDIRECT(ADDRESS(ROW(AB192),MOD(AB$1,4)+1)),AB$2)),$E192,"")</f>
        <v/>
      </c>
      <c r="AC192" s="26" t="str" cm="1">
        <f t="array" aca="1" ref="AC192" ca="1">IF(ISNUMBER(SEARCH(INDIRECT(ADDRESS(ROW(AC192),MOD(AC$1,4)+1)),AC$2)),$E192,"")</f>
        <v/>
      </c>
      <c r="AD192" s="26" t="str" cm="1">
        <f t="array" aca="1" ref="AD192" ca="1">IF(ISNUMBER(SEARCH(INDIRECT(ADDRESS(ROW(AD192),MOD(AD$1,4)+1)),AD$2)),$E192,"")</f>
        <v/>
      </c>
      <c r="AE192" s="26" t="str" cm="1">
        <f t="array" aca="1" ref="AE192" ca="1">IF(ISNUMBER(SEARCH(INDIRECT(ADDRESS(ROW(AE192),MOD(AE$1,4)+1)),AE$2)),$E192,"")</f>
        <v/>
      </c>
      <c r="AF192" s="26" t="str" cm="1">
        <f t="array" aca="1" ref="AF192" ca="1">IF(ISNUMBER(SEARCH(INDIRECT(ADDRESS(ROW(AF192),MOD(AF$1,4)+1)),AF$2)),$E192,"")</f>
        <v/>
      </c>
      <c r="AG192" s="26" t="str" cm="1">
        <f t="array" aca="1" ref="AG192" ca="1">IF(ISNUMBER(SEARCH(INDIRECT(ADDRESS(ROW(AG192),MOD(AG$1,4)+1)),AG$2)),$E192,"")</f>
        <v/>
      </c>
      <c r="AH192" s="26" t="str" cm="1">
        <f t="array" aca="1" ref="AH192" ca="1">IF(ISNUMBER(SEARCH(INDIRECT(ADDRESS(ROW(AH192),MOD(AH$1,4)+1)),AH$2)),$E192,"")</f>
        <v/>
      </c>
      <c r="AI192" s="26" t="str" cm="1">
        <f t="array" aca="1" ref="AI192" ca="1">IF(ISNUMBER(SEARCH(INDIRECT(ADDRESS(ROW(AI192),MOD(AI$1,4)+1)),AI$2)),$E192,"")</f>
        <v/>
      </c>
      <c r="AJ192" s="26" t="str" cm="1">
        <f t="array" aca="1" ref="AJ192" ca="1">IF(ISNUMBER(SEARCH(INDIRECT(ADDRESS(ROW(AJ192),MOD(AJ$1,4)+1)),AJ$2)),$E192,"")</f>
        <v/>
      </c>
      <c r="AK192" s="26" t="str" cm="1">
        <f t="array" aca="1" ref="AK192" ca="1">IF(ISNUMBER(SEARCH(INDIRECT(ADDRESS(ROW(AK192),MOD(AK$1,4)+1)),AK$2)),$E192,"")</f>
        <v/>
      </c>
      <c r="AL192" s="26" t="str" cm="1">
        <f t="array" aca="1" ref="AL192" ca="1">IF(ISNUMBER(SEARCH(INDIRECT(ADDRESS(ROW(AL192),MOD(AL$1,4)+1)),AL$2)),$E192,"")</f>
        <v/>
      </c>
      <c r="AM192" s="26" t="str" cm="1">
        <f t="array" aca="1" ref="AM192" ca="1">IF(ISNUMBER(SEARCH(INDIRECT(ADDRESS(ROW(AM192),MOD(AM$1,4)+1)),AM$2)),$E192,"")</f>
        <v/>
      </c>
      <c r="AN192" s="26" t="str" cm="1">
        <f t="array" aca="1" ref="AN192" ca="1">IF(ISNUMBER(SEARCH(INDIRECT(ADDRESS(ROW(AN192),MOD(AN$1,4)+1)),AN$2)),$E192,"")</f>
        <v/>
      </c>
      <c r="AO192" s="26" t="str" cm="1">
        <f t="array" aca="1" ref="AO192" ca="1">IF(ISNUMBER(SEARCH(INDIRECT(ADDRESS(ROW(AO192),MOD(AO$1,4)+1)),AO$2)),$E192,"")</f>
        <v/>
      </c>
      <c r="AP192" s="26" t="str" cm="1">
        <f t="array" aca="1" ref="AP192" ca="1">IF(ISNUMBER(SEARCH(INDIRECT(ADDRESS(ROW(AP192),MOD(AP$1,4)+1)),AP$2)),$E192,"")</f>
        <v/>
      </c>
      <c r="AQ192" s="31" t="str" cm="1">
        <f t="array" aca="1" ref="AQ192" ca="1">IF(ISNUMBER(SEARCH(INDIRECT(ADDRESS(ROW(AQ192),MOD(AQ$1,4)+1)),AQ$2)),$E192,"")</f>
        <v/>
      </c>
      <c r="AT192" t="e">
        <f>IF(VLOOKUP($E192,'Formatted NEW'!$B$2:$F$202,5,FALSE)=VLOOKUP($E192,'Formatted NEW'!$B$2:$F$202,8,FALSE),$E192,"")</f>
        <v>#N/A</v>
      </c>
      <c r="AW192" t="e">
        <f>IF(VLOOKUP($E192,'Formatted NEW'!$B$2:$F$202,5,FALSE)=VLOOKUP($E192,'Formatted NEW'!$B$2:$F$202,11,FALSE),$E192,"")</f>
        <v>#N/A</v>
      </c>
      <c r="AZ192" t="e">
        <f>IF(VLOOKUP($E192,'Formatted NEW'!$B$2:$F$202,5,FALSE)=VLOOKUP($E192,'Formatted NEW'!$B$2:$F$202,14,FALSE),$E192,"")</f>
        <v>#N/A</v>
      </c>
      <c r="BC192" t="str">
        <f>VLOOKUP($E192,'Formatted NEW'!$M$2:$T$202,6,FALSE)</f>
        <v>EMPTY</v>
      </c>
      <c r="BD192" s="26" t="e">
        <f>VLOOKUP(VLOOKUP(VLOOKUP($E192,'Formatted NEW'!$M$2:$O$202,2,FALSE),'Formatted NEW'!$D$2:$F$202,7,FALSE),'Formatted NEW'!$D$2:$O$202,12,FALSE)</f>
        <v>#REF!</v>
      </c>
      <c r="BE192" t="e">
        <f>VLOOKUP($BD192,'Formatted NEW'!$M$2:$T$202,5,FALSE)</f>
        <v>#REF!</v>
      </c>
      <c r="BF192" s="26" t="e">
        <f t="shared" si="9"/>
        <v>#REF!</v>
      </c>
      <c r="BH192">
        <f>VLOOKUP($E192,'Formatted NEW'!$M$2:$T$202,4,FALSE)</f>
        <v>0</v>
      </c>
      <c r="BI192" s="26" t="e">
        <f>VLOOKUP(VLOOKUP(VLOOKUP($E192,'Formatted NEW'!$M$2:$O$202,2,FALSE),'Formatted NEW'!$D$2:$F$202,10,FALSE),'Formatted NEW'!$D$2:$O$202,12,FALSE)</f>
        <v>#REF!</v>
      </c>
      <c r="BJ192" t="e">
        <f>VLOOKUP($BI192,'Formatted NEW'!$M$2:$T$202,3,FALSE)</f>
        <v>#REF!</v>
      </c>
      <c r="BK192" s="26" t="e">
        <f t="shared" si="10"/>
        <v>#REF!</v>
      </c>
    </row>
    <row r="193" spans="1:63" ht="15.75" thickBot="1" x14ac:dyDescent="0.3">
      <c r="A193" t="str">
        <f>'Formatted NEW'!Q202</f>
        <v>EMPTY</v>
      </c>
      <c r="B193" t="str">
        <f>'Formatted NEW'!R202</f>
        <v>EMPTY</v>
      </c>
      <c r="C193" t="str">
        <f>'Formatted NEW'!S202</f>
        <v>DIAG_BOTH</v>
      </c>
      <c r="D193" t="str">
        <f>'Formatted NEW'!T202</f>
        <v>EMPTY</v>
      </c>
      <c r="E193" s="26">
        <f t="shared" si="11"/>
        <v>189</v>
      </c>
      <c r="H193" s="32" t="str" cm="1">
        <f t="array" aca="1" ref="H193" ca="1">IF(ISNUMBER(SEARCH(INDIRECT(ADDRESS(ROW(H193),MOD(H$1,4)+1)),H$2)),$E193,"")</f>
        <v/>
      </c>
      <c r="I193" s="33" t="str" cm="1">
        <f t="array" aca="1" ref="I193" ca="1">IF(ISNUMBER(SEARCH(INDIRECT(ADDRESS(ROW(I193),MOD(I$1,4)+1)),I$2)),$E193,"")</f>
        <v/>
      </c>
      <c r="J193" s="33" t="str" cm="1">
        <f t="array" aca="1" ref="J193" ca="1">IF(ISNUMBER(SEARCH(INDIRECT(ADDRESS(ROW(J193),MOD(J$1,4)+1)),J$2)),$E193,"")</f>
        <v/>
      </c>
      <c r="K193" s="33" t="str" cm="1">
        <f t="array" aca="1" ref="K193" ca="1">IF(ISNUMBER(SEARCH(INDIRECT(ADDRESS(ROW(K193),MOD(K$1,4)+1)),K$2)),$E193,"")</f>
        <v/>
      </c>
      <c r="L193" s="33" t="str" cm="1">
        <f t="array" aca="1" ref="L193" ca="1">IF(ISNUMBER(SEARCH(INDIRECT(ADDRESS(ROW(L193),MOD(L$1,4)+1)),L$2)),$E193,"")</f>
        <v/>
      </c>
      <c r="M193" s="33" t="str" cm="1">
        <f t="array" aca="1" ref="M193" ca="1">IF(ISNUMBER(SEARCH(INDIRECT(ADDRESS(ROW(M193),MOD(M$1,4)+1)),M$2)),$E193,"")</f>
        <v/>
      </c>
      <c r="N193" s="33" cm="1">
        <f t="array" aca="1" ref="N193" ca="1">IF(ISNUMBER(SEARCH(INDIRECT(ADDRESS(ROW(N193),MOD(N$1,4)+1)),N$2)),$E193,"")</f>
        <v>189</v>
      </c>
      <c r="O193" s="33" t="str" cm="1">
        <f t="array" aca="1" ref="O193" ca="1">IF(ISNUMBER(SEARCH(INDIRECT(ADDRESS(ROW(O193),MOD(O$1,4)+1)),O$2)),$E193,"")</f>
        <v/>
      </c>
      <c r="P193" s="33" t="str" cm="1">
        <f t="array" aca="1" ref="P193" ca="1">IF(ISNUMBER(SEARCH(INDIRECT(ADDRESS(ROW(P193),MOD(P$1,4)+1)),P$2)),$E193,"")</f>
        <v/>
      </c>
      <c r="Q193" s="33" t="str" cm="1">
        <f t="array" aca="1" ref="Q193" ca="1">IF(ISNUMBER(SEARCH(INDIRECT(ADDRESS(ROW(Q193),MOD(Q$1,4)+1)),Q$2)),$E193,"")</f>
        <v/>
      </c>
      <c r="R193" s="33" t="str" cm="1">
        <f t="array" aca="1" ref="R193" ca="1">IF(ISNUMBER(SEARCH(INDIRECT(ADDRESS(ROW(R193),MOD(R$1,4)+1)),R$2)),$E193,"")</f>
        <v/>
      </c>
      <c r="S193" s="33" t="str" cm="1">
        <f t="array" aca="1" ref="S193" ca="1">IF(ISNUMBER(SEARCH(INDIRECT(ADDRESS(ROW(S193),MOD(S$1,4)+1)),S$2)),$E193,"")</f>
        <v/>
      </c>
      <c r="T193" s="33" t="str" cm="1">
        <f t="array" aca="1" ref="T193" ca="1">IF(ISNUMBER(SEARCH(INDIRECT(ADDRESS(ROW(T193),MOD(T$1,4)+1)),T$2)),$E193,"")</f>
        <v/>
      </c>
      <c r="U193" s="33" t="str" cm="1">
        <f t="array" aca="1" ref="U193" ca="1">IF(ISNUMBER(SEARCH(INDIRECT(ADDRESS(ROW(U193),MOD(U$1,4)+1)),U$2)),$E193,"")</f>
        <v/>
      </c>
      <c r="V193" s="33" t="str" cm="1">
        <f t="array" aca="1" ref="V193" ca="1">IF(ISNUMBER(SEARCH(INDIRECT(ADDRESS(ROW(V193),MOD(V$1,4)+1)),V$2)),$E193,"")</f>
        <v/>
      </c>
      <c r="W193" s="33" t="str" cm="1">
        <f t="array" aca="1" ref="W193" ca="1">IF(ISNUMBER(SEARCH(INDIRECT(ADDRESS(ROW(W193),MOD(W$1,4)+1)),W$2)),$E193,"")</f>
        <v/>
      </c>
      <c r="X193" s="33" t="str" cm="1">
        <f t="array" aca="1" ref="X193" ca="1">IF(ISNUMBER(SEARCH(INDIRECT(ADDRESS(ROW(X193),MOD(X$1,4)+1)),X$2)),$E193,"")</f>
        <v/>
      </c>
      <c r="Y193" s="33" t="str" cm="1">
        <f t="array" aca="1" ref="Y193" ca="1">IF(ISNUMBER(SEARCH(INDIRECT(ADDRESS(ROW(Y193),MOD(Y$1,4)+1)),Y$2)),$E193,"")</f>
        <v/>
      </c>
      <c r="Z193" s="33" t="str" cm="1">
        <f t="array" aca="1" ref="Z193" ca="1">IF(ISNUMBER(SEARCH(INDIRECT(ADDRESS(ROW(Z193),MOD(Z$1,4)+1)),Z$2)),$E193,"")</f>
        <v/>
      </c>
      <c r="AA193" s="33" t="str" cm="1">
        <f t="array" aca="1" ref="AA193" ca="1">IF(ISNUMBER(SEARCH(INDIRECT(ADDRESS(ROW(AA193),MOD(AA$1,4)+1)),AA$2)),$E193,"")</f>
        <v/>
      </c>
      <c r="AB193" s="33" t="str" cm="1">
        <f t="array" aca="1" ref="AB193" ca="1">IF(ISNUMBER(SEARCH(INDIRECT(ADDRESS(ROW(AB193),MOD(AB$1,4)+1)),AB$2)),$E193,"")</f>
        <v/>
      </c>
      <c r="AC193" s="33" t="str" cm="1">
        <f t="array" aca="1" ref="AC193" ca="1">IF(ISNUMBER(SEARCH(INDIRECT(ADDRESS(ROW(AC193),MOD(AC$1,4)+1)),AC$2)),$E193,"")</f>
        <v/>
      </c>
      <c r="AD193" s="33" t="str" cm="1">
        <f t="array" aca="1" ref="AD193" ca="1">IF(ISNUMBER(SEARCH(INDIRECT(ADDRESS(ROW(AD193),MOD(AD$1,4)+1)),AD$2)),$E193,"")</f>
        <v/>
      </c>
      <c r="AE193" s="33" t="str" cm="1">
        <f t="array" aca="1" ref="AE193" ca="1">IF(ISNUMBER(SEARCH(INDIRECT(ADDRESS(ROW(AE193),MOD(AE$1,4)+1)),AE$2)),$E193,"")</f>
        <v/>
      </c>
      <c r="AF193" s="33" t="str" cm="1">
        <f t="array" aca="1" ref="AF193" ca="1">IF(ISNUMBER(SEARCH(INDIRECT(ADDRESS(ROW(AF193),MOD(AF$1,4)+1)),AF$2)),$E193,"")</f>
        <v/>
      </c>
      <c r="AG193" s="33" t="str" cm="1">
        <f t="array" aca="1" ref="AG193" ca="1">IF(ISNUMBER(SEARCH(INDIRECT(ADDRESS(ROW(AG193),MOD(AG$1,4)+1)),AG$2)),$E193,"")</f>
        <v/>
      </c>
      <c r="AH193" s="33" t="str" cm="1">
        <f t="array" aca="1" ref="AH193" ca="1">IF(ISNUMBER(SEARCH(INDIRECT(ADDRESS(ROW(AH193),MOD(AH$1,4)+1)),AH$2)),$E193,"")</f>
        <v/>
      </c>
      <c r="AI193" s="33" t="str" cm="1">
        <f t="array" aca="1" ref="AI193" ca="1">IF(ISNUMBER(SEARCH(INDIRECT(ADDRESS(ROW(AI193),MOD(AI$1,4)+1)),AI$2)),$E193,"")</f>
        <v/>
      </c>
      <c r="AJ193" s="33" t="str" cm="1">
        <f t="array" aca="1" ref="AJ193" ca="1">IF(ISNUMBER(SEARCH(INDIRECT(ADDRESS(ROW(AJ193),MOD(AJ$1,4)+1)),AJ$2)),$E193,"")</f>
        <v/>
      </c>
      <c r="AK193" s="33" t="str" cm="1">
        <f t="array" aca="1" ref="AK193" ca="1">IF(ISNUMBER(SEARCH(INDIRECT(ADDRESS(ROW(AK193),MOD(AK$1,4)+1)),AK$2)),$E193,"")</f>
        <v/>
      </c>
      <c r="AL193" s="33" t="str" cm="1">
        <f t="array" aca="1" ref="AL193" ca="1">IF(ISNUMBER(SEARCH(INDIRECT(ADDRESS(ROW(AL193),MOD(AL$1,4)+1)),AL$2)),$E193,"")</f>
        <v/>
      </c>
      <c r="AM193" s="33" t="str" cm="1">
        <f t="array" aca="1" ref="AM193" ca="1">IF(ISNUMBER(SEARCH(INDIRECT(ADDRESS(ROW(AM193),MOD(AM$1,4)+1)),AM$2)),$E193,"")</f>
        <v/>
      </c>
      <c r="AN193" s="33" t="str" cm="1">
        <f t="array" aca="1" ref="AN193" ca="1">IF(ISNUMBER(SEARCH(INDIRECT(ADDRESS(ROW(AN193),MOD(AN$1,4)+1)),AN$2)),$E193,"")</f>
        <v/>
      </c>
      <c r="AO193" s="33" t="str" cm="1">
        <f t="array" aca="1" ref="AO193" ca="1">IF(ISNUMBER(SEARCH(INDIRECT(ADDRESS(ROW(AO193),MOD(AO$1,4)+1)),AO$2)),$E193,"")</f>
        <v/>
      </c>
      <c r="AP193" s="33" t="str" cm="1">
        <f t="array" aca="1" ref="AP193" ca="1">IF(ISNUMBER(SEARCH(INDIRECT(ADDRESS(ROW(AP193),MOD(AP$1,4)+1)),AP$2)),$E193,"")</f>
        <v/>
      </c>
      <c r="AQ193" s="34" t="str" cm="1">
        <f t="array" aca="1" ref="AQ193" ca="1">IF(ISNUMBER(SEARCH(INDIRECT(ADDRESS(ROW(AQ193),MOD(AQ$1,4)+1)),AQ$2)),$E193,"")</f>
        <v/>
      </c>
      <c r="AT193" t="e">
        <f>IF(VLOOKUP($E193,'Formatted NEW'!$B$2:$F$202,5,FALSE)=VLOOKUP($E193,'Formatted NEW'!$B$2:$F$202,8,FALSE),$E193,"")</f>
        <v>#N/A</v>
      </c>
      <c r="AW193" t="e">
        <f>IF(VLOOKUP($E193,'Formatted NEW'!$B$2:$F$202,5,FALSE)=VLOOKUP($E193,'Formatted NEW'!$B$2:$F$202,11,FALSE),$E193,"")</f>
        <v>#N/A</v>
      </c>
      <c r="AZ193" t="e">
        <f>IF(VLOOKUP($E193,'Formatted NEW'!$B$2:$F$202,5,FALSE)=VLOOKUP($E193,'Formatted NEW'!$B$2:$F$202,14,FALSE),$E193,"")</f>
        <v>#N/A</v>
      </c>
      <c r="BC193" t="str">
        <f>VLOOKUP($E193,'Formatted NEW'!$M$2:$T$202,6,FALSE)</f>
        <v>EMPTY</v>
      </c>
      <c r="BD193" s="26" t="e">
        <f>VLOOKUP(VLOOKUP(VLOOKUP($E193,'Formatted NEW'!$M$2:$O$202,2,FALSE),'Formatted NEW'!$D$2:$F$202,7,FALSE),'Formatted NEW'!$D$2:$O$202,12,FALSE)</f>
        <v>#REF!</v>
      </c>
      <c r="BE193" t="e">
        <f>VLOOKUP($BD193,'Formatted NEW'!$M$2:$T$202,5,FALSE)</f>
        <v>#REF!</v>
      </c>
      <c r="BF193" s="26" t="e">
        <f t="shared" si="9"/>
        <v>#REF!</v>
      </c>
      <c r="BH193">
        <f>VLOOKUP($E193,'Formatted NEW'!$M$2:$T$202,4,FALSE)</f>
        <v>0</v>
      </c>
      <c r="BI193" s="26" t="e">
        <f>VLOOKUP(VLOOKUP(VLOOKUP($E193,'Formatted NEW'!$M$2:$O$202,2,FALSE),'Formatted NEW'!$D$2:$F$202,10,FALSE),'Formatted NEW'!$D$2:$O$202,12,FALSE)</f>
        <v>#REF!</v>
      </c>
      <c r="BJ193" t="e">
        <f>VLOOKUP($BI193,'Formatted NEW'!$M$2:$T$202,3,FALSE)</f>
        <v>#REF!</v>
      </c>
      <c r="BK193" s="26" t="e">
        <f t="shared" si="10"/>
        <v>#REF!</v>
      </c>
    </row>
    <row r="195" spans="1:63" x14ac:dyDescent="0.25">
      <c r="A195" s="35" t="s">
        <v>230</v>
      </c>
      <c r="B195" s="16">
        <f ca="1">MAX(H195:AQ195)</f>
        <v>50</v>
      </c>
      <c r="H195" s="26">
        <f t="shared" ref="H195:AQ195" ca="1" si="12">COUNT(H4:H193)</f>
        <v>0</v>
      </c>
      <c r="I195" s="26">
        <f t="shared" ca="1" si="12"/>
        <v>0</v>
      </c>
      <c r="J195" s="26">
        <f t="shared" ca="1" si="12"/>
        <v>0</v>
      </c>
      <c r="K195" s="26">
        <f t="shared" ca="1" si="12"/>
        <v>0</v>
      </c>
      <c r="L195" s="26">
        <f t="shared" ca="1" si="12"/>
        <v>37</v>
      </c>
      <c r="M195" s="26">
        <f t="shared" ca="1" si="12"/>
        <v>37</v>
      </c>
      <c r="N195" s="26">
        <f t="shared" ca="1" si="12"/>
        <v>37</v>
      </c>
      <c r="O195" s="26">
        <f t="shared" ca="1" si="12"/>
        <v>37</v>
      </c>
      <c r="P195" s="26">
        <f t="shared" ca="1" si="12"/>
        <v>50</v>
      </c>
      <c r="Q195" s="26">
        <f t="shared" ca="1" si="12"/>
        <v>50</v>
      </c>
      <c r="R195" s="26">
        <f t="shared" ca="1" si="12"/>
        <v>50</v>
      </c>
      <c r="S195" s="26">
        <f t="shared" ca="1" si="12"/>
        <v>50</v>
      </c>
      <c r="T195" s="26">
        <f t="shared" ca="1" si="12"/>
        <v>5</v>
      </c>
      <c r="U195" s="26">
        <f t="shared" ca="1" si="12"/>
        <v>5</v>
      </c>
      <c r="V195" s="26">
        <f t="shared" ca="1" si="12"/>
        <v>5</v>
      </c>
      <c r="W195" s="26">
        <f t="shared" ca="1" si="12"/>
        <v>5</v>
      </c>
      <c r="X195" s="26">
        <f t="shared" ca="1" si="12"/>
        <v>5</v>
      </c>
      <c r="Y195" s="26">
        <f t="shared" ca="1" si="12"/>
        <v>5</v>
      </c>
      <c r="Z195" s="26">
        <f t="shared" ca="1" si="12"/>
        <v>5</v>
      </c>
      <c r="AA195" s="26">
        <f t="shared" ca="1" si="12"/>
        <v>5</v>
      </c>
      <c r="AB195" s="26">
        <f t="shared" ca="1" si="12"/>
        <v>0</v>
      </c>
      <c r="AC195" s="26">
        <f t="shared" ca="1" si="12"/>
        <v>0</v>
      </c>
      <c r="AD195" s="26">
        <f t="shared" ca="1" si="12"/>
        <v>0</v>
      </c>
      <c r="AE195" s="26">
        <f t="shared" ca="1" si="12"/>
        <v>0</v>
      </c>
      <c r="AF195" s="26">
        <f t="shared" ca="1" si="12"/>
        <v>0</v>
      </c>
      <c r="AG195" s="26">
        <f t="shared" ca="1" si="12"/>
        <v>0</v>
      </c>
      <c r="AH195" s="26">
        <f t="shared" ca="1" si="12"/>
        <v>0</v>
      </c>
      <c r="AI195" s="26">
        <f t="shared" ca="1" si="12"/>
        <v>0</v>
      </c>
      <c r="AJ195" s="26">
        <f t="shared" ca="1" si="12"/>
        <v>12</v>
      </c>
      <c r="AK195" s="26">
        <f t="shared" ca="1" si="12"/>
        <v>12</v>
      </c>
      <c r="AL195" s="26">
        <f t="shared" ca="1" si="12"/>
        <v>0</v>
      </c>
      <c r="AM195" s="26">
        <f t="shared" ca="1" si="12"/>
        <v>0</v>
      </c>
      <c r="AN195" s="26">
        <f t="shared" ca="1" si="12"/>
        <v>12</v>
      </c>
      <c r="AO195" s="26">
        <f t="shared" ca="1" si="12"/>
        <v>12</v>
      </c>
      <c r="AP195" s="26">
        <f t="shared" ca="1" si="12"/>
        <v>0</v>
      </c>
      <c r="AQ195" s="26">
        <f t="shared" ca="1" si="12"/>
        <v>0</v>
      </c>
      <c r="AT195" t="e">
        <f>$AS$1&amp;AT2&amp; " = { " &amp; _xlfn.TEXTJOIN(", ",TRUE,AT4:AT193) &amp; " };"</f>
        <v>#REF!</v>
      </c>
    </row>
    <row r="196" spans="1:63" x14ac:dyDescent="0.25">
      <c r="A196" t="s">
        <v>231</v>
      </c>
      <c r="AW196" t="e">
        <f>$AS$1&amp;AW2&amp; " = { " &amp; _xlfn.TEXTJOIN(", ",TRUE,AW4:AW193) &amp; " };"</f>
        <v>#REF!</v>
      </c>
    </row>
    <row r="197" spans="1:63" x14ac:dyDescent="0.25">
      <c r="B197" t="str">
        <f t="shared" ref="B197:B205" ca="1" si="13">"{ " &amp; _xlfn.TEXTJOIN(", ",TRUE,H197:AQ197) &amp; " }"</f>
        <v>{ {}, {}, {}, {} }</v>
      </c>
      <c r="H197" t="str">
        <f ca="1">"{" &amp; _xlfn.TEXTJOIN(", ",TRUE,H4:H193) &amp; "}"</f>
        <v>{}</v>
      </c>
      <c r="I197" t="str">
        <f ca="1">"{" &amp; _xlfn.TEXTJOIN(", ",TRUE,I4:I193) &amp; "}"</f>
        <v>{}</v>
      </c>
      <c r="J197" t="str">
        <f ca="1">"{" &amp; _xlfn.TEXTJOIN(", ",TRUE,J4:J193) &amp; "}"</f>
        <v>{}</v>
      </c>
      <c r="K197" t="str">
        <f ca="1">"{" &amp; _xlfn.TEXTJOIN(", ",TRUE,K4:K193) &amp; "}"</f>
        <v>{}</v>
      </c>
      <c r="AZ197" t="e">
        <f>$AS$1&amp;AZ2&amp; " = { " &amp; _xlfn.TEXTJOIN(", ",TRUE,AZ4:AZ193) &amp; " };"</f>
        <v>#REF!</v>
      </c>
    </row>
    <row r="198" spans="1:63" x14ac:dyDescent="0.25">
      <c r="B198" t="str">
        <f t="shared" ca="1" si="13"/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e">
        <f>$AS$1&amp;BC2&amp; " = { " &amp; _xlfn.TEXTJOIN(", ",TRUE,BF4:BF193) &amp; " };"</f>
        <v>#REF!</v>
      </c>
    </row>
    <row r="199" spans="1:63" x14ac:dyDescent="0.25">
      <c r="B199" t="str">
        <f t="shared" ca="1" si="13"/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e">
        <f>$AS$1&amp;BH2&amp; " = { " &amp; _xlfn.TEXTJOIN(", ",TRUE,BK4:BK193) &amp; " };"</f>
        <v>#REF!</v>
      </c>
    </row>
    <row r="200" spans="1:63" x14ac:dyDescent="0.25">
      <c r="B200" t="str">
        <f t="shared" ca="1" si="13"/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t="shared" ca="1" si="13"/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t="shared" ca="1" si="13"/>
        <v>{ {}, {}, {}, {}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{}</v>
      </c>
      <c r="AE202" t="str">
        <f ca="1">"{" &amp; _xlfn.TEXTJOIN(", ",TRUE,AE4:AE193) &amp; "}"</f>
        <v>{}</v>
      </c>
    </row>
    <row r="203" spans="1:63" x14ac:dyDescent="0.25">
      <c r="B203" t="str">
        <f t="shared" ca="1" si="13"/>
        <v>{ {}, {}, {}, {}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{}</v>
      </c>
      <c r="AI203" t="str">
        <f ca="1">"{" &amp; _xlfn.TEXTJOIN(", ",TRUE,AI4:AI193) &amp; "}"</f>
        <v>{}</v>
      </c>
    </row>
    <row r="204" spans="1:63" x14ac:dyDescent="0.25">
      <c r="B204" t="str">
        <f t="shared" ca="1" si="13"/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t="shared" ca="1" si="13"/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87" t="str">
        <f ca="1">A207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87"/>
      <c r="C209" s="87"/>
      <c r="D209" s="87"/>
      <c r="E209" s="87"/>
      <c r="F209" s="87"/>
      <c r="G209" s="87"/>
    </row>
    <row r="210" spans="1:7" ht="22.5" customHeight="1" x14ac:dyDescent="0.25">
      <c r="A210" s="87"/>
      <c r="B210" s="87"/>
      <c r="C210" s="87"/>
      <c r="D210" s="87"/>
      <c r="E210" s="87"/>
      <c r="F210" s="87"/>
      <c r="G210" s="87"/>
    </row>
    <row r="211" spans="1:7" ht="22.5" customHeight="1" x14ac:dyDescent="0.25">
      <c r="A211" s="87"/>
      <c r="B211" s="87"/>
      <c r="C211" s="87"/>
      <c r="D211" s="87"/>
      <c r="E211" s="87"/>
      <c r="F211" s="87"/>
      <c r="G211" s="87"/>
    </row>
    <row r="212" spans="1:7" ht="22.5" customHeight="1" x14ac:dyDescent="0.25">
      <c r="A212" s="87"/>
      <c r="B212" s="87"/>
      <c r="C212" s="87"/>
      <c r="D212" s="87"/>
      <c r="E212" s="87"/>
      <c r="F212" s="87"/>
      <c r="G212" s="87"/>
    </row>
    <row r="213" spans="1:7" ht="22.5" customHeight="1" x14ac:dyDescent="0.25">
      <c r="A213" s="87"/>
      <c r="B213" s="87"/>
      <c r="C213" s="87"/>
      <c r="D213" s="87"/>
      <c r="E213" s="87"/>
      <c r="F213" s="87"/>
      <c r="G213" s="87"/>
    </row>
    <row r="214" spans="1:7" ht="22.5" customHeight="1" x14ac:dyDescent="0.25">
      <c r="A214" s="87"/>
      <c r="B214" s="87"/>
      <c r="C214" s="87"/>
      <c r="D214" s="87"/>
      <c r="E214" s="87"/>
      <c r="F214" s="87"/>
      <c r="G214" s="87"/>
    </row>
    <row r="215" spans="1:7" ht="22.5" customHeight="1" x14ac:dyDescent="0.25">
      <c r="A215" s="87"/>
      <c r="B215" s="87"/>
      <c r="C215" s="87"/>
      <c r="D215" s="87"/>
      <c r="E215" s="87"/>
      <c r="F215" s="87"/>
      <c r="G215" s="87"/>
    </row>
    <row r="216" spans="1:7" ht="22.5" customHeight="1" x14ac:dyDescent="0.25">
      <c r="A216" s="87"/>
      <c r="B216" s="87"/>
      <c r="C216" s="87"/>
      <c r="D216" s="87"/>
      <c r="E216" s="87"/>
      <c r="F216" s="87"/>
      <c r="G216" s="87"/>
    </row>
    <row r="217" spans="1:7" ht="22.5" customHeight="1" x14ac:dyDescent="0.25">
      <c r="A217" s="87"/>
      <c r="B217" s="87"/>
      <c r="C217" s="87"/>
      <c r="D217" s="87"/>
      <c r="E217" s="87"/>
      <c r="F217" s="87"/>
      <c r="G217" s="87"/>
    </row>
    <row r="218" spans="1:7" ht="22.5" customHeight="1" x14ac:dyDescent="0.25">
      <c r="A218" s="87"/>
      <c r="B218" s="87"/>
      <c r="C218" s="87"/>
      <c r="D218" s="87"/>
      <c r="E218" s="87"/>
      <c r="F218" s="87"/>
      <c r="G218" s="87"/>
    </row>
    <row r="219" spans="1:7" ht="22.5" customHeight="1" x14ac:dyDescent="0.25">
      <c r="A219" s="87"/>
      <c r="B219" s="87"/>
      <c r="C219" s="87"/>
      <c r="D219" s="87"/>
      <c r="E219" s="87"/>
      <c r="F219" s="87"/>
      <c r="G219" s="87"/>
    </row>
    <row r="220" spans="1:7" ht="22.5" customHeight="1" x14ac:dyDescent="0.25">
      <c r="A220" s="87"/>
      <c r="B220" s="87"/>
      <c r="C220" s="87"/>
      <c r="D220" s="87"/>
      <c r="E220" s="87"/>
      <c r="F220" s="87"/>
      <c r="G220" s="87"/>
    </row>
    <row r="221" spans="1:7" ht="22.5" customHeight="1" x14ac:dyDescent="0.25">
      <c r="A221" s="87"/>
      <c r="B221" s="87"/>
      <c r="C221" s="87"/>
      <c r="D221" s="87"/>
      <c r="E221" s="87"/>
      <c r="F221" s="87"/>
      <c r="G221" s="87"/>
    </row>
    <row r="222" spans="1:7" ht="22.5" customHeight="1" x14ac:dyDescent="0.25">
      <c r="A222" s="87"/>
      <c r="B222" s="87"/>
      <c r="C222" s="87"/>
      <c r="D222" s="87"/>
      <c r="E222" s="87"/>
      <c r="F222" s="87"/>
      <c r="G222" s="87"/>
    </row>
    <row r="223" spans="1:7" ht="22.5" customHeight="1" x14ac:dyDescent="0.25">
      <c r="A223" s="87"/>
      <c r="B223" s="87"/>
      <c r="C223" s="87"/>
      <c r="D223" s="87"/>
      <c r="E223" s="87"/>
      <c r="F223" s="87"/>
      <c r="G223" s="87"/>
    </row>
    <row r="224" spans="1:7" ht="22.5" customHeight="1" x14ac:dyDescent="0.25">
      <c r="A224" s="87"/>
      <c r="B224" s="87"/>
      <c r="C224" s="87"/>
      <c r="D224" s="87"/>
      <c r="E224" s="87"/>
      <c r="F224" s="87"/>
      <c r="G224" s="87"/>
    </row>
    <row r="225" spans="1:7" ht="22.5" customHeight="1" x14ac:dyDescent="0.25">
      <c r="A225" s="87"/>
      <c r="B225" s="87"/>
      <c r="C225" s="87"/>
      <c r="D225" s="87"/>
      <c r="E225" s="87"/>
      <c r="F225" s="87"/>
      <c r="G225" s="87"/>
    </row>
    <row r="226" spans="1:7" ht="22.5" customHeight="1" x14ac:dyDescent="0.25">
      <c r="A226" s="87"/>
      <c r="B226" s="87"/>
      <c r="C226" s="87"/>
      <c r="D226" s="87"/>
      <c r="E226" s="87"/>
      <c r="F226" s="87"/>
      <c r="G226" s="87"/>
    </row>
    <row r="227" spans="1:7" ht="22.5" customHeight="1" x14ac:dyDescent="0.25">
      <c r="A227" s="87"/>
      <c r="B227" s="87"/>
      <c r="C227" s="87"/>
      <c r="D227" s="87"/>
      <c r="E227" s="87"/>
      <c r="F227" s="87"/>
      <c r="G227" s="87"/>
    </row>
    <row r="228" spans="1:7" ht="22.5" customHeight="1" x14ac:dyDescent="0.25">
      <c r="A228" s="87"/>
      <c r="B228" s="87"/>
      <c r="C228" s="87"/>
      <c r="D228" s="87"/>
      <c r="E228" s="87"/>
      <c r="F228" s="87"/>
      <c r="G228" s="87"/>
    </row>
    <row r="229" spans="1:7" ht="22.5" customHeight="1" x14ac:dyDescent="0.25">
      <c r="A229" s="87"/>
      <c r="B229" s="87"/>
      <c r="C229" s="87"/>
      <c r="D229" s="87"/>
      <c r="E229" s="87"/>
      <c r="F229" s="87"/>
      <c r="G229" s="87"/>
    </row>
    <row r="230" spans="1:7" ht="22.5" customHeight="1" x14ac:dyDescent="0.25">
      <c r="A230" s="87"/>
      <c r="B230" s="87"/>
      <c r="C230" s="87"/>
      <c r="D230" s="87"/>
      <c r="E230" s="87"/>
      <c r="F230" s="87"/>
      <c r="G230" s="87"/>
    </row>
    <row r="231" spans="1:7" ht="22.5" customHeight="1" x14ac:dyDescent="0.25">
      <c r="A231" s="87"/>
      <c r="B231" s="87"/>
      <c r="C231" s="87"/>
      <c r="D231" s="87"/>
      <c r="E231" s="87"/>
      <c r="F231" s="87"/>
      <c r="G231" s="87"/>
    </row>
    <row r="232" spans="1:7" ht="22.5" customHeight="1" x14ac:dyDescent="0.25">
      <c r="A232" s="87"/>
      <c r="B232" s="87"/>
      <c r="C232" s="87"/>
      <c r="D232" s="87"/>
      <c r="E232" s="87"/>
      <c r="F232" s="87"/>
      <c r="G232" s="87"/>
    </row>
    <row r="233" spans="1:7" ht="22.5" customHeight="1" x14ac:dyDescent="0.25">
      <c r="A233" s="87"/>
      <c r="B233" s="87"/>
      <c r="C233" s="87"/>
      <c r="D233" s="87"/>
      <c r="E233" s="87"/>
      <c r="F233" s="87"/>
      <c r="G233" s="87"/>
    </row>
    <row r="234" spans="1:7" ht="22.5" customHeight="1" x14ac:dyDescent="0.25">
      <c r="A234" s="87"/>
      <c r="B234" s="87"/>
      <c r="C234" s="87"/>
      <c r="D234" s="87"/>
      <c r="E234" s="87"/>
      <c r="F234" s="87"/>
      <c r="G234" s="87"/>
    </row>
    <row r="235" spans="1:7" ht="22.5" customHeight="1" x14ac:dyDescent="0.25">
      <c r="A235" s="87"/>
      <c r="B235" s="87"/>
      <c r="C235" s="87"/>
      <c r="D235" s="87"/>
      <c r="E235" s="87"/>
      <c r="F235" s="87"/>
      <c r="G235" s="87"/>
    </row>
    <row r="236" spans="1:7" ht="22.5" customHeight="1" x14ac:dyDescent="0.25">
      <c r="A236" s="87"/>
      <c r="B236" s="87"/>
      <c r="C236" s="87"/>
      <c r="D236" s="87"/>
      <c r="E236" s="87"/>
      <c r="F236" s="87"/>
      <c r="G236" s="87"/>
    </row>
    <row r="237" spans="1:7" ht="22.5" customHeight="1" x14ac:dyDescent="0.25">
      <c r="A237" s="87"/>
      <c r="B237" s="87"/>
      <c r="C237" s="87"/>
      <c r="D237" s="87"/>
      <c r="E237" s="87"/>
      <c r="F237" s="87"/>
      <c r="G237" s="87"/>
    </row>
    <row r="238" spans="1:7" ht="22.5" customHeight="1" x14ac:dyDescent="0.25">
      <c r="A238" s="87"/>
      <c r="B238" s="87"/>
      <c r="C238" s="87"/>
      <c r="D238" s="87"/>
      <c r="E238" s="87"/>
      <c r="F238" s="87"/>
      <c r="G238" s="87"/>
    </row>
    <row r="239" spans="1:7" ht="22.5" customHeight="1" x14ac:dyDescent="0.25">
      <c r="A239" s="87"/>
      <c r="B239" s="87"/>
      <c r="C239" s="87"/>
      <c r="D239" s="87"/>
      <c r="E239" s="87"/>
      <c r="F239" s="87"/>
      <c r="G239" s="87"/>
    </row>
    <row r="240" spans="1:7" ht="22.5" customHeight="1" x14ac:dyDescent="0.25">
      <c r="A240" s="87"/>
      <c r="B240" s="87"/>
      <c r="C240" s="87"/>
      <c r="D240" s="87"/>
      <c r="E240" s="87"/>
      <c r="F240" s="87"/>
      <c r="G240" s="87"/>
    </row>
  </sheetData>
  <mergeCells count="3">
    <mergeCell ref="A209:G240"/>
    <mergeCell ref="BC2:BF2"/>
    <mergeCell ref="BH2:BK2"/>
  </mergeCells>
  <conditionalFormatting sqref="F1">
    <cfRule type="expression" dxfId="17" priority="11">
      <formula>$N2=FALSE</formula>
    </cfRule>
  </conditionalFormatting>
  <conditionalFormatting sqref="F2:F9 BO5:BO7 BO9:BO12">
    <cfRule type="expression" dxfId="16" priority="10">
      <formula>$N4=FALSE</formula>
    </cfRule>
  </conditionalFormatting>
  <conditionalFormatting sqref="BM4">
    <cfRule type="expression" dxfId="15" priority="9">
      <formula>$N5=FALSE</formula>
    </cfRule>
  </conditionalFormatting>
  <conditionalFormatting sqref="BM5:BM12">
    <cfRule type="expression" dxfId="14" priority="8">
      <formula>$N7=FALSE</formula>
    </cfRule>
  </conditionalFormatting>
  <conditionalFormatting sqref="BO4">
    <cfRule type="expression" dxfId="13" priority="7">
      <formula>$N5=FALSE</formula>
    </cfRule>
  </conditionalFormatting>
  <conditionalFormatting sqref="BO7">
    <cfRule type="expression" dxfId="12" priority="12">
      <formula>$N10=FALSE</formula>
    </cfRule>
  </conditionalFormatting>
  <conditionalFormatting sqref="BO8">
    <cfRule type="expression" dxfId="11" priority="6">
      <formula>$N10=FALSE</formula>
    </cfRule>
  </conditionalFormatting>
  <conditionalFormatting sqref="BQ4">
    <cfRule type="expression" dxfId="10" priority="5">
      <formula>$N5=FALSE</formula>
    </cfRule>
  </conditionalFormatting>
  <conditionalFormatting sqref="BQ5:BQ6 BQ9:BQ12">
    <cfRule type="expression" dxfId="9" priority="4">
      <formula>$N7=FALSE</formula>
    </cfRule>
  </conditionalFormatting>
  <conditionalFormatting sqref="BQ7">
    <cfRule type="expression" dxfId="8" priority="2">
      <formula>$N9=FALSE</formula>
    </cfRule>
  </conditionalFormatting>
  <conditionalFormatting sqref="BQ7">
    <cfRule type="expression" dxfId="7" priority="3">
      <formula>$N10=FALSE</formula>
    </cfRule>
  </conditionalFormatting>
  <conditionalFormatting sqref="BQ8">
    <cfRule type="expression" dxfId="6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2021-01-23T09:25:05Z</dcterms:modified>
</cp:coreProperties>
</file>