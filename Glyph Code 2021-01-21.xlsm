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6AB235F0-E259-4470-BD51-CFE5624BD942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</sheets>
  <functionGroups builtInGroupCount="19"/>
  <definedNames>
    <definedName name="_xlnm._FilterDatabase" localSheetId="0" hidden="1">'Formatted NEW'!$W$1:$AS$1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202" i="6" l="1"/>
  <c r="W201" i="6"/>
  <c r="Y200" i="6"/>
  <c r="X200" i="6"/>
  <c r="Y199" i="6"/>
  <c r="W199" i="6"/>
  <c r="Z198" i="6"/>
  <c r="W198" i="6"/>
  <c r="Z197" i="6"/>
  <c r="X197" i="6"/>
  <c r="X196" i="6"/>
  <c r="W196" i="6"/>
  <c r="X195" i="6"/>
  <c r="Z194" i="6"/>
  <c r="Z193" i="6"/>
  <c r="Y193" i="6"/>
  <c r="Z192" i="6"/>
  <c r="W192" i="6"/>
  <c r="Y191" i="6"/>
  <c r="W191" i="6"/>
  <c r="Y190" i="6"/>
  <c r="X190" i="6"/>
  <c r="Z189" i="6"/>
  <c r="X189" i="6"/>
  <c r="Z188" i="6"/>
  <c r="X188" i="6"/>
  <c r="Z187" i="6"/>
  <c r="W187" i="6"/>
  <c r="Y186" i="6"/>
  <c r="W186" i="6"/>
  <c r="Y185" i="6"/>
  <c r="X185" i="6"/>
  <c r="Y184" i="6"/>
  <c r="W184" i="6"/>
  <c r="Z183" i="6"/>
  <c r="W183" i="6"/>
  <c r="Y182" i="6"/>
  <c r="X182" i="6"/>
  <c r="Z181" i="6"/>
  <c r="X181" i="6"/>
  <c r="Y180" i="6"/>
  <c r="W180" i="6"/>
  <c r="Z179" i="6"/>
  <c r="W179" i="6"/>
  <c r="Y178" i="6"/>
  <c r="X178" i="6"/>
  <c r="Z177" i="6"/>
  <c r="X177" i="6"/>
  <c r="X176" i="6"/>
  <c r="W176" i="6"/>
  <c r="X175" i="6"/>
  <c r="W175" i="6"/>
  <c r="Z174" i="6"/>
  <c r="Y174" i="6"/>
  <c r="Z173" i="6"/>
  <c r="Y173" i="6"/>
  <c r="Y172" i="6"/>
  <c r="W172" i="6"/>
  <c r="Z171" i="6"/>
  <c r="W171" i="6"/>
  <c r="Y170" i="6"/>
  <c r="X170" i="6"/>
  <c r="Z169" i="6"/>
  <c r="X169" i="6"/>
  <c r="Y165" i="6"/>
  <c r="W165" i="6"/>
  <c r="Z164" i="6"/>
  <c r="W164" i="6"/>
  <c r="Y163" i="6"/>
  <c r="X163" i="6"/>
  <c r="Z162" i="6"/>
  <c r="X162" i="6"/>
  <c r="Z161" i="6"/>
  <c r="Y161" i="6"/>
  <c r="X161" i="6"/>
  <c r="W161" i="6"/>
  <c r="Z160" i="6"/>
  <c r="Y160" i="6"/>
  <c r="X160" i="6"/>
  <c r="W160" i="6"/>
  <c r="Z159" i="6"/>
  <c r="Y159" i="6"/>
  <c r="X159" i="6"/>
  <c r="W159" i="6"/>
  <c r="Z158" i="6"/>
  <c r="Y158" i="6"/>
  <c r="X158" i="6"/>
  <c r="W158" i="6"/>
  <c r="Z157" i="6"/>
  <c r="Y157" i="6"/>
  <c r="X157" i="6"/>
  <c r="W157" i="6"/>
  <c r="Z156" i="6"/>
  <c r="X156" i="6"/>
  <c r="W156" i="6"/>
  <c r="Z155" i="6"/>
  <c r="Y155" i="6"/>
  <c r="W155" i="6"/>
  <c r="Y154" i="6"/>
  <c r="X154" i="6"/>
  <c r="W154" i="6"/>
  <c r="Z153" i="6"/>
  <c r="Y153" i="6"/>
  <c r="X153" i="6"/>
  <c r="Z152" i="6"/>
  <c r="X152" i="6"/>
  <c r="W152" i="6"/>
  <c r="Z151" i="6"/>
  <c r="Y151" i="6"/>
  <c r="W151" i="6"/>
  <c r="Y150" i="6"/>
  <c r="X150" i="6"/>
  <c r="W150" i="6"/>
  <c r="Z149" i="6"/>
  <c r="Y149" i="6"/>
  <c r="X149" i="6"/>
  <c r="Z148" i="6"/>
  <c r="Y148" i="6"/>
  <c r="Z147" i="6"/>
  <c r="Y147" i="6"/>
  <c r="X146" i="6"/>
  <c r="W146" i="6"/>
  <c r="X145" i="6"/>
  <c r="W145" i="6"/>
  <c r="Y144" i="6"/>
  <c r="W144" i="6"/>
  <c r="Z143" i="6"/>
  <c r="W143" i="6"/>
  <c r="Y142" i="6"/>
  <c r="X142" i="6"/>
  <c r="Z141" i="6"/>
  <c r="X141" i="6"/>
  <c r="Y140" i="6"/>
  <c r="W140" i="6"/>
  <c r="Z139" i="6"/>
  <c r="W139" i="6"/>
  <c r="Y138" i="6"/>
  <c r="X138" i="6"/>
  <c r="Z137" i="6"/>
  <c r="X137" i="6"/>
  <c r="Z136" i="6"/>
  <c r="Y135" i="6"/>
  <c r="X134" i="6"/>
  <c r="W133" i="6"/>
  <c r="Z132" i="6"/>
  <c r="X132" i="6"/>
  <c r="Z131" i="6"/>
  <c r="W131" i="6"/>
  <c r="Y130" i="6"/>
  <c r="W130" i="6"/>
  <c r="Y129" i="6"/>
  <c r="X129" i="6"/>
  <c r="Z128" i="6"/>
  <c r="Y128" i="6"/>
  <c r="X128" i="6"/>
  <c r="Z127" i="6"/>
  <c r="Y127" i="6"/>
  <c r="W127" i="6"/>
  <c r="Y126" i="6"/>
  <c r="X126" i="6"/>
  <c r="W126" i="6"/>
  <c r="Z125" i="6"/>
  <c r="X125" i="6"/>
  <c r="W125" i="6"/>
  <c r="Z124" i="6"/>
  <c r="Y124" i="6"/>
  <c r="X124" i="6"/>
  <c r="Z123" i="6"/>
  <c r="Y123" i="6"/>
  <c r="W123" i="6"/>
  <c r="Y122" i="6"/>
  <c r="X122" i="6"/>
  <c r="W122" i="6"/>
  <c r="Z121" i="6"/>
  <c r="X121" i="6"/>
  <c r="W121" i="6"/>
  <c r="Z120" i="6"/>
  <c r="Y120" i="6"/>
  <c r="X120" i="6"/>
  <c r="W120" i="6"/>
  <c r="Z119" i="6"/>
  <c r="Y119" i="6"/>
  <c r="X119" i="6"/>
  <c r="W119" i="6"/>
  <c r="Z118" i="6"/>
  <c r="Y118" i="6"/>
  <c r="X118" i="6"/>
  <c r="W118" i="6"/>
  <c r="Z117" i="6"/>
  <c r="Y117" i="6"/>
  <c r="X117" i="6"/>
  <c r="W117" i="6"/>
  <c r="Z116" i="6"/>
  <c r="Y116" i="6"/>
  <c r="X116" i="6"/>
  <c r="W116" i="6"/>
  <c r="Z115" i="6"/>
  <c r="Y115" i="6"/>
  <c r="X115" i="6"/>
  <c r="W115" i="6"/>
  <c r="Z114" i="6"/>
  <c r="Y114" i="6"/>
  <c r="X114" i="6"/>
  <c r="W114" i="6"/>
  <c r="Z113" i="6"/>
  <c r="Y113" i="6"/>
  <c r="X113" i="6"/>
  <c r="W113" i="6"/>
  <c r="Z112" i="6"/>
  <c r="X112" i="6"/>
  <c r="Z111" i="6"/>
  <c r="W111" i="6"/>
  <c r="Y110" i="6"/>
  <c r="W110" i="6"/>
  <c r="Y109" i="6"/>
  <c r="X109" i="6"/>
  <c r="Z108" i="6"/>
  <c r="X108" i="6"/>
  <c r="W108" i="6"/>
  <c r="Z107" i="6"/>
  <c r="Y107" i="6"/>
  <c r="W107" i="6"/>
  <c r="Y106" i="6"/>
  <c r="X106" i="6"/>
  <c r="W106" i="6"/>
  <c r="Z105" i="6"/>
  <c r="Y105" i="6"/>
  <c r="X105" i="6"/>
  <c r="Z104" i="6"/>
  <c r="Y104" i="6"/>
  <c r="X104" i="6"/>
  <c r="W104" i="6"/>
  <c r="Z103" i="6"/>
  <c r="Y103" i="6"/>
  <c r="X103" i="6"/>
  <c r="W103" i="6"/>
  <c r="Z102" i="6"/>
  <c r="Y102" i="6"/>
  <c r="X102" i="6"/>
  <c r="W102" i="6"/>
  <c r="Z101" i="6"/>
  <c r="Y101" i="6"/>
  <c r="X101" i="6"/>
  <c r="W101" i="6"/>
  <c r="Z100" i="6"/>
  <c r="Y100" i="6"/>
  <c r="Z99" i="6"/>
  <c r="Y99" i="6"/>
  <c r="X98" i="6"/>
  <c r="W98" i="6"/>
  <c r="X97" i="6"/>
  <c r="W97" i="6"/>
  <c r="X96" i="6"/>
  <c r="W96" i="6"/>
  <c r="Z95" i="6"/>
  <c r="Y95" i="6"/>
  <c r="X95" i="6"/>
  <c r="W95" i="6"/>
  <c r="Z94" i="6"/>
  <c r="Y94" i="6"/>
  <c r="Z93" i="6"/>
  <c r="Y93" i="6"/>
  <c r="X93" i="6"/>
  <c r="W93" i="6"/>
  <c r="Z92" i="6"/>
  <c r="W92" i="6"/>
  <c r="Z91" i="6"/>
  <c r="Y91" i="6"/>
  <c r="W91" i="6"/>
  <c r="Z90" i="6"/>
  <c r="Y90" i="6"/>
  <c r="W90" i="6"/>
  <c r="Z89" i="6"/>
  <c r="Y89" i="6"/>
  <c r="X89" i="6"/>
  <c r="Y88" i="6"/>
  <c r="Z87" i="6"/>
  <c r="X87" i="6"/>
  <c r="W87" i="6"/>
  <c r="Z86" i="6"/>
  <c r="Y86" i="6"/>
  <c r="X86" i="6"/>
  <c r="W86" i="6"/>
  <c r="Z85" i="6"/>
  <c r="Y85" i="6"/>
  <c r="X85" i="6"/>
  <c r="W85" i="6"/>
  <c r="W84" i="6"/>
  <c r="Z83" i="6"/>
  <c r="X83" i="6"/>
  <c r="Y82" i="6"/>
  <c r="W82" i="6"/>
  <c r="Z81" i="6"/>
  <c r="W81" i="6"/>
  <c r="Y80" i="6"/>
  <c r="X80" i="6"/>
  <c r="W80" i="6"/>
  <c r="Z79" i="6"/>
  <c r="Y79" i="6"/>
  <c r="W79" i="6"/>
  <c r="Z78" i="6"/>
  <c r="X78" i="6"/>
  <c r="Z77" i="6"/>
  <c r="Y77" i="6"/>
  <c r="X77" i="6"/>
  <c r="Z76" i="6"/>
  <c r="Y76" i="6"/>
  <c r="X76" i="6"/>
  <c r="Y75" i="6"/>
  <c r="X75" i="6"/>
  <c r="W75" i="6"/>
  <c r="Z74" i="6"/>
  <c r="Y74" i="6"/>
  <c r="X74" i="6"/>
  <c r="W74" i="6"/>
  <c r="Z73" i="6"/>
  <c r="Y73" i="6"/>
  <c r="X73" i="6"/>
  <c r="W73" i="6"/>
  <c r="Z72" i="6"/>
  <c r="Y71" i="6"/>
  <c r="X71" i="6"/>
  <c r="Y70" i="6"/>
  <c r="X70" i="6"/>
  <c r="W70" i="6"/>
  <c r="Y69" i="6"/>
  <c r="W69" i="6"/>
  <c r="Z68" i="6"/>
  <c r="X68" i="6"/>
  <c r="W68" i="6"/>
  <c r="Z67" i="6"/>
  <c r="X67" i="6"/>
  <c r="W67" i="6"/>
  <c r="X66" i="6"/>
  <c r="W66" i="6"/>
  <c r="Z65" i="6"/>
  <c r="Y65" i="6"/>
  <c r="X65" i="6"/>
  <c r="W65" i="6"/>
  <c r="Z64" i="6"/>
  <c r="Y64" i="6"/>
  <c r="X64" i="6"/>
  <c r="W64" i="6"/>
  <c r="Z63" i="6"/>
  <c r="Y63" i="6"/>
  <c r="X62" i="6"/>
  <c r="W62" i="6"/>
  <c r="Z61" i="6"/>
  <c r="Y61" i="6"/>
  <c r="Z60" i="6"/>
  <c r="W60" i="6"/>
  <c r="Z59" i="6"/>
  <c r="Y59" i="6"/>
  <c r="X59" i="6"/>
  <c r="W59" i="6"/>
  <c r="Z58" i="6"/>
  <c r="Y58" i="6"/>
  <c r="W58" i="6"/>
  <c r="Z57" i="6"/>
  <c r="Y57" i="6"/>
  <c r="X57" i="6"/>
  <c r="Y56" i="6"/>
  <c r="Z55" i="6"/>
  <c r="X55" i="6"/>
  <c r="W55" i="6"/>
  <c r="Z54" i="6"/>
  <c r="Y54" i="6"/>
  <c r="W54" i="6"/>
  <c r="Z53" i="6"/>
  <c r="Y53" i="6"/>
  <c r="X53" i="6"/>
  <c r="W53" i="6"/>
  <c r="W52" i="6"/>
  <c r="Z51" i="6"/>
  <c r="X51" i="6"/>
  <c r="Y50" i="6"/>
  <c r="W50" i="6"/>
  <c r="Z49" i="6"/>
  <c r="W49" i="6"/>
  <c r="Z48" i="6"/>
  <c r="Y48" i="6"/>
  <c r="X48" i="6"/>
  <c r="W48" i="6"/>
  <c r="Z47" i="6"/>
  <c r="Y47" i="6"/>
  <c r="W47" i="6"/>
  <c r="Z46" i="6"/>
  <c r="X46" i="6"/>
  <c r="Z45" i="6"/>
  <c r="Y45" i="6"/>
  <c r="X45" i="6"/>
  <c r="Z44" i="6"/>
  <c r="Y44" i="6"/>
  <c r="X44" i="6"/>
  <c r="Y43" i="6"/>
  <c r="X43" i="6"/>
  <c r="W43" i="6"/>
  <c r="Y42" i="6"/>
  <c r="X42" i="6"/>
  <c r="W42" i="6"/>
  <c r="Z41" i="6"/>
  <c r="X41" i="6"/>
  <c r="W41" i="6"/>
  <c r="Z40" i="6"/>
  <c r="Y39" i="6"/>
  <c r="X39" i="6"/>
  <c r="Y38" i="6"/>
  <c r="X38" i="6"/>
  <c r="W38" i="6"/>
  <c r="Y37" i="6"/>
  <c r="W37" i="6"/>
  <c r="Z36" i="6"/>
  <c r="Y36" i="6"/>
  <c r="X36" i="6"/>
  <c r="W36" i="6"/>
  <c r="Z35" i="6"/>
  <c r="X35" i="6"/>
  <c r="W35" i="6"/>
  <c r="X34" i="6"/>
  <c r="W34" i="6"/>
  <c r="Y33" i="6"/>
  <c r="W33" i="6"/>
  <c r="Z32" i="6"/>
  <c r="W32" i="6"/>
  <c r="X31" i="6"/>
  <c r="W31" i="6"/>
  <c r="Z30" i="6"/>
  <c r="Y30" i="6"/>
  <c r="W30" i="6"/>
  <c r="Y29" i="6"/>
  <c r="X29" i="6"/>
  <c r="Y28" i="6"/>
  <c r="X28" i="6"/>
  <c r="Z27" i="6"/>
  <c r="X27" i="6"/>
  <c r="Y26" i="6"/>
  <c r="X26" i="6"/>
  <c r="W26" i="6"/>
  <c r="Z25" i="6"/>
  <c r="X25" i="6"/>
  <c r="W25" i="6"/>
  <c r="Z24" i="6"/>
  <c r="Y24" i="6"/>
  <c r="X24" i="6"/>
  <c r="Z23" i="6"/>
  <c r="Y23" i="6"/>
  <c r="X23" i="6"/>
  <c r="W23" i="6"/>
  <c r="X22" i="6"/>
  <c r="Z21" i="6"/>
  <c r="Y21" i="6"/>
  <c r="X21" i="6"/>
  <c r="W21" i="6"/>
  <c r="Z20" i="6"/>
  <c r="Y20" i="6"/>
  <c r="X20" i="6"/>
  <c r="W20" i="6"/>
  <c r="Z19" i="6"/>
  <c r="Y19" i="6"/>
  <c r="Y18" i="6"/>
  <c r="X18" i="6"/>
  <c r="Y17" i="6"/>
  <c r="W17" i="6"/>
  <c r="Z16" i="6"/>
  <c r="W16" i="6"/>
  <c r="X15" i="6"/>
  <c r="W15" i="6"/>
  <c r="Z14" i="6"/>
  <c r="Y14" i="6"/>
  <c r="W14" i="6"/>
  <c r="Z13" i="6"/>
  <c r="Y13" i="6"/>
  <c r="X13" i="6"/>
  <c r="W13" i="6"/>
  <c r="Y12" i="6"/>
  <c r="X12" i="6"/>
  <c r="W12" i="6"/>
  <c r="Y11" i="6"/>
  <c r="X11" i="6"/>
  <c r="Z10" i="6"/>
  <c r="X10" i="6"/>
  <c r="Z9" i="6"/>
  <c r="Y9" i="6"/>
  <c r="X9" i="6"/>
  <c r="W9" i="6"/>
  <c r="Z8" i="6"/>
  <c r="X8" i="6"/>
  <c r="W8" i="6"/>
  <c r="Z7" i="6"/>
  <c r="Y7" i="6"/>
  <c r="X7" i="6"/>
  <c r="X6" i="6"/>
  <c r="Z5" i="6"/>
  <c r="Y5" i="6"/>
  <c r="Z4" i="6"/>
  <c r="Y4" i="6"/>
  <c r="X4" i="6"/>
  <c r="W4" i="6"/>
  <c r="Z3" i="6"/>
  <c r="Y3" i="6"/>
  <c r="T3" i="6" l="1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" i="6"/>
  <c r="B2" i="6"/>
  <c r="R2" i="6" s="1"/>
  <c r="U106" i="6" a="1"/>
  <c r="U180" i="6" a="1"/>
  <c r="U90" i="6" a="1"/>
  <c r="U192" i="6" a="1"/>
  <c r="U86" i="6" a="1"/>
  <c r="U54" i="6" a="1"/>
  <c r="U142" i="6" a="1"/>
  <c r="U58" i="6" a="1"/>
  <c r="U119" i="6" a="1"/>
  <c r="U78" i="6" a="1"/>
  <c r="U44" i="6" a="1"/>
  <c r="U96" i="6" a="1"/>
  <c r="U194" i="6" a="1"/>
  <c r="U4" i="6" a="1"/>
  <c r="U196" i="6" a="1"/>
  <c r="U151" i="6" a="1"/>
  <c r="U109" i="6" a="1"/>
  <c r="U111" i="6" a="1"/>
  <c r="U71" i="6" a="1"/>
  <c r="U94" i="6" a="1"/>
  <c r="U152" i="6" a="1"/>
  <c r="U89" i="6" a="1"/>
  <c r="U79" i="6" a="1"/>
  <c r="U115" i="6" a="1"/>
  <c r="U48" i="6" a="1"/>
  <c r="U188" i="6" a="1"/>
  <c r="U60" i="6" a="1"/>
  <c r="U84" i="6" a="1"/>
  <c r="U63" i="6" a="1"/>
  <c r="U157" i="6" a="1"/>
  <c r="U156" i="6" a="1"/>
  <c r="U104" i="6" a="1"/>
  <c r="U114" i="6" a="1"/>
  <c r="U92" i="6" a="1"/>
  <c r="U95" i="6" a="1"/>
  <c r="U199" i="6" a="1"/>
  <c r="U6" i="6" a="1"/>
  <c r="U185" i="6" a="1"/>
  <c r="U153" i="6" a="1"/>
  <c r="U2" i="6" a="1"/>
  <c r="U171" i="6" a="1"/>
  <c r="U124" i="6" a="1"/>
  <c r="U121" i="6" a="1"/>
  <c r="U37" i="6" a="1"/>
  <c r="U160" i="6" a="1"/>
  <c r="U97" i="6" a="1"/>
  <c r="U140" i="6" a="1"/>
  <c r="U131" i="6" a="1"/>
  <c r="U34" i="6" a="1"/>
  <c r="U147" i="6" a="1"/>
  <c r="U16" i="6" a="1"/>
  <c r="U158" i="6" a="1"/>
  <c r="U67" i="6" a="1"/>
  <c r="U73" i="6" a="1"/>
  <c r="U81" i="6" a="1"/>
  <c r="U36" i="6" a="1"/>
  <c r="U23" i="6" a="1"/>
  <c r="U168" i="6" a="1"/>
  <c r="U110" i="6" a="1"/>
  <c r="U177" i="6" a="1"/>
  <c r="U146" i="6" a="1"/>
  <c r="U50" i="6" a="1"/>
  <c r="U120" i="6" a="1"/>
  <c r="U101" i="6" a="1"/>
  <c r="U24" i="6" a="1"/>
  <c r="U57" i="6" a="1"/>
  <c r="U70" i="6" a="1"/>
  <c r="U7" i="6" a="1"/>
  <c r="U35" i="6" a="1"/>
  <c r="U175" i="6" a="1"/>
  <c r="U14" i="6" a="1"/>
  <c r="U66" i="6" a="1"/>
  <c r="U117" i="6" a="1"/>
  <c r="U178" i="6" a="1"/>
  <c r="U28" i="6" a="1"/>
  <c r="U137" i="6" a="1"/>
  <c r="U102" i="6" a="1"/>
  <c r="U130" i="6" a="1"/>
  <c r="U76" i="6" a="1"/>
  <c r="U108" i="6" a="1"/>
  <c r="U10" i="6" a="1"/>
  <c r="U200" i="6" a="1"/>
  <c r="U132" i="6" a="1"/>
  <c r="U116" i="6" a="1"/>
  <c r="U133" i="6" a="1"/>
  <c r="U184" i="6" a="1"/>
  <c r="U127" i="6" a="1"/>
  <c r="U141" i="6" a="1"/>
  <c r="U38" i="6" a="1"/>
  <c r="U126" i="6" a="1"/>
  <c r="U161" i="6" a="1"/>
  <c r="U56" i="6" a="1"/>
  <c r="U17" i="6" a="1"/>
  <c r="U85" i="6" a="1"/>
  <c r="U103" i="6" a="1"/>
  <c r="U62" i="6" a="1"/>
  <c r="U55" i="6" a="1"/>
  <c r="U122" i="6" a="1"/>
  <c r="U40" i="6" a="1"/>
  <c r="U163" i="6" a="1"/>
  <c r="U149" i="6" a="1"/>
  <c r="U42" i="6" a="1"/>
  <c r="U201" i="6" a="1"/>
  <c r="U165" i="6" a="1"/>
  <c r="U32" i="6" a="1"/>
  <c r="U77" i="6" a="1"/>
  <c r="U30" i="6" a="1"/>
  <c r="U18" i="6" a="1"/>
  <c r="U136" i="6" a="1"/>
  <c r="U43" i="6" a="1"/>
  <c r="U112" i="6" a="1"/>
  <c r="U169" i="6" a="1"/>
  <c r="U150" i="6" a="1"/>
  <c r="U198" i="6" a="1"/>
  <c r="U52" i="6" a="1"/>
  <c r="U139" i="6" a="1"/>
  <c r="U9" i="6" a="1"/>
  <c r="U135" i="6" a="1"/>
  <c r="U148" i="6" a="1"/>
  <c r="U189" i="6" a="1"/>
  <c r="U5" i="6" a="1"/>
  <c r="U68" i="6" a="1"/>
  <c r="U75" i="6" a="1"/>
  <c r="U19" i="6" a="1"/>
  <c r="U166" i="6" a="1"/>
  <c r="U125" i="6" a="1"/>
  <c r="U145" i="6" a="1"/>
  <c r="U91" i="6" a="1"/>
  <c r="U179" i="6" a="1"/>
  <c r="U118" i="6" a="1"/>
  <c r="U88" i="6" a="1"/>
  <c r="U53" i="6" a="1"/>
  <c r="U15" i="6" a="1"/>
  <c r="U134" i="6" a="1"/>
  <c r="U167" i="6" a="1"/>
  <c r="U83" i="6" a="1"/>
  <c r="U33" i="6" a="1"/>
  <c r="U21" i="6" a="1"/>
  <c r="U186" i="6" a="1"/>
  <c r="U105" i="6" a="1"/>
  <c r="U128" i="6" a="1"/>
  <c r="U74" i="6" a="1"/>
  <c r="U172" i="6" a="1"/>
  <c r="U8" i="6" a="1"/>
  <c r="U64" i="6" a="1"/>
  <c r="U27" i="6" a="1"/>
  <c r="U51" i="6" a="1"/>
  <c r="U170" i="6" a="1"/>
  <c r="U11" i="6" a="1"/>
  <c r="U191" i="6" a="1"/>
  <c r="U49" i="6" a="1"/>
  <c r="U176" i="6" a="1"/>
  <c r="U82" i="6" a="1"/>
  <c r="U195" i="6" a="1"/>
  <c r="U129" i="6" a="1"/>
  <c r="U123" i="6" a="1"/>
  <c r="U25" i="6" a="1"/>
  <c r="U155" i="6" a="1"/>
  <c r="U113" i="6" a="1"/>
  <c r="U39" i="6" a="1"/>
  <c r="U164" i="6" a="1"/>
  <c r="U3" i="6" a="1"/>
  <c r="U69" i="6" a="1"/>
  <c r="U59" i="6" a="1"/>
  <c r="U22" i="6" a="1"/>
  <c r="U202" i="6" a="1"/>
  <c r="U26" i="6" a="1"/>
  <c r="U98" i="6" a="1"/>
  <c r="U31" i="6" a="1"/>
  <c r="U47" i="6" a="1"/>
  <c r="U144" i="6" a="1"/>
  <c r="U29" i="6" a="1"/>
  <c r="U154" i="6" a="1"/>
  <c r="U65" i="6" a="1"/>
  <c r="U41" i="6" a="1"/>
  <c r="U20" i="6" a="1"/>
  <c r="U100" i="6" a="1"/>
  <c r="U187" i="6" a="1"/>
  <c r="U61" i="6" a="1"/>
  <c r="U93" i="6" a="1"/>
  <c r="U159" i="6" a="1"/>
  <c r="U190" i="6" a="1"/>
  <c r="U80" i="6" a="1"/>
  <c r="U193" i="6" a="1"/>
  <c r="U12" i="6" a="1"/>
  <c r="U107" i="6" a="1"/>
  <c r="U138" i="6" a="1"/>
  <c r="U183" i="6" a="1"/>
  <c r="U173" i="6" a="1"/>
  <c r="U182" i="6" a="1"/>
  <c r="U87" i="6" a="1"/>
  <c r="U72" i="6" a="1"/>
  <c r="U46" i="6" a="1"/>
  <c r="U99" i="6" a="1"/>
  <c r="U181" i="6" a="1"/>
  <c r="U13" i="6" a="1"/>
  <c r="U45" i="6" a="1"/>
  <c r="U197" i="6" a="1"/>
  <c r="U143" i="6" a="1"/>
  <c r="U174" i="6" a="1"/>
  <c r="U162" i="6" a="1"/>
  <c r="L2" i="6" l="1" a="1"/>
  <c r="L2" i="6" s="1"/>
  <c r="M2" i="6" s="1" a="1"/>
  <c r="M2" i="6" s="1"/>
  <c r="BQ2" i="6" s="1"/>
  <c r="N2" i="6" a="1"/>
  <c r="N2" i="6" s="1"/>
  <c r="O2" i="6" s="1" a="1"/>
  <c r="O2" i="6" s="1"/>
  <c r="BR2" i="6" s="1"/>
  <c r="K2" i="6" a="1"/>
  <c r="K2" i="6" s="1"/>
  <c r="BP2" i="6" s="1"/>
  <c r="I2" i="6" a="1"/>
  <c r="I2" i="6" s="1"/>
  <c r="BO2" i="6" s="1"/>
  <c r="G2" i="6" a="1"/>
  <c r="G2" i="6" s="1"/>
  <c r="BN2" i="6" s="1"/>
  <c r="E2" i="6" a="1"/>
  <c r="E2" i="6" s="1"/>
  <c r="BM2" i="6" s="1"/>
  <c r="C2" i="6" a="1"/>
  <c r="C2" i="6" s="1"/>
  <c r="U176" i="6"/>
  <c r="U146" i="6"/>
  <c r="U116" i="6"/>
  <c r="U86" i="6"/>
  <c r="U56" i="6"/>
  <c r="U32" i="6"/>
  <c r="U199" i="6"/>
  <c r="U169" i="6"/>
  <c r="U145" i="6"/>
  <c r="U115" i="6"/>
  <c r="U79" i="6"/>
  <c r="U49" i="6"/>
  <c r="U19" i="6"/>
  <c r="U198" i="6"/>
  <c r="U174" i="6"/>
  <c r="U156" i="6"/>
  <c r="U132" i="6"/>
  <c r="U126" i="6"/>
  <c r="U114" i="6"/>
  <c r="U90" i="6"/>
  <c r="U84" i="6"/>
  <c r="U78" i="6"/>
  <c r="U72" i="6"/>
  <c r="U66" i="6"/>
  <c r="U60" i="6"/>
  <c r="U54" i="6"/>
  <c r="U48" i="6"/>
  <c r="U42" i="6"/>
  <c r="U36" i="6"/>
  <c r="U30" i="6"/>
  <c r="U24" i="6"/>
  <c r="U18" i="6"/>
  <c r="U12" i="6"/>
  <c r="U6" i="6"/>
  <c r="U182" i="6"/>
  <c r="U152" i="6"/>
  <c r="U122" i="6"/>
  <c r="U92" i="6"/>
  <c r="U62" i="6"/>
  <c r="U26" i="6"/>
  <c r="U193" i="6"/>
  <c r="U163" i="6"/>
  <c r="U133" i="6"/>
  <c r="U103" i="6"/>
  <c r="U73" i="6"/>
  <c r="U31" i="6"/>
  <c r="U162" i="6"/>
  <c r="U120" i="6"/>
  <c r="U185" i="6"/>
  <c r="U161" i="6"/>
  <c r="U131" i="6"/>
  <c r="U101" i="6"/>
  <c r="U83" i="6"/>
  <c r="U59" i="6"/>
  <c r="U41" i="6"/>
  <c r="U23" i="6"/>
  <c r="U5" i="6"/>
  <c r="U200" i="6"/>
  <c r="U170" i="6"/>
  <c r="U140" i="6"/>
  <c r="U110" i="6"/>
  <c r="U80" i="6"/>
  <c r="U50" i="6"/>
  <c r="U14" i="6"/>
  <c r="U175" i="6"/>
  <c r="U139" i="6"/>
  <c r="U109" i="6"/>
  <c r="U85" i="6"/>
  <c r="U55" i="6"/>
  <c r="U25" i="6"/>
  <c r="U180" i="6"/>
  <c r="U150" i="6"/>
  <c r="U108" i="6"/>
  <c r="U179" i="6"/>
  <c r="U143" i="6"/>
  <c r="U119" i="6"/>
  <c r="U95" i="6"/>
  <c r="U77" i="6"/>
  <c r="U53" i="6"/>
  <c r="U29" i="6"/>
  <c r="U11" i="6"/>
  <c r="U190" i="6"/>
  <c r="U184" i="6"/>
  <c r="U178" i="6"/>
  <c r="U172" i="6"/>
  <c r="U166" i="6"/>
  <c r="U160" i="6"/>
  <c r="U154" i="6"/>
  <c r="U148" i="6"/>
  <c r="U142" i="6"/>
  <c r="U136" i="6"/>
  <c r="U130" i="6"/>
  <c r="U124" i="6"/>
  <c r="U118" i="6"/>
  <c r="U112" i="6"/>
  <c r="U106" i="6"/>
  <c r="U100" i="6"/>
  <c r="U94" i="6"/>
  <c r="U88" i="6"/>
  <c r="U82" i="6"/>
  <c r="U76" i="6"/>
  <c r="U70" i="6"/>
  <c r="U64" i="6"/>
  <c r="U58" i="6"/>
  <c r="U52" i="6"/>
  <c r="U46" i="6"/>
  <c r="U40" i="6"/>
  <c r="U34" i="6"/>
  <c r="U28" i="6"/>
  <c r="U22" i="6"/>
  <c r="U16" i="6"/>
  <c r="U10" i="6"/>
  <c r="U4" i="6"/>
  <c r="U188" i="6"/>
  <c r="U158" i="6"/>
  <c r="U128" i="6"/>
  <c r="U98" i="6"/>
  <c r="U68" i="6"/>
  <c r="U44" i="6"/>
  <c r="U20" i="6"/>
  <c r="U181" i="6"/>
  <c r="U151" i="6"/>
  <c r="U121" i="6"/>
  <c r="U91" i="6"/>
  <c r="U61" i="6"/>
  <c r="U37" i="6"/>
  <c r="U13" i="6"/>
  <c r="U192" i="6"/>
  <c r="U168" i="6"/>
  <c r="U138" i="6"/>
  <c r="U102" i="6"/>
  <c r="U197" i="6"/>
  <c r="U173" i="6"/>
  <c r="U155" i="6"/>
  <c r="U137" i="6"/>
  <c r="U113" i="6"/>
  <c r="U65" i="6"/>
  <c r="U196" i="6"/>
  <c r="U194" i="6"/>
  <c r="U164" i="6"/>
  <c r="U134" i="6"/>
  <c r="U104" i="6"/>
  <c r="U74" i="6"/>
  <c r="U38" i="6"/>
  <c r="U8" i="6"/>
  <c r="U187" i="6"/>
  <c r="U157" i="6"/>
  <c r="U127" i="6"/>
  <c r="U97" i="6"/>
  <c r="U67" i="6"/>
  <c r="U43" i="6"/>
  <c r="U7" i="6"/>
  <c r="U186" i="6"/>
  <c r="U144" i="6"/>
  <c r="U96" i="6"/>
  <c r="U191" i="6"/>
  <c r="U167" i="6"/>
  <c r="U149" i="6"/>
  <c r="U125" i="6"/>
  <c r="U107" i="6"/>
  <c r="U89" i="6"/>
  <c r="U71" i="6"/>
  <c r="U47" i="6"/>
  <c r="U35" i="6"/>
  <c r="U17" i="6"/>
  <c r="U202" i="6"/>
  <c r="U201" i="6"/>
  <c r="U195" i="6"/>
  <c r="U189" i="6"/>
  <c r="U183" i="6"/>
  <c r="U177" i="6"/>
  <c r="U171" i="6"/>
  <c r="U165" i="6"/>
  <c r="U159" i="6"/>
  <c r="U153" i="6"/>
  <c r="U147" i="6"/>
  <c r="U141" i="6"/>
  <c r="U135" i="6"/>
  <c r="U129" i="6"/>
  <c r="U123" i="6"/>
  <c r="U117" i="6"/>
  <c r="U111" i="6"/>
  <c r="U105" i="6"/>
  <c r="U99" i="6"/>
  <c r="U93" i="6"/>
  <c r="U87" i="6"/>
  <c r="U81" i="6"/>
  <c r="U75" i="6"/>
  <c r="U69" i="6"/>
  <c r="U63" i="6"/>
  <c r="U57" i="6"/>
  <c r="U51" i="6"/>
  <c r="U45" i="6"/>
  <c r="U39" i="6"/>
  <c r="U33" i="6"/>
  <c r="U27" i="6"/>
  <c r="U21" i="6"/>
  <c r="U15" i="6"/>
  <c r="U9" i="6"/>
  <c r="U3" i="6"/>
  <c r="U2" i="6"/>
  <c r="B15" i="6"/>
  <c r="R15" i="6" s="1"/>
  <c r="B16" i="6"/>
  <c r="R16" i="6" s="1"/>
  <c r="B17" i="6"/>
  <c r="R17" i="6" s="1"/>
  <c r="B18" i="6"/>
  <c r="R18" i="6" s="1"/>
  <c r="B19" i="6"/>
  <c r="R19" i="6" s="1"/>
  <c r="B20" i="6"/>
  <c r="R20" i="6" s="1"/>
  <c r="B21" i="6"/>
  <c r="R21" i="6" s="1"/>
  <c r="B22" i="6"/>
  <c r="R22" i="6" s="1"/>
  <c r="B23" i="6"/>
  <c r="R23" i="6" s="1"/>
  <c r="B24" i="6"/>
  <c r="R24" i="6" s="1"/>
  <c r="B25" i="6"/>
  <c r="R25" i="6" s="1"/>
  <c r="B26" i="6"/>
  <c r="R26" i="6" s="1"/>
  <c r="B27" i="6"/>
  <c r="R27" i="6" s="1"/>
  <c r="B28" i="6"/>
  <c r="R28" i="6" s="1"/>
  <c r="B29" i="6"/>
  <c r="R29" i="6" s="1"/>
  <c r="B30" i="6"/>
  <c r="R30" i="6" s="1"/>
  <c r="B31" i="6"/>
  <c r="R31" i="6" s="1"/>
  <c r="B32" i="6"/>
  <c r="R32" i="6" s="1"/>
  <c r="B33" i="6"/>
  <c r="R33" i="6" s="1"/>
  <c r="B34" i="6"/>
  <c r="R34" i="6" s="1"/>
  <c r="B35" i="6"/>
  <c r="R35" i="6" s="1"/>
  <c r="B36" i="6"/>
  <c r="R36" i="6" s="1"/>
  <c r="B37" i="6"/>
  <c r="R37" i="6" s="1"/>
  <c r="B38" i="6"/>
  <c r="R38" i="6" s="1"/>
  <c r="B39" i="6"/>
  <c r="R39" i="6" s="1"/>
  <c r="B40" i="6"/>
  <c r="R40" i="6" s="1"/>
  <c r="B41" i="6"/>
  <c r="R41" i="6" s="1"/>
  <c r="B42" i="6"/>
  <c r="R42" i="6" s="1"/>
  <c r="B43" i="6"/>
  <c r="R43" i="6" s="1"/>
  <c r="B44" i="6"/>
  <c r="R44" i="6" s="1"/>
  <c r="B45" i="6"/>
  <c r="R45" i="6" s="1"/>
  <c r="B46" i="6"/>
  <c r="R46" i="6" s="1"/>
  <c r="B47" i="6"/>
  <c r="R47" i="6" s="1"/>
  <c r="B48" i="6"/>
  <c r="R48" i="6" s="1"/>
  <c r="B49" i="6"/>
  <c r="R49" i="6" s="1"/>
  <c r="B50" i="6"/>
  <c r="R50" i="6" s="1"/>
  <c r="B51" i="6"/>
  <c r="R51" i="6" s="1"/>
  <c r="B52" i="6"/>
  <c r="R52" i="6" s="1"/>
  <c r="B53" i="6"/>
  <c r="R53" i="6" s="1"/>
  <c r="B54" i="6"/>
  <c r="R54" i="6" s="1"/>
  <c r="B55" i="6"/>
  <c r="R55" i="6" s="1"/>
  <c r="B56" i="6"/>
  <c r="R56" i="6" s="1"/>
  <c r="B57" i="6"/>
  <c r="R57" i="6" s="1"/>
  <c r="B58" i="6"/>
  <c r="R58" i="6" s="1"/>
  <c r="B59" i="6"/>
  <c r="R59" i="6" s="1"/>
  <c r="B60" i="6"/>
  <c r="R60" i="6" s="1"/>
  <c r="B61" i="6"/>
  <c r="R61" i="6" s="1"/>
  <c r="B62" i="6"/>
  <c r="R62" i="6" s="1"/>
  <c r="B63" i="6"/>
  <c r="R63" i="6" s="1"/>
  <c r="B64" i="6"/>
  <c r="R64" i="6" s="1"/>
  <c r="B65" i="6"/>
  <c r="R65" i="6" s="1"/>
  <c r="B66" i="6"/>
  <c r="R66" i="6" s="1"/>
  <c r="B67" i="6"/>
  <c r="R67" i="6" s="1"/>
  <c r="B68" i="6"/>
  <c r="R68" i="6" s="1"/>
  <c r="B69" i="6"/>
  <c r="R69" i="6" s="1"/>
  <c r="B70" i="6"/>
  <c r="R70" i="6" s="1"/>
  <c r="B71" i="6"/>
  <c r="R71" i="6" s="1"/>
  <c r="B72" i="6"/>
  <c r="R72" i="6" s="1"/>
  <c r="B73" i="6"/>
  <c r="R73" i="6" s="1"/>
  <c r="B74" i="6"/>
  <c r="R74" i="6" s="1"/>
  <c r="B75" i="6"/>
  <c r="R75" i="6" s="1"/>
  <c r="B76" i="6"/>
  <c r="R76" i="6" s="1"/>
  <c r="B77" i="6"/>
  <c r="R77" i="6" s="1"/>
  <c r="B78" i="6"/>
  <c r="R78" i="6" s="1"/>
  <c r="B79" i="6"/>
  <c r="R79" i="6" s="1"/>
  <c r="B80" i="6"/>
  <c r="R80" i="6" s="1"/>
  <c r="B81" i="6"/>
  <c r="R81" i="6" s="1"/>
  <c r="B82" i="6"/>
  <c r="R82" i="6" s="1"/>
  <c r="B83" i="6"/>
  <c r="R83" i="6" s="1"/>
  <c r="B84" i="6"/>
  <c r="R84" i="6" s="1"/>
  <c r="B85" i="6"/>
  <c r="R85" i="6" s="1"/>
  <c r="B86" i="6"/>
  <c r="R86" i="6" s="1"/>
  <c r="B87" i="6"/>
  <c r="R87" i="6" s="1"/>
  <c r="B88" i="6"/>
  <c r="R88" i="6" s="1"/>
  <c r="B89" i="6"/>
  <c r="R89" i="6" s="1"/>
  <c r="B90" i="6"/>
  <c r="R90" i="6" s="1"/>
  <c r="B91" i="6"/>
  <c r="R91" i="6" s="1"/>
  <c r="B92" i="6"/>
  <c r="R92" i="6" s="1"/>
  <c r="B93" i="6"/>
  <c r="R93" i="6" s="1"/>
  <c r="B94" i="6"/>
  <c r="R94" i="6" s="1"/>
  <c r="B95" i="6"/>
  <c r="R95" i="6" s="1"/>
  <c r="B96" i="6"/>
  <c r="R96" i="6" s="1"/>
  <c r="B97" i="6"/>
  <c r="R97" i="6" s="1"/>
  <c r="B98" i="6"/>
  <c r="R98" i="6" s="1"/>
  <c r="B99" i="6"/>
  <c r="R99" i="6" s="1"/>
  <c r="B100" i="6"/>
  <c r="R100" i="6" s="1"/>
  <c r="B101" i="6"/>
  <c r="R101" i="6" s="1"/>
  <c r="B102" i="6"/>
  <c r="R102" i="6" s="1"/>
  <c r="B103" i="6"/>
  <c r="R103" i="6" s="1"/>
  <c r="B104" i="6"/>
  <c r="R104" i="6" s="1"/>
  <c r="B105" i="6"/>
  <c r="R105" i="6" s="1"/>
  <c r="B106" i="6"/>
  <c r="R106" i="6" s="1"/>
  <c r="B107" i="6"/>
  <c r="R107" i="6" s="1"/>
  <c r="B108" i="6"/>
  <c r="R108" i="6" s="1"/>
  <c r="B109" i="6"/>
  <c r="R109" i="6" s="1"/>
  <c r="B110" i="6"/>
  <c r="R110" i="6" s="1"/>
  <c r="B111" i="6"/>
  <c r="R111" i="6" s="1"/>
  <c r="B112" i="6"/>
  <c r="R112" i="6" s="1"/>
  <c r="B113" i="6"/>
  <c r="R113" i="6" s="1"/>
  <c r="B114" i="6"/>
  <c r="R114" i="6" s="1"/>
  <c r="B115" i="6"/>
  <c r="R115" i="6" s="1"/>
  <c r="B116" i="6"/>
  <c r="R116" i="6" s="1"/>
  <c r="B117" i="6"/>
  <c r="R117" i="6" s="1"/>
  <c r="B118" i="6"/>
  <c r="R118" i="6" s="1"/>
  <c r="B119" i="6"/>
  <c r="R119" i="6" s="1"/>
  <c r="B120" i="6"/>
  <c r="R120" i="6" s="1"/>
  <c r="B121" i="6"/>
  <c r="R121" i="6" s="1"/>
  <c r="B122" i="6"/>
  <c r="R122" i="6" s="1"/>
  <c r="B123" i="6"/>
  <c r="R123" i="6" s="1"/>
  <c r="B124" i="6"/>
  <c r="R124" i="6" s="1"/>
  <c r="B125" i="6"/>
  <c r="R125" i="6" s="1"/>
  <c r="B126" i="6"/>
  <c r="R126" i="6" s="1"/>
  <c r="B127" i="6"/>
  <c r="R127" i="6" s="1"/>
  <c r="B128" i="6"/>
  <c r="R128" i="6" s="1"/>
  <c r="B129" i="6"/>
  <c r="R129" i="6" s="1"/>
  <c r="B130" i="6"/>
  <c r="R130" i="6" s="1"/>
  <c r="B131" i="6"/>
  <c r="R131" i="6" s="1"/>
  <c r="B132" i="6"/>
  <c r="R132" i="6" s="1"/>
  <c r="B133" i="6"/>
  <c r="R133" i="6" s="1"/>
  <c r="B134" i="6"/>
  <c r="R134" i="6" s="1"/>
  <c r="B135" i="6"/>
  <c r="R135" i="6" s="1"/>
  <c r="B136" i="6"/>
  <c r="R136" i="6" s="1"/>
  <c r="B137" i="6"/>
  <c r="R137" i="6" s="1"/>
  <c r="B138" i="6"/>
  <c r="R138" i="6" s="1"/>
  <c r="B139" i="6"/>
  <c r="R139" i="6" s="1"/>
  <c r="B140" i="6"/>
  <c r="R140" i="6" s="1"/>
  <c r="B141" i="6"/>
  <c r="R141" i="6" s="1"/>
  <c r="B142" i="6"/>
  <c r="R142" i="6" s="1"/>
  <c r="B143" i="6"/>
  <c r="R143" i="6" s="1"/>
  <c r="B144" i="6"/>
  <c r="R144" i="6" s="1"/>
  <c r="B145" i="6"/>
  <c r="R145" i="6" s="1"/>
  <c r="B146" i="6"/>
  <c r="R146" i="6" s="1"/>
  <c r="B147" i="6"/>
  <c r="R147" i="6" s="1"/>
  <c r="B148" i="6"/>
  <c r="R148" i="6" s="1"/>
  <c r="B149" i="6"/>
  <c r="R149" i="6" s="1"/>
  <c r="B150" i="6"/>
  <c r="R150" i="6" s="1"/>
  <c r="B151" i="6"/>
  <c r="R151" i="6" s="1"/>
  <c r="B152" i="6"/>
  <c r="R152" i="6" s="1"/>
  <c r="B153" i="6"/>
  <c r="R153" i="6" s="1"/>
  <c r="B154" i="6"/>
  <c r="R154" i="6" s="1"/>
  <c r="B155" i="6"/>
  <c r="R155" i="6" s="1"/>
  <c r="B156" i="6"/>
  <c r="R156" i="6" s="1"/>
  <c r="B157" i="6"/>
  <c r="R157" i="6" s="1"/>
  <c r="B158" i="6"/>
  <c r="R158" i="6" s="1"/>
  <c r="B159" i="6"/>
  <c r="R159" i="6" s="1"/>
  <c r="B160" i="6"/>
  <c r="R160" i="6" s="1"/>
  <c r="B161" i="6"/>
  <c r="R161" i="6" s="1"/>
  <c r="B162" i="6"/>
  <c r="R162" i="6" s="1"/>
  <c r="B163" i="6"/>
  <c r="R163" i="6" s="1"/>
  <c r="B164" i="6"/>
  <c r="R164" i="6" s="1"/>
  <c r="B165" i="6"/>
  <c r="R165" i="6" s="1"/>
  <c r="B166" i="6"/>
  <c r="R166" i="6" s="1"/>
  <c r="B167" i="6"/>
  <c r="R167" i="6" s="1"/>
  <c r="B168" i="6"/>
  <c r="R168" i="6" s="1"/>
  <c r="B169" i="6"/>
  <c r="R169" i="6" s="1"/>
  <c r="B170" i="6"/>
  <c r="R170" i="6" s="1"/>
  <c r="B171" i="6"/>
  <c r="R171" i="6" s="1"/>
  <c r="B172" i="6"/>
  <c r="R172" i="6" s="1"/>
  <c r="B173" i="6"/>
  <c r="R173" i="6" s="1"/>
  <c r="B174" i="6"/>
  <c r="R174" i="6" s="1"/>
  <c r="B175" i="6"/>
  <c r="R175" i="6" s="1"/>
  <c r="B176" i="6"/>
  <c r="R176" i="6" s="1"/>
  <c r="B177" i="6"/>
  <c r="R177" i="6" s="1"/>
  <c r="B178" i="6"/>
  <c r="R178" i="6" s="1"/>
  <c r="B179" i="6"/>
  <c r="R179" i="6" s="1"/>
  <c r="B180" i="6"/>
  <c r="R180" i="6" s="1"/>
  <c r="B181" i="6"/>
  <c r="R181" i="6" s="1"/>
  <c r="B182" i="6"/>
  <c r="R182" i="6" s="1"/>
  <c r="B183" i="6"/>
  <c r="R183" i="6" s="1"/>
  <c r="B184" i="6"/>
  <c r="R184" i="6" s="1"/>
  <c r="B185" i="6"/>
  <c r="R185" i="6" s="1"/>
  <c r="B186" i="6"/>
  <c r="R186" i="6" s="1"/>
  <c r="B187" i="6"/>
  <c r="R187" i="6" s="1"/>
  <c r="B188" i="6"/>
  <c r="R188" i="6" s="1"/>
  <c r="B189" i="6"/>
  <c r="R189" i="6" s="1"/>
  <c r="B190" i="6"/>
  <c r="R190" i="6" s="1"/>
  <c r="B191" i="6"/>
  <c r="R191" i="6" s="1"/>
  <c r="B192" i="6"/>
  <c r="R192" i="6" s="1"/>
  <c r="B193" i="6"/>
  <c r="R193" i="6" s="1"/>
  <c r="B194" i="6"/>
  <c r="R194" i="6" s="1"/>
  <c r="B195" i="6"/>
  <c r="R195" i="6" s="1"/>
  <c r="B196" i="6"/>
  <c r="R196" i="6" s="1"/>
  <c r="B197" i="6"/>
  <c r="R197" i="6" s="1"/>
  <c r="B198" i="6"/>
  <c r="R198" i="6" s="1"/>
  <c r="B199" i="6"/>
  <c r="R199" i="6" s="1"/>
  <c r="B200" i="6"/>
  <c r="R200" i="6" s="1"/>
  <c r="B201" i="6"/>
  <c r="R201" i="6" s="1"/>
  <c r="B202" i="6"/>
  <c r="R202" i="6" s="1"/>
  <c r="B3" i="6"/>
  <c r="R3" i="6" s="1"/>
  <c r="B4" i="6"/>
  <c r="R4" i="6" s="1"/>
  <c r="B5" i="6"/>
  <c r="R5" i="6" s="1"/>
  <c r="B6" i="6"/>
  <c r="R6" i="6" s="1"/>
  <c r="B7" i="6"/>
  <c r="R7" i="6" s="1"/>
  <c r="B8" i="6"/>
  <c r="R8" i="6" s="1"/>
  <c r="B9" i="6"/>
  <c r="R9" i="6" s="1"/>
  <c r="B10" i="6"/>
  <c r="R10" i="6" s="1"/>
  <c r="B11" i="6"/>
  <c r="R11" i="6" s="1"/>
  <c r="B12" i="6"/>
  <c r="R12" i="6" s="1"/>
  <c r="B13" i="6"/>
  <c r="R13" i="6" s="1"/>
  <c r="B14" i="6"/>
  <c r="R14" i="6" s="1"/>
  <c r="AR2" i="6" l="1"/>
  <c r="L198" i="6" a="1"/>
  <c r="L198" i="6" s="1"/>
  <c r="N198" i="6" a="1"/>
  <c r="N198" i="6" s="1"/>
  <c r="L174" i="6" a="1"/>
  <c r="L174" i="6" s="1"/>
  <c r="N174" i="6" a="1"/>
  <c r="N174" i="6" s="1"/>
  <c r="N150" i="6" a="1"/>
  <c r="N150" i="6" s="1"/>
  <c r="L150" i="6" a="1"/>
  <c r="L150" i="6" s="1"/>
  <c r="L126" i="6" a="1"/>
  <c r="L126" i="6" s="1"/>
  <c r="N126" i="6" a="1"/>
  <c r="N126" i="6" s="1"/>
  <c r="L102" i="6" a="1"/>
  <c r="L102" i="6" s="1"/>
  <c r="N102" i="6" a="1"/>
  <c r="N102" i="6" s="1"/>
  <c r="L78" i="6" a="1"/>
  <c r="L78" i="6" s="1"/>
  <c r="N78" i="6" a="1"/>
  <c r="N78" i="6" s="1"/>
  <c r="L54" i="6" a="1"/>
  <c r="L54" i="6" s="1"/>
  <c r="N54" i="6" a="1"/>
  <c r="N54" i="6" s="1"/>
  <c r="N30" i="6" a="1"/>
  <c r="N30" i="6" s="1"/>
  <c r="L30" i="6" a="1"/>
  <c r="L30" i="6" s="1"/>
  <c r="N197" i="6" a="1"/>
  <c r="N197" i="6" s="1"/>
  <c r="L197" i="6" a="1"/>
  <c r="L197" i="6" s="1"/>
  <c r="L173" i="6" a="1"/>
  <c r="L173" i="6" s="1"/>
  <c r="N173" i="6" a="1"/>
  <c r="N173" i="6" s="1"/>
  <c r="N137" i="6" a="1"/>
  <c r="N137" i="6" s="1"/>
  <c r="L137" i="6" a="1"/>
  <c r="L137" i="6" s="1"/>
  <c r="N77" i="6" a="1"/>
  <c r="N77" i="6" s="1"/>
  <c r="L77" i="6" a="1"/>
  <c r="L77" i="6" s="1"/>
  <c r="L10" i="6" a="1"/>
  <c r="L10" i="6" s="1"/>
  <c r="N10" i="6" a="1"/>
  <c r="N10" i="6" s="1"/>
  <c r="L186" i="6" a="1"/>
  <c r="L186" i="6" s="1"/>
  <c r="N186" i="6" a="1"/>
  <c r="N186" i="6" s="1"/>
  <c r="AS162" i="6"/>
  <c r="L162" i="6" a="1"/>
  <c r="L162" i="6" s="1"/>
  <c r="BD162" i="6"/>
  <c r="M162" i="6" a="1"/>
  <c r="M162" i="6" s="1"/>
  <c r="N162" i="6" a="1"/>
  <c r="N162" i="6" s="1"/>
  <c r="O162" i="6" a="1"/>
  <c r="O162" i="6" s="1"/>
  <c r="AR162" i="6"/>
  <c r="BQ162" i="6"/>
  <c r="BR162" i="6"/>
  <c r="BX162" i="6"/>
  <c r="BY162" i="6"/>
  <c r="L138" i="6" a="1"/>
  <c r="L138" i="6" s="1"/>
  <c r="N138" i="6" a="1"/>
  <c r="N138" i="6" s="1"/>
  <c r="L114" i="6" a="1"/>
  <c r="L114" i="6" s="1"/>
  <c r="N114" i="6" a="1"/>
  <c r="N114" i="6" s="1"/>
  <c r="N90" i="6" a="1"/>
  <c r="N90" i="6" s="1"/>
  <c r="L90" i="6" a="1"/>
  <c r="L90" i="6" s="1"/>
  <c r="L66" i="6" a="1"/>
  <c r="L66" i="6" s="1"/>
  <c r="N66" i="6" a="1"/>
  <c r="N66" i="6" s="1"/>
  <c r="L42" i="6" a="1"/>
  <c r="L42" i="6" s="1"/>
  <c r="N42" i="6" a="1"/>
  <c r="N42" i="6" s="1"/>
  <c r="L18" i="6" a="1"/>
  <c r="L18" i="6" s="1"/>
  <c r="N18" i="6" a="1"/>
  <c r="N18" i="6" s="1"/>
  <c r="N9" i="6" a="1"/>
  <c r="N9" i="6" s="1"/>
  <c r="L9" i="6" a="1"/>
  <c r="L9" i="6" s="1"/>
  <c r="N185" i="6" a="1"/>
  <c r="N185" i="6" s="1"/>
  <c r="L185" i="6" a="1"/>
  <c r="L185" i="6" s="1"/>
  <c r="N161" i="6" a="1"/>
  <c r="N161" i="6" s="1"/>
  <c r="L161" i="6" a="1"/>
  <c r="L161" i="6" s="1"/>
  <c r="L149" i="6" a="1"/>
  <c r="L149" i="6" s="1"/>
  <c r="N149" i="6" a="1"/>
  <c r="N149" i="6" s="1"/>
  <c r="L125" i="6" a="1"/>
  <c r="L125" i="6" s="1"/>
  <c r="N125" i="6" a="1"/>
  <c r="N125" i="6" s="1"/>
  <c r="N113" i="6" a="1"/>
  <c r="N113" i="6" s="1"/>
  <c r="L113" i="6" a="1"/>
  <c r="L113" i="6" s="1"/>
  <c r="L101" i="6" a="1"/>
  <c r="L101" i="6" s="1"/>
  <c r="N101" i="6" a="1"/>
  <c r="N101" i="6" s="1"/>
  <c r="L89" i="6" a="1"/>
  <c r="L89" i="6" s="1"/>
  <c r="N89" i="6" a="1"/>
  <c r="N89" i="6" s="1"/>
  <c r="L65" i="6" a="1"/>
  <c r="L65" i="6" s="1"/>
  <c r="N65" i="6" a="1"/>
  <c r="N65" i="6" s="1"/>
  <c r="L53" i="6" a="1"/>
  <c r="L53" i="6" s="1"/>
  <c r="N53" i="6" a="1"/>
  <c r="N53" i="6" s="1"/>
  <c r="L41" i="6" a="1"/>
  <c r="L41" i="6" s="1"/>
  <c r="N41" i="6" a="1"/>
  <c r="N41" i="6" s="1"/>
  <c r="L29" i="6" a="1"/>
  <c r="L29" i="6" s="1"/>
  <c r="N29" i="6" a="1"/>
  <c r="N29" i="6" s="1"/>
  <c r="N17" i="6" a="1"/>
  <c r="N17" i="6" s="1"/>
  <c r="L17" i="6" a="1"/>
  <c r="L17" i="6" s="1"/>
  <c r="N8" i="6" a="1"/>
  <c r="N8" i="6" s="1"/>
  <c r="L8" i="6" a="1"/>
  <c r="L8" i="6" s="1"/>
  <c r="N196" i="6" a="1"/>
  <c r="N196" i="6" s="1"/>
  <c r="L196" i="6" a="1"/>
  <c r="L196" i="6" s="1"/>
  <c r="N184" i="6" a="1"/>
  <c r="N184" i="6" s="1"/>
  <c r="L184" i="6" a="1"/>
  <c r="L184" i="6" s="1"/>
  <c r="BD172" i="6"/>
  <c r="AR172" i="6"/>
  <c r="AS172" i="6"/>
  <c r="M172" i="6" a="1"/>
  <c r="M172" i="6" s="1"/>
  <c r="N172" i="6" a="1"/>
  <c r="N172" i="6" s="1"/>
  <c r="L172" i="6" a="1"/>
  <c r="L172" i="6" s="1"/>
  <c r="O172" i="6" a="1"/>
  <c r="O172" i="6" s="1"/>
  <c r="BR172" i="6"/>
  <c r="BQ172" i="6"/>
  <c r="BY172" i="6"/>
  <c r="BX172" i="6"/>
  <c r="N160" i="6" a="1"/>
  <c r="N160" i="6" s="1"/>
  <c r="L160" i="6" a="1"/>
  <c r="L160" i="6" s="1"/>
  <c r="L148" i="6" a="1"/>
  <c r="L148" i="6" s="1"/>
  <c r="N148" i="6" a="1"/>
  <c r="N148" i="6" s="1"/>
  <c r="L136" i="6" a="1"/>
  <c r="L136" i="6" s="1"/>
  <c r="N136" i="6" a="1"/>
  <c r="N136" i="6" s="1"/>
  <c r="N124" i="6" a="1"/>
  <c r="N124" i="6" s="1"/>
  <c r="L124" i="6" a="1"/>
  <c r="L124" i="6" s="1"/>
  <c r="N112" i="6" a="1"/>
  <c r="N112" i="6" s="1"/>
  <c r="L112" i="6" a="1"/>
  <c r="L112" i="6" s="1"/>
  <c r="N100" i="6" a="1"/>
  <c r="N100" i="6" s="1"/>
  <c r="L100" i="6" a="1"/>
  <c r="L100" i="6" s="1"/>
  <c r="L88" i="6" a="1"/>
  <c r="L88" i="6" s="1"/>
  <c r="N88" i="6" a="1"/>
  <c r="N88" i="6" s="1"/>
  <c r="L76" i="6" a="1"/>
  <c r="L76" i="6" s="1"/>
  <c r="N76" i="6" a="1"/>
  <c r="N76" i="6" s="1"/>
  <c r="L64" i="6" a="1"/>
  <c r="L64" i="6" s="1"/>
  <c r="N64" i="6" a="1"/>
  <c r="N64" i="6" s="1"/>
  <c r="N52" i="6" a="1"/>
  <c r="N52" i="6" s="1"/>
  <c r="L52" i="6" a="1"/>
  <c r="L52" i="6" s="1"/>
  <c r="N40" i="6" a="1"/>
  <c r="N40" i="6" s="1"/>
  <c r="L40" i="6" a="1"/>
  <c r="L40" i="6" s="1"/>
  <c r="N28" i="6" a="1"/>
  <c r="N28" i="6" s="1"/>
  <c r="L28" i="6" a="1"/>
  <c r="L28" i="6" s="1"/>
  <c r="N16" i="6" a="1"/>
  <c r="N16" i="6" s="1"/>
  <c r="L16" i="6" a="1"/>
  <c r="L16" i="6" s="1"/>
  <c r="N6" i="6" a="1"/>
  <c r="N6" i="6" s="1"/>
  <c r="L6" i="6" a="1"/>
  <c r="L6" i="6" s="1"/>
  <c r="N170" i="6" a="1"/>
  <c r="N170" i="6" s="1"/>
  <c r="O170" i="6" a="1"/>
  <c r="O170" i="6" s="1"/>
  <c r="M170" i="6" a="1"/>
  <c r="M170" i="6" s="1"/>
  <c r="L170" i="6" a="1"/>
  <c r="L170" i="6" s="1"/>
  <c r="AR170" i="6"/>
  <c r="BD170" i="6"/>
  <c r="AS170" i="6"/>
  <c r="BQ170" i="6"/>
  <c r="BR170" i="6"/>
  <c r="BX170" i="6"/>
  <c r="BY170" i="6"/>
  <c r="L146" i="6" a="1"/>
  <c r="L146" i="6" s="1"/>
  <c r="N146" i="6" a="1"/>
  <c r="N146" i="6" s="1"/>
  <c r="L134" i="6" a="1"/>
  <c r="L134" i="6" s="1"/>
  <c r="N134" i="6" a="1"/>
  <c r="N134" i="6" s="1"/>
  <c r="L110" i="6" a="1"/>
  <c r="L110" i="6" s="1"/>
  <c r="N110" i="6" a="1"/>
  <c r="N110" i="6" s="1"/>
  <c r="L86" i="6" a="1"/>
  <c r="L86" i="6" s="1"/>
  <c r="N86" i="6" a="1"/>
  <c r="N86" i="6" s="1"/>
  <c r="L50" i="6" a="1"/>
  <c r="L50" i="6" s="1"/>
  <c r="N50" i="6" a="1"/>
  <c r="N50" i="6" s="1"/>
  <c r="N26" i="6" a="1"/>
  <c r="N26" i="6" s="1"/>
  <c r="L26" i="6" a="1"/>
  <c r="L26" i="6" s="1"/>
  <c r="L7" i="6" a="1"/>
  <c r="L7" i="6" s="1"/>
  <c r="N7" i="6" a="1"/>
  <c r="N7" i="6" s="1"/>
  <c r="N195" i="6" a="1"/>
  <c r="N195" i="6" s="1"/>
  <c r="L195" i="6" a="1"/>
  <c r="L195" i="6" s="1"/>
  <c r="L183" i="6" a="1"/>
  <c r="L183" i="6" s="1"/>
  <c r="N183" i="6" a="1"/>
  <c r="N183" i="6" s="1"/>
  <c r="AR171" i="6"/>
  <c r="AS171" i="6"/>
  <c r="O171" i="6" a="1"/>
  <c r="O171" i="6" s="1"/>
  <c r="L171" i="6" a="1"/>
  <c r="L171" i="6" s="1"/>
  <c r="BD171" i="6"/>
  <c r="M171" i="6" a="1"/>
  <c r="M171" i="6" s="1"/>
  <c r="N171" i="6" a="1"/>
  <c r="N171" i="6" s="1"/>
  <c r="BQ171" i="6"/>
  <c r="BR171" i="6"/>
  <c r="BX171" i="6"/>
  <c r="BY171" i="6"/>
  <c r="L159" i="6" a="1"/>
  <c r="L159" i="6" s="1"/>
  <c r="N159" i="6" a="1"/>
  <c r="N159" i="6" s="1"/>
  <c r="N147" i="6" a="1"/>
  <c r="N147" i="6" s="1"/>
  <c r="L147" i="6" a="1"/>
  <c r="L147" i="6" s="1"/>
  <c r="L135" i="6" a="1"/>
  <c r="L135" i="6" s="1"/>
  <c r="N135" i="6" a="1"/>
  <c r="N135" i="6" s="1"/>
  <c r="L123" i="6" a="1"/>
  <c r="L123" i="6" s="1"/>
  <c r="N123" i="6" a="1"/>
  <c r="N123" i="6" s="1"/>
  <c r="N111" i="6" a="1"/>
  <c r="N111" i="6" s="1"/>
  <c r="L111" i="6" a="1"/>
  <c r="L111" i="6" s="1"/>
  <c r="L99" i="6" a="1"/>
  <c r="L99" i="6" s="1"/>
  <c r="N99" i="6" a="1"/>
  <c r="N99" i="6" s="1"/>
  <c r="L87" i="6" a="1"/>
  <c r="L87" i="6" s="1"/>
  <c r="N87" i="6" a="1"/>
  <c r="N87" i="6" s="1"/>
  <c r="L75" i="6" a="1"/>
  <c r="L75" i="6" s="1"/>
  <c r="N75" i="6" a="1"/>
  <c r="N75" i="6" s="1"/>
  <c r="N63" i="6" a="1"/>
  <c r="N63" i="6" s="1"/>
  <c r="L63" i="6" a="1"/>
  <c r="L63" i="6" s="1"/>
  <c r="L51" i="6" a="1"/>
  <c r="L51" i="6" s="1"/>
  <c r="N51" i="6" a="1"/>
  <c r="N51" i="6" s="1"/>
  <c r="L39" i="6" a="1"/>
  <c r="L39" i="6" s="1"/>
  <c r="N39" i="6" a="1"/>
  <c r="N39" i="6" s="1"/>
  <c r="L27" i="6" a="1"/>
  <c r="L27" i="6" s="1"/>
  <c r="N27" i="6" a="1"/>
  <c r="N27" i="6" s="1"/>
  <c r="N15" i="6" a="1"/>
  <c r="N15" i="6" s="1"/>
  <c r="L15" i="6" a="1"/>
  <c r="L15" i="6" s="1"/>
  <c r="N194" i="6" a="1"/>
  <c r="N194" i="6" s="1"/>
  <c r="L194" i="6" a="1"/>
  <c r="L194" i="6" s="1"/>
  <c r="L182" i="6" a="1"/>
  <c r="L182" i="6" s="1"/>
  <c r="N182" i="6" a="1"/>
  <c r="N182" i="6" s="1"/>
  <c r="N158" i="6" a="1"/>
  <c r="N158" i="6" s="1"/>
  <c r="L158" i="6" a="1"/>
  <c r="L158" i="6" s="1"/>
  <c r="N122" i="6" a="1"/>
  <c r="N122" i="6" s="1"/>
  <c r="L122" i="6" a="1"/>
  <c r="L122" i="6" s="1"/>
  <c r="N98" i="6" a="1"/>
  <c r="N98" i="6" s="1"/>
  <c r="L98" i="6" a="1"/>
  <c r="L98" i="6" s="1"/>
  <c r="L74" i="6" a="1"/>
  <c r="L74" i="6" s="1"/>
  <c r="N74" i="6" a="1"/>
  <c r="N74" i="6" s="1"/>
  <c r="L62" i="6" a="1"/>
  <c r="L62" i="6" s="1"/>
  <c r="N62" i="6" a="1"/>
  <c r="N62" i="6" s="1"/>
  <c r="L38" i="6" a="1"/>
  <c r="L38" i="6" s="1"/>
  <c r="N38" i="6" a="1"/>
  <c r="N38" i="6" s="1"/>
  <c r="L5" i="6" a="1"/>
  <c r="L5" i="6" s="1"/>
  <c r="N5" i="6" a="1"/>
  <c r="N5" i="6" s="1"/>
  <c r="N193" i="6" a="1"/>
  <c r="N193" i="6" s="1"/>
  <c r="L193" i="6" a="1"/>
  <c r="L193" i="6" s="1"/>
  <c r="L181" i="6" a="1"/>
  <c r="L181" i="6" s="1"/>
  <c r="N181" i="6" a="1"/>
  <c r="N181" i="6" s="1"/>
  <c r="BD169" i="6"/>
  <c r="L169" i="6" a="1"/>
  <c r="L169" i="6" s="1"/>
  <c r="M169" i="6" a="1"/>
  <c r="M169" i="6" s="1"/>
  <c r="AR169" i="6"/>
  <c r="AS169" i="6"/>
  <c r="N169" i="6" a="1"/>
  <c r="N169" i="6" s="1"/>
  <c r="O169" i="6" a="1"/>
  <c r="O169" i="6" s="1"/>
  <c r="BR169" i="6"/>
  <c r="BQ169" i="6"/>
  <c r="BX169" i="6"/>
  <c r="BY169" i="6"/>
  <c r="N157" i="6" a="1"/>
  <c r="N157" i="6" s="1"/>
  <c r="L157" i="6" a="1"/>
  <c r="L157" i="6" s="1"/>
  <c r="L145" i="6" a="1"/>
  <c r="L145" i="6" s="1"/>
  <c r="N145" i="6" a="1"/>
  <c r="N145" i="6" s="1"/>
  <c r="N133" i="6" a="1"/>
  <c r="N133" i="6" s="1"/>
  <c r="L133" i="6" a="1"/>
  <c r="L133" i="6" s="1"/>
  <c r="N121" i="6" a="1"/>
  <c r="N121" i="6" s="1"/>
  <c r="L121" i="6" a="1"/>
  <c r="L121" i="6" s="1"/>
  <c r="L109" i="6" a="1"/>
  <c r="L109" i="6" s="1"/>
  <c r="N109" i="6" a="1"/>
  <c r="N109" i="6" s="1"/>
  <c r="L97" i="6" a="1"/>
  <c r="L97" i="6" s="1"/>
  <c r="N97" i="6" a="1"/>
  <c r="N97" i="6" s="1"/>
  <c r="L85" i="6" a="1"/>
  <c r="L85" i="6" s="1"/>
  <c r="N85" i="6" a="1"/>
  <c r="N85" i="6" s="1"/>
  <c r="N73" i="6" a="1"/>
  <c r="N73" i="6" s="1"/>
  <c r="L73" i="6" a="1"/>
  <c r="L73" i="6" s="1"/>
  <c r="L61" i="6" a="1"/>
  <c r="L61" i="6" s="1"/>
  <c r="N61" i="6" a="1"/>
  <c r="N61" i="6" s="1"/>
  <c r="L49" i="6" a="1"/>
  <c r="L49" i="6" s="1"/>
  <c r="N49" i="6" a="1"/>
  <c r="N49" i="6" s="1"/>
  <c r="N37" i="6" a="1"/>
  <c r="N37" i="6" s="1"/>
  <c r="L37" i="6" a="1"/>
  <c r="L37" i="6" s="1"/>
  <c r="L25" i="6" a="1"/>
  <c r="L25" i="6" s="1"/>
  <c r="N25" i="6" a="1"/>
  <c r="N25" i="6" s="1"/>
  <c r="L4" i="6" a="1"/>
  <c r="L4" i="6" s="1"/>
  <c r="N4" i="6" a="1"/>
  <c r="N4" i="6" s="1"/>
  <c r="L192" i="6" a="1"/>
  <c r="L192" i="6" s="1"/>
  <c r="N192" i="6" a="1"/>
  <c r="N192" i="6" s="1"/>
  <c r="L180" i="6" a="1"/>
  <c r="L180" i="6" s="1"/>
  <c r="N180" i="6" a="1"/>
  <c r="N180" i="6" s="1"/>
  <c r="AS168" i="6"/>
  <c r="BD168" i="6"/>
  <c r="AR168" i="6"/>
  <c r="L168" i="6" a="1"/>
  <c r="L168" i="6" s="1"/>
  <c r="M168" i="6" a="1"/>
  <c r="M168" i="6" s="1"/>
  <c r="O168" i="6" a="1"/>
  <c r="O168" i="6" s="1"/>
  <c r="N168" i="6" a="1"/>
  <c r="N168" i="6" s="1"/>
  <c r="BR168" i="6"/>
  <c r="BQ168" i="6"/>
  <c r="BX168" i="6"/>
  <c r="BY168" i="6"/>
  <c r="N156" i="6" a="1"/>
  <c r="N156" i="6" s="1"/>
  <c r="L156" i="6" a="1"/>
  <c r="L156" i="6" s="1"/>
  <c r="N144" i="6" a="1"/>
  <c r="N144" i="6" s="1"/>
  <c r="L144" i="6" a="1"/>
  <c r="L144" i="6" s="1"/>
  <c r="L132" i="6" a="1"/>
  <c r="L132" i="6" s="1"/>
  <c r="N132" i="6" a="1"/>
  <c r="N132" i="6" s="1"/>
  <c r="L120" i="6" a="1"/>
  <c r="L120" i="6" s="1"/>
  <c r="N120" i="6" a="1"/>
  <c r="N120" i="6" s="1"/>
  <c r="L108" i="6" a="1"/>
  <c r="L108" i="6" s="1"/>
  <c r="N108" i="6" a="1"/>
  <c r="N108" i="6" s="1"/>
  <c r="L96" i="6" a="1"/>
  <c r="L96" i="6" s="1"/>
  <c r="N96" i="6" a="1"/>
  <c r="N96" i="6" s="1"/>
  <c r="N84" i="6" a="1"/>
  <c r="N84" i="6" s="1"/>
  <c r="L84" i="6" a="1"/>
  <c r="L84" i="6" s="1"/>
  <c r="N72" i="6" a="1"/>
  <c r="N72" i="6" s="1"/>
  <c r="L72" i="6" a="1"/>
  <c r="L72" i="6" s="1"/>
  <c r="L60" i="6" a="1"/>
  <c r="L60" i="6" s="1"/>
  <c r="N60" i="6" a="1"/>
  <c r="N60" i="6" s="1"/>
  <c r="L48" i="6" a="1"/>
  <c r="L48" i="6" s="1"/>
  <c r="N48" i="6" a="1"/>
  <c r="N48" i="6" s="1"/>
  <c r="L36" i="6" a="1"/>
  <c r="L36" i="6" s="1"/>
  <c r="N36" i="6" a="1"/>
  <c r="N36" i="6" s="1"/>
  <c r="L24" i="6" a="1"/>
  <c r="L24" i="6" s="1"/>
  <c r="N24" i="6" a="1"/>
  <c r="N24" i="6" s="1"/>
  <c r="L3" i="6" a="1"/>
  <c r="L3" i="6" s="1"/>
  <c r="N3" i="6" a="1"/>
  <c r="N3" i="6" s="1"/>
  <c r="N191" i="6" a="1"/>
  <c r="N191" i="6" s="1"/>
  <c r="L191" i="6" a="1"/>
  <c r="L191" i="6" s="1"/>
  <c r="N179" i="6" a="1"/>
  <c r="N179" i="6" s="1"/>
  <c r="L179" i="6" a="1"/>
  <c r="L179" i="6" s="1"/>
  <c r="AR167" i="6"/>
  <c r="BD167" i="6"/>
  <c r="M167" i="6" a="1"/>
  <c r="M167" i="6" s="1"/>
  <c r="AS167" i="6"/>
  <c r="N167" i="6" a="1"/>
  <c r="N167" i="6" s="1"/>
  <c r="O167" i="6" a="1"/>
  <c r="O167" i="6" s="1"/>
  <c r="L167" i="6" a="1"/>
  <c r="L167" i="6" s="1"/>
  <c r="BQ167" i="6"/>
  <c r="BR167" i="6"/>
  <c r="BY167" i="6"/>
  <c r="BX167" i="6"/>
  <c r="L155" i="6" a="1"/>
  <c r="L155" i="6" s="1"/>
  <c r="N155" i="6" a="1"/>
  <c r="N155" i="6" s="1"/>
  <c r="N143" i="6" a="1"/>
  <c r="N143" i="6" s="1"/>
  <c r="L143" i="6" a="1"/>
  <c r="L143" i="6" s="1"/>
  <c r="L131" i="6" a="1"/>
  <c r="L131" i="6" s="1"/>
  <c r="N131" i="6" a="1"/>
  <c r="N131" i="6" s="1"/>
  <c r="N119" i="6" a="1"/>
  <c r="N119" i="6" s="1"/>
  <c r="L119" i="6" a="1"/>
  <c r="L119" i="6" s="1"/>
  <c r="N107" i="6" a="1"/>
  <c r="N107" i="6" s="1"/>
  <c r="L107" i="6" a="1"/>
  <c r="L107" i="6" s="1"/>
  <c r="L95" i="6" a="1"/>
  <c r="L95" i="6" s="1"/>
  <c r="N95" i="6" a="1"/>
  <c r="N95" i="6" s="1"/>
  <c r="N83" i="6" a="1"/>
  <c r="N83" i="6" s="1"/>
  <c r="L83" i="6" a="1"/>
  <c r="L83" i="6" s="1"/>
  <c r="N71" i="6" a="1"/>
  <c r="N71" i="6" s="1"/>
  <c r="L71" i="6" a="1"/>
  <c r="L71" i="6" s="1"/>
  <c r="N59" i="6" a="1"/>
  <c r="N59" i="6" s="1"/>
  <c r="L59" i="6" a="1"/>
  <c r="L59" i="6" s="1"/>
  <c r="L47" i="6" a="1"/>
  <c r="L47" i="6" s="1"/>
  <c r="N47" i="6" a="1"/>
  <c r="N47" i="6" s="1"/>
  <c r="N35" i="6" a="1"/>
  <c r="N35" i="6" s="1"/>
  <c r="L35" i="6" a="1"/>
  <c r="L35" i="6" s="1"/>
  <c r="L23" i="6" a="1"/>
  <c r="L23" i="6" s="1"/>
  <c r="N23" i="6" a="1"/>
  <c r="N23" i="6" s="1"/>
  <c r="L14" i="6" a="1"/>
  <c r="L14" i="6" s="1"/>
  <c r="N14" i="6" a="1"/>
  <c r="N14" i="6" s="1"/>
  <c r="L202" i="6" a="1"/>
  <c r="L202" i="6" s="1"/>
  <c r="N202" i="6" a="1"/>
  <c r="N202" i="6" s="1"/>
  <c r="L190" i="6" a="1"/>
  <c r="L190" i="6" s="1"/>
  <c r="N190" i="6" a="1"/>
  <c r="N190" i="6" s="1"/>
  <c r="L178" i="6" a="1"/>
  <c r="L178" i="6" s="1"/>
  <c r="N178" i="6" a="1"/>
  <c r="N178" i="6" s="1"/>
  <c r="BD166" i="6"/>
  <c r="AR166" i="6"/>
  <c r="AS166" i="6"/>
  <c r="N166" i="6" a="1"/>
  <c r="N166" i="6" s="1"/>
  <c r="O166" i="6" a="1"/>
  <c r="O166" i="6" s="1"/>
  <c r="L166" i="6" a="1"/>
  <c r="L166" i="6" s="1"/>
  <c r="M166" i="6" a="1"/>
  <c r="M166" i="6" s="1"/>
  <c r="BQ166" i="6"/>
  <c r="BR166" i="6"/>
  <c r="BY166" i="6"/>
  <c r="BX166" i="6"/>
  <c r="L154" i="6" a="1"/>
  <c r="L154" i="6" s="1"/>
  <c r="N154" i="6" a="1"/>
  <c r="N154" i="6" s="1"/>
  <c r="L142" i="6" a="1"/>
  <c r="L142" i="6" s="1"/>
  <c r="N142" i="6" a="1"/>
  <c r="N142" i="6" s="1"/>
  <c r="N130" i="6" a="1"/>
  <c r="N130" i="6" s="1"/>
  <c r="L130" i="6" a="1"/>
  <c r="L130" i="6" s="1"/>
  <c r="L118" i="6" a="1"/>
  <c r="L118" i="6" s="1"/>
  <c r="N118" i="6" a="1"/>
  <c r="N118" i="6" s="1"/>
  <c r="N106" i="6" a="1"/>
  <c r="N106" i="6" s="1"/>
  <c r="L106" i="6" a="1"/>
  <c r="L106" i="6" s="1"/>
  <c r="N94" i="6" a="1"/>
  <c r="N94" i="6" s="1"/>
  <c r="L94" i="6" a="1"/>
  <c r="L94" i="6" s="1"/>
  <c r="N82" i="6" a="1"/>
  <c r="N82" i="6" s="1"/>
  <c r="L82" i="6" a="1"/>
  <c r="L82" i="6" s="1"/>
  <c r="L70" i="6" a="1"/>
  <c r="L70" i="6" s="1"/>
  <c r="N70" i="6" a="1"/>
  <c r="N70" i="6" s="1"/>
  <c r="N58" i="6" a="1"/>
  <c r="N58" i="6" s="1"/>
  <c r="L58" i="6" a="1"/>
  <c r="L58" i="6" s="1"/>
  <c r="N46" i="6" a="1"/>
  <c r="N46" i="6" s="1"/>
  <c r="L46" i="6" a="1"/>
  <c r="L46" i="6" s="1"/>
  <c r="N34" i="6" a="1"/>
  <c r="N34" i="6" s="1"/>
  <c r="L34" i="6" a="1"/>
  <c r="L34" i="6" s="1"/>
  <c r="L22" i="6" a="1"/>
  <c r="L22" i="6" s="1"/>
  <c r="N22" i="6" a="1"/>
  <c r="N22" i="6" s="1"/>
  <c r="N13" i="6" a="1"/>
  <c r="N13" i="6" s="1"/>
  <c r="L13" i="6" a="1"/>
  <c r="L13" i="6" s="1"/>
  <c r="L201" i="6" a="1"/>
  <c r="L201" i="6" s="1"/>
  <c r="N201" i="6" a="1"/>
  <c r="N201" i="6" s="1"/>
  <c r="N189" i="6" a="1"/>
  <c r="N189" i="6" s="1"/>
  <c r="L189" i="6" a="1"/>
  <c r="L189" i="6" s="1"/>
  <c r="L177" i="6" a="1"/>
  <c r="L177" i="6" s="1"/>
  <c r="N177" i="6" a="1"/>
  <c r="N177" i="6" s="1"/>
  <c r="AR165" i="6"/>
  <c r="AS165" i="6"/>
  <c r="N165" i="6" a="1"/>
  <c r="N165" i="6" s="1"/>
  <c r="O165" i="6" a="1"/>
  <c r="O165" i="6" s="1"/>
  <c r="BD165" i="6"/>
  <c r="L165" i="6" a="1"/>
  <c r="L165" i="6" s="1"/>
  <c r="M165" i="6" a="1"/>
  <c r="M165" i="6" s="1"/>
  <c r="BQ165" i="6"/>
  <c r="BR165" i="6"/>
  <c r="BX165" i="6"/>
  <c r="BY165" i="6"/>
  <c r="L153" i="6" a="1"/>
  <c r="L153" i="6" s="1"/>
  <c r="N153" i="6" a="1"/>
  <c r="N153" i="6" s="1"/>
  <c r="L141" i="6" a="1"/>
  <c r="L141" i="6" s="1"/>
  <c r="N141" i="6" a="1"/>
  <c r="N141" i="6" s="1"/>
  <c r="N129" i="6" a="1"/>
  <c r="N129" i="6" s="1"/>
  <c r="L129" i="6" a="1"/>
  <c r="L129" i="6" s="1"/>
  <c r="N117" i="6" a="1"/>
  <c r="N117" i="6" s="1"/>
  <c r="L117" i="6" a="1"/>
  <c r="L117" i="6" s="1"/>
  <c r="L105" i="6" a="1"/>
  <c r="L105" i="6" s="1"/>
  <c r="N105" i="6" a="1"/>
  <c r="N105" i="6" s="1"/>
  <c r="L93" i="6" a="1"/>
  <c r="L93" i="6" s="1"/>
  <c r="N93" i="6" a="1"/>
  <c r="N93" i="6" s="1"/>
  <c r="L81" i="6" a="1"/>
  <c r="L81" i="6" s="1"/>
  <c r="N81" i="6" a="1"/>
  <c r="N81" i="6" s="1"/>
  <c r="L69" i="6" a="1"/>
  <c r="L69" i="6" s="1"/>
  <c r="N69" i="6" a="1"/>
  <c r="N69" i="6" s="1"/>
  <c r="N57" i="6" a="1"/>
  <c r="N57" i="6" s="1"/>
  <c r="L57" i="6" a="1"/>
  <c r="L57" i="6" s="1"/>
  <c r="L45" i="6" a="1"/>
  <c r="L45" i="6" s="1"/>
  <c r="N45" i="6" a="1"/>
  <c r="N45" i="6" s="1"/>
  <c r="N33" i="6" a="1"/>
  <c r="N33" i="6" s="1"/>
  <c r="L33" i="6" a="1"/>
  <c r="L33" i="6" s="1"/>
  <c r="N21" i="6" a="1"/>
  <c r="N21" i="6" s="1"/>
  <c r="L21" i="6" a="1"/>
  <c r="L21" i="6" s="1"/>
  <c r="L12" i="6" a="1"/>
  <c r="L12" i="6" s="1"/>
  <c r="N12" i="6" a="1"/>
  <c r="N12" i="6" s="1"/>
  <c r="N200" i="6" a="1"/>
  <c r="N200" i="6" s="1"/>
  <c r="L200" i="6" a="1"/>
  <c r="L200" i="6" s="1"/>
  <c r="L188" i="6" a="1"/>
  <c r="L188" i="6" s="1"/>
  <c r="N188" i="6" a="1"/>
  <c r="N188" i="6" s="1"/>
  <c r="L176" i="6" a="1"/>
  <c r="L176" i="6" s="1"/>
  <c r="N176" i="6" a="1"/>
  <c r="N176" i="6" s="1"/>
  <c r="AR164" i="6"/>
  <c r="AS164" i="6"/>
  <c r="BD164" i="6"/>
  <c r="L164" i="6" a="1"/>
  <c r="L164" i="6" s="1"/>
  <c r="M164" i="6" a="1"/>
  <c r="M164" i="6" s="1"/>
  <c r="N164" i="6" a="1"/>
  <c r="N164" i="6" s="1"/>
  <c r="O164" i="6" a="1"/>
  <c r="O164" i="6" s="1"/>
  <c r="BQ164" i="6"/>
  <c r="BR164" i="6"/>
  <c r="BX164" i="6"/>
  <c r="BY164" i="6"/>
  <c r="N152" i="6" a="1"/>
  <c r="N152" i="6" s="1"/>
  <c r="L152" i="6" a="1"/>
  <c r="L152" i="6" s="1"/>
  <c r="L140" i="6" a="1"/>
  <c r="L140" i="6" s="1"/>
  <c r="N140" i="6" a="1"/>
  <c r="N140" i="6" s="1"/>
  <c r="N128" i="6" a="1"/>
  <c r="N128" i="6" s="1"/>
  <c r="L128" i="6" a="1"/>
  <c r="L128" i="6" s="1"/>
  <c r="N116" i="6" a="1"/>
  <c r="N116" i="6" s="1"/>
  <c r="L116" i="6" a="1"/>
  <c r="L116" i="6" s="1"/>
  <c r="L104" i="6" a="1"/>
  <c r="L104" i="6" s="1"/>
  <c r="N104" i="6" a="1"/>
  <c r="N104" i="6" s="1"/>
  <c r="L92" i="6" a="1"/>
  <c r="L92" i="6" s="1"/>
  <c r="N92" i="6" a="1"/>
  <c r="N92" i="6" s="1"/>
  <c r="N80" i="6" a="1"/>
  <c r="N80" i="6" s="1"/>
  <c r="L80" i="6" a="1"/>
  <c r="L80" i="6" s="1"/>
  <c r="N68" i="6" a="1"/>
  <c r="N68" i="6" s="1"/>
  <c r="L68" i="6" a="1"/>
  <c r="L68" i="6" s="1"/>
  <c r="N56" i="6" a="1"/>
  <c r="N56" i="6" s="1"/>
  <c r="L56" i="6" a="1"/>
  <c r="L56" i="6" s="1"/>
  <c r="N44" i="6" a="1"/>
  <c r="N44" i="6" s="1"/>
  <c r="L44" i="6" a="1"/>
  <c r="L44" i="6" s="1"/>
  <c r="N32" i="6" a="1"/>
  <c r="N32" i="6" s="1"/>
  <c r="L32" i="6" a="1"/>
  <c r="L32" i="6" s="1"/>
  <c r="N20" i="6" a="1"/>
  <c r="N20" i="6" s="1"/>
  <c r="L20" i="6" a="1"/>
  <c r="L20" i="6" s="1"/>
  <c r="N11" i="6" a="1"/>
  <c r="N11" i="6" s="1"/>
  <c r="L11" i="6" a="1"/>
  <c r="L11" i="6" s="1"/>
  <c r="N199" i="6" a="1"/>
  <c r="N199" i="6" s="1"/>
  <c r="L199" i="6" a="1"/>
  <c r="L199" i="6" s="1"/>
  <c r="N187" i="6" a="1"/>
  <c r="N187" i="6" s="1"/>
  <c r="L187" i="6" a="1"/>
  <c r="L187" i="6" s="1"/>
  <c r="L175" i="6" a="1"/>
  <c r="L175" i="6" s="1"/>
  <c r="N175" i="6" a="1"/>
  <c r="N175" i="6" s="1"/>
  <c r="BD163" i="6"/>
  <c r="O163" i="6" a="1"/>
  <c r="O163" i="6" s="1"/>
  <c r="L163" i="6" a="1"/>
  <c r="L163" i="6" s="1"/>
  <c r="M163" i="6" a="1"/>
  <c r="M163" i="6" s="1"/>
  <c r="AR163" i="6"/>
  <c r="AS163" i="6"/>
  <c r="N163" i="6" a="1"/>
  <c r="N163" i="6" s="1"/>
  <c r="BQ163" i="6"/>
  <c r="BR163" i="6"/>
  <c r="BX163" i="6"/>
  <c r="BY163" i="6"/>
  <c r="L151" i="6" a="1"/>
  <c r="L151" i="6" s="1"/>
  <c r="N151" i="6" a="1"/>
  <c r="N151" i="6" s="1"/>
  <c r="N139" i="6" a="1"/>
  <c r="N139" i="6" s="1"/>
  <c r="L139" i="6" a="1"/>
  <c r="L139" i="6" s="1"/>
  <c r="N127" i="6" a="1"/>
  <c r="N127" i="6" s="1"/>
  <c r="L127" i="6" a="1"/>
  <c r="L127" i="6" s="1"/>
  <c r="N115" i="6" a="1"/>
  <c r="N115" i="6" s="1"/>
  <c r="L115" i="6" a="1"/>
  <c r="L115" i="6" s="1"/>
  <c r="L103" i="6" a="1"/>
  <c r="L103" i="6" s="1"/>
  <c r="N103" i="6" a="1"/>
  <c r="N103" i="6" s="1"/>
  <c r="L91" i="6" a="1"/>
  <c r="L91" i="6" s="1"/>
  <c r="N91" i="6" a="1"/>
  <c r="N91" i="6" s="1"/>
  <c r="N79" i="6" a="1"/>
  <c r="N79" i="6" s="1"/>
  <c r="L79" i="6" a="1"/>
  <c r="L79" i="6" s="1"/>
  <c r="L67" i="6" a="1"/>
  <c r="L67" i="6" s="1"/>
  <c r="N67" i="6" a="1"/>
  <c r="N67" i="6" s="1"/>
  <c r="L55" i="6" a="1"/>
  <c r="L55" i="6" s="1"/>
  <c r="N55" i="6" a="1"/>
  <c r="N55" i="6" s="1"/>
  <c r="N43" i="6" a="1"/>
  <c r="N43" i="6" s="1"/>
  <c r="L43" i="6" a="1"/>
  <c r="L43" i="6" s="1"/>
  <c r="N31" i="6" a="1"/>
  <c r="N31" i="6" s="1"/>
  <c r="L31" i="6" a="1"/>
  <c r="L31" i="6" s="1"/>
  <c r="L19" i="6" a="1"/>
  <c r="L19" i="6" s="1"/>
  <c r="N19" i="6" a="1"/>
  <c r="N19" i="6" s="1"/>
  <c r="BX2" i="6"/>
  <c r="AS2" i="6"/>
  <c r="BY2" i="6" s="1"/>
  <c r="AG12" i="6"/>
  <c r="AH12" i="6"/>
  <c r="AG200" i="6"/>
  <c r="AI188" i="6"/>
  <c r="AI164" i="6"/>
  <c r="AH164" i="6"/>
  <c r="AG164" i="6"/>
  <c r="AF164" i="6"/>
  <c r="AF152" i="6"/>
  <c r="AI152" i="6"/>
  <c r="AH140" i="6"/>
  <c r="AI128" i="6"/>
  <c r="AG128" i="6"/>
  <c r="AG116" i="6"/>
  <c r="AI116" i="6"/>
  <c r="AF116" i="6"/>
  <c r="AH116" i="6"/>
  <c r="AH104" i="6"/>
  <c r="AF104" i="6"/>
  <c r="AG104" i="6"/>
  <c r="AI104" i="6"/>
  <c r="AF92" i="6"/>
  <c r="AH80" i="6"/>
  <c r="AG80" i="6"/>
  <c r="AF68" i="6"/>
  <c r="AI68" i="6"/>
  <c r="AG44" i="6"/>
  <c r="AI44" i="6"/>
  <c r="AF32" i="6"/>
  <c r="AI20" i="6"/>
  <c r="AF20" i="6"/>
  <c r="AG20" i="6"/>
  <c r="AH20" i="6"/>
  <c r="AG11" i="6"/>
  <c r="AH199" i="6"/>
  <c r="AF187" i="6"/>
  <c r="AF163" i="6"/>
  <c r="AG163" i="6"/>
  <c r="AH163" i="6"/>
  <c r="AI163" i="6"/>
  <c r="AF151" i="6"/>
  <c r="AH151" i="6"/>
  <c r="AF139" i="6"/>
  <c r="AF127" i="6"/>
  <c r="AH127" i="6"/>
  <c r="AF115" i="6"/>
  <c r="AH115" i="6"/>
  <c r="AG115" i="6"/>
  <c r="AI115" i="6"/>
  <c r="AF103" i="6"/>
  <c r="AI103" i="6"/>
  <c r="AH103" i="6"/>
  <c r="AG103" i="6"/>
  <c r="AF91" i="6"/>
  <c r="AH91" i="6"/>
  <c r="AF79" i="6"/>
  <c r="AH79" i="6"/>
  <c r="AF67" i="6"/>
  <c r="AI67" i="6"/>
  <c r="AF55" i="6"/>
  <c r="AI55" i="6"/>
  <c r="AH43" i="6"/>
  <c r="AG43" i="6"/>
  <c r="AI10" i="6"/>
  <c r="AF198" i="6"/>
  <c r="AH186" i="6"/>
  <c r="AF162" i="6"/>
  <c r="AG162" i="6"/>
  <c r="AH162" i="6"/>
  <c r="AI162" i="6"/>
  <c r="AG150" i="6"/>
  <c r="AH150" i="6"/>
  <c r="AG138" i="6"/>
  <c r="AG126" i="6"/>
  <c r="AH126" i="6"/>
  <c r="AF114" i="6"/>
  <c r="AG114" i="6"/>
  <c r="AH114" i="6"/>
  <c r="AI114" i="6"/>
  <c r="AF102" i="6"/>
  <c r="AG102" i="6"/>
  <c r="AH102" i="6"/>
  <c r="AI102" i="6"/>
  <c r="AF90" i="6"/>
  <c r="AH90" i="6"/>
  <c r="AI78" i="6"/>
  <c r="AF54" i="6"/>
  <c r="AH54" i="6"/>
  <c r="AG42" i="6"/>
  <c r="AH42" i="6"/>
  <c r="AF30" i="6"/>
  <c r="AH30" i="6"/>
  <c r="AG18" i="6"/>
  <c r="AF9" i="6"/>
  <c r="AG9" i="6"/>
  <c r="AH9" i="6"/>
  <c r="AI9" i="6"/>
  <c r="AI197" i="6"/>
  <c r="AG185" i="6"/>
  <c r="AF161" i="6"/>
  <c r="AG161" i="6"/>
  <c r="AH161" i="6"/>
  <c r="AI161" i="6"/>
  <c r="AI149" i="6"/>
  <c r="AG149" i="6"/>
  <c r="AI137" i="6"/>
  <c r="AF125" i="6"/>
  <c r="AI125" i="6"/>
  <c r="AH113" i="6"/>
  <c r="AI113" i="6"/>
  <c r="AF113" i="6"/>
  <c r="AG113" i="6"/>
  <c r="AH101" i="6"/>
  <c r="AF101" i="6"/>
  <c r="AG101" i="6"/>
  <c r="AI101" i="6"/>
  <c r="AG89" i="6"/>
  <c r="AI89" i="6"/>
  <c r="AI77" i="6"/>
  <c r="AG77" i="6"/>
  <c r="AH65" i="6"/>
  <c r="AI65" i="6"/>
  <c r="AF65" i="6"/>
  <c r="AG65" i="6"/>
  <c r="AF53" i="6"/>
  <c r="AG53" i="6"/>
  <c r="AH53" i="6"/>
  <c r="AI53" i="6"/>
  <c r="AI41" i="6"/>
  <c r="AF41" i="6"/>
  <c r="AG29" i="6"/>
  <c r="AH17" i="6"/>
  <c r="AB2" i="6"/>
  <c r="BT2" i="6" s="1"/>
  <c r="AF8" i="6"/>
  <c r="AI8" i="6"/>
  <c r="AH184" i="6"/>
  <c r="AF172" i="6"/>
  <c r="AG172" i="6"/>
  <c r="AH172" i="6"/>
  <c r="AI172" i="6"/>
  <c r="AF160" i="6"/>
  <c r="AH160" i="6"/>
  <c r="AI160" i="6"/>
  <c r="AG160" i="6"/>
  <c r="AI124" i="6"/>
  <c r="AG124" i="6"/>
  <c r="AI112" i="6"/>
  <c r="AG76" i="6"/>
  <c r="AI76" i="6"/>
  <c r="AF64" i="6"/>
  <c r="AG64" i="6"/>
  <c r="AI64" i="6"/>
  <c r="AH64" i="6"/>
  <c r="AG28" i="6"/>
  <c r="AF16" i="6"/>
  <c r="AG170" i="6"/>
  <c r="AI170" i="6"/>
  <c r="AH170" i="6"/>
  <c r="AF170" i="6"/>
  <c r="AG122" i="6"/>
  <c r="AH122" i="6"/>
  <c r="AF74" i="6"/>
  <c r="AG74" i="6"/>
  <c r="AI74" i="6"/>
  <c r="AH74" i="6"/>
  <c r="AH50" i="6"/>
  <c r="AG26" i="6"/>
  <c r="AH26" i="6"/>
  <c r="AI181" i="6"/>
  <c r="AG109" i="6"/>
  <c r="AF49" i="6"/>
  <c r="AG4" i="6"/>
  <c r="AF4" i="6"/>
  <c r="AH4" i="6"/>
  <c r="AI4" i="6"/>
  <c r="AF156" i="6"/>
  <c r="AI156" i="6"/>
  <c r="AG7" i="6"/>
  <c r="AI7" i="6"/>
  <c r="AF183" i="6"/>
  <c r="AF171" i="6"/>
  <c r="AG171" i="6"/>
  <c r="AH171" i="6"/>
  <c r="AI171" i="6"/>
  <c r="AF159" i="6"/>
  <c r="AG159" i="6"/>
  <c r="AH159" i="6"/>
  <c r="AI159" i="6"/>
  <c r="AF123" i="6"/>
  <c r="AH123" i="6"/>
  <c r="AF111" i="6"/>
  <c r="AF87" i="6"/>
  <c r="AI87" i="6"/>
  <c r="AG75" i="6"/>
  <c r="AH75" i="6"/>
  <c r="AI51" i="6"/>
  <c r="AG39" i="6"/>
  <c r="AI27" i="6"/>
  <c r="AG182" i="6"/>
  <c r="AG158" i="6"/>
  <c r="AH158" i="6"/>
  <c r="AI158" i="6"/>
  <c r="AF158" i="6"/>
  <c r="AH110" i="6"/>
  <c r="AF86" i="6"/>
  <c r="AG86" i="6"/>
  <c r="AH86" i="6"/>
  <c r="AI86" i="6"/>
  <c r="AG38" i="6"/>
  <c r="AH38" i="6"/>
  <c r="AF169" i="6"/>
  <c r="AG169" i="6"/>
  <c r="AH169" i="6"/>
  <c r="AI169" i="6"/>
  <c r="AF73" i="6"/>
  <c r="AG73" i="6"/>
  <c r="AI73" i="6"/>
  <c r="AH73" i="6"/>
  <c r="AF25" i="6"/>
  <c r="AI25" i="6"/>
  <c r="AF192" i="6"/>
  <c r="AI132" i="6"/>
  <c r="AH191" i="6"/>
  <c r="AF179" i="6"/>
  <c r="AF167" i="6"/>
  <c r="AG167" i="6"/>
  <c r="AH167" i="6"/>
  <c r="AI167" i="6"/>
  <c r="AF155" i="6"/>
  <c r="AH155" i="6"/>
  <c r="AF143" i="6"/>
  <c r="AF131" i="6"/>
  <c r="AF119" i="6"/>
  <c r="AH119" i="6"/>
  <c r="AI119" i="6"/>
  <c r="AG119" i="6"/>
  <c r="AF107" i="6"/>
  <c r="AH107" i="6"/>
  <c r="AG95" i="6"/>
  <c r="AF95" i="6"/>
  <c r="AI95" i="6"/>
  <c r="AH95" i="6"/>
  <c r="AI83" i="6"/>
  <c r="AG71" i="6"/>
  <c r="AF59" i="6"/>
  <c r="AG59" i="6"/>
  <c r="AH59" i="6"/>
  <c r="AI59" i="6"/>
  <c r="AF47" i="6"/>
  <c r="AH47" i="6"/>
  <c r="AF35" i="6"/>
  <c r="AI35" i="6"/>
  <c r="AF23" i="6"/>
  <c r="AG23" i="6"/>
  <c r="AH23" i="6"/>
  <c r="AI23" i="6"/>
  <c r="AF168" i="6"/>
  <c r="AG168" i="6"/>
  <c r="AH168" i="6"/>
  <c r="AI168" i="6"/>
  <c r="AF120" i="6"/>
  <c r="AG120" i="6"/>
  <c r="AH120" i="6"/>
  <c r="AI120" i="6"/>
  <c r="AF48" i="6"/>
  <c r="AG48" i="6"/>
  <c r="AH48" i="6"/>
  <c r="AI48" i="6"/>
  <c r="AG24" i="6"/>
  <c r="AI24" i="6"/>
  <c r="AH14" i="6"/>
  <c r="AF14" i="6"/>
  <c r="AG190" i="6"/>
  <c r="AG178" i="6"/>
  <c r="AF166" i="6"/>
  <c r="AI166" i="6"/>
  <c r="AG166" i="6"/>
  <c r="AH166" i="6"/>
  <c r="AG154" i="6"/>
  <c r="AH154" i="6"/>
  <c r="AG142" i="6"/>
  <c r="AH130" i="6"/>
  <c r="AF118" i="6"/>
  <c r="AG118" i="6"/>
  <c r="AI118" i="6"/>
  <c r="AH118" i="6"/>
  <c r="AG106" i="6"/>
  <c r="AH106" i="6"/>
  <c r="AH82" i="6"/>
  <c r="AG70" i="6"/>
  <c r="AH70" i="6"/>
  <c r="AF58" i="6"/>
  <c r="AH58" i="6"/>
  <c r="AI46" i="6"/>
  <c r="AF157" i="6"/>
  <c r="AG157" i="6"/>
  <c r="AH157" i="6"/>
  <c r="AI157" i="6"/>
  <c r="AF121" i="6"/>
  <c r="AI121" i="6"/>
  <c r="AF85" i="6"/>
  <c r="AG85" i="6"/>
  <c r="AH85" i="6"/>
  <c r="AI85" i="6"/>
  <c r="AH37" i="6"/>
  <c r="AH180" i="6"/>
  <c r="AH144" i="6"/>
  <c r="AF108" i="6"/>
  <c r="AI108" i="6"/>
  <c r="AF60" i="6"/>
  <c r="AF36" i="6"/>
  <c r="AG36" i="6"/>
  <c r="AH36" i="6"/>
  <c r="AI36" i="6"/>
  <c r="AF13" i="6"/>
  <c r="AH13" i="6"/>
  <c r="AG13" i="6"/>
  <c r="AI13" i="6"/>
  <c r="AI189" i="6"/>
  <c r="AI177" i="6"/>
  <c r="AF165" i="6"/>
  <c r="AG165" i="6"/>
  <c r="AH165" i="6"/>
  <c r="AI165" i="6"/>
  <c r="AG153" i="6"/>
  <c r="AI153" i="6"/>
  <c r="AI141" i="6"/>
  <c r="AG129" i="6"/>
  <c r="AF117" i="6"/>
  <c r="AG117" i="6"/>
  <c r="AH117" i="6"/>
  <c r="AI117" i="6"/>
  <c r="AG105" i="6"/>
  <c r="AI105" i="6"/>
  <c r="AF93" i="6"/>
  <c r="AG93" i="6"/>
  <c r="AH93" i="6"/>
  <c r="AI93" i="6"/>
  <c r="AF81" i="6"/>
  <c r="AH69" i="6"/>
  <c r="AG57" i="6"/>
  <c r="AI57" i="6"/>
  <c r="AG45" i="6"/>
  <c r="AI45" i="6"/>
  <c r="AH33" i="6"/>
  <c r="AF21" i="6"/>
  <c r="AG21" i="6"/>
  <c r="AH21" i="6"/>
  <c r="AI21" i="6"/>
  <c r="AK9" i="6"/>
  <c r="AJ9" i="6"/>
  <c r="AQ9" i="6"/>
  <c r="AN9" i="6"/>
  <c r="AO9" i="6"/>
  <c r="AP9" i="6"/>
  <c r="AL9" i="6"/>
  <c r="AM9" i="6"/>
  <c r="AK149" i="6"/>
  <c r="AL149" i="6"/>
  <c r="AM149" i="6"/>
  <c r="AO149" i="6"/>
  <c r="AP149" i="6"/>
  <c r="AQ149" i="6"/>
  <c r="AK101" i="6"/>
  <c r="AL101" i="6"/>
  <c r="AN101" i="6"/>
  <c r="AP101" i="6"/>
  <c r="AO101" i="6"/>
  <c r="AM101" i="6"/>
  <c r="AQ101" i="6"/>
  <c r="AJ101" i="6"/>
  <c r="AK29" i="6"/>
  <c r="AL29" i="6"/>
  <c r="AO29" i="6"/>
  <c r="AP29" i="6"/>
  <c r="AL184" i="6"/>
  <c r="AJ184" i="6"/>
  <c r="AN184" i="6"/>
  <c r="AP184" i="6"/>
  <c r="AL100" i="6"/>
  <c r="AM100" i="6"/>
  <c r="AP100" i="6"/>
  <c r="AQ100" i="6"/>
  <c r="AK28" i="6"/>
  <c r="AL28" i="6"/>
  <c r="AP28" i="6"/>
  <c r="AO28" i="6"/>
  <c r="AJ183" i="6"/>
  <c r="AN183" i="6"/>
  <c r="AM183" i="6"/>
  <c r="AQ183" i="6"/>
  <c r="AQ123" i="6"/>
  <c r="AL123" i="6"/>
  <c r="AM123" i="6"/>
  <c r="AJ123" i="6"/>
  <c r="AN123" i="6"/>
  <c r="AP123" i="6"/>
  <c r="AQ63" i="6"/>
  <c r="AL63" i="6"/>
  <c r="AP63" i="6"/>
  <c r="AM63" i="6"/>
  <c r="AQ194" i="6"/>
  <c r="AM194" i="6"/>
  <c r="AJ122" i="6"/>
  <c r="AL122" i="6"/>
  <c r="AN122" i="6"/>
  <c r="AO122" i="6"/>
  <c r="AP122" i="6"/>
  <c r="AK122" i="6"/>
  <c r="AJ62" i="6"/>
  <c r="AK62" i="6"/>
  <c r="AN62" i="6"/>
  <c r="AO62" i="6"/>
  <c r="AJ38" i="6"/>
  <c r="AK38" i="6"/>
  <c r="AL38" i="6"/>
  <c r="AP38" i="6"/>
  <c r="AN38" i="6"/>
  <c r="AO38" i="6"/>
  <c r="AK181" i="6"/>
  <c r="AQ181" i="6"/>
  <c r="AM181" i="6"/>
  <c r="AO181" i="6"/>
  <c r="AK145" i="6"/>
  <c r="AN145" i="6"/>
  <c r="AO145" i="6"/>
  <c r="AJ145" i="6"/>
  <c r="AK109" i="6"/>
  <c r="AL109" i="6"/>
  <c r="AP109" i="6"/>
  <c r="AO109" i="6"/>
  <c r="AL61" i="6"/>
  <c r="AM61" i="6"/>
  <c r="AP61" i="6"/>
  <c r="AQ61" i="6"/>
  <c r="AJ25" i="6"/>
  <c r="AK25" i="6"/>
  <c r="AM25" i="6"/>
  <c r="AN25" i="6"/>
  <c r="AO25" i="6"/>
  <c r="AQ25" i="6"/>
  <c r="AJ192" i="6"/>
  <c r="AM192" i="6"/>
  <c r="AN192" i="6"/>
  <c r="AQ192" i="6"/>
  <c r="AK156" i="6"/>
  <c r="AQ156" i="6"/>
  <c r="AJ156" i="6"/>
  <c r="AN156" i="6"/>
  <c r="AO156" i="6"/>
  <c r="AM156" i="6"/>
  <c r="AK120" i="6"/>
  <c r="AQ120" i="6"/>
  <c r="AJ120" i="6"/>
  <c r="AL120" i="6"/>
  <c r="AM120" i="6"/>
  <c r="AN120" i="6"/>
  <c r="AO120" i="6"/>
  <c r="AP120" i="6"/>
  <c r="AM72" i="6"/>
  <c r="AQ72" i="6"/>
  <c r="AK36" i="6"/>
  <c r="AM36" i="6"/>
  <c r="AQ36" i="6"/>
  <c r="AN36" i="6"/>
  <c r="AJ36" i="6"/>
  <c r="AP36" i="6"/>
  <c r="AL36" i="6"/>
  <c r="AO36" i="6"/>
  <c r="AL3" i="6"/>
  <c r="AM3" i="6"/>
  <c r="AQ3" i="6"/>
  <c r="AP3" i="6"/>
  <c r="AN191" i="6"/>
  <c r="AJ191" i="6"/>
  <c r="AL191" i="6"/>
  <c r="AP191" i="6"/>
  <c r="AJ179" i="6"/>
  <c r="AM179" i="6"/>
  <c r="AN179" i="6"/>
  <c r="AQ179" i="6"/>
  <c r="AJ167" i="6"/>
  <c r="AN167" i="6"/>
  <c r="AO167" i="6"/>
  <c r="AP167" i="6"/>
  <c r="AQ167" i="6"/>
  <c r="AK167" i="6"/>
  <c r="AL167" i="6"/>
  <c r="AM167" i="6"/>
  <c r="AJ155" i="6"/>
  <c r="AN155" i="6"/>
  <c r="AP155" i="6"/>
  <c r="AQ155" i="6"/>
  <c r="AL155" i="6"/>
  <c r="AM155" i="6"/>
  <c r="AJ143" i="6"/>
  <c r="AM143" i="6"/>
  <c r="AN143" i="6"/>
  <c r="AQ143" i="6"/>
  <c r="AJ131" i="6"/>
  <c r="AM131" i="6"/>
  <c r="AN131" i="6"/>
  <c r="AQ131" i="6"/>
  <c r="AK119" i="6"/>
  <c r="AL119" i="6"/>
  <c r="AJ119" i="6"/>
  <c r="AN119" i="6"/>
  <c r="AM119" i="6"/>
  <c r="AP119" i="6"/>
  <c r="AQ119" i="6"/>
  <c r="AO119" i="6"/>
  <c r="AL107" i="6"/>
  <c r="AM107" i="6"/>
  <c r="AN107" i="6"/>
  <c r="AP107" i="6"/>
  <c r="AQ107" i="6"/>
  <c r="AJ107" i="6"/>
  <c r="AL95" i="6"/>
  <c r="AJ95" i="6"/>
  <c r="AM95" i="6"/>
  <c r="AQ95" i="6"/>
  <c r="AK95" i="6"/>
  <c r="AP95" i="6"/>
  <c r="AN95" i="6"/>
  <c r="AO95" i="6"/>
  <c r="AK83" i="6"/>
  <c r="AM83" i="6"/>
  <c r="AQ83" i="6"/>
  <c r="AO83" i="6"/>
  <c r="AK71" i="6"/>
  <c r="AL71" i="6"/>
  <c r="AO71" i="6"/>
  <c r="AP71" i="6"/>
  <c r="AL59" i="6"/>
  <c r="AN59" i="6"/>
  <c r="AO59" i="6"/>
  <c r="AP59" i="6"/>
  <c r="AQ59" i="6"/>
  <c r="AJ59" i="6"/>
  <c r="AK59" i="6"/>
  <c r="AM59" i="6"/>
  <c r="AL47" i="6"/>
  <c r="AJ47" i="6"/>
  <c r="AN47" i="6"/>
  <c r="AP47" i="6"/>
  <c r="AM47" i="6"/>
  <c r="AQ47" i="6"/>
  <c r="AK35" i="6"/>
  <c r="AO35" i="6"/>
  <c r="AN35" i="6"/>
  <c r="AM35" i="6"/>
  <c r="AJ35" i="6"/>
  <c r="AQ35" i="6"/>
  <c r="AL23" i="6"/>
  <c r="AM23" i="6"/>
  <c r="AK23" i="6"/>
  <c r="AN23" i="6"/>
  <c r="AO23" i="6"/>
  <c r="AP23" i="6"/>
  <c r="AJ23" i="6"/>
  <c r="AQ23" i="6"/>
  <c r="AL173" i="6"/>
  <c r="AM173" i="6"/>
  <c r="AP173" i="6"/>
  <c r="AQ173" i="6"/>
  <c r="AL113" i="6"/>
  <c r="AJ113" i="6"/>
  <c r="AQ113" i="6"/>
  <c r="AM113" i="6"/>
  <c r="AK113" i="6"/>
  <c r="AN113" i="6"/>
  <c r="AO113" i="6"/>
  <c r="AP113" i="6"/>
  <c r="AK65" i="6"/>
  <c r="AL65" i="6"/>
  <c r="AJ65" i="6"/>
  <c r="AO65" i="6"/>
  <c r="AN65" i="6"/>
  <c r="AP65" i="6"/>
  <c r="AQ65" i="6"/>
  <c r="AM65" i="6"/>
  <c r="AJ196" i="6"/>
  <c r="AN196" i="6"/>
  <c r="AO196" i="6"/>
  <c r="AK196" i="6"/>
  <c r="AM136" i="6"/>
  <c r="AQ136" i="6"/>
  <c r="AK76" i="6"/>
  <c r="AL76" i="6"/>
  <c r="AM76" i="6"/>
  <c r="AP76" i="6"/>
  <c r="AQ76" i="6"/>
  <c r="AO76" i="6"/>
  <c r="AJ16" i="6"/>
  <c r="AM16" i="6"/>
  <c r="AN16" i="6"/>
  <c r="AQ16" i="6"/>
  <c r="AK195" i="6"/>
  <c r="AO195" i="6"/>
  <c r="AK159" i="6"/>
  <c r="AJ159" i="6"/>
  <c r="AQ159" i="6"/>
  <c r="AL159" i="6"/>
  <c r="AM159" i="6"/>
  <c r="AN159" i="6"/>
  <c r="AO159" i="6"/>
  <c r="AP159" i="6"/>
  <c r="AK87" i="6"/>
  <c r="AQ87" i="6"/>
  <c r="AJ87" i="6"/>
  <c r="AM87" i="6"/>
  <c r="AO87" i="6"/>
  <c r="AN87" i="6"/>
  <c r="AK15" i="6"/>
  <c r="AJ15" i="6"/>
  <c r="AN15" i="6"/>
  <c r="AO15" i="6"/>
  <c r="AO182" i="6"/>
  <c r="AP182" i="6"/>
  <c r="AK182" i="6"/>
  <c r="AL182" i="6"/>
  <c r="AK134" i="6"/>
  <c r="AO134" i="6"/>
  <c r="AJ98" i="6"/>
  <c r="AK98" i="6"/>
  <c r="AN98" i="6"/>
  <c r="AO98" i="6"/>
  <c r="AJ50" i="6"/>
  <c r="AL50" i="6"/>
  <c r="AP50" i="6"/>
  <c r="AN50" i="6"/>
  <c r="AL5" i="6"/>
  <c r="AM5" i="6"/>
  <c r="AP5" i="6"/>
  <c r="AQ5" i="6"/>
  <c r="AQ169" i="6"/>
  <c r="AK169" i="6"/>
  <c r="AM169" i="6"/>
  <c r="AL169" i="6"/>
  <c r="AO169" i="6"/>
  <c r="AN169" i="6"/>
  <c r="AJ169" i="6"/>
  <c r="AP169" i="6"/>
  <c r="AN133" i="6"/>
  <c r="AJ133" i="6"/>
  <c r="AJ97" i="6"/>
  <c r="AK97" i="6"/>
  <c r="AN97" i="6"/>
  <c r="AO97" i="6"/>
  <c r="AJ73" i="6"/>
  <c r="AK73" i="6"/>
  <c r="AL73" i="6"/>
  <c r="AM73" i="6"/>
  <c r="AN73" i="6"/>
  <c r="AO73" i="6"/>
  <c r="AP73" i="6"/>
  <c r="AQ73" i="6"/>
  <c r="AJ37" i="6"/>
  <c r="AL37" i="6"/>
  <c r="AN37" i="6"/>
  <c r="AP37" i="6"/>
  <c r="AN180" i="6"/>
  <c r="AL180" i="6"/>
  <c r="AP180" i="6"/>
  <c r="AJ180" i="6"/>
  <c r="AN144" i="6"/>
  <c r="AP144" i="6"/>
  <c r="AJ144" i="6"/>
  <c r="AL144" i="6"/>
  <c r="AK108" i="6"/>
  <c r="AM108" i="6"/>
  <c r="AQ108" i="6"/>
  <c r="AJ108" i="6"/>
  <c r="AN108" i="6"/>
  <c r="AO108" i="6"/>
  <c r="AJ84" i="6"/>
  <c r="AN84" i="6"/>
  <c r="AK48" i="6"/>
  <c r="AQ48" i="6"/>
  <c r="AJ48" i="6"/>
  <c r="AN48" i="6"/>
  <c r="AM48" i="6"/>
  <c r="AL48" i="6"/>
  <c r="AO48" i="6"/>
  <c r="AP48" i="6"/>
  <c r="AJ14" i="6"/>
  <c r="AN14" i="6"/>
  <c r="AP14" i="6"/>
  <c r="AQ14" i="6"/>
  <c r="AL14" i="6"/>
  <c r="AM14" i="6"/>
  <c r="AL202" i="6"/>
  <c r="AP202" i="6"/>
  <c r="AK190" i="6"/>
  <c r="AO190" i="6"/>
  <c r="AL190" i="6"/>
  <c r="AP190" i="6"/>
  <c r="AL178" i="6"/>
  <c r="AK178" i="6"/>
  <c r="AO178" i="6"/>
  <c r="AP178" i="6"/>
  <c r="AL166" i="6"/>
  <c r="AM166" i="6"/>
  <c r="AQ166" i="6"/>
  <c r="AK166" i="6"/>
  <c r="AN166" i="6"/>
  <c r="AO166" i="6"/>
  <c r="AP166" i="6"/>
  <c r="AJ166" i="6"/>
  <c r="AK154" i="6"/>
  <c r="AL154" i="6"/>
  <c r="AJ154" i="6"/>
  <c r="AN154" i="6"/>
  <c r="AP154" i="6"/>
  <c r="AO154" i="6"/>
  <c r="AO142" i="6"/>
  <c r="AK142" i="6"/>
  <c r="AL142" i="6"/>
  <c r="AP142" i="6"/>
  <c r="AJ130" i="6"/>
  <c r="AN130" i="6"/>
  <c r="AL130" i="6"/>
  <c r="AP130" i="6"/>
  <c r="AJ118" i="6"/>
  <c r="AK118" i="6"/>
  <c r="AL118" i="6"/>
  <c r="AM118" i="6"/>
  <c r="AN118" i="6"/>
  <c r="AO118" i="6"/>
  <c r="AP118" i="6"/>
  <c r="AQ118" i="6"/>
  <c r="AJ106" i="6"/>
  <c r="AK106" i="6"/>
  <c r="AL106" i="6"/>
  <c r="AN106" i="6"/>
  <c r="AO106" i="6"/>
  <c r="AP106" i="6"/>
  <c r="AL94" i="6"/>
  <c r="AM94" i="6"/>
  <c r="AQ94" i="6"/>
  <c r="AP94" i="6"/>
  <c r="AJ82" i="6"/>
  <c r="AL82" i="6"/>
  <c r="AN82" i="6"/>
  <c r="AP82" i="6"/>
  <c r="AJ70" i="6"/>
  <c r="AK70" i="6"/>
  <c r="AL70" i="6"/>
  <c r="AN70" i="6"/>
  <c r="AP70" i="6"/>
  <c r="AO70" i="6"/>
  <c r="AJ58" i="6"/>
  <c r="AL58" i="6"/>
  <c r="AM58" i="6"/>
  <c r="AN58" i="6"/>
  <c r="AP58" i="6"/>
  <c r="AQ58" i="6"/>
  <c r="AK46" i="6"/>
  <c r="AM46" i="6"/>
  <c r="AQ46" i="6"/>
  <c r="AO46" i="6"/>
  <c r="AJ34" i="6"/>
  <c r="AK34" i="6"/>
  <c r="AN34" i="6"/>
  <c r="AO34" i="6"/>
  <c r="AK22" i="6"/>
  <c r="AO22" i="6"/>
  <c r="AJ161" i="6"/>
  <c r="AK161" i="6"/>
  <c r="AM161" i="6"/>
  <c r="AN161" i="6"/>
  <c r="AO161" i="6"/>
  <c r="AP161" i="6"/>
  <c r="AQ161" i="6"/>
  <c r="AL161" i="6"/>
  <c r="AL77" i="6"/>
  <c r="AM77" i="6"/>
  <c r="AQ77" i="6"/>
  <c r="AK77" i="6"/>
  <c r="AO77" i="6"/>
  <c r="AP77" i="6"/>
  <c r="AJ17" i="6"/>
  <c r="AL17" i="6"/>
  <c r="AN17" i="6"/>
  <c r="AP17" i="6"/>
  <c r="AP160" i="6"/>
  <c r="AJ160" i="6"/>
  <c r="AQ160" i="6"/>
  <c r="AK160" i="6"/>
  <c r="AL160" i="6"/>
  <c r="AM160" i="6"/>
  <c r="AN160" i="6"/>
  <c r="AO160" i="6"/>
  <c r="AK112" i="6"/>
  <c r="AM112" i="6"/>
  <c r="AQ112" i="6"/>
  <c r="AO112" i="6"/>
  <c r="AJ52" i="6"/>
  <c r="AN52" i="6"/>
  <c r="AK7" i="6"/>
  <c r="AL7" i="6"/>
  <c r="AM7" i="6"/>
  <c r="AP7" i="6"/>
  <c r="AQ7" i="6"/>
  <c r="AO7" i="6"/>
  <c r="AL135" i="6"/>
  <c r="AP135" i="6"/>
  <c r="AK75" i="6"/>
  <c r="AJ75" i="6"/>
  <c r="AL75" i="6"/>
  <c r="AN75" i="6"/>
  <c r="AP75" i="6"/>
  <c r="AO75" i="6"/>
  <c r="AK39" i="6"/>
  <c r="AL39" i="6"/>
  <c r="AO39" i="6"/>
  <c r="AP39" i="6"/>
  <c r="AJ146" i="6"/>
  <c r="AK146" i="6"/>
  <c r="AN146" i="6"/>
  <c r="AO146" i="6"/>
  <c r="AJ86" i="6"/>
  <c r="AN86" i="6"/>
  <c r="AO86" i="6"/>
  <c r="AP86" i="6"/>
  <c r="AK86" i="6"/>
  <c r="AM86" i="6"/>
  <c r="AL86" i="6"/>
  <c r="AQ86" i="6"/>
  <c r="AJ26" i="6"/>
  <c r="AK26" i="6"/>
  <c r="AL26" i="6"/>
  <c r="AP26" i="6"/>
  <c r="AN26" i="6"/>
  <c r="AO26" i="6"/>
  <c r="AM193" i="6"/>
  <c r="AQ193" i="6"/>
  <c r="AL193" i="6"/>
  <c r="AP193" i="6"/>
  <c r="AL157" i="6"/>
  <c r="AM157" i="6"/>
  <c r="AO157" i="6"/>
  <c r="AJ157" i="6"/>
  <c r="AP157" i="6"/>
  <c r="AQ157" i="6"/>
  <c r="AK157" i="6"/>
  <c r="AN157" i="6"/>
  <c r="AJ121" i="6"/>
  <c r="AK121" i="6"/>
  <c r="AM121" i="6"/>
  <c r="AN121" i="6"/>
  <c r="AO121" i="6"/>
  <c r="AQ121" i="6"/>
  <c r="AJ85" i="6"/>
  <c r="AK85" i="6"/>
  <c r="AL85" i="6"/>
  <c r="AM85" i="6"/>
  <c r="AN85" i="6"/>
  <c r="AO85" i="6"/>
  <c r="AP85" i="6"/>
  <c r="AQ85" i="6"/>
  <c r="AJ49" i="6"/>
  <c r="AM49" i="6"/>
  <c r="AN49" i="6"/>
  <c r="AQ49" i="6"/>
  <c r="AJ4" i="6"/>
  <c r="AK4" i="6"/>
  <c r="AL4" i="6"/>
  <c r="AM4" i="6"/>
  <c r="AN4" i="6"/>
  <c r="AP4" i="6"/>
  <c r="AQ4" i="6"/>
  <c r="AO4" i="6"/>
  <c r="AK168" i="6"/>
  <c r="AJ168" i="6"/>
  <c r="AL168" i="6"/>
  <c r="AM168" i="6"/>
  <c r="AN168" i="6"/>
  <c r="AQ168" i="6"/>
  <c r="AO168" i="6"/>
  <c r="AP168" i="6"/>
  <c r="AK132" i="6"/>
  <c r="AQ132" i="6"/>
  <c r="AM132" i="6"/>
  <c r="AO132" i="6"/>
  <c r="AK96" i="6"/>
  <c r="AJ96" i="6"/>
  <c r="AN96" i="6"/>
  <c r="AO96" i="6"/>
  <c r="AM60" i="6"/>
  <c r="AQ60" i="6"/>
  <c r="AN60" i="6"/>
  <c r="AJ60" i="6"/>
  <c r="AK24" i="6"/>
  <c r="AL24" i="6"/>
  <c r="AM24" i="6"/>
  <c r="AQ24" i="6"/>
  <c r="AO24" i="6"/>
  <c r="AP24" i="6"/>
  <c r="AJ13" i="6"/>
  <c r="AK13" i="6"/>
  <c r="AL13" i="6"/>
  <c r="AM13" i="6"/>
  <c r="AN13" i="6"/>
  <c r="AP13" i="6"/>
  <c r="AQ13" i="6"/>
  <c r="AO13" i="6"/>
  <c r="AJ201" i="6"/>
  <c r="AN201" i="6"/>
  <c r="AM189" i="6"/>
  <c r="AK189" i="6"/>
  <c r="AQ189" i="6"/>
  <c r="AO189" i="6"/>
  <c r="AK177" i="6"/>
  <c r="AQ177" i="6"/>
  <c r="AM177" i="6"/>
  <c r="AO177" i="6"/>
  <c r="AK165" i="6"/>
  <c r="AJ165" i="6"/>
  <c r="AM165" i="6"/>
  <c r="AL165" i="6"/>
  <c r="AN165" i="6"/>
  <c r="AP165" i="6"/>
  <c r="AQ165" i="6"/>
  <c r="AO165" i="6"/>
  <c r="AK153" i="6"/>
  <c r="AQ153" i="6"/>
  <c r="AL153" i="6"/>
  <c r="AM153" i="6"/>
  <c r="AO153" i="6"/>
  <c r="AP153" i="6"/>
  <c r="AK141" i="6"/>
  <c r="AQ141" i="6"/>
  <c r="AO141" i="6"/>
  <c r="AM141" i="6"/>
  <c r="AK129" i="6"/>
  <c r="AL129" i="6"/>
  <c r="AP129" i="6"/>
  <c r="AO129" i="6"/>
  <c r="AK117" i="6"/>
  <c r="AJ117" i="6"/>
  <c r="AQ117" i="6"/>
  <c r="AO117" i="6"/>
  <c r="AP117" i="6"/>
  <c r="AL117" i="6"/>
  <c r="AM117" i="6"/>
  <c r="AN117" i="6"/>
  <c r="AK105" i="6"/>
  <c r="AL105" i="6"/>
  <c r="AQ105" i="6"/>
  <c r="AM105" i="6"/>
  <c r="AO105" i="6"/>
  <c r="AP105" i="6"/>
  <c r="AK93" i="6"/>
  <c r="AJ93" i="6"/>
  <c r="AQ93" i="6"/>
  <c r="AL93" i="6"/>
  <c r="AM93" i="6"/>
  <c r="AN93" i="6"/>
  <c r="AO93" i="6"/>
  <c r="AP93" i="6"/>
  <c r="AJ81" i="6"/>
  <c r="AM81" i="6"/>
  <c r="AQ81" i="6"/>
  <c r="AN81" i="6"/>
  <c r="AJ69" i="6"/>
  <c r="AL69" i="6"/>
  <c r="AN69" i="6"/>
  <c r="AP69" i="6"/>
  <c r="AK57" i="6"/>
  <c r="AL57" i="6"/>
  <c r="AQ57" i="6"/>
  <c r="AM57" i="6"/>
  <c r="AP57" i="6"/>
  <c r="AO57" i="6"/>
  <c r="AK45" i="6"/>
  <c r="AQ45" i="6"/>
  <c r="AM45" i="6"/>
  <c r="AL45" i="6"/>
  <c r="AO45" i="6"/>
  <c r="AP45" i="6"/>
  <c r="AJ33" i="6"/>
  <c r="AL33" i="6"/>
  <c r="AN33" i="6"/>
  <c r="AP33" i="6"/>
  <c r="AK21" i="6"/>
  <c r="AJ21" i="6"/>
  <c r="AL21" i="6"/>
  <c r="AQ21" i="6"/>
  <c r="AM21" i="6"/>
  <c r="AN21" i="6"/>
  <c r="AO21" i="6"/>
  <c r="AP21" i="6"/>
  <c r="AM197" i="6"/>
  <c r="AO197" i="6"/>
  <c r="AQ197" i="6"/>
  <c r="AK197" i="6"/>
  <c r="AK137" i="6"/>
  <c r="AM137" i="6"/>
  <c r="AQ137" i="6"/>
  <c r="AO137" i="6"/>
  <c r="AK89" i="6"/>
  <c r="AO89" i="6"/>
  <c r="AP89" i="6"/>
  <c r="AL89" i="6"/>
  <c r="AQ89" i="6"/>
  <c r="AM89" i="6"/>
  <c r="AM41" i="6"/>
  <c r="AJ41" i="6"/>
  <c r="AN41" i="6"/>
  <c r="AK41" i="6"/>
  <c r="AO41" i="6"/>
  <c r="AQ41" i="6"/>
  <c r="AK172" i="6"/>
  <c r="AL172" i="6"/>
  <c r="AQ172" i="6"/>
  <c r="AN172" i="6"/>
  <c r="AO172" i="6"/>
  <c r="AM172" i="6"/>
  <c r="AP172" i="6"/>
  <c r="AJ172" i="6"/>
  <c r="AL88" i="6"/>
  <c r="AP88" i="6"/>
  <c r="AM40" i="6"/>
  <c r="AQ40" i="6"/>
  <c r="AK171" i="6"/>
  <c r="AN171" i="6"/>
  <c r="AJ171" i="6"/>
  <c r="AL171" i="6"/>
  <c r="AP171" i="6"/>
  <c r="AQ171" i="6"/>
  <c r="AO171" i="6"/>
  <c r="AM171" i="6"/>
  <c r="AJ111" i="6"/>
  <c r="AQ111" i="6"/>
  <c r="AN111" i="6"/>
  <c r="AM111" i="6"/>
  <c r="AK27" i="6"/>
  <c r="AQ27" i="6"/>
  <c r="AM27" i="6"/>
  <c r="AO27" i="6"/>
  <c r="AJ170" i="6"/>
  <c r="AK170" i="6"/>
  <c r="AM170" i="6"/>
  <c r="AL170" i="6"/>
  <c r="AN170" i="6"/>
  <c r="AO170" i="6"/>
  <c r="AP170" i="6"/>
  <c r="AQ170" i="6"/>
  <c r="AP110" i="6"/>
  <c r="AJ110" i="6"/>
  <c r="AL110" i="6"/>
  <c r="AN110" i="6"/>
  <c r="AK12" i="6"/>
  <c r="AL12" i="6"/>
  <c r="AJ12" i="6"/>
  <c r="AN12" i="6"/>
  <c r="AO12" i="6"/>
  <c r="AP12" i="6"/>
  <c r="AM188" i="6"/>
  <c r="AO188" i="6"/>
  <c r="AQ188" i="6"/>
  <c r="AK188" i="6"/>
  <c r="AJ164" i="6"/>
  <c r="AN164" i="6"/>
  <c r="AO164" i="6"/>
  <c r="AP164" i="6"/>
  <c r="AQ164" i="6"/>
  <c r="AK164" i="6"/>
  <c r="AL164" i="6"/>
  <c r="AM164" i="6"/>
  <c r="AJ140" i="6"/>
  <c r="AN140" i="6"/>
  <c r="AL140" i="6"/>
  <c r="AP140" i="6"/>
  <c r="AJ116" i="6"/>
  <c r="AM116" i="6"/>
  <c r="AK116" i="6"/>
  <c r="AL116" i="6"/>
  <c r="AQ116" i="6"/>
  <c r="AO116" i="6"/>
  <c r="AP116" i="6"/>
  <c r="AN116" i="6"/>
  <c r="AJ92" i="6"/>
  <c r="AM92" i="6"/>
  <c r="AQ92" i="6"/>
  <c r="AN92" i="6"/>
  <c r="AJ68" i="6"/>
  <c r="AM68" i="6"/>
  <c r="AO68" i="6"/>
  <c r="AK68" i="6"/>
  <c r="AN68" i="6"/>
  <c r="AQ68" i="6"/>
  <c r="AK44" i="6"/>
  <c r="AM44" i="6"/>
  <c r="AL44" i="6"/>
  <c r="AO44" i="6"/>
  <c r="AQ44" i="6"/>
  <c r="AP44" i="6"/>
  <c r="AJ20" i="6"/>
  <c r="AN20" i="6"/>
  <c r="AK20" i="6"/>
  <c r="AP20" i="6"/>
  <c r="AM20" i="6"/>
  <c r="AL20" i="6"/>
  <c r="AQ20" i="6"/>
  <c r="AO20" i="6"/>
  <c r="AJ199" i="6"/>
  <c r="AL199" i="6"/>
  <c r="AN199" i="6"/>
  <c r="AP199" i="6"/>
  <c r="AK163" i="6"/>
  <c r="AL163" i="6"/>
  <c r="AQ163" i="6"/>
  <c r="AM163" i="6"/>
  <c r="AJ163" i="6"/>
  <c r="AN163" i="6"/>
  <c r="AP163" i="6"/>
  <c r="AO163" i="6"/>
  <c r="AM139" i="6"/>
  <c r="AN139" i="6"/>
  <c r="AQ139" i="6"/>
  <c r="AJ139" i="6"/>
  <c r="AJ115" i="6"/>
  <c r="AK115" i="6"/>
  <c r="AL115" i="6"/>
  <c r="AM115" i="6"/>
  <c r="AN115" i="6"/>
  <c r="AO115" i="6"/>
  <c r="AP115" i="6"/>
  <c r="AQ115" i="6"/>
  <c r="AJ91" i="6"/>
  <c r="AL91" i="6"/>
  <c r="AM91" i="6"/>
  <c r="AN91" i="6"/>
  <c r="AP91" i="6"/>
  <c r="AQ91" i="6"/>
  <c r="AJ67" i="6"/>
  <c r="AK67" i="6"/>
  <c r="AM67" i="6"/>
  <c r="AN67" i="6"/>
  <c r="AO67" i="6"/>
  <c r="AQ67" i="6"/>
  <c r="AJ55" i="6"/>
  <c r="AK55" i="6"/>
  <c r="AM55" i="6"/>
  <c r="AN55" i="6"/>
  <c r="AO55" i="6"/>
  <c r="AQ55" i="6"/>
  <c r="AJ43" i="6"/>
  <c r="AK43" i="6"/>
  <c r="AL43" i="6"/>
  <c r="AN43" i="6"/>
  <c r="AP43" i="6"/>
  <c r="AO43" i="6"/>
  <c r="AJ31" i="6"/>
  <c r="AK31" i="6"/>
  <c r="AN31" i="6"/>
  <c r="AO31" i="6"/>
  <c r="AL19" i="6"/>
  <c r="AM19" i="6"/>
  <c r="AP19" i="6"/>
  <c r="AQ19" i="6"/>
  <c r="AO185" i="6"/>
  <c r="AP185" i="6"/>
  <c r="AK185" i="6"/>
  <c r="AL185" i="6"/>
  <c r="AM125" i="6"/>
  <c r="AN125" i="6"/>
  <c r="AO125" i="6"/>
  <c r="AQ125" i="6"/>
  <c r="AJ125" i="6"/>
  <c r="AK125" i="6"/>
  <c r="AL53" i="6"/>
  <c r="AM53" i="6"/>
  <c r="AJ53" i="6"/>
  <c r="AN53" i="6"/>
  <c r="AP53" i="6"/>
  <c r="AO53" i="6"/>
  <c r="AQ53" i="6"/>
  <c r="AK53" i="6"/>
  <c r="AJ8" i="6"/>
  <c r="AK8" i="6"/>
  <c r="AM8" i="6"/>
  <c r="AQ8" i="6"/>
  <c r="AO8" i="6"/>
  <c r="AN8" i="6"/>
  <c r="AL148" i="6"/>
  <c r="AM148" i="6"/>
  <c r="AP148" i="6"/>
  <c r="AQ148" i="6"/>
  <c r="AK124" i="6"/>
  <c r="AL124" i="6"/>
  <c r="AM124" i="6"/>
  <c r="AP124" i="6"/>
  <c r="AQ124" i="6"/>
  <c r="AO124" i="6"/>
  <c r="AJ64" i="6"/>
  <c r="AK64" i="6"/>
  <c r="AL64" i="6"/>
  <c r="AM64" i="6"/>
  <c r="AN64" i="6"/>
  <c r="AP64" i="6"/>
  <c r="AO64" i="6"/>
  <c r="AQ64" i="6"/>
  <c r="AQ147" i="6"/>
  <c r="AP147" i="6"/>
  <c r="AL147" i="6"/>
  <c r="AM147" i="6"/>
  <c r="AQ99" i="6"/>
  <c r="AM99" i="6"/>
  <c r="AP99" i="6"/>
  <c r="AL99" i="6"/>
  <c r="AK51" i="6"/>
  <c r="AQ51" i="6"/>
  <c r="AM51" i="6"/>
  <c r="AO51" i="6"/>
  <c r="AK6" i="6"/>
  <c r="AO6" i="6"/>
  <c r="AJ158" i="6"/>
  <c r="AN158" i="6"/>
  <c r="AK158" i="6"/>
  <c r="AP158" i="6"/>
  <c r="AO158" i="6"/>
  <c r="AM158" i="6"/>
  <c r="AQ158" i="6"/>
  <c r="AL158" i="6"/>
  <c r="AK74" i="6"/>
  <c r="AL74" i="6"/>
  <c r="AO74" i="6"/>
  <c r="AP74" i="6"/>
  <c r="AQ74" i="6"/>
  <c r="AJ74" i="6"/>
  <c r="AM74" i="6"/>
  <c r="AN74" i="6"/>
  <c r="AK200" i="6"/>
  <c r="AO200" i="6"/>
  <c r="AL200" i="6"/>
  <c r="AP200" i="6"/>
  <c r="AJ176" i="6"/>
  <c r="AN176" i="6"/>
  <c r="AO176" i="6"/>
  <c r="AK176" i="6"/>
  <c r="AJ152" i="6"/>
  <c r="AK152" i="6"/>
  <c r="AM152" i="6"/>
  <c r="AN152" i="6"/>
  <c r="AQ152" i="6"/>
  <c r="AO152" i="6"/>
  <c r="AK128" i="6"/>
  <c r="AL128" i="6"/>
  <c r="AO128" i="6"/>
  <c r="AM128" i="6"/>
  <c r="AP128" i="6"/>
  <c r="AQ128" i="6"/>
  <c r="AJ104" i="6"/>
  <c r="AN104" i="6"/>
  <c r="AP104" i="6"/>
  <c r="AK104" i="6"/>
  <c r="AO104" i="6"/>
  <c r="AL104" i="6"/>
  <c r="AM104" i="6"/>
  <c r="AQ104" i="6"/>
  <c r="AJ80" i="6"/>
  <c r="AK80" i="6"/>
  <c r="AL80" i="6"/>
  <c r="AP80" i="6"/>
  <c r="AN80" i="6"/>
  <c r="AO80" i="6"/>
  <c r="AL56" i="6"/>
  <c r="AP56" i="6"/>
  <c r="AJ32" i="6"/>
  <c r="AN32" i="6"/>
  <c r="AM32" i="6"/>
  <c r="AQ32" i="6"/>
  <c r="AK11" i="6"/>
  <c r="AL11" i="6"/>
  <c r="AP11" i="6"/>
  <c r="AO11" i="6"/>
  <c r="AM187" i="6"/>
  <c r="AQ187" i="6"/>
  <c r="AJ187" i="6"/>
  <c r="AN187" i="6"/>
  <c r="AO175" i="6"/>
  <c r="AJ175" i="6"/>
  <c r="AK175" i="6"/>
  <c r="AN175" i="6"/>
  <c r="AL151" i="6"/>
  <c r="AM151" i="6"/>
  <c r="AN151" i="6"/>
  <c r="AP151" i="6"/>
  <c r="AQ151" i="6"/>
  <c r="AJ151" i="6"/>
  <c r="AJ127" i="6"/>
  <c r="AL127" i="6"/>
  <c r="AM127" i="6"/>
  <c r="AQ127" i="6"/>
  <c r="AN127" i="6"/>
  <c r="AP127" i="6"/>
  <c r="AJ103" i="6"/>
  <c r="AK103" i="6"/>
  <c r="AL103" i="6"/>
  <c r="AM103" i="6"/>
  <c r="AN103" i="6"/>
  <c r="AO103" i="6"/>
  <c r="AP103" i="6"/>
  <c r="AQ103" i="6"/>
  <c r="AJ79" i="6"/>
  <c r="AL79" i="6"/>
  <c r="AM79" i="6"/>
  <c r="AN79" i="6"/>
  <c r="AP79" i="6"/>
  <c r="AQ79" i="6"/>
  <c r="AK10" i="6"/>
  <c r="AM10" i="6"/>
  <c r="AQ10" i="6"/>
  <c r="AO10" i="6"/>
  <c r="AJ198" i="6"/>
  <c r="AM198" i="6"/>
  <c r="AN198" i="6"/>
  <c r="AQ198" i="6"/>
  <c r="AL186" i="6"/>
  <c r="AJ186" i="6"/>
  <c r="AN186" i="6"/>
  <c r="AP186" i="6"/>
  <c r="AL174" i="6"/>
  <c r="AP174" i="6"/>
  <c r="AQ174" i="6"/>
  <c r="AM174" i="6"/>
  <c r="AK162" i="6"/>
  <c r="AQ162" i="6"/>
  <c r="AJ162" i="6"/>
  <c r="AL162" i="6"/>
  <c r="AM162" i="6"/>
  <c r="AN162" i="6"/>
  <c r="AP162" i="6"/>
  <c r="AO162" i="6"/>
  <c r="AK150" i="6"/>
  <c r="AJ150" i="6"/>
  <c r="AL150" i="6"/>
  <c r="AP150" i="6"/>
  <c r="AN150" i="6"/>
  <c r="AO150" i="6"/>
  <c r="AK138" i="6"/>
  <c r="AL138" i="6"/>
  <c r="AO138" i="6"/>
  <c r="AP138" i="6"/>
  <c r="AK126" i="6"/>
  <c r="AJ126" i="6"/>
  <c r="AO126" i="6"/>
  <c r="AL126" i="6"/>
  <c r="AP126" i="6"/>
  <c r="AN126" i="6"/>
  <c r="AK114" i="6"/>
  <c r="AL114" i="6"/>
  <c r="AM114" i="6"/>
  <c r="AQ114" i="6"/>
  <c r="AO114" i="6"/>
  <c r="AN114" i="6"/>
  <c r="AJ114" i="6"/>
  <c r="AP114" i="6"/>
  <c r="AK102" i="6"/>
  <c r="AJ102" i="6"/>
  <c r="AQ102" i="6"/>
  <c r="AL102" i="6"/>
  <c r="AM102" i="6"/>
  <c r="AN102" i="6"/>
  <c r="AP102" i="6"/>
  <c r="AO102" i="6"/>
  <c r="AM90" i="6"/>
  <c r="AQ90" i="6"/>
  <c r="AN90" i="6"/>
  <c r="AP90" i="6"/>
  <c r="AJ90" i="6"/>
  <c r="AL90" i="6"/>
  <c r="AK78" i="6"/>
  <c r="AM78" i="6"/>
  <c r="AQ78" i="6"/>
  <c r="AO78" i="6"/>
  <c r="AK66" i="6"/>
  <c r="AO66" i="6"/>
  <c r="AN66" i="6"/>
  <c r="AJ66" i="6"/>
  <c r="AM54" i="6"/>
  <c r="AQ54" i="6"/>
  <c r="AL54" i="6"/>
  <c r="AP54" i="6"/>
  <c r="AN54" i="6"/>
  <c r="AJ54" i="6"/>
  <c r="AK42" i="6"/>
  <c r="AL42" i="6"/>
  <c r="AJ42" i="6"/>
  <c r="AO42" i="6"/>
  <c r="AP42" i="6"/>
  <c r="AN42" i="6"/>
  <c r="AM30" i="6"/>
  <c r="AQ30" i="6"/>
  <c r="AP30" i="6"/>
  <c r="AJ30" i="6"/>
  <c r="AL30" i="6"/>
  <c r="AN30" i="6"/>
  <c r="AK18" i="6"/>
  <c r="AO18" i="6"/>
  <c r="AP18" i="6"/>
  <c r="AL18" i="6"/>
  <c r="BT162" i="6"/>
  <c r="BU162" i="6"/>
  <c r="AE162" i="6"/>
  <c r="AD162" i="6"/>
  <c r="AC162" i="6"/>
  <c r="BV162" i="6"/>
  <c r="BW162" i="6"/>
  <c r="AB162" i="6"/>
  <c r="BT168" i="6"/>
  <c r="BU168" i="6"/>
  <c r="BV168" i="6"/>
  <c r="BW168" i="6"/>
  <c r="AC168" i="6"/>
  <c r="AB168" i="6"/>
  <c r="AE168" i="6"/>
  <c r="AD168" i="6"/>
  <c r="AE166" i="6"/>
  <c r="AD166" i="6"/>
  <c r="AC166" i="6"/>
  <c r="AB166" i="6"/>
  <c r="BV166" i="6"/>
  <c r="BW166" i="6"/>
  <c r="BT166" i="6"/>
  <c r="BU166" i="6"/>
  <c r="AE172" i="6"/>
  <c r="AD172" i="6"/>
  <c r="BT172" i="6"/>
  <c r="BU172" i="6"/>
  <c r="BV172" i="6"/>
  <c r="AC172" i="6"/>
  <c r="BW172" i="6"/>
  <c r="AB172" i="6"/>
  <c r="BT171" i="6"/>
  <c r="BU171" i="6"/>
  <c r="AE171" i="6"/>
  <c r="AD171" i="6"/>
  <c r="BV171" i="6"/>
  <c r="BW171" i="6"/>
  <c r="AB171" i="6"/>
  <c r="AC171" i="6"/>
  <c r="BT165" i="6"/>
  <c r="BU165" i="6"/>
  <c r="BV165" i="6"/>
  <c r="AE165" i="6"/>
  <c r="AB165" i="6"/>
  <c r="BW165" i="6"/>
  <c r="AD165" i="6"/>
  <c r="AC165" i="6"/>
  <c r="AC170" i="6"/>
  <c r="AB170" i="6"/>
  <c r="BW170" i="6"/>
  <c r="BU170" i="6"/>
  <c r="BT170" i="6"/>
  <c r="AE170" i="6"/>
  <c r="AD170" i="6"/>
  <c r="BV170" i="6"/>
  <c r="AE169" i="6"/>
  <c r="AD169" i="6"/>
  <c r="BT169" i="6"/>
  <c r="AC169" i="6"/>
  <c r="BW169" i="6"/>
  <c r="AB169" i="6"/>
  <c r="BU169" i="6"/>
  <c r="BV169" i="6"/>
  <c r="BV164" i="6"/>
  <c r="BW164" i="6"/>
  <c r="AB164" i="6"/>
  <c r="AE164" i="6"/>
  <c r="AC164" i="6"/>
  <c r="AD164" i="6"/>
  <c r="BT164" i="6"/>
  <c r="BU164" i="6"/>
  <c r="AC2" i="6"/>
  <c r="BU2" i="6" s="1"/>
  <c r="BU167" i="6"/>
  <c r="AD167" i="6"/>
  <c r="BT167" i="6"/>
  <c r="AE167" i="6"/>
  <c r="BV167" i="6"/>
  <c r="AC167" i="6"/>
  <c r="BW167" i="6"/>
  <c r="AB167" i="6"/>
  <c r="AE163" i="6"/>
  <c r="AD163" i="6"/>
  <c r="BU163" i="6"/>
  <c r="AC163" i="6"/>
  <c r="AB163" i="6"/>
  <c r="BT163" i="6"/>
  <c r="BW163" i="6"/>
  <c r="BV163" i="6"/>
  <c r="BN172" i="6"/>
  <c r="BM172" i="6"/>
  <c r="BP172" i="6"/>
  <c r="BO172" i="6"/>
  <c r="BM171" i="6"/>
  <c r="BO171" i="6"/>
  <c r="BN171" i="6"/>
  <c r="BP171" i="6"/>
  <c r="BM166" i="6"/>
  <c r="BN166" i="6"/>
  <c r="BO166" i="6"/>
  <c r="BP166" i="6"/>
  <c r="BM168" i="6"/>
  <c r="BN168" i="6"/>
  <c r="BO168" i="6"/>
  <c r="BP168" i="6"/>
  <c r="BN164" i="6"/>
  <c r="BM164" i="6"/>
  <c r="BP164" i="6"/>
  <c r="BO164" i="6"/>
  <c r="BM170" i="6"/>
  <c r="BN170" i="6"/>
  <c r="BO170" i="6"/>
  <c r="BP170" i="6"/>
  <c r="BN163" i="6"/>
  <c r="BM163" i="6"/>
  <c r="BP163" i="6"/>
  <c r="BO163" i="6"/>
  <c r="BN169" i="6"/>
  <c r="BM169" i="6"/>
  <c r="BP169" i="6"/>
  <c r="BO169" i="6"/>
  <c r="BN167" i="6"/>
  <c r="BP167" i="6"/>
  <c r="BM167" i="6"/>
  <c r="BO167" i="6"/>
  <c r="BM165" i="6"/>
  <c r="BP165" i="6"/>
  <c r="BN165" i="6"/>
  <c r="BO165" i="6"/>
  <c r="BM162" i="6"/>
  <c r="BO162" i="6"/>
  <c r="BN162" i="6"/>
  <c r="BP162" i="6"/>
  <c r="I169" i="6" a="1"/>
  <c r="I169" i="6" s="1"/>
  <c r="K169" i="6" a="1"/>
  <c r="K169" i="6" s="1"/>
  <c r="E169" i="6" a="1"/>
  <c r="E169" i="6" s="1"/>
  <c r="C169" i="6" a="1"/>
  <c r="C169" i="6" s="1"/>
  <c r="K168" i="6" a="1"/>
  <c r="K168" i="6" s="1"/>
  <c r="I168" i="6" a="1"/>
  <c r="I168" i="6" s="1"/>
  <c r="C168" i="6" a="1"/>
  <c r="C168" i="6" s="1"/>
  <c r="E168" i="6" a="1"/>
  <c r="E168" i="6" s="1"/>
  <c r="K164" i="6" a="1"/>
  <c r="K164" i="6" s="1"/>
  <c r="E164" i="6" a="1"/>
  <c r="E164" i="6" s="1"/>
  <c r="I164" i="6" a="1"/>
  <c r="I164" i="6" s="1"/>
  <c r="C164" i="6" a="1"/>
  <c r="C164" i="6" s="1"/>
  <c r="I163" i="6" a="1"/>
  <c r="I163" i="6" s="1"/>
  <c r="K163" i="6" a="1"/>
  <c r="K163" i="6" s="1"/>
  <c r="E163" i="6" a="1"/>
  <c r="E163" i="6" s="1"/>
  <c r="C163" i="6" a="1"/>
  <c r="C163" i="6" s="1"/>
  <c r="K162" i="6" a="1"/>
  <c r="K162" i="6" s="1"/>
  <c r="I162" i="6" a="1"/>
  <c r="I162" i="6" s="1"/>
  <c r="C162" i="6" a="1"/>
  <c r="C162" i="6" s="1"/>
  <c r="E162" i="6" a="1"/>
  <c r="E162" i="6" s="1"/>
  <c r="K172" i="6" a="1"/>
  <c r="K172" i="6" s="1"/>
  <c r="E172" i="6" a="1"/>
  <c r="E172" i="6" s="1"/>
  <c r="I172" i="6" a="1"/>
  <c r="I172" i="6" s="1"/>
  <c r="C172" i="6" a="1"/>
  <c r="C172" i="6" s="1"/>
  <c r="K171" i="6" a="1"/>
  <c r="K171" i="6" s="1"/>
  <c r="I171" i="6" a="1"/>
  <c r="I171" i="6" s="1"/>
  <c r="E171" i="6" a="1"/>
  <c r="E171" i="6" s="1"/>
  <c r="C171" i="6" a="1"/>
  <c r="C171" i="6" s="1"/>
  <c r="I170" i="6" a="1"/>
  <c r="I170" i="6" s="1"/>
  <c r="K170" i="6" a="1"/>
  <c r="K170" i="6" s="1"/>
  <c r="E170" i="6" a="1"/>
  <c r="E170" i="6" s="1"/>
  <c r="C170" i="6" a="1"/>
  <c r="C170" i="6" s="1"/>
  <c r="I167" i="6" a="1"/>
  <c r="I167" i="6" s="1"/>
  <c r="K167" i="6" a="1"/>
  <c r="K167" i="6" s="1"/>
  <c r="E167" i="6" a="1"/>
  <c r="E167" i="6" s="1"/>
  <c r="C167" i="6" a="1"/>
  <c r="C167" i="6" s="1"/>
  <c r="K166" i="6" a="1"/>
  <c r="K166" i="6" s="1"/>
  <c r="I166" i="6" a="1"/>
  <c r="I166" i="6" s="1"/>
  <c r="E166" i="6" a="1"/>
  <c r="E166" i="6" s="1"/>
  <c r="C166" i="6" a="1"/>
  <c r="C166" i="6" s="1"/>
  <c r="K165" i="6" a="1"/>
  <c r="K165" i="6" s="1"/>
  <c r="I165" i="6" a="1"/>
  <c r="I165" i="6" s="1"/>
  <c r="C165" i="6" a="1"/>
  <c r="C165" i="6" s="1"/>
  <c r="E165" i="6" a="1"/>
  <c r="E165" i="6" s="1"/>
  <c r="AE2" i="6"/>
  <c r="BW2" i="6" s="1"/>
  <c r="AD2" i="6"/>
  <c r="BV2" i="6" s="1"/>
  <c r="S163" i="6"/>
  <c r="G163" i="6" s="1" a="1"/>
  <c r="G163" i="6" s="1"/>
  <c r="S171" i="6"/>
  <c r="G171" i="6" s="1" a="1"/>
  <c r="G171" i="6" s="1"/>
  <c r="S162" i="6"/>
  <c r="G162" i="6" s="1" a="1"/>
  <c r="G162" i="6" s="1"/>
  <c r="S172" i="6"/>
  <c r="G172" i="6" s="1" a="1"/>
  <c r="G172" i="6" s="1"/>
  <c r="S170" i="6" l="1"/>
  <c r="G170" i="6" s="1" a="1"/>
  <c r="G170" i="6" s="1"/>
  <c r="S164" i="6"/>
  <c r="G164" i="6" s="1" a="1"/>
  <c r="G164" i="6" s="1"/>
  <c r="S166" i="6"/>
  <c r="G166" i="6" s="1" a="1"/>
  <c r="G166" i="6" s="1"/>
  <c r="S165" i="6"/>
  <c r="G165" i="6" s="1" a="1"/>
  <c r="G165" i="6" s="1"/>
  <c r="S169" i="6"/>
  <c r="G169" i="6" s="1" a="1"/>
  <c r="G169" i="6" s="1"/>
  <c r="S167" i="6"/>
  <c r="G167" i="6" s="1" a="1"/>
  <c r="G167" i="6" s="1"/>
  <c r="S168" i="6"/>
  <c r="G168" i="6" s="1" a="1"/>
  <c r="G168" i="6" s="1"/>
  <c r="Z201" i="6" l="1"/>
  <c r="AF201" i="6" l="1"/>
  <c r="AQ201" i="6"/>
  <c r="AM201" i="6"/>
  <c r="Y132" i="6"/>
  <c r="AG132" i="6" l="1"/>
  <c r="AP132" i="6"/>
  <c r="AL132" i="6"/>
  <c r="Z50" i="6"/>
  <c r="AF50" i="6" l="1"/>
  <c r="AQ50" i="6"/>
  <c r="AM50" i="6"/>
  <c r="X136" i="6"/>
  <c r="AI136" i="6" l="1"/>
  <c r="AO136" i="6"/>
  <c r="AK136" i="6"/>
  <c r="Z62" i="6"/>
  <c r="AI62" i="6" l="1"/>
  <c r="AF62" i="6"/>
  <c r="AM62" i="6"/>
  <c r="AQ62" i="6"/>
  <c r="Y60" i="6"/>
  <c r="AH60" i="6" s="1"/>
  <c r="AL60" i="6" l="1"/>
  <c r="AP60" i="6"/>
  <c r="Z84" i="6"/>
  <c r="AF84" i="6" l="1"/>
  <c r="AM84" i="6"/>
  <c r="AQ84" i="6"/>
  <c r="Z199" i="6"/>
  <c r="AF199" i="6" l="1"/>
  <c r="AM199" i="6"/>
  <c r="AQ199" i="6"/>
  <c r="Z180" i="6"/>
  <c r="AF180" i="6" l="1"/>
  <c r="AM180" i="6"/>
  <c r="AQ180" i="6"/>
  <c r="Y111" i="6"/>
  <c r="AH111" i="6" s="1"/>
  <c r="AP111" i="6" l="1"/>
  <c r="AL111" i="6"/>
  <c r="Y46" i="6"/>
  <c r="AG46" i="6" l="1"/>
  <c r="AP46" i="6"/>
  <c r="AL46" i="6"/>
  <c r="Y177" i="6"/>
  <c r="AG177" i="6" l="1"/>
  <c r="AP177" i="6"/>
  <c r="AL177" i="6"/>
  <c r="Y49" i="6"/>
  <c r="AH49" i="6" s="1"/>
  <c r="AP49" i="6" l="1"/>
  <c r="AL49" i="6"/>
  <c r="Y194" i="6"/>
  <c r="AP194" i="6" l="1"/>
  <c r="AL194" i="6"/>
  <c r="X202" i="6"/>
  <c r="AG202" i="6" s="1"/>
  <c r="AO202" i="6" l="1"/>
  <c r="AK202" i="6"/>
  <c r="Z186" i="6"/>
  <c r="AF186" i="6" l="1"/>
  <c r="AM186" i="6"/>
  <c r="AQ186" i="6"/>
  <c r="Z31" i="6"/>
  <c r="AF31" i="6" l="1"/>
  <c r="AI31" i="6"/>
  <c r="AM31" i="6"/>
  <c r="AQ31" i="6"/>
  <c r="Z69" i="6"/>
  <c r="AF69" i="6" l="1"/>
  <c r="AM69" i="6"/>
  <c r="AQ69" i="6"/>
  <c r="X88" i="6"/>
  <c r="AG88" i="6" s="1"/>
  <c r="AO88" i="6" l="1"/>
  <c r="AK88" i="6"/>
  <c r="Z22" i="6"/>
  <c r="AI22" i="6" s="1"/>
  <c r="AQ22" i="6" l="1"/>
  <c r="AM22" i="6"/>
  <c r="Z138" i="6"/>
  <c r="AI138" i="6" s="1"/>
  <c r="AQ138" i="6" l="1"/>
  <c r="AM138" i="6"/>
  <c r="X72" i="6"/>
  <c r="AI72" i="6" l="1"/>
  <c r="AK72" i="6"/>
  <c r="AO72" i="6"/>
  <c r="Z33" i="6"/>
  <c r="AF33" i="6" l="1"/>
  <c r="AM33" i="6"/>
  <c r="AQ33" i="6"/>
  <c r="Z175" i="6"/>
  <c r="AF175" i="6" l="1"/>
  <c r="AI175" i="6"/>
  <c r="AM175" i="6"/>
  <c r="AQ175" i="6"/>
  <c r="Y183" i="6"/>
  <c r="AH183" i="6" s="1"/>
  <c r="AL183" i="6" l="1"/>
  <c r="AP183" i="6"/>
  <c r="Z195" i="6"/>
  <c r="AI195" i="6" s="1"/>
  <c r="AM195" i="6" l="1"/>
  <c r="AQ195" i="6"/>
  <c r="Y139" i="6"/>
  <c r="AH139" i="6" s="1"/>
  <c r="AL139" i="6" l="1"/>
  <c r="AP139" i="6"/>
  <c r="Y27" i="6"/>
  <c r="AG27" i="6" l="1"/>
  <c r="AL27" i="6"/>
  <c r="AP27" i="6"/>
  <c r="Z15" i="6"/>
  <c r="AF15" i="6" l="1"/>
  <c r="AI15" i="6"/>
  <c r="AM15" i="6"/>
  <c r="AQ15" i="6"/>
  <c r="X99" i="6"/>
  <c r="AI99" i="6" l="1"/>
  <c r="AG99" i="6"/>
  <c r="AK99" i="6"/>
  <c r="AO99" i="6"/>
  <c r="X40" i="6"/>
  <c r="AI40" i="6" l="1"/>
  <c r="AO40" i="6"/>
  <c r="AK40" i="6"/>
  <c r="Y112" i="6"/>
  <c r="AG112" i="6" l="1"/>
  <c r="AP112" i="6"/>
  <c r="AL112" i="6"/>
  <c r="X56" i="6"/>
  <c r="AG56" i="6" s="1"/>
  <c r="AK56" i="6" l="1"/>
  <c r="AO56" i="6"/>
  <c r="Z29" i="6"/>
  <c r="AI29" i="6" s="1"/>
  <c r="AQ29" i="6" l="1"/>
  <c r="AM29" i="6"/>
  <c r="Z145" i="6"/>
  <c r="AI145" i="6" l="1"/>
  <c r="AF145" i="6"/>
  <c r="AQ145" i="6"/>
  <c r="AM145" i="6"/>
  <c r="Y22" i="6"/>
  <c r="AG22" i="6" l="1"/>
  <c r="AP22" i="6"/>
  <c r="AL22" i="6"/>
  <c r="X174" i="6"/>
  <c r="AG174" i="6" l="1"/>
  <c r="AI174" i="6"/>
  <c r="AK174" i="6"/>
  <c r="AO174" i="6"/>
  <c r="Z176" i="6"/>
  <c r="AF176" i="6" l="1"/>
  <c r="AI176" i="6"/>
  <c r="AQ176" i="6"/>
  <c r="AM176" i="6"/>
  <c r="Z134" i="6"/>
  <c r="AI134" i="6" s="1"/>
  <c r="AM134" i="6" l="1"/>
  <c r="AQ134" i="6"/>
  <c r="Y181" i="6"/>
  <c r="AG181" i="6" l="1"/>
  <c r="AL181" i="6"/>
  <c r="AP181" i="6"/>
  <c r="X135" i="6"/>
  <c r="AG135" i="6" s="1"/>
  <c r="AO135" i="6" l="1"/>
  <c r="AK135" i="6"/>
  <c r="X5" i="6"/>
  <c r="AG5" i="6" l="1"/>
  <c r="AI5" i="6"/>
  <c r="AK5" i="6"/>
  <c r="AO5" i="6"/>
  <c r="Y143" i="6"/>
  <c r="AH143" i="6" s="1"/>
  <c r="AP143" i="6" l="1"/>
  <c r="AL143" i="6"/>
  <c r="Z130" i="6"/>
  <c r="AF130" i="6" l="1"/>
  <c r="AM130" i="6"/>
  <c r="AQ130" i="6"/>
  <c r="Z190" i="6"/>
  <c r="AI190" i="6" s="1"/>
  <c r="AQ190" i="6" l="1"/>
  <c r="AM190" i="6"/>
  <c r="Y136" i="6"/>
  <c r="AG136" i="6" l="1"/>
  <c r="AL136" i="6"/>
  <c r="AP136" i="6"/>
  <c r="Z82" i="6"/>
  <c r="AF82" i="6" l="1"/>
  <c r="AQ82" i="6"/>
  <c r="AM82" i="6"/>
  <c r="Z34" i="6"/>
  <c r="AF34" i="6" l="1"/>
  <c r="AI34" i="6"/>
  <c r="AQ34" i="6"/>
  <c r="AM34" i="6"/>
  <c r="Y51" i="6"/>
  <c r="AG51" i="6" l="1"/>
  <c r="AP51" i="6"/>
  <c r="AL51" i="6"/>
  <c r="Z144" i="6"/>
  <c r="AF144" i="6" l="1"/>
  <c r="AM144" i="6"/>
  <c r="AQ144" i="6"/>
  <c r="Y195" i="6"/>
  <c r="AG195" i="6" l="1"/>
  <c r="AL195" i="6"/>
  <c r="AP195" i="6"/>
  <c r="Y84" i="6"/>
  <c r="AH84" i="6" s="1"/>
  <c r="AP84" i="6" l="1"/>
  <c r="AL84" i="6"/>
  <c r="Y198" i="6"/>
  <c r="AH198" i="6" s="1"/>
  <c r="AL198" i="6" l="1"/>
  <c r="AP198" i="6"/>
  <c r="Z37" i="6"/>
  <c r="AF37" i="6" l="1"/>
  <c r="AQ37" i="6"/>
  <c r="AM37" i="6"/>
  <c r="X94" i="6"/>
  <c r="AI94" i="6" l="1"/>
  <c r="AG94" i="6"/>
  <c r="AK94" i="6"/>
  <c r="AO94" i="6"/>
  <c r="Y131" i="6"/>
  <c r="AH131" i="6" s="1"/>
  <c r="AL131" i="6" l="1"/>
  <c r="AP131" i="6"/>
  <c r="Y137" i="6"/>
  <c r="AG137" i="6" l="1"/>
  <c r="AL137" i="6"/>
  <c r="AP137" i="6"/>
  <c r="X173" i="6"/>
  <c r="AI173" i="6" l="1"/>
  <c r="AG173" i="6"/>
  <c r="AK173" i="6"/>
  <c r="AO173" i="6"/>
  <c r="Z202" i="6"/>
  <c r="AI202" i="6" s="1"/>
  <c r="AM202" i="6" l="1"/>
  <c r="AQ202" i="6"/>
  <c r="Z184" i="6"/>
  <c r="AF184" i="6" l="1"/>
  <c r="AQ184" i="6"/>
  <c r="AM184" i="6"/>
  <c r="Z56" i="6"/>
  <c r="AI56" i="6" s="1"/>
  <c r="AQ56" i="6" l="1"/>
  <c r="AM56" i="6"/>
  <c r="Z88" i="6"/>
  <c r="AI88" i="6" s="1"/>
  <c r="AM88" i="6" l="1"/>
  <c r="AQ88" i="6"/>
  <c r="Y83" i="6"/>
  <c r="AG83" i="6" l="1"/>
  <c r="AL83" i="6"/>
  <c r="AP83" i="6"/>
  <c r="Z28" i="6"/>
  <c r="AI28" i="6" s="1"/>
  <c r="AM28" i="6" l="1"/>
  <c r="AQ28" i="6"/>
  <c r="X194" i="6"/>
  <c r="AG194" i="6" l="1"/>
  <c r="AI194" i="6"/>
  <c r="AO194" i="6"/>
  <c r="AK194" i="6"/>
  <c r="Y134" i="6"/>
  <c r="AG134" i="6" l="1"/>
  <c r="AL134" i="6"/>
  <c r="AP134" i="6"/>
  <c r="Z39" i="6"/>
  <c r="AI39" i="6" s="1"/>
  <c r="AQ39" i="6" l="1"/>
  <c r="AM39" i="6"/>
  <c r="Y81" i="6"/>
  <c r="AH81" i="6" s="1"/>
  <c r="AL81" i="6" l="1"/>
  <c r="AP81" i="6"/>
  <c r="Z182" i="6"/>
  <c r="AI182" i="6" s="1"/>
  <c r="AQ182" i="6" l="1"/>
  <c r="AM182" i="6"/>
  <c r="Y133" i="6"/>
  <c r="AH133" i="6" s="1"/>
  <c r="AL133" i="6" l="1"/>
  <c r="AP133" i="6"/>
  <c r="Y16" i="6"/>
  <c r="AH16" i="6" s="1"/>
  <c r="AL16" i="6" l="1"/>
  <c r="AP16" i="6"/>
  <c r="Z140" i="6"/>
  <c r="AF140" i="6" l="1"/>
  <c r="AQ140" i="6"/>
  <c r="AM140" i="6"/>
  <c r="Z11" i="6"/>
  <c r="AI11" i="6" s="1"/>
  <c r="AM11" i="6" l="1"/>
  <c r="AQ11" i="6"/>
  <c r="Z178" i="6"/>
  <c r="AI178" i="6" s="1"/>
  <c r="AQ178" i="6" l="1"/>
  <c r="AM178" i="6"/>
  <c r="Z196" i="6"/>
  <c r="AF196" i="6" l="1"/>
  <c r="AI196" i="6"/>
  <c r="AQ196" i="6"/>
  <c r="AM196" i="6"/>
  <c r="Y189" i="6"/>
  <c r="AG189" i="6" l="1"/>
  <c r="AP189" i="6"/>
  <c r="AL189" i="6"/>
  <c r="Z6" i="6"/>
  <c r="AI6" i="6" s="1"/>
  <c r="AM6" i="6" l="1"/>
  <c r="AQ6" i="6"/>
  <c r="Y187" i="6"/>
  <c r="AH187" i="6" s="1"/>
  <c r="AL187" i="6" l="1"/>
  <c r="AP187" i="6"/>
  <c r="Z52" i="6"/>
  <c r="AF52" i="6" l="1"/>
  <c r="AQ52" i="6"/>
  <c r="AM52" i="6"/>
  <c r="X148" i="6"/>
  <c r="AG148" i="6" l="1"/>
  <c r="AI148" i="6"/>
  <c r="AK148" i="6"/>
  <c r="AO148" i="6"/>
  <c r="Z96" i="6"/>
  <c r="AI96" i="6" l="1"/>
  <c r="AF96" i="6"/>
  <c r="AM96" i="6"/>
  <c r="AQ96" i="6"/>
  <c r="Y10" i="6"/>
  <c r="AG10" i="6" l="1"/>
  <c r="AL10" i="6"/>
  <c r="AP10" i="6"/>
  <c r="Y32" i="6"/>
  <c r="AH32" i="6" s="1"/>
  <c r="AP32" i="6" l="1"/>
  <c r="AL32" i="6"/>
  <c r="Z185" i="6"/>
  <c r="AI185" i="6" s="1"/>
  <c r="AM185" i="6" l="1"/>
  <c r="AQ185" i="6"/>
  <c r="Y188" i="6"/>
  <c r="AG188" i="6" l="1"/>
  <c r="AP188" i="6"/>
  <c r="AL188" i="6"/>
  <c r="Y52" i="6"/>
  <c r="AH52" i="6" s="1"/>
  <c r="AP52" i="6" l="1"/>
  <c r="AL52" i="6"/>
  <c r="Z71" i="6"/>
  <c r="AI71" i="6" s="1"/>
  <c r="AQ71" i="6" l="1"/>
  <c r="AM71" i="6"/>
  <c r="Z200" i="6"/>
  <c r="AI200" i="6" s="1"/>
  <c r="AQ200" i="6" l="1"/>
  <c r="AM200" i="6"/>
  <c r="Y141" i="6"/>
  <c r="AG141" i="6" l="1"/>
  <c r="AP141" i="6"/>
  <c r="AL141" i="6"/>
  <c r="Z66" i="6"/>
  <c r="AF66" i="6" l="1"/>
  <c r="AI66" i="6"/>
  <c r="AQ66" i="6"/>
  <c r="AM66" i="6"/>
  <c r="Y201" i="6"/>
  <c r="AH201" i="6" s="1"/>
  <c r="AP201" i="6" l="1"/>
  <c r="AL201" i="6"/>
  <c r="Z135" i="6"/>
  <c r="AI135" i="6" s="1"/>
  <c r="AQ135" i="6" l="1"/>
  <c r="AM135" i="6"/>
  <c r="Y92" i="6"/>
  <c r="AH92" i="6" s="1"/>
  <c r="AL92" i="6" l="1"/>
  <c r="AP92" i="6"/>
  <c r="Z98" i="6"/>
  <c r="AF98" i="6" l="1"/>
  <c r="AI98" i="6"/>
  <c r="AQ98" i="6"/>
  <c r="AM98" i="6"/>
  <c r="Y40" i="6"/>
  <c r="AG40" i="6" l="1"/>
  <c r="AP40" i="6"/>
  <c r="AL40" i="6"/>
  <c r="Y78" i="6"/>
  <c r="AG78" i="6" l="1"/>
  <c r="AL78" i="6"/>
  <c r="AP78" i="6"/>
  <c r="X63" i="6"/>
  <c r="AI63" i="6" l="1"/>
  <c r="AG63" i="6"/>
  <c r="AK63" i="6"/>
  <c r="AO63" i="6"/>
  <c r="Z109" i="6"/>
  <c r="AI109" i="6" s="1"/>
  <c r="AM109" i="6" l="1"/>
  <c r="AQ109" i="6"/>
  <c r="Z97" i="6"/>
  <c r="AF97" i="6" l="1"/>
  <c r="AI97" i="6"/>
  <c r="AQ97" i="6"/>
  <c r="AM97" i="6"/>
  <c r="X100" i="6"/>
  <c r="AI100" i="6" l="1"/>
  <c r="AG100" i="6"/>
  <c r="AK100" i="6"/>
  <c r="AO100" i="6"/>
  <c r="Z129" i="6"/>
  <c r="AI129" i="6" s="1"/>
  <c r="AQ129" i="6" l="1"/>
  <c r="AM129" i="6"/>
  <c r="Y72" i="6"/>
  <c r="AG72" i="6" l="1"/>
  <c r="AL72" i="6"/>
  <c r="AP72" i="6"/>
  <c r="Y179" i="6"/>
  <c r="AH179" i="6" s="1"/>
  <c r="AP179" i="6" l="1"/>
  <c r="AL179" i="6"/>
  <c r="Z18" i="6"/>
  <c r="AI18" i="6" s="1"/>
  <c r="AM18" i="6" l="1"/>
  <c r="AQ18" i="6"/>
  <c r="Y192" i="6"/>
  <c r="AH192" i="6" s="1"/>
  <c r="AP192" i="6" l="1"/>
  <c r="AL192" i="6"/>
  <c r="Z110" i="6"/>
  <c r="AF110" i="6" l="1"/>
  <c r="AQ110" i="6"/>
  <c r="AM110" i="6"/>
  <c r="X193" i="6"/>
  <c r="AI193" i="6" l="1"/>
  <c r="AG193" i="6"/>
  <c r="AO193" i="6"/>
  <c r="AK193" i="6"/>
  <c r="Z142" i="6"/>
  <c r="AI142" i="6" s="1"/>
  <c r="AQ142" i="6" l="1"/>
  <c r="AM142" i="6"/>
  <c r="X61" i="6"/>
  <c r="AG61" i="6" l="1"/>
  <c r="AI61" i="6"/>
  <c r="AK61" i="6"/>
  <c r="AO61" i="6"/>
  <c r="Z133" i="6"/>
  <c r="AF133" i="6" l="1"/>
  <c r="AQ133" i="6"/>
  <c r="AM133" i="6"/>
  <c r="X147" i="6"/>
  <c r="AG147" i="6" l="1"/>
  <c r="AI147" i="6"/>
  <c r="AO147" i="6"/>
  <c r="AK147" i="6"/>
  <c r="Z146" i="6"/>
  <c r="AF146" i="6" l="1"/>
  <c r="AI146" i="6"/>
  <c r="AQ146" i="6"/>
  <c r="AM146" i="6"/>
  <c r="Z191" i="6"/>
  <c r="AF191" i="6" l="1"/>
  <c r="AM191" i="6"/>
  <c r="AQ191" i="6"/>
  <c r="Z17" i="6"/>
  <c r="AF17" i="6" l="1"/>
  <c r="AM17" i="6"/>
  <c r="AQ17" i="6"/>
  <c r="X19" i="6"/>
  <c r="AG19" i="6" l="1"/>
  <c r="AI19" i="6"/>
  <c r="AO19" i="6"/>
  <c r="AK19" i="6"/>
  <c r="Y197" i="6"/>
  <c r="AG197" i="6" l="1"/>
  <c r="AL197" i="6"/>
  <c r="AP197" i="6"/>
  <c r="X3" i="6"/>
  <c r="AI3" i="6" l="1"/>
  <c r="AG3" i="6"/>
  <c r="AK3" i="6"/>
  <c r="AO3" i="6"/>
  <c r="Y6" i="6"/>
  <c r="AG6" i="6" l="1"/>
  <c r="AL6" i="6"/>
  <c r="AP6" i="6"/>
  <c r="W202" i="6"/>
  <c r="W194" i="6"/>
  <c r="W195" i="6"/>
  <c r="X201" i="6"/>
  <c r="W197" i="6"/>
  <c r="W200" i="6"/>
  <c r="X199" i="6"/>
  <c r="X198" i="6"/>
  <c r="Y196" i="6"/>
  <c r="W193" i="6"/>
  <c r="X192" i="6"/>
  <c r="W188" i="6"/>
  <c r="X186" i="6"/>
  <c r="X191" i="6"/>
  <c r="W185" i="6"/>
  <c r="X187" i="6"/>
  <c r="W190" i="6"/>
  <c r="W189" i="6"/>
  <c r="X184" i="6"/>
  <c r="W182" i="6"/>
  <c r="W178" i="6"/>
  <c r="X183" i="6"/>
  <c r="X180" i="6"/>
  <c r="W181" i="6"/>
  <c r="X179" i="6"/>
  <c r="W177" i="6"/>
  <c r="Y176" i="6"/>
  <c r="Y175" i="6"/>
  <c r="W173" i="6"/>
  <c r="W174" i="6"/>
  <c r="Y156" i="6"/>
  <c r="Z154" i="6"/>
  <c r="X155" i="6"/>
  <c r="W153" i="6"/>
  <c r="Y152" i="6"/>
  <c r="Z150" i="6"/>
  <c r="X151" i="6"/>
  <c r="W149" i="6"/>
  <c r="W148" i="6"/>
  <c r="Y146" i="6"/>
  <c r="W147" i="6"/>
  <c r="Y145" i="6"/>
  <c r="W142" i="6"/>
  <c r="X144" i="6"/>
  <c r="X143" i="6"/>
  <c r="W141" i="6"/>
  <c r="W138" i="6"/>
  <c r="X140" i="6"/>
  <c r="X139" i="6"/>
  <c r="W137" i="6"/>
  <c r="W136" i="6"/>
  <c r="W135" i="6"/>
  <c r="X133" i="6"/>
  <c r="W134" i="6"/>
  <c r="W132" i="6"/>
  <c r="X131" i="6"/>
  <c r="W129" i="6"/>
  <c r="X130" i="6"/>
  <c r="W128" i="6"/>
  <c r="X127" i="6"/>
  <c r="Y125" i="6"/>
  <c r="Z126" i="6"/>
  <c r="W124" i="6"/>
  <c r="X123" i="6"/>
  <c r="Y121" i="6"/>
  <c r="Z122" i="6"/>
  <c r="W112" i="6"/>
  <c r="X111" i="6"/>
  <c r="W109" i="6"/>
  <c r="X110" i="6"/>
  <c r="Z106" i="6"/>
  <c r="Y108" i="6"/>
  <c r="W105" i="6"/>
  <c r="X107" i="6"/>
  <c r="W100" i="6"/>
  <c r="W99" i="6"/>
  <c r="Y97" i="6"/>
  <c r="Y98" i="6"/>
  <c r="Y96" i="6"/>
  <c r="W3" i="6"/>
  <c r="W94" i="6"/>
  <c r="Y62" i="6"/>
  <c r="X69" i="6"/>
  <c r="X92" i="6"/>
  <c r="X91" i="6"/>
  <c r="W24" i="6"/>
  <c r="W83" i="6"/>
  <c r="X90" i="6"/>
  <c r="Z80" i="6"/>
  <c r="W89" i="6"/>
  <c r="Y67" i="6"/>
  <c r="Z70" i="6"/>
  <c r="W88" i="6"/>
  <c r="W22" i="6"/>
  <c r="Y87" i="6"/>
  <c r="Y25" i="6"/>
  <c r="W72" i="6"/>
  <c r="X14" i="6"/>
  <c r="Z75" i="6"/>
  <c r="X84" i="6"/>
  <c r="X82" i="6"/>
  <c r="W18" i="6"/>
  <c r="W71" i="6"/>
  <c r="W29" i="6"/>
  <c r="W27" i="6"/>
  <c r="X81" i="6"/>
  <c r="X17" i="6"/>
  <c r="Y68" i="6"/>
  <c r="X79" i="6"/>
  <c r="W76" i="6"/>
  <c r="X16" i="6"/>
  <c r="W78" i="6"/>
  <c r="W77" i="6"/>
  <c r="Z26" i="6"/>
  <c r="Y66" i="6"/>
  <c r="W19" i="6"/>
  <c r="W63" i="6"/>
  <c r="Y15" i="6"/>
  <c r="W61" i="6"/>
  <c r="Y31" i="6"/>
  <c r="X37" i="6"/>
  <c r="X60" i="6"/>
  <c r="W51" i="6"/>
  <c r="X58" i="6"/>
  <c r="Z38" i="6"/>
  <c r="W57" i="6"/>
  <c r="Y35" i="6"/>
  <c r="W56" i="6"/>
  <c r="W6" i="6"/>
  <c r="AF6" i="6" s="1"/>
  <c r="W40" i="6"/>
  <c r="Y55" i="6"/>
  <c r="Y8" i="6"/>
  <c r="X30" i="6"/>
  <c r="Z43" i="6"/>
  <c r="X54" i="6"/>
  <c r="W7" i="6"/>
  <c r="Z42" i="6"/>
  <c r="X52" i="6"/>
  <c r="W11" i="6"/>
  <c r="W39" i="6"/>
  <c r="X50" i="6"/>
  <c r="X49" i="6"/>
  <c r="W10" i="6"/>
  <c r="X47" i="6"/>
  <c r="X32" i="6"/>
  <c r="W44" i="6"/>
  <c r="W46" i="6"/>
  <c r="W28" i="6"/>
  <c r="W45" i="6"/>
  <c r="Z12" i="6"/>
  <c r="Y41" i="6"/>
  <c r="Y34" i="6"/>
  <c r="W5" i="6"/>
  <c r="X33" i="6"/>
  <c r="W2" i="6"/>
  <c r="Z2" i="6"/>
  <c r="X2" i="6"/>
  <c r="Y2" i="6"/>
  <c r="Y166" i="6"/>
  <c r="X167" i="6"/>
  <c r="X171" i="6"/>
  <c r="W169" i="6"/>
  <c r="W170" i="6"/>
  <c r="Y167" i="6"/>
  <c r="Z165" i="6"/>
  <c r="Z166" i="6"/>
  <c r="Z163" i="6"/>
  <c r="Z167" i="6"/>
  <c r="W166" i="6"/>
  <c r="Y162" i="6"/>
  <c r="Y168" i="6"/>
  <c r="X172" i="6"/>
  <c r="Y164" i="6"/>
  <c r="Z168" i="6"/>
  <c r="AH2" i="6" l="1"/>
  <c r="AF2" i="6"/>
  <c r="BD2" i="6"/>
  <c r="AH34" i="6"/>
  <c r="AG34" i="6"/>
  <c r="AG111" i="6"/>
  <c r="AI111" i="6"/>
  <c r="AH35" i="6"/>
  <c r="AG35" i="6"/>
  <c r="AG199" i="6"/>
  <c r="AI199" i="6"/>
  <c r="AF12" i="6"/>
  <c r="AI12" i="6"/>
  <c r="AG52" i="6"/>
  <c r="AI52" i="6"/>
  <c r="AF57" i="6"/>
  <c r="AH57" i="6"/>
  <c r="AF26" i="6"/>
  <c r="AI26" i="6"/>
  <c r="AF18" i="6"/>
  <c r="AH18" i="6"/>
  <c r="AF89" i="6"/>
  <c r="AH89" i="6"/>
  <c r="AH98" i="6"/>
  <c r="AG98" i="6"/>
  <c r="AF122" i="6"/>
  <c r="AI122" i="6"/>
  <c r="AF134" i="6"/>
  <c r="AH134" i="6"/>
  <c r="AG145" i="6"/>
  <c r="AH145" i="6"/>
  <c r="AF174" i="6"/>
  <c r="AH174" i="6"/>
  <c r="AF189" i="6"/>
  <c r="AH189" i="6"/>
  <c r="AH200" i="6"/>
  <c r="AF200" i="6"/>
  <c r="AI131" i="6"/>
  <c r="AG131" i="6"/>
  <c r="AH67" i="6"/>
  <c r="AG67" i="6"/>
  <c r="AH77" i="6"/>
  <c r="AF77" i="6"/>
  <c r="AH7" i="6"/>
  <c r="AF7" i="6"/>
  <c r="AI58" i="6"/>
  <c r="AG58" i="6"/>
  <c r="AF78" i="6"/>
  <c r="AH78" i="6"/>
  <c r="AG84" i="6"/>
  <c r="AI84" i="6"/>
  <c r="AI90" i="6"/>
  <c r="AG90" i="6"/>
  <c r="AH99" i="6"/>
  <c r="AF99" i="6"/>
  <c r="AG123" i="6"/>
  <c r="AI123" i="6"/>
  <c r="AF135" i="6"/>
  <c r="AH135" i="6"/>
  <c r="AH146" i="6"/>
  <c r="AG146" i="6"/>
  <c r="AG175" i="6"/>
  <c r="AH175" i="6"/>
  <c r="AG187" i="6"/>
  <c r="AI187" i="6"/>
  <c r="AG201" i="6"/>
  <c r="AI201" i="6"/>
  <c r="AF70" i="6"/>
  <c r="AI70" i="6"/>
  <c r="AF142" i="6"/>
  <c r="AH142" i="6"/>
  <c r="AF75" i="6"/>
  <c r="AI75" i="6"/>
  <c r="AF83" i="6"/>
  <c r="AH83" i="6"/>
  <c r="AH100" i="6"/>
  <c r="AF100" i="6"/>
  <c r="AF124" i="6"/>
  <c r="AH124" i="6"/>
  <c r="AF136" i="6"/>
  <c r="AH136" i="6"/>
  <c r="AF148" i="6"/>
  <c r="AH148" i="6"/>
  <c r="AH176" i="6"/>
  <c r="AG176" i="6"/>
  <c r="AF185" i="6"/>
  <c r="AH185" i="6"/>
  <c r="AF195" i="6"/>
  <c r="AH195" i="6"/>
  <c r="AF19" i="6"/>
  <c r="AH19" i="6"/>
  <c r="AH182" i="6"/>
  <c r="AF182" i="6"/>
  <c r="AG66" i="6"/>
  <c r="AH66" i="6"/>
  <c r="AG156" i="6"/>
  <c r="AH156" i="6"/>
  <c r="AG82" i="6"/>
  <c r="AI82" i="6"/>
  <c r="AH190" i="6"/>
  <c r="AF190" i="6"/>
  <c r="AF46" i="6"/>
  <c r="AH46" i="6"/>
  <c r="AF51" i="6"/>
  <c r="AH51" i="6"/>
  <c r="AF44" i="6"/>
  <c r="AH44" i="6"/>
  <c r="AF43" i="6"/>
  <c r="AI43" i="6"/>
  <c r="AG60" i="6"/>
  <c r="AI60" i="6"/>
  <c r="AF76" i="6"/>
  <c r="AH76" i="6"/>
  <c r="AI14" i="6"/>
  <c r="AG14" i="6"/>
  <c r="AF24" i="6"/>
  <c r="AH24" i="6"/>
  <c r="AG107" i="6"/>
  <c r="AI107" i="6"/>
  <c r="AI126" i="6"/>
  <c r="AF126" i="6"/>
  <c r="AF137" i="6"/>
  <c r="AH137" i="6"/>
  <c r="AH149" i="6"/>
  <c r="AF149" i="6"/>
  <c r="AF177" i="6"/>
  <c r="AH177" i="6"/>
  <c r="AG191" i="6"/>
  <c r="AI191" i="6"/>
  <c r="AF194" i="6"/>
  <c r="AH194" i="6"/>
  <c r="AI154" i="6"/>
  <c r="AF154" i="6"/>
  <c r="AF112" i="6"/>
  <c r="AH112" i="6"/>
  <c r="AG97" i="6"/>
  <c r="AH97" i="6"/>
  <c r="AH173" i="6"/>
  <c r="AF173" i="6"/>
  <c r="AF28" i="6"/>
  <c r="AH28" i="6"/>
  <c r="AG54" i="6"/>
  <c r="AI54" i="6"/>
  <c r="AG2" i="6"/>
  <c r="AG32" i="6"/>
  <c r="AI32" i="6"/>
  <c r="AG30" i="6"/>
  <c r="AI30" i="6"/>
  <c r="AG37" i="6"/>
  <c r="AI37" i="6"/>
  <c r="AG79" i="6"/>
  <c r="AI79" i="6"/>
  <c r="AF72" i="6"/>
  <c r="AH72" i="6"/>
  <c r="AI91" i="6"/>
  <c r="AG91" i="6"/>
  <c r="AF105" i="6"/>
  <c r="AH105" i="6"/>
  <c r="AG125" i="6"/>
  <c r="AH125" i="6"/>
  <c r="AG139" i="6"/>
  <c r="AI139" i="6"/>
  <c r="AG151" i="6"/>
  <c r="AI151" i="6"/>
  <c r="AG179" i="6"/>
  <c r="AI179" i="6"/>
  <c r="AG186" i="6"/>
  <c r="AI186" i="6"/>
  <c r="AF202" i="6"/>
  <c r="AH202" i="6"/>
  <c r="AF39" i="6"/>
  <c r="AH39" i="6"/>
  <c r="AF3" i="6"/>
  <c r="AH3" i="6"/>
  <c r="AG41" i="6"/>
  <c r="AH41" i="6"/>
  <c r="AF132" i="6"/>
  <c r="AH132" i="6"/>
  <c r="AI38" i="6"/>
  <c r="AF38" i="6"/>
  <c r="AI80" i="6"/>
  <c r="AF80" i="6"/>
  <c r="AG133" i="6"/>
  <c r="AI133" i="6"/>
  <c r="AI2" i="6"/>
  <c r="AI47" i="6"/>
  <c r="AG47" i="6"/>
  <c r="AH8" i="6"/>
  <c r="AG8" i="6"/>
  <c r="AG31" i="6"/>
  <c r="AH31" i="6"/>
  <c r="AH68" i="6"/>
  <c r="AG68" i="6"/>
  <c r="AH25" i="6"/>
  <c r="AG25" i="6"/>
  <c r="AI92" i="6"/>
  <c r="AG92" i="6"/>
  <c r="AG108" i="6"/>
  <c r="AH108" i="6"/>
  <c r="AI127" i="6"/>
  <c r="AG127" i="6"/>
  <c r="AG140" i="6"/>
  <c r="AI140" i="6"/>
  <c r="AF150" i="6"/>
  <c r="AI150" i="6"/>
  <c r="AF181" i="6"/>
  <c r="AH181" i="6"/>
  <c r="AF188" i="6"/>
  <c r="AH188" i="6"/>
  <c r="AG184" i="6"/>
  <c r="AI184" i="6"/>
  <c r="AG17" i="6"/>
  <c r="AI17" i="6"/>
  <c r="AG87" i="6"/>
  <c r="AH87" i="6"/>
  <c r="AG69" i="6"/>
  <c r="AI69" i="6"/>
  <c r="AF106" i="6"/>
  <c r="AI106" i="6"/>
  <c r="AF128" i="6"/>
  <c r="AH128" i="6"/>
  <c r="AF138" i="6"/>
  <c r="AH138" i="6"/>
  <c r="AH152" i="6"/>
  <c r="AG152" i="6"/>
  <c r="AG180" i="6"/>
  <c r="AI180" i="6"/>
  <c r="AG192" i="6"/>
  <c r="AI192" i="6"/>
  <c r="AF29" i="6"/>
  <c r="AH29" i="6"/>
  <c r="AG144" i="6"/>
  <c r="AI144" i="6"/>
  <c r="AH11" i="6"/>
  <c r="AF11" i="6"/>
  <c r="AH96" i="6"/>
  <c r="AG96" i="6"/>
  <c r="AF42" i="6"/>
  <c r="AI42" i="6"/>
  <c r="AG121" i="6"/>
  <c r="AH121" i="6"/>
  <c r="AF147" i="6"/>
  <c r="AH147" i="6"/>
  <c r="AF61" i="6"/>
  <c r="AH61" i="6"/>
  <c r="AG33" i="6"/>
  <c r="AI33" i="6"/>
  <c r="AG49" i="6"/>
  <c r="AI49" i="6"/>
  <c r="AF40" i="6"/>
  <c r="AH40" i="6"/>
  <c r="AG15" i="6"/>
  <c r="AH15" i="6"/>
  <c r="AI81" i="6"/>
  <c r="AG81" i="6"/>
  <c r="AF22" i="6"/>
  <c r="AH22" i="6"/>
  <c r="AG62" i="6"/>
  <c r="AH62" i="6"/>
  <c r="AG110" i="6"/>
  <c r="AI110" i="6"/>
  <c r="AG130" i="6"/>
  <c r="AI130" i="6"/>
  <c r="AF141" i="6"/>
  <c r="AH141" i="6"/>
  <c r="AH153" i="6"/>
  <c r="AF153" i="6"/>
  <c r="AG183" i="6"/>
  <c r="AI183" i="6"/>
  <c r="AH193" i="6"/>
  <c r="AF193" i="6"/>
  <c r="AH6" i="6"/>
  <c r="AF56" i="6"/>
  <c r="AH56" i="6"/>
  <c r="AI198" i="6"/>
  <c r="AG198" i="6"/>
  <c r="AF71" i="6"/>
  <c r="AH71" i="6"/>
  <c r="AH45" i="6"/>
  <c r="AF45" i="6"/>
  <c r="AF197" i="6"/>
  <c r="AH197" i="6"/>
  <c r="AG16" i="6"/>
  <c r="AI16" i="6"/>
  <c r="AF10" i="6"/>
  <c r="AH10" i="6"/>
  <c r="AG55" i="6"/>
  <c r="AH55" i="6"/>
  <c r="AF5" i="6"/>
  <c r="AH5" i="6"/>
  <c r="AG50" i="6"/>
  <c r="AI50" i="6"/>
  <c r="AH63" i="6"/>
  <c r="AF63" i="6"/>
  <c r="AF27" i="6"/>
  <c r="AH27" i="6"/>
  <c r="AF88" i="6"/>
  <c r="AH88" i="6"/>
  <c r="AF94" i="6"/>
  <c r="AH94" i="6"/>
  <c r="AH109" i="6"/>
  <c r="AF109" i="6"/>
  <c r="AF129" i="6"/>
  <c r="AH129" i="6"/>
  <c r="AG143" i="6"/>
  <c r="AI143" i="6"/>
  <c r="AI155" i="6"/>
  <c r="AG155" i="6"/>
  <c r="AF178" i="6"/>
  <c r="AH178" i="6"/>
  <c r="AH196" i="6"/>
  <c r="AG196" i="6"/>
  <c r="AJ63" i="6"/>
  <c r="AN63" i="6"/>
  <c r="AJ27" i="6"/>
  <c r="AN27" i="6"/>
  <c r="AN88" i="6"/>
  <c r="AJ88" i="6"/>
  <c r="AJ94" i="6"/>
  <c r="AN94" i="6"/>
  <c r="AJ109" i="6"/>
  <c r="AN109" i="6"/>
  <c r="AN129" i="6"/>
  <c r="AJ129" i="6"/>
  <c r="AK143" i="6"/>
  <c r="AO143" i="6"/>
  <c r="AO155" i="6"/>
  <c r="AK155" i="6"/>
  <c r="AJ178" i="6"/>
  <c r="AN178" i="6"/>
  <c r="AL196" i="6"/>
  <c r="AP196" i="6"/>
  <c r="AQ70" i="6"/>
  <c r="AM70" i="6"/>
  <c r="AO111" i="6"/>
  <c r="AK111" i="6"/>
  <c r="AP41" i="6"/>
  <c r="AL41" i="6"/>
  <c r="AJ11" i="6"/>
  <c r="AN11" i="6"/>
  <c r="AP35" i="6"/>
  <c r="AL35" i="6"/>
  <c r="AL66" i="6"/>
  <c r="AP66" i="6"/>
  <c r="AJ71" i="6"/>
  <c r="AN71" i="6"/>
  <c r="AL67" i="6"/>
  <c r="AP67" i="6"/>
  <c r="AP96" i="6"/>
  <c r="AL96" i="6"/>
  <c r="AJ112" i="6"/>
  <c r="AN112" i="6"/>
  <c r="AN132" i="6"/>
  <c r="AJ132" i="6"/>
  <c r="AJ142" i="6"/>
  <c r="AN142" i="6"/>
  <c r="AL156" i="6"/>
  <c r="AP156" i="6"/>
  <c r="AK184" i="6"/>
  <c r="AO184" i="6"/>
  <c r="AK199" i="6"/>
  <c r="AO199" i="6"/>
  <c r="AQ12" i="6"/>
  <c r="AM12" i="6"/>
  <c r="AO52" i="6"/>
  <c r="AK52" i="6"/>
  <c r="AN57" i="6"/>
  <c r="AJ57" i="6"/>
  <c r="AQ26" i="6"/>
  <c r="AM26" i="6"/>
  <c r="AJ18" i="6"/>
  <c r="AN18" i="6"/>
  <c r="AJ89" i="6"/>
  <c r="AN89" i="6"/>
  <c r="AP98" i="6"/>
  <c r="AL98" i="6"/>
  <c r="AM122" i="6"/>
  <c r="AQ122" i="6"/>
  <c r="AN134" i="6"/>
  <c r="AJ134" i="6"/>
  <c r="AL145" i="6"/>
  <c r="AP145" i="6"/>
  <c r="AN174" i="6"/>
  <c r="AJ174" i="6"/>
  <c r="AN189" i="6"/>
  <c r="AJ189" i="6"/>
  <c r="AN200" i="6"/>
  <c r="AJ200" i="6"/>
  <c r="AK198" i="6"/>
  <c r="AO198" i="6"/>
  <c r="AN83" i="6"/>
  <c r="AJ83" i="6"/>
  <c r="AJ100" i="6"/>
  <c r="AN100" i="6"/>
  <c r="AN124" i="6"/>
  <c r="AJ124" i="6"/>
  <c r="AJ136" i="6"/>
  <c r="AN136" i="6"/>
  <c r="AJ148" i="6"/>
  <c r="AN148" i="6"/>
  <c r="AL176" i="6"/>
  <c r="AP176" i="6"/>
  <c r="AN185" i="6"/>
  <c r="AJ185" i="6"/>
  <c r="AJ195" i="6"/>
  <c r="AN195" i="6"/>
  <c r="AN56" i="6"/>
  <c r="AJ56" i="6"/>
  <c r="AN182" i="6"/>
  <c r="AJ182" i="6"/>
  <c r="AM42" i="6"/>
  <c r="AQ42" i="6"/>
  <c r="AM80" i="6"/>
  <c r="AQ80" i="6"/>
  <c r="AN190" i="6"/>
  <c r="AJ190" i="6"/>
  <c r="AJ7" i="6"/>
  <c r="AN7" i="6"/>
  <c r="AJ99" i="6"/>
  <c r="AN99" i="6"/>
  <c r="AP146" i="6"/>
  <c r="AL146" i="6"/>
  <c r="AJ46" i="6"/>
  <c r="AN46" i="6"/>
  <c r="AM43" i="6"/>
  <c r="AQ43" i="6"/>
  <c r="AK107" i="6"/>
  <c r="AO107" i="6"/>
  <c r="AM126" i="6"/>
  <c r="AQ126" i="6"/>
  <c r="AN137" i="6"/>
  <c r="AJ137" i="6"/>
  <c r="AJ149" i="6"/>
  <c r="AN149" i="6"/>
  <c r="AN177" i="6"/>
  <c r="AJ177" i="6"/>
  <c r="AK191" i="6"/>
  <c r="AO191" i="6"/>
  <c r="AN194" i="6"/>
  <c r="AJ194" i="6"/>
  <c r="AO50" i="6"/>
  <c r="AK50" i="6"/>
  <c r="AJ19" i="6"/>
  <c r="AN19" i="6"/>
  <c r="AN3" i="6"/>
  <c r="AJ3" i="6"/>
  <c r="AJ77" i="6"/>
  <c r="AN77" i="6"/>
  <c r="AO133" i="6"/>
  <c r="AK133" i="6"/>
  <c r="AN78" i="6"/>
  <c r="AJ78" i="6"/>
  <c r="AO187" i="6"/>
  <c r="AK187" i="6"/>
  <c r="AJ51" i="6"/>
  <c r="AN51" i="6"/>
  <c r="AP2" i="6"/>
  <c r="AL2" i="6"/>
  <c r="AJ24" i="6"/>
  <c r="AN24" i="6"/>
  <c r="AK2" i="6"/>
  <c r="AO2" i="6"/>
  <c r="AK30" i="6"/>
  <c r="AO30" i="6"/>
  <c r="AO37" i="6"/>
  <c r="AK37" i="6"/>
  <c r="AK79" i="6"/>
  <c r="AO79" i="6"/>
  <c r="AN72" i="6"/>
  <c r="AJ72" i="6"/>
  <c r="AK91" i="6"/>
  <c r="AO91" i="6"/>
  <c r="AN105" i="6"/>
  <c r="AJ105" i="6"/>
  <c r="AL125" i="6"/>
  <c r="AP125" i="6"/>
  <c r="AK139" i="6"/>
  <c r="AO139" i="6"/>
  <c r="AO151" i="6"/>
  <c r="AK151" i="6"/>
  <c r="AK179" i="6"/>
  <c r="AO179" i="6"/>
  <c r="AK186" i="6"/>
  <c r="AO186" i="6"/>
  <c r="AN202" i="6"/>
  <c r="AJ202" i="6"/>
  <c r="AN5" i="6"/>
  <c r="AJ5" i="6"/>
  <c r="AP34" i="6"/>
  <c r="AL34" i="6"/>
  <c r="AQ154" i="6"/>
  <c r="AM154" i="6"/>
  <c r="AM38" i="6"/>
  <c r="AQ38" i="6"/>
  <c r="AP121" i="6"/>
  <c r="AL121" i="6"/>
  <c r="AJ197" i="6"/>
  <c r="AN197" i="6"/>
  <c r="AJ28" i="6"/>
  <c r="AN28" i="6"/>
  <c r="AO84" i="6"/>
  <c r="AK84" i="6"/>
  <c r="AK123" i="6"/>
  <c r="AO123" i="6"/>
  <c r="AJ135" i="6"/>
  <c r="AN135" i="6"/>
  <c r="AQ75" i="6"/>
  <c r="AM75" i="6"/>
  <c r="AN44" i="6"/>
  <c r="AJ44" i="6"/>
  <c r="AK14" i="6"/>
  <c r="AO14" i="6"/>
  <c r="AO32" i="6"/>
  <c r="AK32" i="6"/>
  <c r="AM2" i="6"/>
  <c r="AQ2" i="6"/>
  <c r="AK47" i="6"/>
  <c r="AO47" i="6"/>
  <c r="AL8" i="6"/>
  <c r="AP8" i="6"/>
  <c r="AL31" i="6"/>
  <c r="AP31" i="6"/>
  <c r="AP68" i="6"/>
  <c r="AL68" i="6"/>
  <c r="AL25" i="6"/>
  <c r="AP25" i="6"/>
  <c r="AK92" i="6"/>
  <c r="AO92" i="6"/>
  <c r="AP108" i="6"/>
  <c r="AL108" i="6"/>
  <c r="AO127" i="6"/>
  <c r="AK127" i="6"/>
  <c r="AO140" i="6"/>
  <c r="AK140" i="6"/>
  <c r="AQ150" i="6"/>
  <c r="AM150" i="6"/>
  <c r="AN181" i="6"/>
  <c r="AJ181" i="6"/>
  <c r="AN188" i="6"/>
  <c r="AJ188" i="6"/>
  <c r="AN6" i="6"/>
  <c r="AJ6" i="6"/>
  <c r="AN29" i="6"/>
  <c r="AJ29" i="6"/>
  <c r="AK131" i="6"/>
  <c r="AO131" i="6"/>
  <c r="AO82" i="6"/>
  <c r="AK82" i="6"/>
  <c r="AJ147" i="6"/>
  <c r="AN147" i="6"/>
  <c r="AK90" i="6"/>
  <c r="AO90" i="6"/>
  <c r="AL175" i="6"/>
  <c r="AP175" i="6"/>
  <c r="AO16" i="6"/>
  <c r="AK16" i="6"/>
  <c r="AO60" i="6"/>
  <c r="AK60" i="6"/>
  <c r="AJ2" i="6"/>
  <c r="AN2" i="6"/>
  <c r="AL55" i="6"/>
  <c r="AP55" i="6"/>
  <c r="AJ61" i="6"/>
  <c r="AN61" i="6"/>
  <c r="AO17" i="6"/>
  <c r="AK17" i="6"/>
  <c r="AL87" i="6"/>
  <c r="AP87" i="6"/>
  <c r="AO69" i="6"/>
  <c r="AK69" i="6"/>
  <c r="AQ106" i="6"/>
  <c r="AM106" i="6"/>
  <c r="AJ128" i="6"/>
  <c r="AN128" i="6"/>
  <c r="AN138" i="6"/>
  <c r="AJ138" i="6"/>
  <c r="AL152" i="6"/>
  <c r="AP152" i="6"/>
  <c r="AO180" i="6"/>
  <c r="AK180" i="6"/>
  <c r="AO192" i="6"/>
  <c r="AK192" i="6"/>
  <c r="AN39" i="6"/>
  <c r="AJ39" i="6"/>
  <c r="AK144" i="6"/>
  <c r="AO144" i="6"/>
  <c r="AJ45" i="6"/>
  <c r="AN45" i="6"/>
  <c r="AL97" i="6"/>
  <c r="AP97" i="6"/>
  <c r="AJ173" i="6"/>
  <c r="AN173" i="6"/>
  <c r="AK58" i="6"/>
  <c r="AO58" i="6"/>
  <c r="AO201" i="6"/>
  <c r="AK201" i="6"/>
  <c r="AK54" i="6"/>
  <c r="AO54" i="6"/>
  <c r="AJ76" i="6"/>
  <c r="AN76" i="6"/>
  <c r="AJ10" i="6"/>
  <c r="AN10" i="6"/>
  <c r="AO33" i="6"/>
  <c r="AK33" i="6"/>
  <c r="AO49" i="6"/>
  <c r="AK49" i="6"/>
  <c r="AN40" i="6"/>
  <c r="AJ40" i="6"/>
  <c r="AL15" i="6"/>
  <c r="AP15" i="6"/>
  <c r="AO81" i="6"/>
  <c r="AK81" i="6"/>
  <c r="AJ22" i="6"/>
  <c r="AN22" i="6"/>
  <c r="AP62" i="6"/>
  <c r="AL62" i="6"/>
  <c r="AK110" i="6"/>
  <c r="AO110" i="6"/>
  <c r="AO130" i="6"/>
  <c r="AK130" i="6"/>
  <c r="AN141" i="6"/>
  <c r="AJ141" i="6"/>
  <c r="AN153" i="6"/>
  <c r="AJ153" i="6"/>
  <c r="AK183" i="6"/>
  <c r="AO183" i="6"/>
  <c r="AN193" i="6"/>
  <c r="AJ193" i="6"/>
  <c r="S3" i="6"/>
  <c r="M96" i="6" l="1" a="1"/>
  <c r="M96" i="6" s="1"/>
  <c r="BQ96" i="6" s="1"/>
  <c r="O96" i="6" a="1"/>
  <c r="O96" i="6" s="1"/>
  <c r="BR96" i="6" s="1"/>
  <c r="I3" i="6" a="1"/>
  <c r="I3" i="6" s="1"/>
  <c r="BO3" i="6" s="1"/>
  <c r="K3" i="6" a="1"/>
  <c r="K3" i="6" s="1"/>
  <c r="BP3" i="6" s="1"/>
  <c r="C3" i="6" a="1"/>
  <c r="C3" i="6" s="1"/>
  <c r="E96" i="6" a="1"/>
  <c r="E96" i="6" s="1"/>
  <c r="BM96" i="6" s="1"/>
  <c r="S4" i="6"/>
  <c r="G3" i="6" a="1"/>
  <c r="G3" i="6" s="1"/>
  <c r="BN3" i="6" s="1"/>
  <c r="M4" i="6" l="1" a="1"/>
  <c r="M4" i="6" s="1"/>
  <c r="BQ4" i="6" s="1"/>
  <c r="O4" i="6" a="1"/>
  <c r="O4" i="6" s="1"/>
  <c r="BR4" i="6" s="1"/>
  <c r="AC3" i="6"/>
  <c r="BU3" i="6" s="1"/>
  <c r="AE3" i="6"/>
  <c r="BW3" i="6" s="1"/>
  <c r="AD3" i="6"/>
  <c r="BV3" i="6" s="1"/>
  <c r="G4" i="6" a="1"/>
  <c r="G4" i="6" s="1"/>
  <c r="BN4" i="6" s="1"/>
  <c r="I4" i="6" a="1"/>
  <c r="I4" i="6" s="1"/>
  <c r="BO4" i="6" s="1"/>
  <c r="K4" i="6" a="1"/>
  <c r="K4" i="6" s="1"/>
  <c r="BP4" i="6" s="1"/>
  <c r="E4" i="6" a="1"/>
  <c r="E4" i="6" s="1"/>
  <c r="BM4" i="6" s="1"/>
  <c r="C4" i="6" a="1"/>
  <c r="C4" i="6" s="1"/>
  <c r="S5" i="6"/>
  <c r="M34" i="6" l="1" a="1"/>
  <c r="M34" i="6" s="1"/>
  <c r="BQ34" i="6" s="1"/>
  <c r="O34" i="6" a="1"/>
  <c r="O34" i="6" s="1"/>
  <c r="BR34" i="6" s="1"/>
  <c r="AS4" i="6"/>
  <c r="AR4" i="6"/>
  <c r="BX4" i="6"/>
  <c r="BY4" i="6"/>
  <c r="AE4" i="6"/>
  <c r="BW4" i="6" s="1"/>
  <c r="AC4" i="6"/>
  <c r="BU4" i="6" s="1"/>
  <c r="AD4" i="6"/>
  <c r="BV4" i="6" s="1"/>
  <c r="AB4" i="6"/>
  <c r="BT4" i="6" s="1"/>
  <c r="BD4" i="6" s="1"/>
  <c r="G5" i="6" a="1"/>
  <c r="G5" i="6" s="1"/>
  <c r="BN5" i="6" s="1"/>
  <c r="K5" i="6" a="1"/>
  <c r="K5" i="6" s="1"/>
  <c r="BP5" i="6" s="1"/>
  <c r="I5" i="6" a="1"/>
  <c r="I5" i="6" s="1"/>
  <c r="BO5" i="6" s="1"/>
  <c r="C5" i="6" a="1"/>
  <c r="C5" i="6" s="1"/>
  <c r="E34" i="6" a="1"/>
  <c r="E34" i="6" s="1"/>
  <c r="BM34" i="6" s="1"/>
  <c r="S6" i="6"/>
  <c r="M56" i="6" l="1" a="1"/>
  <c r="M56" i="6" s="1"/>
  <c r="BQ56" i="6" s="1"/>
  <c r="O40" i="6" a="1"/>
  <c r="O40" i="6" s="1"/>
  <c r="BR40" i="6" s="1"/>
  <c r="AE5" i="6"/>
  <c r="BW5" i="6" s="1"/>
  <c r="AC5" i="6"/>
  <c r="BU5" i="6" s="1"/>
  <c r="AD5" i="6"/>
  <c r="BV5" i="6" s="1"/>
  <c r="I52" i="6" a="1"/>
  <c r="I52" i="6" s="1"/>
  <c r="BO52" i="6" s="1"/>
  <c r="K6" i="6" a="1"/>
  <c r="K6" i="6" s="1"/>
  <c r="BP6" i="6" s="1"/>
  <c r="C6" i="6" a="1"/>
  <c r="C6" i="6" s="1"/>
  <c r="E40" i="6" a="1"/>
  <c r="E40" i="6" s="1"/>
  <c r="BM40" i="6" s="1"/>
  <c r="S7" i="6"/>
  <c r="M42" i="6" l="1" a="1"/>
  <c r="M42" i="6" s="1"/>
  <c r="BQ42" i="6" s="1"/>
  <c r="O41" i="6" a="1"/>
  <c r="O41" i="6" s="1"/>
  <c r="BR41" i="6" s="1"/>
  <c r="AE6" i="6"/>
  <c r="BW6" i="6" s="1"/>
  <c r="K7" i="6" a="1"/>
  <c r="K7" i="6" s="1"/>
  <c r="BP7" i="6" s="1"/>
  <c r="C7" i="6" a="1"/>
  <c r="C7" i="6" s="1"/>
  <c r="I54" i="6" a="1"/>
  <c r="I54" i="6" s="1"/>
  <c r="BO54" i="6" s="1"/>
  <c r="E41" i="6" a="1"/>
  <c r="E41" i="6" s="1"/>
  <c r="BM41" i="6" s="1"/>
  <c r="S8" i="6"/>
  <c r="S9" i="6" l="1"/>
  <c r="O44" i="6" a="1"/>
  <c r="O44" i="6" s="1"/>
  <c r="BR44" i="6" s="1"/>
  <c r="M30" i="6" a="1"/>
  <c r="M30" i="6" s="1"/>
  <c r="BQ30" i="6" s="1"/>
  <c r="AE7" i="6"/>
  <c r="BW7" i="6" s="1"/>
  <c r="G9" i="6" a="1"/>
  <c r="G9" i="6" s="1"/>
  <c r="BN9" i="6" s="1"/>
  <c r="K9" i="6" a="1"/>
  <c r="K9" i="6" s="1"/>
  <c r="BP9" i="6" s="1"/>
  <c r="E9" i="6" a="1"/>
  <c r="E9" i="6" s="1"/>
  <c r="BM9" i="6" s="1"/>
  <c r="C9" i="6" a="1"/>
  <c r="C9" i="6" s="1"/>
  <c r="I9" i="6" a="1"/>
  <c r="I9" i="6" s="1"/>
  <c r="BO9" i="6" s="1"/>
  <c r="K12" i="6" a="1"/>
  <c r="K12" i="6" s="1"/>
  <c r="BP12" i="6" s="1"/>
  <c r="I55" i="6" a="1"/>
  <c r="I55" i="6" s="1"/>
  <c r="BO55" i="6" s="1"/>
  <c r="E47" i="6" a="1"/>
  <c r="E47" i="6" s="1"/>
  <c r="BM47" i="6" s="1"/>
  <c r="C8" i="6" a="1"/>
  <c r="C8" i="6" s="1"/>
  <c r="S10" i="6"/>
  <c r="O10" i="6" l="1" a="1"/>
  <c r="O10" i="6" s="1"/>
  <c r="BR10" i="6" s="1"/>
  <c r="M50" i="6" a="1"/>
  <c r="M50" i="6" s="1"/>
  <c r="BQ50" i="6" s="1"/>
  <c r="M9" i="6" a="1"/>
  <c r="M9" i="6" s="1"/>
  <c r="BQ9" i="6" s="1"/>
  <c r="O9" i="6" a="1"/>
  <c r="O9" i="6" s="1"/>
  <c r="BR9" i="6" s="1"/>
  <c r="AE9" i="6"/>
  <c r="BW9" i="6" s="1"/>
  <c r="AD9" i="6"/>
  <c r="BV9" i="6" s="1"/>
  <c r="AB9" i="6"/>
  <c r="BT9" i="6" s="1"/>
  <c r="AC9" i="6"/>
  <c r="BU9" i="6" s="1"/>
  <c r="I49" i="6" a="1"/>
  <c r="I49" i="6" s="1"/>
  <c r="BO49" i="6" s="1"/>
  <c r="E49" i="6" a="1"/>
  <c r="E49" i="6" s="1"/>
  <c r="BM49" i="6" s="1"/>
  <c r="C10" i="6" a="1"/>
  <c r="C10" i="6" s="1"/>
  <c r="K11" i="6" a="1"/>
  <c r="K11" i="6" s="1"/>
  <c r="BP11" i="6" s="1"/>
  <c r="S11" i="6"/>
  <c r="AS9" i="6" l="1"/>
  <c r="BY9" i="6" s="1"/>
  <c r="M11" i="6" a="1"/>
  <c r="M11" i="6" s="1"/>
  <c r="BQ11" i="6" s="1"/>
  <c r="O49" i="6" a="1"/>
  <c r="O49" i="6" s="1"/>
  <c r="BR49" i="6" s="1"/>
  <c r="AS10" i="6"/>
  <c r="AR9" i="6"/>
  <c r="BX9" i="6" s="1"/>
  <c r="BD9" i="6" s="1"/>
  <c r="BY10" i="6"/>
  <c r="K10" i="6" a="1"/>
  <c r="K10" i="6" s="1"/>
  <c r="BP10" i="6" s="1"/>
  <c r="I50" i="6" a="1"/>
  <c r="I50" i="6" s="1"/>
  <c r="BO50" i="6" s="1"/>
  <c r="E10" i="6" a="1"/>
  <c r="E10" i="6" s="1"/>
  <c r="BM10" i="6" s="1"/>
  <c r="C11" i="6" a="1"/>
  <c r="C11" i="6" s="1"/>
  <c r="S12" i="6"/>
  <c r="O47" i="6" l="1" a="1"/>
  <c r="O47" i="6" s="1"/>
  <c r="BR47" i="6" s="1"/>
  <c r="M45" i="6" a="1"/>
  <c r="M45" i="6" s="1"/>
  <c r="BQ45" i="6" s="1"/>
  <c r="AR11" i="6"/>
  <c r="BX11" i="6"/>
  <c r="AB10" i="6"/>
  <c r="BT10" i="6" s="1"/>
  <c r="AE10" i="6"/>
  <c r="BW10" i="6" s="1"/>
  <c r="AE11" i="6"/>
  <c r="BW11" i="6" s="1"/>
  <c r="C12" i="6" a="1"/>
  <c r="C12" i="6" s="1"/>
  <c r="I43" i="6" a="1"/>
  <c r="I43" i="6" s="1"/>
  <c r="BO43" i="6" s="1"/>
  <c r="K8" i="6" a="1"/>
  <c r="K8" i="6" s="1"/>
  <c r="E44" i="6" a="1"/>
  <c r="E44" i="6" s="1"/>
  <c r="BM44" i="6" s="1"/>
  <c r="S13" i="6"/>
  <c r="O93" i="6" l="1" a="1"/>
  <c r="O93" i="6" s="1"/>
  <c r="BR93" i="6" s="1"/>
  <c r="M13" i="6" a="1"/>
  <c r="M13" i="6" s="1"/>
  <c r="BQ13" i="6" s="1"/>
  <c r="BP8" i="6"/>
  <c r="AE8" i="6"/>
  <c r="BW8" i="6" s="1"/>
  <c r="AE12" i="6"/>
  <c r="BW12" i="6" s="1"/>
  <c r="S14" i="6"/>
  <c r="E65" i="6" a="1"/>
  <c r="E65" i="6" s="1"/>
  <c r="BM65" i="6" s="1"/>
  <c r="K65" i="6" a="1"/>
  <c r="K65" i="6" s="1"/>
  <c r="BP65" i="6" s="1"/>
  <c r="I95" i="6" a="1"/>
  <c r="I95" i="6" s="1"/>
  <c r="BO95" i="6" s="1"/>
  <c r="C13" i="6" a="1"/>
  <c r="C13" i="6" s="1"/>
  <c r="O75" i="6" l="1" a="1"/>
  <c r="O75" i="6" s="1"/>
  <c r="BR75" i="6" s="1"/>
  <c r="M25" i="6" a="1"/>
  <c r="M25" i="6" s="1"/>
  <c r="BQ25" i="6" s="1"/>
  <c r="AR13" i="6"/>
  <c r="BX13" i="6"/>
  <c r="E26" i="6" a="1"/>
  <c r="E26" i="6" s="1"/>
  <c r="BM26" i="6" s="1"/>
  <c r="K79" i="6" a="1"/>
  <c r="K79" i="6" s="1"/>
  <c r="BP79" i="6" s="1"/>
  <c r="I77" i="6" a="1"/>
  <c r="I77" i="6" s="1"/>
  <c r="BO77" i="6" s="1"/>
  <c r="C14" i="6" a="1"/>
  <c r="C14" i="6" s="1"/>
  <c r="S15" i="6"/>
  <c r="M63" i="6" l="1" a="1"/>
  <c r="M63" i="6" s="1"/>
  <c r="BQ63" i="6" s="1"/>
  <c r="O61" i="6" a="1"/>
  <c r="O61" i="6" s="1"/>
  <c r="BR61" i="6" s="1"/>
  <c r="E61" i="6" a="1"/>
  <c r="E61" i="6" s="1"/>
  <c r="BM61" i="6" s="1"/>
  <c r="I31" i="6" a="1"/>
  <c r="I31" i="6" s="1"/>
  <c r="BO31" i="6" s="1"/>
  <c r="K15" i="6" a="1"/>
  <c r="K15" i="6" s="1"/>
  <c r="BP15" i="6" s="1"/>
  <c r="C15" i="6" a="1"/>
  <c r="C15" i="6" s="1"/>
  <c r="S16" i="6"/>
  <c r="S17" i="6" l="1"/>
  <c r="S18" i="6" s="1"/>
  <c r="O18" i="6" a="1"/>
  <c r="O18" i="6" s="1"/>
  <c r="BR18" i="6" s="1"/>
  <c r="M81" i="6" a="1"/>
  <c r="M81" i="6" s="1"/>
  <c r="BQ81" i="6" s="1"/>
  <c r="AE15" i="6"/>
  <c r="BW15" i="6" s="1"/>
  <c r="E18" i="6" a="1"/>
  <c r="E18" i="6" s="1"/>
  <c r="BM18" i="6" s="1"/>
  <c r="I29" i="6" a="1"/>
  <c r="I29" i="6" s="1"/>
  <c r="BO29" i="6" s="1"/>
  <c r="K16" i="6" a="1"/>
  <c r="K16" i="6" s="1"/>
  <c r="BP16" i="6" s="1"/>
  <c r="C17" i="6" a="1"/>
  <c r="C17" i="6" s="1"/>
  <c r="I78" i="6" a="1"/>
  <c r="I78" i="6" s="1"/>
  <c r="BO78" i="6" s="1"/>
  <c r="C16" i="6" a="1"/>
  <c r="C16" i="6" s="1"/>
  <c r="K17" i="6" a="1"/>
  <c r="K17" i="6" s="1"/>
  <c r="BP17" i="6" s="1"/>
  <c r="E82" i="6" a="1"/>
  <c r="E82" i="6" s="1"/>
  <c r="BM82" i="6" s="1"/>
  <c r="M29" i="6" l="1" a="1"/>
  <c r="M29" i="6" s="1"/>
  <c r="BQ29" i="6" s="1"/>
  <c r="O16" i="6" a="1"/>
  <c r="O16" i="6" s="1"/>
  <c r="BR16" i="6" s="1"/>
  <c r="O82" i="6" a="1"/>
  <c r="O82" i="6" s="1"/>
  <c r="BR82" i="6" s="1"/>
  <c r="M27" i="6" a="1"/>
  <c r="M27" i="6" s="1"/>
  <c r="BQ27" i="6" s="1"/>
  <c r="AE16" i="6"/>
  <c r="BW16" i="6" s="1"/>
  <c r="AE17" i="6"/>
  <c r="BW17" i="6" s="1"/>
  <c r="K27" i="6" a="1"/>
  <c r="K27" i="6" s="1"/>
  <c r="BP27" i="6" s="1"/>
  <c r="C18" i="6" a="1"/>
  <c r="C18" i="6" s="1"/>
  <c r="E78" i="6" a="1"/>
  <c r="E78" i="6" s="1"/>
  <c r="BM78" i="6" s="1"/>
  <c r="I82" i="6" a="1"/>
  <c r="I82" i="6" s="1"/>
  <c r="BO82" i="6" s="1"/>
  <c r="S19" i="6"/>
  <c r="S20" i="6" l="1"/>
  <c r="O66" i="6" a="1"/>
  <c r="O66" i="6" s="1"/>
  <c r="BR66" i="6" s="1"/>
  <c r="M66" i="6" a="1"/>
  <c r="M66" i="6" s="1"/>
  <c r="BQ66" i="6" s="1"/>
  <c r="AS18" i="6"/>
  <c r="AS16" i="6"/>
  <c r="BY16" i="6" s="1"/>
  <c r="BY18" i="6"/>
  <c r="AB18" i="6"/>
  <c r="BT18" i="6" s="1"/>
  <c r="S21" i="6"/>
  <c r="E20" i="6" a="1"/>
  <c r="E20" i="6" s="1"/>
  <c r="BM20" i="6" s="1"/>
  <c r="K21" i="6" a="1"/>
  <c r="K21" i="6" s="1"/>
  <c r="BP21" i="6" s="1"/>
  <c r="I21" i="6" a="1"/>
  <c r="I21" i="6" s="1"/>
  <c r="BO21" i="6" s="1"/>
  <c r="C21" i="6" a="1"/>
  <c r="C21" i="6" s="1"/>
  <c r="G20" i="6" a="1"/>
  <c r="G20" i="6" s="1"/>
  <c r="BN20" i="6" s="1"/>
  <c r="I20" i="6" a="1"/>
  <c r="I20" i="6" s="1"/>
  <c r="BO20" i="6" s="1"/>
  <c r="C20" i="6" a="1"/>
  <c r="C20" i="6" s="1"/>
  <c r="E21" i="6" a="1"/>
  <c r="E21" i="6" s="1"/>
  <c r="BM21" i="6" s="1"/>
  <c r="K20" i="6" a="1"/>
  <c r="K20" i="6" s="1"/>
  <c r="BP20" i="6" s="1"/>
  <c r="E66" i="6" a="1"/>
  <c r="E66" i="6" s="1"/>
  <c r="BM66" i="6" s="1"/>
  <c r="G19" i="6" a="1"/>
  <c r="G19" i="6" s="1"/>
  <c r="BN19" i="6" s="1"/>
  <c r="K19" i="6" a="1"/>
  <c r="K19" i="6" s="1"/>
  <c r="BP19" i="6" s="1"/>
  <c r="I19" i="6" a="1"/>
  <c r="I19" i="6" s="1"/>
  <c r="BO19" i="6" s="1"/>
  <c r="C19" i="6" a="1"/>
  <c r="C19" i="6" s="1"/>
  <c r="S22" i="6" l="1"/>
  <c r="M20" i="6" a="1"/>
  <c r="M20" i="6" s="1"/>
  <c r="BQ20" i="6" s="1"/>
  <c r="O20" i="6" a="1"/>
  <c r="O20" i="6" s="1"/>
  <c r="BR20" i="6" s="1"/>
  <c r="M21" i="6" a="1"/>
  <c r="M21" i="6" s="1"/>
  <c r="BQ21" i="6" s="1"/>
  <c r="O21" i="6" a="1"/>
  <c r="O21" i="6" s="1"/>
  <c r="BR21" i="6" s="1"/>
  <c r="G21" i="6" a="1"/>
  <c r="G21" i="6" s="1"/>
  <c r="BN21" i="6" s="1"/>
  <c r="AD19" i="6"/>
  <c r="BV19" i="6" s="1"/>
  <c r="AC19" i="6"/>
  <c r="BU19" i="6" s="1"/>
  <c r="AE19" i="6"/>
  <c r="BW19" i="6" s="1"/>
  <c r="AE20" i="6"/>
  <c r="BW20" i="6" s="1"/>
  <c r="AB20" i="6"/>
  <c r="BT20" i="6" s="1"/>
  <c r="AD20" i="6"/>
  <c r="BV20" i="6" s="1"/>
  <c r="AC20" i="6"/>
  <c r="BU20" i="6" s="1"/>
  <c r="AE21" i="6"/>
  <c r="BW21" i="6" s="1"/>
  <c r="AB21" i="6"/>
  <c r="BT21" i="6" s="1"/>
  <c r="AD21" i="6"/>
  <c r="BV21" i="6" s="1"/>
  <c r="K22" i="6" a="1"/>
  <c r="K22" i="6" s="1"/>
  <c r="BP22" i="6" s="1"/>
  <c r="E72" i="6" a="1"/>
  <c r="E72" i="6" s="1"/>
  <c r="BM72" i="6" s="1"/>
  <c r="C22" i="6" a="1"/>
  <c r="C22" i="6" s="1"/>
  <c r="I84" i="6" a="1"/>
  <c r="I84" i="6" s="1"/>
  <c r="BO84" i="6" s="1"/>
  <c r="S23" i="6"/>
  <c r="AR21" i="6" l="1"/>
  <c r="BX21" i="6" s="1"/>
  <c r="M74" i="6" a="1"/>
  <c r="M74" i="6" s="1"/>
  <c r="BQ74" i="6" s="1"/>
  <c r="O73" i="6" a="1"/>
  <c r="O73" i="6" s="1"/>
  <c r="BR73" i="6" s="1"/>
  <c r="AS21" i="6"/>
  <c r="BY21" i="6" s="1"/>
  <c r="AS20" i="6"/>
  <c r="BY20" i="6" s="1"/>
  <c r="AR20" i="6"/>
  <c r="BX20" i="6" s="1"/>
  <c r="BD20" i="6" s="1"/>
  <c r="O72" i="6" a="1"/>
  <c r="O72" i="6" s="1"/>
  <c r="BR72" i="6" s="1"/>
  <c r="M88" i="6" a="1"/>
  <c r="M88" i="6" s="1"/>
  <c r="BQ88" i="6" s="1"/>
  <c r="AC21" i="6"/>
  <c r="BU21" i="6" s="1"/>
  <c r="BD21" i="6" s="1"/>
  <c r="AE22" i="6"/>
  <c r="BW22" i="6" s="1"/>
  <c r="C23" i="6" a="1"/>
  <c r="C23" i="6" s="1"/>
  <c r="K23" i="6" a="1"/>
  <c r="K23" i="6" s="1"/>
  <c r="BP23" i="6" s="1"/>
  <c r="I86" i="6" a="1"/>
  <c r="I86" i="6" s="1"/>
  <c r="BO86" i="6" s="1"/>
  <c r="E73" i="6" a="1"/>
  <c r="E73" i="6" s="1"/>
  <c r="BM73" i="6" s="1"/>
  <c r="S24" i="6"/>
  <c r="O68" i="6" l="1" a="1"/>
  <c r="O68" i="6" s="1"/>
  <c r="BR68" i="6" s="1"/>
  <c r="M80" i="6" a="1"/>
  <c r="M80" i="6" s="1"/>
  <c r="BQ80" i="6" s="1"/>
  <c r="AE23" i="6"/>
  <c r="BW23" i="6" s="1"/>
  <c r="K24" i="6" a="1"/>
  <c r="K24" i="6" s="1"/>
  <c r="BP24" i="6" s="1"/>
  <c r="I91" i="6" a="1"/>
  <c r="I91" i="6" s="1"/>
  <c r="BO91" i="6" s="1"/>
  <c r="E68" i="6" a="1"/>
  <c r="E68" i="6" s="1"/>
  <c r="BM68" i="6" s="1"/>
  <c r="C24" i="6" a="1"/>
  <c r="C24" i="6" s="1"/>
  <c r="S25" i="6"/>
  <c r="O76" i="6" l="1" a="1"/>
  <c r="O76" i="6" s="1"/>
  <c r="BR76" i="6" s="1"/>
  <c r="M14" i="6" a="1"/>
  <c r="M14" i="6" s="1"/>
  <c r="AE24" i="6"/>
  <c r="BW24" i="6" s="1"/>
  <c r="C25" i="6" a="1"/>
  <c r="C25" i="6" s="1"/>
  <c r="E79" i="6" a="1"/>
  <c r="E79" i="6" s="1"/>
  <c r="BM79" i="6" s="1"/>
  <c r="I87" i="6" a="1"/>
  <c r="I87" i="6" s="1"/>
  <c r="BO87" i="6" s="1"/>
  <c r="K26" i="6" a="1"/>
  <c r="K26" i="6" s="1"/>
  <c r="BP26" i="6" s="1"/>
  <c r="S26" i="6"/>
  <c r="AR25" i="6" l="1"/>
  <c r="BQ14" i="6"/>
  <c r="AR14" i="6"/>
  <c r="BX14" i="6" s="1"/>
  <c r="M77" i="6" a="1"/>
  <c r="M77" i="6" s="1"/>
  <c r="BQ77" i="6" s="1"/>
  <c r="O79" i="6" a="1"/>
  <c r="O79" i="6" s="1"/>
  <c r="BR79" i="6" s="1"/>
  <c r="BX25" i="6"/>
  <c r="I75" i="6" a="1"/>
  <c r="I75" i="6" s="1"/>
  <c r="BO75" i="6" s="1"/>
  <c r="K25" i="6" a="1"/>
  <c r="K25" i="6" s="1"/>
  <c r="BP25" i="6" s="1"/>
  <c r="E76" i="6" a="1"/>
  <c r="E76" i="6" s="1"/>
  <c r="BM76" i="6" s="1"/>
  <c r="C26" i="6" a="1"/>
  <c r="C26" i="6" s="1"/>
  <c r="S27" i="6"/>
  <c r="O78" i="6" l="1" a="1"/>
  <c r="O78" i="6" s="1"/>
  <c r="BR78" i="6" s="1"/>
  <c r="M17" i="6" a="1"/>
  <c r="M17" i="6" s="1"/>
  <c r="AE25" i="6"/>
  <c r="BW25" i="6" s="1"/>
  <c r="AE26" i="6"/>
  <c r="BW26" i="6" s="1"/>
  <c r="AB26" i="6"/>
  <c r="BT26" i="6" s="1"/>
  <c r="I81" i="6" a="1"/>
  <c r="I81" i="6" s="1"/>
  <c r="BO81" i="6" s="1"/>
  <c r="K18" i="6" a="1"/>
  <c r="K18" i="6" s="1"/>
  <c r="E16" i="6" a="1"/>
  <c r="E16" i="6" s="1"/>
  <c r="C27" i="6" a="1"/>
  <c r="C27" i="6" s="1"/>
  <c r="S28" i="6"/>
  <c r="AR27" i="6" l="1"/>
  <c r="S29" i="6"/>
  <c r="O32" i="6" a="1"/>
  <c r="O32" i="6" s="1"/>
  <c r="BR32" i="6" s="1"/>
  <c r="M28" i="6" a="1"/>
  <c r="M28" i="6" s="1"/>
  <c r="BQ28" i="6" s="1"/>
  <c r="BQ17" i="6"/>
  <c r="AR17" i="6"/>
  <c r="BX17" i="6" s="1"/>
  <c r="BX27" i="6"/>
  <c r="BM16" i="6"/>
  <c r="AB16" i="6"/>
  <c r="BT16" i="6" s="1"/>
  <c r="BP18" i="6"/>
  <c r="AE18" i="6"/>
  <c r="BW18" i="6" s="1"/>
  <c r="AE27" i="6"/>
  <c r="BW27" i="6" s="1"/>
  <c r="G16" i="6" a="1"/>
  <c r="G16" i="6" s="1"/>
  <c r="G29" i="6" a="1"/>
  <c r="G29" i="6" s="1"/>
  <c r="BN29" i="6" s="1"/>
  <c r="K78" i="6" a="1"/>
  <c r="K78" i="6" s="1"/>
  <c r="BP78" i="6" s="1"/>
  <c r="C29" i="6" a="1"/>
  <c r="C29" i="6" s="1"/>
  <c r="I17" i="6" a="1"/>
  <c r="I17" i="6" s="1"/>
  <c r="E27" i="6" a="1"/>
  <c r="E27" i="6" s="1"/>
  <c r="BM27" i="6" s="1"/>
  <c r="E46" i="6" a="1"/>
  <c r="E46" i="6" s="1"/>
  <c r="BM46" i="6" s="1"/>
  <c r="C28" i="6" a="1"/>
  <c r="C28" i="6" s="1"/>
  <c r="K46" i="6" a="1"/>
  <c r="K46" i="6" s="1"/>
  <c r="BP46" i="6" s="1"/>
  <c r="I33" i="6" a="1"/>
  <c r="I33" i="6" s="1"/>
  <c r="BO33" i="6" s="1"/>
  <c r="S30" i="6"/>
  <c r="AR28" i="6" l="1"/>
  <c r="AR29" i="6"/>
  <c r="BX29" i="6" s="1"/>
  <c r="O81" i="6" a="1"/>
  <c r="O81" i="6" s="1"/>
  <c r="BR81" i="6" s="1"/>
  <c r="M18" i="6" a="1"/>
  <c r="M18" i="6" s="1"/>
  <c r="S31" i="6"/>
  <c r="O43" i="6" a="1"/>
  <c r="O43" i="6" s="1"/>
  <c r="BR43" i="6" s="1"/>
  <c r="M8" i="6" a="1"/>
  <c r="M8" i="6" s="1"/>
  <c r="BX28" i="6"/>
  <c r="AB27" i="6"/>
  <c r="BT27" i="6" s="1"/>
  <c r="BO17" i="6"/>
  <c r="AD17" i="6"/>
  <c r="BV17" i="6" s="1"/>
  <c r="BN16" i="6"/>
  <c r="AC16" i="6"/>
  <c r="BU16" i="6" s="1"/>
  <c r="AD29" i="6"/>
  <c r="BV29" i="6" s="1"/>
  <c r="AC29" i="6"/>
  <c r="BU29" i="6" s="1"/>
  <c r="S32" i="6"/>
  <c r="E12" i="6" a="1"/>
  <c r="E12" i="6" s="1"/>
  <c r="K47" i="6" a="1"/>
  <c r="K47" i="6" s="1"/>
  <c r="BP47" i="6" s="1"/>
  <c r="C30" i="6" a="1"/>
  <c r="C30" i="6" s="1"/>
  <c r="I45" i="6" a="1"/>
  <c r="I45" i="6" s="1"/>
  <c r="BO45" i="6" s="1"/>
  <c r="G15" i="6" a="1"/>
  <c r="G15" i="6" s="1"/>
  <c r="I15" i="6" a="1"/>
  <c r="I15" i="6" s="1"/>
  <c r="C31" i="6" a="1"/>
  <c r="C31" i="6" s="1"/>
  <c r="K31" i="6" a="1"/>
  <c r="K31" i="6" s="1"/>
  <c r="BP31" i="6" s="1"/>
  <c r="G31" i="6" a="1"/>
  <c r="G31" i="6" s="1"/>
  <c r="BN31" i="6" s="1"/>
  <c r="E63" i="6" a="1"/>
  <c r="E63" i="6" s="1"/>
  <c r="BM63" i="6" s="1"/>
  <c r="K33" i="6" a="1"/>
  <c r="K33" i="6" s="1"/>
  <c r="BP33" i="6" s="1"/>
  <c r="E33" i="6" a="1"/>
  <c r="E33" i="6" s="1"/>
  <c r="BM33" i="6" s="1"/>
  <c r="G32" i="6" a="1"/>
  <c r="G32" i="6" s="1"/>
  <c r="BN32" i="6" s="1"/>
  <c r="C32" i="6" a="1"/>
  <c r="C32" i="6" s="1"/>
  <c r="I46" i="6" a="1"/>
  <c r="I46" i="6" s="1"/>
  <c r="BO46" i="6" s="1"/>
  <c r="BQ8" i="6" l="1"/>
  <c r="AR8" i="6"/>
  <c r="BX8" i="6" s="1"/>
  <c r="M61" i="6" a="1"/>
  <c r="M61" i="6" s="1"/>
  <c r="BQ61" i="6" s="1"/>
  <c r="O63" i="6" a="1"/>
  <c r="O63" i="6" s="1"/>
  <c r="BR63" i="6" s="1"/>
  <c r="BQ18" i="6"/>
  <c r="AR18" i="6"/>
  <c r="BX18" i="6" s="1"/>
  <c r="G28" i="6" a="1"/>
  <c r="G28" i="6" s="1"/>
  <c r="BN28" i="6" s="1"/>
  <c r="M32" i="6" a="1"/>
  <c r="M32" i="6" s="1"/>
  <c r="BQ32" i="6" s="1"/>
  <c r="O28" i="6" a="1"/>
  <c r="O28" i="6" s="1"/>
  <c r="AR30" i="6"/>
  <c r="AS32" i="6"/>
  <c r="BY32" i="6" s="1"/>
  <c r="BX30" i="6"/>
  <c r="BO15" i="6"/>
  <c r="AD15" i="6"/>
  <c r="BV15" i="6" s="1"/>
  <c r="BN15" i="6"/>
  <c r="AC15" i="6"/>
  <c r="BU15" i="6" s="1"/>
  <c r="BM12" i="6"/>
  <c r="AB12" i="6"/>
  <c r="BT12" i="6" s="1"/>
  <c r="AC32" i="6"/>
  <c r="BU32" i="6" s="1"/>
  <c r="AE31" i="6"/>
  <c r="BW31" i="6" s="1"/>
  <c r="AD31" i="6"/>
  <c r="BV31" i="6" s="1"/>
  <c r="AC31" i="6"/>
  <c r="BU31" i="6" s="1"/>
  <c r="S33" i="6"/>
  <c r="BR28" i="6" l="1"/>
  <c r="AS28" i="6"/>
  <c r="BY28" i="6" s="1"/>
  <c r="AR32" i="6"/>
  <c r="BX32" i="6" s="1"/>
  <c r="S34" i="6"/>
  <c r="G34" i="6" s="1" a="1"/>
  <c r="G34" i="6" s="1"/>
  <c r="BN34" i="6" s="1"/>
  <c r="M46" i="6" a="1"/>
  <c r="M46" i="6" s="1"/>
  <c r="BQ46" i="6" s="1"/>
  <c r="O33" i="6" a="1"/>
  <c r="O33" i="6" s="1"/>
  <c r="BR33" i="6" s="1"/>
  <c r="AC28" i="6"/>
  <c r="BU28" i="6" s="1"/>
  <c r="C34" i="6" a="1"/>
  <c r="C34" i="6" s="1"/>
  <c r="K34" i="6" a="1"/>
  <c r="K34" i="6" s="1"/>
  <c r="BP34" i="6" s="1"/>
  <c r="I34" i="6" a="1"/>
  <c r="I34" i="6" s="1"/>
  <c r="BO34" i="6" s="1"/>
  <c r="E5" i="6" a="1"/>
  <c r="E5" i="6" s="1"/>
  <c r="K32" i="6" a="1"/>
  <c r="K32" i="6" s="1"/>
  <c r="I28" i="6" a="1"/>
  <c r="I28" i="6" s="1"/>
  <c r="C33" i="6" a="1"/>
  <c r="C33" i="6" s="1"/>
  <c r="E28" i="6" a="1"/>
  <c r="E28" i="6" s="1"/>
  <c r="S35" i="6"/>
  <c r="M58" i="6" l="1" a="1"/>
  <c r="M58" i="6" s="1"/>
  <c r="BQ58" i="6" s="1"/>
  <c r="O57" i="6" a="1"/>
  <c r="O57" i="6" s="1"/>
  <c r="BR57" i="6" s="1"/>
  <c r="AR34" i="6"/>
  <c r="AS34" i="6"/>
  <c r="AS33" i="6"/>
  <c r="M5" i="6" a="1"/>
  <c r="M5" i="6" s="1"/>
  <c r="O5" i="6" a="1"/>
  <c r="O5" i="6" s="1"/>
  <c r="BY33" i="6"/>
  <c r="BX34" i="6"/>
  <c r="BY34" i="6"/>
  <c r="BM28" i="6"/>
  <c r="AB28" i="6"/>
  <c r="BT28" i="6" s="1"/>
  <c r="BO28" i="6"/>
  <c r="AD28" i="6"/>
  <c r="BV28" i="6" s="1"/>
  <c r="BP32" i="6"/>
  <c r="AE32" i="6"/>
  <c r="BW32" i="6" s="1"/>
  <c r="AE33" i="6"/>
  <c r="BW33" i="6" s="1"/>
  <c r="AB33" i="6"/>
  <c r="BT33" i="6" s="1"/>
  <c r="AD33" i="6"/>
  <c r="BV33" i="6" s="1"/>
  <c r="BM5" i="6"/>
  <c r="AB5" i="6"/>
  <c r="BT5" i="6" s="1"/>
  <c r="AE34" i="6"/>
  <c r="BW34" i="6" s="1"/>
  <c r="AD34" i="6"/>
  <c r="BV34" i="6" s="1"/>
  <c r="AB34" i="6"/>
  <c r="BT34" i="6" s="1"/>
  <c r="BD34" i="6" s="1"/>
  <c r="AC34" i="6"/>
  <c r="BU34" i="6" s="1"/>
  <c r="I35" i="6" a="1"/>
  <c r="I35" i="6" s="1"/>
  <c r="BO35" i="6" s="1"/>
  <c r="E58" i="6" a="1"/>
  <c r="E58" i="6" s="1"/>
  <c r="BM58" i="6" s="1"/>
  <c r="K38" i="6" a="1"/>
  <c r="K38" i="6" s="1"/>
  <c r="BP38" i="6" s="1"/>
  <c r="C35" i="6" a="1"/>
  <c r="C35" i="6" s="1"/>
  <c r="S36" i="6"/>
  <c r="BR5" i="6" l="1"/>
  <c r="AS5" i="6"/>
  <c r="BY5" i="6" s="1"/>
  <c r="BQ5" i="6"/>
  <c r="AR5" i="6"/>
  <c r="BX5" i="6" s="1"/>
  <c r="BD5" i="6"/>
  <c r="S37" i="6"/>
  <c r="M59" i="6" a="1"/>
  <c r="M59" i="6" s="1"/>
  <c r="BQ59" i="6" s="1"/>
  <c r="O64" i="6" a="1"/>
  <c r="O64" i="6" s="1"/>
  <c r="BR64" i="6" s="1"/>
  <c r="AD35" i="6"/>
  <c r="BV35" i="6" s="1"/>
  <c r="K48" i="6" a="1"/>
  <c r="K48" i="6" s="1"/>
  <c r="BP48" i="6" s="1"/>
  <c r="I36" i="6" a="1"/>
  <c r="I36" i="6" s="1"/>
  <c r="BO36" i="6" s="1"/>
  <c r="E59" i="6" a="1"/>
  <c r="E59" i="6" s="1"/>
  <c r="BM59" i="6" s="1"/>
  <c r="C36" i="6" a="1"/>
  <c r="C36" i="6" s="1"/>
  <c r="E39" i="6" a="1"/>
  <c r="E39" i="6" s="1"/>
  <c r="BM39" i="6" s="1"/>
  <c r="I39" i="6" a="1"/>
  <c r="I39" i="6" s="1"/>
  <c r="BO39" i="6" s="1"/>
  <c r="K60" i="6" a="1"/>
  <c r="K60" i="6" s="1"/>
  <c r="BP60" i="6" s="1"/>
  <c r="C37" i="6" a="1"/>
  <c r="C37" i="6" s="1"/>
  <c r="O37" i="6" l="1" a="1"/>
  <c r="O37" i="6" s="1"/>
  <c r="BR37" i="6" s="1"/>
  <c r="M51" i="6" a="1"/>
  <c r="M51" i="6" s="1"/>
  <c r="BQ51" i="6" s="1"/>
  <c r="S38" i="6"/>
  <c r="G38" i="6" s="1" a="1"/>
  <c r="G38" i="6" s="1"/>
  <c r="BN38" i="6" s="1"/>
  <c r="AD36" i="6"/>
  <c r="BV36" i="6" s="1"/>
  <c r="I38" i="6" a="1"/>
  <c r="I38" i="6" s="1"/>
  <c r="BO38" i="6" s="1"/>
  <c r="C38" i="6" a="1"/>
  <c r="C38" i="6" s="1"/>
  <c r="K35" i="6" a="1"/>
  <c r="K35" i="6" s="1"/>
  <c r="E57" i="6" a="1"/>
  <c r="E57" i="6" s="1"/>
  <c r="BM57" i="6" s="1"/>
  <c r="G35" i="6" a="1"/>
  <c r="G35" i="6" s="1"/>
  <c r="S39" i="6" l="1"/>
  <c r="M57" i="6" a="1"/>
  <c r="M57" i="6" s="1"/>
  <c r="BQ57" i="6" s="1"/>
  <c r="O58" i="6" a="1"/>
  <c r="O58" i="6" s="1"/>
  <c r="BR58" i="6" s="1"/>
  <c r="AS37" i="6"/>
  <c r="BY37" i="6" s="1"/>
  <c r="BP35" i="6"/>
  <c r="AE35" i="6"/>
  <c r="BW35" i="6" s="1"/>
  <c r="BN35" i="6"/>
  <c r="AC35" i="6"/>
  <c r="BU35" i="6" s="1"/>
  <c r="AE38" i="6"/>
  <c r="BW38" i="6" s="1"/>
  <c r="AC38" i="6"/>
  <c r="BU38" i="6" s="1"/>
  <c r="AD38" i="6"/>
  <c r="BV38" i="6" s="1"/>
  <c r="O60" i="6" l="1" a="1"/>
  <c r="O60" i="6" s="1"/>
  <c r="BR60" i="6" s="1"/>
  <c r="M39" i="6" a="1"/>
  <c r="M39" i="6" s="1"/>
  <c r="BQ39" i="6" s="1"/>
  <c r="C39" i="6" a="1"/>
  <c r="C39" i="6" s="1"/>
  <c r="K51" i="6" a="1"/>
  <c r="K51" i="6" s="1"/>
  <c r="BP51" i="6" s="1"/>
  <c r="S40" i="6"/>
  <c r="I37" i="6" a="1"/>
  <c r="I37" i="6" s="1"/>
  <c r="E51" i="6" a="1"/>
  <c r="E51" i="6" s="1"/>
  <c r="BM51" i="6" s="1"/>
  <c r="BO37" i="6" l="1"/>
  <c r="AD37" i="6"/>
  <c r="BV37" i="6" s="1"/>
  <c r="O6" i="6" a="1"/>
  <c r="O6" i="6" s="1"/>
  <c r="M52" i="6" a="1"/>
  <c r="M52" i="6" s="1"/>
  <c r="BQ52" i="6" s="1"/>
  <c r="C40" i="6" a="1"/>
  <c r="C40" i="6" s="1"/>
  <c r="S41" i="6"/>
  <c r="E52" i="6" a="1"/>
  <c r="E52" i="6" s="1"/>
  <c r="BM52" i="6" s="1"/>
  <c r="K56" i="6" a="1"/>
  <c r="K56" i="6" s="1"/>
  <c r="BP56" i="6" s="1"/>
  <c r="I40" i="6" a="1"/>
  <c r="I40" i="6" s="1"/>
  <c r="BO40" i="6" s="1"/>
  <c r="AR39" i="6"/>
  <c r="BX39" i="6" s="1"/>
  <c r="AD39" i="6"/>
  <c r="BV39" i="6" s="1"/>
  <c r="AB39" i="6"/>
  <c r="BT39" i="6" s="1"/>
  <c r="M54" i="6" l="1" a="1"/>
  <c r="M54" i="6" s="1"/>
  <c r="BQ54" i="6" s="1"/>
  <c r="O7" i="6" a="1"/>
  <c r="O7" i="6" s="1"/>
  <c r="S42" i="6"/>
  <c r="G41" i="6" a="1"/>
  <c r="G41" i="6" s="1"/>
  <c r="BN41" i="6" s="1"/>
  <c r="K42" i="6" a="1"/>
  <c r="K42" i="6" s="1"/>
  <c r="BP42" i="6" s="1"/>
  <c r="I41" i="6" a="1"/>
  <c r="I41" i="6" s="1"/>
  <c r="BO41" i="6" s="1"/>
  <c r="C41" i="6" a="1"/>
  <c r="C41" i="6" s="1"/>
  <c r="E54" i="6" a="1"/>
  <c r="E54" i="6" s="1"/>
  <c r="BM54" i="6" s="1"/>
  <c r="AS40" i="6"/>
  <c r="BY40" i="6" s="1"/>
  <c r="AD40" i="6"/>
  <c r="BV40" i="6" s="1"/>
  <c r="AB40" i="6"/>
  <c r="BT40" i="6" s="1"/>
  <c r="BR6" i="6"/>
  <c r="AS6" i="6"/>
  <c r="BY6" i="6" s="1"/>
  <c r="AS41" i="6" l="1"/>
  <c r="BY41" i="6" s="1"/>
  <c r="AB41" i="6"/>
  <c r="BT41" i="6" s="1"/>
  <c r="AD41" i="6"/>
  <c r="BV41" i="6" s="1"/>
  <c r="AC41" i="6"/>
  <c r="BU41" i="6" s="1"/>
  <c r="O54" i="6" a="1"/>
  <c r="O54" i="6" s="1"/>
  <c r="BR54" i="6" s="1"/>
  <c r="M7" i="6" a="1"/>
  <c r="M7" i="6" s="1"/>
  <c r="S43" i="6"/>
  <c r="G42" i="6" a="1"/>
  <c r="G42" i="6" s="1"/>
  <c r="BN42" i="6" s="1"/>
  <c r="I42" i="6" a="1"/>
  <c r="I42" i="6" s="1"/>
  <c r="BO42" i="6" s="1"/>
  <c r="K41" i="6" a="1"/>
  <c r="K41" i="6" s="1"/>
  <c r="BP41" i="6" s="1"/>
  <c r="E7" i="6" a="1"/>
  <c r="E7" i="6" s="1"/>
  <c r="C42" i="6" a="1"/>
  <c r="C42" i="6" s="1"/>
  <c r="BR7" i="6"/>
  <c r="AS7" i="6"/>
  <c r="BY7" i="6" s="1"/>
  <c r="O30" i="6" l="1" a="1"/>
  <c r="O30" i="6" s="1"/>
  <c r="M44" i="6" a="1"/>
  <c r="M44" i="6" s="1"/>
  <c r="BQ44" i="6" s="1"/>
  <c r="E45" i="6" a="1"/>
  <c r="E45" i="6" s="1"/>
  <c r="BM45" i="6" s="1"/>
  <c r="S44" i="6"/>
  <c r="G43" i="6" a="1"/>
  <c r="G43" i="6" s="1"/>
  <c r="BN43" i="6" s="1"/>
  <c r="I12" i="6" a="1"/>
  <c r="I12" i="6" s="1"/>
  <c r="K55" i="6" a="1"/>
  <c r="K55" i="6" s="1"/>
  <c r="BP55" i="6" s="1"/>
  <c r="G8" i="6" a="1"/>
  <c r="G8" i="6" s="1"/>
  <c r="C43" i="6" a="1"/>
  <c r="C43" i="6" s="1"/>
  <c r="BQ7" i="6"/>
  <c r="AR7" i="6"/>
  <c r="BX7" i="6" s="1"/>
  <c r="AE41" i="6"/>
  <c r="BW41" i="6" s="1"/>
  <c r="AR42" i="6"/>
  <c r="BX42" i="6" s="1"/>
  <c r="AC42" i="6"/>
  <c r="BU42" i="6" s="1"/>
  <c r="AD42" i="6"/>
  <c r="BV42" i="6" s="1"/>
  <c r="AE42" i="6"/>
  <c r="BW42" i="6" s="1"/>
  <c r="BM7" i="6"/>
  <c r="AB7" i="6"/>
  <c r="BT7" i="6" s="1"/>
  <c r="AS43" i="6" l="1"/>
  <c r="BY43" i="6" s="1"/>
  <c r="AC43" i="6"/>
  <c r="BU43" i="6" s="1"/>
  <c r="AD43" i="6"/>
  <c r="BV43" i="6" s="1"/>
  <c r="BN8" i="6"/>
  <c r="AC8" i="6"/>
  <c r="BU8" i="6" s="1"/>
  <c r="AD12" i="6"/>
  <c r="BV12" i="6" s="1"/>
  <c r="BO12" i="6"/>
  <c r="M43" i="6" a="1"/>
  <c r="M43" i="6" s="1"/>
  <c r="BQ43" i="6" s="1"/>
  <c r="O8" i="6" a="1"/>
  <c r="O8" i="6" s="1"/>
  <c r="E55" i="6" a="1"/>
  <c r="E55" i="6" s="1"/>
  <c r="BM55" i="6" s="1"/>
  <c r="C44" i="6" a="1"/>
  <c r="C44" i="6" s="1"/>
  <c r="G30" i="6" a="1"/>
  <c r="G30" i="6" s="1"/>
  <c r="G44" i="6" a="1"/>
  <c r="G44" i="6" s="1"/>
  <c r="BN44" i="6" s="1"/>
  <c r="I47" i="6" a="1"/>
  <c r="I47" i="6" s="1"/>
  <c r="BO47" i="6" s="1"/>
  <c r="S45" i="6"/>
  <c r="K45" i="6" a="1"/>
  <c r="K45" i="6" s="1"/>
  <c r="BP45" i="6" s="1"/>
  <c r="BR30" i="6"/>
  <c r="AS30" i="6"/>
  <c r="BY30" i="6" s="1"/>
  <c r="AR44" i="6" l="1"/>
  <c r="BX44" i="6" s="1"/>
  <c r="AS44" i="6"/>
  <c r="BY44" i="6" s="1"/>
  <c r="AC44" i="6"/>
  <c r="BU44" i="6" s="1"/>
  <c r="AB44" i="6"/>
  <c r="BT44" i="6" s="1"/>
  <c r="BR8" i="6"/>
  <c r="AS8" i="6"/>
  <c r="BY8" i="6" s="1"/>
  <c r="O55" i="6" a="1"/>
  <c r="O55" i="6" s="1"/>
  <c r="BR55" i="6" s="1"/>
  <c r="M12" i="6" a="1"/>
  <c r="M12" i="6" s="1"/>
  <c r="K44" i="6" a="1"/>
  <c r="K44" i="6" s="1"/>
  <c r="BP44" i="6" s="1"/>
  <c r="S46" i="6"/>
  <c r="E8" i="6" a="1"/>
  <c r="E8" i="6" s="1"/>
  <c r="I30" i="6" a="1"/>
  <c r="I30" i="6" s="1"/>
  <c r="C45" i="6" a="1"/>
  <c r="C45" i="6" s="1"/>
  <c r="AR43" i="6"/>
  <c r="BX43" i="6" s="1"/>
  <c r="BN30" i="6"/>
  <c r="AC30" i="6"/>
  <c r="BU30" i="6" s="1"/>
  <c r="BQ12" i="6" l="1"/>
  <c r="AR12" i="6"/>
  <c r="BX12" i="6" s="1"/>
  <c r="M33" i="6" a="1"/>
  <c r="M33" i="6" s="1"/>
  <c r="O46" i="6" a="1"/>
  <c r="O46" i="6" s="1"/>
  <c r="BR46" i="6" s="1"/>
  <c r="K28" i="6" a="1"/>
  <c r="K28" i="6" s="1"/>
  <c r="C46" i="6" a="1"/>
  <c r="C46" i="6" s="1"/>
  <c r="G33" i="6" a="1"/>
  <c r="G33" i="6" s="1"/>
  <c r="I32" i="6" a="1"/>
  <c r="I32" i="6" s="1"/>
  <c r="G46" i="6" a="1"/>
  <c r="G46" i="6" s="1"/>
  <c r="BN46" i="6" s="1"/>
  <c r="E32" i="6" a="1"/>
  <c r="E32" i="6" s="1"/>
  <c r="S47" i="6"/>
  <c r="AE44" i="6"/>
  <c r="BW44" i="6" s="1"/>
  <c r="AR45" i="6"/>
  <c r="BX45" i="6" s="1"/>
  <c r="AD45" i="6"/>
  <c r="BV45" i="6" s="1"/>
  <c r="AB45" i="6"/>
  <c r="BT45" i="6" s="1"/>
  <c r="AE45" i="6"/>
  <c r="BW45" i="6" s="1"/>
  <c r="AD30" i="6"/>
  <c r="BV30" i="6" s="1"/>
  <c r="BO30" i="6"/>
  <c r="AB8" i="6"/>
  <c r="BT8" i="6" s="1"/>
  <c r="BM8" i="6"/>
  <c r="M55" i="6" l="1" a="1"/>
  <c r="M55" i="6" s="1"/>
  <c r="BQ55" i="6" s="1"/>
  <c r="O12" i="6" a="1"/>
  <c r="O12" i="6" s="1"/>
  <c r="G45" i="6" a="1"/>
  <c r="G45" i="6" s="1"/>
  <c r="E43" i="6" a="1"/>
  <c r="E43" i="6" s="1"/>
  <c r="G47" i="6" a="1"/>
  <c r="G47" i="6" s="1"/>
  <c r="BN47" i="6" s="1"/>
  <c r="I44" i="6" a="1"/>
  <c r="I44" i="6" s="1"/>
  <c r="K30" i="6" a="1"/>
  <c r="K30" i="6" s="1"/>
  <c r="C47" i="6" a="1"/>
  <c r="C47" i="6" s="1"/>
  <c r="S48" i="6"/>
  <c r="BM32" i="6"/>
  <c r="AB32" i="6"/>
  <c r="BT32" i="6" s="1"/>
  <c r="BO32" i="6"/>
  <c r="AD32" i="6"/>
  <c r="BV32" i="6" s="1"/>
  <c r="BN33" i="6"/>
  <c r="AC33" i="6"/>
  <c r="BU33" i="6" s="1"/>
  <c r="AR46" i="6"/>
  <c r="BX46" i="6" s="1"/>
  <c r="AS46" i="6"/>
  <c r="BY46" i="6" s="1"/>
  <c r="AE46" i="6"/>
  <c r="BW46" i="6" s="1"/>
  <c r="BD46" i="6" s="1"/>
  <c r="AD46" i="6"/>
  <c r="BV46" i="6" s="1"/>
  <c r="AC46" i="6"/>
  <c r="BU46" i="6" s="1"/>
  <c r="AB46" i="6"/>
  <c r="BT46" i="6" s="1"/>
  <c r="BP28" i="6"/>
  <c r="AE28" i="6"/>
  <c r="BW28" i="6" s="1"/>
  <c r="BQ33" i="6"/>
  <c r="AR33" i="6"/>
  <c r="BX33" i="6" s="1"/>
  <c r="BD33" i="6" l="1"/>
  <c r="BD28" i="6"/>
  <c r="BD32" i="6"/>
  <c r="M64" i="6" a="1"/>
  <c r="M64" i="6" s="1"/>
  <c r="BQ64" i="6" s="1"/>
  <c r="O59" i="6" a="1"/>
  <c r="O59" i="6" s="1"/>
  <c r="BR59" i="6" s="1"/>
  <c r="C48" i="6" a="1"/>
  <c r="C48" i="6" s="1"/>
  <c r="K36" i="6" a="1"/>
  <c r="K36" i="6" s="1"/>
  <c r="S49" i="6"/>
  <c r="G36" i="6" a="1"/>
  <c r="G36" i="6" s="1"/>
  <c r="I48" i="6" a="1"/>
  <c r="I48" i="6" s="1"/>
  <c r="BO48" i="6" s="1"/>
  <c r="G48" i="6" a="1"/>
  <c r="G48" i="6" s="1"/>
  <c r="BN48" i="6" s="1"/>
  <c r="E64" i="6" a="1"/>
  <c r="E64" i="6" s="1"/>
  <c r="BM64" i="6" s="1"/>
  <c r="AS47" i="6"/>
  <c r="BY47" i="6" s="1"/>
  <c r="AD47" i="6"/>
  <c r="BV47" i="6" s="1"/>
  <c r="AE47" i="6"/>
  <c r="BW47" i="6" s="1"/>
  <c r="AC47" i="6"/>
  <c r="BU47" i="6" s="1"/>
  <c r="AB47" i="6"/>
  <c r="BT47" i="6" s="1"/>
  <c r="AE30" i="6"/>
  <c r="BW30" i="6" s="1"/>
  <c r="BP30" i="6"/>
  <c r="AD44" i="6"/>
  <c r="BV44" i="6" s="1"/>
  <c r="BO44" i="6"/>
  <c r="BD44" i="6" s="1"/>
  <c r="BM43" i="6"/>
  <c r="AB43" i="6"/>
  <c r="BT43" i="6" s="1"/>
  <c r="BN45" i="6"/>
  <c r="AC45" i="6"/>
  <c r="BU45" i="6" s="1"/>
  <c r="BR12" i="6"/>
  <c r="AS12" i="6"/>
  <c r="BY12" i="6" s="1"/>
  <c r="AC36" i="6" l="1"/>
  <c r="BU36" i="6" s="1"/>
  <c r="BN36" i="6"/>
  <c r="O11" i="6" a="1"/>
  <c r="O11" i="6" s="1"/>
  <c r="M49" i="6" a="1"/>
  <c r="M49" i="6" s="1"/>
  <c r="BQ49" i="6" s="1"/>
  <c r="K50" i="6" a="1"/>
  <c r="K50" i="6" s="1"/>
  <c r="BP50" i="6" s="1"/>
  <c r="S50" i="6"/>
  <c r="G49" i="6" a="1"/>
  <c r="G49" i="6" s="1"/>
  <c r="BN49" i="6" s="1"/>
  <c r="G11" i="6" a="1"/>
  <c r="G11" i="6" s="1"/>
  <c r="E50" i="6" a="1"/>
  <c r="E50" i="6" s="1"/>
  <c r="BM50" i="6" s="1"/>
  <c r="C49" i="6" a="1"/>
  <c r="C49" i="6" s="1"/>
  <c r="I10" i="6" a="1"/>
  <c r="I10" i="6" s="1"/>
  <c r="BP36" i="6"/>
  <c r="AE36" i="6"/>
  <c r="BW36" i="6" s="1"/>
  <c r="AD48" i="6"/>
  <c r="BV48" i="6" s="1"/>
  <c r="AE48" i="6"/>
  <c r="BW48" i="6" s="1"/>
  <c r="AC48" i="6"/>
  <c r="BU48" i="6" s="1"/>
  <c r="AS49" i="6" l="1"/>
  <c r="BY49" i="6" s="1"/>
  <c r="AR49" i="6"/>
  <c r="BX49" i="6" s="1"/>
  <c r="AC49" i="6"/>
  <c r="BU49" i="6" s="1"/>
  <c r="AB49" i="6"/>
  <c r="BT49" i="6" s="1"/>
  <c r="AD49" i="6"/>
  <c r="BV49" i="6" s="1"/>
  <c r="AC11" i="6"/>
  <c r="BU11" i="6" s="1"/>
  <c r="BN11" i="6"/>
  <c r="O50" i="6" a="1"/>
  <c r="O50" i="6" s="1"/>
  <c r="BR50" i="6" s="1"/>
  <c r="M10" i="6" a="1"/>
  <c r="M10" i="6" s="1"/>
  <c r="G10" i="6" a="1"/>
  <c r="G10" i="6" s="1"/>
  <c r="I11" i="6" a="1"/>
  <c r="I11" i="6" s="1"/>
  <c r="G50" i="6" a="1"/>
  <c r="G50" i="6" s="1"/>
  <c r="BN50" i="6" s="1"/>
  <c r="K49" i="6" a="1"/>
  <c r="K49" i="6" s="1"/>
  <c r="BP49" i="6" s="1"/>
  <c r="C50" i="6" a="1"/>
  <c r="C50" i="6" s="1"/>
  <c r="E11" i="6" a="1"/>
  <c r="E11" i="6" s="1"/>
  <c r="S51" i="6"/>
  <c r="BR11" i="6"/>
  <c r="AS11" i="6"/>
  <c r="BY11" i="6" s="1"/>
  <c r="BO10" i="6"/>
  <c r="AD10" i="6"/>
  <c r="BV10" i="6" s="1"/>
  <c r="BQ10" i="6" l="1"/>
  <c r="AR10" i="6"/>
  <c r="BX10" i="6" s="1"/>
  <c r="O51" i="6" a="1"/>
  <c r="O51" i="6" s="1"/>
  <c r="BR51" i="6" s="1"/>
  <c r="M37" i="6" a="1"/>
  <c r="M37" i="6" s="1"/>
  <c r="E60" i="6" a="1"/>
  <c r="E60" i="6" s="1"/>
  <c r="BM60" i="6" s="1"/>
  <c r="S52" i="6"/>
  <c r="I60" i="6" a="1"/>
  <c r="I60" i="6" s="1"/>
  <c r="BO60" i="6" s="1"/>
  <c r="G37" i="6" a="1"/>
  <c r="G37" i="6" s="1"/>
  <c r="G51" i="6" a="1"/>
  <c r="G51" i="6" s="1"/>
  <c r="BN51" i="6" s="1"/>
  <c r="C51" i="6" a="1"/>
  <c r="C51" i="6" s="1"/>
  <c r="K39" i="6" a="1"/>
  <c r="K39" i="6" s="1"/>
  <c r="AB11" i="6"/>
  <c r="BT11" i="6" s="1"/>
  <c r="BM11" i="6"/>
  <c r="AS50" i="6"/>
  <c r="BY50" i="6" s="1"/>
  <c r="AR50" i="6"/>
  <c r="BX50" i="6" s="1"/>
  <c r="AE50" i="6"/>
  <c r="BW50" i="6" s="1"/>
  <c r="AC50" i="6"/>
  <c r="BU50" i="6" s="1"/>
  <c r="AD50" i="6"/>
  <c r="BV50" i="6" s="1"/>
  <c r="AB50" i="6"/>
  <c r="BT50" i="6" s="1"/>
  <c r="BD50" i="6" s="1"/>
  <c r="BO11" i="6"/>
  <c r="AD11" i="6"/>
  <c r="BV11" i="6" s="1"/>
  <c r="BN10" i="6"/>
  <c r="AC10" i="6"/>
  <c r="BU10" i="6" s="1"/>
  <c r="AE49" i="6"/>
  <c r="BW49" i="6" s="1"/>
  <c r="BD49" i="6" s="1"/>
  <c r="BD10" i="6" l="1"/>
  <c r="AR51" i="6"/>
  <c r="BX51" i="6" s="1"/>
  <c r="AS51" i="6"/>
  <c r="BY51" i="6" s="1"/>
  <c r="AE51" i="6"/>
  <c r="BW51" i="6" s="1"/>
  <c r="AB51" i="6"/>
  <c r="BT51" i="6" s="1"/>
  <c r="AC51" i="6"/>
  <c r="BU51" i="6" s="1"/>
  <c r="BN37" i="6"/>
  <c r="AC37" i="6"/>
  <c r="BU37" i="6" s="1"/>
  <c r="O56" i="6" a="1"/>
  <c r="O56" i="6" s="1"/>
  <c r="BR56" i="6" s="1"/>
  <c r="M40" i="6" a="1"/>
  <c r="M40" i="6" s="1"/>
  <c r="G6" i="6" a="1"/>
  <c r="G6" i="6" s="1"/>
  <c r="E56" i="6" a="1"/>
  <c r="E56" i="6" s="1"/>
  <c r="BM56" i="6" s="1"/>
  <c r="C52" i="6" a="1"/>
  <c r="C52" i="6" s="1"/>
  <c r="G52" i="6" a="1"/>
  <c r="G52" i="6" s="1"/>
  <c r="BN52" i="6" s="1"/>
  <c r="I6" i="6" a="1"/>
  <c r="I6" i="6" s="1"/>
  <c r="K52" i="6" a="1"/>
  <c r="K52" i="6" s="1"/>
  <c r="BP52" i="6" s="1"/>
  <c r="S53" i="6"/>
  <c r="BQ37" i="6"/>
  <c r="AR37" i="6"/>
  <c r="BX37" i="6" s="1"/>
  <c r="BD11" i="6"/>
  <c r="BP39" i="6"/>
  <c r="AE39" i="6"/>
  <c r="BW39" i="6" s="1"/>
  <c r="BN6" i="6" l="1"/>
  <c r="AC6" i="6"/>
  <c r="BU6" i="6" s="1"/>
  <c r="BQ40" i="6"/>
  <c r="AR40" i="6"/>
  <c r="BX40" i="6" s="1"/>
  <c r="M53" i="6" a="1"/>
  <c r="M53" i="6" s="1"/>
  <c r="BQ53" i="6" s="1"/>
  <c r="O53" i="6" a="1"/>
  <c r="O53" i="6" s="1"/>
  <c r="BR53" i="6" s="1"/>
  <c r="C53" i="6" a="1"/>
  <c r="C53" i="6" s="1"/>
  <c r="G53" i="6" a="1"/>
  <c r="G53" i="6" s="1"/>
  <c r="BN53" i="6" s="1"/>
  <c r="K53" i="6" a="1"/>
  <c r="K53" i="6" s="1"/>
  <c r="BP53" i="6" s="1"/>
  <c r="I53" i="6" a="1"/>
  <c r="I53" i="6" s="1"/>
  <c r="BO53" i="6" s="1"/>
  <c r="S54" i="6"/>
  <c r="E53" i="6" a="1"/>
  <c r="E53" i="6" s="1"/>
  <c r="BM53" i="6" s="1"/>
  <c r="BO6" i="6"/>
  <c r="AD6" i="6"/>
  <c r="BV6" i="6" s="1"/>
  <c r="AR52" i="6"/>
  <c r="BX52" i="6" s="1"/>
  <c r="AD52" i="6"/>
  <c r="BV52" i="6" s="1"/>
  <c r="AB52" i="6"/>
  <c r="BT52" i="6" s="1"/>
  <c r="AC52" i="6"/>
  <c r="BU52" i="6" s="1"/>
  <c r="AE52" i="6"/>
  <c r="BW52" i="6" s="1"/>
  <c r="O42" i="6" l="1" a="1"/>
  <c r="O42" i="6" s="1"/>
  <c r="M41" i="6" a="1"/>
  <c r="M41" i="6" s="1"/>
  <c r="G54" i="6" a="1"/>
  <c r="G54" i="6" s="1"/>
  <c r="BN54" i="6" s="1"/>
  <c r="E42" i="6" a="1"/>
  <c r="E42" i="6" s="1"/>
  <c r="C54" i="6" a="1"/>
  <c r="C54" i="6" s="1"/>
  <c r="I7" i="6" a="1"/>
  <c r="I7" i="6" s="1"/>
  <c r="S55" i="6"/>
  <c r="K54" i="6" a="1"/>
  <c r="K54" i="6" s="1"/>
  <c r="BP54" i="6" s="1"/>
  <c r="G7" i="6" a="1"/>
  <c r="G7" i="6" s="1"/>
  <c r="AR53" i="6"/>
  <c r="BX53" i="6" s="1"/>
  <c r="AS53" i="6"/>
  <c r="BY53" i="6" s="1"/>
  <c r="AE53" i="6"/>
  <c r="BW53" i="6" s="1"/>
  <c r="AD53" i="6"/>
  <c r="BV53" i="6" s="1"/>
  <c r="AC53" i="6"/>
  <c r="BU53" i="6" s="1"/>
  <c r="AB53" i="6"/>
  <c r="BT53" i="6" s="1"/>
  <c r="BD53" i="6" s="1"/>
  <c r="BN7" i="6" l="1"/>
  <c r="AC7" i="6"/>
  <c r="BU7" i="6" s="1"/>
  <c r="M47" i="6" a="1"/>
  <c r="M47" i="6" s="1"/>
  <c r="O45" i="6" a="1"/>
  <c r="O45" i="6" s="1"/>
  <c r="C55" i="6" a="1"/>
  <c r="C55" i="6" s="1"/>
  <c r="E30" i="6" a="1"/>
  <c r="E30" i="6" s="1"/>
  <c r="K43" i="6" a="1"/>
  <c r="K43" i="6" s="1"/>
  <c r="I8" i="6" a="1"/>
  <c r="I8" i="6" s="1"/>
  <c r="G12" i="6" a="1"/>
  <c r="G12" i="6" s="1"/>
  <c r="G55" i="6" a="1"/>
  <c r="G55" i="6" s="1"/>
  <c r="BN55" i="6" s="1"/>
  <c r="S56" i="6"/>
  <c r="BO7" i="6"/>
  <c r="AD7" i="6"/>
  <c r="BV7" i="6" s="1"/>
  <c r="AR54" i="6"/>
  <c r="BX54" i="6" s="1"/>
  <c r="AS54" i="6"/>
  <c r="BY54" i="6" s="1"/>
  <c r="AC54" i="6"/>
  <c r="BU54" i="6" s="1"/>
  <c r="AE54" i="6"/>
  <c r="BW54" i="6" s="1"/>
  <c r="AD54" i="6"/>
  <c r="BV54" i="6" s="1"/>
  <c r="AB54" i="6"/>
  <c r="BT54" i="6" s="1"/>
  <c r="BM42" i="6"/>
  <c r="AB42" i="6"/>
  <c r="BT42" i="6" s="1"/>
  <c r="BD54" i="6"/>
  <c r="BQ41" i="6"/>
  <c r="AR41" i="6"/>
  <c r="BX41" i="6" s="1"/>
  <c r="BR42" i="6"/>
  <c r="AS42" i="6"/>
  <c r="BY42" i="6" s="1"/>
  <c r="BD41" i="6" l="1"/>
  <c r="O52" i="6" a="1"/>
  <c r="O52" i="6" s="1"/>
  <c r="M6" i="6" a="1"/>
  <c r="M6" i="6" s="1"/>
  <c r="S57" i="6"/>
  <c r="E6" i="6" a="1"/>
  <c r="E6" i="6" s="1"/>
  <c r="C56" i="6" a="1"/>
  <c r="C56" i="6" s="1"/>
  <c r="I56" i="6" a="1"/>
  <c r="I56" i="6" s="1"/>
  <c r="BO56" i="6" s="1"/>
  <c r="G40" i="6" a="1"/>
  <c r="G40" i="6" s="1"/>
  <c r="G56" i="6" a="1"/>
  <c r="G56" i="6" s="1"/>
  <c r="BN56" i="6" s="1"/>
  <c r="K40" i="6" a="1"/>
  <c r="K40" i="6" s="1"/>
  <c r="BN12" i="6"/>
  <c r="BD12" i="6" s="1"/>
  <c r="AC12" i="6"/>
  <c r="BU12" i="6" s="1"/>
  <c r="BO8" i="6"/>
  <c r="AD8" i="6"/>
  <c r="BV8" i="6" s="1"/>
  <c r="BP43" i="6"/>
  <c r="AE43" i="6"/>
  <c r="BW43" i="6" s="1"/>
  <c r="BD42" i="6"/>
  <c r="AB30" i="6"/>
  <c r="BT30" i="6" s="1"/>
  <c r="BM30" i="6"/>
  <c r="BD30" i="6" s="1"/>
  <c r="AS55" i="6"/>
  <c r="BY55" i="6" s="1"/>
  <c r="AR55" i="6"/>
  <c r="BX55" i="6" s="1"/>
  <c r="AB55" i="6"/>
  <c r="BT55" i="6" s="1"/>
  <c r="BD55" i="6" s="1"/>
  <c r="AD55" i="6"/>
  <c r="BV55" i="6" s="1"/>
  <c r="AE55" i="6"/>
  <c r="BW55" i="6" s="1"/>
  <c r="AC55" i="6"/>
  <c r="BU55" i="6" s="1"/>
  <c r="BR45" i="6"/>
  <c r="BD45" i="6" s="1"/>
  <c r="AS45" i="6"/>
  <c r="BY45" i="6" s="1"/>
  <c r="BQ47" i="6"/>
  <c r="AR47" i="6"/>
  <c r="BX47" i="6" s="1"/>
  <c r="BD7" i="6"/>
  <c r="AE40" i="6" l="1"/>
  <c r="BW40" i="6" s="1"/>
  <c r="BP40" i="6"/>
  <c r="BN40" i="6"/>
  <c r="BD40" i="6" s="1"/>
  <c r="AC40" i="6"/>
  <c r="BU40" i="6" s="1"/>
  <c r="AR56" i="6"/>
  <c r="BX56" i="6" s="1"/>
  <c r="AS56" i="6"/>
  <c r="BY56" i="6" s="1"/>
  <c r="AD56" i="6"/>
  <c r="BV56" i="6" s="1"/>
  <c r="AB56" i="6"/>
  <c r="BT56" i="6" s="1"/>
  <c r="AC56" i="6"/>
  <c r="BU56" i="6" s="1"/>
  <c r="BD56" i="6" s="1"/>
  <c r="AE56" i="6"/>
  <c r="BW56" i="6" s="1"/>
  <c r="BM6" i="6"/>
  <c r="AB6" i="6"/>
  <c r="BT6" i="6" s="1"/>
  <c r="BD43" i="6"/>
  <c r="M38" i="6" a="1"/>
  <c r="M38" i="6" s="1"/>
  <c r="O35" i="6" a="1"/>
  <c r="O35" i="6" s="1"/>
  <c r="G57" i="6" a="1"/>
  <c r="G57" i="6" s="1"/>
  <c r="BN57" i="6" s="1"/>
  <c r="K57" i="6" a="1"/>
  <c r="K57" i="6" s="1"/>
  <c r="BP57" i="6" s="1"/>
  <c r="I58" i="6" a="1"/>
  <c r="I58" i="6" s="1"/>
  <c r="BO58" i="6" s="1"/>
  <c r="S58" i="6"/>
  <c r="C57" i="6" a="1"/>
  <c r="C57" i="6" s="1"/>
  <c r="E35" i="6" a="1"/>
  <c r="E35" i="6" s="1"/>
  <c r="BQ6" i="6"/>
  <c r="AR6" i="6"/>
  <c r="BX6" i="6" s="1"/>
  <c r="BR52" i="6"/>
  <c r="BD52" i="6" s="1"/>
  <c r="AS52" i="6"/>
  <c r="BY52" i="6" s="1"/>
  <c r="BD47" i="6"/>
  <c r="BD8" i="6"/>
  <c r="BD6" i="6" l="1"/>
  <c r="BM35" i="6"/>
  <c r="AB35" i="6"/>
  <c r="BT35" i="6" s="1"/>
  <c r="AR57" i="6"/>
  <c r="BX57" i="6" s="1"/>
  <c r="AS57" i="6"/>
  <c r="BY57" i="6" s="1"/>
  <c r="AC57" i="6"/>
  <c r="BU57" i="6" s="1"/>
  <c r="AB57" i="6"/>
  <c r="BT57" i="6" s="1"/>
  <c r="AE57" i="6"/>
  <c r="BW57" i="6" s="1"/>
  <c r="M35" i="6" a="1"/>
  <c r="M35" i="6" s="1"/>
  <c r="O38" i="6" a="1"/>
  <c r="O38" i="6" s="1"/>
  <c r="G58" i="6" a="1"/>
  <c r="G58" i="6" s="1"/>
  <c r="BN58" i="6" s="1"/>
  <c r="C58" i="6" a="1"/>
  <c r="C58" i="6" s="1"/>
  <c r="S59" i="6"/>
  <c r="E38" i="6" a="1"/>
  <c r="E38" i="6" s="1"/>
  <c r="I57" i="6" a="1"/>
  <c r="I57" i="6" s="1"/>
  <c r="BO57" i="6" s="1"/>
  <c r="K58" i="6" a="1"/>
  <c r="K58" i="6" s="1"/>
  <c r="BP58" i="6" s="1"/>
  <c r="BR35" i="6"/>
  <c r="AS35" i="6"/>
  <c r="BY35" i="6" s="1"/>
  <c r="BQ38" i="6"/>
  <c r="AR38" i="6"/>
  <c r="BX38" i="6" s="1"/>
  <c r="BR38" i="6" l="1"/>
  <c r="AS38" i="6"/>
  <c r="BY38" i="6" s="1"/>
  <c r="BQ35" i="6"/>
  <c r="AR35" i="6"/>
  <c r="BX35" i="6" s="1"/>
  <c r="BM38" i="6"/>
  <c r="AB38" i="6"/>
  <c r="BT38" i="6" s="1"/>
  <c r="BD35" i="6"/>
  <c r="O48" i="6" a="1"/>
  <c r="O48" i="6" s="1"/>
  <c r="M36" i="6" a="1"/>
  <c r="M36" i="6" s="1"/>
  <c r="I64" i="6" a="1"/>
  <c r="I64" i="6" s="1"/>
  <c r="BO64" i="6" s="1"/>
  <c r="C59" i="6" a="1"/>
  <c r="C59" i="6" s="1"/>
  <c r="K59" i="6" a="1"/>
  <c r="K59" i="6" s="1"/>
  <c r="BP59" i="6" s="1"/>
  <c r="S60" i="6"/>
  <c r="E48" i="6" a="1"/>
  <c r="E48" i="6" s="1"/>
  <c r="AS58" i="6"/>
  <c r="BY58" i="6" s="1"/>
  <c r="AR58" i="6"/>
  <c r="BX58" i="6" s="1"/>
  <c r="AE58" i="6"/>
  <c r="BW58" i="6" s="1"/>
  <c r="AC58" i="6"/>
  <c r="BU58" i="6" s="1"/>
  <c r="AB58" i="6"/>
  <c r="BT58" i="6" s="1"/>
  <c r="BD58" i="6" s="1"/>
  <c r="AD58" i="6"/>
  <c r="BV58" i="6" s="1"/>
  <c r="AD57" i="6"/>
  <c r="BV57" i="6" s="1"/>
  <c r="BD57" i="6" s="1"/>
  <c r="BR48" i="6" l="1"/>
  <c r="AS48" i="6"/>
  <c r="BY48" i="6" s="1"/>
  <c r="BQ36" i="6"/>
  <c r="AR36" i="6"/>
  <c r="BX36" i="6" s="1"/>
  <c r="BD38" i="6"/>
  <c r="AB48" i="6"/>
  <c r="BT48" i="6" s="1"/>
  <c r="BM48" i="6"/>
  <c r="M60" i="6" a="1"/>
  <c r="M60" i="6" s="1"/>
  <c r="BQ60" i="6" s="1"/>
  <c r="O39" i="6" a="1"/>
  <c r="O39" i="6" s="1"/>
  <c r="G39" i="6" a="1"/>
  <c r="G39" i="6" s="1"/>
  <c r="K37" i="6" a="1"/>
  <c r="K37" i="6" s="1"/>
  <c r="I51" i="6" a="1"/>
  <c r="I51" i="6" s="1"/>
  <c r="G60" i="6" a="1"/>
  <c r="G60" i="6" s="1"/>
  <c r="BN60" i="6" s="1"/>
  <c r="E37" i="6" a="1"/>
  <c r="E37" i="6" s="1"/>
  <c r="S61" i="6"/>
  <c r="C60" i="6" a="1"/>
  <c r="C60" i="6" s="1"/>
  <c r="AR59" i="6"/>
  <c r="BX59" i="6" s="1"/>
  <c r="AS59" i="6"/>
  <c r="BY59" i="6" s="1"/>
  <c r="AE59" i="6"/>
  <c r="BW59" i="6" s="1"/>
  <c r="AB59" i="6"/>
  <c r="BT59" i="6" s="1"/>
  <c r="AE37" i="6" l="1"/>
  <c r="BW37" i="6" s="1"/>
  <c r="BP37" i="6"/>
  <c r="BN39" i="6"/>
  <c r="BD39" i="6" s="1"/>
  <c r="AC39" i="6"/>
  <c r="BU39" i="6" s="1"/>
  <c r="BR39" i="6"/>
  <c r="AS39" i="6"/>
  <c r="BY39" i="6" s="1"/>
  <c r="AS60" i="6"/>
  <c r="BY60" i="6" s="1"/>
  <c r="AR60" i="6"/>
  <c r="BX60" i="6" s="1"/>
  <c r="AB60" i="6"/>
  <c r="BT60" i="6" s="1"/>
  <c r="AD60" i="6"/>
  <c r="BV60" i="6" s="1"/>
  <c r="AE60" i="6"/>
  <c r="BW60" i="6" s="1"/>
  <c r="AC60" i="6"/>
  <c r="BU60" i="6" s="1"/>
  <c r="M31" i="6" a="1"/>
  <c r="M31" i="6" s="1"/>
  <c r="O15" i="6" a="1"/>
  <c r="O15" i="6" s="1"/>
  <c r="C61" i="6" a="1"/>
  <c r="C61" i="6" s="1"/>
  <c r="E31" i="6" a="1"/>
  <c r="E31" i="6" s="1"/>
  <c r="I61" i="6" a="1"/>
  <c r="I61" i="6" s="1"/>
  <c r="BO61" i="6" s="1"/>
  <c r="K63" i="6" a="1"/>
  <c r="K63" i="6" s="1"/>
  <c r="BP63" i="6" s="1"/>
  <c r="BM37" i="6"/>
  <c r="AB37" i="6"/>
  <c r="BT37" i="6" s="1"/>
  <c r="BD60" i="6"/>
  <c r="AD51" i="6"/>
  <c r="BV51" i="6" s="1"/>
  <c r="BO51" i="6"/>
  <c r="BD51" i="6" s="1"/>
  <c r="S62" i="6"/>
  <c r="BD37" i="6" l="1"/>
  <c r="BM31" i="6"/>
  <c r="AB31" i="6"/>
  <c r="BT31" i="6" s="1"/>
  <c r="AS61" i="6"/>
  <c r="BY61" i="6" s="1"/>
  <c r="AR61" i="6"/>
  <c r="BX61" i="6" s="1"/>
  <c r="AD61" i="6"/>
  <c r="BV61" i="6" s="1"/>
  <c r="AB61" i="6"/>
  <c r="BT61" i="6" s="1"/>
  <c r="BR15" i="6"/>
  <c r="AS15" i="6"/>
  <c r="BY15" i="6" s="1"/>
  <c r="BQ31" i="6"/>
  <c r="AR31" i="6"/>
  <c r="BX31" i="6" s="1"/>
  <c r="M94" i="6" a="1"/>
  <c r="M94" i="6" s="1"/>
  <c r="BQ94" i="6" s="1"/>
  <c r="O94" i="6" a="1"/>
  <c r="O94" i="6" s="1"/>
  <c r="BR94" i="6" s="1"/>
  <c r="G62" i="6" a="1"/>
  <c r="G62" i="6" s="1"/>
  <c r="BN62" i="6" s="1"/>
  <c r="I62" i="6" a="1"/>
  <c r="I62" i="6" s="1"/>
  <c r="BO62" i="6" s="1"/>
  <c r="K62" i="6" a="1"/>
  <c r="K62" i="6" s="1"/>
  <c r="BP62" i="6" s="1"/>
  <c r="C62" i="6" a="1"/>
  <c r="C62" i="6" s="1"/>
  <c r="S63" i="6"/>
  <c r="E94" i="6" a="1"/>
  <c r="E94" i="6" s="1"/>
  <c r="BM94" i="6" s="1"/>
  <c r="O31" i="6" l="1" a="1"/>
  <c r="O31" i="6" s="1"/>
  <c r="M15" i="6" a="1"/>
  <c r="M15" i="6" s="1"/>
  <c r="G61" i="6" a="1"/>
  <c r="G61" i="6" s="1"/>
  <c r="K61" i="6" a="1"/>
  <c r="K61" i="6" s="1"/>
  <c r="I63" i="6" a="1"/>
  <c r="I63" i="6" s="1"/>
  <c r="BO63" i="6" s="1"/>
  <c r="E15" i="6" a="1"/>
  <c r="E15" i="6" s="1"/>
  <c r="S64" i="6"/>
  <c r="G63" i="6" a="1"/>
  <c r="G63" i="6" s="1"/>
  <c r="BN63" i="6" s="1"/>
  <c r="C63" i="6" a="1"/>
  <c r="C63" i="6" s="1"/>
  <c r="AC62" i="6"/>
  <c r="BU62" i="6" s="1"/>
  <c r="AE62" i="6"/>
  <c r="BW62" i="6" s="1"/>
  <c r="AD62" i="6"/>
  <c r="BV62" i="6" s="1"/>
  <c r="AR63" i="6" l="1"/>
  <c r="BX63" i="6" s="1"/>
  <c r="AS63" i="6"/>
  <c r="BY63" i="6" s="1"/>
  <c r="AE63" i="6"/>
  <c r="BW63" i="6" s="1"/>
  <c r="AC63" i="6"/>
  <c r="BU63" i="6" s="1"/>
  <c r="AD63" i="6"/>
  <c r="BV63" i="6" s="1"/>
  <c r="AB63" i="6"/>
  <c r="BT63" i="6" s="1"/>
  <c r="BD63" i="6"/>
  <c r="M48" i="6" a="1"/>
  <c r="M48" i="6" s="1"/>
  <c r="O36" i="6" a="1"/>
  <c r="O36" i="6" s="1"/>
  <c r="K64" i="6" a="1"/>
  <c r="K64" i="6" s="1"/>
  <c r="BP64" i="6" s="1"/>
  <c r="G64" i="6" a="1"/>
  <c r="G64" i="6" s="1"/>
  <c r="BN64" i="6" s="1"/>
  <c r="C64" i="6" a="1"/>
  <c r="C64" i="6" s="1"/>
  <c r="I59" i="6" a="1"/>
  <c r="I59" i="6" s="1"/>
  <c r="E36" i="6" a="1"/>
  <c r="E36" i="6" s="1"/>
  <c r="S65" i="6"/>
  <c r="G59" i="6" a="1"/>
  <c r="G59" i="6" s="1"/>
  <c r="AB15" i="6"/>
  <c r="BT15" i="6" s="1"/>
  <c r="BM15" i="6"/>
  <c r="BP61" i="6"/>
  <c r="AE61" i="6"/>
  <c r="BW61" i="6" s="1"/>
  <c r="BN61" i="6"/>
  <c r="BD61" i="6" s="1"/>
  <c r="AC61" i="6"/>
  <c r="BU61" i="6" s="1"/>
  <c r="BQ15" i="6"/>
  <c r="AR15" i="6"/>
  <c r="BX15" i="6" s="1"/>
  <c r="BR31" i="6"/>
  <c r="AS31" i="6"/>
  <c r="BY31" i="6" s="1"/>
  <c r="AR64" i="6" l="1"/>
  <c r="BX64" i="6" s="1"/>
  <c r="AS64" i="6"/>
  <c r="BY64" i="6" s="1"/>
  <c r="AC64" i="6"/>
  <c r="BU64" i="6" s="1"/>
  <c r="AE64" i="6"/>
  <c r="BW64" i="6" s="1"/>
  <c r="AB64" i="6"/>
  <c r="BT64" i="6" s="1"/>
  <c r="AD64" i="6"/>
  <c r="BV64" i="6" s="1"/>
  <c r="BD64" i="6"/>
  <c r="BR36" i="6"/>
  <c r="AS36" i="6"/>
  <c r="BY36" i="6" s="1"/>
  <c r="BQ48" i="6"/>
  <c r="AR48" i="6"/>
  <c r="BX48" i="6" s="1"/>
  <c r="BD31" i="6"/>
  <c r="BD15" i="6"/>
  <c r="AC59" i="6"/>
  <c r="BU59" i="6" s="1"/>
  <c r="BN59" i="6"/>
  <c r="O65" i="6" a="1"/>
  <c r="O65" i="6" s="1"/>
  <c r="BR65" i="6" s="1"/>
  <c r="M95" i="6" a="1"/>
  <c r="M95" i="6" s="1"/>
  <c r="BQ95" i="6" s="1"/>
  <c r="K13" i="6" a="1"/>
  <c r="K13" i="6" s="1"/>
  <c r="C65" i="6" a="1"/>
  <c r="C65" i="6" s="1"/>
  <c r="E93" i="6" a="1"/>
  <c r="E93" i="6" s="1"/>
  <c r="BM93" i="6" s="1"/>
  <c r="S66" i="6"/>
  <c r="I93" i="6" a="1"/>
  <c r="I93" i="6" s="1"/>
  <c r="BO93" i="6" s="1"/>
  <c r="BM36" i="6"/>
  <c r="AB36" i="6"/>
  <c r="BT36" i="6" s="1"/>
  <c r="BO59" i="6"/>
  <c r="AD59" i="6"/>
  <c r="BV59" i="6" s="1"/>
  <c r="BD36" i="6" l="1"/>
  <c r="BD48" i="6"/>
  <c r="O19" i="6" a="1"/>
  <c r="O19" i="6" s="1"/>
  <c r="M19" i="6" a="1"/>
  <c r="M19" i="6" s="1"/>
  <c r="C66" i="6" a="1"/>
  <c r="C66" i="6" s="1"/>
  <c r="S67" i="6"/>
  <c r="I66" i="6" a="1"/>
  <c r="I66" i="6" s="1"/>
  <c r="BO66" i="6" s="1"/>
  <c r="E19" i="6" a="1"/>
  <c r="E19" i="6" s="1"/>
  <c r="G66" i="6" a="1"/>
  <c r="G66" i="6" s="1"/>
  <c r="BN66" i="6" s="1"/>
  <c r="K66" i="6" a="1"/>
  <c r="K66" i="6" s="1"/>
  <c r="BP66" i="6" s="1"/>
  <c r="AS65" i="6"/>
  <c r="BY65" i="6" s="1"/>
  <c r="AB65" i="6"/>
  <c r="BT65" i="6" s="1"/>
  <c r="AE65" i="6"/>
  <c r="BW65" i="6" s="1"/>
  <c r="BP13" i="6"/>
  <c r="AE13" i="6"/>
  <c r="BW13" i="6" s="1"/>
  <c r="S68" i="6"/>
  <c r="BD59" i="6"/>
  <c r="I68" i="6" a="1"/>
  <c r="I68" i="6" s="1"/>
  <c r="BO68" i="6" s="1"/>
  <c r="C68" i="6" a="1"/>
  <c r="C68" i="6" s="1"/>
  <c r="E91" i="6" a="1"/>
  <c r="E91" i="6" s="1"/>
  <c r="BM91" i="6" s="1"/>
  <c r="K80" i="6" a="1"/>
  <c r="K80" i="6" s="1"/>
  <c r="BP80" i="6" s="1"/>
  <c r="S69" i="6"/>
  <c r="AS68" i="6" l="1"/>
  <c r="O69" i="6" a="1"/>
  <c r="O69" i="6" s="1"/>
  <c r="BR69" i="6" s="1"/>
  <c r="M83" i="6" a="1"/>
  <c r="M83" i="6" s="1"/>
  <c r="BQ83" i="6" s="1"/>
  <c r="BM19" i="6"/>
  <c r="AB19" i="6"/>
  <c r="BT19" i="6" s="1"/>
  <c r="M91" i="6" a="1"/>
  <c r="M91" i="6" s="1"/>
  <c r="BQ91" i="6" s="1"/>
  <c r="O24" i="6" a="1"/>
  <c r="O24" i="6" s="1"/>
  <c r="M90" i="6" a="1"/>
  <c r="M90" i="6" s="1"/>
  <c r="BQ90" i="6" s="1"/>
  <c r="O89" i="6" a="1"/>
  <c r="O89" i="6" s="1"/>
  <c r="BR89" i="6" s="1"/>
  <c r="K70" i="6" a="1"/>
  <c r="K70" i="6" s="1"/>
  <c r="BP70" i="6" s="1"/>
  <c r="I67" i="6" a="1"/>
  <c r="I67" i="6" s="1"/>
  <c r="BO67" i="6" s="1"/>
  <c r="C67" i="6" a="1"/>
  <c r="C67" i="6" s="1"/>
  <c r="E90" i="6" a="1"/>
  <c r="E90" i="6" s="1"/>
  <c r="BM90" i="6" s="1"/>
  <c r="AR66" i="6"/>
  <c r="BX66" i="6" s="1"/>
  <c r="AS66" i="6"/>
  <c r="BY66" i="6" s="1"/>
  <c r="AC66" i="6"/>
  <c r="BU66" i="6" s="1"/>
  <c r="AE66" i="6"/>
  <c r="BW66" i="6" s="1"/>
  <c r="AB66" i="6"/>
  <c r="BT66" i="6" s="1"/>
  <c r="BD66" i="6" s="1"/>
  <c r="AD66" i="6"/>
  <c r="BV66" i="6" s="1"/>
  <c r="BQ19" i="6"/>
  <c r="AR19" i="6"/>
  <c r="BX19" i="6" s="1"/>
  <c r="BR19" i="6"/>
  <c r="AS19" i="6"/>
  <c r="BY19" i="6" s="1"/>
  <c r="BY68" i="6"/>
  <c r="AD68" i="6"/>
  <c r="BV68" i="6" s="1"/>
  <c r="AB68" i="6"/>
  <c r="BT68" i="6" s="1"/>
  <c r="E71" i="6" a="1"/>
  <c r="E71" i="6" s="1"/>
  <c r="BM71" i="6" s="1"/>
  <c r="I71" i="6" a="1"/>
  <c r="I71" i="6" s="1"/>
  <c r="BO71" i="6" s="1"/>
  <c r="C69" i="6" a="1"/>
  <c r="C69" i="6" s="1"/>
  <c r="K92" i="6" a="1"/>
  <c r="K92" i="6" s="1"/>
  <c r="BP92" i="6" s="1"/>
  <c r="S70" i="6"/>
  <c r="BR24" i="6" l="1"/>
  <c r="AS24" i="6"/>
  <c r="BY24" i="6" s="1"/>
  <c r="O90" i="6" a="1"/>
  <c r="O90" i="6" s="1"/>
  <c r="BR90" i="6" s="1"/>
  <c r="M89" i="6" a="1"/>
  <c r="M89" i="6" s="1"/>
  <c r="BQ89" i="6" s="1"/>
  <c r="BD19" i="6"/>
  <c r="AS69" i="6"/>
  <c r="BY69" i="6" s="1"/>
  <c r="AD67" i="6"/>
  <c r="BV67" i="6" s="1"/>
  <c r="E89" i="6" a="1"/>
  <c r="E89" i="6" s="1"/>
  <c r="BM89" i="6" s="1"/>
  <c r="C70" i="6" a="1"/>
  <c r="C70" i="6" s="1"/>
  <c r="G70" i="6" a="1"/>
  <c r="G70" i="6" s="1"/>
  <c r="BN70" i="6" s="1"/>
  <c r="I70" i="6" a="1"/>
  <c r="I70" i="6" s="1"/>
  <c r="BO70" i="6" s="1"/>
  <c r="K67" i="6" a="1"/>
  <c r="K67" i="6" s="1"/>
  <c r="S71" i="6"/>
  <c r="G67" i="6" a="1"/>
  <c r="G67" i="6" s="1"/>
  <c r="M71" i="6" l="1" a="1"/>
  <c r="M71" i="6" s="1"/>
  <c r="BQ71" i="6" s="1"/>
  <c r="O92" i="6" a="1"/>
  <c r="O92" i="6" s="1"/>
  <c r="BR92" i="6" s="1"/>
  <c r="BN67" i="6"/>
  <c r="AC67" i="6"/>
  <c r="BU67" i="6" s="1"/>
  <c r="BP67" i="6"/>
  <c r="AE67" i="6"/>
  <c r="BW67" i="6" s="1"/>
  <c r="AE70" i="6"/>
  <c r="BW70" i="6" s="1"/>
  <c r="AD70" i="6"/>
  <c r="BV70" i="6" s="1"/>
  <c r="AC70" i="6"/>
  <c r="BU70" i="6" s="1"/>
  <c r="K83" i="6" a="1"/>
  <c r="K83" i="6" s="1"/>
  <c r="BP83" i="6" s="1"/>
  <c r="C71" i="6" a="1"/>
  <c r="C71" i="6" s="1"/>
  <c r="E83" i="6" a="1"/>
  <c r="E83" i="6" s="1"/>
  <c r="BM83" i="6" s="1"/>
  <c r="I69" i="6" a="1"/>
  <c r="I69" i="6" s="1"/>
  <c r="S72" i="6"/>
  <c r="M84" i="6" l="1" a="1"/>
  <c r="M84" i="6" s="1"/>
  <c r="BQ84" i="6" s="1"/>
  <c r="O22" i="6" a="1"/>
  <c r="O22" i="6" s="1"/>
  <c r="AR71" i="6"/>
  <c r="BX71" i="6"/>
  <c r="BO69" i="6"/>
  <c r="AD69" i="6"/>
  <c r="BV69" i="6" s="1"/>
  <c r="AD71" i="6"/>
  <c r="BV71" i="6" s="1"/>
  <c r="AB71" i="6"/>
  <c r="BT71" i="6" s="1"/>
  <c r="C72" i="6" a="1"/>
  <c r="C72" i="6" s="1"/>
  <c r="I72" i="6" a="1"/>
  <c r="I72" i="6" s="1"/>
  <c r="BO72" i="6" s="1"/>
  <c r="K88" i="6" a="1"/>
  <c r="K88" i="6" s="1"/>
  <c r="BP88" i="6" s="1"/>
  <c r="E84" i="6" a="1"/>
  <c r="E84" i="6" s="1"/>
  <c r="BM84" i="6" s="1"/>
  <c r="S73" i="6"/>
  <c r="AS72" i="6" l="1"/>
  <c r="M86" i="6" a="1"/>
  <c r="M86" i="6" s="1"/>
  <c r="BQ86" i="6" s="1"/>
  <c r="O23" i="6" a="1"/>
  <c r="O23" i="6" s="1"/>
  <c r="BR22" i="6"/>
  <c r="AS22" i="6"/>
  <c r="BY22" i="6" s="1"/>
  <c r="BY72" i="6"/>
  <c r="AD72" i="6"/>
  <c r="BV72" i="6" s="1"/>
  <c r="AB72" i="6"/>
  <c r="BT72" i="6" s="1"/>
  <c r="I73" i="6" a="1"/>
  <c r="I73" i="6" s="1"/>
  <c r="BO73" i="6" s="1"/>
  <c r="C73" i="6" a="1"/>
  <c r="C73" i="6" s="1"/>
  <c r="G73" i="6" a="1"/>
  <c r="G73" i="6" s="1"/>
  <c r="BN73" i="6" s="1"/>
  <c r="E86" i="6" a="1"/>
  <c r="E86" i="6" s="1"/>
  <c r="BM86" i="6" s="1"/>
  <c r="K74" i="6" a="1"/>
  <c r="K74" i="6" s="1"/>
  <c r="BP74" i="6" s="1"/>
  <c r="S74" i="6"/>
  <c r="M23" i="6" l="1" a="1"/>
  <c r="M23" i="6" s="1"/>
  <c r="O86" i="6" a="1"/>
  <c r="O86" i="6" s="1"/>
  <c r="BR86" i="6" s="1"/>
  <c r="BR23" i="6"/>
  <c r="AS23" i="6"/>
  <c r="BY23" i="6" s="1"/>
  <c r="AS73" i="6"/>
  <c r="BY73" i="6"/>
  <c r="AC73" i="6"/>
  <c r="BU73" i="6" s="1"/>
  <c r="AB73" i="6"/>
  <c r="BT73" i="6" s="1"/>
  <c r="AD73" i="6"/>
  <c r="BV73" i="6" s="1"/>
  <c r="S75" i="6"/>
  <c r="G74" i="6" a="1"/>
  <c r="G74" i="6" s="1"/>
  <c r="BN74" i="6" s="1"/>
  <c r="K73" i="6" a="1"/>
  <c r="K73" i="6" s="1"/>
  <c r="BP73" i="6" s="1"/>
  <c r="E23" i="6" a="1"/>
  <c r="E23" i="6" s="1"/>
  <c r="C74" i="6" a="1"/>
  <c r="C74" i="6" s="1"/>
  <c r="I74" i="6" a="1"/>
  <c r="I74" i="6" s="1"/>
  <c r="BO74" i="6" s="1"/>
  <c r="AR74" i="6" l="1"/>
  <c r="BQ23" i="6"/>
  <c r="AR23" i="6"/>
  <c r="BX23" i="6" s="1"/>
  <c r="M76" i="6" a="1"/>
  <c r="M76" i="6" s="1"/>
  <c r="BQ76" i="6" s="1"/>
  <c r="O14" i="6" a="1"/>
  <c r="O14" i="6" s="1"/>
  <c r="BX74" i="6"/>
  <c r="AE73" i="6"/>
  <c r="BW73" i="6" s="1"/>
  <c r="BM23" i="6"/>
  <c r="AB23" i="6"/>
  <c r="BT23" i="6" s="1"/>
  <c r="AC74" i="6"/>
  <c r="BU74" i="6" s="1"/>
  <c r="AE74" i="6"/>
  <c r="BW74" i="6" s="1"/>
  <c r="AD74" i="6"/>
  <c r="BV74" i="6" s="1"/>
  <c r="G25" i="6" a="1"/>
  <c r="G25" i="6" s="1"/>
  <c r="E77" i="6" a="1"/>
  <c r="E77" i="6" s="1"/>
  <c r="BM77" i="6" s="1"/>
  <c r="I26" i="6" a="1"/>
  <c r="I26" i="6" s="1"/>
  <c r="K87" i="6" a="1"/>
  <c r="K87" i="6" s="1"/>
  <c r="BP87" i="6" s="1"/>
  <c r="G75" i="6" a="1"/>
  <c r="G75" i="6" s="1"/>
  <c r="BN75" i="6" s="1"/>
  <c r="C75" i="6" a="1"/>
  <c r="C75" i="6" s="1"/>
  <c r="S76" i="6"/>
  <c r="AS75" i="6" l="1"/>
  <c r="BR14" i="6"/>
  <c r="AS14" i="6"/>
  <c r="BY14" i="6" s="1"/>
  <c r="O25" i="6" a="1"/>
  <c r="O25" i="6" s="1"/>
  <c r="M75" i="6" a="1"/>
  <c r="M75" i="6" s="1"/>
  <c r="BQ75" i="6" s="1"/>
  <c r="BY75" i="6"/>
  <c r="BO26" i="6"/>
  <c r="AD26" i="6"/>
  <c r="BV26" i="6" s="1"/>
  <c r="BN25" i="6"/>
  <c r="AC25" i="6"/>
  <c r="BU25" i="6" s="1"/>
  <c r="AD75" i="6"/>
  <c r="BV75" i="6" s="1"/>
  <c r="AC75" i="6"/>
  <c r="BU75" i="6" s="1"/>
  <c r="G14" i="6" a="1"/>
  <c r="G14" i="6" s="1"/>
  <c r="G76" i="6" a="1"/>
  <c r="G76" i="6" s="1"/>
  <c r="BN76" i="6" s="1"/>
  <c r="I79" i="6" a="1"/>
  <c r="I79" i="6" s="1"/>
  <c r="BO79" i="6" s="1"/>
  <c r="E87" i="6" a="1"/>
  <c r="E87" i="6" s="1"/>
  <c r="BM87" i="6" s="1"/>
  <c r="C76" i="6" a="1"/>
  <c r="C76" i="6" s="1"/>
  <c r="K77" i="6" a="1"/>
  <c r="K77" i="6" s="1"/>
  <c r="BP77" i="6" s="1"/>
  <c r="S77" i="6"/>
  <c r="O87" i="6" l="1" a="1"/>
  <c r="O87" i="6" s="1"/>
  <c r="BR87" i="6" s="1"/>
  <c r="M26" i="6" a="1"/>
  <c r="M26" i="6" s="1"/>
  <c r="AR76" i="6"/>
  <c r="AS76" i="6"/>
  <c r="BR25" i="6"/>
  <c r="AS25" i="6"/>
  <c r="BY25" i="6" s="1"/>
  <c r="AR75" i="6"/>
  <c r="BX75" i="6" s="1"/>
  <c r="BX76" i="6"/>
  <c r="BY76" i="6"/>
  <c r="BN14" i="6"/>
  <c r="AC14" i="6"/>
  <c r="BU14" i="6" s="1"/>
  <c r="AB76" i="6"/>
  <c r="BT76" i="6" s="1"/>
  <c r="AC76" i="6"/>
  <c r="BU76" i="6" s="1"/>
  <c r="I14" i="6" a="1"/>
  <c r="I14" i="6" s="1"/>
  <c r="E25" i="6" a="1"/>
  <c r="E25" i="6" s="1"/>
  <c r="K76" i="6" a="1"/>
  <c r="K76" i="6" s="1"/>
  <c r="BP76" i="6" s="1"/>
  <c r="C77" i="6" a="1"/>
  <c r="C77" i="6" s="1"/>
  <c r="S78" i="6"/>
  <c r="O27" i="6" l="1" a="1"/>
  <c r="O27" i="6" s="1"/>
  <c r="M82" i="6" a="1"/>
  <c r="M82" i="6" s="1"/>
  <c r="BQ82" i="6" s="1"/>
  <c r="AR77" i="6"/>
  <c r="BQ26" i="6"/>
  <c r="AR26" i="6"/>
  <c r="BX26" i="6" s="1"/>
  <c r="BX77" i="6"/>
  <c r="AE76" i="6"/>
  <c r="BW76" i="6" s="1"/>
  <c r="BM25" i="6"/>
  <c r="AB25" i="6"/>
  <c r="BT25" i="6" s="1"/>
  <c r="BO14" i="6"/>
  <c r="AD14" i="6"/>
  <c r="BV14" i="6" s="1"/>
  <c r="AB77" i="6"/>
  <c r="BT77" i="6" s="1"/>
  <c r="AE77" i="6"/>
  <c r="BW77" i="6" s="1"/>
  <c r="AD77" i="6"/>
  <c r="BV77" i="6" s="1"/>
  <c r="G17" i="6" a="1"/>
  <c r="G17" i="6" s="1"/>
  <c r="K29" i="6" a="1"/>
  <c r="K29" i="6" s="1"/>
  <c r="I16" i="6" a="1"/>
  <c r="I16" i="6" s="1"/>
  <c r="C78" i="6" a="1"/>
  <c r="C78" i="6" s="1"/>
  <c r="E81" i="6" a="1"/>
  <c r="E81" i="6" s="1"/>
  <c r="BM81" i="6" s="1"/>
  <c r="G78" i="6" a="1"/>
  <c r="G78" i="6" s="1"/>
  <c r="BN78" i="6" s="1"/>
  <c r="S79" i="6"/>
  <c r="M87" i="6" l="1" a="1"/>
  <c r="M87" i="6" s="1"/>
  <c r="BQ87" i="6" s="1"/>
  <c r="O26" i="6" a="1"/>
  <c r="O26" i="6" s="1"/>
  <c r="AS78" i="6"/>
  <c r="BR27" i="6"/>
  <c r="AS27" i="6"/>
  <c r="BY27" i="6" s="1"/>
  <c r="BY78" i="6"/>
  <c r="BP29" i="6"/>
  <c r="AE29" i="6"/>
  <c r="BW29" i="6" s="1"/>
  <c r="BO16" i="6"/>
  <c r="AD16" i="6"/>
  <c r="BV16" i="6" s="1"/>
  <c r="BN17" i="6"/>
  <c r="AC17" i="6"/>
  <c r="BU17" i="6" s="1"/>
  <c r="AB78" i="6"/>
  <c r="BT78" i="6" s="1"/>
  <c r="AC78" i="6"/>
  <c r="BU78" i="6" s="1"/>
  <c r="AE78" i="6"/>
  <c r="BW78" i="6" s="1"/>
  <c r="AD78" i="6"/>
  <c r="BV78" i="6" s="1"/>
  <c r="G77" i="6" a="1"/>
  <c r="G77" i="6" s="1"/>
  <c r="I76" i="6" a="1"/>
  <c r="I76" i="6" s="1"/>
  <c r="G79" i="6" a="1"/>
  <c r="G79" i="6" s="1"/>
  <c r="BN79" i="6" s="1"/>
  <c r="E75" i="6" a="1"/>
  <c r="E75" i="6" s="1"/>
  <c r="C79" i="6" a="1"/>
  <c r="C79" i="6" s="1"/>
  <c r="K14" i="6" a="1"/>
  <c r="K14" i="6" s="1"/>
  <c r="S80" i="6"/>
  <c r="AS79" i="6" l="1"/>
  <c r="O91" i="6" a="1"/>
  <c r="O91" i="6" s="1"/>
  <c r="BR91" i="6" s="1"/>
  <c r="M24" i="6" a="1"/>
  <c r="M24" i="6" s="1"/>
  <c r="BR26" i="6"/>
  <c r="AS26" i="6"/>
  <c r="BY26" i="6" s="1"/>
  <c r="BY79" i="6"/>
  <c r="BO76" i="6"/>
  <c r="BD76" i="6" s="1"/>
  <c r="AD76" i="6"/>
  <c r="BV76" i="6" s="1"/>
  <c r="BN77" i="6"/>
  <c r="AC77" i="6"/>
  <c r="BU77" i="6" s="1"/>
  <c r="BM75" i="6"/>
  <c r="AB75" i="6"/>
  <c r="BT75" i="6" s="1"/>
  <c r="BP14" i="6"/>
  <c r="AE14" i="6"/>
  <c r="BW14" i="6" s="1"/>
  <c r="AC79" i="6"/>
  <c r="BU79" i="6" s="1"/>
  <c r="AE79" i="6"/>
  <c r="BW79" i="6" s="1"/>
  <c r="AB79" i="6"/>
  <c r="BT79" i="6" s="1"/>
  <c r="AD79" i="6"/>
  <c r="BV79" i="6" s="1"/>
  <c r="G80" i="6" a="1"/>
  <c r="G80" i="6" s="1"/>
  <c r="BN80" i="6" s="1"/>
  <c r="K68" i="6" a="1"/>
  <c r="K68" i="6" s="1"/>
  <c r="I80" i="6" a="1"/>
  <c r="I80" i="6" s="1"/>
  <c r="BO80" i="6" s="1"/>
  <c r="E24" i="6" a="1"/>
  <c r="E24" i="6" s="1"/>
  <c r="C80" i="6" a="1"/>
  <c r="C80" i="6" s="1"/>
  <c r="S81" i="6"/>
  <c r="G68" i="6" a="1"/>
  <c r="G68" i="6" s="1"/>
  <c r="AR80" i="6" l="1"/>
  <c r="BQ24" i="6"/>
  <c r="AR24" i="6"/>
  <c r="BX24" i="6" s="1"/>
  <c r="O29" i="6" a="1"/>
  <c r="O29" i="6" s="1"/>
  <c r="M16" i="6" a="1"/>
  <c r="M16" i="6" s="1"/>
  <c r="BX80" i="6"/>
  <c r="BN68" i="6"/>
  <c r="AC68" i="6"/>
  <c r="BU68" i="6" s="1"/>
  <c r="BP68" i="6"/>
  <c r="AE68" i="6"/>
  <c r="BW68" i="6" s="1"/>
  <c r="BM24" i="6"/>
  <c r="AB24" i="6"/>
  <c r="BT24" i="6" s="1"/>
  <c r="AE80" i="6"/>
  <c r="BW80" i="6" s="1"/>
  <c r="AC80" i="6"/>
  <c r="BU80" i="6" s="1"/>
  <c r="AD80" i="6"/>
  <c r="BV80" i="6" s="1"/>
  <c r="G18" i="6" a="1"/>
  <c r="G18" i="6" s="1"/>
  <c r="E17" i="6" a="1"/>
  <c r="E17" i="6" s="1"/>
  <c r="I27" i="6" a="1"/>
  <c r="I27" i="6" s="1"/>
  <c r="C81" i="6" a="1"/>
  <c r="C81" i="6" s="1"/>
  <c r="G81" i="6" a="1"/>
  <c r="G81" i="6" s="1"/>
  <c r="BN81" i="6" s="1"/>
  <c r="K82" i="6" a="1"/>
  <c r="K82" i="6" s="1"/>
  <c r="BP82" i="6" s="1"/>
  <c r="S82" i="6"/>
  <c r="BQ16" i="6" l="1"/>
  <c r="BD16" i="6" s="1"/>
  <c r="AR16" i="6"/>
  <c r="BX16" i="6" s="1"/>
  <c r="BR29" i="6"/>
  <c r="AS29" i="6"/>
  <c r="BY29" i="6" s="1"/>
  <c r="AS81" i="6"/>
  <c r="AR81" i="6"/>
  <c r="M78" i="6" a="1"/>
  <c r="M78" i="6" s="1"/>
  <c r="O17" i="6" a="1"/>
  <c r="O17" i="6" s="1"/>
  <c r="BY81" i="6"/>
  <c r="BX81" i="6"/>
  <c r="BO27" i="6"/>
  <c r="AD27" i="6"/>
  <c r="BV27" i="6" s="1"/>
  <c r="BM17" i="6"/>
  <c r="AB17" i="6"/>
  <c r="BT17" i="6" s="1"/>
  <c r="BN18" i="6"/>
  <c r="AC18" i="6"/>
  <c r="BU18" i="6" s="1"/>
  <c r="AD81" i="6"/>
  <c r="BV81" i="6" s="1"/>
  <c r="AB81" i="6"/>
  <c r="BT81" i="6" s="1"/>
  <c r="AC81" i="6"/>
  <c r="BU81" i="6" s="1"/>
  <c r="G27" i="6" a="1"/>
  <c r="G27" i="6" s="1"/>
  <c r="E29" i="6" a="1"/>
  <c r="E29" i="6" s="1"/>
  <c r="K81" i="6" a="1"/>
  <c r="K81" i="6" s="1"/>
  <c r="BP81" i="6" s="1"/>
  <c r="I18" i="6" a="1"/>
  <c r="I18" i="6" s="1"/>
  <c r="G82" i="6" a="1"/>
  <c r="G82" i="6" s="1"/>
  <c r="BN82" i="6" s="1"/>
  <c r="C82" i="6" a="1"/>
  <c r="C82" i="6" s="1"/>
  <c r="S83" i="6"/>
  <c r="BR17" i="6" l="1"/>
  <c r="AS17" i="6"/>
  <c r="BY17" i="6" s="1"/>
  <c r="BQ78" i="6"/>
  <c r="BD78" i="6" s="1"/>
  <c r="AR78" i="6"/>
  <c r="BX78" i="6" s="1"/>
  <c r="M69" i="6" a="1"/>
  <c r="M69" i="6" s="1"/>
  <c r="O83" i="6" a="1"/>
  <c r="O83" i="6" s="1"/>
  <c r="BR83" i="6" s="1"/>
  <c r="AR82" i="6"/>
  <c r="BX82" i="6" s="1"/>
  <c r="BD82" i="6" s="1"/>
  <c r="AS82" i="6"/>
  <c r="BY82" i="6" s="1"/>
  <c r="BD17" i="6"/>
  <c r="AE81" i="6"/>
  <c r="BW81" i="6" s="1"/>
  <c r="BD81" i="6" s="1"/>
  <c r="BM29" i="6"/>
  <c r="BD29" i="6" s="1"/>
  <c r="AB29" i="6"/>
  <c r="BT29" i="6" s="1"/>
  <c r="BN27" i="6"/>
  <c r="BD27" i="6" s="1"/>
  <c r="AC27" i="6"/>
  <c r="BU27" i="6" s="1"/>
  <c r="BO18" i="6"/>
  <c r="BD18" i="6" s="1"/>
  <c r="AD18" i="6"/>
  <c r="BV18" i="6" s="1"/>
  <c r="AD82" i="6"/>
  <c r="BV82" i="6" s="1"/>
  <c r="AE82" i="6"/>
  <c r="BW82" i="6" s="1"/>
  <c r="AC82" i="6"/>
  <c r="BU82" i="6" s="1"/>
  <c r="AB82" i="6"/>
  <c r="BT82" i="6" s="1"/>
  <c r="G69" i="6" a="1"/>
  <c r="G69" i="6" s="1"/>
  <c r="K71" i="6" a="1"/>
  <c r="K71" i="6" s="1"/>
  <c r="I92" i="6" a="1"/>
  <c r="I92" i="6" s="1"/>
  <c r="BO92" i="6" s="1"/>
  <c r="G83" i="6" a="1"/>
  <c r="G83" i="6" s="1"/>
  <c r="BN83" i="6" s="1"/>
  <c r="E92" i="6" a="1"/>
  <c r="E92" i="6" s="1"/>
  <c r="BM92" i="6" s="1"/>
  <c r="C83" i="6" a="1"/>
  <c r="C83" i="6" s="1"/>
  <c r="S84" i="6"/>
  <c r="AS83" i="6" l="1"/>
  <c r="AR83" i="6"/>
  <c r="O88" i="6" a="1"/>
  <c r="O88" i="6" s="1"/>
  <c r="BR88" i="6" s="1"/>
  <c r="M72" i="6" a="1"/>
  <c r="M72" i="6" s="1"/>
  <c r="BQ69" i="6"/>
  <c r="AR69" i="6"/>
  <c r="BX69" i="6" s="1"/>
  <c r="BY83" i="6"/>
  <c r="BX83" i="6"/>
  <c r="BP71" i="6"/>
  <c r="AE71" i="6"/>
  <c r="BW71" i="6" s="1"/>
  <c r="BN69" i="6"/>
  <c r="AC69" i="6"/>
  <c r="BU69" i="6" s="1"/>
  <c r="AB83" i="6"/>
  <c r="BT83" i="6" s="1"/>
  <c r="AE83" i="6"/>
  <c r="BW83" i="6" s="1"/>
  <c r="AC83" i="6"/>
  <c r="BU83" i="6" s="1"/>
  <c r="G22" i="6" a="1"/>
  <c r="G22" i="6" s="1"/>
  <c r="G84" i="6" a="1"/>
  <c r="G84" i="6" s="1"/>
  <c r="BN84" i="6" s="1"/>
  <c r="K84" i="6" a="1"/>
  <c r="K84" i="6" s="1"/>
  <c r="BP84" i="6" s="1"/>
  <c r="E88" i="6" a="1"/>
  <c r="E88" i="6" s="1"/>
  <c r="BM88" i="6" s="1"/>
  <c r="I22" i="6" a="1"/>
  <c r="I22" i="6" s="1"/>
  <c r="C84" i="6" a="1"/>
  <c r="C84" i="6" s="1"/>
  <c r="S85" i="6"/>
  <c r="M85" i="6" l="1" a="1"/>
  <c r="M85" i="6" s="1"/>
  <c r="BQ85" i="6" s="1"/>
  <c r="O85" i="6" a="1"/>
  <c r="O85" i="6" s="1"/>
  <c r="BR85" i="6" s="1"/>
  <c r="AR84" i="6"/>
  <c r="BQ72" i="6"/>
  <c r="AR72" i="6"/>
  <c r="BX72" i="6" s="1"/>
  <c r="BX84" i="6"/>
  <c r="BO22" i="6"/>
  <c r="AD22" i="6"/>
  <c r="BV22" i="6" s="1"/>
  <c r="BN22" i="6"/>
  <c r="AC22" i="6"/>
  <c r="BU22" i="6" s="1"/>
  <c r="AE84" i="6"/>
  <c r="BW84" i="6" s="1"/>
  <c r="AD84" i="6"/>
  <c r="BV84" i="6" s="1"/>
  <c r="AB84" i="6"/>
  <c r="BT84" i="6" s="1"/>
  <c r="AC84" i="6"/>
  <c r="BU84" i="6" s="1"/>
  <c r="C85" i="6" a="1"/>
  <c r="C85" i="6" s="1"/>
  <c r="K85" i="6" a="1"/>
  <c r="K85" i="6" s="1"/>
  <c r="BP85" i="6" s="1"/>
  <c r="G85" i="6" a="1"/>
  <c r="G85" i="6" s="1"/>
  <c r="BN85" i="6" s="1"/>
  <c r="E85" i="6" a="1"/>
  <c r="E85" i="6" s="1"/>
  <c r="BM85" i="6" s="1"/>
  <c r="I85" i="6" a="1"/>
  <c r="I85" i="6" s="1"/>
  <c r="BO85" i="6" s="1"/>
  <c r="S86" i="6"/>
  <c r="O74" i="6" l="1" a="1"/>
  <c r="O74" i="6" s="1"/>
  <c r="M73" i="6" a="1"/>
  <c r="M73" i="6" s="1"/>
  <c r="AR85" i="6"/>
  <c r="AS85" i="6"/>
  <c r="BD85" i="6"/>
  <c r="BX85" i="6"/>
  <c r="BY85" i="6"/>
  <c r="AE85" i="6"/>
  <c r="BW85" i="6" s="1"/>
  <c r="AB85" i="6"/>
  <c r="BT85" i="6" s="1"/>
  <c r="AC85" i="6"/>
  <c r="BU85" i="6" s="1"/>
  <c r="AD85" i="6"/>
  <c r="BV85" i="6" s="1"/>
  <c r="G23" i="6" a="1"/>
  <c r="G23" i="6" s="1"/>
  <c r="G86" i="6" a="1"/>
  <c r="G86" i="6" s="1"/>
  <c r="BN86" i="6" s="1"/>
  <c r="K86" i="6" a="1"/>
  <c r="K86" i="6" s="1"/>
  <c r="BP86" i="6" s="1"/>
  <c r="C86" i="6" a="1"/>
  <c r="C86" i="6" s="1"/>
  <c r="I23" i="6" a="1"/>
  <c r="I23" i="6" s="1"/>
  <c r="E74" i="6" a="1"/>
  <c r="E74" i="6" s="1"/>
  <c r="S87" i="6"/>
  <c r="O77" i="6" l="1" a="1"/>
  <c r="O77" i="6" s="1"/>
  <c r="M79" i="6" a="1"/>
  <c r="M79" i="6" s="1"/>
  <c r="AR86" i="6"/>
  <c r="AS86" i="6"/>
  <c r="BQ73" i="6"/>
  <c r="BD73" i="6" s="1"/>
  <c r="AR73" i="6"/>
  <c r="BX73" i="6" s="1"/>
  <c r="BR74" i="6"/>
  <c r="AS74" i="6"/>
  <c r="BY74" i="6" s="1"/>
  <c r="BX86" i="6"/>
  <c r="BY86" i="6"/>
  <c r="BM74" i="6"/>
  <c r="BD74" i="6" s="1"/>
  <c r="AB74" i="6"/>
  <c r="BT74" i="6" s="1"/>
  <c r="BO23" i="6"/>
  <c r="AD23" i="6"/>
  <c r="BV23" i="6" s="1"/>
  <c r="BN23" i="6"/>
  <c r="BD23" i="6" s="1"/>
  <c r="AC23" i="6"/>
  <c r="BU23" i="6" s="1"/>
  <c r="AD86" i="6"/>
  <c r="BV86" i="6" s="1"/>
  <c r="AC86" i="6"/>
  <c r="BU86" i="6" s="1"/>
  <c r="AB86" i="6"/>
  <c r="BT86" i="6" s="1"/>
  <c r="BD86" i="6" s="1"/>
  <c r="AE86" i="6"/>
  <c r="BW86" i="6" s="1"/>
  <c r="G26" i="6" a="1"/>
  <c r="G26" i="6" s="1"/>
  <c r="I25" i="6" a="1"/>
  <c r="I25" i="6" s="1"/>
  <c r="K75" i="6" a="1"/>
  <c r="K75" i="6" s="1"/>
  <c r="G87" i="6" a="1"/>
  <c r="G87" i="6" s="1"/>
  <c r="BN87" i="6" s="1"/>
  <c r="E14" i="6" a="1"/>
  <c r="E14" i="6" s="1"/>
  <c r="C87" i="6" a="1"/>
  <c r="C87" i="6" s="1"/>
  <c r="S88" i="6"/>
  <c r="G72" i="6" l="1" a="1"/>
  <c r="G72" i="6" s="1"/>
  <c r="AC72" i="6" s="1"/>
  <c r="BU72" i="6" s="1"/>
  <c r="M22" i="6" a="1"/>
  <c r="M22" i="6" s="1"/>
  <c r="O84" i="6" a="1"/>
  <c r="O84" i="6" s="1"/>
  <c r="AR87" i="6"/>
  <c r="AS87" i="6"/>
  <c r="BQ79" i="6"/>
  <c r="BD79" i="6" s="1"/>
  <c r="AR79" i="6"/>
  <c r="BX79" i="6" s="1"/>
  <c r="BR77" i="6"/>
  <c r="BD77" i="6" s="1"/>
  <c r="AS77" i="6"/>
  <c r="BY77" i="6" s="1"/>
  <c r="BY87" i="6"/>
  <c r="BX87" i="6"/>
  <c r="BP75" i="6"/>
  <c r="AE75" i="6"/>
  <c r="BW75" i="6" s="1"/>
  <c r="BO25" i="6"/>
  <c r="AD25" i="6"/>
  <c r="BV25" i="6" s="1"/>
  <c r="BN26" i="6"/>
  <c r="AC26" i="6"/>
  <c r="BU26" i="6" s="1"/>
  <c r="BM14" i="6"/>
  <c r="AB14" i="6"/>
  <c r="BT14" i="6" s="1"/>
  <c r="AE87" i="6"/>
  <c r="BW87" i="6" s="1"/>
  <c r="AB87" i="6"/>
  <c r="BT87" i="6" s="1"/>
  <c r="BD87" i="6" s="1"/>
  <c r="AD87" i="6"/>
  <c r="BV87" i="6" s="1"/>
  <c r="AC87" i="6"/>
  <c r="BU87" i="6" s="1"/>
  <c r="K72" i="6" a="1"/>
  <c r="K72" i="6" s="1"/>
  <c r="G88" i="6" a="1"/>
  <c r="G88" i="6" s="1"/>
  <c r="C88" i="6" a="1"/>
  <c r="C88" i="6" s="1"/>
  <c r="I88" i="6" a="1"/>
  <c r="I88" i="6" s="1"/>
  <c r="BO88" i="6" s="1"/>
  <c r="E22" i="6" a="1"/>
  <c r="E22" i="6" s="1"/>
  <c r="S89" i="6"/>
  <c r="M70" i="6" l="1" a="1"/>
  <c r="M70" i="6" s="1"/>
  <c r="O67" i="6" a="1"/>
  <c r="O67" i="6" s="1"/>
  <c r="BN72" i="6"/>
  <c r="BD75" i="6"/>
  <c r="BD14" i="6"/>
  <c r="BD26" i="6"/>
  <c r="AR88" i="6"/>
  <c r="AS88" i="6"/>
  <c r="BD25" i="6"/>
  <c r="BR84" i="6"/>
  <c r="BD84" i="6" s="1"/>
  <c r="AS84" i="6"/>
  <c r="BY84" i="6" s="1"/>
  <c r="BQ22" i="6"/>
  <c r="AR22" i="6"/>
  <c r="BX22" i="6" s="1"/>
  <c r="BX88" i="6"/>
  <c r="BY88" i="6"/>
  <c r="BP72" i="6"/>
  <c r="AE72" i="6"/>
  <c r="BW72" i="6" s="1"/>
  <c r="BM22" i="6"/>
  <c r="BD22" i="6" s="1"/>
  <c r="AB22" i="6"/>
  <c r="BT22" i="6" s="1"/>
  <c r="AE88" i="6"/>
  <c r="BW88" i="6" s="1"/>
  <c r="AD88" i="6"/>
  <c r="BV88" i="6" s="1"/>
  <c r="AC88" i="6"/>
  <c r="BU88" i="6" s="1"/>
  <c r="AB88" i="6"/>
  <c r="BT88" i="6" s="1"/>
  <c r="BN88" i="6"/>
  <c r="BD88" i="6" s="1"/>
  <c r="K89" i="6" a="1"/>
  <c r="K89" i="6" s="1"/>
  <c r="BP89" i="6" s="1"/>
  <c r="I90" i="6" a="1"/>
  <c r="I90" i="6" s="1"/>
  <c r="BO90" i="6" s="1"/>
  <c r="E67" i="6" a="1"/>
  <c r="E67" i="6" s="1"/>
  <c r="G89" i="6" a="1"/>
  <c r="G89" i="6" s="1"/>
  <c r="C89" i="6" a="1"/>
  <c r="C89" i="6" s="1"/>
  <c r="S90" i="6"/>
  <c r="AS89" i="6" l="1"/>
  <c r="AR89" i="6"/>
  <c r="O70" i="6" a="1"/>
  <c r="O70" i="6" s="1"/>
  <c r="M67" i="6" a="1"/>
  <c r="M67" i="6" s="1"/>
  <c r="BD72" i="6"/>
  <c r="BR67" i="6"/>
  <c r="AS67" i="6"/>
  <c r="BY67" i="6" s="1"/>
  <c r="BQ70" i="6"/>
  <c r="AR70" i="6"/>
  <c r="BX70" i="6" s="1"/>
  <c r="BY89" i="6"/>
  <c r="BX89" i="6"/>
  <c r="BM67" i="6"/>
  <c r="AB67" i="6"/>
  <c r="BT67" i="6" s="1"/>
  <c r="AB89" i="6"/>
  <c r="BT89" i="6" s="1"/>
  <c r="AE89" i="6"/>
  <c r="BW89" i="6" s="1"/>
  <c r="AC89" i="6"/>
  <c r="BU89" i="6" s="1"/>
  <c r="BN89" i="6"/>
  <c r="K90" i="6" a="1"/>
  <c r="K90" i="6" s="1"/>
  <c r="BP90" i="6" s="1"/>
  <c r="C90" i="6" a="1"/>
  <c r="C90" i="6" s="1"/>
  <c r="E70" i="6" a="1"/>
  <c r="E70" i="6" s="1"/>
  <c r="G90" i="6" a="1"/>
  <c r="G90" i="6" s="1"/>
  <c r="I89" i="6" a="1"/>
  <c r="I89" i="6" s="1"/>
  <c r="BO89" i="6" s="1"/>
  <c r="S91" i="6"/>
  <c r="M68" i="6" l="1" a="1"/>
  <c r="M68" i="6" s="1"/>
  <c r="O80" i="6" a="1"/>
  <c r="O80" i="6" s="1"/>
  <c r="AR90" i="6"/>
  <c r="AS90" i="6"/>
  <c r="BQ67" i="6"/>
  <c r="BD67" i="6" s="1"/>
  <c r="AR67" i="6"/>
  <c r="BX67" i="6" s="1"/>
  <c r="BR70" i="6"/>
  <c r="AS70" i="6"/>
  <c r="BY70" i="6" s="1"/>
  <c r="BD89" i="6"/>
  <c r="BX90" i="6"/>
  <c r="BY90" i="6"/>
  <c r="AD89" i="6"/>
  <c r="BV89" i="6" s="1"/>
  <c r="BM70" i="6"/>
  <c r="AB70" i="6"/>
  <c r="BT70" i="6" s="1"/>
  <c r="AD90" i="6"/>
  <c r="BV90" i="6" s="1"/>
  <c r="AE90" i="6"/>
  <c r="BW90" i="6" s="1"/>
  <c r="AC90" i="6"/>
  <c r="BU90" i="6" s="1"/>
  <c r="AB90" i="6"/>
  <c r="BT90" i="6" s="1"/>
  <c r="BN90" i="6"/>
  <c r="BD90" i="6" s="1"/>
  <c r="G24" i="6" a="1"/>
  <c r="G24" i="6" s="1"/>
  <c r="E80" i="6" a="1"/>
  <c r="E80" i="6" s="1"/>
  <c r="G91" i="6" a="1"/>
  <c r="G91" i="6" s="1"/>
  <c r="I24" i="6" a="1"/>
  <c r="I24" i="6" s="1"/>
  <c r="K91" i="6" a="1"/>
  <c r="K91" i="6" s="1"/>
  <c r="BP91" i="6" s="1"/>
  <c r="C91" i="6" a="1"/>
  <c r="C91" i="6" s="1"/>
  <c r="S92" i="6"/>
  <c r="AS91" i="6" l="1"/>
  <c r="AR91" i="6"/>
  <c r="BD70" i="6"/>
  <c r="G71" i="6" a="1"/>
  <c r="G71" i="6" s="1"/>
  <c r="BN71" i="6" s="1"/>
  <c r="O71" i="6" a="1"/>
  <c r="O71" i="6" s="1"/>
  <c r="M92" i="6" a="1"/>
  <c r="M92" i="6" s="1"/>
  <c r="BQ92" i="6" s="1"/>
  <c r="BR80" i="6"/>
  <c r="AS80" i="6"/>
  <c r="BY80" i="6" s="1"/>
  <c r="BQ68" i="6"/>
  <c r="AR68" i="6"/>
  <c r="BX68" i="6" s="1"/>
  <c r="BX91" i="6"/>
  <c r="BY91" i="6"/>
  <c r="BM80" i="6"/>
  <c r="AB80" i="6"/>
  <c r="BT80" i="6" s="1"/>
  <c r="BO24" i="6"/>
  <c r="AD24" i="6"/>
  <c r="BV24" i="6" s="1"/>
  <c r="BN24" i="6"/>
  <c r="AC24" i="6"/>
  <c r="BU24" i="6" s="1"/>
  <c r="AD91" i="6"/>
  <c r="BV91" i="6" s="1"/>
  <c r="AC91" i="6"/>
  <c r="BU91" i="6" s="1"/>
  <c r="AB91" i="6"/>
  <c r="BT91" i="6" s="1"/>
  <c r="AE91" i="6"/>
  <c r="BW91" i="6" s="1"/>
  <c r="BN91" i="6"/>
  <c r="G92" i="6" a="1"/>
  <c r="G92" i="6" s="1"/>
  <c r="I83" i="6" a="1"/>
  <c r="I83" i="6" s="1"/>
  <c r="C92" i="6" a="1"/>
  <c r="C92" i="6" s="1"/>
  <c r="E69" i="6" a="1"/>
  <c r="E69" i="6" s="1"/>
  <c r="K69" i="6" a="1"/>
  <c r="K69" i="6" s="1"/>
  <c r="S93" i="6"/>
  <c r="AS92" i="6" l="1"/>
  <c r="AR92" i="6"/>
  <c r="BX92" i="6" s="1"/>
  <c r="AC71" i="6"/>
  <c r="BU71" i="6" s="1"/>
  <c r="BD68" i="6"/>
  <c r="O13" i="6" a="1"/>
  <c r="O13" i="6" s="1"/>
  <c r="M93" i="6" a="1"/>
  <c r="M93" i="6" s="1"/>
  <c r="BQ93" i="6" s="1"/>
  <c r="BD24" i="6"/>
  <c r="BR71" i="6"/>
  <c r="BD71" i="6" s="1"/>
  <c r="AS71" i="6"/>
  <c r="BY71" i="6" s="1"/>
  <c r="BD91" i="6"/>
  <c r="BD80" i="6"/>
  <c r="BY92" i="6"/>
  <c r="BO83" i="6"/>
  <c r="BD83" i="6" s="1"/>
  <c r="AD83" i="6"/>
  <c r="BV83" i="6" s="1"/>
  <c r="BP69" i="6"/>
  <c r="AE69" i="6"/>
  <c r="BW69" i="6" s="1"/>
  <c r="BM69" i="6"/>
  <c r="BD69" i="6" s="1"/>
  <c r="AB69" i="6"/>
  <c r="BT69" i="6" s="1"/>
  <c r="AB92" i="6"/>
  <c r="BT92" i="6" s="1"/>
  <c r="AC92" i="6"/>
  <c r="BU92" i="6" s="1"/>
  <c r="AD92" i="6"/>
  <c r="BV92" i="6" s="1"/>
  <c r="AE92" i="6"/>
  <c r="BW92" i="6" s="1"/>
  <c r="BN92" i="6"/>
  <c r="G13" i="6" a="1"/>
  <c r="G13" i="6" s="1"/>
  <c r="I65" i="6" a="1"/>
  <c r="I65" i="6" s="1"/>
  <c r="K95" i="6" a="1"/>
  <c r="K95" i="6" s="1"/>
  <c r="BP95" i="6" s="1"/>
  <c r="E95" i="6" a="1"/>
  <c r="E95" i="6" s="1"/>
  <c r="BM95" i="6" s="1"/>
  <c r="G93" i="6" a="1"/>
  <c r="G93" i="6" s="1"/>
  <c r="C93" i="6" a="1"/>
  <c r="C93" i="6" s="1"/>
  <c r="S94" i="6"/>
  <c r="AR93" i="6" l="1"/>
  <c r="AS93" i="6"/>
  <c r="M62" i="6" a="1"/>
  <c r="M62" i="6" s="1"/>
  <c r="O62" i="6" a="1"/>
  <c r="O62" i="6" s="1"/>
  <c r="BR13" i="6"/>
  <c r="AS13" i="6"/>
  <c r="BY13" i="6" s="1"/>
  <c r="BD92" i="6"/>
  <c r="BY93" i="6"/>
  <c r="BX93" i="6"/>
  <c r="BO65" i="6"/>
  <c r="AD65" i="6"/>
  <c r="BV65" i="6" s="1"/>
  <c r="BN13" i="6"/>
  <c r="AC13" i="6"/>
  <c r="BU13" i="6" s="1"/>
  <c r="AC93" i="6"/>
  <c r="BU93" i="6" s="1"/>
  <c r="AD93" i="6"/>
  <c r="BV93" i="6" s="1"/>
  <c r="AB93" i="6"/>
  <c r="BT93" i="6" s="1"/>
  <c r="BN93" i="6"/>
  <c r="I94" i="6" a="1"/>
  <c r="I94" i="6" s="1"/>
  <c r="BO94" i="6" s="1"/>
  <c r="E62" i="6" a="1"/>
  <c r="E62" i="6" s="1"/>
  <c r="C94" i="6" a="1"/>
  <c r="C94" i="6" s="1"/>
  <c r="K94" i="6" a="1"/>
  <c r="K94" i="6" s="1"/>
  <c r="BP94" i="6" s="1"/>
  <c r="G94" i="6" a="1"/>
  <c r="G94" i="6" s="1"/>
  <c r="S95" i="6"/>
  <c r="M65" i="6" l="1" a="1"/>
  <c r="M65" i="6" s="1"/>
  <c r="O95" i="6" a="1"/>
  <c r="O95" i="6" s="1"/>
  <c r="BR95" i="6" s="1"/>
  <c r="AS94" i="6"/>
  <c r="AR94" i="6"/>
  <c r="BR62" i="6"/>
  <c r="AS62" i="6"/>
  <c r="BY62" i="6" s="1"/>
  <c r="BQ62" i="6"/>
  <c r="AR62" i="6"/>
  <c r="BX62" i="6" s="1"/>
  <c r="BX94" i="6"/>
  <c r="BY94" i="6"/>
  <c r="BM62" i="6"/>
  <c r="BD62" i="6" s="1"/>
  <c r="AB62" i="6"/>
  <c r="BT62" i="6" s="1"/>
  <c r="AE94" i="6"/>
  <c r="BW94" i="6" s="1"/>
  <c r="AD94" i="6"/>
  <c r="BV94" i="6" s="1"/>
  <c r="AC94" i="6"/>
  <c r="BU94" i="6" s="1"/>
  <c r="AB94" i="6"/>
  <c r="BT94" i="6" s="1"/>
  <c r="BN94" i="6"/>
  <c r="BD94" i="6" s="1"/>
  <c r="E13" i="6" a="1"/>
  <c r="E13" i="6" s="1"/>
  <c r="C95" i="6" a="1"/>
  <c r="C95" i="6" s="1"/>
  <c r="K93" i="6" a="1"/>
  <c r="K93" i="6" s="1"/>
  <c r="AE93" i="6" s="1"/>
  <c r="BW93" i="6" s="1"/>
  <c r="G95" i="6" a="1"/>
  <c r="G95" i="6" s="1"/>
  <c r="I13" i="6" a="1"/>
  <c r="I13" i="6" s="1"/>
  <c r="G65" i="6" a="1"/>
  <c r="G65" i="6" s="1"/>
  <c r="S96" i="6"/>
  <c r="O3" i="6" l="1" a="1"/>
  <c r="O3" i="6" s="1"/>
  <c r="M3" i="6" a="1"/>
  <c r="M3" i="6" s="1"/>
  <c r="AS95" i="6"/>
  <c r="AR95" i="6"/>
  <c r="BQ65" i="6"/>
  <c r="AR65" i="6"/>
  <c r="BX65" i="6" s="1"/>
  <c r="BY95" i="6"/>
  <c r="BX95" i="6"/>
  <c r="BN65" i="6"/>
  <c r="BD65" i="6" s="1"/>
  <c r="AC65" i="6"/>
  <c r="BU65" i="6" s="1"/>
  <c r="BO13" i="6"/>
  <c r="AD13" i="6"/>
  <c r="BV13" i="6" s="1"/>
  <c r="BM13" i="6"/>
  <c r="BD13" i="6" s="1"/>
  <c r="AB13" i="6"/>
  <c r="BT13" i="6" s="1"/>
  <c r="AB95" i="6"/>
  <c r="BT95" i="6" s="1"/>
  <c r="AD95" i="6"/>
  <c r="BV95" i="6" s="1"/>
  <c r="AE95" i="6"/>
  <c r="BW95" i="6" s="1"/>
  <c r="AC95" i="6"/>
  <c r="BU95" i="6" s="1"/>
  <c r="BP93" i="6"/>
  <c r="BD93" i="6" s="1"/>
  <c r="BN95" i="6"/>
  <c r="BD95" i="6" s="1"/>
  <c r="E3" i="6" a="1"/>
  <c r="E3" i="6" s="1"/>
  <c r="K96" i="6" a="1"/>
  <c r="K96" i="6" s="1"/>
  <c r="BP96" i="6" s="1"/>
  <c r="C96" i="6" a="1"/>
  <c r="C96" i="6" s="1"/>
  <c r="G96" i="6" a="1"/>
  <c r="G96" i="6" s="1"/>
  <c r="I96" i="6" a="1"/>
  <c r="I96" i="6" s="1"/>
  <c r="BO96" i="6" s="1"/>
  <c r="S97" i="6"/>
  <c r="M99" i="6" l="1" a="1"/>
  <c r="M99" i="6" s="1"/>
  <c r="BQ99" i="6" s="1"/>
  <c r="O100" i="6" a="1"/>
  <c r="O100" i="6" s="1"/>
  <c r="BR100" i="6" s="1"/>
  <c r="AS96" i="6"/>
  <c r="AR96" i="6"/>
  <c r="BQ3" i="6"/>
  <c r="AR3" i="6"/>
  <c r="BX3" i="6" s="1"/>
  <c r="BR3" i="6"/>
  <c r="AS3" i="6"/>
  <c r="BY3" i="6" s="1"/>
  <c r="BX96" i="6"/>
  <c r="BY96" i="6"/>
  <c r="AC96" i="6"/>
  <c r="BU96" i="6" s="1"/>
  <c r="AB96" i="6"/>
  <c r="BT96" i="6" s="1"/>
  <c r="AD96" i="6"/>
  <c r="BV96" i="6" s="1"/>
  <c r="AE96" i="6"/>
  <c r="BW96" i="6" s="1"/>
  <c r="BM3" i="6"/>
  <c r="BD3" i="6" s="1"/>
  <c r="AB3" i="6"/>
  <c r="BT3" i="6" s="1"/>
  <c r="S98" i="6"/>
  <c r="BN96" i="6"/>
  <c r="E100" i="6" a="1"/>
  <c r="E100" i="6" s="1"/>
  <c r="BM100" i="6" s="1"/>
  <c r="I98" i="6" a="1"/>
  <c r="I98" i="6" s="1"/>
  <c r="BO98" i="6" s="1"/>
  <c r="K97" i="6" a="1"/>
  <c r="K97" i="6" s="1"/>
  <c r="BP97" i="6" s="1"/>
  <c r="C98" i="6" a="1"/>
  <c r="C98" i="6" s="1"/>
  <c r="G97" i="6" a="1"/>
  <c r="G97" i="6" s="1"/>
  <c r="K98" i="6" a="1"/>
  <c r="K98" i="6" s="1"/>
  <c r="BP98" i="6" s="1"/>
  <c r="I97" i="6" a="1"/>
  <c r="I97" i="6" s="1"/>
  <c r="BO97" i="6" s="1"/>
  <c r="E99" i="6" a="1"/>
  <c r="E99" i="6" s="1"/>
  <c r="BM99" i="6" s="1"/>
  <c r="C97" i="6" a="1"/>
  <c r="C97" i="6" s="1"/>
  <c r="G98" i="6" l="1" a="1"/>
  <c r="G98" i="6" s="1"/>
  <c r="AC98" i="6" s="1"/>
  <c r="BU98" i="6" s="1"/>
  <c r="O99" i="6" a="1"/>
  <c r="O99" i="6" s="1"/>
  <c r="BR99" i="6" s="1"/>
  <c r="M100" i="6" a="1"/>
  <c r="M100" i="6" s="1"/>
  <c r="BQ100" i="6" s="1"/>
  <c r="BD96" i="6"/>
  <c r="S99" i="6"/>
  <c r="AE97" i="6"/>
  <c r="BW97" i="6" s="1"/>
  <c r="AC97" i="6"/>
  <c r="BU97" i="6" s="1"/>
  <c r="AD97" i="6"/>
  <c r="BV97" i="6" s="1"/>
  <c r="AD98" i="6"/>
  <c r="BV98" i="6" s="1"/>
  <c r="AE98" i="6"/>
  <c r="BW98" i="6" s="1"/>
  <c r="BN97" i="6"/>
  <c r="I100" i="6" a="1"/>
  <c r="I100" i="6" s="1"/>
  <c r="BO100" i="6" s="1"/>
  <c r="E98" i="6" a="1"/>
  <c r="E98" i="6" s="1"/>
  <c r="BM98" i="6" s="1"/>
  <c r="K99" i="6" a="1"/>
  <c r="K99" i="6" s="1"/>
  <c r="BP99" i="6" s="1"/>
  <c r="C99" i="6" a="1"/>
  <c r="C99" i="6" s="1"/>
  <c r="BN98" i="6" l="1"/>
  <c r="AR99" i="6"/>
  <c r="AS99" i="6"/>
  <c r="S100" i="6"/>
  <c r="G100" i="6" s="1" a="1"/>
  <c r="G100" i="6" s="1"/>
  <c r="O98" i="6" a="1"/>
  <c r="O98" i="6" s="1"/>
  <c r="M97" i="6" a="1"/>
  <c r="M97" i="6" s="1"/>
  <c r="BY99" i="6"/>
  <c r="BX99" i="6"/>
  <c r="G99" i="6" a="1"/>
  <c r="G99" i="6" s="1"/>
  <c r="AC99" i="6" s="1"/>
  <c r="BU99" i="6" s="1"/>
  <c r="AB98" i="6"/>
  <c r="BT98" i="6" s="1"/>
  <c r="AB99" i="6"/>
  <c r="BT99" i="6" s="1"/>
  <c r="AE99" i="6"/>
  <c r="BW99" i="6" s="1"/>
  <c r="E97" i="6" a="1"/>
  <c r="E97" i="6" s="1"/>
  <c r="I99" i="6" a="1"/>
  <c r="I99" i="6" s="1"/>
  <c r="BO99" i="6" s="1"/>
  <c r="K100" i="6" a="1"/>
  <c r="K100" i="6" s="1"/>
  <c r="BP100" i="6" s="1"/>
  <c r="C100" i="6" a="1"/>
  <c r="C100" i="6" s="1"/>
  <c r="AR100" i="6" l="1"/>
  <c r="AS100" i="6"/>
  <c r="S101" i="6"/>
  <c r="BQ97" i="6"/>
  <c r="AR97" i="6"/>
  <c r="BX97" i="6" s="1"/>
  <c r="BR98" i="6"/>
  <c r="AS98" i="6"/>
  <c r="BY98" i="6" s="1"/>
  <c r="M98" i="6" a="1"/>
  <c r="M98" i="6" s="1"/>
  <c r="O97" i="6" a="1"/>
  <c r="O97" i="6" s="1"/>
  <c r="BX100" i="6"/>
  <c r="BY100" i="6"/>
  <c r="BN99" i="6"/>
  <c r="BD99" i="6" s="1"/>
  <c r="BM97" i="6"/>
  <c r="AB97" i="6"/>
  <c r="BT97" i="6" s="1"/>
  <c r="AD99" i="6"/>
  <c r="BV99" i="6" s="1"/>
  <c r="AE100" i="6"/>
  <c r="BW100" i="6" s="1"/>
  <c r="AD100" i="6"/>
  <c r="BV100" i="6" s="1"/>
  <c r="AC100" i="6"/>
  <c r="BU100" i="6" s="1"/>
  <c r="AB100" i="6"/>
  <c r="BT100" i="6" s="1"/>
  <c r="BN100" i="6"/>
  <c r="BD100" i="6" s="1"/>
  <c r="I104" i="6" a="1"/>
  <c r="I104" i="6" s="1"/>
  <c r="BO104" i="6" s="1"/>
  <c r="K102" i="6" a="1"/>
  <c r="K102" i="6" s="1"/>
  <c r="BP102" i="6" s="1"/>
  <c r="C101" i="6" a="1"/>
  <c r="C101" i="6" s="1"/>
  <c r="E104" i="6" a="1"/>
  <c r="E104" i="6" s="1"/>
  <c r="BM104" i="6" s="1"/>
  <c r="S102" i="6"/>
  <c r="M102" i="6" l="1" a="1"/>
  <c r="M102" i="6" s="1"/>
  <c r="BQ102" i="6" s="1"/>
  <c r="O104" i="6" a="1"/>
  <c r="O104" i="6" s="1"/>
  <c r="BR104" i="6" s="1"/>
  <c r="BR97" i="6"/>
  <c r="AS97" i="6"/>
  <c r="BY97" i="6" s="1"/>
  <c r="BQ98" i="6"/>
  <c r="AR98" i="6"/>
  <c r="BX98" i="6" s="1"/>
  <c r="O101" i="6" a="1"/>
  <c r="O101" i="6" s="1"/>
  <c r="BR101" i="6" s="1"/>
  <c r="M103" i="6" a="1"/>
  <c r="M103" i="6" s="1"/>
  <c r="BQ103" i="6" s="1"/>
  <c r="BD97" i="6"/>
  <c r="E101" i="6" a="1"/>
  <c r="E101" i="6" s="1"/>
  <c r="BM101" i="6" s="1"/>
  <c r="C102" i="6" a="1"/>
  <c r="C102" i="6" s="1"/>
  <c r="I103" i="6" a="1"/>
  <c r="I103" i="6" s="1"/>
  <c r="BO103" i="6" s="1"/>
  <c r="K101" i="6" a="1"/>
  <c r="K101" i="6" s="1"/>
  <c r="BP101" i="6" s="1"/>
  <c r="S103" i="6"/>
  <c r="O103" i="6" l="1" a="1"/>
  <c r="O103" i="6" s="1"/>
  <c r="BR103" i="6" s="1"/>
  <c r="M101" i="6" a="1"/>
  <c r="M101" i="6" s="1"/>
  <c r="BD98" i="6"/>
  <c r="AR102" i="6"/>
  <c r="AS101" i="6"/>
  <c r="BY101" i="6" s="1"/>
  <c r="BX102" i="6"/>
  <c r="AB101" i="6"/>
  <c r="BT101" i="6" s="1"/>
  <c r="AE101" i="6"/>
  <c r="BW101" i="6" s="1"/>
  <c r="AE102" i="6"/>
  <c r="BW102" i="6" s="1"/>
  <c r="G101" i="6" a="1"/>
  <c r="G101" i="6" s="1"/>
  <c r="AC101" i="6" s="1"/>
  <c r="BU101" i="6" s="1"/>
  <c r="I102" i="6" a="1"/>
  <c r="I102" i="6" s="1"/>
  <c r="BO102" i="6" s="1"/>
  <c r="K104" i="6" a="1"/>
  <c r="K104" i="6" s="1"/>
  <c r="BP104" i="6" s="1"/>
  <c r="G103" i="6" a="1"/>
  <c r="G103" i="6" s="1"/>
  <c r="E102" i="6" a="1"/>
  <c r="E102" i="6" s="1"/>
  <c r="BM102" i="6" s="1"/>
  <c r="C103" i="6" a="1"/>
  <c r="C103" i="6" s="1"/>
  <c r="S104" i="6"/>
  <c r="O102" i="6" l="1" a="1"/>
  <c r="O102" i="6" s="1"/>
  <c r="M104" i="6" a="1"/>
  <c r="M104" i="6" s="1"/>
  <c r="BQ104" i="6" s="1"/>
  <c r="AR103" i="6"/>
  <c r="AS103" i="6"/>
  <c r="BQ101" i="6"/>
  <c r="AR101" i="6"/>
  <c r="BX101" i="6" s="1"/>
  <c r="BX103" i="6"/>
  <c r="BY103" i="6"/>
  <c r="AB102" i="6"/>
  <c r="BT102" i="6" s="1"/>
  <c r="AD102" i="6"/>
  <c r="BV102" i="6" s="1"/>
  <c r="AD103" i="6"/>
  <c r="BV103" i="6" s="1"/>
  <c r="AC103" i="6"/>
  <c r="BU103" i="6" s="1"/>
  <c r="G102" i="6" a="1"/>
  <c r="G102" i="6" s="1"/>
  <c r="AC102" i="6" s="1"/>
  <c r="BU102" i="6" s="1"/>
  <c r="BN101" i="6"/>
  <c r="BN103" i="6"/>
  <c r="G104" i="6" a="1"/>
  <c r="G104" i="6" s="1"/>
  <c r="K103" i="6" a="1"/>
  <c r="K103" i="6" s="1"/>
  <c r="BP103" i="6" s="1"/>
  <c r="I101" i="6" a="1"/>
  <c r="I101" i="6" s="1"/>
  <c r="AD101" i="6" s="1"/>
  <c r="BV101" i="6" s="1"/>
  <c r="E103" i="6" a="1"/>
  <c r="E103" i="6" s="1"/>
  <c r="BM103" i="6" s="1"/>
  <c r="C104" i="6" a="1"/>
  <c r="C104" i="6" s="1"/>
  <c r="S105" i="6"/>
  <c r="AR104" i="6" l="1"/>
  <c r="AS104" i="6"/>
  <c r="O108" i="6" a="1"/>
  <c r="O108" i="6" s="1"/>
  <c r="BR108" i="6" s="1"/>
  <c r="M106" i="6" a="1"/>
  <c r="M106" i="6" s="1"/>
  <c r="BQ106" i="6" s="1"/>
  <c r="BD101" i="6"/>
  <c r="BR102" i="6"/>
  <c r="AS102" i="6"/>
  <c r="BY102" i="6" s="1"/>
  <c r="BX104" i="6"/>
  <c r="BY104" i="6"/>
  <c r="AB103" i="6"/>
  <c r="BT103" i="6" s="1"/>
  <c r="BD103" i="6" s="1"/>
  <c r="AE103" i="6"/>
  <c r="BW103" i="6" s="1"/>
  <c r="AC104" i="6"/>
  <c r="BU104" i="6" s="1"/>
  <c r="AE104" i="6"/>
  <c r="BW104" i="6" s="1"/>
  <c r="AD104" i="6"/>
  <c r="BV104" i="6" s="1"/>
  <c r="AB104" i="6"/>
  <c r="BT104" i="6" s="1"/>
  <c r="BN102" i="6"/>
  <c r="BD102" i="6" s="1"/>
  <c r="BO101" i="6"/>
  <c r="BN104" i="6"/>
  <c r="BD104" i="6" s="1"/>
  <c r="K105" i="6" a="1"/>
  <c r="K105" i="6" s="1"/>
  <c r="BP105" i="6" s="1"/>
  <c r="C105" i="6" a="1"/>
  <c r="C105" i="6" s="1"/>
  <c r="E108" i="6" a="1"/>
  <c r="E108" i="6" s="1"/>
  <c r="BM108" i="6" s="1"/>
  <c r="I107" i="6" a="1"/>
  <c r="I107" i="6" s="1"/>
  <c r="BO107" i="6" s="1"/>
  <c r="S106" i="6"/>
  <c r="M105" i="6" l="1" a="1"/>
  <c r="M105" i="6" s="1"/>
  <c r="BQ105" i="6" s="1"/>
  <c r="O107" i="6" a="1"/>
  <c r="O107" i="6" s="1"/>
  <c r="BR107" i="6" s="1"/>
  <c r="AE105" i="6"/>
  <c r="BW105" i="6" s="1"/>
  <c r="E105" i="6" a="1"/>
  <c r="E105" i="6" s="1"/>
  <c r="BM105" i="6" s="1"/>
  <c r="I106" i="6" a="1"/>
  <c r="I106" i="6" s="1"/>
  <c r="BO106" i="6" s="1"/>
  <c r="K108" i="6" a="1"/>
  <c r="K108" i="6" s="1"/>
  <c r="BP108" i="6" s="1"/>
  <c r="C106" i="6" a="1"/>
  <c r="C106" i="6" s="1"/>
  <c r="S107" i="6"/>
  <c r="AR106" i="6" l="1"/>
  <c r="O106" i="6" a="1"/>
  <c r="O106" i="6" s="1"/>
  <c r="BR106" i="6" s="1"/>
  <c r="M108" i="6" a="1"/>
  <c r="M108" i="6" s="1"/>
  <c r="BQ108" i="6" s="1"/>
  <c r="AR105" i="6"/>
  <c r="BX105" i="6" s="1"/>
  <c r="BX106" i="6"/>
  <c r="AB105" i="6"/>
  <c r="BT105" i="6" s="1"/>
  <c r="AD106" i="6"/>
  <c r="BV106" i="6" s="1"/>
  <c r="G105" i="6" a="1"/>
  <c r="G105" i="6" s="1"/>
  <c r="AC105" i="6" s="1"/>
  <c r="BU105" i="6" s="1"/>
  <c r="K107" i="6" a="1"/>
  <c r="K107" i="6" s="1"/>
  <c r="BP107" i="6" s="1"/>
  <c r="G107" i="6" a="1"/>
  <c r="G107" i="6" s="1"/>
  <c r="I105" i="6" a="1"/>
  <c r="I105" i="6" s="1"/>
  <c r="AD105" i="6" s="1"/>
  <c r="BV105" i="6" s="1"/>
  <c r="C107" i="6" a="1"/>
  <c r="C107" i="6" s="1"/>
  <c r="E106" i="6" a="1"/>
  <c r="E106" i="6" s="1"/>
  <c r="BM106" i="6" s="1"/>
  <c r="S108" i="6"/>
  <c r="O105" i="6" l="1" a="1"/>
  <c r="O105" i="6" s="1"/>
  <c r="M107" i="6" a="1"/>
  <c r="M107" i="6" s="1"/>
  <c r="BQ107" i="6" s="1"/>
  <c r="AS107" i="6"/>
  <c r="AS106" i="6"/>
  <c r="BY106" i="6" s="1"/>
  <c r="BY107" i="6"/>
  <c r="AB106" i="6"/>
  <c r="BT106" i="6" s="1"/>
  <c r="AD107" i="6"/>
  <c r="BV107" i="6" s="1"/>
  <c r="AE107" i="6"/>
  <c r="BW107" i="6" s="1"/>
  <c r="AC107" i="6"/>
  <c r="BU107" i="6" s="1"/>
  <c r="G106" i="6" a="1"/>
  <c r="G106" i="6" s="1"/>
  <c r="AC106" i="6" s="1"/>
  <c r="BU106" i="6" s="1"/>
  <c r="BN105" i="6"/>
  <c r="BO105" i="6"/>
  <c r="BN107" i="6"/>
  <c r="I108" i="6" a="1"/>
  <c r="I108" i="6" s="1"/>
  <c r="BO108" i="6" s="1"/>
  <c r="C108" i="6" a="1"/>
  <c r="C108" i="6" s="1"/>
  <c r="K106" i="6" a="1"/>
  <c r="K106" i="6" s="1"/>
  <c r="AE106" i="6" s="1"/>
  <c r="BW106" i="6" s="1"/>
  <c r="E107" i="6" a="1"/>
  <c r="E107" i="6" s="1"/>
  <c r="BM107" i="6" s="1"/>
  <c r="G108" i="6" a="1"/>
  <c r="G108" i="6" s="1"/>
  <c r="S109" i="6"/>
  <c r="O111" i="6" l="1" a="1"/>
  <c r="O111" i="6" s="1"/>
  <c r="BR111" i="6" s="1"/>
  <c r="M109" i="6" a="1"/>
  <c r="M109" i="6" s="1"/>
  <c r="BQ109" i="6" s="1"/>
  <c r="AS108" i="6"/>
  <c r="AR108" i="6"/>
  <c r="AR107" i="6"/>
  <c r="BX107" i="6" s="1"/>
  <c r="BR105" i="6"/>
  <c r="BD105" i="6" s="1"/>
  <c r="AS105" i="6"/>
  <c r="BY105" i="6" s="1"/>
  <c r="BX108" i="6"/>
  <c r="BY108" i="6"/>
  <c r="AB107" i="6"/>
  <c r="BT107" i="6" s="1"/>
  <c r="BD107" i="6" s="1"/>
  <c r="AC108" i="6"/>
  <c r="BU108" i="6" s="1"/>
  <c r="AB108" i="6"/>
  <c r="BT108" i="6" s="1"/>
  <c r="AE108" i="6"/>
  <c r="BW108" i="6" s="1"/>
  <c r="AD108" i="6"/>
  <c r="BV108" i="6" s="1"/>
  <c r="BP106" i="6"/>
  <c r="BN106" i="6"/>
  <c r="BD106" i="6" s="1"/>
  <c r="BN108" i="6"/>
  <c r="E112" i="6" a="1"/>
  <c r="E112" i="6" s="1"/>
  <c r="BM112" i="6" s="1"/>
  <c r="K112" i="6" a="1"/>
  <c r="K112" i="6" s="1"/>
  <c r="BP112" i="6" s="1"/>
  <c r="C109" i="6" a="1"/>
  <c r="C109" i="6" s="1"/>
  <c r="I110" i="6" a="1"/>
  <c r="I110" i="6" s="1"/>
  <c r="BO110" i="6" s="1"/>
  <c r="S110" i="6"/>
  <c r="O110" i="6" l="1" a="1"/>
  <c r="O110" i="6" s="1"/>
  <c r="BR110" i="6" s="1"/>
  <c r="M112" i="6" a="1"/>
  <c r="M112" i="6" s="1"/>
  <c r="BQ112" i="6" s="1"/>
  <c r="AR109" i="6"/>
  <c r="BD108" i="6"/>
  <c r="BX109" i="6"/>
  <c r="C110" i="6" a="1"/>
  <c r="C110" i="6" s="1"/>
  <c r="K111" i="6" a="1"/>
  <c r="K111" i="6" s="1"/>
  <c r="BP111" i="6" s="1"/>
  <c r="E109" i="6" a="1"/>
  <c r="E109" i="6" s="1"/>
  <c r="BM109" i="6" s="1"/>
  <c r="I109" i="6" a="1"/>
  <c r="I109" i="6" s="1"/>
  <c r="BO109" i="6" s="1"/>
  <c r="S111" i="6"/>
  <c r="M111" i="6" l="1" a="1"/>
  <c r="M111" i="6" s="1"/>
  <c r="BQ111" i="6" s="1"/>
  <c r="O109" i="6" a="1"/>
  <c r="O109" i="6" s="1"/>
  <c r="AS110" i="6"/>
  <c r="BY110" i="6"/>
  <c r="AB109" i="6"/>
  <c r="BT109" i="6" s="1"/>
  <c r="AD109" i="6"/>
  <c r="BV109" i="6" s="1"/>
  <c r="AD110" i="6"/>
  <c r="BV110" i="6" s="1"/>
  <c r="G109" i="6" a="1"/>
  <c r="G109" i="6" s="1"/>
  <c r="AC109" i="6" s="1"/>
  <c r="BU109" i="6" s="1"/>
  <c r="C111" i="6" a="1"/>
  <c r="C111" i="6" s="1"/>
  <c r="I112" i="6" a="1"/>
  <c r="I112" i="6" s="1"/>
  <c r="BO112" i="6" s="1"/>
  <c r="K110" i="6" a="1"/>
  <c r="K110" i="6" s="1"/>
  <c r="BP110" i="6" s="1"/>
  <c r="E110" i="6" a="1"/>
  <c r="E110" i="6" s="1"/>
  <c r="BM110" i="6" s="1"/>
  <c r="G111" i="6" a="1"/>
  <c r="G111" i="6" s="1"/>
  <c r="S112" i="6"/>
  <c r="AR111" i="6" l="1"/>
  <c r="AS111" i="6"/>
  <c r="M110" i="6" a="1"/>
  <c r="M110" i="6" s="1"/>
  <c r="O112" i="6" a="1"/>
  <c r="O112" i="6" s="1"/>
  <c r="BR112" i="6" s="1"/>
  <c r="BR109" i="6"/>
  <c r="AS109" i="6"/>
  <c r="BY109" i="6" s="1"/>
  <c r="BY111" i="6"/>
  <c r="BX111" i="6"/>
  <c r="AE110" i="6"/>
  <c r="BW110" i="6" s="1"/>
  <c r="AB110" i="6"/>
  <c r="BT110" i="6" s="1"/>
  <c r="AE111" i="6"/>
  <c r="BW111" i="6" s="1"/>
  <c r="AC111" i="6"/>
  <c r="BU111" i="6" s="1"/>
  <c r="G110" i="6" a="1"/>
  <c r="G110" i="6" s="1"/>
  <c r="AC110" i="6" s="1"/>
  <c r="BU110" i="6" s="1"/>
  <c r="BN109" i="6"/>
  <c r="BN111" i="6"/>
  <c r="G112" i="6" a="1"/>
  <c r="G112" i="6" s="1"/>
  <c r="I111" i="6" a="1"/>
  <c r="I111" i="6" s="1"/>
  <c r="BO111" i="6" s="1"/>
  <c r="E111" i="6" a="1"/>
  <c r="E111" i="6" s="1"/>
  <c r="BM111" i="6" s="1"/>
  <c r="C112" i="6" a="1"/>
  <c r="C112" i="6" s="1"/>
  <c r="K109" i="6" a="1"/>
  <c r="K109" i="6" s="1"/>
  <c r="AE109" i="6" s="1"/>
  <c r="BW109" i="6" s="1"/>
  <c r="S113" i="6"/>
  <c r="AR112" i="6" l="1"/>
  <c r="AS112" i="6"/>
  <c r="M114" i="6" a="1"/>
  <c r="M114" i="6" s="1"/>
  <c r="BQ114" i="6" s="1"/>
  <c r="O116" i="6" a="1"/>
  <c r="O116" i="6" s="1"/>
  <c r="BR116" i="6" s="1"/>
  <c r="BQ110" i="6"/>
  <c r="AR110" i="6"/>
  <c r="BX110" i="6" s="1"/>
  <c r="BD109" i="6"/>
  <c r="BX112" i="6"/>
  <c r="BY112" i="6"/>
  <c r="AB111" i="6"/>
  <c r="BT111" i="6" s="1"/>
  <c r="BD111" i="6" s="1"/>
  <c r="AD111" i="6"/>
  <c r="BV111" i="6" s="1"/>
  <c r="AE112" i="6"/>
  <c r="BW112" i="6" s="1"/>
  <c r="AC112" i="6"/>
  <c r="BU112" i="6" s="1"/>
  <c r="AD112" i="6"/>
  <c r="BV112" i="6" s="1"/>
  <c r="AB112" i="6"/>
  <c r="BT112" i="6" s="1"/>
  <c r="BP109" i="6"/>
  <c r="BN110" i="6"/>
  <c r="BD110" i="6" s="1"/>
  <c r="BN112" i="6"/>
  <c r="K113" i="6" a="1"/>
  <c r="K113" i="6" s="1"/>
  <c r="BP113" i="6" s="1"/>
  <c r="I115" i="6" a="1"/>
  <c r="I115" i="6" s="1"/>
  <c r="BO115" i="6" s="1"/>
  <c r="E116" i="6" a="1"/>
  <c r="E116" i="6" s="1"/>
  <c r="BM116" i="6" s="1"/>
  <c r="C113" i="6" a="1"/>
  <c r="C113" i="6" s="1"/>
  <c r="S114" i="6"/>
  <c r="O115" i="6" l="1" a="1"/>
  <c r="O115" i="6" s="1"/>
  <c r="BR115" i="6" s="1"/>
  <c r="M113" i="6" a="1"/>
  <c r="M113" i="6" s="1"/>
  <c r="BQ113" i="6" s="1"/>
  <c r="BD112" i="6"/>
  <c r="AE113" i="6"/>
  <c r="BW113" i="6" s="1"/>
  <c r="C114" i="6" a="1"/>
  <c r="C114" i="6" s="1"/>
  <c r="I114" i="6" a="1"/>
  <c r="I114" i="6" s="1"/>
  <c r="BO114" i="6" s="1"/>
  <c r="E113" i="6" a="1"/>
  <c r="E113" i="6" s="1"/>
  <c r="BM113" i="6" s="1"/>
  <c r="K116" i="6" a="1"/>
  <c r="K116" i="6" s="1"/>
  <c r="BP116" i="6" s="1"/>
  <c r="S115" i="6"/>
  <c r="M116" i="6" l="1" a="1"/>
  <c r="M116" i="6" s="1"/>
  <c r="BQ116" i="6" s="1"/>
  <c r="O114" i="6" a="1"/>
  <c r="O114" i="6" s="1"/>
  <c r="BR114" i="6" s="1"/>
  <c r="AR113" i="6"/>
  <c r="BX113" i="6" s="1"/>
  <c r="AR114" i="6"/>
  <c r="BX114" i="6"/>
  <c r="AB113" i="6"/>
  <c r="BT113" i="6" s="1"/>
  <c r="AD114" i="6"/>
  <c r="BV114" i="6" s="1"/>
  <c r="G113" i="6" a="1"/>
  <c r="G113" i="6" s="1"/>
  <c r="AC113" i="6" s="1"/>
  <c r="BU113" i="6" s="1"/>
  <c r="G115" i="6" a="1"/>
  <c r="G115" i="6" s="1"/>
  <c r="E114" i="6" a="1"/>
  <c r="E114" i="6" s="1"/>
  <c r="BM114" i="6" s="1"/>
  <c r="K115" i="6" a="1"/>
  <c r="K115" i="6" s="1"/>
  <c r="BP115" i="6" s="1"/>
  <c r="C115" i="6" a="1"/>
  <c r="C115" i="6" s="1"/>
  <c r="I113" i="6" a="1"/>
  <c r="I113" i="6" s="1"/>
  <c r="AD113" i="6" s="1"/>
  <c r="BV113" i="6" s="1"/>
  <c r="S116" i="6"/>
  <c r="AS115" i="6" l="1"/>
  <c r="O113" i="6" a="1"/>
  <c r="O113" i="6" s="1"/>
  <c r="M115" i="6" a="1"/>
  <c r="M115" i="6" s="1"/>
  <c r="BQ115" i="6" s="1"/>
  <c r="AS114" i="6"/>
  <c r="BY114" i="6" s="1"/>
  <c r="BY115" i="6"/>
  <c r="AB114" i="6"/>
  <c r="BT114" i="6" s="1"/>
  <c r="AE115" i="6"/>
  <c r="BW115" i="6" s="1"/>
  <c r="AC115" i="6"/>
  <c r="BU115" i="6" s="1"/>
  <c r="AD115" i="6"/>
  <c r="BV115" i="6" s="1"/>
  <c r="BO113" i="6"/>
  <c r="G114" i="6" a="1"/>
  <c r="G114" i="6" s="1"/>
  <c r="AC114" i="6" s="1"/>
  <c r="BU114" i="6" s="1"/>
  <c r="BN113" i="6"/>
  <c r="BN115" i="6"/>
  <c r="K114" i="6" a="1"/>
  <c r="K114" i="6" s="1"/>
  <c r="AE114" i="6" s="1"/>
  <c r="BW114" i="6" s="1"/>
  <c r="E115" i="6" a="1"/>
  <c r="E115" i="6" s="1"/>
  <c r="BM115" i="6" s="1"/>
  <c r="I116" i="6" a="1"/>
  <c r="I116" i="6" s="1"/>
  <c r="BO116" i="6" s="1"/>
  <c r="C116" i="6" a="1"/>
  <c r="C116" i="6" s="1"/>
  <c r="G116" i="6" a="1"/>
  <c r="G116" i="6" s="1"/>
  <c r="S117" i="6"/>
  <c r="AR116" i="6" l="1"/>
  <c r="AS116" i="6"/>
  <c r="BR113" i="6"/>
  <c r="AS113" i="6"/>
  <c r="BY113" i="6" s="1"/>
  <c r="M117" i="6" a="1"/>
  <c r="M117" i="6" s="1"/>
  <c r="BQ117" i="6" s="1"/>
  <c r="O119" i="6" a="1"/>
  <c r="O119" i="6" s="1"/>
  <c r="BR119" i="6" s="1"/>
  <c r="BD113" i="6"/>
  <c r="AR115" i="6"/>
  <c r="BX115" i="6" s="1"/>
  <c r="BX116" i="6"/>
  <c r="BY116" i="6"/>
  <c r="AB115" i="6"/>
  <c r="BT115" i="6" s="1"/>
  <c r="BD115" i="6" s="1"/>
  <c r="AB116" i="6"/>
  <c r="BT116" i="6" s="1"/>
  <c r="AE116" i="6"/>
  <c r="BW116" i="6" s="1"/>
  <c r="AC116" i="6"/>
  <c r="BU116" i="6" s="1"/>
  <c r="AD116" i="6"/>
  <c r="BV116" i="6" s="1"/>
  <c r="BN114" i="6"/>
  <c r="BD114" i="6" s="1"/>
  <c r="BP114" i="6"/>
  <c r="BN116" i="6"/>
  <c r="E120" i="6" a="1"/>
  <c r="E120" i="6" s="1"/>
  <c r="BM120" i="6" s="1"/>
  <c r="K120" i="6" a="1"/>
  <c r="K120" i="6" s="1"/>
  <c r="BP120" i="6" s="1"/>
  <c r="I118" i="6" a="1"/>
  <c r="I118" i="6" s="1"/>
  <c r="BO118" i="6" s="1"/>
  <c r="C117" i="6" a="1"/>
  <c r="C117" i="6" s="1"/>
  <c r="S118" i="6"/>
  <c r="M120" i="6" l="1" a="1"/>
  <c r="M120" i="6" s="1"/>
  <c r="BQ120" i="6" s="1"/>
  <c r="O118" i="6" a="1"/>
  <c r="O118" i="6" s="1"/>
  <c r="BR118" i="6" s="1"/>
  <c r="AR117" i="6"/>
  <c r="BD116" i="6"/>
  <c r="BX117" i="6"/>
  <c r="E117" i="6" a="1"/>
  <c r="E117" i="6" s="1"/>
  <c r="BM117" i="6" s="1"/>
  <c r="C118" i="6" a="1"/>
  <c r="C118" i="6" s="1"/>
  <c r="I117" i="6" a="1"/>
  <c r="I117" i="6" s="1"/>
  <c r="BO117" i="6" s="1"/>
  <c r="K119" i="6" a="1"/>
  <c r="K119" i="6" s="1"/>
  <c r="BP119" i="6" s="1"/>
  <c r="S119" i="6"/>
  <c r="AS118" i="6" l="1"/>
  <c r="G117" i="6" a="1"/>
  <c r="G117" i="6" s="1"/>
  <c r="AC117" i="6" s="1"/>
  <c r="BU117" i="6" s="1"/>
  <c r="M119" i="6" a="1"/>
  <c r="M119" i="6" s="1"/>
  <c r="BQ119" i="6" s="1"/>
  <c r="O117" i="6" a="1"/>
  <c r="O117" i="6" s="1"/>
  <c r="BY118" i="6"/>
  <c r="AD117" i="6"/>
  <c r="BV117" i="6" s="1"/>
  <c r="AB117" i="6"/>
  <c r="BT117" i="6" s="1"/>
  <c r="AD118" i="6"/>
  <c r="BV118" i="6" s="1"/>
  <c r="G119" i="6" a="1"/>
  <c r="G119" i="6" s="1"/>
  <c r="I120" i="6" a="1"/>
  <c r="I120" i="6" s="1"/>
  <c r="BO120" i="6" s="1"/>
  <c r="K118" i="6" a="1"/>
  <c r="K118" i="6" s="1"/>
  <c r="BP118" i="6" s="1"/>
  <c r="C119" i="6" a="1"/>
  <c r="C119" i="6" s="1"/>
  <c r="E118" i="6" a="1"/>
  <c r="E118" i="6" s="1"/>
  <c r="BM118" i="6" s="1"/>
  <c r="S120" i="6"/>
  <c r="AR119" i="6" l="1"/>
  <c r="AS119" i="6"/>
  <c r="BN117" i="6"/>
  <c r="O120" i="6" a="1"/>
  <c r="O120" i="6" s="1"/>
  <c r="BR120" i="6" s="1"/>
  <c r="M118" i="6" a="1"/>
  <c r="M118" i="6" s="1"/>
  <c r="BR117" i="6"/>
  <c r="AS117" i="6"/>
  <c r="BY117" i="6" s="1"/>
  <c r="BY119" i="6"/>
  <c r="BX119" i="6"/>
  <c r="AE118" i="6"/>
  <c r="BW118" i="6" s="1"/>
  <c r="AB118" i="6"/>
  <c r="BT118" i="6" s="1"/>
  <c r="AC119" i="6"/>
  <c r="BU119" i="6" s="1"/>
  <c r="AE119" i="6"/>
  <c r="BW119" i="6" s="1"/>
  <c r="S121" i="6"/>
  <c r="G118" i="6" a="1"/>
  <c r="G118" i="6" s="1"/>
  <c r="AC118" i="6" s="1"/>
  <c r="BU118" i="6" s="1"/>
  <c r="BN119" i="6"/>
  <c r="K117" i="6" a="1"/>
  <c r="K117" i="6" s="1"/>
  <c r="AE117" i="6" s="1"/>
  <c r="BW117" i="6" s="1"/>
  <c r="G120" i="6" a="1"/>
  <c r="G120" i="6" s="1"/>
  <c r="I119" i="6" a="1"/>
  <c r="I119" i="6" s="1"/>
  <c r="BO119" i="6" s="1"/>
  <c r="C120" i="6" a="1"/>
  <c r="C120" i="6" s="1"/>
  <c r="E119" i="6" a="1"/>
  <c r="E119" i="6" s="1"/>
  <c r="BM119" i="6" s="1"/>
  <c r="BQ118" i="6" l="1"/>
  <c r="AR118" i="6"/>
  <c r="BX118" i="6" s="1"/>
  <c r="AR120" i="6"/>
  <c r="AS120" i="6"/>
  <c r="M123" i="6" a="1"/>
  <c r="M123" i="6" s="1"/>
  <c r="BQ123" i="6" s="1"/>
  <c r="O124" i="6" a="1"/>
  <c r="O124" i="6" s="1"/>
  <c r="BR124" i="6" s="1"/>
  <c r="BX120" i="6"/>
  <c r="BY120" i="6"/>
  <c r="AB119" i="6"/>
  <c r="BT119" i="6" s="1"/>
  <c r="BD119" i="6" s="1"/>
  <c r="AD119" i="6"/>
  <c r="BV119" i="6" s="1"/>
  <c r="AC120" i="6"/>
  <c r="BU120" i="6" s="1"/>
  <c r="AB120" i="6"/>
  <c r="BT120" i="6" s="1"/>
  <c r="AE120" i="6"/>
  <c r="BW120" i="6" s="1"/>
  <c r="AD120" i="6"/>
  <c r="BV120" i="6" s="1"/>
  <c r="BN118" i="6"/>
  <c r="BD118" i="6" s="1"/>
  <c r="K122" i="6" a="1"/>
  <c r="K122" i="6" s="1"/>
  <c r="BP122" i="6" s="1"/>
  <c r="G121" i="6" a="1"/>
  <c r="G121" i="6" s="1"/>
  <c r="BN121" i="6" s="1"/>
  <c r="I121" i="6" a="1"/>
  <c r="I121" i="6" s="1"/>
  <c r="BO121" i="6" s="1"/>
  <c r="E123" i="6" a="1"/>
  <c r="E123" i="6" s="1"/>
  <c r="BM123" i="6" s="1"/>
  <c r="C121" i="6" a="1"/>
  <c r="C121" i="6" s="1"/>
  <c r="S122" i="6"/>
  <c r="BP117" i="6"/>
  <c r="BD117" i="6" s="1"/>
  <c r="BN120" i="6"/>
  <c r="BD120" i="6" s="1"/>
  <c r="O123" i="6" l="1" a="1"/>
  <c r="O123" i="6" s="1"/>
  <c r="BR123" i="6" s="1"/>
  <c r="M124" i="6" a="1"/>
  <c r="M124" i="6" s="1"/>
  <c r="BQ124" i="6" s="1"/>
  <c r="AC121" i="6"/>
  <c r="BU121" i="6" s="1"/>
  <c r="AD121" i="6"/>
  <c r="BV121" i="6" s="1"/>
  <c r="G122" i="6" a="1"/>
  <c r="G122" i="6" s="1"/>
  <c r="BN122" i="6" s="1"/>
  <c r="E124" i="6" a="1"/>
  <c r="E124" i="6" s="1"/>
  <c r="BM124" i="6" s="1"/>
  <c r="I122" i="6" a="1"/>
  <c r="I122" i="6" s="1"/>
  <c r="BO122" i="6" s="1"/>
  <c r="K121" i="6" a="1"/>
  <c r="K121" i="6" s="1"/>
  <c r="BP121" i="6" s="1"/>
  <c r="C122" i="6" a="1"/>
  <c r="C122" i="6" s="1"/>
  <c r="S123" i="6"/>
  <c r="M121" i="6" l="1" a="1"/>
  <c r="M121" i="6" s="1"/>
  <c r="O122" i="6" a="1"/>
  <c r="O122" i="6" s="1"/>
  <c r="BR122" i="6" s="1"/>
  <c r="AE121" i="6"/>
  <c r="BW121" i="6" s="1"/>
  <c r="AC122" i="6"/>
  <c r="BU122" i="6" s="1"/>
  <c r="AE122" i="6"/>
  <c r="BW122" i="6" s="1"/>
  <c r="AD122" i="6"/>
  <c r="BV122" i="6" s="1"/>
  <c r="I124" i="6" a="1"/>
  <c r="I124" i="6" s="1"/>
  <c r="BO124" i="6" s="1"/>
  <c r="E122" i="6" a="1"/>
  <c r="E122" i="6" s="1"/>
  <c r="BM122" i="6" s="1"/>
  <c r="G123" i="6" a="1"/>
  <c r="G123" i="6" s="1"/>
  <c r="BN123" i="6" s="1"/>
  <c r="K123" i="6" a="1"/>
  <c r="K123" i="6" s="1"/>
  <c r="BP123" i="6" s="1"/>
  <c r="C123" i="6" a="1"/>
  <c r="C123" i="6" s="1"/>
  <c r="S124" i="6"/>
  <c r="M122" i="6" l="1" a="1"/>
  <c r="M122" i="6" s="1"/>
  <c r="O121" i="6" a="1"/>
  <c r="O121" i="6" s="1"/>
  <c r="AS122" i="6"/>
  <c r="BY122" i="6" s="1"/>
  <c r="AS123" i="6"/>
  <c r="AR123" i="6"/>
  <c r="BQ121" i="6"/>
  <c r="AR121" i="6"/>
  <c r="BX121" i="6" s="1"/>
  <c r="BY123" i="6"/>
  <c r="BX123" i="6"/>
  <c r="AB122" i="6"/>
  <c r="BT122" i="6" s="1"/>
  <c r="AE123" i="6"/>
  <c r="BW123" i="6" s="1"/>
  <c r="AC123" i="6"/>
  <c r="BU123" i="6" s="1"/>
  <c r="AB123" i="6"/>
  <c r="BT123" i="6" s="1"/>
  <c r="G124" i="6" a="1"/>
  <c r="G124" i="6" s="1"/>
  <c r="BN124" i="6" s="1"/>
  <c r="K124" i="6" a="1"/>
  <c r="K124" i="6" s="1"/>
  <c r="BP124" i="6" s="1"/>
  <c r="I123" i="6" a="1"/>
  <c r="I123" i="6" s="1"/>
  <c r="BO123" i="6" s="1"/>
  <c r="C124" i="6" a="1"/>
  <c r="C124" i="6" s="1"/>
  <c r="E121" i="6" a="1"/>
  <c r="E121" i="6" s="1"/>
  <c r="S125" i="6"/>
  <c r="O128" i="6" l="1" a="1"/>
  <c r="O128" i="6" s="1"/>
  <c r="BR128" i="6" s="1"/>
  <c r="M127" i="6" a="1"/>
  <c r="M127" i="6" s="1"/>
  <c r="BQ127" i="6" s="1"/>
  <c r="BR121" i="6"/>
  <c r="AS121" i="6"/>
  <c r="BY121" i="6" s="1"/>
  <c r="BQ122" i="6"/>
  <c r="BD122" i="6" s="1"/>
  <c r="AR122" i="6"/>
  <c r="BX122" i="6" s="1"/>
  <c r="AR124" i="6"/>
  <c r="BX124" i="6" s="1"/>
  <c r="AS124" i="6"/>
  <c r="BY124" i="6"/>
  <c r="BM121" i="6"/>
  <c r="AB121" i="6"/>
  <c r="BT121" i="6" s="1"/>
  <c r="AD123" i="6"/>
  <c r="BV123" i="6" s="1"/>
  <c r="BD123" i="6" s="1"/>
  <c r="AC124" i="6"/>
  <c r="BU124" i="6" s="1"/>
  <c r="BD124" i="6" s="1"/>
  <c r="AB124" i="6"/>
  <c r="BT124" i="6" s="1"/>
  <c r="AD124" i="6"/>
  <c r="BV124" i="6" s="1"/>
  <c r="AE124" i="6"/>
  <c r="BW124" i="6" s="1"/>
  <c r="K126" i="6" a="1"/>
  <c r="K126" i="6" s="1"/>
  <c r="BP126" i="6" s="1"/>
  <c r="G125" i="6" a="1"/>
  <c r="G125" i="6" s="1"/>
  <c r="BN125" i="6" s="1"/>
  <c r="I125" i="6" a="1"/>
  <c r="I125" i="6" s="1"/>
  <c r="BO125" i="6" s="1"/>
  <c r="E127" i="6" a="1"/>
  <c r="E127" i="6" s="1"/>
  <c r="BM127" i="6" s="1"/>
  <c r="C125" i="6" a="1"/>
  <c r="C125" i="6" s="1"/>
  <c r="S126" i="6"/>
  <c r="M128" i="6" l="1" a="1"/>
  <c r="M128" i="6" s="1"/>
  <c r="BQ128" i="6" s="1"/>
  <c r="O127" i="6" a="1"/>
  <c r="O127" i="6" s="1"/>
  <c r="BR127" i="6" s="1"/>
  <c r="BD121" i="6"/>
  <c r="AD125" i="6"/>
  <c r="BV125" i="6" s="1"/>
  <c r="AC125" i="6"/>
  <c r="BU125" i="6" s="1"/>
  <c r="E128" i="6" a="1"/>
  <c r="E128" i="6" s="1"/>
  <c r="BM128" i="6" s="1"/>
  <c r="I126" i="6" a="1"/>
  <c r="I126" i="6" s="1"/>
  <c r="BO126" i="6" s="1"/>
  <c r="G126" i="6" a="1"/>
  <c r="G126" i="6" s="1"/>
  <c r="BN126" i="6" s="1"/>
  <c r="K125" i="6" a="1"/>
  <c r="K125" i="6" s="1"/>
  <c r="BP125" i="6" s="1"/>
  <c r="C126" i="6" a="1"/>
  <c r="C126" i="6" s="1"/>
  <c r="S127" i="6"/>
  <c r="M125" i="6" l="1" a="1"/>
  <c r="M125" i="6" s="1"/>
  <c r="O126" i="6" a="1"/>
  <c r="O126" i="6" s="1"/>
  <c r="BR126" i="6" s="1"/>
  <c r="AE125" i="6"/>
  <c r="BW125" i="6" s="1"/>
  <c r="AD126" i="6"/>
  <c r="BV126" i="6" s="1"/>
  <c r="AE126" i="6"/>
  <c r="BW126" i="6" s="1"/>
  <c r="AC126" i="6"/>
  <c r="BU126" i="6" s="1"/>
  <c r="I128" i="6" a="1"/>
  <c r="I128" i="6" s="1"/>
  <c r="BO128" i="6" s="1"/>
  <c r="G127" i="6" a="1"/>
  <c r="G127" i="6" s="1"/>
  <c r="BN127" i="6" s="1"/>
  <c r="C127" i="6" a="1"/>
  <c r="C127" i="6" s="1"/>
  <c r="E126" i="6" a="1"/>
  <c r="E126" i="6" s="1"/>
  <c r="BM126" i="6" s="1"/>
  <c r="K127" i="6" a="1"/>
  <c r="K127" i="6" s="1"/>
  <c r="BP127" i="6" s="1"/>
  <c r="S128" i="6"/>
  <c r="AS127" i="6" l="1"/>
  <c r="AR127" i="6"/>
  <c r="O125" i="6" a="1"/>
  <c r="O125" i="6" s="1"/>
  <c r="M126" i="6" a="1"/>
  <c r="M126" i="6" s="1"/>
  <c r="AS126" i="6"/>
  <c r="BY126" i="6" s="1"/>
  <c r="BQ125" i="6"/>
  <c r="AR125" i="6"/>
  <c r="BX125" i="6" s="1"/>
  <c r="BX127" i="6"/>
  <c r="BY127" i="6"/>
  <c r="AB126" i="6"/>
  <c r="BT126" i="6" s="1"/>
  <c r="AB127" i="6"/>
  <c r="BT127" i="6" s="1"/>
  <c r="AE127" i="6"/>
  <c r="BW127" i="6" s="1"/>
  <c r="AC127" i="6"/>
  <c r="BU127" i="6" s="1"/>
  <c r="K128" i="6" a="1"/>
  <c r="K128" i="6" s="1"/>
  <c r="BP128" i="6" s="1"/>
  <c r="G128" i="6" a="1"/>
  <c r="G128" i="6" s="1"/>
  <c r="BN128" i="6" s="1"/>
  <c r="I127" i="6" a="1"/>
  <c r="I127" i="6" s="1"/>
  <c r="BO127" i="6" s="1"/>
  <c r="C128" i="6" a="1"/>
  <c r="C128" i="6" s="1"/>
  <c r="E125" i="6" a="1"/>
  <c r="E125" i="6" s="1"/>
  <c r="S129" i="6"/>
  <c r="O131" i="6" l="1" a="1"/>
  <c r="O131" i="6" s="1"/>
  <c r="BR131" i="6" s="1"/>
  <c r="M129" i="6" a="1"/>
  <c r="M129" i="6" s="1"/>
  <c r="BQ129" i="6" s="1"/>
  <c r="AR128" i="6"/>
  <c r="AS128" i="6"/>
  <c r="BR125" i="6"/>
  <c r="AS125" i="6"/>
  <c r="BY125" i="6" s="1"/>
  <c r="BQ126" i="6"/>
  <c r="BD126" i="6" s="1"/>
  <c r="AR126" i="6"/>
  <c r="BX126" i="6" s="1"/>
  <c r="BX128" i="6"/>
  <c r="BD128" i="6" s="1"/>
  <c r="BY128" i="6"/>
  <c r="BM125" i="6"/>
  <c r="AB125" i="6"/>
  <c r="BT125" i="6" s="1"/>
  <c r="AD127" i="6"/>
  <c r="BV127" i="6" s="1"/>
  <c r="BD127" i="6" s="1"/>
  <c r="AC128" i="6"/>
  <c r="BU128" i="6" s="1"/>
  <c r="AE128" i="6"/>
  <c r="BW128" i="6" s="1"/>
  <c r="AB128" i="6"/>
  <c r="BT128" i="6" s="1"/>
  <c r="AD128" i="6"/>
  <c r="BV128" i="6" s="1"/>
  <c r="E132" i="6" a="1"/>
  <c r="E132" i="6" s="1"/>
  <c r="BM132" i="6" s="1"/>
  <c r="C129" i="6" a="1"/>
  <c r="C129" i="6" s="1"/>
  <c r="I130" i="6" a="1"/>
  <c r="I130" i="6" s="1"/>
  <c r="BO130" i="6" s="1"/>
  <c r="K132" i="6" a="1"/>
  <c r="K132" i="6" s="1"/>
  <c r="BP132" i="6" s="1"/>
  <c r="S130" i="6"/>
  <c r="O130" i="6" l="1" a="1"/>
  <c r="O130" i="6" s="1"/>
  <c r="BR130" i="6" s="1"/>
  <c r="M132" i="6" a="1"/>
  <c r="M132" i="6" s="1"/>
  <c r="BQ132" i="6" s="1"/>
  <c r="AR129" i="6"/>
  <c r="BD125" i="6"/>
  <c r="BX129" i="6"/>
  <c r="C130" i="6" a="1"/>
  <c r="C130" i="6" s="1"/>
  <c r="I129" i="6" a="1"/>
  <c r="I129" i="6" s="1"/>
  <c r="BO129" i="6" s="1"/>
  <c r="E129" i="6" a="1"/>
  <c r="E129" i="6" s="1"/>
  <c r="BM129" i="6" s="1"/>
  <c r="K131" i="6" a="1"/>
  <c r="K131" i="6" s="1"/>
  <c r="BP131" i="6" s="1"/>
  <c r="S131" i="6"/>
  <c r="O129" i="6" l="1" a="1"/>
  <c r="O129" i="6" s="1"/>
  <c r="M131" i="6" a="1"/>
  <c r="M131" i="6" s="1"/>
  <c r="BQ131" i="6" s="1"/>
  <c r="AS130" i="6"/>
  <c r="BY130" i="6"/>
  <c r="AD129" i="6"/>
  <c r="BV129" i="6" s="1"/>
  <c r="AB129" i="6"/>
  <c r="BT129" i="6" s="1"/>
  <c r="AD130" i="6"/>
  <c r="BV130" i="6" s="1"/>
  <c r="K130" i="6" a="1"/>
  <c r="K130" i="6" s="1"/>
  <c r="BP130" i="6" s="1"/>
  <c r="E130" i="6" a="1"/>
  <c r="E130" i="6" s="1"/>
  <c r="BM130" i="6" s="1"/>
  <c r="G131" i="6" a="1"/>
  <c r="G131" i="6" s="1"/>
  <c r="BN131" i="6" s="1"/>
  <c r="I132" i="6" a="1"/>
  <c r="I132" i="6" s="1"/>
  <c r="BO132" i="6" s="1"/>
  <c r="C131" i="6" a="1"/>
  <c r="C131" i="6" s="1"/>
  <c r="S132" i="6"/>
  <c r="G129" i="6" a="1"/>
  <c r="G129" i="6" s="1"/>
  <c r="AC129" i="6" s="1"/>
  <c r="BU129" i="6" s="1"/>
  <c r="AS131" i="6" l="1"/>
  <c r="AR131" i="6"/>
  <c r="M130" i="6" a="1"/>
  <c r="M130" i="6" s="1"/>
  <c r="O132" i="6" a="1"/>
  <c r="O132" i="6" s="1"/>
  <c r="BR132" i="6" s="1"/>
  <c r="BR129" i="6"/>
  <c r="AS129" i="6"/>
  <c r="BY129" i="6" s="1"/>
  <c r="BY131" i="6"/>
  <c r="BX131" i="6"/>
  <c r="AB130" i="6"/>
  <c r="BT130" i="6" s="1"/>
  <c r="AE130" i="6"/>
  <c r="BW130" i="6" s="1"/>
  <c r="AE131" i="6"/>
  <c r="BW131" i="6" s="1"/>
  <c r="AC131" i="6"/>
  <c r="BU131" i="6" s="1"/>
  <c r="BN129" i="6"/>
  <c r="E131" i="6" a="1"/>
  <c r="E131" i="6" s="1"/>
  <c r="BM131" i="6" s="1"/>
  <c r="G132" i="6" a="1"/>
  <c r="G132" i="6" s="1"/>
  <c r="BN132" i="6" s="1"/>
  <c r="K129" i="6" a="1"/>
  <c r="K129" i="6" s="1"/>
  <c r="AE129" i="6" s="1"/>
  <c r="BW129" i="6" s="1"/>
  <c r="C132" i="6" a="1"/>
  <c r="C132" i="6" s="1"/>
  <c r="I131" i="6" a="1"/>
  <c r="I131" i="6" s="1"/>
  <c r="BO131" i="6" s="1"/>
  <c r="S133" i="6"/>
  <c r="G130" i="6" a="1"/>
  <c r="G130" i="6" s="1"/>
  <c r="AC130" i="6" s="1"/>
  <c r="BU130" i="6" s="1"/>
  <c r="M136" i="6" l="1" a="1"/>
  <c r="M136" i="6" s="1"/>
  <c r="BQ136" i="6" s="1"/>
  <c r="O135" i="6" a="1"/>
  <c r="O135" i="6" s="1"/>
  <c r="BR135" i="6" s="1"/>
  <c r="AR132" i="6"/>
  <c r="AS132" i="6"/>
  <c r="BQ130" i="6"/>
  <c r="AR130" i="6"/>
  <c r="BX130" i="6" s="1"/>
  <c r="BD129" i="6"/>
  <c r="BY132" i="6"/>
  <c r="BX132" i="6"/>
  <c r="AD131" i="6"/>
  <c r="BV131" i="6" s="1"/>
  <c r="AB131" i="6"/>
  <c r="BT131" i="6" s="1"/>
  <c r="BD131" i="6" s="1"/>
  <c r="AC132" i="6"/>
  <c r="BU132" i="6" s="1"/>
  <c r="BD132" i="6" s="1"/>
  <c r="AB132" i="6"/>
  <c r="BT132" i="6" s="1"/>
  <c r="AE132" i="6"/>
  <c r="BW132" i="6" s="1"/>
  <c r="AD132" i="6"/>
  <c r="BV132" i="6" s="1"/>
  <c r="BP129" i="6"/>
  <c r="BN130" i="6"/>
  <c r="BD130" i="6" s="1"/>
  <c r="C133" i="6" a="1"/>
  <c r="C133" i="6" s="1"/>
  <c r="G133" i="6" a="1"/>
  <c r="G133" i="6" s="1"/>
  <c r="BN133" i="6" s="1"/>
  <c r="K133" i="6" a="1"/>
  <c r="K133" i="6" s="1"/>
  <c r="BP133" i="6" s="1"/>
  <c r="E135" i="6" a="1"/>
  <c r="E135" i="6" s="1"/>
  <c r="BM135" i="6" s="1"/>
  <c r="I134" i="6" a="1"/>
  <c r="I134" i="6" s="1"/>
  <c r="BO134" i="6" s="1"/>
  <c r="S134" i="6"/>
  <c r="O136" i="6" l="1" a="1"/>
  <c r="O136" i="6" s="1"/>
  <c r="BR136" i="6" s="1"/>
  <c r="M135" i="6" a="1"/>
  <c r="M135" i="6" s="1"/>
  <c r="BQ135" i="6" s="1"/>
  <c r="AE133" i="6"/>
  <c r="BW133" i="6" s="1"/>
  <c r="AC133" i="6"/>
  <c r="BU133" i="6" s="1"/>
  <c r="C134" i="6" a="1"/>
  <c r="C134" i="6" s="1"/>
  <c r="G134" i="6" a="1"/>
  <c r="G134" i="6" s="1"/>
  <c r="BN134" i="6" s="1"/>
  <c r="I133" i="6" a="1"/>
  <c r="I133" i="6" s="1"/>
  <c r="BO133" i="6" s="1"/>
  <c r="K134" i="6" a="1"/>
  <c r="K134" i="6" s="1"/>
  <c r="BP134" i="6" s="1"/>
  <c r="E136" i="6" a="1"/>
  <c r="E136" i="6" s="1"/>
  <c r="BM136" i="6" s="1"/>
  <c r="S135" i="6"/>
  <c r="O133" i="6" l="1" a="1"/>
  <c r="O133" i="6" s="1"/>
  <c r="M134" i="6" a="1"/>
  <c r="M134" i="6" s="1"/>
  <c r="BQ134" i="6" s="1"/>
  <c r="AD133" i="6"/>
  <c r="BV133" i="6" s="1"/>
  <c r="AC134" i="6"/>
  <c r="BU134" i="6" s="1"/>
  <c r="AD134" i="6"/>
  <c r="BV134" i="6" s="1"/>
  <c r="AE134" i="6"/>
  <c r="BW134" i="6" s="1"/>
  <c r="I135" i="6" a="1"/>
  <c r="I135" i="6" s="1"/>
  <c r="BO135" i="6" s="1"/>
  <c r="G135" i="6" a="1"/>
  <c r="G135" i="6" s="1"/>
  <c r="BN135" i="6" s="1"/>
  <c r="C135" i="6" a="1"/>
  <c r="C135" i="6" s="1"/>
  <c r="E134" i="6" a="1"/>
  <c r="E134" i="6" s="1"/>
  <c r="BM134" i="6" s="1"/>
  <c r="K136" i="6" a="1"/>
  <c r="K136" i="6" s="1"/>
  <c r="BP136" i="6" s="1"/>
  <c r="S136" i="6"/>
  <c r="AR135" i="6" l="1"/>
  <c r="AS135" i="6"/>
  <c r="M133" i="6" a="1"/>
  <c r="M133" i="6" s="1"/>
  <c r="O134" i="6" a="1"/>
  <c r="O134" i="6" s="1"/>
  <c r="AR134" i="6"/>
  <c r="BX134" i="6" s="1"/>
  <c r="BR133" i="6"/>
  <c r="AS133" i="6"/>
  <c r="BY133" i="6" s="1"/>
  <c r="BY135" i="6"/>
  <c r="BX135" i="6"/>
  <c r="AB134" i="6"/>
  <c r="BT134" i="6" s="1"/>
  <c r="AB135" i="6"/>
  <c r="BT135" i="6" s="1"/>
  <c r="AC135" i="6"/>
  <c r="BU135" i="6" s="1"/>
  <c r="AD135" i="6"/>
  <c r="BV135" i="6" s="1"/>
  <c r="G136" i="6" a="1"/>
  <c r="G136" i="6" s="1"/>
  <c r="BN136" i="6" s="1"/>
  <c r="C136" i="6" a="1"/>
  <c r="C136" i="6" s="1"/>
  <c r="E133" i="6" a="1"/>
  <c r="E133" i="6" s="1"/>
  <c r="K135" i="6" a="1"/>
  <c r="K135" i="6" s="1"/>
  <c r="BP135" i="6" s="1"/>
  <c r="I136" i="6" a="1"/>
  <c r="I136" i="6" s="1"/>
  <c r="BO136" i="6" s="1"/>
  <c r="S137" i="6"/>
  <c r="BR134" i="6" l="1"/>
  <c r="BD134" i="6" s="1"/>
  <c r="AS134" i="6"/>
  <c r="BY134" i="6" s="1"/>
  <c r="BQ133" i="6"/>
  <c r="AR133" i="6"/>
  <c r="BX133" i="6" s="1"/>
  <c r="AS136" i="6"/>
  <c r="AR136" i="6"/>
  <c r="M140" i="6" a="1"/>
  <c r="M140" i="6" s="1"/>
  <c r="BQ140" i="6" s="1"/>
  <c r="O137" i="6" a="1"/>
  <c r="O137" i="6" s="1"/>
  <c r="BR137" i="6" s="1"/>
  <c r="BX136" i="6"/>
  <c r="BY136" i="6"/>
  <c r="BD136" i="6" s="1"/>
  <c r="BM133" i="6"/>
  <c r="AB133" i="6"/>
  <c r="BT133" i="6" s="1"/>
  <c r="AE135" i="6"/>
  <c r="BW135" i="6" s="1"/>
  <c r="BD135" i="6" s="1"/>
  <c r="AC136" i="6"/>
  <c r="BU136" i="6" s="1"/>
  <c r="AB136" i="6"/>
  <c r="BT136" i="6" s="1"/>
  <c r="AE136" i="6"/>
  <c r="BW136" i="6" s="1"/>
  <c r="AD136" i="6"/>
  <c r="BV136" i="6" s="1"/>
  <c r="E139" i="6" a="1"/>
  <c r="E139" i="6" s="1"/>
  <c r="BM139" i="6" s="1"/>
  <c r="K138" i="6" a="1"/>
  <c r="K138" i="6" s="1"/>
  <c r="BP138" i="6" s="1"/>
  <c r="I139" i="6" a="1"/>
  <c r="I139" i="6" s="1"/>
  <c r="BO139" i="6" s="1"/>
  <c r="C137" i="6" a="1"/>
  <c r="C137" i="6" s="1"/>
  <c r="S138" i="6"/>
  <c r="AS137" i="6" l="1"/>
  <c r="M138" i="6" a="1"/>
  <c r="M138" i="6" s="1"/>
  <c r="BQ138" i="6" s="1"/>
  <c r="O139" i="6" a="1"/>
  <c r="O139" i="6" s="1"/>
  <c r="BR139" i="6" s="1"/>
  <c r="BD133" i="6"/>
  <c r="BY137" i="6"/>
  <c r="G138" i="6" a="1"/>
  <c r="G138" i="6" s="1"/>
  <c r="BN138" i="6" s="1"/>
  <c r="C138" i="6" a="1"/>
  <c r="C138" i="6" s="1"/>
  <c r="K137" i="6" a="1"/>
  <c r="K137" i="6" s="1"/>
  <c r="BP137" i="6" s="1"/>
  <c r="I140" i="6" a="1"/>
  <c r="I140" i="6" s="1"/>
  <c r="BO140" i="6" s="1"/>
  <c r="E137" i="6" a="1"/>
  <c r="E137" i="6" s="1"/>
  <c r="BM137" i="6" s="1"/>
  <c r="S139" i="6"/>
  <c r="AR138" i="6" l="1"/>
  <c r="O138" i="6" a="1"/>
  <c r="O138" i="6" s="1"/>
  <c r="BR138" i="6" s="1"/>
  <c r="M139" i="6" a="1"/>
  <c r="M139" i="6" s="1"/>
  <c r="BQ139" i="6" s="1"/>
  <c r="BX138" i="6"/>
  <c r="AE137" i="6"/>
  <c r="BW137" i="6" s="1"/>
  <c r="AB137" i="6"/>
  <c r="BT137" i="6" s="1"/>
  <c r="AE138" i="6"/>
  <c r="BW138" i="6" s="1"/>
  <c r="AC138" i="6"/>
  <c r="BU138" i="6" s="1"/>
  <c r="G139" i="6" a="1"/>
  <c r="G139" i="6" s="1"/>
  <c r="BN139" i="6" s="1"/>
  <c r="C139" i="6" a="1"/>
  <c r="C139" i="6" s="1"/>
  <c r="I137" i="6" a="1"/>
  <c r="I137" i="6" s="1"/>
  <c r="AD137" i="6" s="1"/>
  <c r="BV137" i="6" s="1"/>
  <c r="E140" i="6" a="1"/>
  <c r="E140" i="6" s="1"/>
  <c r="BM140" i="6" s="1"/>
  <c r="K140" i="6" a="1"/>
  <c r="K140" i="6" s="1"/>
  <c r="BP140" i="6" s="1"/>
  <c r="S140" i="6"/>
  <c r="M137" i="6" l="1" a="1"/>
  <c r="M137" i="6" s="1"/>
  <c r="O140" i="6" a="1"/>
  <c r="O140" i="6" s="1"/>
  <c r="BR140" i="6" s="1"/>
  <c r="AR139" i="6"/>
  <c r="AS139" i="6"/>
  <c r="AS138" i="6"/>
  <c r="BY138" i="6" s="1"/>
  <c r="BX139" i="6"/>
  <c r="BY139" i="6"/>
  <c r="AD139" i="6"/>
  <c r="BV139" i="6" s="1"/>
  <c r="AC139" i="6"/>
  <c r="BU139" i="6" s="1"/>
  <c r="AB139" i="6"/>
  <c r="BT139" i="6" s="1"/>
  <c r="C140" i="6" a="1"/>
  <c r="C140" i="6" s="1"/>
  <c r="I138" i="6" a="1"/>
  <c r="I138" i="6" s="1"/>
  <c r="AD138" i="6" s="1"/>
  <c r="BV138" i="6" s="1"/>
  <c r="E138" i="6" a="1"/>
  <c r="E138" i="6" s="1"/>
  <c r="G140" i="6" a="1"/>
  <c r="G140" i="6" s="1"/>
  <c r="BN140" i="6" s="1"/>
  <c r="K139" i="6" a="1"/>
  <c r="K139" i="6" s="1"/>
  <c r="BP139" i="6" s="1"/>
  <c r="S141" i="6"/>
  <c r="G137" i="6" a="1"/>
  <c r="G137" i="6" s="1"/>
  <c r="AC137" i="6" s="1"/>
  <c r="BU137" i="6" s="1"/>
  <c r="BO137" i="6"/>
  <c r="O141" i="6" l="1" a="1"/>
  <c r="O141" i="6" s="1"/>
  <c r="BR141" i="6" s="1"/>
  <c r="M144" i="6" a="1"/>
  <c r="M144" i="6" s="1"/>
  <c r="BQ144" i="6" s="1"/>
  <c r="BQ137" i="6"/>
  <c r="AR137" i="6"/>
  <c r="BX137" i="6" s="1"/>
  <c r="AS140" i="6"/>
  <c r="AR140" i="6"/>
  <c r="BX140" i="6"/>
  <c r="BY140" i="6"/>
  <c r="BM138" i="6"/>
  <c r="AB138" i="6"/>
  <c r="BT138" i="6" s="1"/>
  <c r="AE139" i="6"/>
  <c r="BW139" i="6" s="1"/>
  <c r="BD139" i="6" s="1"/>
  <c r="AD140" i="6"/>
  <c r="BV140" i="6" s="1"/>
  <c r="AE140" i="6"/>
  <c r="BW140" i="6" s="1"/>
  <c r="AC140" i="6"/>
  <c r="BU140" i="6" s="1"/>
  <c r="AB140" i="6"/>
  <c r="BT140" i="6" s="1"/>
  <c r="BD140" i="6" s="1"/>
  <c r="BN137" i="6"/>
  <c r="BD137" i="6" s="1"/>
  <c r="I143" i="6" a="1"/>
  <c r="I143" i="6" s="1"/>
  <c r="BO143" i="6" s="1"/>
  <c r="E143" i="6" a="1"/>
  <c r="E143" i="6" s="1"/>
  <c r="BM143" i="6" s="1"/>
  <c r="C141" i="6" a="1"/>
  <c r="C141" i="6" s="1"/>
  <c r="K142" i="6" a="1"/>
  <c r="K142" i="6" s="1"/>
  <c r="BP142" i="6" s="1"/>
  <c r="S142" i="6"/>
  <c r="BO138" i="6"/>
  <c r="AS141" i="6" l="1"/>
  <c r="BD138" i="6"/>
  <c r="M142" i="6" a="1"/>
  <c r="M142" i="6" s="1"/>
  <c r="BQ142" i="6" s="1"/>
  <c r="O143" i="6" a="1"/>
  <c r="O143" i="6" s="1"/>
  <c r="BR143" i="6" s="1"/>
  <c r="BY141" i="6"/>
  <c r="G142" i="6" a="1"/>
  <c r="G142" i="6" s="1"/>
  <c r="BN142" i="6" s="1"/>
  <c r="C142" i="6" a="1"/>
  <c r="C142" i="6" s="1"/>
  <c r="K141" i="6" a="1"/>
  <c r="K141" i="6" s="1"/>
  <c r="BP141" i="6" s="1"/>
  <c r="I144" i="6" a="1"/>
  <c r="I144" i="6" s="1"/>
  <c r="BO144" i="6" s="1"/>
  <c r="E141" i="6" a="1"/>
  <c r="E141" i="6" s="1"/>
  <c r="BM141" i="6" s="1"/>
  <c r="S143" i="6"/>
  <c r="AR142" i="6" l="1"/>
  <c r="M143" i="6" a="1"/>
  <c r="M143" i="6" s="1"/>
  <c r="BQ143" i="6" s="1"/>
  <c r="O142" i="6" a="1"/>
  <c r="O142" i="6" s="1"/>
  <c r="BR142" i="6" s="1"/>
  <c r="BX142" i="6"/>
  <c r="AE141" i="6"/>
  <c r="BW141" i="6" s="1"/>
  <c r="AB141" i="6"/>
  <c r="BT141" i="6" s="1"/>
  <c r="AE142" i="6"/>
  <c r="BW142" i="6" s="1"/>
  <c r="AC142" i="6"/>
  <c r="BU142" i="6" s="1"/>
  <c r="G143" i="6" a="1"/>
  <c r="G143" i="6" s="1"/>
  <c r="BN143" i="6" s="1"/>
  <c r="I141" i="6" a="1"/>
  <c r="I141" i="6" s="1"/>
  <c r="AD141" i="6" s="1"/>
  <c r="BV141" i="6" s="1"/>
  <c r="K144" i="6" a="1"/>
  <c r="K144" i="6" s="1"/>
  <c r="BP144" i="6" s="1"/>
  <c r="C143" i="6" a="1"/>
  <c r="C143" i="6" s="1"/>
  <c r="E144" i="6" a="1"/>
  <c r="E144" i="6" s="1"/>
  <c r="BM144" i="6" s="1"/>
  <c r="S144" i="6"/>
  <c r="O144" i="6" l="1" a="1"/>
  <c r="O144" i="6" s="1"/>
  <c r="BR144" i="6" s="1"/>
  <c r="M141" i="6" a="1"/>
  <c r="M141" i="6" s="1"/>
  <c r="AR143" i="6"/>
  <c r="AS143" i="6"/>
  <c r="AS142" i="6"/>
  <c r="BY142" i="6" s="1"/>
  <c r="BY143" i="6"/>
  <c r="BX143" i="6"/>
  <c r="AB143" i="6"/>
  <c r="BT143" i="6" s="1"/>
  <c r="AD143" i="6"/>
  <c r="BV143" i="6" s="1"/>
  <c r="AC143" i="6"/>
  <c r="BU143" i="6" s="1"/>
  <c r="G144" i="6" a="1"/>
  <c r="G144" i="6" s="1"/>
  <c r="BN144" i="6" s="1"/>
  <c r="C144" i="6" a="1"/>
  <c r="C144" i="6" s="1"/>
  <c r="E142" i="6" a="1"/>
  <c r="E142" i="6" s="1"/>
  <c r="K143" i="6" a="1"/>
  <c r="K143" i="6" s="1"/>
  <c r="BP143" i="6" s="1"/>
  <c r="I142" i="6" a="1"/>
  <c r="I142" i="6" s="1"/>
  <c r="AD142" i="6" s="1"/>
  <c r="BV142" i="6" s="1"/>
  <c r="S145" i="6"/>
  <c r="G141" i="6" a="1"/>
  <c r="G141" i="6" s="1"/>
  <c r="AC141" i="6" s="1"/>
  <c r="BU141" i="6" s="1"/>
  <c r="BO141" i="6"/>
  <c r="BD143" i="6" l="1"/>
  <c r="M148" i="6" a="1"/>
  <c r="M148" i="6" s="1"/>
  <c r="BQ148" i="6" s="1"/>
  <c r="O148" i="6" a="1"/>
  <c r="O148" i="6" s="1"/>
  <c r="BR148" i="6" s="1"/>
  <c r="BQ141" i="6"/>
  <c r="AR141" i="6"/>
  <c r="BX141" i="6" s="1"/>
  <c r="AR144" i="6"/>
  <c r="AS144" i="6"/>
  <c r="BX144" i="6"/>
  <c r="BY144" i="6"/>
  <c r="BM142" i="6"/>
  <c r="AB142" i="6"/>
  <c r="BT142" i="6" s="1"/>
  <c r="AE143" i="6"/>
  <c r="BW143" i="6" s="1"/>
  <c r="AD144" i="6"/>
  <c r="BV144" i="6" s="1"/>
  <c r="AE144" i="6"/>
  <c r="BW144" i="6" s="1"/>
  <c r="AC144" i="6"/>
  <c r="BU144" i="6" s="1"/>
  <c r="AB144" i="6"/>
  <c r="BT144" i="6" s="1"/>
  <c r="BD144" i="6" s="1"/>
  <c r="BN141" i="6"/>
  <c r="BD141" i="6" s="1"/>
  <c r="K146" i="6" a="1"/>
  <c r="K146" i="6" s="1"/>
  <c r="BP146" i="6" s="1"/>
  <c r="C145" i="6" a="1"/>
  <c r="C145" i="6" s="1"/>
  <c r="G145" i="6" a="1"/>
  <c r="G145" i="6" s="1"/>
  <c r="BN145" i="6" s="1"/>
  <c r="I146" i="6" a="1"/>
  <c r="I146" i="6" s="1"/>
  <c r="BO146" i="6" s="1"/>
  <c r="E147" i="6" a="1"/>
  <c r="E147" i="6" s="1"/>
  <c r="BM147" i="6" s="1"/>
  <c r="S146" i="6"/>
  <c r="BO142" i="6"/>
  <c r="M147" i="6" l="1" a="1"/>
  <c r="M147" i="6" s="1"/>
  <c r="BQ147" i="6" s="1"/>
  <c r="O147" i="6" a="1"/>
  <c r="O147" i="6" s="1"/>
  <c r="BR147" i="6" s="1"/>
  <c r="BD142" i="6"/>
  <c r="AC145" i="6"/>
  <c r="BU145" i="6" s="1"/>
  <c r="G146" i="6" a="1"/>
  <c r="G146" i="6" s="1"/>
  <c r="BN146" i="6" s="1"/>
  <c r="I145" i="6" a="1"/>
  <c r="I145" i="6" s="1"/>
  <c r="BO145" i="6" s="1"/>
  <c r="E148" i="6" a="1"/>
  <c r="E148" i="6" s="1"/>
  <c r="BM148" i="6" s="1"/>
  <c r="K145" i="6" a="1"/>
  <c r="K145" i="6" s="1"/>
  <c r="BP145" i="6" s="1"/>
  <c r="C146" i="6" a="1"/>
  <c r="C146" i="6" s="1"/>
  <c r="S147" i="6"/>
  <c r="AS146" i="6" l="1"/>
  <c r="AR146" i="6"/>
  <c r="BX146" i="6" s="1"/>
  <c r="O146" i="6" a="1"/>
  <c r="O146" i="6" s="1"/>
  <c r="BR146" i="6" s="1"/>
  <c r="M146" i="6" a="1"/>
  <c r="M146" i="6" s="1"/>
  <c r="BQ146" i="6" s="1"/>
  <c r="BY146" i="6"/>
  <c r="AE145" i="6"/>
  <c r="BW145" i="6" s="1"/>
  <c r="AD145" i="6"/>
  <c r="BV145" i="6" s="1"/>
  <c r="AE146" i="6"/>
  <c r="BW146" i="6" s="1"/>
  <c r="AD146" i="6"/>
  <c r="BV146" i="6" s="1"/>
  <c r="AC146" i="6"/>
  <c r="BU146" i="6" s="1"/>
  <c r="G147" i="6" a="1"/>
  <c r="G147" i="6" s="1"/>
  <c r="BN147" i="6" s="1"/>
  <c r="E145" i="6" a="1"/>
  <c r="E145" i="6" s="1"/>
  <c r="I148" i="6" a="1"/>
  <c r="I148" i="6" s="1"/>
  <c r="BO148" i="6" s="1"/>
  <c r="C147" i="6" a="1"/>
  <c r="C147" i="6" s="1"/>
  <c r="K148" i="6" a="1"/>
  <c r="K148" i="6" s="1"/>
  <c r="BP148" i="6" s="1"/>
  <c r="S148" i="6"/>
  <c r="M145" i="6" l="1" a="1"/>
  <c r="M145" i="6" s="1"/>
  <c r="O145" i="6" a="1"/>
  <c r="O145" i="6" s="1"/>
  <c r="AR147" i="6"/>
  <c r="AS147" i="6"/>
  <c r="BY147" i="6"/>
  <c r="BX147" i="6"/>
  <c r="BM145" i="6"/>
  <c r="AB145" i="6"/>
  <c r="BT145" i="6" s="1"/>
  <c r="AC147" i="6"/>
  <c r="BU147" i="6" s="1"/>
  <c r="AB147" i="6"/>
  <c r="BT147" i="6" s="1"/>
  <c r="C148" i="6" a="1"/>
  <c r="C148" i="6" s="1"/>
  <c r="G148" i="6" a="1"/>
  <c r="G148" i="6" s="1"/>
  <c r="BN148" i="6" s="1"/>
  <c r="E146" i="6" a="1"/>
  <c r="E146" i="6" s="1"/>
  <c r="K147" i="6" a="1"/>
  <c r="K147" i="6" s="1"/>
  <c r="BP147" i="6" s="1"/>
  <c r="I147" i="6" a="1"/>
  <c r="I147" i="6" s="1"/>
  <c r="BO147" i="6" s="1"/>
  <c r="S149" i="6"/>
  <c r="M150" i="6" l="1" a="1"/>
  <c r="M150" i="6" s="1"/>
  <c r="BQ150" i="6" s="1"/>
  <c r="O152" i="6" a="1"/>
  <c r="O152" i="6" s="1"/>
  <c r="BR152" i="6" s="1"/>
  <c r="AS148" i="6"/>
  <c r="AR148" i="6"/>
  <c r="BR145" i="6"/>
  <c r="AS145" i="6"/>
  <c r="BY145" i="6" s="1"/>
  <c r="BQ145" i="6"/>
  <c r="BD145" i="6" s="1"/>
  <c r="AR145" i="6"/>
  <c r="BX145" i="6" s="1"/>
  <c r="BX148" i="6"/>
  <c r="BY148" i="6"/>
  <c r="BM146" i="6"/>
  <c r="AB146" i="6"/>
  <c r="BT146" i="6" s="1"/>
  <c r="AD147" i="6"/>
  <c r="BV147" i="6" s="1"/>
  <c r="BD147" i="6" s="1"/>
  <c r="AE147" i="6"/>
  <c r="BW147" i="6" s="1"/>
  <c r="AE148" i="6"/>
  <c r="BW148" i="6" s="1"/>
  <c r="AC148" i="6"/>
  <c r="BU148" i="6" s="1"/>
  <c r="AB148" i="6"/>
  <c r="BT148" i="6" s="1"/>
  <c r="BD148" i="6" s="1"/>
  <c r="AD148" i="6"/>
  <c r="BV148" i="6" s="1"/>
  <c r="K149" i="6" a="1"/>
  <c r="K149" i="6" s="1"/>
  <c r="BP149" i="6" s="1"/>
  <c r="C149" i="6" a="1"/>
  <c r="C149" i="6" s="1"/>
  <c r="E152" i="6" a="1"/>
  <c r="E152" i="6" s="1"/>
  <c r="BM152" i="6" s="1"/>
  <c r="I151" i="6" a="1"/>
  <c r="I151" i="6" s="1"/>
  <c r="BO151" i="6" s="1"/>
  <c r="S150" i="6"/>
  <c r="BD146" i="6" l="1"/>
  <c r="O151" i="6" a="1"/>
  <c r="O151" i="6" s="1"/>
  <c r="BR151" i="6" s="1"/>
  <c r="M149" i="6" a="1"/>
  <c r="M149" i="6" s="1"/>
  <c r="BQ149" i="6" s="1"/>
  <c r="AE149" i="6"/>
  <c r="BW149" i="6" s="1"/>
  <c r="C150" i="6" a="1"/>
  <c r="C150" i="6" s="1"/>
  <c r="E149" i="6" a="1"/>
  <c r="E149" i="6" s="1"/>
  <c r="BM149" i="6" s="1"/>
  <c r="I150" i="6" a="1"/>
  <c r="I150" i="6" s="1"/>
  <c r="BO150" i="6" s="1"/>
  <c r="K152" i="6" a="1"/>
  <c r="K152" i="6" s="1"/>
  <c r="BP152" i="6" s="1"/>
  <c r="S151" i="6"/>
  <c r="AR149" i="6" l="1"/>
  <c r="BX149" i="6" s="1"/>
  <c r="O150" i="6" a="1"/>
  <c r="O150" i="6" s="1"/>
  <c r="BR150" i="6" s="1"/>
  <c r="M152" i="6" a="1"/>
  <c r="M152" i="6" s="1"/>
  <c r="BQ152" i="6" s="1"/>
  <c r="AR150" i="6"/>
  <c r="BX150" i="6" s="1"/>
  <c r="AB149" i="6"/>
  <c r="BT149" i="6" s="1"/>
  <c r="AD150" i="6"/>
  <c r="BV150" i="6" s="1"/>
  <c r="G151" i="6" a="1"/>
  <c r="G151" i="6" s="1"/>
  <c r="BN151" i="6" s="1"/>
  <c r="C151" i="6" a="1"/>
  <c r="C151" i="6" s="1"/>
  <c r="E150" i="6" a="1"/>
  <c r="E150" i="6" s="1"/>
  <c r="BM150" i="6" s="1"/>
  <c r="K151" i="6" a="1"/>
  <c r="K151" i="6" s="1"/>
  <c r="BP151" i="6" s="1"/>
  <c r="I149" i="6" a="1"/>
  <c r="I149" i="6" s="1"/>
  <c r="AD149" i="6" s="1"/>
  <c r="BV149" i="6" s="1"/>
  <c r="S152" i="6"/>
  <c r="G149" i="6" a="1"/>
  <c r="G149" i="6" s="1"/>
  <c r="AC149" i="6" s="1"/>
  <c r="BU149" i="6" s="1"/>
  <c r="AS150" i="6" l="1"/>
  <c r="BY150" i="6" s="1"/>
  <c r="O149" i="6" a="1"/>
  <c r="O149" i="6" s="1"/>
  <c r="M151" i="6" a="1"/>
  <c r="M151" i="6" s="1"/>
  <c r="BQ151" i="6" s="1"/>
  <c r="AR151" i="6"/>
  <c r="AS151" i="6"/>
  <c r="BX151" i="6"/>
  <c r="BY151" i="6"/>
  <c r="AB150" i="6"/>
  <c r="BT150" i="6" s="1"/>
  <c r="AD151" i="6"/>
  <c r="BV151" i="6" s="1"/>
  <c r="AE151" i="6"/>
  <c r="BW151" i="6" s="1"/>
  <c r="AC151" i="6"/>
  <c r="BU151" i="6" s="1"/>
  <c r="BN149" i="6"/>
  <c r="I152" i="6" a="1"/>
  <c r="I152" i="6" s="1"/>
  <c r="BO152" i="6" s="1"/>
  <c r="G152" i="6" a="1"/>
  <c r="G152" i="6" s="1"/>
  <c r="BN152" i="6" s="1"/>
  <c r="C152" i="6" a="1"/>
  <c r="C152" i="6" s="1"/>
  <c r="K150" i="6" a="1"/>
  <c r="K150" i="6" s="1"/>
  <c r="AE150" i="6" s="1"/>
  <c r="BW150" i="6" s="1"/>
  <c r="E151" i="6" a="1"/>
  <c r="E151" i="6" s="1"/>
  <c r="BM151" i="6" s="1"/>
  <c r="S153" i="6"/>
  <c r="G150" i="6" a="1"/>
  <c r="G150" i="6" s="1"/>
  <c r="AC150" i="6" s="1"/>
  <c r="BU150" i="6" s="1"/>
  <c r="BO149" i="6"/>
  <c r="BR149" i="6" l="1"/>
  <c r="BD149" i="6" s="1"/>
  <c r="AS149" i="6"/>
  <c r="BY149" i="6" s="1"/>
  <c r="O156" i="6" a="1"/>
  <c r="O156" i="6" s="1"/>
  <c r="BR156" i="6" s="1"/>
  <c r="M154" i="6" a="1"/>
  <c r="M154" i="6" s="1"/>
  <c r="BQ154" i="6" s="1"/>
  <c r="AR152" i="6"/>
  <c r="AS152" i="6"/>
  <c r="BX152" i="6"/>
  <c r="BY152" i="6"/>
  <c r="AB151" i="6"/>
  <c r="BT151" i="6" s="1"/>
  <c r="BD151" i="6" s="1"/>
  <c r="AD152" i="6"/>
  <c r="BV152" i="6" s="1"/>
  <c r="AC152" i="6"/>
  <c r="BU152" i="6" s="1"/>
  <c r="AB152" i="6"/>
  <c r="BT152" i="6" s="1"/>
  <c r="BD152" i="6" s="1"/>
  <c r="AE152" i="6"/>
  <c r="BW152" i="6" s="1"/>
  <c r="BN150" i="6"/>
  <c r="K153" i="6" a="1"/>
  <c r="K153" i="6" s="1"/>
  <c r="BP153" i="6" s="1"/>
  <c r="E156" i="6" a="1"/>
  <c r="E156" i="6" s="1"/>
  <c r="BM156" i="6" s="1"/>
  <c r="I155" i="6" a="1"/>
  <c r="I155" i="6" s="1"/>
  <c r="BO155" i="6" s="1"/>
  <c r="C153" i="6" a="1"/>
  <c r="C153" i="6" s="1"/>
  <c r="S154" i="6"/>
  <c r="BP150" i="6"/>
  <c r="BD150" i="6" l="1"/>
  <c r="M153" i="6" a="1"/>
  <c r="M153" i="6" s="1"/>
  <c r="BQ153" i="6" s="1"/>
  <c r="O155" i="6" a="1"/>
  <c r="O155" i="6" s="1"/>
  <c r="BR155" i="6" s="1"/>
  <c r="AE153" i="6"/>
  <c r="BW153" i="6" s="1"/>
  <c r="K156" i="6" a="1"/>
  <c r="K156" i="6" s="1"/>
  <c r="BP156" i="6" s="1"/>
  <c r="I154" i="6" a="1"/>
  <c r="I154" i="6" s="1"/>
  <c r="BO154" i="6" s="1"/>
  <c r="C154" i="6" a="1"/>
  <c r="C154" i="6" s="1"/>
  <c r="E153" i="6" a="1"/>
  <c r="E153" i="6" s="1"/>
  <c r="BM153" i="6" s="1"/>
  <c r="S155" i="6"/>
  <c r="AR153" i="6" l="1"/>
  <c r="BX153" i="6" s="1"/>
  <c r="O154" i="6" a="1"/>
  <c r="O154" i="6" s="1"/>
  <c r="BR154" i="6" s="1"/>
  <c r="M156" i="6" a="1"/>
  <c r="M156" i="6" s="1"/>
  <c r="BQ156" i="6" s="1"/>
  <c r="AR154" i="6"/>
  <c r="BX154" i="6"/>
  <c r="AB153" i="6"/>
  <c r="BT153" i="6" s="1"/>
  <c r="AD154" i="6"/>
  <c r="BV154" i="6" s="1"/>
  <c r="G155" i="6" a="1"/>
  <c r="G155" i="6" s="1"/>
  <c r="BN155" i="6" s="1"/>
  <c r="C155" i="6" a="1"/>
  <c r="C155" i="6" s="1"/>
  <c r="I153" i="6" a="1"/>
  <c r="I153" i="6" s="1"/>
  <c r="AD153" i="6" s="1"/>
  <c r="BV153" i="6" s="1"/>
  <c r="E154" i="6" a="1"/>
  <c r="E154" i="6" s="1"/>
  <c r="BM154" i="6" s="1"/>
  <c r="K155" i="6" a="1"/>
  <c r="K155" i="6" s="1"/>
  <c r="BP155" i="6" s="1"/>
  <c r="S156" i="6"/>
  <c r="G153" i="6" a="1"/>
  <c r="G153" i="6" s="1"/>
  <c r="AC153" i="6" s="1"/>
  <c r="BU153" i="6" s="1"/>
  <c r="AS154" i="6" l="1"/>
  <c r="BY154" i="6" s="1"/>
  <c r="M155" i="6" a="1"/>
  <c r="M155" i="6" s="1"/>
  <c r="BQ155" i="6" s="1"/>
  <c r="O153" i="6" a="1"/>
  <c r="O153" i="6" s="1"/>
  <c r="AS155" i="6"/>
  <c r="BY155" i="6"/>
  <c r="AB154" i="6"/>
  <c r="BT154" i="6" s="1"/>
  <c r="AD155" i="6"/>
  <c r="BV155" i="6" s="1"/>
  <c r="AE155" i="6"/>
  <c r="BW155" i="6" s="1"/>
  <c r="AC155" i="6"/>
  <c r="BU155" i="6" s="1"/>
  <c r="BN153" i="6"/>
  <c r="I156" i="6" a="1"/>
  <c r="I156" i="6" s="1"/>
  <c r="BO156" i="6" s="1"/>
  <c r="C156" i="6" a="1"/>
  <c r="C156" i="6" s="1"/>
  <c r="E155" i="6" a="1"/>
  <c r="E155" i="6" s="1"/>
  <c r="BM155" i="6" s="1"/>
  <c r="K154" i="6" a="1"/>
  <c r="K154" i="6" s="1"/>
  <c r="AE154" i="6" s="1"/>
  <c r="BW154" i="6" s="1"/>
  <c r="G156" i="6" a="1"/>
  <c r="G156" i="6" s="1"/>
  <c r="BN156" i="6" s="1"/>
  <c r="S157" i="6"/>
  <c r="G154" i="6" a="1"/>
  <c r="G154" i="6" s="1"/>
  <c r="AC154" i="6" s="1"/>
  <c r="BU154" i="6" s="1"/>
  <c r="BO153" i="6"/>
  <c r="AR155" i="6" l="1"/>
  <c r="BX155" i="6" s="1"/>
  <c r="BR153" i="6"/>
  <c r="AS153" i="6"/>
  <c r="BY153" i="6" s="1"/>
  <c r="BD153" i="6"/>
  <c r="O157" i="6" a="1"/>
  <c r="O157" i="6" s="1"/>
  <c r="BR157" i="6" s="1"/>
  <c r="M157" i="6" a="1"/>
  <c r="M157" i="6" s="1"/>
  <c r="BQ157" i="6" s="1"/>
  <c r="AS156" i="6"/>
  <c r="AR156" i="6"/>
  <c r="BX156" i="6"/>
  <c r="BY156" i="6"/>
  <c r="AB155" i="6"/>
  <c r="BT155" i="6" s="1"/>
  <c r="BD155" i="6" s="1"/>
  <c r="AD156" i="6"/>
  <c r="BV156" i="6" s="1"/>
  <c r="BD156" i="6" s="1"/>
  <c r="AC156" i="6"/>
  <c r="BU156" i="6" s="1"/>
  <c r="AE156" i="6"/>
  <c r="BW156" i="6" s="1"/>
  <c r="AB156" i="6"/>
  <c r="BT156" i="6" s="1"/>
  <c r="G157" i="6" a="1"/>
  <c r="G157" i="6" s="1"/>
  <c r="BN157" i="6" s="1"/>
  <c r="I157" i="6" a="1"/>
  <c r="I157" i="6" s="1"/>
  <c r="BO157" i="6" s="1"/>
  <c r="E157" i="6" a="1"/>
  <c r="E157" i="6" s="1"/>
  <c r="BM157" i="6" s="1"/>
  <c r="K157" i="6" a="1"/>
  <c r="K157" i="6" s="1"/>
  <c r="BP157" i="6" s="1"/>
  <c r="C157" i="6" a="1"/>
  <c r="C157" i="6" s="1"/>
  <c r="S158" i="6"/>
  <c r="BP154" i="6"/>
  <c r="BN154" i="6"/>
  <c r="BD154" i="6" l="1"/>
  <c r="M160" i="6" a="1"/>
  <c r="M160" i="6" s="1"/>
  <c r="BQ160" i="6" s="1"/>
  <c r="O158" i="6" a="1"/>
  <c r="O158" i="6" s="1"/>
  <c r="BR158" i="6" s="1"/>
  <c r="AR157" i="6"/>
  <c r="AS157" i="6"/>
  <c r="BX157" i="6"/>
  <c r="BY157" i="6"/>
  <c r="AE157" i="6"/>
  <c r="BW157" i="6" s="1"/>
  <c r="AD157" i="6"/>
  <c r="BV157" i="6" s="1"/>
  <c r="AB157" i="6"/>
  <c r="BT157" i="6" s="1"/>
  <c r="BD157" i="6" s="1"/>
  <c r="AC157" i="6"/>
  <c r="BU157" i="6" s="1"/>
  <c r="I161" i="6" a="1"/>
  <c r="I161" i="6" s="1"/>
  <c r="BO161" i="6" s="1"/>
  <c r="K159" i="6" a="1"/>
  <c r="K159" i="6" s="1"/>
  <c r="BP159" i="6" s="1"/>
  <c r="C158" i="6" a="1"/>
  <c r="C158" i="6" s="1"/>
  <c r="E161" i="6" a="1"/>
  <c r="E161" i="6" s="1"/>
  <c r="BM161" i="6" s="1"/>
  <c r="S159" i="6"/>
  <c r="O161" i="6" l="1" a="1"/>
  <c r="O161" i="6" s="1"/>
  <c r="BR161" i="6" s="1"/>
  <c r="M159" i="6" a="1"/>
  <c r="M159" i="6" s="1"/>
  <c r="BQ159" i="6" s="1"/>
  <c r="AS158" i="6"/>
  <c r="BY158" i="6"/>
  <c r="K158" i="6" a="1"/>
  <c r="K158" i="6" s="1"/>
  <c r="BP158" i="6" s="1"/>
  <c r="I160" i="6" a="1"/>
  <c r="I160" i="6" s="1"/>
  <c r="BO160" i="6" s="1"/>
  <c r="C159" i="6" a="1"/>
  <c r="C159" i="6" s="1"/>
  <c r="E158" i="6" a="1"/>
  <c r="E158" i="6" s="1"/>
  <c r="BM158" i="6" s="1"/>
  <c r="S160" i="6"/>
  <c r="M158" i="6" l="1" a="1"/>
  <c r="M158" i="6" s="1"/>
  <c r="O160" i="6" a="1"/>
  <c r="O160" i="6" s="1"/>
  <c r="BR160" i="6" s="1"/>
  <c r="AR159" i="6"/>
  <c r="BX159" i="6"/>
  <c r="AE158" i="6"/>
  <c r="BW158" i="6" s="1"/>
  <c r="AB158" i="6"/>
  <c r="BT158" i="6" s="1"/>
  <c r="AE159" i="6"/>
  <c r="BW159" i="6" s="1"/>
  <c r="K161" i="6" a="1"/>
  <c r="K161" i="6" s="1"/>
  <c r="BP161" i="6" s="1"/>
  <c r="C160" i="6" a="1"/>
  <c r="C160" i="6" s="1"/>
  <c r="I159" i="6" a="1"/>
  <c r="I159" i="6" s="1"/>
  <c r="BO159" i="6" s="1"/>
  <c r="E159" i="6" a="1"/>
  <c r="E159" i="6" s="1"/>
  <c r="BM159" i="6" s="1"/>
  <c r="G160" i="6" a="1"/>
  <c r="G160" i="6" s="1"/>
  <c r="BN160" i="6" s="1"/>
  <c r="S161" i="6"/>
  <c r="G158" i="6" a="1"/>
  <c r="G158" i="6" s="1"/>
  <c r="AC158" i="6" s="1"/>
  <c r="BU158" i="6" s="1"/>
  <c r="BQ158" i="6" l="1"/>
  <c r="AR158" i="6"/>
  <c r="BX158" i="6" s="1"/>
  <c r="M161" i="6" a="1"/>
  <c r="M161" i="6" s="1"/>
  <c r="BQ161" i="6" s="1"/>
  <c r="O159" i="6" a="1"/>
  <c r="O159" i="6" s="1"/>
  <c r="AR160" i="6"/>
  <c r="AS160" i="6"/>
  <c r="BX160" i="6"/>
  <c r="BY160" i="6"/>
  <c r="AB159" i="6"/>
  <c r="BT159" i="6" s="1"/>
  <c r="AD159" i="6"/>
  <c r="BV159" i="6" s="1"/>
  <c r="AD160" i="6"/>
  <c r="BV160" i="6" s="1"/>
  <c r="AC160" i="6"/>
  <c r="BU160" i="6" s="1"/>
  <c r="BN158" i="6"/>
  <c r="K160" i="6" a="1"/>
  <c r="K160" i="6" s="1"/>
  <c r="BP160" i="6" s="1"/>
  <c r="G161" i="6" a="1"/>
  <c r="G161" i="6" s="1"/>
  <c r="BN161" i="6" s="1"/>
  <c r="E160" i="6" a="1"/>
  <c r="E160" i="6" s="1"/>
  <c r="BM160" i="6" s="1"/>
  <c r="C161" i="6" a="1"/>
  <c r="C161" i="6" s="1"/>
  <c r="I158" i="6" a="1"/>
  <c r="I158" i="6" s="1"/>
  <c r="AD158" i="6" s="1"/>
  <c r="BV158" i="6" s="1"/>
  <c r="S173" i="6"/>
  <c r="G159" i="6" a="1"/>
  <c r="G159" i="6" s="1"/>
  <c r="AC159" i="6" s="1"/>
  <c r="BU159" i="6" s="1"/>
  <c r="BR159" i="6" l="1"/>
  <c r="AS159" i="6"/>
  <c r="BY159" i="6" s="1"/>
  <c r="O175" i="6" a="1"/>
  <c r="O175" i="6" s="1"/>
  <c r="BR175" i="6" s="1"/>
  <c r="M176" i="6" a="1"/>
  <c r="M176" i="6" s="1"/>
  <c r="BQ176" i="6" s="1"/>
  <c r="AR161" i="6"/>
  <c r="AS161" i="6"/>
  <c r="BY161" i="6" s="1"/>
  <c r="BD161" i="6" s="1"/>
  <c r="BX161" i="6"/>
  <c r="AB160" i="6"/>
  <c r="BT160" i="6" s="1"/>
  <c r="BD160" i="6" s="1"/>
  <c r="AE160" i="6"/>
  <c r="BW160" i="6" s="1"/>
  <c r="AE161" i="6"/>
  <c r="BW161" i="6" s="1"/>
  <c r="AC161" i="6"/>
  <c r="BU161" i="6" s="1"/>
  <c r="AD161" i="6"/>
  <c r="BV161" i="6" s="1"/>
  <c r="AB161" i="6"/>
  <c r="BT161" i="6" s="1"/>
  <c r="BN159" i="6"/>
  <c r="BD159" i="6" s="1"/>
  <c r="BO158" i="6"/>
  <c r="BD158" i="6" s="1"/>
  <c r="G173" i="6" a="1"/>
  <c r="G173" i="6" s="1"/>
  <c r="BN173" i="6" s="1"/>
  <c r="C173" i="6" a="1"/>
  <c r="C173" i="6" s="1"/>
  <c r="K173" i="6" a="1"/>
  <c r="K173" i="6" s="1"/>
  <c r="BP173" i="6" s="1"/>
  <c r="I174" i="6" a="1"/>
  <c r="I174" i="6" s="1"/>
  <c r="BO174" i="6" s="1"/>
  <c r="E175" i="6" a="1"/>
  <c r="E175" i="6" s="1"/>
  <c r="BM175" i="6" s="1"/>
  <c r="S174" i="6"/>
  <c r="O176" i="6" l="1" a="1"/>
  <c r="O176" i="6" s="1"/>
  <c r="BR176" i="6" s="1"/>
  <c r="M175" i="6" a="1"/>
  <c r="M175" i="6" s="1"/>
  <c r="BQ175" i="6" s="1"/>
  <c r="AE173" i="6"/>
  <c r="BW173" i="6" s="1"/>
  <c r="AC173" i="6"/>
  <c r="BU173" i="6" s="1"/>
  <c r="K174" i="6" a="1"/>
  <c r="K174" i="6" s="1"/>
  <c r="BP174" i="6" s="1"/>
  <c r="C174" i="6" a="1"/>
  <c r="C174" i="6" s="1"/>
  <c r="I173" i="6" a="1"/>
  <c r="I173" i="6" s="1"/>
  <c r="BO173" i="6" s="1"/>
  <c r="E176" i="6" a="1"/>
  <c r="E176" i="6" s="1"/>
  <c r="BM176" i="6" s="1"/>
  <c r="G174" i="6" a="1"/>
  <c r="G174" i="6" s="1"/>
  <c r="BN174" i="6" s="1"/>
  <c r="S175" i="6"/>
  <c r="M174" i="6" l="1" a="1"/>
  <c r="M174" i="6" s="1"/>
  <c r="BQ174" i="6" s="1"/>
  <c r="O173" i="6" a="1"/>
  <c r="O173" i="6" s="1"/>
  <c r="AR174" i="6"/>
  <c r="BX174" i="6"/>
  <c r="AD173" i="6"/>
  <c r="BV173" i="6" s="1"/>
  <c r="AD174" i="6"/>
  <c r="BV174" i="6" s="1"/>
  <c r="AC174" i="6"/>
  <c r="BU174" i="6" s="1"/>
  <c r="AE174" i="6"/>
  <c r="BW174" i="6" s="1"/>
  <c r="K176" i="6" a="1"/>
  <c r="K176" i="6" s="1"/>
  <c r="BP176" i="6" s="1"/>
  <c r="I175" i="6" a="1"/>
  <c r="I175" i="6" s="1"/>
  <c r="BO175" i="6" s="1"/>
  <c r="C175" i="6" a="1"/>
  <c r="C175" i="6" s="1"/>
  <c r="G175" i="6" a="1"/>
  <c r="G175" i="6" s="1"/>
  <c r="BN175" i="6" s="1"/>
  <c r="E174" i="6" a="1"/>
  <c r="E174" i="6" s="1"/>
  <c r="BM174" i="6" s="1"/>
  <c r="S176" i="6"/>
  <c r="BR173" i="6" l="1"/>
  <c r="AS173" i="6"/>
  <c r="BY173" i="6" s="1"/>
  <c r="O174" i="6" a="1"/>
  <c r="O174" i="6" s="1"/>
  <c r="M173" i="6" a="1"/>
  <c r="M173" i="6" s="1"/>
  <c r="AS175" i="6"/>
  <c r="AR175" i="6"/>
  <c r="BX175" i="6" s="1"/>
  <c r="BY175" i="6"/>
  <c r="AB174" i="6"/>
  <c r="BT174" i="6" s="1"/>
  <c r="AD175" i="6"/>
  <c r="BV175" i="6" s="1"/>
  <c r="AC175" i="6"/>
  <c r="BU175" i="6" s="1"/>
  <c r="AB175" i="6"/>
  <c r="BT175" i="6" s="1"/>
  <c r="I176" i="6" a="1"/>
  <c r="I176" i="6" s="1"/>
  <c r="BO176" i="6" s="1"/>
  <c r="K175" i="6" a="1"/>
  <c r="K175" i="6" s="1"/>
  <c r="BP175" i="6" s="1"/>
  <c r="E173" i="6" a="1"/>
  <c r="E173" i="6" s="1"/>
  <c r="G176" i="6" a="1"/>
  <c r="G176" i="6" s="1"/>
  <c r="BN176" i="6" s="1"/>
  <c r="C176" i="6" a="1"/>
  <c r="C176" i="6" s="1"/>
  <c r="S177" i="6"/>
  <c r="BD175" i="6" l="1"/>
  <c r="BD176" i="6"/>
  <c r="BR174" i="6"/>
  <c r="BD174" i="6" s="1"/>
  <c r="AS174" i="6"/>
  <c r="BY174" i="6" s="1"/>
  <c r="BQ173" i="6"/>
  <c r="AR173" i="6"/>
  <c r="BX173" i="6" s="1"/>
  <c r="M184" i="6" a="1"/>
  <c r="M184" i="6" s="1"/>
  <c r="BQ184" i="6" s="1"/>
  <c r="O181" i="6" a="1"/>
  <c r="O181" i="6" s="1"/>
  <c r="BR181" i="6" s="1"/>
  <c r="AS176" i="6"/>
  <c r="AR176" i="6"/>
  <c r="BX176" i="6"/>
  <c r="BY176" i="6"/>
  <c r="BM173" i="6"/>
  <c r="BD173" i="6" s="1"/>
  <c r="AB173" i="6"/>
  <c r="BT173" i="6" s="1"/>
  <c r="AE175" i="6"/>
  <c r="BW175" i="6" s="1"/>
  <c r="AE176" i="6"/>
  <c r="BW176" i="6" s="1"/>
  <c r="AD176" i="6"/>
  <c r="BV176" i="6" s="1"/>
  <c r="AC176" i="6"/>
  <c r="BU176" i="6" s="1"/>
  <c r="AB176" i="6"/>
  <c r="BT176" i="6" s="1"/>
  <c r="I179" i="6" a="1"/>
  <c r="I179" i="6" s="1"/>
  <c r="BO179" i="6" s="1"/>
  <c r="E183" i="6" a="1"/>
  <c r="E183" i="6" s="1"/>
  <c r="BM183" i="6" s="1"/>
  <c r="C177" i="6" a="1"/>
  <c r="C177" i="6" s="1"/>
  <c r="K178" i="6" a="1"/>
  <c r="K178" i="6" s="1"/>
  <c r="BP178" i="6" s="1"/>
  <c r="S178" i="6"/>
  <c r="O183" i="6" l="1" a="1"/>
  <c r="O183" i="6" s="1"/>
  <c r="BR183" i="6" s="1"/>
  <c r="M182" i="6" a="1"/>
  <c r="M182" i="6" s="1"/>
  <c r="BQ182" i="6" s="1"/>
  <c r="C178" i="6" a="1"/>
  <c r="C178" i="6" s="1"/>
  <c r="K177" i="6" a="1"/>
  <c r="K177" i="6" s="1"/>
  <c r="BP177" i="6" s="1"/>
  <c r="E181" i="6" a="1"/>
  <c r="E181" i="6" s="1"/>
  <c r="BM181" i="6" s="1"/>
  <c r="G178" i="6" a="1"/>
  <c r="G178" i="6" s="1"/>
  <c r="BN178" i="6" s="1"/>
  <c r="I180" i="6" a="1"/>
  <c r="I180" i="6" s="1"/>
  <c r="BO180" i="6" s="1"/>
  <c r="S179" i="6"/>
  <c r="O182" i="6" l="1" a="1"/>
  <c r="O182" i="6" s="1"/>
  <c r="BR182" i="6" s="1"/>
  <c r="M183" i="6" a="1"/>
  <c r="M183" i="6" s="1"/>
  <c r="BQ183" i="6" s="1"/>
  <c r="AE177" i="6"/>
  <c r="BW177" i="6" s="1"/>
  <c r="AC178" i="6"/>
  <c r="BU178" i="6" s="1"/>
  <c r="AE178" i="6"/>
  <c r="BW178" i="6" s="1"/>
  <c r="I177" i="6" a="1"/>
  <c r="I177" i="6" s="1"/>
  <c r="AD177" i="6" s="1"/>
  <c r="BV177" i="6" s="1"/>
  <c r="K180" i="6" a="1"/>
  <c r="K180" i="6" s="1"/>
  <c r="BP180" i="6" s="1"/>
  <c r="E184" i="6" a="1"/>
  <c r="E184" i="6" s="1"/>
  <c r="BM184" i="6" s="1"/>
  <c r="G179" i="6" a="1"/>
  <c r="G179" i="6" s="1"/>
  <c r="BN179" i="6" s="1"/>
  <c r="C179" i="6" a="1"/>
  <c r="C179" i="6" s="1"/>
  <c r="S180" i="6"/>
  <c r="O184" i="6" l="1" a="1"/>
  <c r="O184" i="6" s="1"/>
  <c r="BR184" i="6" s="1"/>
  <c r="M181" i="6" a="1"/>
  <c r="M181" i="6" s="1"/>
  <c r="BQ181" i="6" s="1"/>
  <c r="AC179" i="6"/>
  <c r="BU179" i="6" s="1"/>
  <c r="AD179" i="6"/>
  <c r="BV179" i="6" s="1"/>
  <c r="I178" i="6" a="1"/>
  <c r="I178" i="6" s="1"/>
  <c r="AD178" i="6" s="1"/>
  <c r="BV178" i="6" s="1"/>
  <c r="G180" i="6" a="1"/>
  <c r="G180" i="6" s="1"/>
  <c r="BN180" i="6" s="1"/>
  <c r="K179" i="6" a="1"/>
  <c r="K179" i="6" s="1"/>
  <c r="BP179" i="6" s="1"/>
  <c r="E182" i="6" a="1"/>
  <c r="E182" i="6" s="1"/>
  <c r="BM182" i="6" s="1"/>
  <c r="C180" i="6" a="1"/>
  <c r="C180" i="6" s="1"/>
  <c r="S181" i="6"/>
  <c r="G177" i="6" a="1"/>
  <c r="G177" i="6" s="1"/>
  <c r="AC177" i="6" s="1"/>
  <c r="BU177" i="6" s="1"/>
  <c r="BO177" i="6"/>
  <c r="O177" i="6" l="1" a="1"/>
  <c r="O177" i="6" s="1"/>
  <c r="M180" i="6" a="1"/>
  <c r="M180" i="6" s="1"/>
  <c r="BQ180" i="6" s="1"/>
  <c r="AE179" i="6"/>
  <c r="BW179" i="6" s="1"/>
  <c r="AC180" i="6"/>
  <c r="BU180" i="6" s="1"/>
  <c r="AD180" i="6"/>
  <c r="BV180" i="6" s="1"/>
  <c r="AE180" i="6"/>
  <c r="BW180" i="6" s="1"/>
  <c r="K182" i="6" a="1"/>
  <c r="K182" i="6" s="1"/>
  <c r="BP182" i="6" s="1"/>
  <c r="I183" i="6" a="1"/>
  <c r="I183" i="6" s="1"/>
  <c r="BO183" i="6" s="1"/>
  <c r="E179" i="6" a="1"/>
  <c r="E179" i="6" s="1"/>
  <c r="C181" i="6" a="1"/>
  <c r="C181" i="6" s="1"/>
  <c r="S182" i="6"/>
  <c r="BO178" i="6"/>
  <c r="BN177" i="6"/>
  <c r="AR180" i="6" l="1"/>
  <c r="BX180" i="6" s="1"/>
  <c r="BR177" i="6"/>
  <c r="AS177" i="6"/>
  <c r="BY177" i="6" s="1"/>
  <c r="M178" i="6" a="1"/>
  <c r="M178" i="6" s="1"/>
  <c r="O179" i="6" a="1"/>
  <c r="O179" i="6" s="1"/>
  <c r="AR181" i="6"/>
  <c r="AS181" i="6"/>
  <c r="BX181" i="6"/>
  <c r="BY181" i="6"/>
  <c r="BM179" i="6"/>
  <c r="AB179" i="6"/>
  <c r="BT179" i="6" s="1"/>
  <c r="AB181" i="6"/>
  <c r="BT181" i="6" s="1"/>
  <c r="G182" i="6" a="1"/>
  <c r="G182" i="6" s="1"/>
  <c r="BN182" i="6" s="1"/>
  <c r="E177" i="6" a="1"/>
  <c r="E177" i="6" s="1"/>
  <c r="K181" i="6" a="1"/>
  <c r="K181" i="6" s="1"/>
  <c r="BP181" i="6" s="1"/>
  <c r="C182" i="6" a="1"/>
  <c r="C182" i="6" s="1"/>
  <c r="I184" i="6" a="1"/>
  <c r="I184" i="6" s="1"/>
  <c r="BO184" i="6" s="1"/>
  <c r="S183" i="6"/>
  <c r="BR179" i="6" l="1"/>
  <c r="AS179" i="6"/>
  <c r="BY179" i="6" s="1"/>
  <c r="BQ178" i="6"/>
  <c r="AR178" i="6"/>
  <c r="BX178" i="6" s="1"/>
  <c r="M179" i="6" a="1"/>
  <c r="M179" i="6" s="1"/>
  <c r="O178" i="6" a="1"/>
  <c r="O178" i="6" s="1"/>
  <c r="AS182" i="6"/>
  <c r="AR182" i="6"/>
  <c r="BX182" i="6"/>
  <c r="BY182" i="6"/>
  <c r="AE181" i="6"/>
  <c r="BW181" i="6" s="1"/>
  <c r="BM177" i="6"/>
  <c r="AB177" i="6"/>
  <c r="BT177" i="6" s="1"/>
  <c r="AE182" i="6"/>
  <c r="BW182" i="6" s="1"/>
  <c r="AC182" i="6"/>
  <c r="BU182" i="6" s="1"/>
  <c r="AB182" i="6"/>
  <c r="BT182" i="6" s="1"/>
  <c r="I181" i="6" a="1"/>
  <c r="I181" i="6" s="1"/>
  <c r="AD181" i="6" s="1"/>
  <c r="BV181" i="6" s="1"/>
  <c r="G183" i="6" a="1"/>
  <c r="G183" i="6" s="1"/>
  <c r="BN183" i="6" s="1"/>
  <c r="C183" i="6" a="1"/>
  <c r="C183" i="6" s="1"/>
  <c r="E180" i="6" a="1"/>
  <c r="E180" i="6" s="1"/>
  <c r="K184" i="6" a="1"/>
  <c r="K184" i="6" s="1"/>
  <c r="BP184" i="6" s="1"/>
  <c r="S184" i="6"/>
  <c r="BQ179" i="6" l="1"/>
  <c r="BD179" i="6" s="1"/>
  <c r="AR179" i="6"/>
  <c r="BX179" i="6" s="1"/>
  <c r="BR178" i="6"/>
  <c r="AS178" i="6"/>
  <c r="BY178" i="6" s="1"/>
  <c r="M177" i="6" a="1"/>
  <c r="M177" i="6" s="1"/>
  <c r="O180" i="6" a="1"/>
  <c r="O180" i="6" s="1"/>
  <c r="AR183" i="6"/>
  <c r="AS183" i="6"/>
  <c r="BY183" i="6"/>
  <c r="BX183" i="6"/>
  <c r="BM180" i="6"/>
  <c r="AB180" i="6"/>
  <c r="BT180" i="6" s="1"/>
  <c r="AC183" i="6"/>
  <c r="BU183" i="6" s="1"/>
  <c r="AB183" i="6"/>
  <c r="BT183" i="6" s="1"/>
  <c r="AD183" i="6"/>
  <c r="BV183" i="6" s="1"/>
  <c r="I182" i="6" a="1"/>
  <c r="I182" i="6" s="1"/>
  <c r="AD182" i="6" s="1"/>
  <c r="BV182" i="6" s="1"/>
  <c r="G184" i="6" a="1"/>
  <c r="G184" i="6" s="1"/>
  <c r="BN184" i="6" s="1"/>
  <c r="C184" i="6" a="1"/>
  <c r="C184" i="6" s="1"/>
  <c r="K183" i="6" a="1"/>
  <c r="K183" i="6" s="1"/>
  <c r="BP183" i="6" s="1"/>
  <c r="E178" i="6" a="1"/>
  <c r="E178" i="6" s="1"/>
  <c r="S185" i="6"/>
  <c r="G181" i="6" a="1"/>
  <c r="G181" i="6" s="1"/>
  <c r="AC181" i="6" s="1"/>
  <c r="BU181" i="6" s="1"/>
  <c r="BO181" i="6"/>
  <c r="BD183" i="6" l="1"/>
  <c r="BR180" i="6"/>
  <c r="BD180" i="6" s="1"/>
  <c r="AS180" i="6"/>
  <c r="BY180" i="6" s="1"/>
  <c r="BQ177" i="6"/>
  <c r="BD177" i="6" s="1"/>
  <c r="AR177" i="6"/>
  <c r="BX177" i="6" s="1"/>
  <c r="O192" i="6" a="1"/>
  <c r="O192" i="6" s="1"/>
  <c r="BR192" i="6" s="1"/>
  <c r="M190" i="6" a="1"/>
  <c r="M190" i="6" s="1"/>
  <c r="BQ190" i="6" s="1"/>
  <c r="AR184" i="6"/>
  <c r="BX184" i="6" s="1"/>
  <c r="AS184" i="6"/>
  <c r="BY184" i="6"/>
  <c r="BM178" i="6"/>
  <c r="BD178" i="6" s="1"/>
  <c r="AB178" i="6"/>
  <c r="BT178" i="6" s="1"/>
  <c r="AE183" i="6"/>
  <c r="BW183" i="6" s="1"/>
  <c r="AE184" i="6"/>
  <c r="BW184" i="6" s="1"/>
  <c r="AD184" i="6"/>
  <c r="BV184" i="6" s="1"/>
  <c r="AB184" i="6"/>
  <c r="BT184" i="6" s="1"/>
  <c r="BD184" i="6" s="1"/>
  <c r="AC184" i="6"/>
  <c r="BU184" i="6" s="1"/>
  <c r="BN181" i="6"/>
  <c r="BD181" i="6" s="1"/>
  <c r="I191" i="6" a="1"/>
  <c r="I191" i="6" s="1"/>
  <c r="BO191" i="6" s="1"/>
  <c r="E188" i="6" a="1"/>
  <c r="E188" i="6" s="1"/>
  <c r="BM188" i="6" s="1"/>
  <c r="C185" i="6" a="1"/>
  <c r="C185" i="6" s="1"/>
  <c r="K189" i="6" a="1"/>
  <c r="K189" i="6" s="1"/>
  <c r="BP189" i="6" s="1"/>
  <c r="S186" i="6"/>
  <c r="BO182" i="6"/>
  <c r="BD182" i="6" s="1"/>
  <c r="M189" i="6" l="1" a="1"/>
  <c r="M189" i="6" s="1"/>
  <c r="BQ189" i="6" s="1"/>
  <c r="O191" i="6" a="1"/>
  <c r="O191" i="6" s="1"/>
  <c r="BR191" i="6" s="1"/>
  <c r="K192" i="6" a="1"/>
  <c r="K192" i="6" s="1"/>
  <c r="BP192" i="6" s="1"/>
  <c r="C186" i="6" a="1"/>
  <c r="C186" i="6" s="1"/>
  <c r="I190" i="6" a="1"/>
  <c r="I190" i="6" s="1"/>
  <c r="BO190" i="6" s="1"/>
  <c r="E185" i="6" a="1"/>
  <c r="E185" i="6" s="1"/>
  <c r="BM185" i="6" s="1"/>
  <c r="S187" i="6"/>
  <c r="M192" i="6" l="1" a="1"/>
  <c r="M192" i="6" s="1"/>
  <c r="BQ192" i="6" s="1"/>
  <c r="O190" i="6" a="1"/>
  <c r="O190" i="6" s="1"/>
  <c r="BR190" i="6" s="1"/>
  <c r="AB185" i="6"/>
  <c r="BT185" i="6" s="1"/>
  <c r="C187" i="6" a="1"/>
  <c r="C187" i="6" s="1"/>
  <c r="E186" i="6" a="1"/>
  <c r="E186" i="6" s="1"/>
  <c r="BM186" i="6" s="1"/>
  <c r="G187" i="6" a="1"/>
  <c r="G187" i="6" s="1"/>
  <c r="BN187" i="6" s="1"/>
  <c r="I189" i="6" a="1"/>
  <c r="I189" i="6" s="1"/>
  <c r="BO189" i="6" s="1"/>
  <c r="K191" i="6" a="1"/>
  <c r="K191" i="6" s="1"/>
  <c r="BP191" i="6" s="1"/>
  <c r="S188" i="6"/>
  <c r="G185" i="6" a="1"/>
  <c r="G185" i="6" s="1"/>
  <c r="AC185" i="6" s="1"/>
  <c r="BU185" i="6" s="1"/>
  <c r="M191" i="6" l="1" a="1"/>
  <c r="M191" i="6" s="1"/>
  <c r="BQ191" i="6" s="1"/>
  <c r="O189" i="6" a="1"/>
  <c r="O189" i="6" s="1"/>
  <c r="BR189" i="6" s="1"/>
  <c r="AB186" i="6"/>
  <c r="BT186" i="6" s="1"/>
  <c r="AC187" i="6"/>
  <c r="BU187" i="6" s="1"/>
  <c r="BN185" i="6"/>
  <c r="G188" i="6" a="1"/>
  <c r="G188" i="6" s="1"/>
  <c r="BN188" i="6" s="1"/>
  <c r="I192" i="6" a="1"/>
  <c r="I192" i="6" s="1"/>
  <c r="BO192" i="6" s="1"/>
  <c r="K190" i="6" a="1"/>
  <c r="K190" i="6" s="1"/>
  <c r="BP190" i="6" s="1"/>
  <c r="E187" i="6" a="1"/>
  <c r="E187" i="6" s="1"/>
  <c r="BM187" i="6" s="1"/>
  <c r="C188" i="6" a="1"/>
  <c r="C188" i="6" s="1"/>
  <c r="S189" i="6"/>
  <c r="G186" i="6" a="1"/>
  <c r="G186" i="6" s="1"/>
  <c r="AC186" i="6" s="1"/>
  <c r="BU186" i="6" s="1"/>
  <c r="M186" i="6" l="1" a="1"/>
  <c r="M186" i="6" s="1"/>
  <c r="O188" i="6" a="1"/>
  <c r="O188" i="6" s="1"/>
  <c r="BR188" i="6" s="1"/>
  <c r="AS188" i="6"/>
  <c r="BY188" i="6"/>
  <c r="AB187" i="6"/>
  <c r="BT187" i="6" s="1"/>
  <c r="AC188" i="6"/>
  <c r="BU188" i="6" s="1"/>
  <c r="AB188" i="6"/>
  <c r="BT188" i="6" s="1"/>
  <c r="BN186" i="6"/>
  <c r="I187" i="6" a="1"/>
  <c r="I187" i="6" s="1"/>
  <c r="AD187" i="6" s="1"/>
  <c r="BV187" i="6" s="1"/>
  <c r="E192" i="6" a="1"/>
  <c r="E192" i="6" s="1"/>
  <c r="BM192" i="6" s="1"/>
  <c r="C189" i="6" a="1"/>
  <c r="C189" i="6" s="1"/>
  <c r="K185" i="6" a="1"/>
  <c r="K185" i="6" s="1"/>
  <c r="AE185" i="6" s="1"/>
  <c r="BW185" i="6" s="1"/>
  <c r="S190" i="6"/>
  <c r="BQ186" i="6" l="1"/>
  <c r="AR186" i="6"/>
  <c r="BX186" i="6" s="1"/>
  <c r="M185" i="6" a="1"/>
  <c r="M185" i="6" s="1"/>
  <c r="O187" i="6" a="1"/>
  <c r="O187" i="6" s="1"/>
  <c r="AS189" i="6"/>
  <c r="BY189" i="6" s="1"/>
  <c r="AR189" i="6"/>
  <c r="BX189" i="6"/>
  <c r="AD189" i="6"/>
  <c r="BV189" i="6" s="1"/>
  <c r="AE189" i="6"/>
  <c r="BW189" i="6" s="1"/>
  <c r="I186" i="6" a="1"/>
  <c r="I186" i="6" s="1"/>
  <c r="AD186" i="6" s="1"/>
  <c r="BV186" i="6" s="1"/>
  <c r="E189" i="6" a="1"/>
  <c r="E189" i="6" s="1"/>
  <c r="BM189" i="6" s="1"/>
  <c r="C190" i="6" a="1"/>
  <c r="C190" i="6" s="1"/>
  <c r="K188" i="6" a="1"/>
  <c r="K188" i="6" s="1"/>
  <c r="AE188" i="6" s="1"/>
  <c r="BW188" i="6" s="1"/>
  <c r="S191" i="6"/>
  <c r="BP185" i="6"/>
  <c r="BO187" i="6"/>
  <c r="BR187" i="6" l="1"/>
  <c r="AS187" i="6"/>
  <c r="BY187" i="6" s="1"/>
  <c r="BQ185" i="6"/>
  <c r="AR185" i="6"/>
  <c r="BX185" i="6" s="1"/>
  <c r="O186" i="6" a="1"/>
  <c r="O186" i="6" s="1"/>
  <c r="M188" i="6" a="1"/>
  <c r="M188" i="6" s="1"/>
  <c r="AS190" i="6"/>
  <c r="AR190" i="6"/>
  <c r="BX190" i="6" s="1"/>
  <c r="BY190" i="6"/>
  <c r="AB189" i="6"/>
  <c r="BT189" i="6" s="1"/>
  <c r="AE190" i="6"/>
  <c r="BW190" i="6" s="1"/>
  <c r="AD190" i="6"/>
  <c r="BV190" i="6" s="1"/>
  <c r="G191" i="6" a="1"/>
  <c r="G191" i="6" s="1"/>
  <c r="BN191" i="6" s="1"/>
  <c r="C191" i="6" a="1"/>
  <c r="C191" i="6" s="1"/>
  <c r="K187" i="6" a="1"/>
  <c r="K187" i="6" s="1"/>
  <c r="AE187" i="6" s="1"/>
  <c r="BW187" i="6" s="1"/>
  <c r="E190" i="6" a="1"/>
  <c r="E190" i="6" s="1"/>
  <c r="BM190" i="6" s="1"/>
  <c r="I185" i="6" a="1"/>
  <c r="I185" i="6" s="1"/>
  <c r="AD185" i="6" s="1"/>
  <c r="BV185" i="6" s="1"/>
  <c r="S192" i="6"/>
  <c r="G189" i="6" a="1"/>
  <c r="G189" i="6" s="1"/>
  <c r="AC189" i="6" s="1"/>
  <c r="BU189" i="6" s="1"/>
  <c r="BP188" i="6"/>
  <c r="BO186" i="6"/>
  <c r="BQ188" i="6" l="1"/>
  <c r="AR188" i="6"/>
  <c r="BX188" i="6" s="1"/>
  <c r="BR186" i="6"/>
  <c r="AS186" i="6"/>
  <c r="BY186" i="6" s="1"/>
  <c r="M187" i="6" a="1"/>
  <c r="M187" i="6" s="1"/>
  <c r="O185" i="6" a="1"/>
  <c r="O185" i="6" s="1"/>
  <c r="AR191" i="6"/>
  <c r="AS191" i="6"/>
  <c r="BY191" i="6"/>
  <c r="BX191" i="6"/>
  <c r="AB190" i="6"/>
  <c r="BT190" i="6" s="1"/>
  <c r="AE191" i="6"/>
  <c r="BW191" i="6" s="1"/>
  <c r="AD191" i="6"/>
  <c r="BV191" i="6" s="1"/>
  <c r="AC191" i="6"/>
  <c r="BU191" i="6" s="1"/>
  <c r="BN189" i="6"/>
  <c r="BD189" i="6" s="1"/>
  <c r="E191" i="6" a="1"/>
  <c r="E191" i="6" s="1"/>
  <c r="BM191" i="6" s="1"/>
  <c r="G192" i="6" a="1"/>
  <c r="G192" i="6" s="1"/>
  <c r="BN192" i="6" s="1"/>
  <c r="K186" i="6" a="1"/>
  <c r="K186" i="6" s="1"/>
  <c r="AE186" i="6" s="1"/>
  <c r="BW186" i="6" s="1"/>
  <c r="I188" i="6" a="1"/>
  <c r="I188" i="6" s="1"/>
  <c r="AD188" i="6" s="1"/>
  <c r="BV188" i="6" s="1"/>
  <c r="C192" i="6" a="1"/>
  <c r="C192" i="6" s="1"/>
  <c r="S193" i="6"/>
  <c r="G190" i="6" a="1"/>
  <c r="G190" i="6" s="1"/>
  <c r="AC190" i="6" s="1"/>
  <c r="BU190" i="6" s="1"/>
  <c r="BO185" i="6"/>
  <c r="BP187" i="6"/>
  <c r="BR185" i="6" l="1"/>
  <c r="BD185" i="6" s="1"/>
  <c r="AS185" i="6"/>
  <c r="BY185" i="6" s="1"/>
  <c r="BQ187" i="6"/>
  <c r="BD187" i="6" s="1"/>
  <c r="AR187" i="6"/>
  <c r="BX187" i="6" s="1"/>
  <c r="M196" i="6" a="1"/>
  <c r="M196" i="6" s="1"/>
  <c r="BQ196" i="6" s="1"/>
  <c r="O196" i="6" a="1"/>
  <c r="O196" i="6" s="1"/>
  <c r="BR196" i="6" s="1"/>
  <c r="AS192" i="6"/>
  <c r="BY192" i="6" s="1"/>
  <c r="AR192" i="6"/>
  <c r="BX192" i="6" s="1"/>
  <c r="AB191" i="6"/>
  <c r="BT191" i="6" s="1"/>
  <c r="BD191" i="6" s="1"/>
  <c r="AD192" i="6"/>
  <c r="BV192" i="6" s="1"/>
  <c r="AC192" i="6"/>
  <c r="BU192" i="6" s="1"/>
  <c r="AE192" i="6"/>
  <c r="BW192" i="6" s="1"/>
  <c r="AB192" i="6"/>
  <c r="BT192" i="6" s="1"/>
  <c r="BD192" i="6" s="1"/>
  <c r="G193" i="6" a="1"/>
  <c r="G193" i="6" s="1"/>
  <c r="BN193" i="6" s="1"/>
  <c r="I193" i="6" a="1"/>
  <c r="I193" i="6" s="1"/>
  <c r="BO193" i="6" s="1"/>
  <c r="E196" i="6" a="1"/>
  <c r="E196" i="6" s="1"/>
  <c r="BM196" i="6" s="1"/>
  <c r="C193" i="6" a="1"/>
  <c r="C193" i="6" s="1"/>
  <c r="K193" i="6" a="1"/>
  <c r="K193" i="6" s="1"/>
  <c r="BP193" i="6" s="1"/>
  <c r="S194" i="6"/>
  <c r="BO188" i="6"/>
  <c r="BD188" i="6" s="1"/>
  <c r="BP186" i="6"/>
  <c r="BD186" i="6" s="1"/>
  <c r="BN190" i="6"/>
  <c r="BD190" i="6" s="1"/>
  <c r="O195" i="6" l="1" a="1"/>
  <c r="O195" i="6" s="1"/>
  <c r="BR195" i="6" s="1"/>
  <c r="M201" i="6" a="1"/>
  <c r="M201" i="6" s="1"/>
  <c r="BQ201" i="6" s="1"/>
  <c r="AD193" i="6"/>
  <c r="BV193" i="6" s="1"/>
  <c r="AE193" i="6"/>
  <c r="BW193" i="6" s="1"/>
  <c r="AC193" i="6"/>
  <c r="BU193" i="6" s="1"/>
  <c r="C194" i="6" a="1"/>
  <c r="C194" i="6" s="1"/>
  <c r="E201" i="6" a="1"/>
  <c r="E201" i="6" s="1"/>
  <c r="BM201" i="6" s="1"/>
  <c r="I194" i="6" a="1"/>
  <c r="I194" i="6" s="1"/>
  <c r="BO194" i="6" s="1"/>
  <c r="K202" i="6" a="1"/>
  <c r="K202" i="6" s="1"/>
  <c r="BP202" i="6" s="1"/>
  <c r="S195" i="6"/>
  <c r="O194" i="6" l="1" a="1"/>
  <c r="O194" i="6" s="1"/>
  <c r="BR194" i="6" s="1"/>
  <c r="M202" i="6" a="1"/>
  <c r="M202" i="6" s="1"/>
  <c r="BQ202" i="6" s="1"/>
  <c r="AD194" i="6"/>
  <c r="BV194" i="6" s="1"/>
  <c r="E194" i="6" a="1"/>
  <c r="E194" i="6" s="1"/>
  <c r="BM194" i="6" s="1"/>
  <c r="K195" i="6" a="1"/>
  <c r="K195" i="6" s="1"/>
  <c r="BP195" i="6" s="1"/>
  <c r="I201" i="6" a="1"/>
  <c r="I201" i="6" s="1"/>
  <c r="BO201" i="6" s="1"/>
  <c r="C195" i="6" a="1"/>
  <c r="C195" i="6" s="1"/>
  <c r="S196" i="6"/>
  <c r="AS194" i="6" l="1"/>
  <c r="BY194" i="6" s="1"/>
  <c r="O193" i="6" a="1"/>
  <c r="O193" i="6" s="1"/>
  <c r="M193" i="6" a="1"/>
  <c r="M193" i="6" s="1"/>
  <c r="AS195" i="6"/>
  <c r="BY195" i="6"/>
  <c r="AB194" i="6"/>
  <c r="BT194" i="6" s="1"/>
  <c r="AE195" i="6"/>
  <c r="BW195" i="6" s="1"/>
  <c r="I196" i="6" a="1"/>
  <c r="I196" i="6" s="1"/>
  <c r="BO196" i="6" s="1"/>
  <c r="G196" i="6" a="1"/>
  <c r="G196" i="6" s="1"/>
  <c r="BN196" i="6" s="1"/>
  <c r="K196" i="6" a="1"/>
  <c r="K196" i="6" s="1"/>
  <c r="BP196" i="6" s="1"/>
  <c r="E193" i="6" a="1"/>
  <c r="E193" i="6" s="1"/>
  <c r="C196" i="6" a="1"/>
  <c r="C196" i="6" s="1"/>
  <c r="S197" i="6"/>
  <c r="BD196" i="6" l="1"/>
  <c r="BQ193" i="6"/>
  <c r="AR193" i="6"/>
  <c r="BX193" i="6" s="1"/>
  <c r="BR193" i="6"/>
  <c r="AS193" i="6"/>
  <c r="BY193" i="6" s="1"/>
  <c r="O197" i="6" a="1"/>
  <c r="O197" i="6" s="1"/>
  <c r="BR197" i="6" s="1"/>
  <c r="M199" i="6" a="1"/>
  <c r="M199" i="6" s="1"/>
  <c r="BQ199" i="6" s="1"/>
  <c r="AS196" i="6"/>
  <c r="AR196" i="6"/>
  <c r="BX196" i="6"/>
  <c r="BY196" i="6"/>
  <c r="BM193" i="6"/>
  <c r="BD193" i="6" s="1"/>
  <c r="AB193" i="6"/>
  <c r="BT193" i="6" s="1"/>
  <c r="AE196" i="6"/>
  <c r="BW196" i="6" s="1"/>
  <c r="AD196" i="6"/>
  <c r="BV196" i="6" s="1"/>
  <c r="AB196" i="6"/>
  <c r="BT196" i="6" s="1"/>
  <c r="AC196" i="6"/>
  <c r="BU196" i="6" s="1"/>
  <c r="C197" i="6" a="1"/>
  <c r="C197" i="6" s="1"/>
  <c r="K200" i="6" a="1"/>
  <c r="K200" i="6" s="1"/>
  <c r="BP200" i="6" s="1"/>
  <c r="I198" i="6" a="1"/>
  <c r="I198" i="6" s="1"/>
  <c r="BO198" i="6" s="1"/>
  <c r="E198" i="6" a="1"/>
  <c r="E198" i="6" s="1"/>
  <c r="BM198" i="6" s="1"/>
  <c r="S198" i="6"/>
  <c r="M198" i="6" l="1" a="1"/>
  <c r="M198" i="6" s="1"/>
  <c r="BQ198" i="6" s="1"/>
  <c r="O200" i="6" a="1"/>
  <c r="O200" i="6" s="1"/>
  <c r="BR200" i="6" s="1"/>
  <c r="AS197" i="6"/>
  <c r="BY197" i="6"/>
  <c r="S199" i="6"/>
  <c r="K199" i="6" a="1"/>
  <c r="K199" i="6" s="1"/>
  <c r="BP199" i="6" s="1"/>
  <c r="I197" i="6" a="1"/>
  <c r="I197" i="6" s="1"/>
  <c r="BO197" i="6" s="1"/>
  <c r="E199" i="6" a="1"/>
  <c r="E199" i="6" s="1"/>
  <c r="BM199" i="6" s="1"/>
  <c r="C198" i="6" a="1"/>
  <c r="C198" i="6" s="1"/>
  <c r="AR198" i="6" l="1"/>
  <c r="M197" i="6" a="1"/>
  <c r="M197" i="6" s="1"/>
  <c r="O199" i="6" a="1"/>
  <c r="O199" i="6" s="1"/>
  <c r="BR199" i="6" s="1"/>
  <c r="BX198" i="6"/>
  <c r="G197" i="6" a="1"/>
  <c r="G197" i="6" s="1"/>
  <c r="BN197" i="6" s="1"/>
  <c r="AD197" i="6"/>
  <c r="BV197" i="6" s="1"/>
  <c r="AD198" i="6"/>
  <c r="BV198" i="6" s="1"/>
  <c r="AB198" i="6"/>
  <c r="BT198" i="6" s="1"/>
  <c r="E200" i="6" a="1"/>
  <c r="E200" i="6" s="1"/>
  <c r="BM200" i="6" s="1"/>
  <c r="I200" i="6" a="1"/>
  <c r="I200" i="6" s="1"/>
  <c r="BO200" i="6" s="1"/>
  <c r="K198" i="6" a="1"/>
  <c r="K198" i="6" s="1"/>
  <c r="BP198" i="6" s="1"/>
  <c r="G199" i="6" a="1"/>
  <c r="G199" i="6" s="1"/>
  <c r="BN199" i="6" s="1"/>
  <c r="C199" i="6" a="1"/>
  <c r="C199" i="6" s="1"/>
  <c r="S200" i="6"/>
  <c r="BQ197" i="6" l="1"/>
  <c r="AR197" i="6"/>
  <c r="BX197" i="6" s="1"/>
  <c r="O198" i="6" a="1"/>
  <c r="O198" i="6" s="1"/>
  <c r="M200" i="6" a="1"/>
  <c r="M200" i="6" s="1"/>
  <c r="BQ200" i="6" s="1"/>
  <c r="AR199" i="6"/>
  <c r="AS199" i="6"/>
  <c r="BX199" i="6"/>
  <c r="BY199" i="6"/>
  <c r="AC197" i="6"/>
  <c r="BU197" i="6" s="1"/>
  <c r="G198" i="6" a="1"/>
  <c r="G198" i="6" s="1"/>
  <c r="BN198" i="6" s="1"/>
  <c r="AE198" i="6"/>
  <c r="BW198" i="6" s="1"/>
  <c r="AB199" i="6"/>
  <c r="BT199" i="6" s="1"/>
  <c r="AE199" i="6"/>
  <c r="BW199" i="6" s="1"/>
  <c r="AC199" i="6"/>
  <c r="BU199" i="6" s="1"/>
  <c r="C200" i="6" a="1"/>
  <c r="C200" i="6" s="1"/>
  <c r="E197" i="6" a="1"/>
  <c r="E197" i="6" s="1"/>
  <c r="G200" i="6" a="1"/>
  <c r="G200" i="6" s="1"/>
  <c r="BN200" i="6" s="1"/>
  <c r="I199" i="6" a="1"/>
  <c r="I199" i="6" s="1"/>
  <c r="BO199" i="6" s="1"/>
  <c r="K197" i="6" a="1"/>
  <c r="K197" i="6" s="1"/>
  <c r="AE197" i="6" s="1"/>
  <c r="BW197" i="6" s="1"/>
  <c r="S201" i="6"/>
  <c r="BR198" i="6" l="1"/>
  <c r="AS198" i="6"/>
  <c r="BY198" i="6" s="1"/>
  <c r="O202" i="6" a="1"/>
  <c r="O202" i="6" s="1"/>
  <c r="BR202" i="6" s="1"/>
  <c r="M194" i="6" a="1"/>
  <c r="M194" i="6" s="1"/>
  <c r="AS200" i="6"/>
  <c r="AR200" i="6"/>
  <c r="BX200" i="6"/>
  <c r="BY200" i="6"/>
  <c r="AC198" i="6"/>
  <c r="BU198" i="6" s="1"/>
  <c r="BD198" i="6" s="1"/>
  <c r="AD199" i="6"/>
  <c r="BV199" i="6" s="1"/>
  <c r="BD199" i="6" s="1"/>
  <c r="BM197" i="6"/>
  <c r="AB197" i="6"/>
  <c r="BT197" i="6" s="1"/>
  <c r="AE200" i="6"/>
  <c r="BW200" i="6" s="1"/>
  <c r="AC200" i="6"/>
  <c r="BU200" i="6" s="1"/>
  <c r="AB200" i="6"/>
  <c r="BT200" i="6" s="1"/>
  <c r="BD200" i="6" s="1"/>
  <c r="AD200" i="6"/>
  <c r="BV200" i="6" s="1"/>
  <c r="BP197" i="6"/>
  <c r="I195" i="6" a="1"/>
  <c r="I195" i="6" s="1"/>
  <c r="AD195" i="6" s="1"/>
  <c r="BV195" i="6" s="1"/>
  <c r="K201" i="6" a="1"/>
  <c r="K201" i="6" s="1"/>
  <c r="BP201" i="6" s="1"/>
  <c r="E202" i="6" a="1"/>
  <c r="E202" i="6" s="1"/>
  <c r="BM202" i="6" s="1"/>
  <c r="C201" i="6" a="1"/>
  <c r="C201" i="6" s="1"/>
  <c r="G201" i="6" a="1"/>
  <c r="G201" i="6" s="1"/>
  <c r="BN201" i="6" s="1"/>
  <c r="S202" i="6"/>
  <c r="G195" i="6" a="1"/>
  <c r="G195" i="6" s="1"/>
  <c r="AC195" i="6" s="1"/>
  <c r="BU195" i="6" s="1"/>
  <c r="BQ194" i="6" l="1"/>
  <c r="AR194" i="6"/>
  <c r="BX194" i="6" s="1"/>
  <c r="BD197" i="6"/>
  <c r="M195" i="6" a="1"/>
  <c r="M195" i="6" s="1"/>
  <c r="O201" i="6" a="1"/>
  <c r="O201" i="6" s="1"/>
  <c r="BR201" i="6" s="1"/>
  <c r="AR201" i="6"/>
  <c r="BX201" i="6"/>
  <c r="AV1" i="6"/>
  <c r="AD201" i="6"/>
  <c r="BV201" i="6" s="1"/>
  <c r="AB201" i="6"/>
  <c r="BT201" i="6" s="1"/>
  <c r="AE201" i="6"/>
  <c r="BW201" i="6" s="1"/>
  <c r="AC201" i="6"/>
  <c r="BU201" i="6" s="1"/>
  <c r="BN195" i="6"/>
  <c r="BO195" i="6"/>
  <c r="G202" i="6" a="1"/>
  <c r="G202" i="6" s="1"/>
  <c r="BN202" i="6" s="1"/>
  <c r="K194" i="6" a="1"/>
  <c r="K194" i="6" s="1"/>
  <c r="AE194" i="6" s="1"/>
  <c r="BW194" i="6" s="1"/>
  <c r="I202" i="6" a="1"/>
  <c r="I202" i="6" s="1"/>
  <c r="BO202" i="6" s="1"/>
  <c r="E195" i="6" a="1"/>
  <c r="E195" i="6" s="1"/>
  <c r="C202" i="6" a="1"/>
  <c r="C202" i="6" s="1"/>
  <c r="G194" i="6" a="1"/>
  <c r="G194" i="6" s="1"/>
  <c r="AC194" i="6" s="1"/>
  <c r="BU194" i="6" s="1"/>
  <c r="AS201" i="6" l="1"/>
  <c r="BY201" i="6" s="1"/>
  <c r="BD201" i="6" s="1"/>
  <c r="BQ195" i="6"/>
  <c r="AR195" i="6"/>
  <c r="BX195" i="6" s="1"/>
  <c r="AR202" i="6"/>
  <c r="AS202" i="6"/>
  <c r="BX202" i="6"/>
  <c r="BY202" i="6"/>
  <c r="BM195" i="6"/>
  <c r="BD195" i="6" s="1"/>
  <c r="AB195" i="6"/>
  <c r="BT195" i="6" s="1"/>
  <c r="AE202" i="6"/>
  <c r="BW202" i="6" s="1"/>
  <c r="AC202" i="6"/>
  <c r="BU202" i="6" s="1"/>
  <c r="AB202" i="6"/>
  <c r="BT202" i="6" s="1"/>
  <c r="BD202" i="6" s="1"/>
  <c r="AD202" i="6"/>
  <c r="BV202" i="6" s="1"/>
  <c r="BN194" i="6"/>
  <c r="BD194" i="6" s="1"/>
  <c r="BP19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<sst xmlns="http://schemas.openxmlformats.org/spreadsheetml/2006/main" count="1077" uniqueCount="263">
  <si>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</si>
  <si>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</si>
  <si>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</si>
  <si>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</si>
  <si>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</si>
  <si>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</si>
  <si>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</si>
  <si>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</si>
  <si>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</si>
  <si>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</si>
  <si>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</si>
  <si>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</si>
  <si>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</si>
  <si>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</si>
  <si>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</si>
  <si>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</si>
  <si>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</si>
  <si>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</si>
  <si>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</si>
  <si>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</si>
  <si>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</si>
  <si>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</si>
  <si>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</si>
  <si>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</si>
  <si>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</si>
  <si>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</si>
  <si>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</si>
  <si>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</si>
  <si>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</si>
  <si>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</si>
  <si>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</si>
  <si>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</si>
  <si>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</si>
  <si>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</si>
  <si>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</si>
  <si>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</si>
  <si>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</si>
  <si>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</si>
  <si>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</si>
  <si>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</si>
  <si>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</si>
  <si>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</si>
  <si>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</si>
  <si>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</si>
  <si>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</si>
  <si>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</si>
  <si>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</si>
  <si>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</si>
  <si>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</si>
  <si>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</si>
  <si>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</si>
  <si>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</si>
  <si>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</si>
  <si>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</si>
  <si>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</si>
  <si>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</si>
  <si>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</si>
  <si>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</si>
  <si>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</si>
  <si>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</si>
  <si>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</si>
  <si>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</si>
  <si>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</si>
  <si>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</si>
  <si>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</si>
  <si>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</si>
  <si>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</si>
  <si>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</si>
  <si>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</si>
  <si>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</si>
  <si>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</si>
  <si>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</si>
  <si>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</si>
  <si>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</si>
  <si>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</si>
  <si>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</si>
  <si>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</si>
  <si>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</si>
  <si>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</si>
  <si>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</si>
  <si>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</si>
  <si>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</si>
  <si>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</si>
  <si>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</si>
  <si>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</si>
  <si>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</si>
  <si>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</si>
  <si>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</si>
  <si>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</si>
  <si>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</si>
  <si>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</si>
  <si>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</si>
  <si>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</si>
  <si>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</si>
  <si>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</si>
  <si>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</si>
  <si>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</si>
  <si>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</si>
  <si>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</si>
  <si>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</si>
  <si>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</si>
  <si>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</si>
  <si>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</si>
  <si>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</si>
  <si>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</si>
  <si>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</si>
  <si>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</si>
  <si>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</si>
  <si>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</si>
  <si>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</si>
  <si>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</si>
  <si>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</si>
  <si>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</si>
  <si>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</si>
  <si>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</si>
  <si>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</si>
  <si>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</si>
  <si>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</si>
  <si>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</si>
  <si>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</si>
  <si>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</si>
  <si>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</si>
  <si>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</si>
  <si>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</si>
  <si>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</si>
  <si>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</si>
  <si>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</si>
  <si>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</si>
  <si>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</si>
  <si>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</si>
  <si>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</si>
  <si>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</si>
  <si>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</si>
  <si>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</si>
  <si>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</si>
  <si>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</si>
  <si>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</si>
  <si>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</si>
  <si>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</si>
  <si>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</si>
  <si>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</si>
  <si>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</si>
  <si>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</si>
  <si>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</si>
  <si>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</si>
  <si>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</si>
  <si>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</si>
  <si>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</si>
  <si>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</si>
  <si>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</si>
  <si>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</si>
  <si>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</si>
  <si>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</si>
  <si>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</si>
  <si>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</si>
  <si>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</si>
  <si>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</si>
  <si>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</si>
  <si>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</si>
  <si>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</si>
  <si>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</si>
  <si>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</si>
  <si>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</si>
  <si>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</si>
  <si>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</si>
  <si>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</si>
  <si>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</si>
  <si>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</si>
  <si>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</si>
  <si>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</si>
  <si>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</si>
  <si>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</si>
  <si>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</si>
  <si>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</si>
  <si>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</si>
  <si>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</si>
  <si>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</si>
  <si>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</si>
  <si>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</si>
  <si>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</si>
  <si>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</si>
  <si>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</si>
  <si>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</si>
  <si>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</si>
  <si>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</si>
  <si>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</si>
  <si>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</si>
  <si>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</si>
  <si>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</si>
  <si>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</si>
  <si>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</si>
  <si>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</si>
  <si>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</si>
  <si>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</si>
  <si>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</si>
  <si>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</si>
  <si>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</si>
  <si>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</si>
  <si>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</si>
  <si>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</si>
  <si>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index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</si>
  <si>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</si>
  <si>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</si>
  <si>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</si>
  <si>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</si>
  <si>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</si>
  <si>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</si>
  <si>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</si>
  <si>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</si>
  <si>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</si>
  <si>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</si>
  <si>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</si>
  <si>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</si>
  <si>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</si>
  <si>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</si>
  <si>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</si>
  <si>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</si>
  <si>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</si>
  <si>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</si>
  <si>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EMPTY</t>
  </si>
  <si>
    <t>Mirror X</t>
  </si>
  <si>
    <t>Mirror Y</t>
  </si>
  <si>
    <t>Connection::</t>
  </si>
  <si>
    <t>SA_MIRX</t>
  </si>
  <si>
    <t>SA_MIRY</t>
  </si>
  <si>
    <t>const inline std::array&lt;Glyph, Glyph::TOTAL&gt; AllGlyphs{ {</t>
  </si>
  <si>
    <t>CT_MIRU</t>
  </si>
  <si>
    <t>CT_MIRD</t>
  </si>
  <si>
    <t>CT_MIRL</t>
  </si>
  <si>
    <t>CT_MIRR</t>
  </si>
  <si>
    <t>MIRROR X TYPES</t>
  </si>
  <si>
    <t>MIRROR Y TYPES</t>
  </si>
  <si>
    <t>Rot 180</t>
  </si>
  <si>
    <t>rotated2</t>
  </si>
  <si>
    <t>rotated4</t>
  </si>
  <si>
    <t>mirroredX</t>
  </si>
  <si>
    <t>ROTATE 90 TYPES</t>
  </si>
  <si>
    <t>ROTATE 180 TYPES</t>
  </si>
  <si>
    <t>sameAfterRotate4</t>
  </si>
  <si>
    <t>sameAfterRotate2</t>
  </si>
  <si>
    <t>sameAfterMirrorX</t>
  </si>
  <si>
    <t>sameAfterMirrorY</t>
  </si>
  <si>
    <t>SA_ROT4</t>
  </si>
  <si>
    <t>SA_ROT2</t>
  </si>
  <si>
    <t>CT_ROT2R</t>
  </si>
  <si>
    <t>CT_ROT4U</t>
  </si>
  <si>
    <t>CT_ROT4D</t>
  </si>
  <si>
    <t>CT_ROT4L</t>
  </si>
  <si>
    <t>CT_ROT4R</t>
  </si>
  <si>
    <t>CT_ROT2U</t>
  </si>
  <si>
    <t>CT_ROT2D</t>
  </si>
  <si>
    <t>CT_ROT2L</t>
  </si>
  <si>
    <t>sameAfterMirrorFDiag</t>
  </si>
  <si>
    <t>sameAfterMirrorBDiag</t>
  </si>
  <si>
    <t>SA_MIRFD</t>
  </si>
  <si>
    <t>SA_MIRBD</t>
  </si>
  <si>
    <t>Mir Fwd Diag</t>
  </si>
  <si>
    <t>Mir Back Diag</t>
  </si>
  <si>
    <t>mirroredY</t>
  </si>
  <si>
    <t>mirroredFD</t>
  </si>
  <si>
    <t>mirroredBD</t>
  </si>
  <si>
    <t>MIRROR FD TYPES</t>
  </si>
  <si>
    <t>MIRROR BD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</si>
</sst>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49" fontId="0" fillId="0" borderId="8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9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1" fillId="0" borderId="1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3" borderId="0" xfId="0" quotePrefix="1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3" borderId="0" xfId="0" quotePrefix="1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left" vertical="center"/>
    </xf>
    <xf numFmtId="0" fontId="6" fillId="3" borderId="0" xfId="0" quotePrefix="1" applyFont="1" applyFill="1" applyBorder="1" applyAlignment="1">
      <alignment horizontal="left" vertical="center"/>
    </xf>
    <xf numFmtId="0" fontId="6" fillId="3" borderId="5" xfId="0" quotePrefix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BY206"/>
  <sheetViews>
    <sheetView tabSelected="1" topLeftCell="AR1" zoomScaleNormal="100" workbookViewId="0">
      <pane ySplit="1" topLeftCell="A2" activePane="bottomLeft" state="frozen"/>
      <selection pane="bottomLeft" activeCell="AW7" sqref="AW7"/>
    </sheetView>
  </sheetViews>
  <sheetFormatPr defaultRowHeight="31.5" x14ac:dyDescent="0.4"/>
  <cols>
    <col min="1" max="1" width="7.5703125" style="23" bestFit="1" customWidth="1"/>
    <col min="2" max="2" width="10" style="11" customWidth="1"/>
    <col min="3" max="3" width="9" style="49" customWidth="1"/>
    <col min="4" max="4" width="10" style="41" customWidth="1"/>
    <col min="5" max="5" width="10" style="48" customWidth="1"/>
    <col min="6" max="6" width="10" style="41" customWidth="1"/>
    <col min="7" max="7" width="10" style="48" customWidth="1"/>
    <col min="8" max="8" width="10" style="41" customWidth="1"/>
    <col min="9" max="9" width="10" style="48" customWidth="1"/>
    <col min="10" max="10" width="10" style="41" customWidth="1"/>
    <col min="11" max="11" width="10" style="52" customWidth="1"/>
    <col min="12" max="12" width="12.5703125" style="41" customWidth="1"/>
    <col min="13" max="13" width="10" style="48" customWidth="1"/>
    <col min="14" max="14" width="12.85546875" style="41" bestFit="1" customWidth="1"/>
    <col min="15" max="15" width="10" style="52" customWidth="1"/>
    <col min="16" max="16" width="10" style="10" customWidth="1"/>
    <col min="17" max="17" width="13.85546875" style="44" customWidth="1"/>
    <col min="18" max="18" width="11.85546875" style="18" customWidth="1"/>
    <col min="19" max="19" width="11.85546875" style="20" customWidth="1"/>
    <col min="20" max="20" width="10" style="10" customWidth="1"/>
    <col min="21" max="21" width="16.42578125" style="21" bestFit="1" customWidth="1"/>
    <col min="22" max="22" width="9.140625" style="22" customWidth="1"/>
    <col min="23" max="23" width="13.7109375" style="18" bestFit="1" customWidth="1"/>
    <col min="24" max="24" width="14" style="24" bestFit="1" customWidth="1"/>
    <col min="25" max="25" width="14.42578125" style="24" bestFit="1" customWidth="1"/>
    <col min="26" max="26" width="14.42578125" style="21" bestFit="1" customWidth="1"/>
    <col min="28" max="29" width="13.42578125" bestFit="1" customWidth="1"/>
    <col min="30" max="31" width="13.5703125" bestFit="1" customWidth="1"/>
    <col min="32" max="32" width="14.7109375" bestFit="1" customWidth="1"/>
    <col min="33" max="33" width="14.5703125" bestFit="1" customWidth="1"/>
    <col min="34" max="34" width="14.140625" bestFit="1" customWidth="1"/>
    <col min="35" max="35" width="14.42578125" bestFit="1" customWidth="1"/>
    <col min="36" max="36" width="14.7109375" bestFit="1" customWidth="1"/>
    <col min="37" max="37" width="14.5703125" bestFit="1" customWidth="1"/>
    <col min="38" max="38" width="14.140625" bestFit="1" customWidth="1"/>
    <col min="39" max="39" width="14.42578125" bestFit="1" customWidth="1"/>
    <col min="40" max="40" width="13.7109375" bestFit="1" customWidth="1"/>
    <col min="41" max="41" width="13.5703125" bestFit="1" customWidth="1"/>
    <col min="42" max="42" width="13.140625" bestFit="1" customWidth="1"/>
    <col min="43" max="43" width="13.42578125" bestFit="1" customWidth="1"/>
    <col min="44" max="44" width="14.7109375" bestFit="1" customWidth="1"/>
    <col min="45" max="45" width="14.85546875" bestFit="1" customWidth="1"/>
    <col min="47" max="47" width="16.140625" customWidth="1"/>
    <col min="48" max="48" width="30.42578125" bestFit="1" customWidth="1"/>
    <col min="49" max="54" width="23.140625" customWidth="1"/>
    <col min="56" max="56" width="33.140625" style="18" customWidth="1"/>
    <col min="57" max="62" width="33.140625" style="24" customWidth="1"/>
    <col min="63" max="63" width="33.140625" style="21" customWidth="1"/>
    <col min="65" max="68" width="16.140625" bestFit="1" customWidth="1"/>
    <col min="69" max="70" width="16.140625" customWidth="1"/>
    <col min="71" max="71" width="3" customWidth="1"/>
    <col min="72" max="73" width="17.42578125" bestFit="1" customWidth="1"/>
    <col min="74" max="74" width="17.28515625" bestFit="1" customWidth="1"/>
    <col min="75" max="75" width="17" bestFit="1" customWidth="1"/>
    <col min="76" max="76" width="21" bestFit="1" customWidth="1"/>
    <col min="77" max="77" width="21.140625" bestFit="1" customWidth="1"/>
  </cols>
  <sheetData>
    <row r="1" spans="1:77" ht="17.25" thickBot="1" x14ac:dyDescent="0.3">
      <c r="A1" s="36" t="s">
        <v>211</v>
      </c>
      <c r="B1" s="12" t="s">
        <v>160</v>
      </c>
      <c r="C1" s="50" t="s">
        <v>218</v>
      </c>
      <c r="D1" s="45" t="s">
        <v>178</v>
      </c>
      <c r="E1" s="50" t="s">
        <v>218</v>
      </c>
      <c r="F1" s="45" t="s">
        <v>232</v>
      </c>
      <c r="G1" s="50" t="s">
        <v>218</v>
      </c>
      <c r="H1" s="45" t="s">
        <v>220</v>
      </c>
      <c r="I1" s="50" t="s">
        <v>218</v>
      </c>
      <c r="J1" s="45" t="s">
        <v>221</v>
      </c>
      <c r="K1" s="51" t="s">
        <v>218</v>
      </c>
      <c r="L1" s="45" t="s">
        <v>256</v>
      </c>
      <c r="M1" s="50" t="s">
        <v>218</v>
      </c>
      <c r="N1" s="45" t="s">
        <v>257</v>
      </c>
      <c r="O1" s="51" t="s">
        <v>218</v>
      </c>
      <c r="P1" s="4"/>
      <c r="Q1" s="42"/>
      <c r="R1" s="16" t="s">
        <v>199</v>
      </c>
      <c r="S1" s="17" t="s">
        <v>200</v>
      </c>
      <c r="T1" s="4" t="s">
        <v>160</v>
      </c>
      <c r="U1" s="5" t="s">
        <v>197</v>
      </c>
      <c r="W1" s="2" t="s">
        <v>214</v>
      </c>
      <c r="X1" s="3" t="s">
        <v>215</v>
      </c>
      <c r="Y1" s="3" t="s">
        <v>216</v>
      </c>
      <c r="Z1" s="29" t="s">
        <v>217</v>
      </c>
      <c r="AB1" s="53" t="s">
        <v>242</v>
      </c>
      <c r="AC1" s="53" t="s">
        <v>243</v>
      </c>
      <c r="AD1" s="53" t="s">
        <v>223</v>
      </c>
      <c r="AE1" s="53" t="s">
        <v>224</v>
      </c>
      <c r="AF1" s="53" t="s">
        <v>245</v>
      </c>
      <c r="AG1" s="53" t="s">
        <v>246</v>
      </c>
      <c r="AH1" s="53" t="s">
        <v>247</v>
      </c>
      <c r="AI1" s="53" t="s">
        <v>248</v>
      </c>
      <c r="AJ1" s="53" t="s">
        <v>249</v>
      </c>
      <c r="AK1" s="53" t="s">
        <v>250</v>
      </c>
      <c r="AL1" s="53" t="s">
        <v>251</v>
      </c>
      <c r="AM1" s="53" t="s">
        <v>244</v>
      </c>
      <c r="AN1" s="53" t="s">
        <v>226</v>
      </c>
      <c r="AO1" s="53" t="s">
        <v>227</v>
      </c>
      <c r="AP1" s="53" t="s">
        <v>228</v>
      </c>
      <c r="AQ1" s="53" t="s">
        <v>229</v>
      </c>
      <c r="AR1" s="53" t="s">
        <v>254</v>
      </c>
      <c r="AS1" s="53" t="s">
        <v>255</v>
      </c>
      <c r="AU1" s="53" t="s">
        <v>222</v>
      </c>
      <c r="AV1" t="str">
        <f>"Glyph::Total = " &amp; (MAX(S:S) + 1)</f>
        <v>Glyph::Total = 190</v>
      </c>
      <c r="AW1" s="55" t="s">
        <v>236</v>
      </c>
      <c r="AX1" s="55" t="s">
        <v>237</v>
      </c>
      <c r="AY1" s="55" t="s">
        <v>230</v>
      </c>
      <c r="AZ1" s="55" t="s">
        <v>231</v>
      </c>
      <c r="BA1" s="55" t="s">
        <v>261</v>
      </c>
      <c r="BB1" s="55" t="s">
        <v>262</v>
      </c>
      <c r="BD1" s="62" t="s">
        <v>225</v>
      </c>
      <c r="BE1" s="63"/>
      <c r="BF1" s="63"/>
      <c r="BG1" s="63"/>
      <c r="BH1" s="63"/>
      <c r="BI1" s="63"/>
      <c r="BJ1" s="63"/>
      <c r="BK1" s="64"/>
      <c r="BM1" s="15" t="s">
        <v>234</v>
      </c>
      <c r="BN1" s="15" t="s">
        <v>233</v>
      </c>
      <c r="BO1" s="15" t="s">
        <v>235</v>
      </c>
      <c r="BP1" s="15" t="s">
        <v>258</v>
      </c>
      <c r="BQ1" s="15" t="s">
        <v>259</v>
      </c>
      <c r="BR1" s="15" t="s">
        <v>260</v>
      </c>
      <c r="BS1" s="15"/>
      <c r="BT1" s="15" t="s">
        <v>238</v>
      </c>
      <c r="BU1" s="15" t="s">
        <v>239</v>
      </c>
      <c r="BV1" s="15" t="s">
        <v>240</v>
      </c>
      <c r="BW1" s="15" t="s">
        <v>241</v>
      </c>
      <c r="BX1" s="15" t="s">
        <v>252</v>
      </c>
      <c r="BY1" s="15" t="s">
        <v>253</v>
      </c>
    </row>
    <row r="2" spans="1:77" x14ac:dyDescent="0.4">
      <c r="A2" s="7" t="s">
        <v>198</v>
      </c>
      <c r="B2" s="6" t="str">
        <f t="shared" ref="B2:B65" si="0">A2</f>
        <v xml:space="preserve"> </v>
      </c>
      <c r="C2" s="48" cm="1">
        <f t="array" ref="C2">IF($R2,INDEX($S:$S,MATCH(TRUE,EXACT(B2,$A:$A),0)),"")</f>
        <v>0</v>
      </c>
      <c r="D2" s="37" t="s">
        <v>198</v>
      </c>
      <c r="E2" s="48" cm="1">
        <f t="array" ref="E2">IF($R2,INDEX($S:$S,MATCH(TRUE,EXACT(D2,$A:$A),0)),"")</f>
        <v>0</v>
      </c>
      <c r="F2" s="37" t="s">
        <v>198</v>
      </c>
      <c r="G2" s="48" cm="1">
        <f t="array" ref="G2">IF($R2,INDEX($S:$S,MATCH(TRUE,EXACT(F2,$A:$A),0)),"")</f>
        <v>0</v>
      </c>
      <c r="H2" s="37" t="s">
        <v>198</v>
      </c>
      <c r="I2" s="48" cm="1">
        <f t="array" ref="I2">IF($R2,INDEX($S:$S,MATCH(TRUE,EXACT(H2,$A:$A),0)),"")</f>
        <v>0</v>
      </c>
      <c r="J2" s="37" t="s">
        <v>198</v>
      </c>
      <c r="K2" s="52" cm="1">
        <f t="array" ref="K2">IF($R2,INDEX($S:$S,MATCH(TRUE,EXACT(J2,$A:$A),0)),"")</f>
        <v>0</v>
      </c>
      <c r="L2" s="38" t="str" cm="1">
        <f t="array" ref="L2">IF($R2,INDEX($T:$T,MATCH(TRUE,EXACT(H2,$D:$D),0)),"")</f>
        <v xml:space="preserve"> </v>
      </c>
      <c r="M2" s="48" cm="1">
        <f t="array" ref="M2">IF($R2,INDEX($S:$S,MATCH(TRUE,EXACT(L2,$A:$A),0)),"")</f>
        <v>0</v>
      </c>
      <c r="N2" s="38" t="str" cm="1">
        <f t="array" ref="N2">IF($R2,INDEX($T:$T,MATCH(TRUE,EXACT(J2,$D:$D),0)),"")</f>
        <v xml:space="preserve"> </v>
      </c>
      <c r="O2" s="52" cm="1">
        <f t="array" ref="O2">IF($R2,INDEX($S:$S,MATCH(TRUE,EXACT(N2,$A:$A),0)),"")</f>
        <v>0</v>
      </c>
      <c r="P2" s="7"/>
      <c r="Q2" s="43"/>
      <c r="R2" s="18" t="b">
        <f t="shared" ref="R2:R65" si="1">AND(B2&lt;&gt;"", D2&lt;&gt;"", F2&lt;&gt;"", J2&lt;&gt;"", H2&lt;&gt;"")</f>
        <v>1</v>
      </c>
      <c r="S2" s="19">
        <v>0</v>
      </c>
      <c r="T2" s="23" t="str">
        <f t="shared" ref="T2:T65" si="2">A2</f>
        <v xml:space="preserve"> </v>
      </c>
      <c r="U2" s="8" t="str" cm="1">
        <f t="array" ref="U2">CharToUTF8(A2)</f>
        <v>\x20</v>
      </c>
      <c r="W2" s="18" t="str">
        <f>$AU$2</f>
        <v>EMPTY</v>
      </c>
      <c r="X2" s="24" t="str">
        <f>$AU$2</f>
        <v>EMPTY</v>
      </c>
      <c r="Y2" s="24" t="str">
        <f>$AU$2</f>
        <v>EMPTY</v>
      </c>
      <c r="Z2" s="21" t="str">
        <f>$AU$2</f>
        <v>EMPTY</v>
      </c>
      <c r="AB2" s="31" t="b">
        <f t="shared" ref="AB2:AB65" si="3">IF($R2,C2=E2,"")</f>
        <v>1</v>
      </c>
      <c r="AC2" s="31" t="b">
        <f t="shared" ref="AC2:AC65" si="4">IF($R2,C2=G2,"")</f>
        <v>1</v>
      </c>
      <c r="AD2" t="b">
        <f t="shared" ref="AD2:AD65" si="5">IF($R2,C2=I2,"")</f>
        <v>1</v>
      </c>
      <c r="AE2" t="b">
        <f t="shared" ref="AE2:AE65" si="6">IF($R2,C2=K2,"")</f>
        <v>1</v>
      </c>
      <c r="AF2" t="b">
        <f>IF($R2,W2=VLOOKUP(Z2,$AU$2:$AZ$10,3,FALSE),"")</f>
        <v>1</v>
      </c>
      <c r="AG2" t="b">
        <f>IF($R2,X2=VLOOKUP(Y2,$AU$2:$AZ$10,3,FALSE),"")</f>
        <v>1</v>
      </c>
      <c r="AH2" t="b">
        <f>IF($R2,Y2=VLOOKUP(W2,$AU$2:$AZ$10,3,FALSE),"")</f>
        <v>1</v>
      </c>
      <c r="AI2" t="b">
        <f>IF($R2,Z2=VLOOKUP(X2,$AU$2:$AZ$10,3,FALSE),"")</f>
        <v>1</v>
      </c>
      <c r="AJ2" t="b">
        <f>IF($R2,W2=VLOOKUP(W2,$AU$2:$AZ$10,4,FALSE),"")</f>
        <v>1</v>
      </c>
      <c r="AK2" t="b">
        <f>IF($R2,X2=VLOOKUP(X2,$AU$2:$AZ$10,4,FALSE),"")</f>
        <v>1</v>
      </c>
      <c r="AL2" t="b">
        <f>IF($R2,Y2=VLOOKUP(Y2,$AU$2:$AZ$10,4,FALSE),"")</f>
        <v>1</v>
      </c>
      <c r="AM2" t="b">
        <f>IF($R2,Z2=VLOOKUP(Z2,$AU$2:$AZ$10,4,FALSE),"")</f>
        <v>1</v>
      </c>
      <c r="AN2" t="b">
        <f>IF($R2,W2=VLOOKUP(W2,$AU$2:$AZ$10,5,FALSE),"")</f>
        <v>1</v>
      </c>
      <c r="AO2" t="b">
        <f>IF($R2,X2=VLOOKUP(X2,$AU$2:$AZ$10,5,FALSE),"")</f>
        <v>1</v>
      </c>
      <c r="AP2" t="b">
        <f>IF($R2,Y2=VLOOKUP(Y2,$AU$2:$AZ$10,6,FALSE),"")</f>
        <v>1</v>
      </c>
      <c r="AQ2" t="b">
        <f>IF($R2,Z2=VLOOKUP(Z2,$AU$2:$AZ$10,6,FALSE),"")</f>
        <v>1</v>
      </c>
      <c r="AR2" t="b">
        <f>IF($R2,C2=M2,"")</f>
        <v>1</v>
      </c>
      <c r="AS2" t="b">
        <f>IF($R2,C2=O2,"")</f>
        <v>1</v>
      </c>
      <c r="AU2" s="25" t="s">
        <v>219</v>
      </c>
      <c r="AV2" s="26" t="s">
        <v>173</v>
      </c>
      <c r="AW2" s="56" t="s">
        <v>219</v>
      </c>
      <c r="AX2" s="56" t="s">
        <v>219</v>
      </c>
      <c r="AY2" s="56" t="s">
        <v>219</v>
      </c>
      <c r="AZ2" s="56" t="s">
        <v>219</v>
      </c>
      <c r="BA2" s="56" t="s">
        <v>219</v>
      </c>
      <c r="BB2" s="56" t="s">
        <v>219</v>
      </c>
      <c r="BD2" s="59" t="str">
        <f>IF($R2,"    { wxString::FromUTF8(""" &amp; $U2 &amp; """), " &amp; _xlfn.TEXTJOIN(", ", TRUE, BM2:BR2) &amp; ", " &amp; $AU$1 &amp; _xlfn.TEXTJOIN(", " &amp; $AU$1, TRUE, $W2:$Z2) &amp; ", " &amp; _xlfn.TEXTJOIN(", ", TRUE, BT2:BY2) &amp; " },","")</f>
        <v xml:space="preserve">    { wxString::FromUTF8("\x20"), &amp;AllGlyphs[0], &amp;AllGlyphs[0], &amp;AllGlyphs[0], &amp;AllGlyphs[0], &amp;AllGlyphs[0], &amp;AllGlyphs[0], Connection::EMPTY, Connection::EMPTY, Connection::EMPTY, Connection::EMPTY, 1, 1, 1, 1, 1, 1 },</v>
      </c>
      <c r="BE2" s="60"/>
      <c r="BF2" s="60"/>
      <c r="BG2" s="60"/>
      <c r="BH2" s="60"/>
      <c r="BI2" s="60"/>
      <c r="BJ2" s="60"/>
      <c r="BK2" s="61"/>
      <c r="BM2" s="54" t="str">
        <f>IF($R2,"&amp;AllGlyphs[" &amp; E2 &amp; "]","")</f>
        <v>&amp;AllGlyphs[0]</v>
      </c>
      <c r="BN2" s="54" t="str">
        <f>IF($R2,"&amp;AllGlyphs[" &amp; G2 &amp; "]","")</f>
        <v>&amp;AllGlyphs[0]</v>
      </c>
      <c r="BO2" s="54" t="str">
        <f>IF($R2,"&amp;AllGlyphs[" &amp; I2 &amp; "]","")</f>
        <v>&amp;AllGlyphs[0]</v>
      </c>
      <c r="BP2" s="54" t="str">
        <f>IF($R2,"&amp;AllGlyphs[" &amp; K2 &amp; "]","")</f>
        <v>&amp;AllGlyphs[0]</v>
      </c>
      <c r="BQ2" s="54" t="str">
        <f>IF($R2,"&amp;AllGlyphs[" &amp; M2 &amp; "]","")</f>
        <v>&amp;AllGlyphs[0]</v>
      </c>
      <c r="BR2" s="54" t="str">
        <f>IF($R2,"&amp;AllGlyphs[" &amp; O2 &amp; "]","")</f>
        <v>&amp;AllGlyphs[0]</v>
      </c>
      <c r="BT2" s="58">
        <f>IF($R2,IF(AB2,1,0),"")</f>
        <v>1</v>
      </c>
      <c r="BU2" s="58">
        <f>IF($R2,IF(AC2,1,0),"")</f>
        <v>1</v>
      </c>
      <c r="BV2" s="58">
        <f>IF($R2,IF(AD2,1,0),"")</f>
        <v>1</v>
      </c>
      <c r="BW2" s="58">
        <f>IF($R2,IF(AE2,1,0),"")</f>
        <v>1</v>
      </c>
      <c r="BX2" s="58">
        <f>IF($R2,IF(AR2,1,0),"")</f>
        <v>1</v>
      </c>
      <c r="BY2" s="58">
        <f>IF($R2,IF(AS2,1,0),"")</f>
        <v>1</v>
      </c>
    </row>
    <row r="3" spans="1:77" ht="33" x14ac:dyDescent="0.5">
      <c r="A3" s="7" t="s">
        <v>52</v>
      </c>
      <c r="B3" s="6" t="str">
        <f t="shared" si="0"/>
        <v>!</v>
      </c>
      <c r="C3" s="48" cm="1">
        <f t="array" ref="C3">IF($R3,INDEX($S:$S,MATCH(TRUE,EXACT(B3,$A:$A),0)),"")</f>
        <v>1</v>
      </c>
      <c r="D3" s="38" t="s">
        <v>62</v>
      </c>
      <c r="E3" s="48" cm="1">
        <f t="array" ref="E3">IF($R3,INDEX($S:$S,MATCH(TRUE,EXACT(D3,$A:$A),0)),"")</f>
        <v>94</v>
      </c>
      <c r="F3" s="38" t="s">
        <v>52</v>
      </c>
      <c r="G3" s="48" cm="1">
        <f t="array" ref="G3">IF($S3&lt;&gt;"",INDEX($S:$S,MATCH(TRUE,EXACT(F3,$A:$A),0)),"")</f>
        <v>1</v>
      </c>
      <c r="H3" s="38" t="s">
        <v>52</v>
      </c>
      <c r="I3" s="48" cm="1">
        <f t="array" ref="I3">IF($R3,INDEX($S:$S,MATCH(TRUE,EXACT(H3,$A:$A),0)),"")</f>
        <v>1</v>
      </c>
      <c r="J3" s="38" t="s">
        <v>52</v>
      </c>
      <c r="K3" s="52" cm="1">
        <f t="array" ref="K3">IF($R3,INDEX($S:$S,MATCH(TRUE,EXACT(J3,$A:$A),0)),"")</f>
        <v>1</v>
      </c>
      <c r="L3" s="38" t="str" cm="1">
        <f t="array" ref="L3">IF($R3,INDEX($T:$T,MATCH(TRUE,EXACT(H3,$D:$D),0)),"")</f>
        <v>~</v>
      </c>
      <c r="M3" s="48" cm="1">
        <f t="array" ref="M3">IF($R3,INDEX($S:$S,MATCH(TRUE,EXACT(L3,$A:$A),0)),"")</f>
        <v>94</v>
      </c>
      <c r="N3" s="38" t="str" cm="1">
        <f t="array" ref="N3">IF($R3,INDEX($T:$T,MATCH(TRUE,EXACT(J3,$D:$D),0)),"")</f>
        <v>~</v>
      </c>
      <c r="O3" s="52" cm="1">
        <f t="array" ref="O3">IF($R3,INDEX($S:$S,MATCH(TRUE,EXACT(N3,$A:$A),0)),"")</f>
        <v>94</v>
      </c>
      <c r="P3" s="23"/>
      <c r="Q3" s="57"/>
      <c r="R3" s="18" t="b">
        <f t="shared" si="1"/>
        <v>1</v>
      </c>
      <c r="S3" s="19">
        <f>IF(R3, MAX(S$2:S2)+1,"")</f>
        <v>1</v>
      </c>
      <c r="T3" s="23" t="str">
        <f t="shared" si="2"/>
        <v>!</v>
      </c>
      <c r="U3" s="8" t="str" cm="1">
        <f t="array" ref="U3">CharToUTF8(A3)</f>
        <v>\x21</v>
      </c>
      <c r="W3" s="18" t="str">
        <f>$AU$2</f>
        <v>EMPTY</v>
      </c>
      <c r="X3" s="24" t="str">
        <f>$AU$2</f>
        <v>EMPTY</v>
      </c>
      <c r="Y3" s="24" t="str">
        <f t="shared" ref="Y3:Z5" si="7">$AU$4</f>
        <v>ORTHO_BOTH</v>
      </c>
      <c r="Z3" s="21" t="str">
        <f t="shared" si="7"/>
        <v>ORTHO_BOTH</v>
      </c>
      <c r="AB3" s="31" t="b">
        <f t="shared" si="3"/>
        <v>0</v>
      </c>
      <c r="AC3" s="31" t="b">
        <f t="shared" si="4"/>
        <v>1</v>
      </c>
      <c r="AD3" t="b">
        <f t="shared" si="5"/>
        <v>1</v>
      </c>
      <c r="AE3" t="b">
        <f t="shared" si="6"/>
        <v>1</v>
      </c>
      <c r="AF3" t="b">
        <f>IF($R3,W3=VLOOKUP(Z3,$AU$2:$AZ$10,3,FALSE),"")</f>
        <v>0</v>
      </c>
      <c r="AG3" t="b">
        <f>IF($R3,X3=VLOOKUP(Y3,$AU$2:$AZ$10,3,FALSE),"")</f>
        <v>0</v>
      </c>
      <c r="AH3" t="b">
        <f>IF($R3,Y3=VLOOKUP(W3,$AU$2:$AZ$10,3,FALSE),"")</f>
        <v>0</v>
      </c>
      <c r="AI3" t="b">
        <f>IF($R3,Z3=VLOOKUP(X3,$AU$2:$AZ$10,3,FALSE),"")</f>
        <v>0</v>
      </c>
      <c r="AJ3" t="b">
        <f>IF($R3,W3=VLOOKUP(W3,$AU$2:$AZ$10,4,FALSE),"")</f>
        <v>1</v>
      </c>
      <c r="AK3" t="b">
        <f>IF($R3,X3=VLOOKUP(X3,$AU$2:$AZ$10,4,FALSE),"")</f>
        <v>1</v>
      </c>
      <c r="AL3" t="b">
        <f>IF($R3,Y3=VLOOKUP(Y3,$AU$2:$AZ$10,4,FALSE),"")</f>
        <v>1</v>
      </c>
      <c r="AM3" t="b">
        <f>IF($R3,Z3=VLOOKUP(Z3,$AU$2:$AZ$10,4,FALSE),"")</f>
        <v>1</v>
      </c>
      <c r="AN3" t="b">
        <f>IF($R3,W3=VLOOKUP(W3,$AU$2:$AZ$10,5,FALSE),"")</f>
        <v>1</v>
      </c>
      <c r="AO3" t="b">
        <f>IF($R3,X3=VLOOKUP(X3,$AU$2:$AZ$10,5,FALSE),"")</f>
        <v>1</v>
      </c>
      <c r="AP3" t="b">
        <f>IF($R3,Y3=VLOOKUP(Y3,$AU$2:$AZ$10,6,FALSE),"")</f>
        <v>1</v>
      </c>
      <c r="AQ3" t="b">
        <f>IF($R3,Z3=VLOOKUP(Z3,$AU$2:$AZ$10,6,FALSE),"")</f>
        <v>1</v>
      </c>
      <c r="AR3" t="b">
        <f t="shared" ref="AR3:AR66" si="8">IF($R3,C3=M3,"")</f>
        <v>0</v>
      </c>
      <c r="AS3" t="b">
        <f t="shared" ref="AS3:AS66" si="9">IF($R3,C3=O3,"")</f>
        <v>0</v>
      </c>
      <c r="AU3" s="18" t="s">
        <v>205</v>
      </c>
      <c r="AV3" s="21" t="s">
        <v>174</v>
      </c>
      <c r="AW3" s="56" t="s">
        <v>205</v>
      </c>
      <c r="AX3" s="56" t="s">
        <v>205</v>
      </c>
      <c r="AY3" s="56" t="s">
        <v>205</v>
      </c>
      <c r="AZ3" s="56" t="s">
        <v>205</v>
      </c>
      <c r="BA3" s="56" t="s">
        <v>205</v>
      </c>
      <c r="BB3" s="56" t="s">
        <v>205</v>
      </c>
      <c r="BD3" s="59" t="str">
        <f t="shared" ref="BD3:BD66" si="10">IF($R3,"    { wxString::FromUTF8(""" &amp; $U3 &amp; """), " &amp; _xlfn.TEXTJOIN(", ", TRUE, BM3:BR3) &amp; ", " &amp; $AU$1 &amp; _xlfn.TEXTJOIN(", " &amp; $AU$1, TRUE, $W3:$Z3) &amp; ", " &amp; _xlfn.TEXTJOIN(", ", TRUE, BT3:BY3) &amp; " },","")</f>
        <v xml:space="preserve">    { wxString::FromUTF8("\x21"), &amp;AllGlyphs[94], &amp;AllGlyphs[1], &amp;AllGlyphs[1], &amp;AllGlyphs[1], &amp;AllGlyphs[94], &amp;AllGlyphs[94], Connection::EMPTY, Connection::EMPTY, Connection::ORTHO_BOTH, Connection::ORTHO_BOTH, 0, 1, 1, 1, 0, 0 },</v>
      </c>
      <c r="BE3" s="60"/>
      <c r="BF3" s="60"/>
      <c r="BG3" s="60"/>
      <c r="BH3" s="60"/>
      <c r="BI3" s="60"/>
      <c r="BJ3" s="60"/>
      <c r="BK3" s="61"/>
      <c r="BM3" s="54" t="str">
        <f>IF($R3,"&amp;AllGlyphs[" &amp; E3 &amp; "]","")</f>
        <v>&amp;AllGlyphs[94]</v>
      </c>
      <c r="BN3" s="54" t="str">
        <f>IF($R3,"&amp;AllGlyphs[" &amp; G3 &amp; "]","")</f>
        <v>&amp;AllGlyphs[1]</v>
      </c>
      <c r="BO3" s="54" t="str">
        <f>IF($R3,"&amp;AllGlyphs[" &amp; I3 &amp; "]","")</f>
        <v>&amp;AllGlyphs[1]</v>
      </c>
      <c r="BP3" s="54" t="str">
        <f>IF($R3,"&amp;AllGlyphs[" &amp; K3 &amp; "]","")</f>
        <v>&amp;AllGlyphs[1]</v>
      </c>
      <c r="BQ3" s="54" t="str">
        <f>IF($R3,"&amp;AllGlyphs[" &amp; M3 &amp; "]","")</f>
        <v>&amp;AllGlyphs[94]</v>
      </c>
      <c r="BR3" s="54" t="str">
        <f>IF($R3,"&amp;AllGlyphs[" &amp; O3 &amp; "]","")</f>
        <v>&amp;AllGlyphs[94]</v>
      </c>
      <c r="BT3" s="58">
        <f>IF($R3,IF(AB3,1,0),"")</f>
        <v>0</v>
      </c>
      <c r="BU3" s="58">
        <f>IF($R3,IF(AC3,1,0),"")</f>
        <v>1</v>
      </c>
      <c r="BV3" s="58">
        <f>IF($R3,IF(AD3,1,0),"")</f>
        <v>1</v>
      </c>
      <c r="BW3" s="58">
        <f>IF($R3,IF(AE3,1,0),"")</f>
        <v>1</v>
      </c>
      <c r="BX3" s="58">
        <f>IF($R3,IF(AR3,1,0),"")</f>
        <v>0</v>
      </c>
      <c r="BY3" s="58">
        <f>IF($R3,IF(AS3,1,0),"")</f>
        <v>0</v>
      </c>
    </row>
    <row r="4" spans="1:77" x14ac:dyDescent="0.4">
      <c r="A4" s="7" t="s">
        <v>63</v>
      </c>
      <c r="B4" s="6" t="str">
        <f t="shared" si="0"/>
        <v>"</v>
      </c>
      <c r="C4" s="48" cm="1">
        <f t="array" ref="C4">IF($R4,INDEX($S:$S,MATCH(TRUE,EXACT(B4,$A:$A),0)),"")</f>
        <v>2</v>
      </c>
      <c r="D4" s="38" t="s">
        <v>63</v>
      </c>
      <c r="E4" s="48" cm="1">
        <f t="array" ref="E4">IF($R4,INDEX($S:$S,MATCH(TRUE,EXACT(D4,$A:$A),0)),"")</f>
        <v>2</v>
      </c>
      <c r="F4" s="38" t="s">
        <v>63</v>
      </c>
      <c r="G4" s="48" cm="1">
        <f t="array" ref="G4">IF($S4&lt;&gt;"",INDEX($S:$S,MATCH(TRUE,EXACT(F4,$A:$A),0)),"")</f>
        <v>2</v>
      </c>
      <c r="H4" s="38" t="s">
        <v>63</v>
      </c>
      <c r="I4" s="48" cm="1">
        <f t="array" ref="I4">IF($R4,INDEX($S:$S,MATCH(TRUE,EXACT(H4,$A:$A),0)),"")</f>
        <v>2</v>
      </c>
      <c r="J4" s="38" t="s">
        <v>63</v>
      </c>
      <c r="K4" s="52" cm="1">
        <f t="array" ref="K4">IF($R4,INDEX($S:$S,MATCH(TRUE,EXACT(J4,$A:$A),0)),"")</f>
        <v>2</v>
      </c>
      <c r="L4" s="38" t="str" cm="1">
        <f t="array" ref="L4">IF($R4,INDEX($T:$T,MATCH(TRUE,EXACT(H4,$D:$D),0)),"")</f>
        <v>"</v>
      </c>
      <c r="M4" s="48" cm="1">
        <f t="array" ref="M4">IF($R4,INDEX($S:$S,MATCH(TRUE,EXACT(L4,$A:$A),0)),"")</f>
        <v>2</v>
      </c>
      <c r="N4" s="38" t="str" cm="1">
        <f t="array" ref="N4">IF($R4,INDEX($T:$T,MATCH(TRUE,EXACT(J4,$D:$D),0)),"")</f>
        <v>"</v>
      </c>
      <c r="O4" s="52" cm="1">
        <f t="array" ref="O4">IF($R4,INDEX($S:$S,MATCH(TRUE,EXACT(N4,$A:$A),0)),"")</f>
        <v>2</v>
      </c>
      <c r="P4" s="23"/>
      <c r="Q4" s="33"/>
      <c r="R4" s="18" t="b">
        <f t="shared" si="1"/>
        <v>1</v>
      </c>
      <c r="S4" s="19">
        <f>IF(R4, MAX(S$2:S3)+1,"")</f>
        <v>2</v>
      </c>
      <c r="T4" s="23" t="str">
        <f t="shared" si="2"/>
        <v>"</v>
      </c>
      <c r="U4" s="8" t="str" cm="1">
        <f t="array" ref="U4">CharToUTF8(A4)</f>
        <v>\x22</v>
      </c>
      <c r="W4" s="18" t="str">
        <f>$AU$4</f>
        <v>ORTHO_BOTH</v>
      </c>
      <c r="X4" s="24" t="str">
        <f>$AU$4</f>
        <v>ORTHO_BOTH</v>
      </c>
      <c r="Y4" s="24" t="str">
        <f t="shared" si="7"/>
        <v>ORTHO_BOTH</v>
      </c>
      <c r="Z4" s="21" t="str">
        <f t="shared" si="7"/>
        <v>ORTHO_BOTH</v>
      </c>
      <c r="AB4" s="31" t="b">
        <f t="shared" si="3"/>
        <v>1</v>
      </c>
      <c r="AC4" s="31" t="b">
        <f t="shared" si="4"/>
        <v>1</v>
      </c>
      <c r="AD4" t="b">
        <f t="shared" si="5"/>
        <v>1</v>
      </c>
      <c r="AE4" t="b">
        <f t="shared" si="6"/>
        <v>1</v>
      </c>
      <c r="AF4" t="b">
        <f>IF($R4,W4=VLOOKUP(Z4,$AU$2:$AZ$10,3,FALSE),"")</f>
        <v>1</v>
      </c>
      <c r="AG4" t="b">
        <f>IF($R4,X4=VLOOKUP(Y4,$AU$2:$AZ$10,3,FALSE),"")</f>
        <v>1</v>
      </c>
      <c r="AH4" t="b">
        <f>IF($R4,Y4=VLOOKUP(W4,$AU$2:$AZ$10,3,FALSE),"")</f>
        <v>1</v>
      </c>
      <c r="AI4" t="b">
        <f>IF($R4,Z4=VLOOKUP(X4,$AU$2:$AZ$10,3,FALSE),"")</f>
        <v>1</v>
      </c>
      <c r="AJ4" t="b">
        <f>IF($R4,W4=VLOOKUP(W4,$AU$2:$AZ$10,4,FALSE),"")</f>
        <v>1</v>
      </c>
      <c r="AK4" t="b">
        <f>IF($R4,X4=VLOOKUP(X4,$AU$2:$AZ$10,4,FALSE),"")</f>
        <v>1</v>
      </c>
      <c r="AL4" t="b">
        <f>IF($R4,Y4=VLOOKUP(Y4,$AU$2:$AZ$10,4,FALSE),"")</f>
        <v>1</v>
      </c>
      <c r="AM4" t="b">
        <f>IF($R4,Z4=VLOOKUP(Z4,$AU$2:$AZ$10,4,FALSE),"")</f>
        <v>1</v>
      </c>
      <c r="AN4" t="b">
        <f>IF($R4,W4=VLOOKUP(W4,$AU$2:$AZ$10,5,FALSE),"")</f>
        <v>1</v>
      </c>
      <c r="AO4" t="b">
        <f>IF($R4,X4=VLOOKUP(X4,$AU$2:$AZ$10,5,FALSE),"")</f>
        <v>1</v>
      </c>
      <c r="AP4" t="b">
        <f>IF($R4,Y4=VLOOKUP(Y4,$AU$2:$AZ$10,6,FALSE),"")</f>
        <v>1</v>
      </c>
      <c r="AQ4" t="b">
        <f>IF($R4,Z4=VLOOKUP(Z4,$AU$2:$AZ$10,6,FALSE),"")</f>
        <v>1</v>
      </c>
      <c r="AR4" t="b">
        <f t="shared" si="8"/>
        <v>1</v>
      </c>
      <c r="AS4" t="b">
        <f t="shared" si="9"/>
        <v>1</v>
      </c>
      <c r="AU4" s="18" t="s">
        <v>206</v>
      </c>
      <c r="AV4" s="21" t="s">
        <v>175</v>
      </c>
      <c r="AW4" s="56" t="s">
        <v>206</v>
      </c>
      <c r="AX4" s="56" t="s">
        <v>206</v>
      </c>
      <c r="AY4" s="56" t="s">
        <v>206</v>
      </c>
      <c r="AZ4" s="56" t="s">
        <v>206</v>
      </c>
      <c r="BA4" s="56" t="s">
        <v>206</v>
      </c>
      <c r="BB4" s="56" t="s">
        <v>206</v>
      </c>
      <c r="BD4" s="59" t="str">
        <f t="shared" si="10"/>
        <v xml:space="preserve">    { wxString::FromUTF8("\x22"), &amp;AllGlyphs[2], &amp;AllGlyphs[2], &amp;AllGlyphs[2], &amp;AllGlyphs[2], &amp;AllGlyphs[2], &amp;AllGlyphs[2], Connection::ORTHO_BOTH, Connection::ORTHO_BOTH, Connection::ORTHO_BOTH, Connection::ORTHO_BOTH, 1, 1, 1, 1, 1, 1 },</v>
      </c>
      <c r="BE4" s="60"/>
      <c r="BF4" s="60"/>
      <c r="BG4" s="60"/>
      <c r="BH4" s="60"/>
      <c r="BI4" s="60"/>
      <c r="BJ4" s="60"/>
      <c r="BK4" s="61"/>
      <c r="BM4" s="54" t="str">
        <f>IF($R4,"&amp;AllGlyphs[" &amp; E4 &amp; "]","")</f>
        <v>&amp;AllGlyphs[2]</v>
      </c>
      <c r="BN4" s="54" t="str">
        <f>IF($R4,"&amp;AllGlyphs[" &amp; G4 &amp; "]","")</f>
        <v>&amp;AllGlyphs[2]</v>
      </c>
      <c r="BO4" s="54" t="str">
        <f>IF($R4,"&amp;AllGlyphs[" &amp; I4 &amp; "]","")</f>
        <v>&amp;AllGlyphs[2]</v>
      </c>
      <c r="BP4" s="54" t="str">
        <f>IF($R4,"&amp;AllGlyphs[" &amp; K4 &amp; "]","")</f>
        <v>&amp;AllGlyphs[2]</v>
      </c>
      <c r="BQ4" s="54" t="str">
        <f>IF($R4,"&amp;AllGlyphs[" &amp; M4 &amp; "]","")</f>
        <v>&amp;AllGlyphs[2]</v>
      </c>
      <c r="BR4" s="54" t="str">
        <f>IF($R4,"&amp;AllGlyphs[" &amp; O4 &amp; "]","")</f>
        <v>&amp;AllGlyphs[2]</v>
      </c>
      <c r="BT4" s="58">
        <f>IF($R4,IF(AB4,1,0),"")</f>
        <v>1</v>
      </c>
      <c r="BU4" s="58">
        <f>IF($R4,IF(AC4,1,0),"")</f>
        <v>1</v>
      </c>
      <c r="BV4" s="58">
        <f>IF($R4,IF(AD4,1,0),"")</f>
        <v>1</v>
      </c>
      <c r="BW4" s="58">
        <f>IF($R4,IF(AE4,1,0),"")</f>
        <v>1</v>
      </c>
      <c r="BX4" s="58">
        <f>IF($R4,IF(AR4,1,0),"")</f>
        <v>1</v>
      </c>
      <c r="BY4" s="58">
        <f>IF($R4,IF(AS4,1,0),"")</f>
        <v>1</v>
      </c>
    </row>
    <row r="5" spans="1:77" ht="33" customHeight="1" x14ac:dyDescent="0.4">
      <c r="A5" s="7" t="s">
        <v>54</v>
      </c>
      <c r="B5" s="6" t="str">
        <f t="shared" si="0"/>
        <v>#</v>
      </c>
      <c r="C5" s="48" cm="1">
        <f t="array" ref="C5">IF($R5,INDEX($S:$S,MATCH(TRUE,EXACT(B5,$A:$A),0)),"")</f>
        <v>3</v>
      </c>
      <c r="D5" s="38" t="s">
        <v>53</v>
      </c>
      <c r="E5" s="48" cm="1">
        <f t="array" ref="E5">IF($R5,INDEX($S:$S,MATCH(TRUE,EXACT(D5,$A:$A),0)),"")</f>
        <v>32</v>
      </c>
      <c r="F5" s="38" t="s">
        <v>54</v>
      </c>
      <c r="G5" s="48" cm="1">
        <f t="array" ref="G5">IF($S5&lt;&gt;"",INDEX($S:$S,MATCH(TRUE,EXACT(F5,$A:$A),0)),"")</f>
        <v>3</v>
      </c>
      <c r="H5" s="38" t="s">
        <v>54</v>
      </c>
      <c r="I5" s="48" cm="1">
        <f t="array" ref="I5">IF($R5,INDEX($S:$S,MATCH(TRUE,EXACT(H5,$A:$A),0)),"")</f>
        <v>3</v>
      </c>
      <c r="J5" s="38" t="s">
        <v>54</v>
      </c>
      <c r="K5" s="52" cm="1">
        <f t="array" ref="K5">IF($R5,INDEX($S:$S,MATCH(TRUE,EXACT(J5,$A:$A),0)),"")</f>
        <v>3</v>
      </c>
      <c r="L5" s="38" t="str" cm="1">
        <f t="array" ref="L5">IF($R5,INDEX($T:$T,MATCH(TRUE,EXACT(H5,$D:$D),0)),"")</f>
        <v>@</v>
      </c>
      <c r="M5" s="48" cm="1">
        <f t="array" ref="M5">IF($R5,INDEX($S:$S,MATCH(TRUE,EXACT(L5,$A:$A),0)),"")</f>
        <v>32</v>
      </c>
      <c r="N5" s="38" t="str" cm="1">
        <f t="array" ref="N5">IF($R5,INDEX($T:$T,MATCH(TRUE,EXACT(J5,$D:$D),0)),"")</f>
        <v>@</v>
      </c>
      <c r="O5" s="52" cm="1">
        <f t="array" ref="O5">IF($R5,INDEX($S:$S,MATCH(TRUE,EXACT(N5,$A:$A),0)),"")</f>
        <v>32</v>
      </c>
      <c r="P5" s="23"/>
      <c r="Q5" s="33"/>
      <c r="R5" s="18" t="b">
        <f t="shared" si="1"/>
        <v>1</v>
      </c>
      <c r="S5" s="19">
        <f>IF(R5, MAX(S$2:S4)+1,"")</f>
        <v>3</v>
      </c>
      <c r="T5" s="23" t="str">
        <f t="shared" si="2"/>
        <v>#</v>
      </c>
      <c r="U5" s="8" t="str" cm="1">
        <f t="array" ref="U5">CharToUTF8(A5)</f>
        <v>\x23</v>
      </c>
      <c r="W5" s="18" t="str">
        <f>$AU$2</f>
        <v>EMPTY</v>
      </c>
      <c r="X5" s="24" t="str">
        <f>$AU$2</f>
        <v>EMPTY</v>
      </c>
      <c r="Y5" s="24" t="str">
        <f t="shared" si="7"/>
        <v>ORTHO_BOTH</v>
      </c>
      <c r="Z5" s="21" t="str">
        <f t="shared" si="7"/>
        <v>ORTHO_BOTH</v>
      </c>
      <c r="AB5" s="31" t="b">
        <f t="shared" si="3"/>
        <v>0</v>
      </c>
      <c r="AC5" s="31" t="b">
        <f t="shared" si="4"/>
        <v>1</v>
      </c>
      <c r="AD5" t="b">
        <f t="shared" si="5"/>
        <v>1</v>
      </c>
      <c r="AE5" t="b">
        <f t="shared" si="6"/>
        <v>1</v>
      </c>
      <c r="AF5" t="b">
        <f>IF($R5,W5=VLOOKUP(Z5,$AU$2:$AZ$10,3,FALSE),"")</f>
        <v>0</v>
      </c>
      <c r="AG5" t="b">
        <f>IF($R5,X5=VLOOKUP(Y5,$AU$2:$AZ$10,3,FALSE),"")</f>
        <v>0</v>
      </c>
      <c r="AH5" t="b">
        <f>IF($R5,Y5=VLOOKUP(W5,$AU$2:$AZ$10,3,FALSE),"")</f>
        <v>0</v>
      </c>
      <c r="AI5" t="b">
        <f>IF($R5,Z5=VLOOKUP(X5,$AU$2:$AZ$10,3,FALSE),"")</f>
        <v>0</v>
      </c>
      <c r="AJ5" t="b">
        <f>IF($R5,W5=VLOOKUP(W5,$AU$2:$AZ$10,4,FALSE),"")</f>
        <v>1</v>
      </c>
      <c r="AK5" t="b">
        <f>IF($R5,X5=VLOOKUP(X5,$AU$2:$AZ$10,4,FALSE),"")</f>
        <v>1</v>
      </c>
      <c r="AL5" t="b">
        <f>IF($R5,Y5=VLOOKUP(Y5,$AU$2:$AZ$10,4,FALSE),"")</f>
        <v>1</v>
      </c>
      <c r="AM5" t="b">
        <f>IF($R5,Z5=VLOOKUP(Z5,$AU$2:$AZ$10,4,FALSE),"")</f>
        <v>1</v>
      </c>
      <c r="AN5" t="b">
        <f>IF($R5,W5=VLOOKUP(W5,$AU$2:$AZ$10,5,FALSE),"")</f>
        <v>1</v>
      </c>
      <c r="AO5" t="b">
        <f>IF($R5,X5=VLOOKUP(X5,$AU$2:$AZ$10,5,FALSE),"")</f>
        <v>1</v>
      </c>
      <c r="AP5" t="b">
        <f>IF($R5,Y5=VLOOKUP(Y5,$AU$2:$AZ$10,6,FALSE),"")</f>
        <v>1</v>
      </c>
      <c r="AQ5" t="b">
        <f>IF($R5,Z5=VLOOKUP(Z5,$AU$2:$AZ$10,6,FALSE),"")</f>
        <v>1</v>
      </c>
      <c r="AR5" t="b">
        <f t="shared" si="8"/>
        <v>0</v>
      </c>
      <c r="AS5" t="b">
        <f t="shared" si="9"/>
        <v>0</v>
      </c>
      <c r="AU5" s="18" t="s">
        <v>207</v>
      </c>
      <c r="AV5" s="21" t="s">
        <v>176</v>
      </c>
      <c r="AW5" s="56" t="s">
        <v>207</v>
      </c>
      <c r="AX5" s="56" t="s">
        <v>207</v>
      </c>
      <c r="AY5" s="56" t="s">
        <v>208</v>
      </c>
      <c r="AZ5" s="56" t="s">
        <v>208</v>
      </c>
      <c r="BA5" s="56" t="s">
        <v>208</v>
      </c>
      <c r="BB5" s="56" t="s">
        <v>208</v>
      </c>
      <c r="BD5" s="59" t="str">
        <f t="shared" si="10"/>
        <v xml:space="preserve">    { wxString::FromUTF8("\x23"), &amp;AllGlyphs[32], &amp;AllGlyphs[3], &amp;AllGlyphs[3], &amp;AllGlyphs[3], &amp;AllGlyphs[32], &amp;AllGlyphs[32], Connection::EMPTY, Connection::EMPTY, Connection::ORTHO_BOTH, Connection::ORTHO_BOTH, 0, 1, 1, 1, 0, 0 },</v>
      </c>
      <c r="BE5" s="60"/>
      <c r="BF5" s="60"/>
      <c r="BG5" s="60"/>
      <c r="BH5" s="60"/>
      <c r="BI5" s="60"/>
      <c r="BJ5" s="60"/>
      <c r="BK5" s="61"/>
      <c r="BM5" s="54" t="str">
        <f>IF($R5,"&amp;AllGlyphs[" &amp; E5 &amp; "]","")</f>
        <v>&amp;AllGlyphs[32]</v>
      </c>
      <c r="BN5" s="54" t="str">
        <f>IF($R5,"&amp;AllGlyphs[" &amp; G5 &amp; "]","")</f>
        <v>&amp;AllGlyphs[3]</v>
      </c>
      <c r="BO5" s="54" t="str">
        <f>IF($R5,"&amp;AllGlyphs[" &amp; I5 &amp; "]","")</f>
        <v>&amp;AllGlyphs[3]</v>
      </c>
      <c r="BP5" s="54" t="str">
        <f>IF($R5,"&amp;AllGlyphs[" &amp; K5 &amp; "]","")</f>
        <v>&amp;AllGlyphs[3]</v>
      </c>
      <c r="BQ5" s="54" t="str">
        <f>IF($R5,"&amp;AllGlyphs[" &amp; M5 &amp; "]","")</f>
        <v>&amp;AllGlyphs[32]</v>
      </c>
      <c r="BR5" s="54" t="str">
        <f>IF($R5,"&amp;AllGlyphs[" &amp; O5 &amp; "]","")</f>
        <v>&amp;AllGlyphs[32]</v>
      </c>
      <c r="BT5" s="58">
        <f>IF($R5,IF(AB5,1,0),"")</f>
        <v>0</v>
      </c>
      <c r="BU5" s="58">
        <f>IF($R5,IF(AC5,1,0),"")</f>
        <v>1</v>
      </c>
      <c r="BV5" s="58">
        <f>IF($R5,IF(AD5,1,0),"")</f>
        <v>1</v>
      </c>
      <c r="BW5" s="58">
        <f>IF($R5,IF(AE5,1,0),"")</f>
        <v>1</v>
      </c>
      <c r="BX5" s="58">
        <f>IF($R5,IF(AR5,1,0),"")</f>
        <v>0</v>
      </c>
      <c r="BY5" s="58">
        <f>IF($R5,IF(AS5,1,0),"")</f>
        <v>0</v>
      </c>
    </row>
    <row r="6" spans="1:77" x14ac:dyDescent="0.4">
      <c r="A6" s="7" t="s">
        <v>55</v>
      </c>
      <c r="B6" s="6" t="str">
        <f t="shared" si="0"/>
        <v>$</v>
      </c>
      <c r="C6" s="48" cm="1">
        <f t="array" ref="C6">IF($R6,INDEX($S:$S,MATCH(TRUE,EXACT(B6,$A:$A),0)),"")</f>
        <v>4</v>
      </c>
      <c r="D6" s="38" t="s">
        <v>48</v>
      </c>
      <c r="E6" s="48" cm="1">
        <f t="array" ref="E6">IF($R6,INDEX($S:$S,MATCH(TRUE,EXACT(D6,$A:$A),0)),"")</f>
        <v>54</v>
      </c>
      <c r="F6" s="38" t="s">
        <v>29</v>
      </c>
      <c r="G6" s="48" cm="1">
        <f t="array" ref="G6">IF($S6&lt;&gt;"",INDEX($S:$S,MATCH(TRUE,EXACT(F6,$A:$A),0)),"")</f>
        <v>50</v>
      </c>
      <c r="H6" s="38" t="s">
        <v>29</v>
      </c>
      <c r="I6" s="48" cm="1">
        <f t="array" ref="I6">IF($R6,INDEX($S:$S,MATCH(TRUE,EXACT(H6,$A:$A),0)),"")</f>
        <v>50</v>
      </c>
      <c r="J6" s="38" t="s">
        <v>55</v>
      </c>
      <c r="K6" s="52" cm="1">
        <f t="array" ref="K6">IF($R6,INDEX($S:$S,MATCH(TRUE,EXACT(J6,$A:$A),0)),"")</f>
        <v>4</v>
      </c>
      <c r="L6" s="38" t="str" cm="1">
        <f t="array" ref="L6">IF($R6,INDEX($T:$T,MATCH(TRUE,EXACT(H6,$D:$D),0)),"")</f>
        <v>V</v>
      </c>
      <c r="M6" s="48" cm="1">
        <f t="array" ref="M6">IF($R6,INDEX($S:$S,MATCH(TRUE,EXACT(L6,$A:$A),0)),"")</f>
        <v>54</v>
      </c>
      <c r="N6" s="38" t="str" cm="1">
        <f t="array" ref="N6">IF($R6,INDEX($T:$T,MATCH(TRUE,EXACT(J6,$D:$D),0)),"")</f>
        <v>F</v>
      </c>
      <c r="O6" s="52" cm="1">
        <f t="array" ref="O6">IF($R6,INDEX($S:$S,MATCH(TRUE,EXACT(N6,$A:$A),0)),"")</f>
        <v>38</v>
      </c>
      <c r="P6" s="23"/>
      <c r="Q6" s="33"/>
      <c r="R6" s="18" t="b">
        <f t="shared" si="1"/>
        <v>1</v>
      </c>
      <c r="S6" s="19">
        <f>IF(R6, MAX(S$2:S5)+1,"")</f>
        <v>4</v>
      </c>
      <c r="T6" s="23" t="str">
        <f t="shared" si="2"/>
        <v>$</v>
      </c>
      <c r="U6" s="8" t="str" cm="1">
        <f t="array" ref="U6">CharToUTF8(A6)</f>
        <v>\x24</v>
      </c>
      <c r="W6" s="18" t="str">
        <f>$AU$2</f>
        <v>EMPTY</v>
      </c>
      <c r="X6" s="24" t="str">
        <f>$AU$4</f>
        <v>ORTHO_BOTH</v>
      </c>
      <c r="Y6" s="24" t="str">
        <f>$AU$2</f>
        <v>EMPTY</v>
      </c>
      <c r="Z6" s="21" t="str">
        <f>$AU$2</f>
        <v>EMPTY</v>
      </c>
      <c r="AB6" s="31" t="b">
        <f t="shared" si="3"/>
        <v>0</v>
      </c>
      <c r="AC6" s="31" t="b">
        <f t="shared" si="4"/>
        <v>0</v>
      </c>
      <c r="AD6" t="b">
        <f t="shared" si="5"/>
        <v>0</v>
      </c>
      <c r="AE6" t="b">
        <f t="shared" si="6"/>
        <v>1</v>
      </c>
      <c r="AF6" t="b">
        <f>IF($R6,W6=VLOOKUP(Z6,$AU$2:$AZ$10,3,FALSE),"")</f>
        <v>1</v>
      </c>
      <c r="AG6" t="b">
        <f>IF($R6,X6=VLOOKUP(Y6,$AU$2:$AZ$10,3,FALSE),"")</f>
        <v>0</v>
      </c>
      <c r="AH6" t="b">
        <f>IF($R6,Y6=VLOOKUP(W6,$AU$2:$AZ$10,3,FALSE),"")</f>
        <v>1</v>
      </c>
      <c r="AI6" t="b">
        <f>IF($R6,Z6=VLOOKUP(X6,$AU$2:$AZ$10,3,FALSE),"")</f>
        <v>0</v>
      </c>
      <c r="AJ6" t="b">
        <f>IF($R6,W6=VLOOKUP(W6,$AU$2:$AZ$10,4,FALSE),"")</f>
        <v>1</v>
      </c>
      <c r="AK6" t="b">
        <f>IF($R6,X6=VLOOKUP(X6,$AU$2:$AZ$10,4,FALSE),"")</f>
        <v>1</v>
      </c>
      <c r="AL6" t="b">
        <f>IF($R6,Y6=VLOOKUP(Y6,$AU$2:$AZ$10,4,FALSE),"")</f>
        <v>1</v>
      </c>
      <c r="AM6" t="b">
        <f>IF($R6,Z6=VLOOKUP(Z6,$AU$2:$AZ$10,4,FALSE),"")</f>
        <v>1</v>
      </c>
      <c r="AN6" t="b">
        <f>IF($R6,W6=VLOOKUP(W6,$AU$2:$AZ$10,5,FALSE),"")</f>
        <v>1</v>
      </c>
      <c r="AO6" t="b">
        <f>IF($R6,X6=VLOOKUP(X6,$AU$2:$AZ$10,5,FALSE),"")</f>
        <v>1</v>
      </c>
      <c r="AP6" t="b">
        <f>IF($R6,Y6=VLOOKUP(Y6,$AU$2:$AZ$10,6,FALSE),"")</f>
        <v>1</v>
      </c>
      <c r="AQ6" t="b">
        <f>IF($R6,Z6=VLOOKUP(Z6,$AU$2:$AZ$10,6,FALSE),"")</f>
        <v>1</v>
      </c>
      <c r="AR6" t="b">
        <f t="shared" si="8"/>
        <v>0</v>
      </c>
      <c r="AS6" t="b">
        <f t="shared" si="9"/>
        <v>0</v>
      </c>
      <c r="AU6" s="18" t="s">
        <v>208</v>
      </c>
      <c r="AV6" s="21" t="s">
        <v>177</v>
      </c>
      <c r="AW6" s="56" t="s">
        <v>208</v>
      </c>
      <c r="AX6" s="56" t="s">
        <v>208</v>
      </c>
      <c r="AY6" s="56" t="s">
        <v>207</v>
      </c>
      <c r="AZ6" s="56" t="s">
        <v>207</v>
      </c>
      <c r="BA6" s="56" t="s">
        <v>207</v>
      </c>
      <c r="BB6" s="56" t="s">
        <v>207</v>
      </c>
      <c r="BD6" s="59" t="str">
        <f t="shared" si="10"/>
        <v xml:space="preserve">    { wxString::FromUTF8("\x24"), &amp;AllGlyphs[54], &amp;AllGlyphs[50], &amp;AllGlyphs[50], &amp;AllGlyphs[4], &amp;AllGlyphs[54], &amp;AllGlyphs[38], Connection::EMPTY, Connection::ORTHO_BOTH, Connection::EMPTY, Connection::EMPTY, 0, 0, 0, 1, 0, 0 },</v>
      </c>
      <c r="BE6" s="60"/>
      <c r="BF6" s="60"/>
      <c r="BG6" s="60"/>
      <c r="BH6" s="60"/>
      <c r="BI6" s="60"/>
      <c r="BJ6" s="60"/>
      <c r="BK6" s="61"/>
      <c r="BM6" s="54" t="str">
        <f>IF($R6,"&amp;AllGlyphs[" &amp; E6 &amp; "]","")</f>
        <v>&amp;AllGlyphs[54]</v>
      </c>
      <c r="BN6" s="54" t="str">
        <f>IF($R6,"&amp;AllGlyphs[" &amp; G6 &amp; "]","")</f>
        <v>&amp;AllGlyphs[50]</v>
      </c>
      <c r="BO6" s="54" t="str">
        <f>IF($R6,"&amp;AllGlyphs[" &amp; I6 &amp; "]","")</f>
        <v>&amp;AllGlyphs[50]</v>
      </c>
      <c r="BP6" s="54" t="str">
        <f>IF($R6,"&amp;AllGlyphs[" &amp; K6 &amp; "]","")</f>
        <v>&amp;AllGlyphs[4]</v>
      </c>
      <c r="BQ6" s="54" t="str">
        <f>IF($R6,"&amp;AllGlyphs[" &amp; M6 &amp; "]","")</f>
        <v>&amp;AllGlyphs[54]</v>
      </c>
      <c r="BR6" s="54" t="str">
        <f>IF($R6,"&amp;AllGlyphs[" &amp; O6 &amp; "]","")</f>
        <v>&amp;AllGlyphs[38]</v>
      </c>
      <c r="BT6" s="58">
        <f>IF($R6,IF(AB6,1,0),"")</f>
        <v>0</v>
      </c>
      <c r="BU6" s="58">
        <f>IF($R6,IF(AC6,1,0),"")</f>
        <v>0</v>
      </c>
      <c r="BV6" s="58">
        <f>IF($R6,IF(AD6,1,0),"")</f>
        <v>0</v>
      </c>
      <c r="BW6" s="58">
        <f>IF($R6,IF(AE6,1,0),"")</f>
        <v>1</v>
      </c>
      <c r="BX6" s="58">
        <f>IF($R6,IF(AR6,1,0),"")</f>
        <v>0</v>
      </c>
      <c r="BY6" s="58">
        <f>IF($R6,IF(AS6,1,0),"")</f>
        <v>0</v>
      </c>
    </row>
    <row r="7" spans="1:77" x14ac:dyDescent="0.4">
      <c r="A7" s="7" t="s">
        <v>56</v>
      </c>
      <c r="B7" s="6" t="str">
        <f t="shared" si="0"/>
        <v>%</v>
      </c>
      <c r="C7" s="48" cm="1">
        <f t="array" ref="C7">IF($R7,INDEX($S:$S,MATCH(TRUE,EXACT(B7,$A:$A),0)),"")</f>
        <v>5</v>
      </c>
      <c r="D7" s="38" t="s">
        <v>41</v>
      </c>
      <c r="E7" s="48" cm="1">
        <f t="array" ref="E7">IF($R7,INDEX($S:$S,MATCH(TRUE,EXACT(D7,$A:$A),0)),"")</f>
        <v>40</v>
      </c>
      <c r="F7" s="38" t="s">
        <v>30</v>
      </c>
      <c r="G7" s="48" cm="1">
        <f t="array" ref="G7">IF($S7&lt;&gt;"",INDEX($S:$S,MATCH(TRUE,EXACT(F7,$A:$A),0)),"")</f>
        <v>52</v>
      </c>
      <c r="H7" s="38" t="s">
        <v>30</v>
      </c>
      <c r="I7" s="48" cm="1">
        <f t="array" ref="I7">IF($R7,INDEX($S:$S,MATCH(TRUE,EXACT(H7,$A:$A),0)),"")</f>
        <v>52</v>
      </c>
      <c r="J7" s="38" t="s">
        <v>56</v>
      </c>
      <c r="K7" s="52" cm="1">
        <f t="array" ref="K7">IF($R7,INDEX($S:$S,MATCH(TRUE,EXACT(J7,$A:$A),0)),"")</f>
        <v>5</v>
      </c>
      <c r="L7" s="38" t="str" cm="1">
        <f t="array" ref="L7">IF($R7,INDEX($T:$T,MATCH(TRUE,EXACT(H7,$D:$D),0)),"")</f>
        <v>H</v>
      </c>
      <c r="M7" s="48" cm="1">
        <f t="array" ref="M7">IF($R7,INDEX($S:$S,MATCH(TRUE,EXACT(L7,$A:$A),0)),"")</f>
        <v>40</v>
      </c>
      <c r="N7" s="38" t="str" cm="1">
        <f t="array" ref="N7">IF($R7,INDEX($T:$T,MATCH(TRUE,EXACT(J7,$D:$D),0)),"")</f>
        <v>G</v>
      </c>
      <c r="O7" s="52" cm="1">
        <f t="array" ref="O7">IF($R7,INDEX($S:$S,MATCH(TRUE,EXACT(N7,$A:$A),0)),"")</f>
        <v>39</v>
      </c>
      <c r="P7" s="23"/>
      <c r="Q7" s="33"/>
      <c r="R7" s="18" t="b">
        <f t="shared" si="1"/>
        <v>1</v>
      </c>
      <c r="S7" s="19">
        <f>IF(R7, MAX(S$2:S6)+1,"")</f>
        <v>5</v>
      </c>
      <c r="T7" s="23" t="str">
        <f t="shared" si="2"/>
        <v>%</v>
      </c>
      <c r="U7" s="8" t="str" cm="1">
        <f t="array" ref="U7">CharToUTF8(A7)</f>
        <v>\x25</v>
      </c>
      <c r="W7" s="18" t="str">
        <f>$AU$2</f>
        <v>EMPTY</v>
      </c>
      <c r="X7" s="24" t="str">
        <f>$AU$3</f>
        <v>DIAG_BOTH</v>
      </c>
      <c r="Y7" s="24" t="str">
        <f>$AU$4</f>
        <v>ORTHO_BOTH</v>
      </c>
      <c r="Z7" s="21" t="str">
        <f>$AU$4</f>
        <v>ORTHO_BOTH</v>
      </c>
      <c r="AB7" s="31" t="b">
        <f t="shared" si="3"/>
        <v>0</v>
      </c>
      <c r="AC7" s="31" t="b">
        <f t="shared" si="4"/>
        <v>0</v>
      </c>
      <c r="AD7" t="b">
        <f t="shared" si="5"/>
        <v>0</v>
      </c>
      <c r="AE7" t="b">
        <f t="shared" si="6"/>
        <v>1</v>
      </c>
      <c r="AF7" t="b">
        <f>IF($R7,W7=VLOOKUP(Z7,$AU$2:$AZ$10,3,FALSE),"")</f>
        <v>0</v>
      </c>
      <c r="AG7" t="b">
        <f>IF($R7,X7=VLOOKUP(Y7,$AU$2:$AZ$10,3,FALSE),"")</f>
        <v>0</v>
      </c>
      <c r="AH7" t="b">
        <f>IF($R7,Y7=VLOOKUP(W7,$AU$2:$AZ$10,3,FALSE),"")</f>
        <v>0</v>
      </c>
      <c r="AI7" t="b">
        <f>IF($R7,Z7=VLOOKUP(X7,$AU$2:$AZ$10,3,FALSE),"")</f>
        <v>0</v>
      </c>
      <c r="AJ7" t="b">
        <f>IF($R7,W7=VLOOKUP(W7,$AU$2:$AZ$10,4,FALSE),"")</f>
        <v>1</v>
      </c>
      <c r="AK7" t="b">
        <f>IF($R7,X7=VLOOKUP(X7,$AU$2:$AZ$10,4,FALSE),"")</f>
        <v>1</v>
      </c>
      <c r="AL7" t="b">
        <f>IF($R7,Y7=VLOOKUP(Y7,$AU$2:$AZ$10,4,FALSE),"")</f>
        <v>1</v>
      </c>
      <c r="AM7" t="b">
        <f>IF($R7,Z7=VLOOKUP(Z7,$AU$2:$AZ$10,4,FALSE),"")</f>
        <v>1</v>
      </c>
      <c r="AN7" t="b">
        <f>IF($R7,W7=VLOOKUP(W7,$AU$2:$AZ$10,5,FALSE),"")</f>
        <v>1</v>
      </c>
      <c r="AO7" t="b">
        <f>IF($R7,X7=VLOOKUP(X7,$AU$2:$AZ$10,5,FALSE),"")</f>
        <v>1</v>
      </c>
      <c r="AP7" t="b">
        <f>IF($R7,Y7=VLOOKUP(Y7,$AU$2:$AZ$10,6,FALSE),"")</f>
        <v>1</v>
      </c>
      <c r="AQ7" t="b">
        <f>IF($R7,Z7=VLOOKUP(Z7,$AU$2:$AZ$10,6,FALSE),"")</f>
        <v>1</v>
      </c>
      <c r="AR7" t="b">
        <f t="shared" si="8"/>
        <v>0</v>
      </c>
      <c r="AS7" t="b">
        <f t="shared" si="9"/>
        <v>0</v>
      </c>
      <c r="AU7" s="18" t="s">
        <v>212</v>
      </c>
      <c r="AV7" s="21" t="s">
        <v>203</v>
      </c>
      <c r="AW7" s="56" t="s">
        <v>210</v>
      </c>
      <c r="AX7" s="56" t="s">
        <v>213</v>
      </c>
      <c r="AY7" s="56" t="s">
        <v>213</v>
      </c>
      <c r="AZ7" s="56" t="s">
        <v>212</v>
      </c>
      <c r="BA7" s="56" t="s">
        <v>210</v>
      </c>
      <c r="BB7" s="56" t="s">
        <v>209</v>
      </c>
      <c r="BD7" s="59" t="str">
        <f t="shared" si="10"/>
        <v xml:space="preserve">    { wxString::FromUTF8("\x25"), &amp;AllGlyphs[40], &amp;AllGlyphs[52], &amp;AllGlyphs[52], &amp;AllGlyphs[5], &amp;AllGlyphs[40], &amp;AllGlyphs[39], Connection::EMPTY, Connection::DIAG_BOTH, Connection::ORTHO_BOTH, Connection::ORTHO_BOTH, 0, 0, 0, 1, 0, 0 },</v>
      </c>
      <c r="BE7" s="60"/>
      <c r="BF7" s="60"/>
      <c r="BG7" s="60"/>
      <c r="BH7" s="60"/>
      <c r="BI7" s="60"/>
      <c r="BJ7" s="60"/>
      <c r="BK7" s="61"/>
      <c r="BM7" s="54" t="str">
        <f>IF($R7,"&amp;AllGlyphs[" &amp; E7 &amp; "]","")</f>
        <v>&amp;AllGlyphs[40]</v>
      </c>
      <c r="BN7" s="54" t="str">
        <f>IF($R7,"&amp;AllGlyphs[" &amp; G7 &amp; "]","")</f>
        <v>&amp;AllGlyphs[52]</v>
      </c>
      <c r="BO7" s="54" t="str">
        <f>IF($R7,"&amp;AllGlyphs[" &amp; I7 &amp; "]","")</f>
        <v>&amp;AllGlyphs[52]</v>
      </c>
      <c r="BP7" s="54" t="str">
        <f>IF($R7,"&amp;AllGlyphs[" &amp; K7 &amp; "]","")</f>
        <v>&amp;AllGlyphs[5]</v>
      </c>
      <c r="BQ7" s="54" t="str">
        <f>IF($R7,"&amp;AllGlyphs[" &amp; M7 &amp; "]","")</f>
        <v>&amp;AllGlyphs[40]</v>
      </c>
      <c r="BR7" s="54" t="str">
        <f>IF($R7,"&amp;AllGlyphs[" &amp; O7 &amp; "]","")</f>
        <v>&amp;AllGlyphs[39]</v>
      </c>
      <c r="BT7" s="58">
        <f>IF($R7,IF(AB7,1,0),"")</f>
        <v>0</v>
      </c>
      <c r="BU7" s="58">
        <f>IF($R7,IF(AC7,1,0),"")</f>
        <v>0</v>
      </c>
      <c r="BV7" s="58">
        <f>IF($R7,IF(AD7,1,0),"")</f>
        <v>0</v>
      </c>
      <c r="BW7" s="58">
        <f>IF($R7,IF(AE7,1,0),"")</f>
        <v>1</v>
      </c>
      <c r="BX7" s="58">
        <f>IF($R7,IF(AR7,1,0),"")</f>
        <v>0</v>
      </c>
      <c r="BY7" s="58">
        <f>IF($R7,IF(AS7,1,0),"")</f>
        <v>0</v>
      </c>
    </row>
    <row r="8" spans="1:77" x14ac:dyDescent="0.4">
      <c r="A8" s="7" t="s">
        <v>58</v>
      </c>
      <c r="B8" s="6" t="str">
        <f t="shared" si="0"/>
        <v>&amp;</v>
      </c>
      <c r="C8" s="48" cm="1">
        <f t="array" ref="C8">IF($R8,INDEX($S:$S,MATCH(TRUE,EXACT(B8,$A:$A),0)),"")</f>
        <v>6</v>
      </c>
      <c r="D8" s="38" t="s">
        <v>43</v>
      </c>
      <c r="E8" s="48" cm="1">
        <f t="array" ref="E8">IF($R8,INDEX($S:$S,MATCH(TRUE,EXACT(D8,$A:$A),0)),"")</f>
        <v>43</v>
      </c>
      <c r="F8" s="38" t="s">
        <v>33</v>
      </c>
      <c r="G8" s="48" cm="1">
        <f t="array" ref="G8">IF($S8&lt;&gt;"",INDEX($S:$S,MATCH(TRUE,EXACT(F8,$A:$A),0)),"")</f>
        <v>41</v>
      </c>
      <c r="H8" s="38" t="s">
        <v>32</v>
      </c>
      <c r="I8" s="48" cm="1">
        <f t="array" ref="I8">IF($R8,INDEX($S:$S,MATCH(TRUE,EXACT(H8,$A:$A),0)),"")</f>
        <v>53</v>
      </c>
      <c r="J8" s="38" t="s">
        <v>59</v>
      </c>
      <c r="K8" s="52" cm="1">
        <f t="array" ref="K8">IF($R8,INDEX($S:$S,MATCH(TRUE,EXACT(J8,$A:$A),0)),"")</f>
        <v>10</v>
      </c>
      <c r="L8" s="38" t="str" cm="1">
        <f t="array" ref="L8">IF($R8,INDEX($T:$T,MATCH(TRUE,EXACT(H8,$D:$D),0)),"")</f>
        <v>&lt;</v>
      </c>
      <c r="M8" s="48" cm="1">
        <f t="array" ref="M8">IF($R8,INDEX($S:$S,MATCH(TRUE,EXACT(L8,$A:$A),0)),"")</f>
        <v>28</v>
      </c>
      <c r="N8" s="38" t="str" cm="1">
        <f t="array" ref="N8">IF($R8,INDEX($T:$T,MATCH(TRUE,EXACT(J8,$D:$D),0)),"")</f>
        <v>J</v>
      </c>
      <c r="O8" s="52" cm="1">
        <f t="array" ref="O8">IF($R8,INDEX($S:$S,MATCH(TRUE,EXACT(N8,$A:$A),0)),"")</f>
        <v>42</v>
      </c>
      <c r="P8" s="23"/>
      <c r="Q8" s="33"/>
      <c r="R8" s="18" t="b">
        <f t="shared" si="1"/>
        <v>1</v>
      </c>
      <c r="S8" s="19">
        <f>IF(R8, MAX(S$2:S7)+1,"")</f>
        <v>6</v>
      </c>
      <c r="T8" s="23" t="str">
        <f t="shared" si="2"/>
        <v>&amp;</v>
      </c>
      <c r="U8" s="8" t="str" cm="1">
        <f t="array" ref="U8">CharToUTF8(A8)</f>
        <v>\x26</v>
      </c>
      <c r="W8" s="18" t="str">
        <f>$AU$3</f>
        <v>DIAG_BOTH</v>
      </c>
      <c r="X8" s="24" t="str">
        <f>$AU$4</f>
        <v>ORTHO_BOTH</v>
      </c>
      <c r="Y8" s="24" t="str">
        <f>$AU$2</f>
        <v>EMPTY</v>
      </c>
      <c r="Z8" s="21" t="str">
        <f>$AU$4</f>
        <v>ORTHO_BOTH</v>
      </c>
      <c r="AB8" s="31" t="b">
        <f t="shared" si="3"/>
        <v>0</v>
      </c>
      <c r="AC8" s="31" t="b">
        <f t="shared" si="4"/>
        <v>0</v>
      </c>
      <c r="AD8" t="b">
        <f t="shared" si="5"/>
        <v>0</v>
      </c>
      <c r="AE8" t="b">
        <f t="shared" si="6"/>
        <v>0</v>
      </c>
      <c r="AF8" t="b">
        <f>IF($R8,W8=VLOOKUP(Z8,$AU$2:$AZ$10,3,FALSE),"")</f>
        <v>0</v>
      </c>
      <c r="AG8" t="b">
        <f>IF($R8,X8=VLOOKUP(Y8,$AU$2:$AZ$10,3,FALSE),"")</f>
        <v>0</v>
      </c>
      <c r="AH8" t="b">
        <f>IF($R8,Y8=VLOOKUP(W8,$AU$2:$AZ$10,3,FALSE),"")</f>
        <v>0</v>
      </c>
      <c r="AI8" t="b">
        <f>IF($R8,Z8=VLOOKUP(X8,$AU$2:$AZ$10,3,FALSE),"")</f>
        <v>1</v>
      </c>
      <c r="AJ8" t="b">
        <f>IF($R8,W8=VLOOKUP(W8,$AU$2:$AZ$10,4,FALSE),"")</f>
        <v>1</v>
      </c>
      <c r="AK8" t="b">
        <f>IF($R8,X8=VLOOKUP(X8,$AU$2:$AZ$10,4,FALSE),"")</f>
        <v>1</v>
      </c>
      <c r="AL8" t="b">
        <f>IF($R8,Y8=VLOOKUP(Y8,$AU$2:$AZ$10,4,FALSE),"")</f>
        <v>1</v>
      </c>
      <c r="AM8" t="b">
        <f>IF($R8,Z8=VLOOKUP(Z8,$AU$2:$AZ$10,4,FALSE),"")</f>
        <v>1</v>
      </c>
      <c r="AN8" t="b">
        <f>IF($R8,W8=VLOOKUP(W8,$AU$2:$AZ$10,5,FALSE),"")</f>
        <v>1</v>
      </c>
      <c r="AO8" t="b">
        <f>IF($R8,X8=VLOOKUP(X8,$AU$2:$AZ$10,5,FALSE),"")</f>
        <v>1</v>
      </c>
      <c r="AP8" t="b">
        <f>IF($R8,Y8=VLOOKUP(Y8,$AU$2:$AZ$10,6,FALSE),"")</f>
        <v>1</v>
      </c>
      <c r="AQ8" t="b">
        <f>IF($R8,Z8=VLOOKUP(Z8,$AU$2:$AZ$10,6,FALSE),"")</f>
        <v>1</v>
      </c>
      <c r="AR8" t="b">
        <f t="shared" si="8"/>
        <v>0</v>
      </c>
      <c r="AS8" t="b">
        <f t="shared" si="9"/>
        <v>0</v>
      </c>
      <c r="AU8" s="18" t="s">
        <v>213</v>
      </c>
      <c r="AV8" s="21" t="s">
        <v>204</v>
      </c>
      <c r="AW8" s="56" t="s">
        <v>209</v>
      </c>
      <c r="AX8" s="56" t="s">
        <v>212</v>
      </c>
      <c r="AY8" s="56" t="s">
        <v>212</v>
      </c>
      <c r="AZ8" s="56" t="s">
        <v>213</v>
      </c>
      <c r="BA8" s="56" t="s">
        <v>209</v>
      </c>
      <c r="BB8" s="56" t="s">
        <v>210</v>
      </c>
      <c r="BD8" s="59" t="str">
        <f t="shared" si="10"/>
        <v xml:space="preserve">    { wxString::FromUTF8("\x26"), &amp;AllGlyphs[43], &amp;AllGlyphs[41], &amp;AllGlyphs[53], &amp;AllGlyphs[10], &amp;AllGlyphs[28], &amp;AllGlyphs[42], Connection::DIAG_BOTH, Connection::ORTHO_BOTH, Connection::EMPTY, Connection::ORTHO_BOTH, 0, 0, 0, 0, 0, 0 },</v>
      </c>
      <c r="BE8" s="60"/>
      <c r="BF8" s="60"/>
      <c r="BG8" s="60"/>
      <c r="BH8" s="60"/>
      <c r="BI8" s="60"/>
      <c r="BJ8" s="60"/>
      <c r="BK8" s="61"/>
      <c r="BM8" s="54" t="str">
        <f>IF($R8,"&amp;AllGlyphs[" &amp; E8 &amp; "]","")</f>
        <v>&amp;AllGlyphs[43]</v>
      </c>
      <c r="BN8" s="54" t="str">
        <f>IF($R8,"&amp;AllGlyphs[" &amp; G8 &amp; "]","")</f>
        <v>&amp;AllGlyphs[41]</v>
      </c>
      <c r="BO8" s="54" t="str">
        <f>IF($R8,"&amp;AllGlyphs[" &amp; I8 &amp; "]","")</f>
        <v>&amp;AllGlyphs[53]</v>
      </c>
      <c r="BP8" s="54" t="str">
        <f>IF($R8,"&amp;AllGlyphs[" &amp; K8 &amp; "]","")</f>
        <v>&amp;AllGlyphs[10]</v>
      </c>
      <c r="BQ8" s="54" t="str">
        <f>IF($R8,"&amp;AllGlyphs[" &amp; M8 &amp; "]","")</f>
        <v>&amp;AllGlyphs[28]</v>
      </c>
      <c r="BR8" s="54" t="str">
        <f>IF($R8,"&amp;AllGlyphs[" &amp; O8 &amp; "]","")</f>
        <v>&amp;AllGlyphs[42]</v>
      </c>
      <c r="BT8" s="58">
        <f>IF($R8,IF(AB8,1,0),"")</f>
        <v>0</v>
      </c>
      <c r="BU8" s="58">
        <f>IF($R8,IF(AC8,1,0),"")</f>
        <v>0</v>
      </c>
      <c r="BV8" s="58">
        <f>IF($R8,IF(AD8,1,0),"")</f>
        <v>0</v>
      </c>
      <c r="BW8" s="58">
        <f>IF($R8,IF(AE8,1,0),"")</f>
        <v>0</v>
      </c>
      <c r="BX8" s="58">
        <f>IF($R8,IF(AR8,1,0),"")</f>
        <v>0</v>
      </c>
      <c r="BY8" s="58">
        <f>IF($R8,IF(AS8,1,0),"")</f>
        <v>0</v>
      </c>
    </row>
    <row r="9" spans="1:77" x14ac:dyDescent="0.4">
      <c r="A9" s="7" t="s">
        <v>78</v>
      </c>
      <c r="B9" s="9" t="str">
        <f t="shared" si="0"/>
        <v>'</v>
      </c>
      <c r="C9" s="48" cm="1">
        <f t="array" ref="C9">IF($R9,INDEX($S:$S,MATCH(TRUE,EXACT(B9,$A:$A),0)),"")</f>
        <v>7</v>
      </c>
      <c r="D9" s="39" t="s">
        <v>78</v>
      </c>
      <c r="E9" s="48" cm="1">
        <f t="array" ref="E9">IF($R9,INDEX($S:$S,MATCH(TRUE,EXACT(D9,$A:$A),0)),"")</f>
        <v>7</v>
      </c>
      <c r="F9" s="39" t="s">
        <v>78</v>
      </c>
      <c r="G9" s="48" cm="1">
        <f t="array" ref="G9">IF($S9&lt;&gt;"",INDEX($S:$S,MATCH(TRUE,EXACT(F9,$A:$A),0)),"")</f>
        <v>7</v>
      </c>
      <c r="H9" s="39" t="s">
        <v>78</v>
      </c>
      <c r="I9" s="48" cm="1">
        <f t="array" ref="I9">IF($R9,INDEX($S:$S,MATCH(TRUE,EXACT(H9,$A:$A),0)),"")</f>
        <v>7</v>
      </c>
      <c r="J9" s="39" t="s">
        <v>78</v>
      </c>
      <c r="K9" s="52" cm="1">
        <f t="array" ref="K9">IF($R9,INDEX($S:$S,MATCH(TRUE,EXACT(J9,$A:$A),0)),"")</f>
        <v>7</v>
      </c>
      <c r="L9" s="38" t="str" cm="1">
        <f t="array" ref="L9">IF($R9,INDEX($T:$T,MATCH(TRUE,EXACT(H9,$D:$D),0)),"")</f>
        <v>'</v>
      </c>
      <c r="M9" s="48" cm="1">
        <f t="array" ref="M9">IF($R9,INDEX($S:$S,MATCH(TRUE,EXACT(L9,$A:$A),0)),"")</f>
        <v>7</v>
      </c>
      <c r="N9" s="38" t="str" cm="1">
        <f t="array" ref="N9">IF($R9,INDEX($T:$T,MATCH(TRUE,EXACT(J9,$D:$D),0)),"")</f>
        <v>'</v>
      </c>
      <c r="O9" s="52" cm="1">
        <f t="array" ref="O9">IF($R9,INDEX($S:$S,MATCH(TRUE,EXACT(N9,$A:$A),0)),"")</f>
        <v>7</v>
      </c>
      <c r="P9" s="23"/>
      <c r="Q9" s="33"/>
      <c r="R9" s="18" t="b">
        <f t="shared" si="1"/>
        <v>1</v>
      </c>
      <c r="S9" s="19">
        <f>IF(R9, MAX(S$2:S8)+1,"")</f>
        <v>7</v>
      </c>
      <c r="T9" s="23" t="str">
        <f t="shared" si="2"/>
        <v>'</v>
      </c>
      <c r="U9" s="8" t="str" cm="1">
        <f t="array" ref="U9">CharToUTF8(A9)</f>
        <v>\x27</v>
      </c>
      <c r="W9" s="18" t="str">
        <f>$AU$3</f>
        <v>DIAG_BOTH</v>
      </c>
      <c r="X9" s="24" t="str">
        <f>$AU$3</f>
        <v>DIAG_BOTH</v>
      </c>
      <c r="Y9" s="24" t="str">
        <f>$AU$3</f>
        <v>DIAG_BOTH</v>
      </c>
      <c r="Z9" s="21" t="str">
        <f>$AU$3</f>
        <v>DIAG_BOTH</v>
      </c>
      <c r="AB9" s="31" t="b">
        <f t="shared" si="3"/>
        <v>1</v>
      </c>
      <c r="AC9" s="31" t="b">
        <f t="shared" si="4"/>
        <v>1</v>
      </c>
      <c r="AD9" t="b">
        <f t="shared" si="5"/>
        <v>1</v>
      </c>
      <c r="AE9" t="b">
        <f t="shared" si="6"/>
        <v>1</v>
      </c>
      <c r="AF9" t="b">
        <f>IF($R9,W9=VLOOKUP(Z9,$AU$2:$AZ$10,3,FALSE),"")</f>
        <v>1</v>
      </c>
      <c r="AG9" t="b">
        <f>IF($R9,X9=VLOOKUP(Y9,$AU$2:$AZ$10,3,FALSE),"")</f>
        <v>1</v>
      </c>
      <c r="AH9" t="b">
        <f>IF($R9,Y9=VLOOKUP(W9,$AU$2:$AZ$10,3,FALSE),"")</f>
        <v>1</v>
      </c>
      <c r="AI9" t="b">
        <f>IF($R9,Z9=VLOOKUP(X9,$AU$2:$AZ$10,3,FALSE),"")</f>
        <v>1</v>
      </c>
      <c r="AJ9" t="b">
        <f>IF($R9,W9=VLOOKUP(W9,$AU$2:$AZ$10,4,FALSE),"")</f>
        <v>1</v>
      </c>
      <c r="AK9" t="b">
        <f>IF($R9,X9=VLOOKUP(X9,$AU$2:$AZ$10,4,FALSE),"")</f>
        <v>1</v>
      </c>
      <c r="AL9" t="b">
        <f>IF($R9,Y9=VLOOKUP(Y9,$AU$2:$AZ$10,4,FALSE),"")</f>
        <v>1</v>
      </c>
      <c r="AM9" t="b">
        <f>IF($R9,Z9=VLOOKUP(Z9,$AU$2:$AZ$10,4,FALSE),"")</f>
        <v>1</v>
      </c>
      <c r="AN9" t="b">
        <f>IF($R9,W9=VLOOKUP(W9,$AU$2:$AZ$10,5,FALSE),"")</f>
        <v>1</v>
      </c>
      <c r="AO9" t="b">
        <f>IF($R9,X9=VLOOKUP(X9,$AU$2:$AZ$10,5,FALSE),"")</f>
        <v>1</v>
      </c>
      <c r="AP9" t="b">
        <f>IF($R9,Y9=VLOOKUP(Y9,$AU$2:$AZ$10,6,FALSE),"")</f>
        <v>1</v>
      </c>
      <c r="AQ9" t="b">
        <f>IF($R9,Z9=VLOOKUP(Z9,$AU$2:$AZ$10,6,FALSE),"")</f>
        <v>1</v>
      </c>
      <c r="AR9" t="b">
        <f t="shared" si="8"/>
        <v>1</v>
      </c>
      <c r="AS9" t="b">
        <f t="shared" si="9"/>
        <v>1</v>
      </c>
      <c r="AU9" s="18" t="s">
        <v>209</v>
      </c>
      <c r="AV9" s="21" t="s">
        <v>201</v>
      </c>
      <c r="AW9" s="56" t="s">
        <v>212</v>
      </c>
      <c r="AX9" s="56" t="s">
        <v>210</v>
      </c>
      <c r="AY9" s="56" t="s">
        <v>209</v>
      </c>
      <c r="AZ9" s="56" t="s">
        <v>210</v>
      </c>
      <c r="BA9" s="56" t="s">
        <v>213</v>
      </c>
      <c r="BB9" s="56" t="s">
        <v>212</v>
      </c>
      <c r="BD9" s="59" t="str">
        <f t="shared" si="10"/>
        <v xml:space="preserve">    { wxString::FromUTF8("\x27"), &amp;AllGlyphs[7], &amp;AllGlyphs[7], &amp;AllGlyphs[7], &amp;AllGlyphs[7], &amp;AllGlyphs[7], &amp;AllGlyphs[7], Connection::DIAG_BOTH, Connection::DIAG_BOTH, Connection::DIAG_BOTH, Connection::DIAG_BOTH, 1, 1, 1, 1, 1, 1 },</v>
      </c>
      <c r="BE9" s="60"/>
      <c r="BF9" s="60"/>
      <c r="BG9" s="60"/>
      <c r="BH9" s="60"/>
      <c r="BI9" s="60"/>
      <c r="BJ9" s="60"/>
      <c r="BK9" s="61"/>
      <c r="BM9" s="54" t="str">
        <f>IF($R9,"&amp;AllGlyphs[" &amp; E9 &amp; "]","")</f>
        <v>&amp;AllGlyphs[7]</v>
      </c>
      <c r="BN9" s="54" t="str">
        <f>IF($R9,"&amp;AllGlyphs[" &amp; G9 &amp; "]","")</f>
        <v>&amp;AllGlyphs[7]</v>
      </c>
      <c r="BO9" s="54" t="str">
        <f>IF($R9,"&amp;AllGlyphs[" &amp; I9 &amp; "]","")</f>
        <v>&amp;AllGlyphs[7]</v>
      </c>
      <c r="BP9" s="54" t="str">
        <f>IF($R9,"&amp;AllGlyphs[" &amp; K9 &amp; "]","")</f>
        <v>&amp;AllGlyphs[7]</v>
      </c>
      <c r="BQ9" s="54" t="str">
        <f>IF($R9,"&amp;AllGlyphs[" &amp; M9 &amp; "]","")</f>
        <v>&amp;AllGlyphs[7]</v>
      </c>
      <c r="BR9" s="54" t="str">
        <f>IF($R9,"&amp;AllGlyphs[" &amp; O9 &amp; "]","")</f>
        <v>&amp;AllGlyphs[7]</v>
      </c>
      <c r="BT9" s="58">
        <f>IF($R9,IF(AB9,1,0),"")</f>
        <v>1</v>
      </c>
      <c r="BU9" s="58">
        <f>IF($R9,IF(AC9,1,0),"")</f>
        <v>1</v>
      </c>
      <c r="BV9" s="58">
        <f>IF($R9,IF(AD9,1,0),"")</f>
        <v>1</v>
      </c>
      <c r="BW9" s="58">
        <f>IF($R9,IF(AE9,1,0),"")</f>
        <v>1</v>
      </c>
      <c r="BX9" s="58">
        <f>IF($R9,IF(AR9,1,0),"")</f>
        <v>1</v>
      </c>
      <c r="BY9" s="58">
        <f>IF($R9,IF(AS9,1,0),"")</f>
        <v>1</v>
      </c>
    </row>
    <row r="10" spans="1:77" ht="32.25" thickBot="1" x14ac:dyDescent="0.45">
      <c r="A10" s="7" t="s">
        <v>60</v>
      </c>
      <c r="B10" s="6" t="str">
        <f t="shared" si="0"/>
        <v>(</v>
      </c>
      <c r="C10" s="48" cm="1">
        <f t="array" ref="C10">IF($R10,INDEX($S:$S,MATCH(TRUE,EXACT(B10,$A:$A),0)),"")</f>
        <v>8</v>
      </c>
      <c r="D10" s="38" t="s">
        <v>61</v>
      </c>
      <c r="E10" s="48" cm="1">
        <f t="array" ref="E10">IF($R10,INDEX($S:$S,MATCH(TRUE,EXACT(D10,$A:$A),0)),"")</f>
        <v>9</v>
      </c>
      <c r="F10" s="38" t="s">
        <v>35</v>
      </c>
      <c r="G10" s="48" cm="1">
        <f t="array" ref="G10">IF($S10&lt;&gt;"",INDEX($S:$S,MATCH(TRUE,EXACT(F10,$A:$A),0)),"")</f>
        <v>48</v>
      </c>
      <c r="H10" s="38" t="s">
        <v>34</v>
      </c>
      <c r="I10" s="48" cm="1">
        <f t="array" ref="I10">IF($R10,INDEX($S:$S,MATCH(TRUE,EXACT(H10,$A:$A),0)),"")</f>
        <v>47</v>
      </c>
      <c r="J10" s="38" t="s">
        <v>61</v>
      </c>
      <c r="K10" s="52" cm="1">
        <f t="array" ref="K10">IF($R10,INDEX($S:$S,MATCH(TRUE,EXACT(J10,$A:$A),0)),"")</f>
        <v>9</v>
      </c>
      <c r="L10" s="38" t="str" cm="1">
        <f t="array" ref="L10">IF($R10,INDEX($T:$T,MATCH(TRUE,EXACT(H10,$D:$D),0)),"")</f>
        <v>P</v>
      </c>
      <c r="M10" s="48" cm="1">
        <f t="array" ref="M10">IF($R10,INDEX($S:$S,MATCH(TRUE,EXACT(L10,$A:$A),0)),"")</f>
        <v>48</v>
      </c>
      <c r="N10" s="38" t="str" cm="1">
        <f t="array" ref="N10">IF($R10,INDEX($T:$T,MATCH(TRUE,EXACT(J10,$D:$D),0)),"")</f>
        <v>(</v>
      </c>
      <c r="O10" s="52" cm="1">
        <f t="array" ref="O10">IF($R10,INDEX($S:$S,MATCH(TRUE,EXACT(N10,$A:$A),0)),"")</f>
        <v>8</v>
      </c>
      <c r="P10" s="23"/>
      <c r="Q10" s="33"/>
      <c r="R10" s="18" t="b">
        <f t="shared" si="1"/>
        <v>1</v>
      </c>
      <c r="S10" s="19">
        <f>IF(R10, MAX(S$2:S9)+1,"")</f>
        <v>8</v>
      </c>
      <c r="T10" s="23" t="str">
        <f t="shared" si="2"/>
        <v>(</v>
      </c>
      <c r="U10" s="8" t="str" cm="1">
        <f t="array" ref="U10">CharToUTF8(A10)</f>
        <v>\x28</v>
      </c>
      <c r="W10" s="18" t="str">
        <f>$AU$2</f>
        <v>EMPTY</v>
      </c>
      <c r="X10" s="24" t="str">
        <f>$AU$4</f>
        <v>ORTHO_BOTH</v>
      </c>
      <c r="Y10" s="24" t="str">
        <f>$AU$2</f>
        <v>EMPTY</v>
      </c>
      <c r="Z10" s="21" t="str">
        <f>$AU$4</f>
        <v>ORTHO_BOTH</v>
      </c>
      <c r="AB10" s="31" t="b">
        <f t="shared" si="3"/>
        <v>0</v>
      </c>
      <c r="AC10" s="31" t="b">
        <f t="shared" si="4"/>
        <v>0</v>
      </c>
      <c r="AD10" t="b">
        <f t="shared" si="5"/>
        <v>0</v>
      </c>
      <c r="AE10" t="b">
        <f t="shared" si="6"/>
        <v>0</v>
      </c>
      <c r="AF10" t="b">
        <f>IF($R10,W10=VLOOKUP(Z10,$AU$2:$AZ$10,3,FALSE),"")</f>
        <v>0</v>
      </c>
      <c r="AG10" t="b">
        <f>IF($R10,X10=VLOOKUP(Y10,$AU$2:$AZ$10,3,FALSE),"")</f>
        <v>0</v>
      </c>
      <c r="AH10" t="b">
        <f>IF($R10,Y10=VLOOKUP(W10,$AU$2:$AZ$10,3,FALSE),"")</f>
        <v>1</v>
      </c>
      <c r="AI10" t="b">
        <f>IF($R10,Z10=VLOOKUP(X10,$AU$2:$AZ$10,3,FALSE),"")</f>
        <v>1</v>
      </c>
      <c r="AJ10" t="b">
        <f>IF($R10,W10=VLOOKUP(W10,$AU$2:$AZ$10,4,FALSE),"")</f>
        <v>1</v>
      </c>
      <c r="AK10" t="b">
        <f>IF($R10,X10=VLOOKUP(X10,$AU$2:$AZ$10,4,FALSE),"")</f>
        <v>1</v>
      </c>
      <c r="AL10" t="b">
        <f>IF($R10,Y10=VLOOKUP(Y10,$AU$2:$AZ$10,4,FALSE),"")</f>
        <v>1</v>
      </c>
      <c r="AM10" t="b">
        <f>IF($R10,Z10=VLOOKUP(Z10,$AU$2:$AZ$10,4,FALSE),"")</f>
        <v>1</v>
      </c>
      <c r="AN10" t="b">
        <f>IF($R10,W10=VLOOKUP(W10,$AU$2:$AZ$10,5,FALSE),"")</f>
        <v>1</v>
      </c>
      <c r="AO10" t="b">
        <f>IF($R10,X10=VLOOKUP(X10,$AU$2:$AZ$10,5,FALSE),"")</f>
        <v>1</v>
      </c>
      <c r="AP10" t="b">
        <f>IF($R10,Y10=VLOOKUP(Y10,$AU$2:$AZ$10,6,FALSE),"")</f>
        <v>1</v>
      </c>
      <c r="AQ10" t="b">
        <f>IF($R10,Z10=VLOOKUP(Z10,$AU$2:$AZ$10,6,FALSE),"")</f>
        <v>1</v>
      </c>
      <c r="AR10" t="b">
        <f t="shared" si="8"/>
        <v>0</v>
      </c>
      <c r="AS10" t="b">
        <f t="shared" si="9"/>
        <v>1</v>
      </c>
      <c r="AU10" s="27" t="s">
        <v>210</v>
      </c>
      <c r="AV10" s="28" t="s">
        <v>202</v>
      </c>
      <c r="AW10" s="56" t="s">
        <v>213</v>
      </c>
      <c r="AX10" s="56" t="s">
        <v>209</v>
      </c>
      <c r="AY10" s="56" t="s">
        <v>210</v>
      </c>
      <c r="AZ10" s="56" t="s">
        <v>209</v>
      </c>
      <c r="BA10" s="56" t="s">
        <v>212</v>
      </c>
      <c r="BB10" s="56" t="s">
        <v>213</v>
      </c>
      <c r="BD10" s="59" t="str">
        <f t="shared" si="10"/>
        <v xml:space="preserve">    { wxString::FromUTF8("\x28"), &amp;AllGlyphs[9], &amp;AllGlyphs[48], &amp;AllGlyphs[47], &amp;AllGlyphs[9], &amp;AllGlyphs[48], &amp;AllGlyphs[8], Connection::EMPTY, Connection::ORTHO_BOTH, Connection::EMPTY, Connection::ORTHO_BOTH, 0, 0, 0, 0, 0, 1 },</v>
      </c>
      <c r="BE10" s="60"/>
      <c r="BF10" s="60"/>
      <c r="BG10" s="60"/>
      <c r="BH10" s="60"/>
      <c r="BI10" s="60"/>
      <c r="BJ10" s="60"/>
      <c r="BK10" s="61"/>
      <c r="BM10" s="54" t="str">
        <f>IF($R10,"&amp;AllGlyphs[" &amp; E10 &amp; "]","")</f>
        <v>&amp;AllGlyphs[9]</v>
      </c>
      <c r="BN10" s="54" t="str">
        <f>IF($R10,"&amp;AllGlyphs[" &amp; G10 &amp; "]","")</f>
        <v>&amp;AllGlyphs[48]</v>
      </c>
      <c r="BO10" s="54" t="str">
        <f>IF($R10,"&amp;AllGlyphs[" &amp; I10 &amp; "]","")</f>
        <v>&amp;AllGlyphs[47]</v>
      </c>
      <c r="BP10" s="54" t="str">
        <f>IF($R10,"&amp;AllGlyphs[" &amp; K10 &amp; "]","")</f>
        <v>&amp;AllGlyphs[9]</v>
      </c>
      <c r="BQ10" s="54" t="str">
        <f>IF($R10,"&amp;AllGlyphs[" &amp; M10 &amp; "]","")</f>
        <v>&amp;AllGlyphs[48]</v>
      </c>
      <c r="BR10" s="54" t="str">
        <f>IF($R10,"&amp;AllGlyphs[" &amp; O10 &amp; "]","")</f>
        <v>&amp;AllGlyphs[8]</v>
      </c>
      <c r="BT10" s="58">
        <f>IF($R10,IF(AB10,1,0),"")</f>
        <v>0</v>
      </c>
      <c r="BU10" s="58">
        <f>IF($R10,IF(AC10,1,0),"")</f>
        <v>0</v>
      </c>
      <c r="BV10" s="58">
        <f>IF($R10,IF(AD10,1,0),"")</f>
        <v>0</v>
      </c>
      <c r="BW10" s="58">
        <f>IF($R10,IF(AE10,1,0),"")</f>
        <v>0</v>
      </c>
      <c r="BX10" s="58">
        <f>IF($R10,IF(AR10,1,0),"")</f>
        <v>0</v>
      </c>
      <c r="BY10" s="58">
        <f>IF($R10,IF(AS10,1,0),"")</f>
        <v>1</v>
      </c>
    </row>
    <row r="11" spans="1:77" x14ac:dyDescent="0.4">
      <c r="A11" s="7" t="s">
        <v>61</v>
      </c>
      <c r="B11" s="6" t="str">
        <f t="shared" si="0"/>
        <v>)</v>
      </c>
      <c r="C11" s="48" cm="1">
        <f t="array" ref="C11">IF($R11,INDEX($S:$S,MATCH(TRUE,EXACT(B11,$A:$A),0)),"")</f>
        <v>9</v>
      </c>
      <c r="D11" s="38" t="s">
        <v>35</v>
      </c>
      <c r="E11" s="48" cm="1">
        <f t="array" ref="E11">IF($R11,INDEX($S:$S,MATCH(TRUE,EXACT(D11,$A:$A),0)),"")</f>
        <v>48</v>
      </c>
      <c r="F11" s="38" t="s">
        <v>34</v>
      </c>
      <c r="G11" s="48" cm="1">
        <f t="array" ref="G11">IF($S11&lt;&gt;"",INDEX($S:$S,MATCH(TRUE,EXACT(F11,$A:$A),0)),"")</f>
        <v>47</v>
      </c>
      <c r="H11" s="38" t="s">
        <v>35</v>
      </c>
      <c r="I11" s="48" cm="1">
        <f t="array" ref="I11">IF($R11,INDEX($S:$S,MATCH(TRUE,EXACT(H11,$A:$A),0)),"")</f>
        <v>48</v>
      </c>
      <c r="J11" s="38" t="s">
        <v>60</v>
      </c>
      <c r="K11" s="52" cm="1">
        <f t="array" ref="K11">IF($R11,INDEX($S:$S,MATCH(TRUE,EXACT(J11,$A:$A),0)),"")</f>
        <v>8</v>
      </c>
      <c r="L11" s="38" t="str" cm="1">
        <f t="array" ref="L11">IF($R11,INDEX($T:$T,MATCH(TRUE,EXACT(H11,$D:$D),0)),"")</f>
        <v>)</v>
      </c>
      <c r="M11" s="48" cm="1">
        <f t="array" ref="M11">IF($R11,INDEX($S:$S,MATCH(TRUE,EXACT(L11,$A:$A),0)),"")</f>
        <v>9</v>
      </c>
      <c r="N11" s="38" t="str" cm="1">
        <f t="array" ref="N11">IF($R11,INDEX($T:$T,MATCH(TRUE,EXACT(J11,$D:$D),0)),"")</f>
        <v>O</v>
      </c>
      <c r="O11" s="52" cm="1">
        <f t="array" ref="O11">IF($R11,INDEX($S:$S,MATCH(TRUE,EXACT(N11,$A:$A),0)),"")</f>
        <v>47</v>
      </c>
      <c r="P11" s="23"/>
      <c r="Q11" s="33"/>
      <c r="R11" s="18" t="b">
        <f t="shared" si="1"/>
        <v>1</v>
      </c>
      <c r="S11" s="19">
        <f>IF(R11, MAX(S$2:S10)+1,"")</f>
        <v>9</v>
      </c>
      <c r="T11" s="23" t="str">
        <f t="shared" si="2"/>
        <v>)</v>
      </c>
      <c r="U11" s="8" t="str" cm="1">
        <f t="array" ref="U11">CharToUTF8(A11)</f>
        <v>\x29</v>
      </c>
      <c r="W11" s="18" t="str">
        <f>$AU$2</f>
        <v>EMPTY</v>
      </c>
      <c r="X11" s="24" t="str">
        <f>$AU$4</f>
        <v>ORTHO_BOTH</v>
      </c>
      <c r="Y11" s="24" t="str">
        <f>$AU$4</f>
        <v>ORTHO_BOTH</v>
      </c>
      <c r="Z11" s="21" t="str">
        <f>$AU$2</f>
        <v>EMPTY</v>
      </c>
      <c r="AB11" s="31" t="b">
        <f t="shared" si="3"/>
        <v>0</v>
      </c>
      <c r="AC11" s="31" t="b">
        <f t="shared" si="4"/>
        <v>0</v>
      </c>
      <c r="AD11" t="b">
        <f t="shared" si="5"/>
        <v>0</v>
      </c>
      <c r="AE11" t="b">
        <f t="shared" si="6"/>
        <v>0</v>
      </c>
      <c r="AF11" t="b">
        <f>IF($R11,W11=VLOOKUP(Z11,$AU$2:$AZ$10,3,FALSE),"")</f>
        <v>1</v>
      </c>
      <c r="AG11" t="b">
        <f>IF($R11,X11=VLOOKUP(Y11,$AU$2:$AZ$10,3,FALSE),"")</f>
        <v>1</v>
      </c>
      <c r="AH11" t="b">
        <f>IF($R11,Y11=VLOOKUP(W11,$AU$2:$AZ$10,3,FALSE),"")</f>
        <v>0</v>
      </c>
      <c r="AI11" t="b">
        <f>IF($R11,Z11=VLOOKUP(X11,$AU$2:$AZ$10,3,FALSE),"")</f>
        <v>0</v>
      </c>
      <c r="AJ11" t="b">
        <f>IF($R11,W11=VLOOKUP(W11,$AU$2:$AZ$10,4,FALSE),"")</f>
        <v>1</v>
      </c>
      <c r="AK11" t="b">
        <f>IF($R11,X11=VLOOKUP(X11,$AU$2:$AZ$10,4,FALSE),"")</f>
        <v>1</v>
      </c>
      <c r="AL11" t="b">
        <f>IF($R11,Y11=VLOOKUP(Y11,$AU$2:$AZ$10,4,FALSE),"")</f>
        <v>1</v>
      </c>
      <c r="AM11" t="b">
        <f>IF($R11,Z11=VLOOKUP(Z11,$AU$2:$AZ$10,4,FALSE),"")</f>
        <v>1</v>
      </c>
      <c r="AN11" t="b">
        <f>IF($R11,W11=VLOOKUP(W11,$AU$2:$AZ$10,5,FALSE),"")</f>
        <v>1</v>
      </c>
      <c r="AO11" t="b">
        <f>IF($R11,X11=VLOOKUP(X11,$AU$2:$AZ$10,5,FALSE),"")</f>
        <v>1</v>
      </c>
      <c r="AP11" t="b">
        <f>IF($R11,Y11=VLOOKUP(Y11,$AU$2:$AZ$10,6,FALSE),"")</f>
        <v>1</v>
      </c>
      <c r="AQ11" t="b">
        <f>IF($R11,Z11=VLOOKUP(Z11,$AU$2:$AZ$10,6,FALSE),"")</f>
        <v>1</v>
      </c>
      <c r="AR11" t="b">
        <f t="shared" si="8"/>
        <v>1</v>
      </c>
      <c r="AS11" t="b">
        <f t="shared" si="9"/>
        <v>0</v>
      </c>
      <c r="BD11" s="59" t="str">
        <f t="shared" si="10"/>
        <v xml:space="preserve">    { wxString::FromUTF8("\x29"), &amp;AllGlyphs[48], &amp;AllGlyphs[47], &amp;AllGlyphs[48], &amp;AllGlyphs[8], &amp;AllGlyphs[9], &amp;AllGlyphs[47], Connection::EMPTY, Connection::ORTHO_BOTH, Connection::ORTHO_BOTH, Connection::EMPTY, 0, 0, 0, 0, 1, 0 },</v>
      </c>
      <c r="BE11" s="60"/>
      <c r="BF11" s="60"/>
      <c r="BG11" s="60"/>
      <c r="BH11" s="60"/>
      <c r="BI11" s="60"/>
      <c r="BJ11" s="60"/>
      <c r="BK11" s="61"/>
      <c r="BM11" s="54" t="str">
        <f>IF($R11,"&amp;AllGlyphs[" &amp; E11 &amp; "]","")</f>
        <v>&amp;AllGlyphs[48]</v>
      </c>
      <c r="BN11" s="54" t="str">
        <f>IF($R11,"&amp;AllGlyphs[" &amp; G11 &amp; "]","")</f>
        <v>&amp;AllGlyphs[47]</v>
      </c>
      <c r="BO11" s="54" t="str">
        <f>IF($R11,"&amp;AllGlyphs[" &amp; I11 &amp; "]","")</f>
        <v>&amp;AllGlyphs[48]</v>
      </c>
      <c r="BP11" s="54" t="str">
        <f>IF($R11,"&amp;AllGlyphs[" &amp; K11 &amp; "]","")</f>
        <v>&amp;AllGlyphs[8]</v>
      </c>
      <c r="BQ11" s="54" t="str">
        <f>IF($R11,"&amp;AllGlyphs[" &amp; M11 &amp; "]","")</f>
        <v>&amp;AllGlyphs[9]</v>
      </c>
      <c r="BR11" s="54" t="str">
        <f>IF($R11,"&amp;AllGlyphs[" &amp; O11 &amp; "]","")</f>
        <v>&amp;AllGlyphs[47]</v>
      </c>
      <c r="BT11" s="58">
        <f>IF($R11,IF(AB11,1,0),"")</f>
        <v>0</v>
      </c>
      <c r="BU11" s="58">
        <f>IF($R11,IF(AC11,1,0),"")</f>
        <v>0</v>
      </c>
      <c r="BV11" s="58">
        <f>IF($R11,IF(AD11,1,0),"")</f>
        <v>0</v>
      </c>
      <c r="BW11" s="58">
        <f>IF($R11,IF(AE11,1,0),"")</f>
        <v>0</v>
      </c>
      <c r="BX11" s="58">
        <f>IF($R11,IF(AR11,1,0),"")</f>
        <v>1</v>
      </c>
      <c r="BY11" s="58">
        <f>IF($R11,IF(AS11,1,0),"")</f>
        <v>0</v>
      </c>
    </row>
    <row r="12" spans="1:77" ht="31.5" customHeight="1" x14ac:dyDescent="0.4">
      <c r="A12" s="7" t="s">
        <v>59</v>
      </c>
      <c r="B12" s="6" t="str">
        <f t="shared" si="0"/>
        <v>*</v>
      </c>
      <c r="C12" s="48" cm="1">
        <f t="array" ref="C12">IF($R12,INDEX($S:$S,MATCH(TRUE,EXACT(B12,$A:$A),0)),"")</f>
        <v>10</v>
      </c>
      <c r="D12" s="38" t="s">
        <v>165</v>
      </c>
      <c r="E12" s="48" cm="1">
        <f t="array" ref="E12">IF($R12,INDEX($S:$S,MATCH(TRUE,EXACT(D12,$A:$A),0)),"")</f>
        <v>28</v>
      </c>
      <c r="F12" s="38" t="s">
        <v>32</v>
      </c>
      <c r="G12" s="48" cm="1">
        <f t="array" ref="G12">IF($S12&lt;&gt;"",INDEX($S:$S,MATCH(TRUE,EXACT(F12,$A:$A),0)),"")</f>
        <v>53</v>
      </c>
      <c r="H12" s="38" t="s">
        <v>33</v>
      </c>
      <c r="I12" s="48" cm="1">
        <f t="array" ref="I12">IF($R12,INDEX($S:$S,MATCH(TRUE,EXACT(H12,$A:$A),0)),"")</f>
        <v>41</v>
      </c>
      <c r="J12" s="38" t="s">
        <v>58</v>
      </c>
      <c r="K12" s="52" cm="1">
        <f t="array" ref="K12">IF($R12,INDEX($S:$S,MATCH(TRUE,EXACT(J12,$A:$A),0)),"")</f>
        <v>6</v>
      </c>
      <c r="L12" s="38" t="str" cm="1">
        <f t="array" ref="L12">IF($R12,INDEX($T:$T,MATCH(TRUE,EXACT(H12,$D:$D),0)),"")</f>
        <v>K</v>
      </c>
      <c r="M12" s="48" cm="1">
        <f t="array" ref="M12">IF($R12,INDEX($S:$S,MATCH(TRUE,EXACT(L12,$A:$A),0)),"")</f>
        <v>43</v>
      </c>
      <c r="N12" s="38" t="str" cm="1">
        <f t="array" ref="N12">IF($R12,INDEX($T:$T,MATCH(TRUE,EXACT(J12,$D:$D),0)),"")</f>
        <v>M</v>
      </c>
      <c r="O12" s="52" cm="1">
        <f t="array" ref="O12">IF($R12,INDEX($S:$S,MATCH(TRUE,EXACT(N12,$A:$A),0)),"")</f>
        <v>45</v>
      </c>
      <c r="P12" s="23"/>
      <c r="Q12" s="33"/>
      <c r="R12" s="18" t="b">
        <f t="shared" si="1"/>
        <v>1</v>
      </c>
      <c r="S12" s="19">
        <f>IF(R12, MAX(S$2:S11)+1,"")</f>
        <v>10</v>
      </c>
      <c r="T12" s="23" t="str">
        <f t="shared" si="2"/>
        <v>*</v>
      </c>
      <c r="U12" s="8" t="str" cm="1">
        <f t="array" ref="U12">CharToUTF8(A12)</f>
        <v>\x2A</v>
      </c>
      <c r="W12" s="18" t="str">
        <f t="shared" ref="W12:W17" si="11">$AU$3</f>
        <v>DIAG_BOTH</v>
      </c>
      <c r="X12" s="24" t="str">
        <f>$AU$4</f>
        <v>ORTHO_BOTH</v>
      </c>
      <c r="Y12" s="24" t="str">
        <f>$AU$4</f>
        <v>ORTHO_BOTH</v>
      </c>
      <c r="Z12" s="21" t="str">
        <f>$AU$2</f>
        <v>EMPTY</v>
      </c>
      <c r="AB12" s="31" t="b">
        <f t="shared" si="3"/>
        <v>0</v>
      </c>
      <c r="AC12" s="31" t="b">
        <f t="shared" si="4"/>
        <v>0</v>
      </c>
      <c r="AD12" t="b">
        <f t="shared" si="5"/>
        <v>0</v>
      </c>
      <c r="AE12" t="b">
        <f t="shared" si="6"/>
        <v>0</v>
      </c>
      <c r="AF12" t="b">
        <f>IF($R12,W12=VLOOKUP(Z12,$AU$2:$AZ$10,3,FALSE),"")</f>
        <v>0</v>
      </c>
      <c r="AG12" t="b">
        <f>IF($R12,X12=VLOOKUP(Y12,$AU$2:$AZ$10,3,FALSE),"")</f>
        <v>1</v>
      </c>
      <c r="AH12" t="b">
        <f>IF($R12,Y12=VLOOKUP(W12,$AU$2:$AZ$10,3,FALSE),"")</f>
        <v>0</v>
      </c>
      <c r="AI12" t="b">
        <f>IF($R12,Z12=VLOOKUP(X12,$AU$2:$AZ$10,3,FALSE),"")</f>
        <v>0</v>
      </c>
      <c r="AJ12" t="b">
        <f>IF($R12,W12=VLOOKUP(W12,$AU$2:$AZ$10,4,FALSE),"")</f>
        <v>1</v>
      </c>
      <c r="AK12" t="b">
        <f>IF($R12,X12=VLOOKUP(X12,$AU$2:$AZ$10,4,FALSE),"")</f>
        <v>1</v>
      </c>
      <c r="AL12" t="b">
        <f>IF($R12,Y12=VLOOKUP(Y12,$AU$2:$AZ$10,4,FALSE),"")</f>
        <v>1</v>
      </c>
      <c r="AM12" t="b">
        <f>IF($R12,Z12=VLOOKUP(Z12,$AU$2:$AZ$10,4,FALSE),"")</f>
        <v>1</v>
      </c>
      <c r="AN12" t="b">
        <f>IF($R12,W12=VLOOKUP(W12,$AU$2:$AZ$10,5,FALSE),"")</f>
        <v>1</v>
      </c>
      <c r="AO12" t="b">
        <f>IF($R12,X12=VLOOKUP(X12,$AU$2:$AZ$10,5,FALSE),"")</f>
        <v>1</v>
      </c>
      <c r="AP12" t="b">
        <f>IF($R12,Y12=VLOOKUP(Y12,$AU$2:$AZ$10,6,FALSE),"")</f>
        <v>1</v>
      </c>
      <c r="AQ12" t="b">
        <f>IF($R12,Z12=VLOOKUP(Z12,$AU$2:$AZ$10,6,FALSE),"")</f>
        <v>1</v>
      </c>
      <c r="AR12" t="b">
        <f t="shared" si="8"/>
        <v>0</v>
      </c>
      <c r="AS12" t="b">
        <f t="shared" si="9"/>
        <v>0</v>
      </c>
      <c r="BD12" s="59" t="str">
        <f t="shared" si="10"/>
        <v xml:space="preserve">    { wxString::FromUTF8("\x2A"), &amp;AllGlyphs[28], &amp;AllGlyphs[53], &amp;AllGlyphs[41], &amp;AllGlyphs[6], &amp;AllGlyphs[43], &amp;AllGlyphs[45], Connection::DIAG_BOTH, Connection::ORTHO_BOTH, Connection::ORTHO_BOTH, Connection::EMPTY, 0, 0, 0, 0, 0, 0 },</v>
      </c>
      <c r="BE12" s="60"/>
      <c r="BF12" s="60"/>
      <c r="BG12" s="60"/>
      <c r="BH12" s="60"/>
      <c r="BI12" s="60"/>
      <c r="BJ12" s="60"/>
      <c r="BK12" s="61"/>
      <c r="BM12" s="54" t="str">
        <f>IF($R12,"&amp;AllGlyphs[" &amp; E12 &amp; "]","")</f>
        <v>&amp;AllGlyphs[28]</v>
      </c>
      <c r="BN12" s="54" t="str">
        <f>IF($R12,"&amp;AllGlyphs[" &amp; G12 &amp; "]","")</f>
        <v>&amp;AllGlyphs[53]</v>
      </c>
      <c r="BO12" s="54" t="str">
        <f>IF($R12,"&amp;AllGlyphs[" &amp; I12 &amp; "]","")</f>
        <v>&amp;AllGlyphs[41]</v>
      </c>
      <c r="BP12" s="54" t="str">
        <f>IF($R12,"&amp;AllGlyphs[" &amp; K12 &amp; "]","")</f>
        <v>&amp;AllGlyphs[6]</v>
      </c>
      <c r="BQ12" s="54" t="str">
        <f>IF($R12,"&amp;AllGlyphs[" &amp; M12 &amp; "]","")</f>
        <v>&amp;AllGlyphs[43]</v>
      </c>
      <c r="BR12" s="54" t="str">
        <f>IF($R12,"&amp;AllGlyphs[" &amp; O12 &amp; "]","")</f>
        <v>&amp;AllGlyphs[45]</v>
      </c>
      <c r="BT12" s="58">
        <f>IF($R12,IF(AB12,1,0),"")</f>
        <v>0</v>
      </c>
      <c r="BU12" s="58">
        <f>IF($R12,IF(AC12,1,0),"")</f>
        <v>0</v>
      </c>
      <c r="BV12" s="58">
        <f>IF($R12,IF(AD12,1,0),"")</f>
        <v>0</v>
      </c>
      <c r="BW12" s="58">
        <f>IF($R12,IF(AE12,1,0),"")</f>
        <v>0</v>
      </c>
      <c r="BX12" s="58">
        <f>IF($R12,IF(AR12,1,0),"")</f>
        <v>0</v>
      </c>
      <c r="BY12" s="58">
        <f>IF($R12,IF(AS12,1,0),"")</f>
        <v>0</v>
      </c>
    </row>
    <row r="13" spans="1:77" x14ac:dyDescent="0.4">
      <c r="A13" s="7" t="s">
        <v>70</v>
      </c>
      <c r="B13" s="6" t="str">
        <f t="shared" si="0"/>
        <v>+</v>
      </c>
      <c r="C13" s="48" cm="1">
        <f t="array" ref="C13">IF($R13,INDEX($S:$S,MATCH(TRUE,EXACT(B13,$A:$A),0)),"")</f>
        <v>11</v>
      </c>
      <c r="D13" s="38" t="s">
        <v>77</v>
      </c>
      <c r="E13" s="48" cm="1">
        <f t="array" ref="E13">IF($R13,INDEX($S:$S,MATCH(TRUE,EXACT(D13,$A:$A),0)),"")</f>
        <v>93</v>
      </c>
      <c r="F13" s="38" t="s">
        <v>76</v>
      </c>
      <c r="G13" s="48" cm="1">
        <f t="array" ref="G13">IF($S13&lt;&gt;"",INDEX($S:$S,MATCH(TRUE,EXACT(F13,$A:$A),0)),"")</f>
        <v>91</v>
      </c>
      <c r="H13" s="38" t="s">
        <v>77</v>
      </c>
      <c r="I13" s="48" cm="1">
        <f t="array" ref="I13">IF($R13,INDEX($S:$S,MATCH(TRUE,EXACT(H13,$A:$A),0)),"")</f>
        <v>93</v>
      </c>
      <c r="J13" s="38" t="s">
        <v>75</v>
      </c>
      <c r="K13" s="52" cm="1">
        <f t="array" ref="K13">IF($R13,INDEX($S:$S,MATCH(TRUE,EXACT(J13,$A:$A),0)),"")</f>
        <v>63</v>
      </c>
      <c r="L13" s="38" t="str" cm="1">
        <f t="array" ref="L13">IF($R13,INDEX($T:$T,MATCH(TRUE,EXACT(H13,$D:$D),0)),"")</f>
        <v>+</v>
      </c>
      <c r="M13" s="48" cm="1">
        <f t="array" ref="M13">IF($R13,INDEX($S:$S,MATCH(TRUE,EXACT(L13,$A:$A),0)),"")</f>
        <v>11</v>
      </c>
      <c r="N13" s="38" t="str" cm="1">
        <f t="array" ref="N13">IF($R13,INDEX($T:$T,MATCH(TRUE,EXACT(J13,$D:$D),0)),"")</f>
        <v>{</v>
      </c>
      <c r="O13" s="52" cm="1">
        <f t="array" ref="O13">IF($R13,INDEX($S:$S,MATCH(TRUE,EXACT(N13,$A:$A),0)),"")</f>
        <v>91</v>
      </c>
      <c r="P13" s="23"/>
      <c r="Q13" s="33"/>
      <c r="R13" s="18" t="b">
        <f t="shared" si="1"/>
        <v>1</v>
      </c>
      <c r="S13" s="19">
        <f>IF(R13, MAX(S$2:S12)+1,"")</f>
        <v>11</v>
      </c>
      <c r="T13" s="23" t="str">
        <f t="shared" si="2"/>
        <v>+</v>
      </c>
      <c r="U13" s="8" t="str" cm="1">
        <f t="array" ref="U13">CharToUTF8(A13)</f>
        <v>\x2B</v>
      </c>
      <c r="W13" s="18" t="str">
        <f t="shared" si="11"/>
        <v>DIAG_BOTH</v>
      </c>
      <c r="X13" s="24" t="str">
        <f>$AU$4</f>
        <v>ORTHO_BOTH</v>
      </c>
      <c r="Y13" s="24" t="str">
        <f>$AU$4</f>
        <v>ORTHO_BOTH</v>
      </c>
      <c r="Z13" s="21" t="str">
        <f>$AU$3</f>
        <v>DIAG_BOTH</v>
      </c>
      <c r="AB13" s="31" t="b">
        <f t="shared" si="3"/>
        <v>0</v>
      </c>
      <c r="AC13" s="31" t="b">
        <f t="shared" si="4"/>
        <v>0</v>
      </c>
      <c r="AD13" t="b">
        <f t="shared" si="5"/>
        <v>0</v>
      </c>
      <c r="AE13" t="b">
        <f t="shared" si="6"/>
        <v>0</v>
      </c>
      <c r="AF13" t="b">
        <f>IF($R13,W13=VLOOKUP(Z13,$AU$2:$AZ$10,3,FALSE),"")</f>
        <v>1</v>
      </c>
      <c r="AG13" t="b">
        <f>IF($R13,X13=VLOOKUP(Y13,$AU$2:$AZ$10,3,FALSE),"")</f>
        <v>1</v>
      </c>
      <c r="AH13" t="b">
        <f>IF($R13,Y13=VLOOKUP(W13,$AU$2:$AZ$10,3,FALSE),"")</f>
        <v>0</v>
      </c>
      <c r="AI13" t="b">
        <f>IF($R13,Z13=VLOOKUP(X13,$AU$2:$AZ$10,3,FALSE),"")</f>
        <v>0</v>
      </c>
      <c r="AJ13" t="b">
        <f>IF($R13,W13=VLOOKUP(W13,$AU$2:$AZ$10,4,FALSE),"")</f>
        <v>1</v>
      </c>
      <c r="AK13" t="b">
        <f>IF($R13,X13=VLOOKUP(X13,$AU$2:$AZ$10,4,FALSE),"")</f>
        <v>1</v>
      </c>
      <c r="AL13" t="b">
        <f>IF($R13,Y13=VLOOKUP(Y13,$AU$2:$AZ$10,4,FALSE),"")</f>
        <v>1</v>
      </c>
      <c r="AM13" t="b">
        <f>IF($R13,Z13=VLOOKUP(Z13,$AU$2:$AZ$10,4,FALSE),"")</f>
        <v>1</v>
      </c>
      <c r="AN13" t="b">
        <f>IF($R13,W13=VLOOKUP(W13,$AU$2:$AZ$10,5,FALSE),"")</f>
        <v>1</v>
      </c>
      <c r="AO13" t="b">
        <f>IF($R13,X13=VLOOKUP(X13,$AU$2:$AZ$10,5,FALSE),"")</f>
        <v>1</v>
      </c>
      <c r="AP13" t="b">
        <f>IF($R13,Y13=VLOOKUP(Y13,$AU$2:$AZ$10,6,FALSE),"")</f>
        <v>1</v>
      </c>
      <c r="AQ13" t="b">
        <f>IF($R13,Z13=VLOOKUP(Z13,$AU$2:$AZ$10,6,FALSE),"")</f>
        <v>1</v>
      </c>
      <c r="AR13" t="b">
        <f t="shared" si="8"/>
        <v>1</v>
      </c>
      <c r="AS13" t="b">
        <f t="shared" si="9"/>
        <v>0</v>
      </c>
      <c r="BD13" s="59" t="str">
        <f t="shared" si="10"/>
        <v xml:space="preserve">    { wxString::FromUTF8("\x2B"), &amp;AllGlyphs[93], &amp;AllGlyphs[91], &amp;AllGlyphs[93], &amp;AllGlyphs[63], &amp;AllGlyphs[11], &amp;AllGlyphs[91], Connection::DIAG_BOTH, Connection::ORTHO_BOTH, Connection::ORTHO_BOTH, Connection::DIAG_BOTH, 0, 0, 0, 0, 1, 0 },</v>
      </c>
      <c r="BE13" s="60"/>
      <c r="BF13" s="60"/>
      <c r="BG13" s="60"/>
      <c r="BH13" s="60"/>
      <c r="BI13" s="60"/>
      <c r="BJ13" s="60"/>
      <c r="BK13" s="61"/>
      <c r="BM13" s="54" t="str">
        <f>IF($R13,"&amp;AllGlyphs[" &amp; E13 &amp; "]","")</f>
        <v>&amp;AllGlyphs[93]</v>
      </c>
      <c r="BN13" s="54" t="str">
        <f>IF($R13,"&amp;AllGlyphs[" &amp; G13 &amp; "]","")</f>
        <v>&amp;AllGlyphs[91]</v>
      </c>
      <c r="BO13" s="54" t="str">
        <f>IF($R13,"&amp;AllGlyphs[" &amp; I13 &amp; "]","")</f>
        <v>&amp;AllGlyphs[93]</v>
      </c>
      <c r="BP13" s="54" t="str">
        <f>IF($R13,"&amp;AllGlyphs[" &amp; K13 &amp; "]","")</f>
        <v>&amp;AllGlyphs[63]</v>
      </c>
      <c r="BQ13" s="54" t="str">
        <f>IF($R13,"&amp;AllGlyphs[" &amp; M13 &amp; "]","")</f>
        <v>&amp;AllGlyphs[11]</v>
      </c>
      <c r="BR13" s="54" t="str">
        <f>IF($R13,"&amp;AllGlyphs[" &amp; O13 &amp; "]","")</f>
        <v>&amp;AllGlyphs[91]</v>
      </c>
      <c r="BT13" s="58">
        <f>IF($R13,IF(AB13,1,0),"")</f>
        <v>0</v>
      </c>
      <c r="BU13" s="58">
        <f>IF($R13,IF(AC13,1,0),"")</f>
        <v>0</v>
      </c>
      <c r="BV13" s="58">
        <f>IF($R13,IF(AD13,1,0),"")</f>
        <v>0</v>
      </c>
      <c r="BW13" s="58">
        <f>IF($R13,IF(AE13,1,0),"")</f>
        <v>0</v>
      </c>
      <c r="BX13" s="58">
        <f>IF($R13,IF(AR13,1,0),"")</f>
        <v>1</v>
      </c>
      <c r="BY13" s="58">
        <f>IF($R13,IF(AS13,1,0),"")</f>
        <v>0</v>
      </c>
    </row>
    <row r="14" spans="1:77" x14ac:dyDescent="0.4">
      <c r="A14" s="7" t="s">
        <v>64</v>
      </c>
      <c r="B14" s="6" t="str">
        <f t="shared" si="0"/>
        <v>,</v>
      </c>
      <c r="C14" s="48" cm="1">
        <f t="array" ref="C14">IF($R14,INDEX($S:$S,MATCH(TRUE,EXACT(B14,$A:$A),0)),"")</f>
        <v>12</v>
      </c>
      <c r="D14" s="38" t="s">
        <v>6</v>
      </c>
      <c r="E14" s="48" cm="1">
        <f t="array" ref="E14">IF($R14,INDEX($S:$S,MATCH(TRUE,EXACT(D14,$A:$A),0)),"")</f>
        <v>85</v>
      </c>
      <c r="F14" s="38" t="s">
        <v>16</v>
      </c>
      <c r="G14" s="48" cm="1">
        <f t="array" ref="G14">IF($S14&lt;&gt;"",INDEX($S:$S,MATCH(TRUE,EXACT(F14,$A:$A),0)),"")</f>
        <v>74</v>
      </c>
      <c r="H14" s="38" t="s">
        <v>17</v>
      </c>
      <c r="I14" s="48" cm="1">
        <f t="array" ref="I14">IF($R14,INDEX($S:$S,MATCH(TRUE,EXACT(H14,$A:$A),0)),"")</f>
        <v>75</v>
      </c>
      <c r="J14" s="38" t="s">
        <v>25</v>
      </c>
      <c r="K14" s="52" cm="1">
        <f t="array" ref="K14">IF($R14,INDEX($S:$S,MATCH(TRUE,EXACT(J14,$A:$A),0)),"")</f>
        <v>77</v>
      </c>
      <c r="L14" s="38" cm="1">
        <f t="array" ref="L14">IF($R14,INDEX($T:$T,MATCH(TRUE,EXACT(H14,$D:$D),0)),"")</f>
        <v>7</v>
      </c>
      <c r="M14" s="48" cm="1">
        <f t="array" ref="M14">IF($R14,INDEX($S:$S,MATCH(TRUE,EXACT(L14,$A:$A),0)),"")</f>
        <v>23</v>
      </c>
      <c r="N14" s="38" t="str" cm="1">
        <f t="array" ref="N14">IF($R14,INDEX($T:$T,MATCH(TRUE,EXACT(J14,$D:$D),0)),"")</f>
        <v>i</v>
      </c>
      <c r="O14" s="52" cm="1">
        <f t="array" ref="O14">IF($R14,INDEX($S:$S,MATCH(TRUE,EXACT(N14,$A:$A),0)),"")</f>
        <v>73</v>
      </c>
      <c r="P14" s="23"/>
      <c r="Q14" s="33"/>
      <c r="R14" s="18" t="b">
        <f t="shared" si="1"/>
        <v>1</v>
      </c>
      <c r="S14" s="19">
        <f>IF(R14, MAX(S$2:S13)+1,"")</f>
        <v>12</v>
      </c>
      <c r="T14" s="23" t="str">
        <f t="shared" si="2"/>
        <v>,</v>
      </c>
      <c r="U14" s="8" t="str" cm="1">
        <f t="array" ref="U14">CharToUTF8(A14)</f>
        <v>\x2C</v>
      </c>
      <c r="W14" s="18" t="str">
        <f t="shared" si="11"/>
        <v>DIAG_BOTH</v>
      </c>
      <c r="X14" s="24" t="str">
        <f>$AU$2</f>
        <v>EMPTY</v>
      </c>
      <c r="Y14" s="24" t="str">
        <f>$AU$4</f>
        <v>ORTHO_BOTH</v>
      </c>
      <c r="Z14" s="21" t="str">
        <f>$AU$3</f>
        <v>DIAG_BOTH</v>
      </c>
      <c r="AB14" s="31" t="b">
        <f t="shared" si="3"/>
        <v>0</v>
      </c>
      <c r="AC14" s="31" t="b">
        <f t="shared" si="4"/>
        <v>0</v>
      </c>
      <c r="AD14" t="b">
        <f t="shared" si="5"/>
        <v>0</v>
      </c>
      <c r="AE14" t="b">
        <f t="shared" si="6"/>
        <v>0</v>
      </c>
      <c r="AF14" t="b">
        <f>IF($R14,W14=VLOOKUP(Z14,$AU$2:$AZ$10,3,FALSE),"")</f>
        <v>1</v>
      </c>
      <c r="AG14" t="b">
        <f>IF($R14,X14=VLOOKUP(Y14,$AU$2:$AZ$10,3,FALSE),"")</f>
        <v>0</v>
      </c>
      <c r="AH14" t="b">
        <f>IF($R14,Y14=VLOOKUP(W14,$AU$2:$AZ$10,3,FALSE),"")</f>
        <v>0</v>
      </c>
      <c r="AI14" t="b">
        <f>IF($R14,Z14=VLOOKUP(X14,$AU$2:$AZ$10,3,FALSE),"")</f>
        <v>0</v>
      </c>
      <c r="AJ14" t="b">
        <f>IF($R14,W14=VLOOKUP(W14,$AU$2:$AZ$10,4,FALSE),"")</f>
        <v>1</v>
      </c>
      <c r="AK14" t="b">
        <f>IF($R14,X14=VLOOKUP(X14,$AU$2:$AZ$10,4,FALSE),"")</f>
        <v>1</v>
      </c>
      <c r="AL14" t="b">
        <f>IF($R14,Y14=VLOOKUP(Y14,$AU$2:$AZ$10,4,FALSE),"")</f>
        <v>1</v>
      </c>
      <c r="AM14" t="b">
        <f>IF($R14,Z14=VLOOKUP(Z14,$AU$2:$AZ$10,4,FALSE),"")</f>
        <v>1</v>
      </c>
      <c r="AN14" t="b">
        <f>IF($R14,W14=VLOOKUP(W14,$AU$2:$AZ$10,5,FALSE),"")</f>
        <v>1</v>
      </c>
      <c r="AO14" t="b">
        <f>IF($R14,X14=VLOOKUP(X14,$AU$2:$AZ$10,5,FALSE),"")</f>
        <v>1</v>
      </c>
      <c r="AP14" t="b">
        <f>IF($R14,Y14=VLOOKUP(Y14,$AU$2:$AZ$10,6,FALSE),"")</f>
        <v>1</v>
      </c>
      <c r="AQ14" t="b">
        <f>IF($R14,Z14=VLOOKUP(Z14,$AU$2:$AZ$10,6,FALSE),"")</f>
        <v>1</v>
      </c>
      <c r="AR14" t="b">
        <f t="shared" si="8"/>
        <v>0</v>
      </c>
      <c r="AS14" t="b">
        <f t="shared" si="9"/>
        <v>0</v>
      </c>
      <c r="BD14" s="59" t="str">
        <f t="shared" si="10"/>
        <v xml:space="preserve">    { wxString::FromUTF8("\x2C"), &amp;AllGlyphs[85], &amp;AllGlyphs[74], &amp;AllGlyphs[75], &amp;AllGlyphs[77], &amp;AllGlyphs[23], &amp;AllGlyphs[73], Connection::DIAG_BOTH, Connection::EMPTY, Connection::ORTHO_BOTH, Connection::DIAG_BOTH, 0, 0, 0, 0, 0, 0 },</v>
      </c>
      <c r="BE14" s="60"/>
      <c r="BF14" s="60"/>
      <c r="BG14" s="60"/>
      <c r="BH14" s="60"/>
      <c r="BI14" s="60"/>
      <c r="BJ14" s="60"/>
      <c r="BK14" s="61"/>
      <c r="BM14" s="54" t="str">
        <f>IF($R14,"&amp;AllGlyphs[" &amp; E14 &amp; "]","")</f>
        <v>&amp;AllGlyphs[85]</v>
      </c>
      <c r="BN14" s="54" t="str">
        <f>IF($R14,"&amp;AllGlyphs[" &amp; G14 &amp; "]","")</f>
        <v>&amp;AllGlyphs[74]</v>
      </c>
      <c r="BO14" s="54" t="str">
        <f>IF($R14,"&amp;AllGlyphs[" &amp; I14 &amp; "]","")</f>
        <v>&amp;AllGlyphs[75]</v>
      </c>
      <c r="BP14" s="54" t="str">
        <f>IF($R14,"&amp;AllGlyphs[" &amp; K14 &amp; "]","")</f>
        <v>&amp;AllGlyphs[77]</v>
      </c>
      <c r="BQ14" s="54" t="str">
        <f>IF($R14,"&amp;AllGlyphs[" &amp; M14 &amp; "]","")</f>
        <v>&amp;AllGlyphs[23]</v>
      </c>
      <c r="BR14" s="54" t="str">
        <f>IF($R14,"&amp;AllGlyphs[" &amp; O14 &amp; "]","")</f>
        <v>&amp;AllGlyphs[73]</v>
      </c>
      <c r="BT14" s="58">
        <f>IF($R14,IF(AB14,1,0),"")</f>
        <v>0</v>
      </c>
      <c r="BU14" s="58">
        <f>IF($R14,IF(AC14,1,0),"")</f>
        <v>0</v>
      </c>
      <c r="BV14" s="58">
        <f>IF($R14,IF(AD14,1,0),"")</f>
        <v>0</v>
      </c>
      <c r="BW14" s="58">
        <f>IF($R14,IF(AE14,1,0),"")</f>
        <v>0</v>
      </c>
      <c r="BX14" s="58">
        <f>IF($R14,IF(AR14,1,0),"")</f>
        <v>0</v>
      </c>
      <c r="BY14" s="58">
        <f>IF($R14,IF(AS14,1,0),"")</f>
        <v>0</v>
      </c>
    </row>
    <row r="15" spans="1:77" ht="31.5" customHeight="1" x14ac:dyDescent="0.4">
      <c r="A15" s="7" t="s">
        <v>74</v>
      </c>
      <c r="B15" s="6" t="str">
        <f t="shared" si="0"/>
        <v>-</v>
      </c>
      <c r="C15" s="48" cm="1">
        <f t="array" ref="C15">IF($R15,INDEX($S:$S,MATCH(TRUE,EXACT(B15,$A:$A),0)),"")</f>
        <v>13</v>
      </c>
      <c r="D15" s="38" t="s">
        <v>72</v>
      </c>
      <c r="E15" s="48" cm="1">
        <f t="array" ref="E15">IF($R15,INDEX($S:$S,MATCH(TRUE,EXACT(D15,$A:$A),0)),"")</f>
        <v>61</v>
      </c>
      <c r="F15" s="38" t="s">
        <v>79</v>
      </c>
      <c r="G15" s="48" cm="1">
        <f t="array" ref="G15">IF($S15&lt;&gt;"",INDEX($S:$S,MATCH(TRUE,EXACT(F15,$A:$A),0)),"")</f>
        <v>29</v>
      </c>
      <c r="H15" s="38" t="s">
        <v>79</v>
      </c>
      <c r="I15" s="48" cm="1">
        <f t="array" ref="I15">IF($R15,INDEX($S:$S,MATCH(TRUE,EXACT(H15,$A:$A),0)),"")</f>
        <v>29</v>
      </c>
      <c r="J15" s="38" t="s">
        <v>74</v>
      </c>
      <c r="K15" s="52" cm="1">
        <f t="array" ref="K15">IF($R15,INDEX($S:$S,MATCH(TRUE,EXACT(J15,$A:$A),0)),"")</f>
        <v>13</v>
      </c>
      <c r="L15" s="38" t="str" cm="1">
        <f t="array" ref="L15">IF($R15,INDEX($T:$T,MATCH(TRUE,EXACT(H15,$D:$D),0)),"")</f>
        <v>]</v>
      </c>
      <c r="M15" s="48" cm="1">
        <f t="array" ref="M15">IF($R15,INDEX($S:$S,MATCH(TRUE,EXACT(L15,$A:$A),0)),"")</f>
        <v>61</v>
      </c>
      <c r="N15" s="38" t="str" cm="1">
        <f t="array" ref="N15">IF($R15,INDEX($T:$T,MATCH(TRUE,EXACT(J15,$D:$D),0)),"")</f>
        <v>[</v>
      </c>
      <c r="O15" s="52" cm="1">
        <f t="array" ref="O15">IF($R15,INDEX($S:$S,MATCH(TRUE,EXACT(N15,$A:$A),0)),"")</f>
        <v>59</v>
      </c>
      <c r="P15" s="23"/>
      <c r="Q15" s="33"/>
      <c r="R15" s="18" t="b">
        <f t="shared" si="1"/>
        <v>1</v>
      </c>
      <c r="S15" s="19">
        <f>IF(R15, MAX(S$2:S14)+1,"")</f>
        <v>13</v>
      </c>
      <c r="T15" s="23" t="str">
        <f t="shared" si="2"/>
        <v>-</v>
      </c>
      <c r="U15" s="8" t="str" cm="1">
        <f t="array" ref="U15">CharToUTF8(A15)</f>
        <v>\x2D</v>
      </c>
      <c r="W15" s="18" t="str">
        <f t="shared" si="11"/>
        <v>DIAG_BOTH</v>
      </c>
      <c r="X15" s="24" t="str">
        <f>$AU$4</f>
        <v>ORTHO_BOTH</v>
      </c>
      <c r="Y15" s="24" t="str">
        <f>$AU$2</f>
        <v>EMPTY</v>
      </c>
      <c r="Z15" s="21" t="str">
        <f>$AU$2</f>
        <v>EMPTY</v>
      </c>
      <c r="AB15" s="31" t="b">
        <f t="shared" si="3"/>
        <v>0</v>
      </c>
      <c r="AC15" s="31" t="b">
        <f t="shared" si="4"/>
        <v>0</v>
      </c>
      <c r="AD15" t="b">
        <f t="shared" si="5"/>
        <v>0</v>
      </c>
      <c r="AE15" t="b">
        <f t="shared" si="6"/>
        <v>1</v>
      </c>
      <c r="AF15" t="b">
        <f>IF($R15,W15=VLOOKUP(Z15,$AU$2:$AZ$10,3,FALSE),"")</f>
        <v>0</v>
      </c>
      <c r="AG15" t="b">
        <f>IF($R15,X15=VLOOKUP(Y15,$AU$2:$AZ$10,3,FALSE),"")</f>
        <v>0</v>
      </c>
      <c r="AH15" t="b">
        <f>IF($R15,Y15=VLOOKUP(W15,$AU$2:$AZ$10,3,FALSE),"")</f>
        <v>0</v>
      </c>
      <c r="AI15" t="b">
        <f>IF($R15,Z15=VLOOKUP(X15,$AU$2:$AZ$10,3,FALSE),"")</f>
        <v>0</v>
      </c>
      <c r="AJ15" t="b">
        <f>IF($R15,W15=VLOOKUP(W15,$AU$2:$AZ$10,4,FALSE),"")</f>
        <v>1</v>
      </c>
      <c r="AK15" t="b">
        <f>IF($R15,X15=VLOOKUP(X15,$AU$2:$AZ$10,4,FALSE),"")</f>
        <v>1</v>
      </c>
      <c r="AL15" t="b">
        <f>IF($R15,Y15=VLOOKUP(Y15,$AU$2:$AZ$10,4,FALSE),"")</f>
        <v>1</v>
      </c>
      <c r="AM15" t="b">
        <f>IF($R15,Z15=VLOOKUP(Z15,$AU$2:$AZ$10,4,FALSE),"")</f>
        <v>1</v>
      </c>
      <c r="AN15" t="b">
        <f>IF($R15,W15=VLOOKUP(W15,$AU$2:$AZ$10,5,FALSE),"")</f>
        <v>1</v>
      </c>
      <c r="AO15" t="b">
        <f>IF($R15,X15=VLOOKUP(X15,$AU$2:$AZ$10,5,FALSE),"")</f>
        <v>1</v>
      </c>
      <c r="AP15" t="b">
        <f>IF($R15,Y15=VLOOKUP(Y15,$AU$2:$AZ$10,6,FALSE),"")</f>
        <v>1</v>
      </c>
      <c r="AQ15" t="b">
        <f>IF($R15,Z15=VLOOKUP(Z15,$AU$2:$AZ$10,6,FALSE),"")</f>
        <v>1</v>
      </c>
      <c r="AR15" t="b">
        <f t="shared" si="8"/>
        <v>0</v>
      </c>
      <c r="AS15" t="b">
        <f t="shared" si="9"/>
        <v>0</v>
      </c>
      <c r="BD15" s="59" t="str">
        <f t="shared" si="10"/>
        <v xml:space="preserve">    { wxString::FromUTF8("\x2D"), &amp;AllGlyphs[61], &amp;AllGlyphs[29], &amp;AllGlyphs[29], &amp;AllGlyphs[13], &amp;AllGlyphs[61], &amp;AllGlyphs[59], Connection::DIAG_BOTH, Connection::ORTHO_BOTH, Connection::EMPTY, Connection::EMPTY, 0, 0, 0, 1, 0, 0 },</v>
      </c>
      <c r="BE15" s="60"/>
      <c r="BF15" s="60"/>
      <c r="BG15" s="60"/>
      <c r="BH15" s="60"/>
      <c r="BI15" s="60"/>
      <c r="BJ15" s="60"/>
      <c r="BK15" s="61"/>
      <c r="BM15" s="54" t="str">
        <f>IF($R15,"&amp;AllGlyphs[" &amp; E15 &amp; "]","")</f>
        <v>&amp;AllGlyphs[61]</v>
      </c>
      <c r="BN15" s="54" t="str">
        <f>IF($R15,"&amp;AllGlyphs[" &amp; G15 &amp; "]","")</f>
        <v>&amp;AllGlyphs[29]</v>
      </c>
      <c r="BO15" s="54" t="str">
        <f>IF($R15,"&amp;AllGlyphs[" &amp; I15 &amp; "]","")</f>
        <v>&amp;AllGlyphs[29]</v>
      </c>
      <c r="BP15" s="54" t="str">
        <f>IF($R15,"&amp;AllGlyphs[" &amp; K15 &amp; "]","")</f>
        <v>&amp;AllGlyphs[13]</v>
      </c>
      <c r="BQ15" s="54" t="str">
        <f>IF($R15,"&amp;AllGlyphs[" &amp; M15 &amp; "]","")</f>
        <v>&amp;AllGlyphs[61]</v>
      </c>
      <c r="BR15" s="54" t="str">
        <f>IF($R15,"&amp;AllGlyphs[" &amp; O15 &amp; "]","")</f>
        <v>&amp;AllGlyphs[59]</v>
      </c>
      <c r="BT15" s="58">
        <f>IF($R15,IF(AB15,1,0),"")</f>
        <v>0</v>
      </c>
      <c r="BU15" s="58">
        <f>IF($R15,IF(AC15,1,0),"")</f>
        <v>0</v>
      </c>
      <c r="BV15" s="58">
        <f>IF($R15,IF(AD15,1,0),"")</f>
        <v>0</v>
      </c>
      <c r="BW15" s="58">
        <f>IF($R15,IF(AE15,1,0),"")</f>
        <v>1</v>
      </c>
      <c r="BX15" s="58">
        <f>IF($R15,IF(AR15,1,0),"")</f>
        <v>0</v>
      </c>
      <c r="BY15" s="58">
        <f>IF($R15,IF(AS15,1,0),"")</f>
        <v>0</v>
      </c>
    </row>
    <row r="16" spans="1:77" x14ac:dyDescent="0.4">
      <c r="A16" s="7" t="s">
        <v>73</v>
      </c>
      <c r="B16" s="6" t="str">
        <f t="shared" si="0"/>
        <v>.</v>
      </c>
      <c r="C16" s="48" cm="1">
        <f t="array" ref="C16">IF($R16,INDEX($S:$S,MATCH(TRUE,EXACT(B16,$A:$A),0)),"")</f>
        <v>14</v>
      </c>
      <c r="D16" s="38">
        <v>9</v>
      </c>
      <c r="E16" s="48" cm="1">
        <f t="array" ref="E16">IF($R16,INDEX($S:$S,MATCH(TRUE,EXACT(D16,$A:$A),0)),"")</f>
        <v>25</v>
      </c>
      <c r="F16" s="38" t="s">
        <v>66</v>
      </c>
      <c r="G16" s="48" cm="1">
        <f t="array" ref="G16">IF($S16&lt;&gt;"",INDEX($S:$S,MATCH(TRUE,EXACT(F16,$A:$A),0)),"")</f>
        <v>27</v>
      </c>
      <c r="H16" s="38" t="s">
        <v>18</v>
      </c>
      <c r="I16" s="48" cm="1">
        <f t="array" ref="I16">IF($R16,INDEX($S:$S,MATCH(TRUE,EXACT(H16,$A:$A),0)),"")</f>
        <v>76</v>
      </c>
      <c r="J16" s="38" t="s">
        <v>65</v>
      </c>
      <c r="K16" s="52" cm="1">
        <f t="array" ref="K16">IF($R16,INDEX($S:$S,MATCH(TRUE,EXACT(J16,$A:$A),0)),"")</f>
        <v>15</v>
      </c>
      <c r="L16" s="38" t="str" cm="1">
        <f t="array" ref="L16">IF($R16,INDEX($T:$T,MATCH(TRUE,EXACT(H16,$D:$D),0)),"")</f>
        <v>o</v>
      </c>
      <c r="M16" s="48" cm="1">
        <f t="array" ref="M16">IF($R16,INDEX($S:$S,MATCH(TRUE,EXACT(L16,$A:$A),0)),"")</f>
        <v>79</v>
      </c>
      <c r="N16" s="38" cm="1">
        <f t="array" ref="N16">IF($R16,INDEX($T:$T,MATCH(TRUE,EXACT(J16,$D:$D),0)),"")</f>
        <v>0</v>
      </c>
      <c r="O16" s="52" cm="1">
        <f t="array" ref="O16">IF($R16,INDEX($S:$S,MATCH(TRUE,EXACT(N16,$A:$A),0)),"")</f>
        <v>16</v>
      </c>
      <c r="P16" s="23"/>
      <c r="Q16" s="33"/>
      <c r="R16" s="18" t="b">
        <f t="shared" si="1"/>
        <v>1</v>
      </c>
      <c r="S16" s="19">
        <f>IF(R16, MAX(S$2:S15)+1,"")</f>
        <v>14</v>
      </c>
      <c r="T16" s="23" t="str">
        <f t="shared" si="2"/>
        <v>.</v>
      </c>
      <c r="U16" s="8" t="str" cm="1">
        <f t="array" ref="U16">CharToUTF8(A16)</f>
        <v>\x2E</v>
      </c>
      <c r="W16" s="18" t="str">
        <f t="shared" si="11"/>
        <v>DIAG_BOTH</v>
      </c>
      <c r="X16" s="24" t="str">
        <f>$AU$2</f>
        <v>EMPTY</v>
      </c>
      <c r="Y16" s="24" t="str">
        <f>$AU$2</f>
        <v>EMPTY</v>
      </c>
      <c r="Z16" s="21" t="str">
        <f>$AU$4</f>
        <v>ORTHO_BOTH</v>
      </c>
      <c r="AB16" s="31" t="b">
        <f t="shared" si="3"/>
        <v>0</v>
      </c>
      <c r="AC16" s="31" t="b">
        <f t="shared" si="4"/>
        <v>0</v>
      </c>
      <c r="AD16" t="b">
        <f t="shared" si="5"/>
        <v>0</v>
      </c>
      <c r="AE16" t="b">
        <f t="shared" si="6"/>
        <v>0</v>
      </c>
      <c r="AF16" t="b">
        <f>IF($R16,W16=VLOOKUP(Z16,$AU$2:$AZ$10,3,FALSE),"")</f>
        <v>0</v>
      </c>
      <c r="AG16" t="b">
        <f>IF($R16,X16=VLOOKUP(Y16,$AU$2:$AZ$10,3,FALSE),"")</f>
        <v>1</v>
      </c>
      <c r="AH16" t="b">
        <f>IF($R16,Y16=VLOOKUP(W16,$AU$2:$AZ$10,3,FALSE),"")</f>
        <v>0</v>
      </c>
      <c r="AI16" t="b">
        <f>IF($R16,Z16=VLOOKUP(X16,$AU$2:$AZ$10,3,FALSE),"")</f>
        <v>0</v>
      </c>
      <c r="AJ16" t="b">
        <f>IF($R16,W16=VLOOKUP(W16,$AU$2:$AZ$10,4,FALSE),"")</f>
        <v>1</v>
      </c>
      <c r="AK16" t="b">
        <f>IF($R16,X16=VLOOKUP(X16,$AU$2:$AZ$10,4,FALSE),"")</f>
        <v>1</v>
      </c>
      <c r="AL16" t="b">
        <f>IF($R16,Y16=VLOOKUP(Y16,$AU$2:$AZ$10,4,FALSE),"")</f>
        <v>1</v>
      </c>
      <c r="AM16" t="b">
        <f>IF($R16,Z16=VLOOKUP(Z16,$AU$2:$AZ$10,4,FALSE),"")</f>
        <v>1</v>
      </c>
      <c r="AN16" t="b">
        <f>IF($R16,W16=VLOOKUP(W16,$AU$2:$AZ$10,5,FALSE),"")</f>
        <v>1</v>
      </c>
      <c r="AO16" t="b">
        <f>IF($R16,X16=VLOOKUP(X16,$AU$2:$AZ$10,5,FALSE),"")</f>
        <v>1</v>
      </c>
      <c r="AP16" t="b">
        <f>IF($R16,Y16=VLOOKUP(Y16,$AU$2:$AZ$10,6,FALSE),"")</f>
        <v>1</v>
      </c>
      <c r="AQ16" t="b">
        <f>IF($R16,Z16=VLOOKUP(Z16,$AU$2:$AZ$10,6,FALSE),"")</f>
        <v>1</v>
      </c>
      <c r="AR16" t="b">
        <f t="shared" si="8"/>
        <v>0</v>
      </c>
      <c r="AS16" t="b">
        <f t="shared" si="9"/>
        <v>0</v>
      </c>
      <c r="BD16" s="59" t="str">
        <f t="shared" si="10"/>
        <v xml:space="preserve">    { wxString::FromUTF8("\x2E"), &amp;AllGlyphs[25], &amp;AllGlyphs[27], &amp;AllGlyphs[76], &amp;AllGlyphs[15], &amp;AllGlyphs[79], &amp;AllGlyphs[16], Connection::DIAG_BOTH, Connection::EMPTY, Connection::EMPTY, Connection::ORTHO_BOTH, 0, 0, 0, 0, 0, 0 },</v>
      </c>
      <c r="BE16" s="60"/>
      <c r="BF16" s="60"/>
      <c r="BG16" s="60"/>
      <c r="BH16" s="60"/>
      <c r="BI16" s="60"/>
      <c r="BJ16" s="60"/>
      <c r="BK16" s="61"/>
      <c r="BM16" s="54" t="str">
        <f>IF($R16,"&amp;AllGlyphs[" &amp; E16 &amp; "]","")</f>
        <v>&amp;AllGlyphs[25]</v>
      </c>
      <c r="BN16" s="54" t="str">
        <f>IF($R16,"&amp;AllGlyphs[" &amp; G16 &amp; "]","")</f>
        <v>&amp;AllGlyphs[27]</v>
      </c>
      <c r="BO16" s="54" t="str">
        <f>IF($R16,"&amp;AllGlyphs[" &amp; I16 &amp; "]","")</f>
        <v>&amp;AllGlyphs[76]</v>
      </c>
      <c r="BP16" s="54" t="str">
        <f>IF($R16,"&amp;AllGlyphs[" &amp; K16 &amp; "]","")</f>
        <v>&amp;AllGlyphs[15]</v>
      </c>
      <c r="BQ16" s="54" t="str">
        <f>IF($R16,"&amp;AllGlyphs[" &amp; M16 &amp; "]","")</f>
        <v>&amp;AllGlyphs[79]</v>
      </c>
      <c r="BR16" s="54" t="str">
        <f>IF($R16,"&amp;AllGlyphs[" &amp; O16 &amp; "]","")</f>
        <v>&amp;AllGlyphs[16]</v>
      </c>
      <c r="BT16" s="58">
        <f>IF($R16,IF(AB16,1,0),"")</f>
        <v>0</v>
      </c>
      <c r="BU16" s="58">
        <f>IF($R16,IF(AC16,1,0),"")</f>
        <v>0</v>
      </c>
      <c r="BV16" s="58">
        <f>IF($R16,IF(AD16,1,0),"")</f>
        <v>0</v>
      </c>
      <c r="BW16" s="58">
        <f>IF($R16,IF(AE16,1,0),"")</f>
        <v>0</v>
      </c>
      <c r="BX16" s="58">
        <f>IF($R16,IF(AR16,1,0),"")</f>
        <v>0</v>
      </c>
      <c r="BY16" s="58">
        <f>IF($R16,IF(AS16,1,0),"")</f>
        <v>0</v>
      </c>
    </row>
    <row r="17" spans="1:77" x14ac:dyDescent="0.4">
      <c r="A17" s="7" t="s">
        <v>65</v>
      </c>
      <c r="B17" s="6" t="str">
        <f t="shared" si="0"/>
        <v>/</v>
      </c>
      <c r="C17" s="48" cm="1">
        <f t="array" ref="C17">IF($R17,INDEX($S:$S,MATCH(TRUE,EXACT(B17,$A:$A),0)),"")</f>
        <v>15</v>
      </c>
      <c r="D17" s="38" t="s">
        <v>8</v>
      </c>
      <c r="E17" s="48" cm="1">
        <f t="array" ref="E17">IF($R17,INDEX($S:$S,MATCH(TRUE,EXACT(D17,$A:$A),0)),"")</f>
        <v>79</v>
      </c>
      <c r="F17" s="38" t="s">
        <v>18</v>
      </c>
      <c r="G17" s="48" cm="1">
        <f t="array" ref="G17">IF($S17&lt;&gt;"",INDEX($S:$S,MATCH(TRUE,EXACT(F17,$A:$A),0)),"")</f>
        <v>76</v>
      </c>
      <c r="H17" s="38" t="s">
        <v>66</v>
      </c>
      <c r="I17" s="48" cm="1">
        <f t="array" ref="I17">IF($R17,INDEX($S:$S,MATCH(TRUE,EXACT(H17,$A:$A),0)),"")</f>
        <v>27</v>
      </c>
      <c r="J17" s="38" t="s">
        <v>73</v>
      </c>
      <c r="K17" s="52" cm="1">
        <f t="array" ref="K17">IF($R17,INDEX($S:$S,MATCH(TRUE,EXACT(J17,$A:$A),0)),"")</f>
        <v>14</v>
      </c>
      <c r="L17" s="38" cm="1">
        <f t="array" ref="L17">IF($R17,INDEX($T:$T,MATCH(TRUE,EXACT(H17,$D:$D),0)),"")</f>
        <v>9</v>
      </c>
      <c r="M17" s="48" cm="1">
        <f t="array" ref="M17">IF($R17,INDEX($S:$S,MATCH(TRUE,EXACT(L17,$A:$A),0)),"")</f>
        <v>25</v>
      </c>
      <c r="N17" s="38" t="str" cm="1">
        <f t="array" ref="N17">IF($R17,INDEX($T:$T,MATCH(TRUE,EXACT(J17,$D:$D),0)),"")</f>
        <v>p</v>
      </c>
      <c r="O17" s="52" cm="1">
        <f t="array" ref="O17">IF($R17,INDEX($S:$S,MATCH(TRUE,EXACT(N17,$A:$A),0)),"")</f>
        <v>80</v>
      </c>
      <c r="P17" s="23"/>
      <c r="Q17" s="33"/>
      <c r="R17" s="18" t="b">
        <f t="shared" si="1"/>
        <v>1</v>
      </c>
      <c r="S17" s="19">
        <f>IF(R17, MAX(S$2:S16)+1,"")</f>
        <v>15</v>
      </c>
      <c r="T17" s="23" t="str">
        <f t="shared" si="2"/>
        <v>/</v>
      </c>
      <c r="U17" s="8" t="str" cm="1">
        <f t="array" ref="U17">CharToUTF8(A17)</f>
        <v>\x2F</v>
      </c>
      <c r="W17" s="18" t="str">
        <f t="shared" si="11"/>
        <v>DIAG_BOTH</v>
      </c>
      <c r="X17" s="24" t="str">
        <f>$AU$2</f>
        <v>EMPTY</v>
      </c>
      <c r="Y17" s="24" t="str">
        <f>$AU$4</f>
        <v>ORTHO_BOTH</v>
      </c>
      <c r="Z17" s="21" t="str">
        <f>$AU$2</f>
        <v>EMPTY</v>
      </c>
      <c r="AB17" s="31" t="b">
        <f t="shared" si="3"/>
        <v>0</v>
      </c>
      <c r="AC17" s="31" t="b">
        <f t="shared" si="4"/>
        <v>0</v>
      </c>
      <c r="AD17" t="b">
        <f t="shared" si="5"/>
        <v>0</v>
      </c>
      <c r="AE17" t="b">
        <f t="shared" si="6"/>
        <v>0</v>
      </c>
      <c r="AF17" t="b">
        <f>IF($R17,W17=VLOOKUP(Z17,$AU$2:$AZ$10,3,FALSE),"")</f>
        <v>0</v>
      </c>
      <c r="AG17" t="b">
        <f>IF($R17,X17=VLOOKUP(Y17,$AU$2:$AZ$10,3,FALSE),"")</f>
        <v>0</v>
      </c>
      <c r="AH17" t="b">
        <f>IF($R17,Y17=VLOOKUP(W17,$AU$2:$AZ$10,3,FALSE),"")</f>
        <v>0</v>
      </c>
      <c r="AI17" t="b">
        <f>IF($R17,Z17=VLOOKUP(X17,$AU$2:$AZ$10,3,FALSE),"")</f>
        <v>1</v>
      </c>
      <c r="AJ17" t="b">
        <f>IF($R17,W17=VLOOKUP(W17,$AU$2:$AZ$10,4,FALSE),"")</f>
        <v>1</v>
      </c>
      <c r="AK17" t="b">
        <f>IF($R17,X17=VLOOKUP(X17,$AU$2:$AZ$10,4,FALSE),"")</f>
        <v>1</v>
      </c>
      <c r="AL17" t="b">
        <f>IF($R17,Y17=VLOOKUP(Y17,$AU$2:$AZ$10,4,FALSE),"")</f>
        <v>1</v>
      </c>
      <c r="AM17" t="b">
        <f>IF($R17,Z17=VLOOKUP(Z17,$AU$2:$AZ$10,4,FALSE),"")</f>
        <v>1</v>
      </c>
      <c r="AN17" t="b">
        <f>IF($R17,W17=VLOOKUP(W17,$AU$2:$AZ$10,5,FALSE),"")</f>
        <v>1</v>
      </c>
      <c r="AO17" t="b">
        <f>IF($R17,X17=VLOOKUP(X17,$AU$2:$AZ$10,5,FALSE),"")</f>
        <v>1</v>
      </c>
      <c r="AP17" t="b">
        <f>IF($R17,Y17=VLOOKUP(Y17,$AU$2:$AZ$10,6,FALSE),"")</f>
        <v>1</v>
      </c>
      <c r="AQ17" t="b">
        <f>IF($R17,Z17=VLOOKUP(Z17,$AU$2:$AZ$10,6,FALSE),"")</f>
        <v>1</v>
      </c>
      <c r="AR17" t="b">
        <f t="shared" si="8"/>
        <v>0</v>
      </c>
      <c r="AS17" t="b">
        <f t="shared" si="9"/>
        <v>0</v>
      </c>
      <c r="BD17" s="59" t="str">
        <f t="shared" si="10"/>
        <v xml:space="preserve">    { wxString::FromUTF8("\x2F"), &amp;AllGlyphs[79], &amp;AllGlyphs[76], &amp;AllGlyphs[27], &amp;AllGlyphs[14], &amp;AllGlyphs[25], &amp;AllGlyphs[80], Connection::DIAG_BOTH, Connection::EMPTY, Connection::ORTHO_BOTH, Connection::EMPTY, 0, 0, 0, 0, 0, 0 },</v>
      </c>
      <c r="BE17" s="60"/>
      <c r="BF17" s="60"/>
      <c r="BG17" s="60"/>
      <c r="BH17" s="60"/>
      <c r="BI17" s="60"/>
      <c r="BJ17" s="60"/>
      <c r="BK17" s="61"/>
      <c r="BM17" s="54" t="str">
        <f>IF($R17,"&amp;AllGlyphs[" &amp; E17 &amp; "]","")</f>
        <v>&amp;AllGlyphs[79]</v>
      </c>
      <c r="BN17" s="54" t="str">
        <f>IF($R17,"&amp;AllGlyphs[" &amp; G17 &amp; "]","")</f>
        <v>&amp;AllGlyphs[76]</v>
      </c>
      <c r="BO17" s="54" t="str">
        <f>IF($R17,"&amp;AllGlyphs[" &amp; I17 &amp; "]","")</f>
        <v>&amp;AllGlyphs[27]</v>
      </c>
      <c r="BP17" s="54" t="str">
        <f>IF($R17,"&amp;AllGlyphs[" &amp; K17 &amp; "]","")</f>
        <v>&amp;AllGlyphs[14]</v>
      </c>
      <c r="BQ17" s="54" t="str">
        <f>IF($R17,"&amp;AllGlyphs[" &amp; M17 &amp; "]","")</f>
        <v>&amp;AllGlyphs[25]</v>
      </c>
      <c r="BR17" s="54" t="str">
        <f>IF($R17,"&amp;AllGlyphs[" &amp; O17 &amp; "]","")</f>
        <v>&amp;AllGlyphs[80]</v>
      </c>
      <c r="BT17" s="58">
        <f>IF($R17,IF(AB17,1,0),"")</f>
        <v>0</v>
      </c>
      <c r="BU17" s="58">
        <f>IF($R17,IF(AC17,1,0),"")</f>
        <v>0</v>
      </c>
      <c r="BV17" s="58">
        <f>IF($R17,IF(AD17,1,0),"")</f>
        <v>0</v>
      </c>
      <c r="BW17" s="58">
        <f>IF($R17,IF(AE17,1,0),"")</f>
        <v>0</v>
      </c>
      <c r="BX17" s="58">
        <f>IF($R17,IF(AR17,1,0),"")</f>
        <v>0</v>
      </c>
      <c r="BY17" s="58">
        <f>IF($R17,IF(AS17,1,0),"")</f>
        <v>0</v>
      </c>
    </row>
    <row r="18" spans="1:77" x14ac:dyDescent="0.4">
      <c r="A18" s="7">
        <v>0</v>
      </c>
      <c r="B18" s="6">
        <f t="shared" si="0"/>
        <v>0</v>
      </c>
      <c r="C18" s="48" cm="1">
        <f t="array" ref="C18">IF($R18,INDEX($S:$S,MATCH(TRUE,EXACT(B18,$A:$A),0)),"")</f>
        <v>16</v>
      </c>
      <c r="D18" s="38" t="s">
        <v>65</v>
      </c>
      <c r="E18" s="48" cm="1">
        <f t="array" ref="E18">IF($R18,INDEX($S:$S,MATCH(TRUE,EXACT(D18,$A:$A),0)),"")</f>
        <v>15</v>
      </c>
      <c r="F18" s="38" t="s">
        <v>8</v>
      </c>
      <c r="G18" s="48" cm="1">
        <f t="array" ref="G18">IF($S18&lt;&gt;"",INDEX($S:$S,MATCH(TRUE,EXACT(F18,$A:$A),0)),"")</f>
        <v>79</v>
      </c>
      <c r="H18" s="38" t="s">
        <v>9</v>
      </c>
      <c r="I18" s="48" cm="1">
        <f t="array" ref="I18">IF($R18,INDEX($S:$S,MATCH(TRUE,EXACT(H18,$A:$A),0)),"")</f>
        <v>80</v>
      </c>
      <c r="J18" s="38">
        <v>9</v>
      </c>
      <c r="K18" s="52" cm="1">
        <f t="array" ref="K18">IF($R18,INDEX($S:$S,MATCH(TRUE,EXACT(J18,$A:$A),0)),"")</f>
        <v>25</v>
      </c>
      <c r="L18" s="38" t="str" cm="1">
        <f t="array" ref="L18">IF($R18,INDEX($T:$T,MATCH(TRUE,EXACT(H18,$D:$D),0)),"")</f>
        <v>;</v>
      </c>
      <c r="M18" s="48" cm="1">
        <f t="array" ref="M18">IF($R18,INDEX($S:$S,MATCH(TRUE,EXACT(L18,$A:$A),0)),"")</f>
        <v>27</v>
      </c>
      <c r="N18" s="38" t="str" cm="1">
        <f t="array" ref="N18">IF($R18,INDEX($T:$T,MATCH(TRUE,EXACT(J18,$D:$D),0)),"")</f>
        <v>.</v>
      </c>
      <c r="O18" s="52" cm="1">
        <f t="array" ref="O18">IF($R18,INDEX($S:$S,MATCH(TRUE,EXACT(N18,$A:$A),0)),"")</f>
        <v>14</v>
      </c>
      <c r="P18" s="23"/>
      <c r="Q18" s="33"/>
      <c r="R18" s="18" t="b">
        <f t="shared" si="1"/>
        <v>1</v>
      </c>
      <c r="S18" s="19">
        <f>IF(R18, MAX(S$2:S17)+1,"")</f>
        <v>16</v>
      </c>
      <c r="T18" s="23">
        <f t="shared" si="2"/>
        <v>0</v>
      </c>
      <c r="U18" s="8" t="str" cm="1">
        <f t="array" ref="U18">CharToUTF8(A18)</f>
        <v>\x30</v>
      </c>
      <c r="W18" s="18" t="str">
        <f>$AU$2</f>
        <v>EMPTY</v>
      </c>
      <c r="X18" s="24" t="str">
        <f>$AU$4</f>
        <v>ORTHO_BOTH</v>
      </c>
      <c r="Y18" s="24" t="str">
        <f>$AU$3</f>
        <v>DIAG_BOTH</v>
      </c>
      <c r="Z18" s="21" t="str">
        <f>$AU$2</f>
        <v>EMPTY</v>
      </c>
      <c r="AB18" s="31" t="b">
        <f t="shared" si="3"/>
        <v>0</v>
      </c>
      <c r="AC18" s="31" t="b">
        <f t="shared" si="4"/>
        <v>0</v>
      </c>
      <c r="AD18" t="b">
        <f t="shared" si="5"/>
        <v>0</v>
      </c>
      <c r="AE18" t="b">
        <f t="shared" si="6"/>
        <v>0</v>
      </c>
      <c r="AF18" t="b">
        <f>IF($R18,W18=VLOOKUP(Z18,$AU$2:$AZ$10,3,FALSE),"")</f>
        <v>1</v>
      </c>
      <c r="AG18" t="b">
        <f>IF($R18,X18=VLOOKUP(Y18,$AU$2:$AZ$10,3,FALSE),"")</f>
        <v>0</v>
      </c>
      <c r="AH18" t="b">
        <f>IF($R18,Y18=VLOOKUP(W18,$AU$2:$AZ$10,3,FALSE),"")</f>
        <v>0</v>
      </c>
      <c r="AI18" t="b">
        <f>IF($R18,Z18=VLOOKUP(X18,$AU$2:$AZ$10,3,FALSE),"")</f>
        <v>0</v>
      </c>
      <c r="AJ18" t="b">
        <f>IF($R18,W18=VLOOKUP(W18,$AU$2:$AZ$10,4,FALSE),"")</f>
        <v>1</v>
      </c>
      <c r="AK18" t="b">
        <f>IF($R18,X18=VLOOKUP(X18,$AU$2:$AZ$10,4,FALSE),"")</f>
        <v>1</v>
      </c>
      <c r="AL18" t="b">
        <f>IF($R18,Y18=VLOOKUP(Y18,$AU$2:$AZ$10,4,FALSE),"")</f>
        <v>1</v>
      </c>
      <c r="AM18" t="b">
        <f>IF($R18,Z18=VLOOKUP(Z18,$AU$2:$AZ$10,4,FALSE),"")</f>
        <v>1</v>
      </c>
      <c r="AN18" t="b">
        <f>IF($R18,W18=VLOOKUP(W18,$AU$2:$AZ$10,5,FALSE),"")</f>
        <v>1</v>
      </c>
      <c r="AO18" t="b">
        <f>IF($R18,X18=VLOOKUP(X18,$AU$2:$AZ$10,5,FALSE),"")</f>
        <v>1</v>
      </c>
      <c r="AP18" t="b">
        <f>IF($R18,Y18=VLOOKUP(Y18,$AU$2:$AZ$10,6,FALSE),"")</f>
        <v>1</v>
      </c>
      <c r="AQ18" t="b">
        <f>IF($R18,Z18=VLOOKUP(Z18,$AU$2:$AZ$10,6,FALSE),"")</f>
        <v>1</v>
      </c>
      <c r="AR18" t="b">
        <f t="shared" si="8"/>
        <v>0</v>
      </c>
      <c r="AS18" t="b">
        <f t="shared" si="9"/>
        <v>0</v>
      </c>
      <c r="BD18" s="59" t="str">
        <f t="shared" si="10"/>
        <v xml:space="preserve">    { wxString::FromUTF8("\x30"), &amp;AllGlyphs[15], &amp;AllGlyphs[79], &amp;AllGlyphs[80], &amp;AllGlyphs[25], &amp;AllGlyphs[27], &amp;AllGlyphs[14], Connection::EMPTY, Connection::ORTHO_BOTH, Connection::DIAG_BOTH, Connection::EMPTY, 0, 0, 0, 0, 0, 0 },</v>
      </c>
      <c r="BE18" s="60"/>
      <c r="BF18" s="60"/>
      <c r="BG18" s="60"/>
      <c r="BH18" s="60"/>
      <c r="BI18" s="60"/>
      <c r="BJ18" s="60"/>
      <c r="BK18" s="61"/>
      <c r="BM18" s="54" t="str">
        <f>IF($R18,"&amp;AllGlyphs[" &amp; E18 &amp; "]","")</f>
        <v>&amp;AllGlyphs[15]</v>
      </c>
      <c r="BN18" s="54" t="str">
        <f>IF($R18,"&amp;AllGlyphs[" &amp; G18 &amp; "]","")</f>
        <v>&amp;AllGlyphs[79]</v>
      </c>
      <c r="BO18" s="54" t="str">
        <f>IF($R18,"&amp;AllGlyphs[" &amp; I18 &amp; "]","")</f>
        <v>&amp;AllGlyphs[80]</v>
      </c>
      <c r="BP18" s="54" t="str">
        <f>IF($R18,"&amp;AllGlyphs[" &amp; K18 &amp; "]","")</f>
        <v>&amp;AllGlyphs[25]</v>
      </c>
      <c r="BQ18" s="54" t="str">
        <f>IF($R18,"&amp;AllGlyphs[" &amp; M18 &amp; "]","")</f>
        <v>&amp;AllGlyphs[27]</v>
      </c>
      <c r="BR18" s="54" t="str">
        <f>IF($R18,"&amp;AllGlyphs[" &amp; O18 &amp; "]","")</f>
        <v>&amp;AllGlyphs[14]</v>
      </c>
      <c r="BT18" s="58">
        <f>IF($R18,IF(AB18,1,0),"")</f>
        <v>0</v>
      </c>
      <c r="BU18" s="58">
        <f>IF($R18,IF(AC18,1,0),"")</f>
        <v>0</v>
      </c>
      <c r="BV18" s="58">
        <f>IF($R18,IF(AD18,1,0),"")</f>
        <v>0</v>
      </c>
      <c r="BW18" s="58">
        <f>IF($R18,IF(AE18,1,0),"")</f>
        <v>0</v>
      </c>
      <c r="BX18" s="58">
        <f>IF($R18,IF(AR18,1,0),"")</f>
        <v>0</v>
      </c>
      <c r="BY18" s="58">
        <f>IF($R18,IF(AS18,1,0),"")</f>
        <v>0</v>
      </c>
    </row>
    <row r="19" spans="1:77" ht="31.5" customHeight="1" x14ac:dyDescent="0.4">
      <c r="A19" s="7">
        <v>1</v>
      </c>
      <c r="B19" s="6">
        <f t="shared" si="0"/>
        <v>1</v>
      </c>
      <c r="C19" s="48" cm="1">
        <f t="array" ref="C19">IF($R19,INDEX($S:$S,MATCH(TRUE,EXACT(B19,$A:$A),0)),"")</f>
        <v>17</v>
      </c>
      <c r="D19" s="38" t="s">
        <v>168</v>
      </c>
      <c r="E19" s="48" cm="1">
        <f t="array" ref="E19">IF($R19,INDEX($S:$S,MATCH(TRUE,EXACT(D19,$A:$A),0)),"")</f>
        <v>64</v>
      </c>
      <c r="F19" s="38">
        <v>1</v>
      </c>
      <c r="G19" s="48" cm="1">
        <f t="array" ref="G19">IF($S19&lt;&gt;"",INDEX($S:$S,MATCH(TRUE,EXACT(F19,$A:$A),0)),"")</f>
        <v>17</v>
      </c>
      <c r="H19" s="38">
        <v>1</v>
      </c>
      <c r="I19" s="48" cm="1">
        <f t="array" ref="I19">IF($R19,INDEX($S:$S,MATCH(TRUE,EXACT(H19,$A:$A),0)),"")</f>
        <v>17</v>
      </c>
      <c r="J19" s="38">
        <v>1</v>
      </c>
      <c r="K19" s="52" cm="1">
        <f t="array" ref="K19">IF($R19,INDEX($S:$S,MATCH(TRUE,EXACT(J19,$A:$A),0)),"")</f>
        <v>17</v>
      </c>
      <c r="L19" s="38" t="str" cm="1">
        <f t="array" ref="L19">IF($R19,INDEX($T:$T,MATCH(TRUE,EXACT(H19,$D:$D),0)),"")</f>
        <v>`</v>
      </c>
      <c r="M19" s="48" cm="1">
        <f t="array" ref="M19">IF($R19,INDEX($S:$S,MATCH(TRUE,EXACT(L19,$A:$A),0)),"")</f>
        <v>64</v>
      </c>
      <c r="N19" s="38" t="str" cm="1">
        <f t="array" ref="N19">IF($R19,INDEX($T:$T,MATCH(TRUE,EXACT(J19,$D:$D),0)),"")</f>
        <v>`</v>
      </c>
      <c r="O19" s="52" cm="1">
        <f t="array" ref="O19">IF($R19,INDEX($S:$S,MATCH(TRUE,EXACT(N19,$A:$A),0)),"")</f>
        <v>64</v>
      </c>
      <c r="P19" s="23"/>
      <c r="Q19" s="33"/>
      <c r="R19" s="18" t="b">
        <f t="shared" si="1"/>
        <v>1</v>
      </c>
      <c r="S19" s="19">
        <f>IF(R19, MAX(S$2:S18)+1,"")</f>
        <v>17</v>
      </c>
      <c r="T19" s="23">
        <f t="shared" si="2"/>
        <v>1</v>
      </c>
      <c r="U19" s="8" t="str" cm="1">
        <f t="array" ref="U19">CharToUTF8(A19)</f>
        <v>\x31</v>
      </c>
      <c r="W19" s="18" t="str">
        <f>$AU$2</f>
        <v>EMPTY</v>
      </c>
      <c r="X19" s="24" t="str">
        <f>$AU$2</f>
        <v>EMPTY</v>
      </c>
      <c r="Y19" s="24" t="str">
        <f>$AU$3</f>
        <v>DIAG_BOTH</v>
      </c>
      <c r="Z19" s="21" t="str">
        <f>$AU$3</f>
        <v>DIAG_BOTH</v>
      </c>
      <c r="AB19" s="31" t="b">
        <f t="shared" si="3"/>
        <v>0</v>
      </c>
      <c r="AC19" s="31" t="b">
        <f t="shared" si="4"/>
        <v>1</v>
      </c>
      <c r="AD19" t="b">
        <f t="shared" si="5"/>
        <v>1</v>
      </c>
      <c r="AE19" t="b">
        <f t="shared" si="6"/>
        <v>1</v>
      </c>
      <c r="AF19" t="b">
        <f>IF($R19,W19=VLOOKUP(Z19,$AU$2:$AZ$10,3,FALSE),"")</f>
        <v>0</v>
      </c>
      <c r="AG19" t="b">
        <f>IF($R19,X19=VLOOKUP(Y19,$AU$2:$AZ$10,3,FALSE),"")</f>
        <v>0</v>
      </c>
      <c r="AH19" t="b">
        <f>IF($R19,Y19=VLOOKUP(W19,$AU$2:$AZ$10,3,FALSE),"")</f>
        <v>0</v>
      </c>
      <c r="AI19" t="b">
        <f>IF($R19,Z19=VLOOKUP(X19,$AU$2:$AZ$10,3,FALSE),"")</f>
        <v>0</v>
      </c>
      <c r="AJ19" t="b">
        <f>IF($R19,W19=VLOOKUP(W19,$AU$2:$AZ$10,4,FALSE),"")</f>
        <v>1</v>
      </c>
      <c r="AK19" t="b">
        <f>IF($R19,X19=VLOOKUP(X19,$AU$2:$AZ$10,4,FALSE),"")</f>
        <v>1</v>
      </c>
      <c r="AL19" t="b">
        <f>IF($R19,Y19=VLOOKUP(Y19,$AU$2:$AZ$10,4,FALSE),"")</f>
        <v>1</v>
      </c>
      <c r="AM19" t="b">
        <f>IF($R19,Z19=VLOOKUP(Z19,$AU$2:$AZ$10,4,FALSE),"")</f>
        <v>1</v>
      </c>
      <c r="AN19" t="b">
        <f>IF($R19,W19=VLOOKUP(W19,$AU$2:$AZ$10,5,FALSE),"")</f>
        <v>1</v>
      </c>
      <c r="AO19" t="b">
        <f>IF($R19,X19=VLOOKUP(X19,$AU$2:$AZ$10,5,FALSE),"")</f>
        <v>1</v>
      </c>
      <c r="AP19" t="b">
        <f>IF($R19,Y19=VLOOKUP(Y19,$AU$2:$AZ$10,6,FALSE),"")</f>
        <v>1</v>
      </c>
      <c r="AQ19" t="b">
        <f>IF($R19,Z19=VLOOKUP(Z19,$AU$2:$AZ$10,6,FALSE),"")</f>
        <v>1</v>
      </c>
      <c r="AR19" t="b">
        <f t="shared" si="8"/>
        <v>0</v>
      </c>
      <c r="AS19" t="b">
        <f t="shared" si="9"/>
        <v>0</v>
      </c>
      <c r="BD19" s="59" t="str">
        <f t="shared" si="10"/>
        <v xml:space="preserve">    { wxString::FromUTF8("\x31"), &amp;AllGlyphs[64], &amp;AllGlyphs[17], &amp;AllGlyphs[17], &amp;AllGlyphs[17], &amp;AllGlyphs[64], &amp;AllGlyphs[64], Connection::EMPTY, Connection::EMPTY, Connection::DIAG_BOTH, Connection::DIAG_BOTH, 0, 1, 1, 1, 0, 0 },</v>
      </c>
      <c r="BE19" s="60"/>
      <c r="BF19" s="60"/>
      <c r="BG19" s="60"/>
      <c r="BH19" s="60"/>
      <c r="BI19" s="60"/>
      <c r="BJ19" s="60"/>
      <c r="BK19" s="61"/>
      <c r="BM19" s="54" t="str">
        <f>IF($R19,"&amp;AllGlyphs[" &amp; E19 &amp; "]","")</f>
        <v>&amp;AllGlyphs[64]</v>
      </c>
      <c r="BN19" s="54" t="str">
        <f>IF($R19,"&amp;AllGlyphs[" &amp; G19 &amp; "]","")</f>
        <v>&amp;AllGlyphs[17]</v>
      </c>
      <c r="BO19" s="54" t="str">
        <f>IF($R19,"&amp;AllGlyphs[" &amp; I19 &amp; "]","")</f>
        <v>&amp;AllGlyphs[17]</v>
      </c>
      <c r="BP19" s="54" t="str">
        <f>IF($R19,"&amp;AllGlyphs[" &amp; K19 &amp; "]","")</f>
        <v>&amp;AllGlyphs[17]</v>
      </c>
      <c r="BQ19" s="54" t="str">
        <f>IF($R19,"&amp;AllGlyphs[" &amp; M19 &amp; "]","")</f>
        <v>&amp;AllGlyphs[64]</v>
      </c>
      <c r="BR19" s="54" t="str">
        <f>IF($R19,"&amp;AllGlyphs[" &amp; O19 &amp; "]","")</f>
        <v>&amp;AllGlyphs[64]</v>
      </c>
      <c r="BT19" s="58">
        <f>IF($R19,IF(AB19,1,0),"")</f>
        <v>0</v>
      </c>
      <c r="BU19" s="58">
        <f>IF($R19,IF(AC19,1,0),"")</f>
        <v>1</v>
      </c>
      <c r="BV19" s="58">
        <f>IF($R19,IF(AD19,1,0),"")</f>
        <v>1</v>
      </c>
      <c r="BW19" s="58">
        <f>IF($R19,IF(AE19,1,0),"")</f>
        <v>1</v>
      </c>
      <c r="BX19" s="58">
        <f>IF($R19,IF(AR19,1,0),"")</f>
        <v>0</v>
      </c>
      <c r="BY19" s="58">
        <f>IF($R19,IF(AS19,1,0),"")</f>
        <v>0</v>
      </c>
    </row>
    <row r="20" spans="1:77" x14ac:dyDescent="0.4">
      <c r="A20" s="7">
        <v>2</v>
      </c>
      <c r="B20" s="6">
        <f t="shared" si="0"/>
        <v>2</v>
      </c>
      <c r="C20" s="48" cm="1">
        <f t="array" ref="C20">IF($R20,INDEX($S:$S,MATCH(TRUE,EXACT(B20,$A:$A),0)),"")</f>
        <v>18</v>
      </c>
      <c r="D20" s="38">
        <v>3</v>
      </c>
      <c r="E20" s="48" cm="1">
        <f t="array" ref="E20">IF($R20,INDEX($S:$S,MATCH(TRUE,EXACT(D20,$A:$A),0)),"")</f>
        <v>19</v>
      </c>
      <c r="F20" s="38">
        <v>2</v>
      </c>
      <c r="G20" s="48" cm="1">
        <f t="array" ref="G20">IF($S20&lt;&gt;"",INDEX($S:$S,MATCH(TRUE,EXACT(F20,$A:$A),0)),"")</f>
        <v>18</v>
      </c>
      <c r="H20" s="38">
        <v>2</v>
      </c>
      <c r="I20" s="48" cm="1">
        <f t="array" ref="I20">IF($R20,INDEX($S:$S,MATCH(TRUE,EXACT(H20,$A:$A),0)),"")</f>
        <v>18</v>
      </c>
      <c r="J20" s="38">
        <v>2</v>
      </c>
      <c r="K20" s="52" cm="1">
        <f t="array" ref="K20">IF($R20,INDEX($S:$S,MATCH(TRUE,EXACT(J20,$A:$A),0)),"")</f>
        <v>18</v>
      </c>
      <c r="L20" s="38" cm="1">
        <f t="array" ref="L20">IF($R20,INDEX($T:$T,MATCH(TRUE,EXACT(H20,$D:$D),0)),"")</f>
        <v>3</v>
      </c>
      <c r="M20" s="48" cm="1">
        <f t="array" ref="M20">IF($R20,INDEX($S:$S,MATCH(TRUE,EXACT(L20,$A:$A),0)),"")</f>
        <v>19</v>
      </c>
      <c r="N20" s="38" cm="1">
        <f t="array" ref="N20">IF($R20,INDEX($T:$T,MATCH(TRUE,EXACT(J20,$D:$D),0)),"")</f>
        <v>3</v>
      </c>
      <c r="O20" s="52" cm="1">
        <f t="array" ref="O20">IF($R20,INDEX($S:$S,MATCH(TRUE,EXACT(N20,$A:$A),0)),"")</f>
        <v>19</v>
      </c>
      <c r="P20" s="23"/>
      <c r="Q20" s="33"/>
      <c r="R20" s="18" t="b">
        <f t="shared" si="1"/>
        <v>1</v>
      </c>
      <c r="S20" s="19">
        <f>IF(R20, MAX(S$2:S19)+1,"")</f>
        <v>18</v>
      </c>
      <c r="T20" s="23">
        <f t="shared" si="2"/>
        <v>2</v>
      </c>
      <c r="U20" s="8" t="str" cm="1">
        <f t="array" ref="U20">CharToUTF8(A20)</f>
        <v>\x32</v>
      </c>
      <c r="W20" s="18" t="str">
        <f>$AU$4</f>
        <v>ORTHO_BOTH</v>
      </c>
      <c r="X20" s="24" t="str">
        <f>$AU$4</f>
        <v>ORTHO_BOTH</v>
      </c>
      <c r="Y20" s="24" t="str">
        <f>$AU$3</f>
        <v>DIAG_BOTH</v>
      </c>
      <c r="Z20" s="21" t="str">
        <f>$AU$3</f>
        <v>DIAG_BOTH</v>
      </c>
      <c r="AB20" s="31" t="b">
        <f t="shared" si="3"/>
        <v>0</v>
      </c>
      <c r="AC20" s="31" t="b">
        <f t="shared" si="4"/>
        <v>1</v>
      </c>
      <c r="AD20" t="b">
        <f t="shared" si="5"/>
        <v>1</v>
      </c>
      <c r="AE20" t="b">
        <f t="shared" si="6"/>
        <v>1</v>
      </c>
      <c r="AF20" t="b">
        <f>IF($R20,W20=VLOOKUP(Z20,$AU$2:$AZ$10,3,FALSE),"")</f>
        <v>0</v>
      </c>
      <c r="AG20" t="b">
        <f>IF($R20,X20=VLOOKUP(Y20,$AU$2:$AZ$10,3,FALSE),"")</f>
        <v>0</v>
      </c>
      <c r="AH20" t="b">
        <f>IF($R20,Y20=VLOOKUP(W20,$AU$2:$AZ$10,3,FALSE),"")</f>
        <v>0</v>
      </c>
      <c r="AI20" t="b">
        <f>IF($R20,Z20=VLOOKUP(X20,$AU$2:$AZ$10,3,FALSE),"")</f>
        <v>0</v>
      </c>
      <c r="AJ20" t="b">
        <f>IF($R20,W20=VLOOKUP(W20,$AU$2:$AZ$10,4,FALSE),"")</f>
        <v>1</v>
      </c>
      <c r="AK20" t="b">
        <f>IF($R20,X20=VLOOKUP(X20,$AU$2:$AZ$10,4,FALSE),"")</f>
        <v>1</v>
      </c>
      <c r="AL20" t="b">
        <f>IF($R20,Y20=VLOOKUP(Y20,$AU$2:$AZ$10,4,FALSE),"")</f>
        <v>1</v>
      </c>
      <c r="AM20" t="b">
        <f>IF($R20,Z20=VLOOKUP(Z20,$AU$2:$AZ$10,4,FALSE),"")</f>
        <v>1</v>
      </c>
      <c r="AN20" t="b">
        <f>IF($R20,W20=VLOOKUP(W20,$AU$2:$AZ$10,5,FALSE),"")</f>
        <v>1</v>
      </c>
      <c r="AO20" t="b">
        <f>IF($R20,X20=VLOOKUP(X20,$AU$2:$AZ$10,5,FALSE),"")</f>
        <v>1</v>
      </c>
      <c r="AP20" t="b">
        <f>IF($R20,Y20=VLOOKUP(Y20,$AU$2:$AZ$10,6,FALSE),"")</f>
        <v>1</v>
      </c>
      <c r="AQ20" t="b">
        <f>IF($R20,Z20=VLOOKUP(Z20,$AU$2:$AZ$10,6,FALSE),"")</f>
        <v>1</v>
      </c>
      <c r="AR20" t="b">
        <f t="shared" si="8"/>
        <v>0</v>
      </c>
      <c r="AS20" t="b">
        <f t="shared" si="9"/>
        <v>0</v>
      </c>
      <c r="BD20" s="59" t="str">
        <f t="shared" si="10"/>
        <v xml:space="preserve">    { wxString::FromUTF8("\x32"), &amp;AllGlyphs[19], &amp;AllGlyphs[18], &amp;AllGlyphs[18], &amp;AllGlyphs[18], &amp;AllGlyphs[19], &amp;AllGlyphs[19], Connection::ORTHO_BOTH, Connection::ORTHO_BOTH, Connection::DIAG_BOTH, Connection::DIAG_BOTH, 0, 1, 1, 1, 0, 0 },</v>
      </c>
      <c r="BE20" s="60"/>
      <c r="BF20" s="60"/>
      <c r="BG20" s="60"/>
      <c r="BH20" s="60"/>
      <c r="BI20" s="60"/>
      <c r="BJ20" s="60"/>
      <c r="BK20" s="61"/>
      <c r="BM20" s="54" t="str">
        <f>IF($R20,"&amp;AllGlyphs[" &amp; E20 &amp; "]","")</f>
        <v>&amp;AllGlyphs[19]</v>
      </c>
      <c r="BN20" s="54" t="str">
        <f>IF($R20,"&amp;AllGlyphs[" &amp; G20 &amp; "]","")</f>
        <v>&amp;AllGlyphs[18]</v>
      </c>
      <c r="BO20" s="54" t="str">
        <f>IF($R20,"&amp;AllGlyphs[" &amp; I20 &amp; "]","")</f>
        <v>&amp;AllGlyphs[18]</v>
      </c>
      <c r="BP20" s="54" t="str">
        <f>IF($R20,"&amp;AllGlyphs[" &amp; K20 &amp; "]","")</f>
        <v>&amp;AllGlyphs[18]</v>
      </c>
      <c r="BQ20" s="54" t="str">
        <f>IF($R20,"&amp;AllGlyphs[" &amp; M20 &amp; "]","")</f>
        <v>&amp;AllGlyphs[19]</v>
      </c>
      <c r="BR20" s="54" t="str">
        <f>IF($R20,"&amp;AllGlyphs[" &amp; O20 &amp; "]","")</f>
        <v>&amp;AllGlyphs[19]</v>
      </c>
      <c r="BT20" s="58">
        <f>IF($R20,IF(AB20,1,0),"")</f>
        <v>0</v>
      </c>
      <c r="BU20" s="58">
        <f>IF($R20,IF(AC20,1,0),"")</f>
        <v>1</v>
      </c>
      <c r="BV20" s="58">
        <f>IF($R20,IF(AD20,1,0),"")</f>
        <v>1</v>
      </c>
      <c r="BW20" s="58">
        <f>IF($R20,IF(AE20,1,0),"")</f>
        <v>1</v>
      </c>
      <c r="BX20" s="58">
        <f>IF($R20,IF(AR20,1,0),"")</f>
        <v>0</v>
      </c>
      <c r="BY20" s="58">
        <f>IF($R20,IF(AS20,1,0),"")</f>
        <v>0</v>
      </c>
    </row>
    <row r="21" spans="1:77" x14ac:dyDescent="0.4">
      <c r="A21" s="7">
        <v>3</v>
      </c>
      <c r="B21" s="6">
        <f t="shared" si="0"/>
        <v>3</v>
      </c>
      <c r="C21" s="48" cm="1">
        <f t="array" ref="C21">IF($R21,INDEX($S:$S,MATCH(TRUE,EXACT(B21,$A:$A),0)),"")</f>
        <v>19</v>
      </c>
      <c r="D21" s="38">
        <v>2</v>
      </c>
      <c r="E21" s="48" cm="1">
        <f t="array" ref="E21">IF($R21,INDEX($S:$S,MATCH(TRUE,EXACT(D21,$A:$A),0)),"")</f>
        <v>18</v>
      </c>
      <c r="F21" s="38">
        <v>3</v>
      </c>
      <c r="G21" s="48" cm="1">
        <f t="array" ref="G21">IF($S21&lt;&gt;"",INDEX($S:$S,MATCH(TRUE,EXACT(F21,$A:$A),0)),"")</f>
        <v>19</v>
      </c>
      <c r="H21" s="38">
        <v>3</v>
      </c>
      <c r="I21" s="48" cm="1">
        <f t="array" ref="I21">IF($R21,INDEX($S:$S,MATCH(TRUE,EXACT(H21,$A:$A),0)),"")</f>
        <v>19</v>
      </c>
      <c r="J21" s="38">
        <v>3</v>
      </c>
      <c r="K21" s="52" cm="1">
        <f t="array" ref="K21">IF($R21,INDEX($S:$S,MATCH(TRUE,EXACT(J21,$A:$A),0)),"")</f>
        <v>19</v>
      </c>
      <c r="L21" s="38" cm="1">
        <f t="array" ref="L21">IF($R21,INDEX($T:$T,MATCH(TRUE,EXACT(H21,$D:$D),0)),"")</f>
        <v>2</v>
      </c>
      <c r="M21" s="48" cm="1">
        <f t="array" ref="M21">IF($R21,INDEX($S:$S,MATCH(TRUE,EXACT(L21,$A:$A),0)),"")</f>
        <v>18</v>
      </c>
      <c r="N21" s="38" cm="1">
        <f t="array" ref="N21">IF($R21,INDEX($T:$T,MATCH(TRUE,EXACT(J21,$D:$D),0)),"")</f>
        <v>2</v>
      </c>
      <c r="O21" s="52" cm="1">
        <f t="array" ref="O21">IF($R21,INDEX($S:$S,MATCH(TRUE,EXACT(N21,$A:$A),0)),"")</f>
        <v>18</v>
      </c>
      <c r="P21" s="23"/>
      <c r="Q21" s="33"/>
      <c r="R21" s="18" t="b">
        <f t="shared" si="1"/>
        <v>1</v>
      </c>
      <c r="S21" s="19">
        <f>IF(R21, MAX(S$2:S20)+1,"")</f>
        <v>19</v>
      </c>
      <c r="T21" s="23">
        <f t="shared" si="2"/>
        <v>3</v>
      </c>
      <c r="U21" s="8" t="str" cm="1">
        <f t="array" ref="U21">CharToUTF8(A21)</f>
        <v>\x33</v>
      </c>
      <c r="W21" s="18" t="str">
        <f>$AU$3</f>
        <v>DIAG_BOTH</v>
      </c>
      <c r="X21" s="24" t="str">
        <f>$AU$3</f>
        <v>DIAG_BOTH</v>
      </c>
      <c r="Y21" s="24" t="str">
        <f>$AU$4</f>
        <v>ORTHO_BOTH</v>
      </c>
      <c r="Z21" s="21" t="str">
        <f>$AU$4</f>
        <v>ORTHO_BOTH</v>
      </c>
      <c r="AB21" s="31" t="b">
        <f t="shared" si="3"/>
        <v>0</v>
      </c>
      <c r="AC21" s="31" t="b">
        <f t="shared" si="4"/>
        <v>1</v>
      </c>
      <c r="AD21" t="b">
        <f t="shared" si="5"/>
        <v>1</v>
      </c>
      <c r="AE21" t="b">
        <f t="shared" si="6"/>
        <v>1</v>
      </c>
      <c r="AF21" t="b">
        <f>IF($R21,W21=VLOOKUP(Z21,$AU$2:$AZ$10,3,FALSE),"")</f>
        <v>0</v>
      </c>
      <c r="AG21" t="b">
        <f>IF($R21,X21=VLOOKUP(Y21,$AU$2:$AZ$10,3,FALSE),"")</f>
        <v>0</v>
      </c>
      <c r="AH21" t="b">
        <f>IF($R21,Y21=VLOOKUP(W21,$AU$2:$AZ$10,3,FALSE),"")</f>
        <v>0</v>
      </c>
      <c r="AI21" t="b">
        <f>IF($R21,Z21=VLOOKUP(X21,$AU$2:$AZ$10,3,FALSE),"")</f>
        <v>0</v>
      </c>
      <c r="AJ21" t="b">
        <f>IF($R21,W21=VLOOKUP(W21,$AU$2:$AZ$10,4,FALSE),"")</f>
        <v>1</v>
      </c>
      <c r="AK21" t="b">
        <f>IF($R21,X21=VLOOKUP(X21,$AU$2:$AZ$10,4,FALSE),"")</f>
        <v>1</v>
      </c>
      <c r="AL21" t="b">
        <f>IF($R21,Y21=VLOOKUP(Y21,$AU$2:$AZ$10,4,FALSE),"")</f>
        <v>1</v>
      </c>
      <c r="AM21" t="b">
        <f>IF($R21,Z21=VLOOKUP(Z21,$AU$2:$AZ$10,4,FALSE),"")</f>
        <v>1</v>
      </c>
      <c r="AN21" t="b">
        <f>IF($R21,W21=VLOOKUP(W21,$AU$2:$AZ$10,5,FALSE),"")</f>
        <v>1</v>
      </c>
      <c r="AO21" t="b">
        <f>IF($R21,X21=VLOOKUP(X21,$AU$2:$AZ$10,5,FALSE),"")</f>
        <v>1</v>
      </c>
      <c r="AP21" t="b">
        <f>IF($R21,Y21=VLOOKUP(Y21,$AU$2:$AZ$10,6,FALSE),"")</f>
        <v>1</v>
      </c>
      <c r="AQ21" t="b">
        <f>IF($R21,Z21=VLOOKUP(Z21,$AU$2:$AZ$10,6,FALSE),"")</f>
        <v>1</v>
      </c>
      <c r="AR21" t="b">
        <f t="shared" si="8"/>
        <v>0</v>
      </c>
      <c r="AS21" t="b">
        <f t="shared" si="9"/>
        <v>0</v>
      </c>
      <c r="BD21" s="59" t="str">
        <f t="shared" si="10"/>
        <v xml:space="preserve">    { wxString::FromUTF8("\x33"), &amp;AllGlyphs[18], &amp;AllGlyphs[19], &amp;AllGlyphs[19], &amp;AllGlyphs[19], &amp;AllGlyphs[18], &amp;AllGlyphs[18], Connection::DIAG_BOTH, Connection::DIAG_BOTH, Connection::ORTHO_BOTH, Connection::ORTHO_BOTH, 0, 1, 1, 1, 0, 0 },</v>
      </c>
      <c r="BE21" s="60"/>
      <c r="BF21" s="60"/>
      <c r="BG21" s="60"/>
      <c r="BH21" s="60"/>
      <c r="BI21" s="60"/>
      <c r="BJ21" s="60"/>
      <c r="BK21" s="61"/>
      <c r="BM21" s="54" t="str">
        <f>IF($R21,"&amp;AllGlyphs[" &amp; E21 &amp; "]","")</f>
        <v>&amp;AllGlyphs[18]</v>
      </c>
      <c r="BN21" s="54" t="str">
        <f>IF($R21,"&amp;AllGlyphs[" &amp; G21 &amp; "]","")</f>
        <v>&amp;AllGlyphs[19]</v>
      </c>
      <c r="BO21" s="54" t="str">
        <f>IF($R21,"&amp;AllGlyphs[" &amp; I21 &amp; "]","")</f>
        <v>&amp;AllGlyphs[19]</v>
      </c>
      <c r="BP21" s="54" t="str">
        <f>IF($R21,"&amp;AllGlyphs[" &amp; K21 &amp; "]","")</f>
        <v>&amp;AllGlyphs[19]</v>
      </c>
      <c r="BQ21" s="54" t="str">
        <f>IF($R21,"&amp;AllGlyphs[" &amp; M21 &amp; "]","")</f>
        <v>&amp;AllGlyphs[18]</v>
      </c>
      <c r="BR21" s="54" t="str">
        <f>IF($R21,"&amp;AllGlyphs[" &amp; O21 &amp; "]","")</f>
        <v>&amp;AllGlyphs[18]</v>
      </c>
      <c r="BT21" s="58">
        <f>IF($R21,IF(AB21,1,0),"")</f>
        <v>0</v>
      </c>
      <c r="BU21" s="58">
        <f>IF($R21,IF(AC21,1,0),"")</f>
        <v>1</v>
      </c>
      <c r="BV21" s="58">
        <f>IF($R21,IF(AD21,1,0),"")</f>
        <v>1</v>
      </c>
      <c r="BW21" s="58">
        <f>IF($R21,IF(AE21,1,0),"")</f>
        <v>1</v>
      </c>
      <c r="BX21" s="58">
        <f>IF($R21,IF(AR21,1,0),"")</f>
        <v>0</v>
      </c>
      <c r="BY21" s="58">
        <f>IF($R21,IF(AS21,1,0),"")</f>
        <v>0</v>
      </c>
    </row>
    <row r="22" spans="1:77" ht="31.5" customHeight="1" x14ac:dyDescent="0.4">
      <c r="A22" s="7">
        <v>4</v>
      </c>
      <c r="B22" s="6">
        <f t="shared" si="0"/>
        <v>4</v>
      </c>
      <c r="C22" s="48" cm="1">
        <f t="array" ref="C22">IF($R22,INDEX($S:$S,MATCH(TRUE,EXACT(B22,$A:$A),0)),"")</f>
        <v>20</v>
      </c>
      <c r="D22" s="38" t="s">
        <v>22</v>
      </c>
      <c r="E22" s="48" cm="1">
        <f t="array" ref="E22">IF($R22,INDEX($S:$S,MATCH(TRUE,EXACT(D22,$A:$A),0)),"")</f>
        <v>86</v>
      </c>
      <c r="F22" s="38" t="s">
        <v>3</v>
      </c>
      <c r="G22" s="48" cm="1">
        <f t="array" ref="G22">IF($S22&lt;&gt;"",INDEX($S:$S,MATCH(TRUE,EXACT(F22,$A:$A),0)),"")</f>
        <v>82</v>
      </c>
      <c r="H22" s="38" t="s">
        <v>3</v>
      </c>
      <c r="I22" s="48" cm="1">
        <f t="array" ref="I22">IF($R22,INDEX($S:$S,MATCH(TRUE,EXACT(H22,$A:$A),0)),"")</f>
        <v>82</v>
      </c>
      <c r="J22" s="38">
        <v>4</v>
      </c>
      <c r="K22" s="52" cm="1">
        <f t="array" ref="K22">IF($R22,INDEX($S:$S,MATCH(TRUE,EXACT(J22,$A:$A),0)),"")</f>
        <v>20</v>
      </c>
      <c r="L22" s="38" t="str" cm="1">
        <f t="array" ref="L22">IF($R22,INDEX($T:$T,MATCH(TRUE,EXACT(H22,$D:$D),0)),"")</f>
        <v>v</v>
      </c>
      <c r="M22" s="48" cm="1">
        <f t="array" ref="M22">IF($R22,INDEX($S:$S,MATCH(TRUE,EXACT(L22,$A:$A),0)),"")</f>
        <v>86</v>
      </c>
      <c r="N22" s="38" t="str" cm="1">
        <f t="array" ref="N22">IF($R22,INDEX($T:$T,MATCH(TRUE,EXACT(J22,$D:$D),0)),"")</f>
        <v>f</v>
      </c>
      <c r="O22" s="52" cm="1">
        <f t="array" ref="O22">IF($R22,INDEX($S:$S,MATCH(TRUE,EXACT(N22,$A:$A),0)),"")</f>
        <v>70</v>
      </c>
      <c r="P22" s="23"/>
      <c r="Q22" s="33"/>
      <c r="R22" s="18" t="b">
        <f t="shared" si="1"/>
        <v>1</v>
      </c>
      <c r="S22" s="19">
        <f>IF(R22, MAX(S$2:S21)+1,"")</f>
        <v>20</v>
      </c>
      <c r="T22" s="23">
        <f t="shared" si="2"/>
        <v>4</v>
      </c>
      <c r="U22" s="8" t="str" cm="1">
        <f t="array" ref="U22">CharToUTF8(A22)</f>
        <v>\x34</v>
      </c>
      <c r="W22" s="18" t="str">
        <f>$AU$2</f>
        <v>EMPTY</v>
      </c>
      <c r="X22" s="24" t="str">
        <f>$AU$3</f>
        <v>DIAG_BOTH</v>
      </c>
      <c r="Y22" s="24" t="str">
        <f>$AU$2</f>
        <v>EMPTY</v>
      </c>
      <c r="Z22" s="21" t="str">
        <f>$AU$2</f>
        <v>EMPTY</v>
      </c>
      <c r="AB22" s="31" t="b">
        <f t="shared" si="3"/>
        <v>0</v>
      </c>
      <c r="AC22" s="31" t="b">
        <f t="shared" si="4"/>
        <v>0</v>
      </c>
      <c r="AD22" t="b">
        <f t="shared" si="5"/>
        <v>0</v>
      </c>
      <c r="AE22" t="b">
        <f t="shared" si="6"/>
        <v>1</v>
      </c>
      <c r="AF22" t="b">
        <f>IF($R22,W22=VLOOKUP(Z22,$AU$2:$AZ$10,3,FALSE),"")</f>
        <v>1</v>
      </c>
      <c r="AG22" t="b">
        <f>IF($R22,X22=VLOOKUP(Y22,$AU$2:$AZ$10,3,FALSE),"")</f>
        <v>0</v>
      </c>
      <c r="AH22" t="b">
        <f>IF($R22,Y22=VLOOKUP(W22,$AU$2:$AZ$10,3,FALSE),"")</f>
        <v>1</v>
      </c>
      <c r="AI22" t="b">
        <f>IF($R22,Z22=VLOOKUP(X22,$AU$2:$AZ$10,3,FALSE),"")</f>
        <v>0</v>
      </c>
      <c r="AJ22" t="b">
        <f>IF($R22,W22=VLOOKUP(W22,$AU$2:$AZ$10,4,FALSE),"")</f>
        <v>1</v>
      </c>
      <c r="AK22" t="b">
        <f>IF($R22,X22=VLOOKUP(X22,$AU$2:$AZ$10,4,FALSE),"")</f>
        <v>1</v>
      </c>
      <c r="AL22" t="b">
        <f>IF($R22,Y22=VLOOKUP(Y22,$AU$2:$AZ$10,4,FALSE),"")</f>
        <v>1</v>
      </c>
      <c r="AM22" t="b">
        <f>IF($R22,Z22=VLOOKUP(Z22,$AU$2:$AZ$10,4,FALSE),"")</f>
        <v>1</v>
      </c>
      <c r="AN22" t="b">
        <f>IF($R22,W22=VLOOKUP(W22,$AU$2:$AZ$10,5,FALSE),"")</f>
        <v>1</v>
      </c>
      <c r="AO22" t="b">
        <f>IF($R22,X22=VLOOKUP(X22,$AU$2:$AZ$10,5,FALSE),"")</f>
        <v>1</v>
      </c>
      <c r="AP22" t="b">
        <f>IF($R22,Y22=VLOOKUP(Y22,$AU$2:$AZ$10,6,FALSE),"")</f>
        <v>1</v>
      </c>
      <c r="AQ22" t="b">
        <f>IF($R22,Z22=VLOOKUP(Z22,$AU$2:$AZ$10,6,FALSE),"")</f>
        <v>1</v>
      </c>
      <c r="AR22" t="b">
        <f t="shared" si="8"/>
        <v>0</v>
      </c>
      <c r="AS22" t="b">
        <f t="shared" si="9"/>
        <v>0</v>
      </c>
      <c r="BD22" s="59" t="str">
        <f t="shared" si="10"/>
        <v xml:space="preserve">    { wxString::FromUTF8("\x34"), &amp;AllGlyphs[86], &amp;AllGlyphs[82], &amp;AllGlyphs[82], &amp;AllGlyphs[20], &amp;AllGlyphs[86], &amp;AllGlyphs[70], Connection::EMPTY, Connection::DIAG_BOTH, Connection::EMPTY, Connection::EMPTY, 0, 0, 0, 1, 0, 0 },</v>
      </c>
      <c r="BE22" s="60"/>
      <c r="BF22" s="60"/>
      <c r="BG22" s="60"/>
      <c r="BH22" s="60"/>
      <c r="BI22" s="60"/>
      <c r="BJ22" s="60"/>
      <c r="BK22" s="61"/>
      <c r="BM22" s="54" t="str">
        <f>IF($R22,"&amp;AllGlyphs[" &amp; E22 &amp; "]","")</f>
        <v>&amp;AllGlyphs[86]</v>
      </c>
      <c r="BN22" s="54" t="str">
        <f>IF($R22,"&amp;AllGlyphs[" &amp; G22 &amp; "]","")</f>
        <v>&amp;AllGlyphs[82]</v>
      </c>
      <c r="BO22" s="54" t="str">
        <f>IF($R22,"&amp;AllGlyphs[" &amp; I22 &amp; "]","")</f>
        <v>&amp;AllGlyphs[82]</v>
      </c>
      <c r="BP22" s="54" t="str">
        <f>IF($R22,"&amp;AllGlyphs[" &amp; K22 &amp; "]","")</f>
        <v>&amp;AllGlyphs[20]</v>
      </c>
      <c r="BQ22" s="54" t="str">
        <f>IF($R22,"&amp;AllGlyphs[" &amp; M22 &amp; "]","")</f>
        <v>&amp;AllGlyphs[86]</v>
      </c>
      <c r="BR22" s="54" t="str">
        <f>IF($R22,"&amp;AllGlyphs[" &amp; O22 &amp; "]","")</f>
        <v>&amp;AllGlyphs[70]</v>
      </c>
      <c r="BT22" s="58">
        <f>IF($R22,IF(AB22,1,0),"")</f>
        <v>0</v>
      </c>
      <c r="BU22" s="58">
        <f>IF($R22,IF(AC22,1,0),"")</f>
        <v>0</v>
      </c>
      <c r="BV22" s="58">
        <f>IF($R22,IF(AD22,1,0),"")</f>
        <v>0</v>
      </c>
      <c r="BW22" s="58">
        <f>IF($R22,IF(AE22,1,0),"")</f>
        <v>1</v>
      </c>
      <c r="BX22" s="58">
        <f>IF($R22,IF(AR22,1,0),"")</f>
        <v>0</v>
      </c>
      <c r="BY22" s="58">
        <f>IF($R22,IF(AS22,1,0),"")</f>
        <v>0</v>
      </c>
    </row>
    <row r="23" spans="1:77" x14ac:dyDescent="0.4">
      <c r="A23" s="7">
        <v>5</v>
      </c>
      <c r="B23" s="6">
        <f t="shared" si="0"/>
        <v>5</v>
      </c>
      <c r="C23" s="48" cm="1">
        <f t="array" ref="C23">IF($R23,INDEX($S:$S,MATCH(TRUE,EXACT(B23,$A:$A),0)),"")</f>
        <v>21</v>
      </c>
      <c r="D23" s="38" t="s">
        <v>15</v>
      </c>
      <c r="E23" s="48" cm="1">
        <f t="array" ref="E23">IF($R23,INDEX($S:$S,MATCH(TRUE,EXACT(D23,$A:$A),0)),"")</f>
        <v>72</v>
      </c>
      <c r="F23" s="38" t="s">
        <v>4</v>
      </c>
      <c r="G23" s="48" cm="1">
        <f t="array" ref="G23">IF($S23&lt;&gt;"",INDEX($S:$S,MATCH(TRUE,EXACT(F23,$A:$A),0)),"")</f>
        <v>84</v>
      </c>
      <c r="H23" s="38" t="s">
        <v>4</v>
      </c>
      <c r="I23" s="48" cm="1">
        <f t="array" ref="I23">IF($R23,INDEX($S:$S,MATCH(TRUE,EXACT(H23,$A:$A),0)),"")</f>
        <v>84</v>
      </c>
      <c r="J23" s="38">
        <v>5</v>
      </c>
      <c r="K23" s="52" cm="1">
        <f t="array" ref="K23">IF($R23,INDEX($S:$S,MATCH(TRUE,EXACT(J23,$A:$A),0)),"")</f>
        <v>21</v>
      </c>
      <c r="L23" s="38" t="str" cm="1">
        <f t="array" ref="L23">IF($R23,INDEX($T:$T,MATCH(TRUE,EXACT(H23,$D:$D),0)),"")</f>
        <v>h</v>
      </c>
      <c r="M23" s="48" cm="1">
        <f t="array" ref="M23">IF($R23,INDEX($S:$S,MATCH(TRUE,EXACT(L23,$A:$A),0)),"")</f>
        <v>72</v>
      </c>
      <c r="N23" s="38" t="str" cm="1">
        <f t="array" ref="N23">IF($R23,INDEX($T:$T,MATCH(TRUE,EXACT(J23,$D:$D),0)),"")</f>
        <v>g</v>
      </c>
      <c r="O23" s="52" cm="1">
        <f t="array" ref="O23">IF($R23,INDEX($S:$S,MATCH(TRUE,EXACT(N23,$A:$A),0)),"")</f>
        <v>71</v>
      </c>
      <c r="P23" s="23"/>
      <c r="Q23" s="33"/>
      <c r="R23" s="18" t="b">
        <f t="shared" si="1"/>
        <v>1</v>
      </c>
      <c r="S23" s="19">
        <f>IF(R23, MAX(S$2:S22)+1,"")</f>
        <v>21</v>
      </c>
      <c r="T23" s="23">
        <f t="shared" si="2"/>
        <v>5</v>
      </c>
      <c r="U23" s="8" t="str" cm="1">
        <f t="array" ref="U23">CharToUTF8(A23)</f>
        <v>\x35</v>
      </c>
      <c r="W23" s="18" t="str">
        <f>$AU$3</f>
        <v>DIAG_BOTH</v>
      </c>
      <c r="X23" s="24" t="str">
        <f t="shared" ref="X23:X28" si="12">$AU$4</f>
        <v>ORTHO_BOTH</v>
      </c>
      <c r="Y23" s="24" t="str">
        <f>$AU$3</f>
        <v>DIAG_BOTH</v>
      </c>
      <c r="Z23" s="21" t="str">
        <f>$AU$3</f>
        <v>DIAG_BOTH</v>
      </c>
      <c r="AB23" s="31" t="b">
        <f t="shared" si="3"/>
        <v>0</v>
      </c>
      <c r="AC23" s="31" t="b">
        <f t="shared" si="4"/>
        <v>0</v>
      </c>
      <c r="AD23" t="b">
        <f t="shared" si="5"/>
        <v>0</v>
      </c>
      <c r="AE23" t="b">
        <f t="shared" si="6"/>
        <v>1</v>
      </c>
      <c r="AF23" t="b">
        <f>IF($R23,W23=VLOOKUP(Z23,$AU$2:$AZ$10,3,FALSE),"")</f>
        <v>1</v>
      </c>
      <c r="AG23" t="b">
        <f>IF($R23,X23=VLOOKUP(Y23,$AU$2:$AZ$10,3,FALSE),"")</f>
        <v>0</v>
      </c>
      <c r="AH23" t="b">
        <f>IF($R23,Y23=VLOOKUP(W23,$AU$2:$AZ$10,3,FALSE),"")</f>
        <v>1</v>
      </c>
      <c r="AI23" t="b">
        <f>IF($R23,Z23=VLOOKUP(X23,$AU$2:$AZ$10,3,FALSE),"")</f>
        <v>0</v>
      </c>
      <c r="AJ23" t="b">
        <f>IF($R23,W23=VLOOKUP(W23,$AU$2:$AZ$10,4,FALSE),"")</f>
        <v>1</v>
      </c>
      <c r="AK23" t="b">
        <f>IF($R23,X23=VLOOKUP(X23,$AU$2:$AZ$10,4,FALSE),"")</f>
        <v>1</v>
      </c>
      <c r="AL23" t="b">
        <f>IF($R23,Y23=VLOOKUP(Y23,$AU$2:$AZ$10,4,FALSE),"")</f>
        <v>1</v>
      </c>
      <c r="AM23" t="b">
        <f>IF($R23,Z23=VLOOKUP(Z23,$AU$2:$AZ$10,4,FALSE),"")</f>
        <v>1</v>
      </c>
      <c r="AN23" t="b">
        <f>IF($R23,W23=VLOOKUP(W23,$AU$2:$AZ$10,5,FALSE),"")</f>
        <v>1</v>
      </c>
      <c r="AO23" t="b">
        <f>IF($R23,X23=VLOOKUP(X23,$AU$2:$AZ$10,5,FALSE),"")</f>
        <v>1</v>
      </c>
      <c r="AP23" t="b">
        <f>IF($R23,Y23=VLOOKUP(Y23,$AU$2:$AZ$10,6,FALSE),"")</f>
        <v>1</v>
      </c>
      <c r="AQ23" t="b">
        <f>IF($R23,Z23=VLOOKUP(Z23,$AU$2:$AZ$10,6,FALSE),"")</f>
        <v>1</v>
      </c>
      <c r="AR23" t="b">
        <f t="shared" si="8"/>
        <v>0</v>
      </c>
      <c r="AS23" t="b">
        <f t="shared" si="9"/>
        <v>0</v>
      </c>
      <c r="BD23" s="59" t="str">
        <f t="shared" si="10"/>
        <v xml:space="preserve">    { wxString::FromUTF8("\x35"), &amp;AllGlyphs[72], &amp;AllGlyphs[84], &amp;AllGlyphs[84], &amp;AllGlyphs[21], &amp;AllGlyphs[72], &amp;AllGlyphs[71], Connection::DIAG_BOTH, Connection::ORTHO_BOTH, Connection::DIAG_BOTH, Connection::DIAG_BOTH, 0, 0, 0, 1, 0, 0 },</v>
      </c>
      <c r="BE23" s="60"/>
      <c r="BF23" s="60"/>
      <c r="BG23" s="60"/>
      <c r="BH23" s="60"/>
      <c r="BI23" s="60"/>
      <c r="BJ23" s="60"/>
      <c r="BK23" s="61"/>
      <c r="BM23" s="54" t="str">
        <f>IF($R23,"&amp;AllGlyphs[" &amp; E23 &amp; "]","")</f>
        <v>&amp;AllGlyphs[72]</v>
      </c>
      <c r="BN23" s="54" t="str">
        <f>IF($R23,"&amp;AllGlyphs[" &amp; G23 &amp; "]","")</f>
        <v>&amp;AllGlyphs[84]</v>
      </c>
      <c r="BO23" s="54" t="str">
        <f>IF($R23,"&amp;AllGlyphs[" &amp; I23 &amp; "]","")</f>
        <v>&amp;AllGlyphs[84]</v>
      </c>
      <c r="BP23" s="54" t="str">
        <f>IF($R23,"&amp;AllGlyphs[" &amp; K23 &amp; "]","")</f>
        <v>&amp;AllGlyphs[21]</v>
      </c>
      <c r="BQ23" s="54" t="str">
        <f>IF($R23,"&amp;AllGlyphs[" &amp; M23 &amp; "]","")</f>
        <v>&amp;AllGlyphs[72]</v>
      </c>
      <c r="BR23" s="54" t="str">
        <f>IF($R23,"&amp;AllGlyphs[" &amp; O23 &amp; "]","")</f>
        <v>&amp;AllGlyphs[71]</v>
      </c>
      <c r="BT23" s="58">
        <f>IF($R23,IF(AB23,1,0),"")</f>
        <v>0</v>
      </c>
      <c r="BU23" s="58">
        <f>IF($R23,IF(AC23,1,0),"")</f>
        <v>0</v>
      </c>
      <c r="BV23" s="58">
        <f>IF($R23,IF(AD23,1,0),"")</f>
        <v>0</v>
      </c>
      <c r="BW23" s="58">
        <f>IF($R23,IF(AE23,1,0),"")</f>
        <v>1</v>
      </c>
      <c r="BX23" s="58">
        <f>IF($R23,IF(AR23,1,0),"")</f>
        <v>0</v>
      </c>
      <c r="BY23" s="58">
        <f>IF($R23,IF(AS23,1,0),"")</f>
        <v>0</v>
      </c>
    </row>
    <row r="24" spans="1:77" x14ac:dyDescent="0.4">
      <c r="A24" s="7">
        <v>6</v>
      </c>
      <c r="B24" s="6">
        <f t="shared" si="0"/>
        <v>6</v>
      </c>
      <c r="C24" s="48" cm="1">
        <f t="array" ref="C24">IF($R24,INDEX($S:$S,MATCH(TRUE,EXACT(B24,$A:$A),0)),"")</f>
        <v>22</v>
      </c>
      <c r="D24" s="38" t="s">
        <v>24</v>
      </c>
      <c r="E24" s="48" cm="1">
        <f t="array" ref="E24">IF($R24,INDEX($S:$S,MATCH(TRUE,EXACT(D24,$A:$A),0)),"")</f>
        <v>78</v>
      </c>
      <c r="F24" s="38" t="s">
        <v>5</v>
      </c>
      <c r="G24" s="48" cm="1">
        <f t="array" ref="G24">IF($S24&lt;&gt;"",INDEX($S:$S,MATCH(TRUE,EXACT(F24,$A:$A),0)),"")</f>
        <v>89</v>
      </c>
      <c r="H24" s="38" t="s">
        <v>5</v>
      </c>
      <c r="I24" s="48" cm="1">
        <f t="array" ref="I24">IF($R24,INDEX($S:$S,MATCH(TRUE,EXACT(H24,$A:$A),0)),"")</f>
        <v>89</v>
      </c>
      <c r="J24" s="38">
        <v>6</v>
      </c>
      <c r="K24" s="52" cm="1">
        <f t="array" ref="K24">IF($R24,INDEX($S:$S,MATCH(TRUE,EXACT(J24,$A:$A),0)),"")</f>
        <v>22</v>
      </c>
      <c r="L24" s="38" t="str" cm="1">
        <f t="array" ref="L24">IF($R24,INDEX($T:$T,MATCH(TRUE,EXACT(H24,$D:$D),0)),"")</f>
        <v>n</v>
      </c>
      <c r="M24" s="48" cm="1">
        <f t="array" ref="M24">IF($R24,INDEX($S:$S,MATCH(TRUE,EXACT(L24,$A:$A),0)),"")</f>
        <v>78</v>
      </c>
      <c r="N24" s="38" t="str" cm="1">
        <f t="array" ref="N24">IF($R24,INDEX($T:$T,MATCH(TRUE,EXACT(J24,$D:$D),0)),"")</f>
        <v>b</v>
      </c>
      <c r="O24" s="52" cm="1">
        <f t="array" ref="O24">IF($R24,INDEX($S:$S,MATCH(TRUE,EXACT(N24,$A:$A),0)),"")</f>
        <v>66</v>
      </c>
      <c r="P24" s="23"/>
      <c r="Q24" s="33"/>
      <c r="R24" s="18" t="b">
        <f t="shared" si="1"/>
        <v>1</v>
      </c>
      <c r="S24" s="19">
        <f>IF(R24, MAX(S$2:S23)+1,"")</f>
        <v>22</v>
      </c>
      <c r="T24" s="23">
        <f t="shared" si="2"/>
        <v>6</v>
      </c>
      <c r="U24" s="8" t="str" cm="1">
        <f t="array" ref="U24">CharToUTF8(A24)</f>
        <v>\x36</v>
      </c>
      <c r="W24" s="18" t="str">
        <f>$AU$2</f>
        <v>EMPTY</v>
      </c>
      <c r="X24" s="24" t="str">
        <f t="shared" si="12"/>
        <v>ORTHO_BOTH</v>
      </c>
      <c r="Y24" s="24" t="str">
        <f>$AU$3</f>
        <v>DIAG_BOTH</v>
      </c>
      <c r="Z24" s="21" t="str">
        <f>$AU$3</f>
        <v>DIAG_BOTH</v>
      </c>
      <c r="AB24" s="31" t="b">
        <f t="shared" si="3"/>
        <v>0</v>
      </c>
      <c r="AC24" s="31" t="b">
        <f t="shared" si="4"/>
        <v>0</v>
      </c>
      <c r="AD24" t="b">
        <f t="shared" si="5"/>
        <v>0</v>
      </c>
      <c r="AE24" t="b">
        <f t="shared" si="6"/>
        <v>1</v>
      </c>
      <c r="AF24" t="b">
        <f>IF($R24,W24=VLOOKUP(Z24,$AU$2:$AZ$10,3,FALSE),"")</f>
        <v>0</v>
      </c>
      <c r="AG24" t="b">
        <f>IF($R24,X24=VLOOKUP(Y24,$AU$2:$AZ$10,3,FALSE),"")</f>
        <v>0</v>
      </c>
      <c r="AH24" t="b">
        <f>IF($R24,Y24=VLOOKUP(W24,$AU$2:$AZ$10,3,FALSE),"")</f>
        <v>0</v>
      </c>
      <c r="AI24" t="b">
        <f>IF($R24,Z24=VLOOKUP(X24,$AU$2:$AZ$10,3,FALSE),"")</f>
        <v>0</v>
      </c>
      <c r="AJ24" t="b">
        <f>IF($R24,W24=VLOOKUP(W24,$AU$2:$AZ$10,4,FALSE),"")</f>
        <v>1</v>
      </c>
      <c r="AK24" t="b">
        <f>IF($R24,X24=VLOOKUP(X24,$AU$2:$AZ$10,4,FALSE),"")</f>
        <v>1</v>
      </c>
      <c r="AL24" t="b">
        <f>IF($R24,Y24=VLOOKUP(Y24,$AU$2:$AZ$10,4,FALSE),"")</f>
        <v>1</v>
      </c>
      <c r="AM24" t="b">
        <f>IF($R24,Z24=VLOOKUP(Z24,$AU$2:$AZ$10,4,FALSE),"")</f>
        <v>1</v>
      </c>
      <c r="AN24" t="b">
        <f>IF($R24,W24=VLOOKUP(W24,$AU$2:$AZ$10,5,FALSE),"")</f>
        <v>1</v>
      </c>
      <c r="AO24" t="b">
        <f>IF($R24,X24=VLOOKUP(X24,$AU$2:$AZ$10,5,FALSE),"")</f>
        <v>1</v>
      </c>
      <c r="AP24" t="b">
        <f>IF($R24,Y24=VLOOKUP(Y24,$AU$2:$AZ$10,6,FALSE),"")</f>
        <v>1</v>
      </c>
      <c r="AQ24" t="b">
        <f>IF($R24,Z24=VLOOKUP(Z24,$AU$2:$AZ$10,6,FALSE),"")</f>
        <v>1</v>
      </c>
      <c r="AR24" t="b">
        <f t="shared" si="8"/>
        <v>0</v>
      </c>
      <c r="AS24" t="b">
        <f t="shared" si="9"/>
        <v>0</v>
      </c>
      <c r="BD24" s="59" t="str">
        <f t="shared" si="10"/>
        <v xml:space="preserve">    { wxString::FromUTF8("\x36"), &amp;AllGlyphs[78], &amp;AllGlyphs[89], &amp;AllGlyphs[89], &amp;AllGlyphs[22], &amp;AllGlyphs[78], &amp;AllGlyphs[66], Connection::EMPTY, Connection::ORTHO_BOTH, Connection::DIAG_BOTH, Connection::DIAG_BOTH, 0, 0, 0, 1, 0, 0 },</v>
      </c>
      <c r="BE24" s="60"/>
      <c r="BF24" s="60"/>
      <c r="BG24" s="60"/>
      <c r="BH24" s="60"/>
      <c r="BI24" s="60"/>
      <c r="BJ24" s="60"/>
      <c r="BK24" s="61"/>
      <c r="BM24" s="54" t="str">
        <f>IF($R24,"&amp;AllGlyphs[" &amp; E24 &amp; "]","")</f>
        <v>&amp;AllGlyphs[78]</v>
      </c>
      <c r="BN24" s="54" t="str">
        <f>IF($R24,"&amp;AllGlyphs[" &amp; G24 &amp; "]","")</f>
        <v>&amp;AllGlyphs[89]</v>
      </c>
      <c r="BO24" s="54" t="str">
        <f>IF($R24,"&amp;AllGlyphs[" &amp; I24 &amp; "]","")</f>
        <v>&amp;AllGlyphs[89]</v>
      </c>
      <c r="BP24" s="54" t="str">
        <f>IF($R24,"&amp;AllGlyphs[" &amp; K24 &amp; "]","")</f>
        <v>&amp;AllGlyphs[22]</v>
      </c>
      <c r="BQ24" s="54" t="str">
        <f>IF($R24,"&amp;AllGlyphs[" &amp; M24 &amp; "]","")</f>
        <v>&amp;AllGlyphs[78]</v>
      </c>
      <c r="BR24" s="54" t="str">
        <f>IF($R24,"&amp;AllGlyphs[" &amp; O24 &amp; "]","")</f>
        <v>&amp;AllGlyphs[66]</v>
      </c>
      <c r="BT24" s="58">
        <f>IF($R24,IF(AB24,1,0),"")</f>
        <v>0</v>
      </c>
      <c r="BU24" s="58">
        <f>IF($R24,IF(AC24,1,0),"")</f>
        <v>0</v>
      </c>
      <c r="BV24" s="58">
        <f>IF($R24,IF(AD24,1,0),"")</f>
        <v>0</v>
      </c>
      <c r="BW24" s="58">
        <f>IF($R24,IF(AE24,1,0),"")</f>
        <v>1</v>
      </c>
      <c r="BX24" s="58">
        <f>IF($R24,IF(AR24,1,0),"")</f>
        <v>0</v>
      </c>
      <c r="BY24" s="58">
        <f>IF($R24,IF(AS24,1,0),"")</f>
        <v>0</v>
      </c>
    </row>
    <row r="25" spans="1:77" x14ac:dyDescent="0.4">
      <c r="A25" s="7">
        <v>7</v>
      </c>
      <c r="B25" s="6">
        <f t="shared" si="0"/>
        <v>7</v>
      </c>
      <c r="C25" s="48" cm="1">
        <f t="array" ref="C25">IF($R25,INDEX($S:$S,MATCH(TRUE,EXACT(B25,$A:$A),0)),"")</f>
        <v>23</v>
      </c>
      <c r="D25" s="38" t="s">
        <v>17</v>
      </c>
      <c r="E25" s="48" cm="1">
        <f t="array" ref="E25">IF($R25,INDEX($S:$S,MATCH(TRUE,EXACT(D25,$A:$A),0)),"")</f>
        <v>75</v>
      </c>
      <c r="F25" s="38" t="s">
        <v>7</v>
      </c>
      <c r="G25" s="48" cm="1">
        <f t="array" ref="G25">IF($S25&lt;&gt;"",INDEX($S:$S,MATCH(TRUE,EXACT(F25,$A:$A),0)),"")</f>
        <v>73</v>
      </c>
      <c r="H25" s="38" t="s">
        <v>6</v>
      </c>
      <c r="I25" s="48" cm="1">
        <f t="array" ref="I25">IF($R25,INDEX($S:$S,MATCH(TRUE,EXACT(H25,$A:$A),0)),"")</f>
        <v>85</v>
      </c>
      <c r="J25" s="38">
        <v>8</v>
      </c>
      <c r="K25" s="52" cm="1">
        <f t="array" ref="K25">IF($R25,INDEX($S:$S,MATCH(TRUE,EXACT(J25,$A:$A),0)),"")</f>
        <v>24</v>
      </c>
      <c r="L25" s="38" t="str" cm="1">
        <f t="array" ref="L25">IF($R25,INDEX($T:$T,MATCH(TRUE,EXACT(H25,$D:$D),0)),"")</f>
        <v>,</v>
      </c>
      <c r="M25" s="48" cm="1">
        <f t="array" ref="M25">IF($R25,INDEX($S:$S,MATCH(TRUE,EXACT(L25,$A:$A),0)),"")</f>
        <v>12</v>
      </c>
      <c r="N25" s="38" t="str" cm="1">
        <f t="array" ref="N25">IF($R25,INDEX($T:$T,MATCH(TRUE,EXACT(J25,$D:$D),0)),"")</f>
        <v>j</v>
      </c>
      <c r="O25" s="52" cm="1">
        <f t="array" ref="O25">IF($R25,INDEX($S:$S,MATCH(TRUE,EXACT(N25,$A:$A),0)),"")</f>
        <v>74</v>
      </c>
      <c r="P25" s="23"/>
      <c r="Q25" s="33"/>
      <c r="R25" s="18" t="b">
        <f t="shared" si="1"/>
        <v>1</v>
      </c>
      <c r="S25" s="19">
        <f>IF(R25, MAX(S$2:S24)+1,"")</f>
        <v>23</v>
      </c>
      <c r="T25" s="23">
        <f t="shared" si="2"/>
        <v>7</v>
      </c>
      <c r="U25" s="8" t="str" cm="1">
        <f t="array" ref="U25">CharToUTF8(A25)</f>
        <v>\x37</v>
      </c>
      <c r="W25" s="18" t="str">
        <f>$AU$3</f>
        <v>DIAG_BOTH</v>
      </c>
      <c r="X25" s="24" t="str">
        <f t="shared" si="12"/>
        <v>ORTHO_BOTH</v>
      </c>
      <c r="Y25" s="24" t="str">
        <f>$AU$2</f>
        <v>EMPTY</v>
      </c>
      <c r="Z25" s="21" t="str">
        <f>$AU$3</f>
        <v>DIAG_BOTH</v>
      </c>
      <c r="AB25" s="31" t="b">
        <f t="shared" si="3"/>
        <v>0</v>
      </c>
      <c r="AC25" s="31" t="b">
        <f t="shared" si="4"/>
        <v>0</v>
      </c>
      <c r="AD25" t="b">
        <f t="shared" si="5"/>
        <v>0</v>
      </c>
      <c r="AE25" t="b">
        <f t="shared" si="6"/>
        <v>0</v>
      </c>
      <c r="AF25" t="b">
        <f>IF($R25,W25=VLOOKUP(Z25,$AU$2:$AZ$10,3,FALSE),"")</f>
        <v>1</v>
      </c>
      <c r="AG25" t="b">
        <f>IF($R25,X25=VLOOKUP(Y25,$AU$2:$AZ$10,3,FALSE),"")</f>
        <v>0</v>
      </c>
      <c r="AH25" t="b">
        <f>IF($R25,Y25=VLOOKUP(W25,$AU$2:$AZ$10,3,FALSE),"")</f>
        <v>0</v>
      </c>
      <c r="AI25" t="b">
        <f>IF($R25,Z25=VLOOKUP(X25,$AU$2:$AZ$10,3,FALSE),"")</f>
        <v>0</v>
      </c>
      <c r="AJ25" t="b">
        <f>IF($R25,W25=VLOOKUP(W25,$AU$2:$AZ$10,4,FALSE),"")</f>
        <v>1</v>
      </c>
      <c r="AK25" t="b">
        <f>IF($R25,X25=VLOOKUP(X25,$AU$2:$AZ$10,4,FALSE),"")</f>
        <v>1</v>
      </c>
      <c r="AL25" t="b">
        <f>IF($R25,Y25=VLOOKUP(Y25,$AU$2:$AZ$10,4,FALSE),"")</f>
        <v>1</v>
      </c>
      <c r="AM25" t="b">
        <f>IF($R25,Z25=VLOOKUP(Z25,$AU$2:$AZ$10,4,FALSE),"")</f>
        <v>1</v>
      </c>
      <c r="AN25" t="b">
        <f>IF($R25,W25=VLOOKUP(W25,$AU$2:$AZ$10,5,FALSE),"")</f>
        <v>1</v>
      </c>
      <c r="AO25" t="b">
        <f>IF($R25,X25=VLOOKUP(X25,$AU$2:$AZ$10,5,FALSE),"")</f>
        <v>1</v>
      </c>
      <c r="AP25" t="b">
        <f>IF($R25,Y25=VLOOKUP(Y25,$AU$2:$AZ$10,6,FALSE),"")</f>
        <v>1</v>
      </c>
      <c r="AQ25" t="b">
        <f>IF($R25,Z25=VLOOKUP(Z25,$AU$2:$AZ$10,6,FALSE),"")</f>
        <v>1</v>
      </c>
      <c r="AR25" t="b">
        <f t="shared" si="8"/>
        <v>0</v>
      </c>
      <c r="AS25" t="b">
        <f t="shared" si="9"/>
        <v>0</v>
      </c>
      <c r="BD25" s="59" t="str">
        <f t="shared" si="10"/>
        <v xml:space="preserve">    { wxString::FromUTF8("\x37"), &amp;AllGlyphs[75], &amp;AllGlyphs[73], &amp;AllGlyphs[85], &amp;AllGlyphs[24], &amp;AllGlyphs[12], &amp;AllGlyphs[74], Connection::DIAG_BOTH, Connection::ORTHO_BOTH, Connection::EMPTY, Connection::DIAG_BOTH, 0, 0, 0, 0, 0, 0 },</v>
      </c>
      <c r="BE25" s="60"/>
      <c r="BF25" s="60"/>
      <c r="BG25" s="60"/>
      <c r="BH25" s="60"/>
      <c r="BI25" s="60"/>
      <c r="BJ25" s="60"/>
      <c r="BK25" s="61"/>
      <c r="BM25" s="54" t="str">
        <f>IF($R25,"&amp;AllGlyphs[" &amp; E25 &amp; "]","")</f>
        <v>&amp;AllGlyphs[75]</v>
      </c>
      <c r="BN25" s="54" t="str">
        <f>IF($R25,"&amp;AllGlyphs[" &amp; G25 &amp; "]","")</f>
        <v>&amp;AllGlyphs[73]</v>
      </c>
      <c r="BO25" s="54" t="str">
        <f>IF($R25,"&amp;AllGlyphs[" &amp; I25 &amp; "]","")</f>
        <v>&amp;AllGlyphs[85]</v>
      </c>
      <c r="BP25" s="54" t="str">
        <f>IF($R25,"&amp;AllGlyphs[" &amp; K25 &amp; "]","")</f>
        <v>&amp;AllGlyphs[24]</v>
      </c>
      <c r="BQ25" s="54" t="str">
        <f>IF($R25,"&amp;AllGlyphs[" &amp; M25 &amp; "]","")</f>
        <v>&amp;AllGlyphs[12]</v>
      </c>
      <c r="BR25" s="54" t="str">
        <f>IF($R25,"&amp;AllGlyphs[" &amp; O25 &amp; "]","")</f>
        <v>&amp;AllGlyphs[74]</v>
      </c>
      <c r="BT25" s="58">
        <f>IF($R25,IF(AB25,1,0),"")</f>
        <v>0</v>
      </c>
      <c r="BU25" s="58">
        <f>IF($R25,IF(AC25,1,0),"")</f>
        <v>0</v>
      </c>
      <c r="BV25" s="58">
        <f>IF($R25,IF(AD25,1,0),"")</f>
        <v>0</v>
      </c>
      <c r="BW25" s="58">
        <f>IF($R25,IF(AE25,1,0),"")</f>
        <v>0</v>
      </c>
      <c r="BX25" s="58">
        <f>IF($R25,IF(AR25,1,0),"")</f>
        <v>0</v>
      </c>
      <c r="BY25" s="58">
        <f>IF($R25,IF(AS25,1,0),"")</f>
        <v>0</v>
      </c>
    </row>
    <row r="26" spans="1:77" ht="31.5" customHeight="1" x14ac:dyDescent="0.4">
      <c r="A26" s="7">
        <v>8</v>
      </c>
      <c r="B26" s="6">
        <f t="shared" si="0"/>
        <v>8</v>
      </c>
      <c r="C26" s="48" cm="1">
        <f t="array" ref="C26">IF($R26,INDEX($S:$S,MATCH(TRUE,EXACT(B26,$A:$A),0)),"")</f>
        <v>24</v>
      </c>
      <c r="D26" s="38" t="s">
        <v>64</v>
      </c>
      <c r="E26" s="48" cm="1">
        <f t="array" ref="E26">IF($R26,INDEX($S:$S,MATCH(TRUE,EXACT(D26,$A:$A),0)),"")</f>
        <v>12</v>
      </c>
      <c r="F26" s="38" t="s">
        <v>6</v>
      </c>
      <c r="G26" s="48" cm="1">
        <f t="array" ref="G26">IF($S26&lt;&gt;"",INDEX($S:$S,MATCH(TRUE,EXACT(F26,$A:$A),0)),"")</f>
        <v>85</v>
      </c>
      <c r="H26" s="38" t="s">
        <v>7</v>
      </c>
      <c r="I26" s="48" cm="1">
        <f t="array" ref="I26">IF($R26,INDEX($S:$S,MATCH(TRUE,EXACT(H26,$A:$A),0)),"")</f>
        <v>73</v>
      </c>
      <c r="J26" s="38">
        <v>7</v>
      </c>
      <c r="K26" s="52" cm="1">
        <f t="array" ref="K26">IF($R26,INDEX($S:$S,MATCH(TRUE,EXACT(J26,$A:$A),0)),"")</f>
        <v>23</v>
      </c>
      <c r="L26" s="38" t="str" cm="1">
        <f t="array" ref="L26">IF($R26,INDEX($T:$T,MATCH(TRUE,EXACT(H26,$D:$D),0)),"")</f>
        <v>k</v>
      </c>
      <c r="M26" s="48" cm="1">
        <f t="array" ref="M26">IF($R26,INDEX($S:$S,MATCH(TRUE,EXACT(L26,$A:$A),0)),"")</f>
        <v>75</v>
      </c>
      <c r="N26" s="38" t="str" cm="1">
        <f t="array" ref="N26">IF($R26,INDEX($T:$T,MATCH(TRUE,EXACT(J26,$D:$D),0)),"")</f>
        <v>m</v>
      </c>
      <c r="O26" s="52" cm="1">
        <f t="array" ref="O26">IF($R26,INDEX($S:$S,MATCH(TRUE,EXACT(N26,$A:$A),0)),"")</f>
        <v>77</v>
      </c>
      <c r="P26" s="23"/>
      <c r="Q26" s="33"/>
      <c r="R26" s="18" t="b">
        <f t="shared" si="1"/>
        <v>1</v>
      </c>
      <c r="S26" s="19">
        <f>IF(R26, MAX(S$2:S25)+1,"")</f>
        <v>24</v>
      </c>
      <c r="T26" s="23">
        <f t="shared" si="2"/>
        <v>8</v>
      </c>
      <c r="U26" s="8" t="str" cm="1">
        <f t="array" ref="U26">CharToUTF8(A26)</f>
        <v>\x38</v>
      </c>
      <c r="W26" s="18" t="str">
        <f>$AU$3</f>
        <v>DIAG_BOTH</v>
      </c>
      <c r="X26" s="24" t="str">
        <f t="shared" si="12"/>
        <v>ORTHO_BOTH</v>
      </c>
      <c r="Y26" s="24" t="str">
        <f>$AU$3</f>
        <v>DIAG_BOTH</v>
      </c>
      <c r="Z26" s="21" t="str">
        <f>$AU$2</f>
        <v>EMPTY</v>
      </c>
      <c r="AB26" s="31" t="b">
        <f t="shared" si="3"/>
        <v>0</v>
      </c>
      <c r="AC26" s="31" t="b">
        <f t="shared" si="4"/>
        <v>0</v>
      </c>
      <c r="AD26" t="b">
        <f t="shared" si="5"/>
        <v>0</v>
      </c>
      <c r="AE26" t="b">
        <f t="shared" si="6"/>
        <v>0</v>
      </c>
      <c r="AF26" t="b">
        <f>IF($R26,W26=VLOOKUP(Z26,$AU$2:$AZ$10,3,FALSE),"")</f>
        <v>0</v>
      </c>
      <c r="AG26" t="b">
        <f>IF($R26,X26=VLOOKUP(Y26,$AU$2:$AZ$10,3,FALSE),"")</f>
        <v>0</v>
      </c>
      <c r="AH26" t="b">
        <f>IF($R26,Y26=VLOOKUP(W26,$AU$2:$AZ$10,3,FALSE),"")</f>
        <v>1</v>
      </c>
      <c r="AI26" t="b">
        <f>IF($R26,Z26=VLOOKUP(X26,$AU$2:$AZ$10,3,FALSE),"")</f>
        <v>0</v>
      </c>
      <c r="AJ26" t="b">
        <f>IF($R26,W26=VLOOKUP(W26,$AU$2:$AZ$10,4,FALSE),"")</f>
        <v>1</v>
      </c>
      <c r="AK26" t="b">
        <f>IF($R26,X26=VLOOKUP(X26,$AU$2:$AZ$10,4,FALSE),"")</f>
        <v>1</v>
      </c>
      <c r="AL26" t="b">
        <f>IF($R26,Y26=VLOOKUP(Y26,$AU$2:$AZ$10,4,FALSE),"")</f>
        <v>1</v>
      </c>
      <c r="AM26" t="b">
        <f>IF($R26,Z26=VLOOKUP(Z26,$AU$2:$AZ$10,4,FALSE),"")</f>
        <v>1</v>
      </c>
      <c r="AN26" t="b">
        <f>IF($R26,W26=VLOOKUP(W26,$AU$2:$AZ$10,5,FALSE),"")</f>
        <v>1</v>
      </c>
      <c r="AO26" t="b">
        <f>IF($R26,X26=VLOOKUP(X26,$AU$2:$AZ$10,5,FALSE),"")</f>
        <v>1</v>
      </c>
      <c r="AP26" t="b">
        <f>IF($R26,Y26=VLOOKUP(Y26,$AU$2:$AZ$10,6,FALSE),"")</f>
        <v>1</v>
      </c>
      <c r="AQ26" t="b">
        <f>IF($R26,Z26=VLOOKUP(Z26,$AU$2:$AZ$10,6,FALSE),"")</f>
        <v>1</v>
      </c>
      <c r="AR26" t="b">
        <f t="shared" si="8"/>
        <v>0</v>
      </c>
      <c r="AS26" t="b">
        <f t="shared" si="9"/>
        <v>0</v>
      </c>
      <c r="BD26" s="59" t="str">
        <f t="shared" si="10"/>
        <v xml:space="preserve">    { wxString::FromUTF8("\x38"), &amp;AllGlyphs[12], &amp;AllGlyphs[85], &amp;AllGlyphs[73], &amp;AllGlyphs[23], &amp;AllGlyphs[75], &amp;AllGlyphs[77], Connection::DIAG_BOTH, Connection::ORTHO_BOTH, Connection::DIAG_BOTH, Connection::EMPTY, 0, 0, 0, 0, 0, 0 },</v>
      </c>
      <c r="BE26" s="60"/>
      <c r="BF26" s="60"/>
      <c r="BG26" s="60"/>
      <c r="BH26" s="60"/>
      <c r="BI26" s="60"/>
      <c r="BJ26" s="60"/>
      <c r="BK26" s="61"/>
      <c r="BM26" s="54" t="str">
        <f>IF($R26,"&amp;AllGlyphs[" &amp; E26 &amp; "]","")</f>
        <v>&amp;AllGlyphs[12]</v>
      </c>
      <c r="BN26" s="54" t="str">
        <f>IF($R26,"&amp;AllGlyphs[" &amp; G26 &amp; "]","")</f>
        <v>&amp;AllGlyphs[85]</v>
      </c>
      <c r="BO26" s="54" t="str">
        <f>IF($R26,"&amp;AllGlyphs[" &amp; I26 &amp; "]","")</f>
        <v>&amp;AllGlyphs[73]</v>
      </c>
      <c r="BP26" s="54" t="str">
        <f>IF($R26,"&amp;AllGlyphs[" &amp; K26 &amp; "]","")</f>
        <v>&amp;AllGlyphs[23]</v>
      </c>
      <c r="BQ26" s="54" t="str">
        <f>IF($R26,"&amp;AllGlyphs[" &amp; M26 &amp; "]","")</f>
        <v>&amp;AllGlyphs[75]</v>
      </c>
      <c r="BR26" s="54" t="str">
        <f>IF($R26,"&amp;AllGlyphs[" &amp; O26 &amp; "]","")</f>
        <v>&amp;AllGlyphs[77]</v>
      </c>
      <c r="BT26" s="58">
        <f>IF($R26,IF(AB26,1,0),"")</f>
        <v>0</v>
      </c>
      <c r="BU26" s="58">
        <f>IF($R26,IF(AC26,1,0),"")</f>
        <v>0</v>
      </c>
      <c r="BV26" s="58">
        <f>IF($R26,IF(AD26,1,0),"")</f>
        <v>0</v>
      </c>
      <c r="BW26" s="58">
        <f>IF($R26,IF(AE26,1,0),"")</f>
        <v>0</v>
      </c>
      <c r="BX26" s="58">
        <f>IF($R26,IF(AR26,1,0),"")</f>
        <v>0</v>
      </c>
      <c r="BY26" s="58">
        <f>IF($R26,IF(AS26,1,0),"")</f>
        <v>0</v>
      </c>
    </row>
    <row r="27" spans="1:77" x14ac:dyDescent="0.4">
      <c r="A27" s="7">
        <v>9</v>
      </c>
      <c r="B27" s="6">
        <f t="shared" si="0"/>
        <v>9</v>
      </c>
      <c r="C27" s="48" cm="1">
        <f t="array" ref="C27">IF($R27,INDEX($S:$S,MATCH(TRUE,EXACT(B27,$A:$A),0)),"")</f>
        <v>25</v>
      </c>
      <c r="D27" s="38" t="s">
        <v>66</v>
      </c>
      <c r="E27" s="48" cm="1">
        <f t="array" ref="E27">IF($R27,INDEX($S:$S,MATCH(TRUE,EXACT(D27,$A:$A),0)),"")</f>
        <v>27</v>
      </c>
      <c r="F27" s="38" t="s">
        <v>9</v>
      </c>
      <c r="G27" s="48" cm="1">
        <f t="array" ref="G27">IF($S27&lt;&gt;"",INDEX($S:$S,MATCH(TRUE,EXACT(F27,$A:$A),0)),"")</f>
        <v>80</v>
      </c>
      <c r="H27" s="38" t="s">
        <v>8</v>
      </c>
      <c r="I27" s="48" cm="1">
        <f t="array" ref="I27">IF($R27,INDEX($S:$S,MATCH(TRUE,EXACT(H27,$A:$A),0)),"")</f>
        <v>79</v>
      </c>
      <c r="J27" s="38">
        <v>0</v>
      </c>
      <c r="K27" s="52" cm="1">
        <f t="array" ref="K27">IF($R27,INDEX($S:$S,MATCH(TRUE,EXACT(J27,$A:$A),0)),"")</f>
        <v>16</v>
      </c>
      <c r="L27" s="38" t="str" cm="1">
        <f t="array" ref="L27">IF($R27,INDEX($T:$T,MATCH(TRUE,EXACT(H27,$D:$D),0)),"")</f>
        <v>/</v>
      </c>
      <c r="M27" s="48" cm="1">
        <f t="array" ref="M27">IF($R27,INDEX($S:$S,MATCH(TRUE,EXACT(L27,$A:$A),0)),"")</f>
        <v>15</v>
      </c>
      <c r="N27" s="38" t="str" cm="1">
        <f t="array" ref="N27">IF($R27,INDEX($T:$T,MATCH(TRUE,EXACT(J27,$D:$D),0)),"")</f>
        <v>l</v>
      </c>
      <c r="O27" s="52" cm="1">
        <f t="array" ref="O27">IF($R27,INDEX($S:$S,MATCH(TRUE,EXACT(N27,$A:$A),0)),"")</f>
        <v>76</v>
      </c>
      <c r="P27" s="23"/>
      <c r="Q27" s="33"/>
      <c r="R27" s="18" t="b">
        <f t="shared" si="1"/>
        <v>1</v>
      </c>
      <c r="S27" s="19">
        <f>IF(R27, MAX(S$2:S26)+1,"")</f>
        <v>25</v>
      </c>
      <c r="T27" s="23">
        <f t="shared" si="2"/>
        <v>9</v>
      </c>
      <c r="U27" s="8" t="str" cm="1">
        <f t="array" ref="U27">CharToUTF8(A27)</f>
        <v>\x39</v>
      </c>
      <c r="W27" s="18" t="str">
        <f>$AU$2</f>
        <v>EMPTY</v>
      </c>
      <c r="X27" s="24" t="str">
        <f t="shared" si="12"/>
        <v>ORTHO_BOTH</v>
      </c>
      <c r="Y27" s="24" t="str">
        <f>$AU$2</f>
        <v>EMPTY</v>
      </c>
      <c r="Z27" s="21" t="str">
        <f>$AU$3</f>
        <v>DIAG_BOTH</v>
      </c>
      <c r="AB27" s="31" t="b">
        <f t="shared" si="3"/>
        <v>0</v>
      </c>
      <c r="AC27" s="31" t="b">
        <f t="shared" si="4"/>
        <v>0</v>
      </c>
      <c r="AD27" t="b">
        <f t="shared" si="5"/>
        <v>0</v>
      </c>
      <c r="AE27" t="b">
        <f t="shared" si="6"/>
        <v>0</v>
      </c>
      <c r="AF27" t="b">
        <f>IF($R27,W27=VLOOKUP(Z27,$AU$2:$AZ$10,3,FALSE),"")</f>
        <v>0</v>
      </c>
      <c r="AG27" t="b">
        <f>IF($R27,X27=VLOOKUP(Y27,$AU$2:$AZ$10,3,FALSE),"")</f>
        <v>0</v>
      </c>
      <c r="AH27" t="b">
        <f>IF($R27,Y27=VLOOKUP(W27,$AU$2:$AZ$10,3,FALSE),"")</f>
        <v>1</v>
      </c>
      <c r="AI27" t="b">
        <f>IF($R27,Z27=VLOOKUP(X27,$AU$2:$AZ$10,3,FALSE),"")</f>
        <v>0</v>
      </c>
      <c r="AJ27" t="b">
        <f>IF($R27,W27=VLOOKUP(W27,$AU$2:$AZ$10,4,FALSE),"")</f>
        <v>1</v>
      </c>
      <c r="AK27" t="b">
        <f>IF($R27,X27=VLOOKUP(X27,$AU$2:$AZ$10,4,FALSE),"")</f>
        <v>1</v>
      </c>
      <c r="AL27" t="b">
        <f>IF($R27,Y27=VLOOKUP(Y27,$AU$2:$AZ$10,4,FALSE),"")</f>
        <v>1</v>
      </c>
      <c r="AM27" t="b">
        <f>IF($R27,Z27=VLOOKUP(Z27,$AU$2:$AZ$10,4,FALSE),"")</f>
        <v>1</v>
      </c>
      <c r="AN27" t="b">
        <f>IF($R27,W27=VLOOKUP(W27,$AU$2:$AZ$10,5,FALSE),"")</f>
        <v>1</v>
      </c>
      <c r="AO27" t="b">
        <f>IF($R27,X27=VLOOKUP(X27,$AU$2:$AZ$10,5,FALSE),"")</f>
        <v>1</v>
      </c>
      <c r="AP27" t="b">
        <f>IF($R27,Y27=VLOOKUP(Y27,$AU$2:$AZ$10,6,FALSE),"")</f>
        <v>1</v>
      </c>
      <c r="AQ27" t="b">
        <f>IF($R27,Z27=VLOOKUP(Z27,$AU$2:$AZ$10,6,FALSE),"")</f>
        <v>1</v>
      </c>
      <c r="AR27" t="b">
        <f t="shared" si="8"/>
        <v>0</v>
      </c>
      <c r="AS27" t="b">
        <f t="shared" si="9"/>
        <v>0</v>
      </c>
      <c r="BD27" s="59" t="str">
        <f t="shared" si="10"/>
        <v xml:space="preserve">    { wxString::FromUTF8("\x39"), &amp;AllGlyphs[27], &amp;AllGlyphs[80], &amp;AllGlyphs[79], &amp;AllGlyphs[16], &amp;AllGlyphs[15], &amp;AllGlyphs[76], Connection::EMPTY, Connection::ORTHO_BOTH, Connection::EMPTY, Connection::DIAG_BOTH, 0, 0, 0, 0, 0, 0 },</v>
      </c>
      <c r="BE27" s="60"/>
      <c r="BF27" s="60"/>
      <c r="BG27" s="60"/>
      <c r="BH27" s="60"/>
      <c r="BI27" s="60"/>
      <c r="BJ27" s="60"/>
      <c r="BK27" s="61"/>
      <c r="BM27" s="54" t="str">
        <f>IF($R27,"&amp;AllGlyphs[" &amp; E27 &amp; "]","")</f>
        <v>&amp;AllGlyphs[27]</v>
      </c>
      <c r="BN27" s="54" t="str">
        <f>IF($R27,"&amp;AllGlyphs[" &amp; G27 &amp; "]","")</f>
        <v>&amp;AllGlyphs[80]</v>
      </c>
      <c r="BO27" s="54" t="str">
        <f>IF($R27,"&amp;AllGlyphs[" &amp; I27 &amp; "]","")</f>
        <v>&amp;AllGlyphs[79]</v>
      </c>
      <c r="BP27" s="54" t="str">
        <f>IF($R27,"&amp;AllGlyphs[" &amp; K27 &amp; "]","")</f>
        <v>&amp;AllGlyphs[16]</v>
      </c>
      <c r="BQ27" s="54" t="str">
        <f>IF($R27,"&amp;AllGlyphs[" &amp; M27 &amp; "]","")</f>
        <v>&amp;AllGlyphs[15]</v>
      </c>
      <c r="BR27" s="54" t="str">
        <f>IF($R27,"&amp;AllGlyphs[" &amp; O27 &amp; "]","")</f>
        <v>&amp;AllGlyphs[76]</v>
      </c>
      <c r="BT27" s="58">
        <f>IF($R27,IF(AB27,1,0),"")</f>
        <v>0</v>
      </c>
      <c r="BU27" s="58">
        <f>IF($R27,IF(AC27,1,0),"")</f>
        <v>0</v>
      </c>
      <c r="BV27" s="58">
        <f>IF($R27,IF(AD27,1,0),"")</f>
        <v>0</v>
      </c>
      <c r="BW27" s="58">
        <f>IF($R27,IF(AE27,1,0),"")</f>
        <v>0</v>
      </c>
      <c r="BX27" s="58">
        <f>IF($R27,IF(AR27,1,0),"")</f>
        <v>0</v>
      </c>
      <c r="BY27" s="58">
        <f>IF($R27,IF(AS27,1,0),"")</f>
        <v>0</v>
      </c>
    </row>
    <row r="28" spans="1:77" x14ac:dyDescent="0.4">
      <c r="A28" s="7" t="s">
        <v>67</v>
      </c>
      <c r="B28" s="9" t="str">
        <f t="shared" si="0"/>
        <v>:</v>
      </c>
      <c r="C28" s="48" cm="1">
        <f t="array" ref="C28">IF($R28,INDEX($S:$S,MATCH(TRUE,EXACT(B28,$A:$A),0)),"")</f>
        <v>26</v>
      </c>
      <c r="D28" s="39" t="s">
        <v>167</v>
      </c>
      <c r="E28" s="48" cm="1">
        <f t="array" ref="E28">IF($R28,INDEX($S:$S,MATCH(TRUE,EXACT(D28,$A:$A),0)),"")</f>
        <v>31</v>
      </c>
      <c r="F28" s="39" t="s">
        <v>166</v>
      </c>
      <c r="G28" s="48" cm="1">
        <f t="array" ref="G28">IF($S28&lt;&gt;"",INDEX($S:$S,MATCH(TRUE,EXACT(F28,$A:$A),0)),"")</f>
        <v>30</v>
      </c>
      <c r="H28" s="39" t="s">
        <v>167</v>
      </c>
      <c r="I28" s="48" cm="1">
        <f t="array" ref="I28">IF($R28,INDEX($S:$S,MATCH(TRUE,EXACT(H28,$A:$A),0)),"")</f>
        <v>31</v>
      </c>
      <c r="J28" s="39" t="s">
        <v>44</v>
      </c>
      <c r="K28" s="52" cm="1">
        <f t="array" ref="K28">IF($R28,INDEX($S:$S,MATCH(TRUE,EXACT(J28,$A:$A),0)),"")</f>
        <v>44</v>
      </c>
      <c r="L28" s="38" t="str" cm="1">
        <f t="array" ref="L28">IF($R28,INDEX($T:$T,MATCH(TRUE,EXACT(H28,$D:$D),0)),"")</f>
        <v>:</v>
      </c>
      <c r="M28" s="48" cm="1">
        <f t="array" ref="M28">IF($R28,INDEX($S:$S,MATCH(TRUE,EXACT(L28,$A:$A),0)),"")</f>
        <v>26</v>
      </c>
      <c r="N28" s="38" t="str" cm="1">
        <f t="array" ref="N28">IF($R28,INDEX($T:$T,MATCH(TRUE,EXACT(J28,$D:$D),0)),"")</f>
        <v>&gt;</v>
      </c>
      <c r="O28" s="52" cm="1">
        <f t="array" ref="O28">IF($R28,INDEX($S:$S,MATCH(TRUE,EXACT(N28,$A:$A),0)),"")</f>
        <v>30</v>
      </c>
      <c r="P28" s="46"/>
      <c r="Q28" s="34"/>
      <c r="R28" s="18" t="b">
        <f t="shared" si="1"/>
        <v>1</v>
      </c>
      <c r="S28" s="19">
        <f>IF(R28, MAX(S$2:S27)+1,"")</f>
        <v>26</v>
      </c>
      <c r="T28" s="23" t="str">
        <f t="shared" si="2"/>
        <v>:</v>
      </c>
      <c r="U28" s="8" t="str" cm="1">
        <f t="array" ref="U28">CharToUTF8(A28)</f>
        <v>\x3A</v>
      </c>
      <c r="W28" s="18" t="str">
        <f>$AU$2</f>
        <v>EMPTY</v>
      </c>
      <c r="X28" s="24" t="str">
        <f t="shared" si="12"/>
        <v>ORTHO_BOTH</v>
      </c>
      <c r="Y28" s="24" t="str">
        <f>$AU$4</f>
        <v>ORTHO_BOTH</v>
      </c>
      <c r="Z28" s="21" t="str">
        <f>$AU$2</f>
        <v>EMPTY</v>
      </c>
      <c r="AB28" s="31" t="b">
        <f t="shared" si="3"/>
        <v>0</v>
      </c>
      <c r="AC28" s="31" t="b">
        <f t="shared" si="4"/>
        <v>0</v>
      </c>
      <c r="AD28" t="b">
        <f t="shared" si="5"/>
        <v>0</v>
      </c>
      <c r="AE28" t="b">
        <f t="shared" si="6"/>
        <v>0</v>
      </c>
      <c r="AF28" t="b">
        <f>IF($R28,W28=VLOOKUP(Z28,$AU$2:$AZ$10,3,FALSE),"")</f>
        <v>1</v>
      </c>
      <c r="AG28" t="b">
        <f>IF($R28,X28=VLOOKUP(Y28,$AU$2:$AZ$10,3,FALSE),"")</f>
        <v>1</v>
      </c>
      <c r="AH28" t="b">
        <f>IF($R28,Y28=VLOOKUP(W28,$AU$2:$AZ$10,3,FALSE),"")</f>
        <v>0</v>
      </c>
      <c r="AI28" t="b">
        <f>IF($R28,Z28=VLOOKUP(X28,$AU$2:$AZ$10,3,FALSE),"")</f>
        <v>0</v>
      </c>
      <c r="AJ28" t="b">
        <f>IF($R28,W28=VLOOKUP(W28,$AU$2:$AZ$10,4,FALSE),"")</f>
        <v>1</v>
      </c>
      <c r="AK28" t="b">
        <f>IF($R28,X28=VLOOKUP(X28,$AU$2:$AZ$10,4,FALSE),"")</f>
        <v>1</v>
      </c>
      <c r="AL28" t="b">
        <f>IF($R28,Y28=VLOOKUP(Y28,$AU$2:$AZ$10,4,FALSE),"")</f>
        <v>1</v>
      </c>
      <c r="AM28" t="b">
        <f>IF($R28,Z28=VLOOKUP(Z28,$AU$2:$AZ$10,4,FALSE),"")</f>
        <v>1</v>
      </c>
      <c r="AN28" t="b">
        <f>IF($R28,W28=VLOOKUP(W28,$AU$2:$AZ$10,5,FALSE),"")</f>
        <v>1</v>
      </c>
      <c r="AO28" t="b">
        <f>IF($R28,X28=VLOOKUP(X28,$AU$2:$AZ$10,5,FALSE),"")</f>
        <v>1</v>
      </c>
      <c r="AP28" t="b">
        <f>IF($R28,Y28=VLOOKUP(Y28,$AU$2:$AZ$10,6,FALSE),"")</f>
        <v>1</v>
      </c>
      <c r="AQ28" t="b">
        <f>IF($R28,Z28=VLOOKUP(Z28,$AU$2:$AZ$10,6,FALSE),"")</f>
        <v>1</v>
      </c>
      <c r="AR28" t="b">
        <f t="shared" si="8"/>
        <v>1</v>
      </c>
      <c r="AS28" t="b">
        <f t="shared" si="9"/>
        <v>0</v>
      </c>
      <c r="BD28" s="59" t="str">
        <f t="shared" si="10"/>
        <v xml:space="preserve">    { wxString::FromUTF8("\x3A"), &amp;AllGlyphs[31], &amp;AllGlyphs[30], &amp;AllGlyphs[31], &amp;AllGlyphs[44], &amp;AllGlyphs[26], &amp;AllGlyphs[30], Connection::EMPTY, Connection::ORTHO_BOTH, Connection::ORTHO_BOTH, Connection::EMPTY, 0, 0, 0, 0, 1, 0 },</v>
      </c>
      <c r="BE28" s="60"/>
      <c r="BF28" s="60"/>
      <c r="BG28" s="60"/>
      <c r="BH28" s="60"/>
      <c r="BI28" s="60"/>
      <c r="BJ28" s="60"/>
      <c r="BK28" s="61"/>
      <c r="BM28" s="54" t="str">
        <f>IF($R28,"&amp;AllGlyphs[" &amp; E28 &amp; "]","")</f>
        <v>&amp;AllGlyphs[31]</v>
      </c>
      <c r="BN28" s="54" t="str">
        <f>IF($R28,"&amp;AllGlyphs[" &amp; G28 &amp; "]","")</f>
        <v>&amp;AllGlyphs[30]</v>
      </c>
      <c r="BO28" s="54" t="str">
        <f>IF($R28,"&amp;AllGlyphs[" &amp; I28 &amp; "]","")</f>
        <v>&amp;AllGlyphs[31]</v>
      </c>
      <c r="BP28" s="54" t="str">
        <f>IF($R28,"&amp;AllGlyphs[" &amp; K28 &amp; "]","")</f>
        <v>&amp;AllGlyphs[44]</v>
      </c>
      <c r="BQ28" s="54" t="str">
        <f>IF($R28,"&amp;AllGlyphs[" &amp; M28 &amp; "]","")</f>
        <v>&amp;AllGlyphs[26]</v>
      </c>
      <c r="BR28" s="54" t="str">
        <f>IF($R28,"&amp;AllGlyphs[" &amp; O28 &amp; "]","")</f>
        <v>&amp;AllGlyphs[30]</v>
      </c>
      <c r="BT28" s="58">
        <f>IF($R28,IF(AB28,1,0),"")</f>
        <v>0</v>
      </c>
      <c r="BU28" s="58">
        <f>IF($R28,IF(AC28,1,0),"")</f>
        <v>0</v>
      </c>
      <c r="BV28" s="58">
        <f>IF($R28,IF(AD28,1,0),"")</f>
        <v>0</v>
      </c>
      <c r="BW28" s="58">
        <f>IF($R28,IF(AE28,1,0),"")</f>
        <v>0</v>
      </c>
      <c r="BX28" s="58">
        <f>IF($R28,IF(AR28,1,0),"")</f>
        <v>1</v>
      </c>
      <c r="BY28" s="58">
        <f>IF($R28,IF(AS28,1,0),"")</f>
        <v>0</v>
      </c>
    </row>
    <row r="29" spans="1:77" x14ac:dyDescent="0.4">
      <c r="A29" s="7" t="s">
        <v>66</v>
      </c>
      <c r="B29" s="6" t="str">
        <f t="shared" si="0"/>
        <v>;</v>
      </c>
      <c r="C29" s="48" cm="1">
        <f t="array" ref="C29">IF($R29,INDEX($S:$S,MATCH(TRUE,EXACT(B29,$A:$A),0)),"")</f>
        <v>27</v>
      </c>
      <c r="D29" s="38" t="s">
        <v>9</v>
      </c>
      <c r="E29" s="48" cm="1">
        <f t="array" ref="E29">IF($R29,INDEX($S:$S,MATCH(TRUE,EXACT(D29,$A:$A),0)),"")</f>
        <v>80</v>
      </c>
      <c r="F29" s="38" t="s">
        <v>73</v>
      </c>
      <c r="G29" s="48" cm="1">
        <f t="array" ref="G29">IF($S29&lt;&gt;"",INDEX($S:$S,MATCH(TRUE,EXACT(F29,$A:$A),0)),"")</f>
        <v>14</v>
      </c>
      <c r="H29" s="38" t="s">
        <v>65</v>
      </c>
      <c r="I29" s="48" cm="1">
        <f t="array" ref="I29">IF($R29,INDEX($S:$S,MATCH(TRUE,EXACT(H29,$A:$A),0)),"")</f>
        <v>15</v>
      </c>
      <c r="J29" s="38" t="s">
        <v>18</v>
      </c>
      <c r="K29" s="52" cm="1">
        <f t="array" ref="K29">IF($R29,INDEX($S:$S,MATCH(TRUE,EXACT(J29,$A:$A),0)),"")</f>
        <v>76</v>
      </c>
      <c r="L29" s="38" cm="1">
        <f t="array" ref="L29">IF($R29,INDEX($T:$T,MATCH(TRUE,EXACT(H29,$D:$D),0)),"")</f>
        <v>0</v>
      </c>
      <c r="M29" s="48" cm="1">
        <f t="array" ref="M29">IF($R29,INDEX($S:$S,MATCH(TRUE,EXACT(L29,$A:$A),0)),"")</f>
        <v>16</v>
      </c>
      <c r="N29" s="38" t="str" cm="1">
        <f t="array" ref="N29">IF($R29,INDEX($T:$T,MATCH(TRUE,EXACT(J29,$D:$D),0)),"")</f>
        <v>o</v>
      </c>
      <c r="O29" s="52" cm="1">
        <f t="array" ref="O29">IF($R29,INDEX($S:$S,MATCH(TRUE,EXACT(N29,$A:$A),0)),"")</f>
        <v>79</v>
      </c>
      <c r="P29" s="23"/>
      <c r="Q29" s="33"/>
      <c r="R29" s="18" t="b">
        <f t="shared" si="1"/>
        <v>1</v>
      </c>
      <c r="S29" s="19">
        <f>IF(R29, MAX(S$2:S28)+1,"")</f>
        <v>27</v>
      </c>
      <c r="T29" s="23" t="str">
        <f t="shared" si="2"/>
        <v>;</v>
      </c>
      <c r="U29" s="8" t="str" cm="1">
        <f t="array" ref="U29">CharToUTF8(A29)</f>
        <v>\x3B</v>
      </c>
      <c r="W29" s="18" t="str">
        <f>$AU$2</f>
        <v>EMPTY</v>
      </c>
      <c r="X29" s="24" t="str">
        <f>$AU$3</f>
        <v>DIAG_BOTH</v>
      </c>
      <c r="Y29" s="24" t="str">
        <f>$AU$4</f>
        <v>ORTHO_BOTH</v>
      </c>
      <c r="Z29" s="21" t="str">
        <f>$AU$2</f>
        <v>EMPTY</v>
      </c>
      <c r="AB29" s="31" t="b">
        <f t="shared" si="3"/>
        <v>0</v>
      </c>
      <c r="AC29" s="31" t="b">
        <f t="shared" si="4"/>
        <v>0</v>
      </c>
      <c r="AD29" t="b">
        <f t="shared" si="5"/>
        <v>0</v>
      </c>
      <c r="AE29" t="b">
        <f t="shared" si="6"/>
        <v>0</v>
      </c>
      <c r="AF29" t="b">
        <f>IF($R29,W29=VLOOKUP(Z29,$AU$2:$AZ$10,3,FALSE),"")</f>
        <v>1</v>
      </c>
      <c r="AG29" t="b">
        <f>IF($R29,X29=VLOOKUP(Y29,$AU$2:$AZ$10,3,FALSE),"")</f>
        <v>0</v>
      </c>
      <c r="AH29" t="b">
        <f>IF($R29,Y29=VLOOKUP(W29,$AU$2:$AZ$10,3,FALSE),"")</f>
        <v>0</v>
      </c>
      <c r="AI29" t="b">
        <f>IF($R29,Z29=VLOOKUP(X29,$AU$2:$AZ$10,3,FALSE),"")</f>
        <v>0</v>
      </c>
      <c r="AJ29" t="b">
        <f>IF($R29,W29=VLOOKUP(W29,$AU$2:$AZ$10,4,FALSE),"")</f>
        <v>1</v>
      </c>
      <c r="AK29" t="b">
        <f>IF($R29,X29=VLOOKUP(X29,$AU$2:$AZ$10,4,FALSE),"")</f>
        <v>1</v>
      </c>
      <c r="AL29" t="b">
        <f>IF($R29,Y29=VLOOKUP(Y29,$AU$2:$AZ$10,4,FALSE),"")</f>
        <v>1</v>
      </c>
      <c r="AM29" t="b">
        <f>IF($R29,Z29=VLOOKUP(Z29,$AU$2:$AZ$10,4,FALSE),"")</f>
        <v>1</v>
      </c>
      <c r="AN29" t="b">
        <f>IF($R29,W29=VLOOKUP(W29,$AU$2:$AZ$10,5,FALSE),"")</f>
        <v>1</v>
      </c>
      <c r="AO29" t="b">
        <f>IF($R29,X29=VLOOKUP(X29,$AU$2:$AZ$10,5,FALSE),"")</f>
        <v>1</v>
      </c>
      <c r="AP29" t="b">
        <f>IF($R29,Y29=VLOOKUP(Y29,$AU$2:$AZ$10,6,FALSE),"")</f>
        <v>1</v>
      </c>
      <c r="AQ29" t="b">
        <f>IF($R29,Z29=VLOOKUP(Z29,$AU$2:$AZ$10,6,FALSE),"")</f>
        <v>1</v>
      </c>
      <c r="AR29" t="b">
        <f t="shared" si="8"/>
        <v>0</v>
      </c>
      <c r="AS29" t="b">
        <f t="shared" si="9"/>
        <v>0</v>
      </c>
      <c r="BD29" s="59" t="str">
        <f t="shared" si="10"/>
        <v xml:space="preserve">    { wxString::FromUTF8("\x3B"), &amp;AllGlyphs[80], &amp;AllGlyphs[14], &amp;AllGlyphs[15], &amp;AllGlyphs[76], &amp;AllGlyphs[16], &amp;AllGlyphs[79], Connection::EMPTY, Connection::DIAG_BOTH, Connection::ORTHO_BOTH, Connection::EMPTY, 0, 0, 0, 0, 0, 0 },</v>
      </c>
      <c r="BE29" s="60"/>
      <c r="BF29" s="60"/>
      <c r="BG29" s="60"/>
      <c r="BH29" s="60"/>
      <c r="BI29" s="60"/>
      <c r="BJ29" s="60"/>
      <c r="BK29" s="61"/>
      <c r="BM29" s="54" t="str">
        <f>IF($R29,"&amp;AllGlyphs[" &amp; E29 &amp; "]","")</f>
        <v>&amp;AllGlyphs[80]</v>
      </c>
      <c r="BN29" s="54" t="str">
        <f>IF($R29,"&amp;AllGlyphs[" &amp; G29 &amp; "]","")</f>
        <v>&amp;AllGlyphs[14]</v>
      </c>
      <c r="BO29" s="54" t="str">
        <f>IF($R29,"&amp;AllGlyphs[" &amp; I29 &amp; "]","")</f>
        <v>&amp;AllGlyphs[15]</v>
      </c>
      <c r="BP29" s="54" t="str">
        <f>IF($R29,"&amp;AllGlyphs[" &amp; K29 &amp; "]","")</f>
        <v>&amp;AllGlyphs[76]</v>
      </c>
      <c r="BQ29" s="54" t="str">
        <f>IF($R29,"&amp;AllGlyphs[" &amp; M29 &amp; "]","")</f>
        <v>&amp;AllGlyphs[16]</v>
      </c>
      <c r="BR29" s="54" t="str">
        <f>IF($R29,"&amp;AllGlyphs[" &amp; O29 &amp; "]","")</f>
        <v>&amp;AllGlyphs[79]</v>
      </c>
      <c r="BT29" s="58">
        <f>IF($R29,IF(AB29,1,0),"")</f>
        <v>0</v>
      </c>
      <c r="BU29" s="58">
        <f>IF($R29,IF(AC29,1,0),"")</f>
        <v>0</v>
      </c>
      <c r="BV29" s="58">
        <f>IF($R29,IF(AD29,1,0),"")</f>
        <v>0</v>
      </c>
      <c r="BW29" s="58">
        <f>IF($R29,IF(AE29,1,0),"")</f>
        <v>0</v>
      </c>
      <c r="BX29" s="58">
        <f>IF($R29,IF(AR29,1,0),"")</f>
        <v>0</v>
      </c>
      <c r="BY29" s="58">
        <f>IF($R29,IF(AS29,1,0),"")</f>
        <v>0</v>
      </c>
    </row>
    <row r="30" spans="1:77" x14ac:dyDescent="0.4">
      <c r="A30" s="7" t="s">
        <v>165</v>
      </c>
      <c r="B30" s="6" t="str">
        <f t="shared" si="0"/>
        <v>&lt;</v>
      </c>
      <c r="C30" s="48" cm="1">
        <f t="array" ref="C30">IF($R30,INDEX($S:$S,MATCH(TRUE,EXACT(B30,$A:$A),0)),"")</f>
        <v>28</v>
      </c>
      <c r="D30" s="38" t="s">
        <v>32</v>
      </c>
      <c r="E30" s="48" cm="1">
        <f t="array" ref="E30">IF($R30,INDEX($S:$S,MATCH(TRUE,EXACT(D30,$A:$A),0)),"")</f>
        <v>53</v>
      </c>
      <c r="F30" s="38" t="s">
        <v>42</v>
      </c>
      <c r="G30" s="48" cm="1">
        <f t="array" ref="G30">IF($S30&lt;&gt;"",INDEX($S:$S,MATCH(TRUE,EXACT(F30,$A:$A),0)),"")</f>
        <v>42</v>
      </c>
      <c r="H30" s="38" t="s">
        <v>43</v>
      </c>
      <c r="I30" s="48" cm="1">
        <f t="array" ref="I30">IF($R30,INDEX($S:$S,MATCH(TRUE,EXACT(H30,$A:$A),0)),"")</f>
        <v>43</v>
      </c>
      <c r="J30" s="38" t="s">
        <v>51</v>
      </c>
      <c r="K30" s="52" cm="1">
        <f t="array" ref="K30">IF($R30,INDEX($S:$S,MATCH(TRUE,EXACT(J30,$A:$A),0)),"")</f>
        <v>45</v>
      </c>
      <c r="L30" s="38" t="str" cm="1">
        <f t="array" ref="L30">IF($R30,INDEX($T:$T,MATCH(TRUE,EXACT(H30,$D:$D),0)),"")</f>
        <v>&amp;</v>
      </c>
      <c r="M30" s="48" cm="1">
        <f t="array" ref="M30">IF($R30,INDEX($S:$S,MATCH(TRUE,EXACT(L30,$A:$A),0)),"")</f>
        <v>6</v>
      </c>
      <c r="N30" s="38" t="str" cm="1">
        <f t="array" ref="N30">IF($R30,INDEX($T:$T,MATCH(TRUE,EXACT(J30,$D:$D),0)),"")</f>
        <v>I</v>
      </c>
      <c r="O30" s="52" cm="1">
        <f t="array" ref="O30">IF($R30,INDEX($S:$S,MATCH(TRUE,EXACT(N30,$A:$A),0)),"")</f>
        <v>41</v>
      </c>
      <c r="P30" s="23"/>
      <c r="Q30" s="33"/>
      <c r="R30" s="18" t="b">
        <f t="shared" si="1"/>
        <v>1</v>
      </c>
      <c r="S30" s="19">
        <f>IF(R30, MAX(S$2:S29)+1,"")</f>
        <v>28</v>
      </c>
      <c r="T30" s="23" t="str">
        <f t="shared" si="2"/>
        <v>&lt;</v>
      </c>
      <c r="U30" s="8" t="str" cm="1">
        <f t="array" ref="U30">CharToUTF8(A30)</f>
        <v>\x3C</v>
      </c>
      <c r="W30" s="18" t="str">
        <f t="shared" ref="W30:W38" si="13">$AU$4</f>
        <v>ORTHO_BOTH</v>
      </c>
      <c r="X30" s="24" t="str">
        <f>$AU$2</f>
        <v>EMPTY</v>
      </c>
      <c r="Y30" s="24" t="str">
        <f>$AU$4</f>
        <v>ORTHO_BOTH</v>
      </c>
      <c r="Z30" s="21" t="str">
        <f>$AU$3</f>
        <v>DIAG_BOTH</v>
      </c>
      <c r="AB30" s="31" t="b">
        <f t="shared" si="3"/>
        <v>0</v>
      </c>
      <c r="AC30" s="31" t="b">
        <f t="shared" si="4"/>
        <v>0</v>
      </c>
      <c r="AD30" t="b">
        <f t="shared" si="5"/>
        <v>0</v>
      </c>
      <c r="AE30" t="b">
        <f t="shared" si="6"/>
        <v>0</v>
      </c>
      <c r="AF30" t="b">
        <f>IF($R30,W30=VLOOKUP(Z30,$AU$2:$AZ$10,3,FALSE),"")</f>
        <v>0</v>
      </c>
      <c r="AG30" t="b">
        <f>IF($R30,X30=VLOOKUP(Y30,$AU$2:$AZ$10,3,FALSE),"")</f>
        <v>0</v>
      </c>
      <c r="AH30" t="b">
        <f>IF($R30,Y30=VLOOKUP(W30,$AU$2:$AZ$10,3,FALSE),"")</f>
        <v>1</v>
      </c>
      <c r="AI30" t="b">
        <f>IF($R30,Z30=VLOOKUP(X30,$AU$2:$AZ$10,3,FALSE),"")</f>
        <v>0</v>
      </c>
      <c r="AJ30" t="b">
        <f>IF($R30,W30=VLOOKUP(W30,$AU$2:$AZ$10,4,FALSE),"")</f>
        <v>1</v>
      </c>
      <c r="AK30" t="b">
        <f>IF($R30,X30=VLOOKUP(X30,$AU$2:$AZ$10,4,FALSE),"")</f>
        <v>1</v>
      </c>
      <c r="AL30" t="b">
        <f>IF($R30,Y30=VLOOKUP(Y30,$AU$2:$AZ$10,4,FALSE),"")</f>
        <v>1</v>
      </c>
      <c r="AM30" t="b">
        <f>IF($R30,Z30=VLOOKUP(Z30,$AU$2:$AZ$10,4,FALSE),"")</f>
        <v>1</v>
      </c>
      <c r="AN30" t="b">
        <f>IF($R30,W30=VLOOKUP(W30,$AU$2:$AZ$10,5,FALSE),"")</f>
        <v>1</v>
      </c>
      <c r="AO30" t="b">
        <f>IF($R30,X30=VLOOKUP(X30,$AU$2:$AZ$10,5,FALSE),"")</f>
        <v>1</v>
      </c>
      <c r="AP30" t="b">
        <f>IF($R30,Y30=VLOOKUP(Y30,$AU$2:$AZ$10,6,FALSE),"")</f>
        <v>1</v>
      </c>
      <c r="AQ30" t="b">
        <f>IF($R30,Z30=VLOOKUP(Z30,$AU$2:$AZ$10,6,FALSE),"")</f>
        <v>1</v>
      </c>
      <c r="AR30" t="b">
        <f t="shared" si="8"/>
        <v>0</v>
      </c>
      <c r="AS30" t="b">
        <f t="shared" si="9"/>
        <v>0</v>
      </c>
      <c r="BD30" s="59" t="str">
        <f t="shared" si="10"/>
        <v xml:space="preserve">    { wxString::FromUTF8("\x3C"), &amp;AllGlyphs[53], &amp;AllGlyphs[42], &amp;AllGlyphs[43], &amp;AllGlyphs[45], &amp;AllGlyphs[6], &amp;AllGlyphs[41], Connection::ORTHO_BOTH, Connection::EMPTY, Connection::ORTHO_BOTH, Connection::DIAG_BOTH, 0, 0, 0, 0, 0, 0 },</v>
      </c>
      <c r="BE30" s="60"/>
      <c r="BF30" s="60"/>
      <c r="BG30" s="60"/>
      <c r="BH30" s="60"/>
      <c r="BI30" s="60"/>
      <c r="BJ30" s="60"/>
      <c r="BK30" s="61"/>
      <c r="BM30" s="54" t="str">
        <f>IF($R30,"&amp;AllGlyphs[" &amp; E30 &amp; "]","")</f>
        <v>&amp;AllGlyphs[53]</v>
      </c>
      <c r="BN30" s="54" t="str">
        <f>IF($R30,"&amp;AllGlyphs[" &amp; G30 &amp; "]","")</f>
        <v>&amp;AllGlyphs[42]</v>
      </c>
      <c r="BO30" s="54" t="str">
        <f>IF($R30,"&amp;AllGlyphs[" &amp; I30 &amp; "]","")</f>
        <v>&amp;AllGlyphs[43]</v>
      </c>
      <c r="BP30" s="54" t="str">
        <f>IF($R30,"&amp;AllGlyphs[" &amp; K30 &amp; "]","")</f>
        <v>&amp;AllGlyphs[45]</v>
      </c>
      <c r="BQ30" s="54" t="str">
        <f>IF($R30,"&amp;AllGlyphs[" &amp; M30 &amp; "]","")</f>
        <v>&amp;AllGlyphs[6]</v>
      </c>
      <c r="BR30" s="54" t="str">
        <f>IF($R30,"&amp;AllGlyphs[" &amp; O30 &amp; "]","")</f>
        <v>&amp;AllGlyphs[41]</v>
      </c>
      <c r="BT30" s="58">
        <f>IF($R30,IF(AB30,1,0),"")</f>
        <v>0</v>
      </c>
      <c r="BU30" s="58">
        <f>IF($R30,IF(AC30,1,0),"")</f>
        <v>0</v>
      </c>
      <c r="BV30" s="58">
        <f>IF($R30,IF(AD30,1,0),"")</f>
        <v>0</v>
      </c>
      <c r="BW30" s="58">
        <f>IF($R30,IF(AE30,1,0),"")</f>
        <v>0</v>
      </c>
      <c r="BX30" s="58">
        <f>IF($R30,IF(AR30,1,0),"")</f>
        <v>0</v>
      </c>
      <c r="BY30" s="58">
        <f>IF($R30,IF(AS30,1,0),"")</f>
        <v>0</v>
      </c>
    </row>
    <row r="31" spans="1:77" ht="31.5" customHeight="1" x14ac:dyDescent="0.4">
      <c r="A31" s="7" t="s">
        <v>79</v>
      </c>
      <c r="B31" s="6" t="str">
        <f t="shared" si="0"/>
        <v>=</v>
      </c>
      <c r="C31" s="48" cm="1">
        <f t="array" ref="C31">IF($R31,INDEX($S:$S,MATCH(TRUE,EXACT(B31,$A:$A),0)),"")</f>
        <v>29</v>
      </c>
      <c r="D31" s="38" t="s">
        <v>71</v>
      </c>
      <c r="E31" s="48" cm="1">
        <f t="array" ref="E31">IF($R31,INDEX($S:$S,MATCH(TRUE,EXACT(D31,$A:$A),0)),"")</f>
        <v>59</v>
      </c>
      <c r="F31" s="38" t="s">
        <v>74</v>
      </c>
      <c r="G31" s="48" cm="1">
        <f t="array" ref="G31">IF($S31&lt;&gt;"",INDEX($S:$S,MATCH(TRUE,EXACT(F31,$A:$A),0)),"")</f>
        <v>13</v>
      </c>
      <c r="H31" s="38" t="s">
        <v>74</v>
      </c>
      <c r="I31" s="48" cm="1">
        <f t="array" ref="I31">IF($R31,INDEX($S:$S,MATCH(TRUE,EXACT(H31,$A:$A),0)),"")</f>
        <v>13</v>
      </c>
      <c r="J31" s="38" t="s">
        <v>79</v>
      </c>
      <c r="K31" s="52" cm="1">
        <f t="array" ref="K31">IF($R31,INDEX($S:$S,MATCH(TRUE,EXACT(J31,$A:$A),0)),"")</f>
        <v>29</v>
      </c>
      <c r="L31" s="38" t="str" cm="1">
        <f t="array" ref="L31">IF($R31,INDEX($T:$T,MATCH(TRUE,EXACT(H31,$D:$D),0)),"")</f>
        <v>[</v>
      </c>
      <c r="M31" s="48" cm="1">
        <f t="array" ref="M31">IF($R31,INDEX($S:$S,MATCH(TRUE,EXACT(L31,$A:$A),0)),"")</f>
        <v>59</v>
      </c>
      <c r="N31" s="38" t="str" cm="1">
        <f t="array" ref="N31">IF($R31,INDEX($T:$T,MATCH(TRUE,EXACT(J31,$D:$D),0)),"")</f>
        <v>]</v>
      </c>
      <c r="O31" s="52" cm="1">
        <f t="array" ref="O31">IF($R31,INDEX($S:$S,MATCH(TRUE,EXACT(N31,$A:$A),0)),"")</f>
        <v>61</v>
      </c>
      <c r="P31" s="23"/>
      <c r="Q31" s="33"/>
      <c r="R31" s="18" t="b">
        <f t="shared" si="1"/>
        <v>1</v>
      </c>
      <c r="S31" s="19">
        <f>IF(R31, MAX(S$2:S30)+1,"")</f>
        <v>29</v>
      </c>
      <c r="T31" s="23" t="str">
        <f t="shared" si="2"/>
        <v>=</v>
      </c>
      <c r="U31" s="8" t="str" cm="1">
        <f t="array" ref="U31">CharToUTF8(A31)</f>
        <v>\x3D</v>
      </c>
      <c r="W31" s="18" t="str">
        <f t="shared" si="13"/>
        <v>ORTHO_BOTH</v>
      </c>
      <c r="X31" s="24" t="str">
        <f>$AU$3</f>
        <v>DIAG_BOTH</v>
      </c>
      <c r="Y31" s="24" t="str">
        <f>$AU$2</f>
        <v>EMPTY</v>
      </c>
      <c r="Z31" s="21" t="str">
        <f>$AU$2</f>
        <v>EMPTY</v>
      </c>
      <c r="AB31" s="31" t="b">
        <f t="shared" si="3"/>
        <v>0</v>
      </c>
      <c r="AC31" s="31" t="b">
        <f t="shared" si="4"/>
        <v>0</v>
      </c>
      <c r="AD31" t="b">
        <f t="shared" si="5"/>
        <v>0</v>
      </c>
      <c r="AE31" t="b">
        <f t="shared" si="6"/>
        <v>1</v>
      </c>
      <c r="AF31" t="b">
        <f>IF($R31,W31=VLOOKUP(Z31,$AU$2:$AZ$10,3,FALSE),"")</f>
        <v>0</v>
      </c>
      <c r="AG31" t="b">
        <f>IF($R31,X31=VLOOKUP(Y31,$AU$2:$AZ$10,3,FALSE),"")</f>
        <v>0</v>
      </c>
      <c r="AH31" t="b">
        <f>IF($R31,Y31=VLOOKUP(W31,$AU$2:$AZ$10,3,FALSE),"")</f>
        <v>0</v>
      </c>
      <c r="AI31" t="b">
        <f>IF($R31,Z31=VLOOKUP(X31,$AU$2:$AZ$10,3,FALSE),"")</f>
        <v>0</v>
      </c>
      <c r="AJ31" t="b">
        <f>IF($R31,W31=VLOOKUP(W31,$AU$2:$AZ$10,4,FALSE),"")</f>
        <v>1</v>
      </c>
      <c r="AK31" t="b">
        <f>IF($R31,X31=VLOOKUP(X31,$AU$2:$AZ$10,4,FALSE),"")</f>
        <v>1</v>
      </c>
      <c r="AL31" t="b">
        <f>IF($R31,Y31=VLOOKUP(Y31,$AU$2:$AZ$10,4,FALSE),"")</f>
        <v>1</v>
      </c>
      <c r="AM31" t="b">
        <f>IF($R31,Z31=VLOOKUP(Z31,$AU$2:$AZ$10,4,FALSE),"")</f>
        <v>1</v>
      </c>
      <c r="AN31" t="b">
        <f>IF($R31,W31=VLOOKUP(W31,$AU$2:$AZ$10,5,FALSE),"")</f>
        <v>1</v>
      </c>
      <c r="AO31" t="b">
        <f>IF($R31,X31=VLOOKUP(X31,$AU$2:$AZ$10,5,FALSE),"")</f>
        <v>1</v>
      </c>
      <c r="AP31" t="b">
        <f>IF($R31,Y31=VLOOKUP(Y31,$AU$2:$AZ$10,6,FALSE),"")</f>
        <v>1</v>
      </c>
      <c r="AQ31" t="b">
        <f>IF($R31,Z31=VLOOKUP(Z31,$AU$2:$AZ$10,6,FALSE),"")</f>
        <v>1</v>
      </c>
      <c r="AR31" t="b">
        <f t="shared" si="8"/>
        <v>0</v>
      </c>
      <c r="AS31" t="b">
        <f t="shared" si="9"/>
        <v>0</v>
      </c>
      <c r="BD31" s="59" t="str">
        <f t="shared" si="10"/>
        <v xml:space="preserve">    { wxString::FromUTF8("\x3D"), &amp;AllGlyphs[59], &amp;AllGlyphs[13], &amp;AllGlyphs[13], &amp;AllGlyphs[29], &amp;AllGlyphs[59], &amp;AllGlyphs[61], Connection::ORTHO_BOTH, Connection::DIAG_BOTH, Connection::EMPTY, Connection::EMPTY, 0, 0, 0, 1, 0, 0 },</v>
      </c>
      <c r="BE31" s="60"/>
      <c r="BF31" s="60"/>
      <c r="BG31" s="60"/>
      <c r="BH31" s="60"/>
      <c r="BI31" s="60"/>
      <c r="BJ31" s="60"/>
      <c r="BK31" s="61"/>
      <c r="BM31" s="54" t="str">
        <f>IF($R31,"&amp;AllGlyphs[" &amp; E31 &amp; "]","")</f>
        <v>&amp;AllGlyphs[59]</v>
      </c>
      <c r="BN31" s="54" t="str">
        <f>IF($R31,"&amp;AllGlyphs[" &amp; G31 &amp; "]","")</f>
        <v>&amp;AllGlyphs[13]</v>
      </c>
      <c r="BO31" s="54" t="str">
        <f>IF($R31,"&amp;AllGlyphs[" &amp; I31 &amp; "]","")</f>
        <v>&amp;AllGlyphs[13]</v>
      </c>
      <c r="BP31" s="54" t="str">
        <f>IF($R31,"&amp;AllGlyphs[" &amp; K31 &amp; "]","")</f>
        <v>&amp;AllGlyphs[29]</v>
      </c>
      <c r="BQ31" s="54" t="str">
        <f>IF($R31,"&amp;AllGlyphs[" &amp; M31 &amp; "]","")</f>
        <v>&amp;AllGlyphs[59]</v>
      </c>
      <c r="BR31" s="54" t="str">
        <f>IF($R31,"&amp;AllGlyphs[" &amp; O31 &amp; "]","")</f>
        <v>&amp;AllGlyphs[61]</v>
      </c>
      <c r="BT31" s="58">
        <f>IF($R31,IF(AB31,1,0),"")</f>
        <v>0</v>
      </c>
      <c r="BU31" s="58">
        <f>IF($R31,IF(AC31,1,0),"")</f>
        <v>0</v>
      </c>
      <c r="BV31" s="58">
        <f>IF($R31,IF(AD31,1,0),"")</f>
        <v>0</v>
      </c>
      <c r="BW31" s="58">
        <f>IF($R31,IF(AE31,1,0),"")</f>
        <v>1</v>
      </c>
      <c r="BX31" s="58">
        <f>IF($R31,IF(AR31,1,0),"")</f>
        <v>0</v>
      </c>
      <c r="BY31" s="58">
        <f>IF($R31,IF(AS31,1,0),"")</f>
        <v>0</v>
      </c>
    </row>
    <row r="32" spans="1:77" x14ac:dyDescent="0.4">
      <c r="A32" s="7" t="s">
        <v>166</v>
      </c>
      <c r="B32" s="6" t="str">
        <f t="shared" si="0"/>
        <v>&gt;</v>
      </c>
      <c r="C32" s="48" cm="1">
        <f t="array" ref="C32">IF($R32,INDEX($S:$S,MATCH(TRUE,EXACT(B32,$A:$A),0)),"")</f>
        <v>30</v>
      </c>
      <c r="D32" s="38" t="s">
        <v>44</v>
      </c>
      <c r="E32" s="48" cm="1">
        <f t="array" ref="E32">IF($R32,INDEX($S:$S,MATCH(TRUE,EXACT(D32,$A:$A),0)),"")</f>
        <v>44</v>
      </c>
      <c r="F32" s="39" t="s">
        <v>67</v>
      </c>
      <c r="G32" s="48" cm="1">
        <f t="array" ref="G32">IF($S32&lt;&gt;"",INDEX($S:$S,MATCH(TRUE,EXACT(F32,$A:$A),0)),"")</f>
        <v>26</v>
      </c>
      <c r="H32" s="38" t="s">
        <v>44</v>
      </c>
      <c r="I32" s="48" cm="1">
        <f t="array" ref="I32">IF($R32,INDEX($S:$S,MATCH(TRUE,EXACT(H32,$A:$A),0)),"")</f>
        <v>44</v>
      </c>
      <c r="J32" s="38" t="s">
        <v>167</v>
      </c>
      <c r="K32" s="52" cm="1">
        <f t="array" ref="K32">IF($R32,INDEX($S:$S,MATCH(TRUE,EXACT(J32,$A:$A),0)),"")</f>
        <v>31</v>
      </c>
      <c r="L32" s="38" t="str" cm="1">
        <f t="array" ref="L32">IF($R32,INDEX($T:$T,MATCH(TRUE,EXACT(H32,$D:$D),0)),"")</f>
        <v>&gt;</v>
      </c>
      <c r="M32" s="48" cm="1">
        <f t="array" ref="M32">IF($R32,INDEX($S:$S,MATCH(TRUE,EXACT(L32,$A:$A),0)),"")</f>
        <v>30</v>
      </c>
      <c r="N32" s="38" t="str" cm="1">
        <f t="array" ref="N32">IF($R32,INDEX($T:$T,MATCH(TRUE,EXACT(J32,$D:$D),0)),"")</f>
        <v>:</v>
      </c>
      <c r="O32" s="52" cm="1">
        <f t="array" ref="O32">IF($R32,INDEX($S:$S,MATCH(TRUE,EXACT(N32,$A:$A),0)),"")</f>
        <v>26</v>
      </c>
      <c r="P32" s="23"/>
      <c r="Q32" s="33"/>
      <c r="R32" s="18" t="b">
        <f t="shared" si="1"/>
        <v>1</v>
      </c>
      <c r="S32" s="19">
        <f>IF(R32, MAX(S$2:S31)+1,"")</f>
        <v>30</v>
      </c>
      <c r="T32" s="23" t="str">
        <f t="shared" si="2"/>
        <v>&gt;</v>
      </c>
      <c r="U32" s="8" t="str" cm="1">
        <f t="array" ref="U32">CharToUTF8(A32)</f>
        <v>\x3E</v>
      </c>
      <c r="W32" s="18" t="str">
        <f t="shared" si="13"/>
        <v>ORTHO_BOTH</v>
      </c>
      <c r="X32" s="24" t="str">
        <f>$AU$2</f>
        <v>EMPTY</v>
      </c>
      <c r="Y32" s="24" t="str">
        <f>$AU$2</f>
        <v>EMPTY</v>
      </c>
      <c r="Z32" s="21" t="str">
        <f>$AU$4</f>
        <v>ORTHO_BOTH</v>
      </c>
      <c r="AB32" s="31" t="b">
        <f t="shared" si="3"/>
        <v>0</v>
      </c>
      <c r="AC32" s="31" t="b">
        <f t="shared" si="4"/>
        <v>0</v>
      </c>
      <c r="AD32" t="b">
        <f t="shared" si="5"/>
        <v>0</v>
      </c>
      <c r="AE32" t="b">
        <f t="shared" si="6"/>
        <v>0</v>
      </c>
      <c r="AF32" t="b">
        <f>IF($R32,W32=VLOOKUP(Z32,$AU$2:$AZ$10,3,FALSE),"")</f>
        <v>1</v>
      </c>
      <c r="AG32" t="b">
        <f>IF($R32,X32=VLOOKUP(Y32,$AU$2:$AZ$10,3,FALSE),"")</f>
        <v>1</v>
      </c>
      <c r="AH32" t="b">
        <f>IF($R32,Y32=VLOOKUP(W32,$AU$2:$AZ$10,3,FALSE),"")</f>
        <v>0</v>
      </c>
      <c r="AI32" t="b">
        <f>IF($R32,Z32=VLOOKUP(X32,$AU$2:$AZ$10,3,FALSE),"")</f>
        <v>0</v>
      </c>
      <c r="AJ32" t="b">
        <f>IF($R32,W32=VLOOKUP(W32,$AU$2:$AZ$10,4,FALSE),"")</f>
        <v>1</v>
      </c>
      <c r="AK32" t="b">
        <f>IF($R32,X32=VLOOKUP(X32,$AU$2:$AZ$10,4,FALSE),"")</f>
        <v>1</v>
      </c>
      <c r="AL32" t="b">
        <f>IF($R32,Y32=VLOOKUP(Y32,$AU$2:$AZ$10,4,FALSE),"")</f>
        <v>1</v>
      </c>
      <c r="AM32" t="b">
        <f>IF($R32,Z32=VLOOKUP(Z32,$AU$2:$AZ$10,4,FALSE),"")</f>
        <v>1</v>
      </c>
      <c r="AN32" t="b">
        <f>IF($R32,W32=VLOOKUP(W32,$AU$2:$AZ$10,5,FALSE),"")</f>
        <v>1</v>
      </c>
      <c r="AO32" t="b">
        <f>IF($R32,X32=VLOOKUP(X32,$AU$2:$AZ$10,5,FALSE),"")</f>
        <v>1</v>
      </c>
      <c r="AP32" t="b">
        <f>IF($R32,Y32=VLOOKUP(Y32,$AU$2:$AZ$10,6,FALSE),"")</f>
        <v>1</v>
      </c>
      <c r="AQ32" t="b">
        <f>IF($R32,Z32=VLOOKUP(Z32,$AU$2:$AZ$10,6,FALSE),"")</f>
        <v>1</v>
      </c>
      <c r="AR32" t="b">
        <f t="shared" si="8"/>
        <v>1</v>
      </c>
      <c r="AS32" t="b">
        <f t="shared" si="9"/>
        <v>0</v>
      </c>
      <c r="BD32" s="59" t="str">
        <f t="shared" si="10"/>
        <v xml:space="preserve">    { wxString::FromUTF8("\x3E"), &amp;AllGlyphs[44], &amp;AllGlyphs[26], &amp;AllGlyphs[44], &amp;AllGlyphs[31], &amp;AllGlyphs[30], &amp;AllGlyphs[26], Connection::ORTHO_BOTH, Connection::EMPTY, Connection::EMPTY, Connection::ORTHO_BOTH, 0, 0, 0, 0, 1, 0 },</v>
      </c>
      <c r="BE32" s="60"/>
      <c r="BF32" s="60"/>
      <c r="BG32" s="60"/>
      <c r="BH32" s="60"/>
      <c r="BI32" s="60"/>
      <c r="BJ32" s="60"/>
      <c r="BK32" s="61"/>
      <c r="BM32" s="54" t="str">
        <f>IF($R32,"&amp;AllGlyphs[" &amp; E32 &amp; "]","")</f>
        <v>&amp;AllGlyphs[44]</v>
      </c>
      <c r="BN32" s="54" t="str">
        <f>IF($R32,"&amp;AllGlyphs[" &amp; G32 &amp; "]","")</f>
        <v>&amp;AllGlyphs[26]</v>
      </c>
      <c r="BO32" s="54" t="str">
        <f>IF($R32,"&amp;AllGlyphs[" &amp; I32 &amp; "]","")</f>
        <v>&amp;AllGlyphs[44]</v>
      </c>
      <c r="BP32" s="54" t="str">
        <f>IF($R32,"&amp;AllGlyphs[" &amp; K32 &amp; "]","")</f>
        <v>&amp;AllGlyphs[31]</v>
      </c>
      <c r="BQ32" s="54" t="str">
        <f>IF($R32,"&amp;AllGlyphs[" &amp; M32 &amp; "]","")</f>
        <v>&amp;AllGlyphs[30]</v>
      </c>
      <c r="BR32" s="54" t="str">
        <f>IF($R32,"&amp;AllGlyphs[" &amp; O32 &amp; "]","")</f>
        <v>&amp;AllGlyphs[26]</v>
      </c>
      <c r="BT32" s="58">
        <f>IF($R32,IF(AB32,1,0),"")</f>
        <v>0</v>
      </c>
      <c r="BU32" s="58">
        <f>IF($R32,IF(AC32,1,0),"")</f>
        <v>0</v>
      </c>
      <c r="BV32" s="58">
        <f>IF($R32,IF(AD32,1,0),"")</f>
        <v>0</v>
      </c>
      <c r="BW32" s="58">
        <f>IF($R32,IF(AE32,1,0),"")</f>
        <v>0</v>
      </c>
      <c r="BX32" s="58">
        <f>IF($R32,IF(AR32,1,0),"")</f>
        <v>1</v>
      </c>
      <c r="BY32" s="58">
        <f>IF($R32,IF(AS32,1,0),"")</f>
        <v>0</v>
      </c>
    </row>
    <row r="33" spans="1:77" x14ac:dyDescent="0.4">
      <c r="A33" s="7" t="s">
        <v>167</v>
      </c>
      <c r="B33" s="9" t="str">
        <f t="shared" si="0"/>
        <v>?</v>
      </c>
      <c r="C33" s="48" cm="1">
        <f t="array" ref="C33">IF($R33,INDEX($S:$S,MATCH(TRUE,EXACT(B33,$A:$A),0)),"")</f>
        <v>31</v>
      </c>
      <c r="D33" s="39" t="s">
        <v>166</v>
      </c>
      <c r="E33" s="48" cm="1">
        <f t="array" ref="E33">IF($R33,INDEX($S:$S,MATCH(TRUE,EXACT(D33,$A:$A),0)),"")</f>
        <v>30</v>
      </c>
      <c r="F33" s="38" t="s">
        <v>44</v>
      </c>
      <c r="G33" s="48" cm="1">
        <f t="array" ref="G33">IF($S33&lt;&gt;"",INDEX($S:$S,MATCH(TRUE,EXACT(F33,$A:$A),0)),"")</f>
        <v>44</v>
      </c>
      <c r="H33" s="39" t="s">
        <v>67</v>
      </c>
      <c r="I33" s="48" cm="1">
        <f t="array" ref="I33">IF($R33,INDEX($S:$S,MATCH(TRUE,EXACT(H33,$A:$A),0)),"")</f>
        <v>26</v>
      </c>
      <c r="J33" s="39" t="s">
        <v>166</v>
      </c>
      <c r="K33" s="52" cm="1">
        <f t="array" ref="K33">IF($R33,INDEX($S:$S,MATCH(TRUE,EXACT(J33,$A:$A),0)),"")</f>
        <v>30</v>
      </c>
      <c r="L33" s="38" t="str" cm="1">
        <f t="array" ref="L33">IF($R33,INDEX($T:$T,MATCH(TRUE,EXACT(H33,$D:$D),0)),"")</f>
        <v>L</v>
      </c>
      <c r="M33" s="48" cm="1">
        <f t="array" ref="M33">IF($R33,INDEX($S:$S,MATCH(TRUE,EXACT(L33,$A:$A),0)),"")</f>
        <v>44</v>
      </c>
      <c r="N33" s="38" t="str" cm="1">
        <f t="array" ref="N33">IF($R33,INDEX($T:$T,MATCH(TRUE,EXACT(J33,$D:$D),0)),"")</f>
        <v>?</v>
      </c>
      <c r="O33" s="52" cm="1">
        <f t="array" ref="O33">IF($R33,INDEX($S:$S,MATCH(TRUE,EXACT(N33,$A:$A),0)),"")</f>
        <v>31</v>
      </c>
      <c r="P33" s="46"/>
      <c r="Q33" s="34"/>
      <c r="R33" s="18" t="b">
        <f t="shared" si="1"/>
        <v>1</v>
      </c>
      <c r="S33" s="19">
        <f>IF(R33, MAX(S$2:S32)+1,"")</f>
        <v>31</v>
      </c>
      <c r="T33" s="23" t="str">
        <f t="shared" si="2"/>
        <v>?</v>
      </c>
      <c r="U33" s="8" t="str" cm="1">
        <f t="array" ref="U33">CharToUTF8(A33)</f>
        <v>\x3F</v>
      </c>
      <c r="W33" s="18" t="str">
        <f t="shared" si="13"/>
        <v>ORTHO_BOTH</v>
      </c>
      <c r="X33" s="24" t="str">
        <f>$AU$2</f>
        <v>EMPTY</v>
      </c>
      <c r="Y33" s="24" t="str">
        <f>$AU$4</f>
        <v>ORTHO_BOTH</v>
      </c>
      <c r="Z33" s="21" t="str">
        <f>$AU$2</f>
        <v>EMPTY</v>
      </c>
      <c r="AB33" s="31" t="b">
        <f t="shared" si="3"/>
        <v>0</v>
      </c>
      <c r="AC33" s="31" t="b">
        <f t="shared" si="4"/>
        <v>0</v>
      </c>
      <c r="AD33" t="b">
        <f t="shared" si="5"/>
        <v>0</v>
      </c>
      <c r="AE33" t="b">
        <f t="shared" si="6"/>
        <v>0</v>
      </c>
      <c r="AF33" t="b">
        <f>IF($R33,W33=VLOOKUP(Z33,$AU$2:$AZ$10,3,FALSE),"")</f>
        <v>0</v>
      </c>
      <c r="AG33" t="b">
        <f>IF($R33,X33=VLOOKUP(Y33,$AU$2:$AZ$10,3,FALSE),"")</f>
        <v>0</v>
      </c>
      <c r="AH33" t="b">
        <f>IF($R33,Y33=VLOOKUP(W33,$AU$2:$AZ$10,3,FALSE),"")</f>
        <v>1</v>
      </c>
      <c r="AI33" t="b">
        <f>IF($R33,Z33=VLOOKUP(X33,$AU$2:$AZ$10,3,FALSE),"")</f>
        <v>1</v>
      </c>
      <c r="AJ33" t="b">
        <f>IF($R33,W33=VLOOKUP(W33,$AU$2:$AZ$10,4,FALSE),"")</f>
        <v>1</v>
      </c>
      <c r="AK33" t="b">
        <f>IF($R33,X33=VLOOKUP(X33,$AU$2:$AZ$10,4,FALSE),"")</f>
        <v>1</v>
      </c>
      <c r="AL33" t="b">
        <f>IF($R33,Y33=VLOOKUP(Y33,$AU$2:$AZ$10,4,FALSE),"")</f>
        <v>1</v>
      </c>
      <c r="AM33" t="b">
        <f>IF($R33,Z33=VLOOKUP(Z33,$AU$2:$AZ$10,4,FALSE),"")</f>
        <v>1</v>
      </c>
      <c r="AN33" t="b">
        <f>IF($R33,W33=VLOOKUP(W33,$AU$2:$AZ$10,5,FALSE),"")</f>
        <v>1</v>
      </c>
      <c r="AO33" t="b">
        <f>IF($R33,X33=VLOOKUP(X33,$AU$2:$AZ$10,5,FALSE),"")</f>
        <v>1</v>
      </c>
      <c r="AP33" t="b">
        <f>IF($R33,Y33=VLOOKUP(Y33,$AU$2:$AZ$10,6,FALSE),"")</f>
        <v>1</v>
      </c>
      <c r="AQ33" t="b">
        <f>IF($R33,Z33=VLOOKUP(Z33,$AU$2:$AZ$10,6,FALSE),"")</f>
        <v>1</v>
      </c>
      <c r="AR33" t="b">
        <f t="shared" si="8"/>
        <v>0</v>
      </c>
      <c r="AS33" t="b">
        <f t="shared" si="9"/>
        <v>1</v>
      </c>
      <c r="BD33" s="59" t="str">
        <f t="shared" si="10"/>
        <v xml:space="preserve">    { wxString::FromUTF8("\x3F"), &amp;AllGlyphs[30], &amp;AllGlyphs[44], &amp;AllGlyphs[26], &amp;AllGlyphs[30], &amp;AllGlyphs[44], &amp;AllGlyphs[31], Connection::ORTHO_BOTH, Connection::EMPTY, Connection::ORTHO_BOTH, Connection::EMPTY, 0, 0, 0, 0, 0, 1 },</v>
      </c>
      <c r="BE33" s="60"/>
      <c r="BF33" s="60"/>
      <c r="BG33" s="60"/>
      <c r="BH33" s="60"/>
      <c r="BI33" s="60"/>
      <c r="BJ33" s="60"/>
      <c r="BK33" s="61"/>
      <c r="BM33" s="54" t="str">
        <f>IF($R33,"&amp;AllGlyphs[" &amp; E33 &amp; "]","")</f>
        <v>&amp;AllGlyphs[30]</v>
      </c>
      <c r="BN33" s="54" t="str">
        <f>IF($R33,"&amp;AllGlyphs[" &amp; G33 &amp; "]","")</f>
        <v>&amp;AllGlyphs[44]</v>
      </c>
      <c r="BO33" s="54" t="str">
        <f>IF($R33,"&amp;AllGlyphs[" &amp; I33 &amp; "]","")</f>
        <v>&amp;AllGlyphs[26]</v>
      </c>
      <c r="BP33" s="54" t="str">
        <f>IF($R33,"&amp;AllGlyphs[" &amp; K33 &amp; "]","")</f>
        <v>&amp;AllGlyphs[30]</v>
      </c>
      <c r="BQ33" s="54" t="str">
        <f>IF($R33,"&amp;AllGlyphs[" &amp; M33 &amp; "]","")</f>
        <v>&amp;AllGlyphs[44]</v>
      </c>
      <c r="BR33" s="54" t="str">
        <f>IF($R33,"&amp;AllGlyphs[" &amp; O33 &amp; "]","")</f>
        <v>&amp;AllGlyphs[31]</v>
      </c>
      <c r="BT33" s="58">
        <f>IF($R33,IF(AB33,1,0),"")</f>
        <v>0</v>
      </c>
      <c r="BU33" s="58">
        <f>IF($R33,IF(AC33,1,0),"")</f>
        <v>0</v>
      </c>
      <c r="BV33" s="58">
        <f>IF($R33,IF(AD33,1,0),"")</f>
        <v>0</v>
      </c>
      <c r="BW33" s="58">
        <f>IF($R33,IF(AE33,1,0),"")</f>
        <v>0</v>
      </c>
      <c r="BX33" s="58">
        <f>IF($R33,IF(AR33,1,0),"")</f>
        <v>0</v>
      </c>
      <c r="BY33" s="58">
        <f>IF($R33,IF(AS33,1,0),"")</f>
        <v>1</v>
      </c>
    </row>
    <row r="34" spans="1:77" x14ac:dyDescent="0.4">
      <c r="A34" s="7" t="s">
        <v>53</v>
      </c>
      <c r="B34" s="6" t="str">
        <f t="shared" si="0"/>
        <v>@</v>
      </c>
      <c r="C34" s="48" cm="1">
        <f t="array" ref="C34">IF($R34,INDEX($S:$S,MATCH(TRUE,EXACT(B34,$A:$A),0)),"")</f>
        <v>32</v>
      </c>
      <c r="D34" s="38" t="s">
        <v>54</v>
      </c>
      <c r="E34" s="48" cm="1">
        <f t="array" ref="E34">IF($R34,INDEX($S:$S,MATCH(TRUE,EXACT(D34,$A:$A),0)),"")</f>
        <v>3</v>
      </c>
      <c r="F34" s="38" t="s">
        <v>53</v>
      </c>
      <c r="G34" s="48" cm="1">
        <f t="array" ref="G34">IF($S34&lt;&gt;"",INDEX($S:$S,MATCH(TRUE,EXACT(F34,$A:$A),0)),"")</f>
        <v>32</v>
      </c>
      <c r="H34" s="38" t="s">
        <v>53</v>
      </c>
      <c r="I34" s="48" cm="1">
        <f t="array" ref="I34">IF($R34,INDEX($S:$S,MATCH(TRUE,EXACT(H34,$A:$A),0)),"")</f>
        <v>32</v>
      </c>
      <c r="J34" s="38" t="s">
        <v>53</v>
      </c>
      <c r="K34" s="52" cm="1">
        <f t="array" ref="K34">IF($R34,INDEX($S:$S,MATCH(TRUE,EXACT(J34,$A:$A),0)),"")</f>
        <v>32</v>
      </c>
      <c r="L34" s="38" t="str" cm="1">
        <f t="array" ref="L34">IF($R34,INDEX($T:$T,MATCH(TRUE,EXACT(H34,$D:$D),0)),"")</f>
        <v>#</v>
      </c>
      <c r="M34" s="48" cm="1">
        <f t="array" ref="M34">IF($R34,INDEX($S:$S,MATCH(TRUE,EXACT(L34,$A:$A),0)),"")</f>
        <v>3</v>
      </c>
      <c r="N34" s="38" t="str" cm="1">
        <f t="array" ref="N34">IF($R34,INDEX($T:$T,MATCH(TRUE,EXACT(J34,$D:$D),0)),"")</f>
        <v>#</v>
      </c>
      <c r="O34" s="52" cm="1">
        <f t="array" ref="O34">IF($R34,INDEX($S:$S,MATCH(TRUE,EXACT(N34,$A:$A),0)),"")</f>
        <v>3</v>
      </c>
      <c r="P34" s="23"/>
      <c r="Q34" s="33"/>
      <c r="R34" s="18" t="b">
        <f t="shared" si="1"/>
        <v>1</v>
      </c>
      <c r="S34" s="19">
        <f>IF(R34, MAX(S$2:S33)+1,"")</f>
        <v>32</v>
      </c>
      <c r="T34" s="23" t="str">
        <f t="shared" si="2"/>
        <v>@</v>
      </c>
      <c r="U34" s="8" t="str" cm="1">
        <f t="array" ref="U34">CharToUTF8(A34)</f>
        <v>\x40</v>
      </c>
      <c r="W34" s="18" t="str">
        <f t="shared" si="13"/>
        <v>ORTHO_BOTH</v>
      </c>
      <c r="X34" s="24" t="str">
        <f>$AU$4</f>
        <v>ORTHO_BOTH</v>
      </c>
      <c r="Y34" s="24" t="str">
        <f>$AU$2</f>
        <v>EMPTY</v>
      </c>
      <c r="Z34" s="21" t="str">
        <f>$AU$2</f>
        <v>EMPTY</v>
      </c>
      <c r="AB34" s="31" t="b">
        <f t="shared" si="3"/>
        <v>0</v>
      </c>
      <c r="AC34" s="31" t="b">
        <f t="shared" si="4"/>
        <v>1</v>
      </c>
      <c r="AD34" t="b">
        <f t="shared" si="5"/>
        <v>1</v>
      </c>
      <c r="AE34" t="b">
        <f t="shared" si="6"/>
        <v>1</v>
      </c>
      <c r="AF34" t="b">
        <f>IF($R34,W34=VLOOKUP(Z34,$AU$2:$AZ$10,3,FALSE),"")</f>
        <v>0</v>
      </c>
      <c r="AG34" t="b">
        <f>IF($R34,X34=VLOOKUP(Y34,$AU$2:$AZ$10,3,FALSE),"")</f>
        <v>0</v>
      </c>
      <c r="AH34" t="b">
        <f>IF($R34,Y34=VLOOKUP(W34,$AU$2:$AZ$10,3,FALSE),"")</f>
        <v>0</v>
      </c>
      <c r="AI34" t="b">
        <f>IF($R34,Z34=VLOOKUP(X34,$AU$2:$AZ$10,3,FALSE),"")</f>
        <v>0</v>
      </c>
      <c r="AJ34" t="b">
        <f>IF($R34,W34=VLOOKUP(W34,$AU$2:$AZ$10,4,FALSE),"")</f>
        <v>1</v>
      </c>
      <c r="AK34" t="b">
        <f>IF($R34,X34=VLOOKUP(X34,$AU$2:$AZ$10,4,FALSE),"")</f>
        <v>1</v>
      </c>
      <c r="AL34" t="b">
        <f>IF($R34,Y34=VLOOKUP(Y34,$AU$2:$AZ$10,4,FALSE),"")</f>
        <v>1</v>
      </c>
      <c r="AM34" t="b">
        <f>IF($R34,Z34=VLOOKUP(Z34,$AU$2:$AZ$10,4,FALSE),"")</f>
        <v>1</v>
      </c>
      <c r="AN34" t="b">
        <f>IF($R34,W34=VLOOKUP(W34,$AU$2:$AZ$10,5,FALSE),"")</f>
        <v>1</v>
      </c>
      <c r="AO34" t="b">
        <f>IF($R34,X34=VLOOKUP(X34,$AU$2:$AZ$10,5,FALSE),"")</f>
        <v>1</v>
      </c>
      <c r="AP34" t="b">
        <f>IF($R34,Y34=VLOOKUP(Y34,$AU$2:$AZ$10,6,FALSE),"")</f>
        <v>1</v>
      </c>
      <c r="AQ34" t="b">
        <f>IF($R34,Z34=VLOOKUP(Z34,$AU$2:$AZ$10,6,FALSE),"")</f>
        <v>1</v>
      </c>
      <c r="AR34" t="b">
        <f t="shared" si="8"/>
        <v>0</v>
      </c>
      <c r="AS34" t="b">
        <f t="shared" si="9"/>
        <v>0</v>
      </c>
      <c r="BD34" s="59" t="str">
        <f t="shared" si="10"/>
        <v xml:space="preserve">    { wxString::FromUTF8("\x40"), &amp;AllGlyphs[3], &amp;AllGlyphs[32], &amp;AllGlyphs[32], &amp;AllGlyphs[32], &amp;AllGlyphs[3], &amp;AllGlyphs[3], Connection::ORTHO_BOTH, Connection::ORTHO_BOTH, Connection::EMPTY, Connection::EMPTY, 0, 1, 1, 1, 0, 0 },</v>
      </c>
      <c r="BE34" s="60"/>
      <c r="BF34" s="60"/>
      <c r="BG34" s="60"/>
      <c r="BH34" s="60"/>
      <c r="BI34" s="60"/>
      <c r="BJ34" s="60"/>
      <c r="BK34" s="61"/>
      <c r="BM34" s="54" t="str">
        <f>IF($R34,"&amp;AllGlyphs[" &amp; E34 &amp; "]","")</f>
        <v>&amp;AllGlyphs[3]</v>
      </c>
      <c r="BN34" s="54" t="str">
        <f>IF($R34,"&amp;AllGlyphs[" &amp; G34 &amp; "]","")</f>
        <v>&amp;AllGlyphs[32]</v>
      </c>
      <c r="BO34" s="54" t="str">
        <f>IF($R34,"&amp;AllGlyphs[" &amp; I34 &amp; "]","")</f>
        <v>&amp;AllGlyphs[32]</v>
      </c>
      <c r="BP34" s="54" t="str">
        <f>IF($R34,"&amp;AllGlyphs[" &amp; K34 &amp; "]","")</f>
        <v>&amp;AllGlyphs[32]</v>
      </c>
      <c r="BQ34" s="54" t="str">
        <f>IF($R34,"&amp;AllGlyphs[" &amp; M34 &amp; "]","")</f>
        <v>&amp;AllGlyphs[3]</v>
      </c>
      <c r="BR34" s="54" t="str">
        <f>IF($R34,"&amp;AllGlyphs[" &amp; O34 &amp; "]","")</f>
        <v>&amp;AllGlyphs[3]</v>
      </c>
      <c r="BT34" s="58">
        <f>IF($R34,IF(AB34,1,0),"")</f>
        <v>0</v>
      </c>
      <c r="BU34" s="58">
        <f>IF($R34,IF(AC34,1,0),"")</f>
        <v>1</v>
      </c>
      <c r="BV34" s="58">
        <f>IF($R34,IF(AD34,1,0),"")</f>
        <v>1</v>
      </c>
      <c r="BW34" s="58">
        <f>IF($R34,IF(AE34,1,0),"")</f>
        <v>1</v>
      </c>
      <c r="BX34" s="58">
        <f>IF($R34,IF(AR34,1,0),"")</f>
        <v>0</v>
      </c>
      <c r="BY34" s="58">
        <f>IF($R34,IF(AS34,1,0),"")</f>
        <v>0</v>
      </c>
    </row>
    <row r="35" spans="1:77" x14ac:dyDescent="0.4">
      <c r="A35" s="7" t="s">
        <v>36</v>
      </c>
      <c r="B35" s="6" t="str">
        <f t="shared" si="0"/>
        <v>A</v>
      </c>
      <c r="C35" s="48" cm="1">
        <f t="array" ref="C35">IF($R35,INDEX($S:$S,MATCH(TRUE,EXACT(B35,$A:$A),0)),"")</f>
        <v>33</v>
      </c>
      <c r="D35" s="38" t="s">
        <v>27</v>
      </c>
      <c r="E35" s="48" cm="1">
        <f t="array" ref="E35">IF($R35,INDEX($S:$S,MATCH(TRUE,EXACT(D35,$A:$A),0)),"")</f>
        <v>55</v>
      </c>
      <c r="F35" s="38" t="s">
        <v>38</v>
      </c>
      <c r="G35" s="48" cm="1">
        <f t="array" ref="G35">IF($S35&lt;&gt;"",INDEX($S:$S,MATCH(TRUE,EXACT(F35,$A:$A),0)),"")</f>
        <v>36</v>
      </c>
      <c r="H35" s="38" t="s">
        <v>36</v>
      </c>
      <c r="I35" s="48" cm="1">
        <f t="array" ref="I35">IF($R35,INDEX($S:$S,MATCH(TRUE,EXACT(H35,$A:$A),0)),"")</f>
        <v>33</v>
      </c>
      <c r="J35" s="38" t="s">
        <v>38</v>
      </c>
      <c r="K35" s="52" cm="1">
        <f t="array" ref="K35">IF($R35,INDEX($S:$S,MATCH(TRUE,EXACT(J35,$A:$A),0)),"")</f>
        <v>36</v>
      </c>
      <c r="L35" s="38" t="str" cm="1">
        <f t="array" ref="L35">IF($R35,INDEX($T:$T,MATCH(TRUE,EXACT(H35,$D:$D),0)),"")</f>
        <v>X</v>
      </c>
      <c r="M35" s="48" cm="1">
        <f t="array" ref="M35">IF($R35,INDEX($S:$S,MATCH(TRUE,EXACT(L35,$A:$A),0)),"")</f>
        <v>56</v>
      </c>
      <c r="N35" s="38" t="str" cm="1">
        <f t="array" ref="N35">IF($R35,INDEX($T:$T,MATCH(TRUE,EXACT(J35,$D:$D),0)),"")</f>
        <v>W</v>
      </c>
      <c r="O35" s="52" cm="1">
        <f t="array" ref="O35">IF($R35,INDEX($S:$S,MATCH(TRUE,EXACT(N35,$A:$A),0)),"")</f>
        <v>55</v>
      </c>
      <c r="P35" s="23"/>
      <c r="Q35" s="33"/>
      <c r="R35" s="18" t="b">
        <f t="shared" si="1"/>
        <v>1</v>
      </c>
      <c r="S35" s="19">
        <f>IF(R35, MAX(S$2:S34)+1,"")</f>
        <v>33</v>
      </c>
      <c r="T35" s="23" t="str">
        <f t="shared" si="2"/>
        <v>A</v>
      </c>
      <c r="U35" s="8" t="str" cm="1">
        <f t="array" ref="U35">CharToUTF8(A35)</f>
        <v>\x41</v>
      </c>
      <c r="W35" s="18" t="str">
        <f t="shared" si="13"/>
        <v>ORTHO_BOTH</v>
      </c>
      <c r="X35" s="24" t="str">
        <f>$AU$4</f>
        <v>ORTHO_BOTH</v>
      </c>
      <c r="Y35" s="24" t="str">
        <f>$AU$2</f>
        <v>EMPTY</v>
      </c>
      <c r="Z35" s="21" t="str">
        <f>$AU$4</f>
        <v>ORTHO_BOTH</v>
      </c>
      <c r="AB35" s="31" t="b">
        <f t="shared" si="3"/>
        <v>0</v>
      </c>
      <c r="AC35" s="31" t="b">
        <f t="shared" si="4"/>
        <v>0</v>
      </c>
      <c r="AD35" t="b">
        <f t="shared" si="5"/>
        <v>1</v>
      </c>
      <c r="AE35" t="b">
        <f t="shared" si="6"/>
        <v>0</v>
      </c>
      <c r="AF35" t="b">
        <f>IF($R35,W35=VLOOKUP(Z35,$AU$2:$AZ$10,3,FALSE),"")</f>
        <v>1</v>
      </c>
      <c r="AG35" t="b">
        <f>IF($R35,X35=VLOOKUP(Y35,$AU$2:$AZ$10,3,FALSE),"")</f>
        <v>0</v>
      </c>
      <c r="AH35" t="b">
        <f>IF($R35,Y35=VLOOKUP(W35,$AU$2:$AZ$10,3,FALSE),"")</f>
        <v>0</v>
      </c>
      <c r="AI35" t="b">
        <f>IF($R35,Z35=VLOOKUP(X35,$AU$2:$AZ$10,3,FALSE),"")</f>
        <v>1</v>
      </c>
      <c r="AJ35" t="b">
        <f>IF($R35,W35=VLOOKUP(W35,$AU$2:$AZ$10,4,FALSE),"")</f>
        <v>1</v>
      </c>
      <c r="AK35" t="b">
        <f>IF($R35,X35=VLOOKUP(X35,$AU$2:$AZ$10,4,FALSE),"")</f>
        <v>1</v>
      </c>
      <c r="AL35" t="b">
        <f>IF($R35,Y35=VLOOKUP(Y35,$AU$2:$AZ$10,4,FALSE),"")</f>
        <v>1</v>
      </c>
      <c r="AM35" t="b">
        <f>IF($R35,Z35=VLOOKUP(Z35,$AU$2:$AZ$10,4,FALSE),"")</f>
        <v>1</v>
      </c>
      <c r="AN35" t="b">
        <f>IF($R35,W35=VLOOKUP(W35,$AU$2:$AZ$10,5,FALSE),"")</f>
        <v>1</v>
      </c>
      <c r="AO35" t="b">
        <f>IF($R35,X35=VLOOKUP(X35,$AU$2:$AZ$10,5,FALSE),"")</f>
        <v>1</v>
      </c>
      <c r="AP35" t="b">
        <f>IF($R35,Y35=VLOOKUP(Y35,$AU$2:$AZ$10,6,FALSE),"")</f>
        <v>1</v>
      </c>
      <c r="AQ35" t="b">
        <f>IF($R35,Z35=VLOOKUP(Z35,$AU$2:$AZ$10,6,FALSE),"")</f>
        <v>1</v>
      </c>
      <c r="AR35" t="b">
        <f t="shared" si="8"/>
        <v>0</v>
      </c>
      <c r="AS35" t="b">
        <f t="shared" si="9"/>
        <v>0</v>
      </c>
      <c r="BD35" s="59" t="str">
        <f t="shared" si="10"/>
        <v xml:space="preserve">    { wxString::FromUTF8("\x41"), &amp;AllGlyphs[55], &amp;AllGlyphs[36], &amp;AllGlyphs[33], &amp;AllGlyphs[36], &amp;AllGlyphs[56], &amp;AllGlyphs[55], Connection::ORTHO_BOTH, Connection::ORTHO_BOTH, Connection::EMPTY, Connection::ORTHO_BOTH, 0, 0, 1, 0, 0, 0 },</v>
      </c>
      <c r="BE35" s="60"/>
      <c r="BF35" s="60"/>
      <c r="BG35" s="60"/>
      <c r="BH35" s="60"/>
      <c r="BI35" s="60"/>
      <c r="BJ35" s="60"/>
      <c r="BK35" s="61"/>
      <c r="BM35" s="54" t="str">
        <f>IF($R35,"&amp;AllGlyphs[" &amp; E35 &amp; "]","")</f>
        <v>&amp;AllGlyphs[55]</v>
      </c>
      <c r="BN35" s="54" t="str">
        <f>IF($R35,"&amp;AllGlyphs[" &amp; G35 &amp; "]","")</f>
        <v>&amp;AllGlyphs[36]</v>
      </c>
      <c r="BO35" s="54" t="str">
        <f>IF($R35,"&amp;AllGlyphs[" &amp; I35 &amp; "]","")</f>
        <v>&amp;AllGlyphs[33]</v>
      </c>
      <c r="BP35" s="54" t="str">
        <f>IF($R35,"&amp;AllGlyphs[" &amp; K35 &amp; "]","")</f>
        <v>&amp;AllGlyphs[36]</v>
      </c>
      <c r="BQ35" s="54" t="str">
        <f>IF($R35,"&amp;AllGlyphs[" &amp; M35 &amp; "]","")</f>
        <v>&amp;AllGlyphs[56]</v>
      </c>
      <c r="BR35" s="54" t="str">
        <f>IF($R35,"&amp;AllGlyphs[" &amp; O35 &amp; "]","")</f>
        <v>&amp;AllGlyphs[55]</v>
      </c>
      <c r="BT35" s="58">
        <f>IF($R35,IF(AB35,1,0),"")</f>
        <v>0</v>
      </c>
      <c r="BU35" s="58">
        <f>IF($R35,IF(AC35,1,0),"")</f>
        <v>0</v>
      </c>
      <c r="BV35" s="58">
        <f>IF($R35,IF(AD35,1,0),"")</f>
        <v>1</v>
      </c>
      <c r="BW35" s="58">
        <f>IF($R35,IF(AE35,1,0),"")</f>
        <v>0</v>
      </c>
      <c r="BX35" s="58">
        <f>IF($R35,IF(AR35,1,0),"")</f>
        <v>0</v>
      </c>
      <c r="BY35" s="58">
        <f>IF($R35,IF(AS35,1,0),"")</f>
        <v>0</v>
      </c>
    </row>
    <row r="36" spans="1:77" x14ac:dyDescent="0.4">
      <c r="A36" s="7" t="s">
        <v>49</v>
      </c>
      <c r="B36" s="6" t="str">
        <f t="shared" si="0"/>
        <v>B</v>
      </c>
      <c r="C36" s="48" cm="1">
        <f t="array" ref="C36">IF($R36,INDEX($S:$S,MATCH(TRUE,EXACT(B36,$A:$A),0)),"")</f>
        <v>34</v>
      </c>
      <c r="D36" s="38" t="s">
        <v>57</v>
      </c>
      <c r="E36" s="48" cm="1">
        <f t="array" ref="E36">IF($R36,INDEX($S:$S,MATCH(TRUE,EXACT(D36,$A:$A),0)),"")</f>
        <v>62</v>
      </c>
      <c r="F36" s="38" t="s">
        <v>50</v>
      </c>
      <c r="G36" s="48" cm="1">
        <f t="array" ref="G36">IF($S36&lt;&gt;"",INDEX($S:$S,MATCH(TRUE,EXACT(F36,$A:$A),0)),"")</f>
        <v>46</v>
      </c>
      <c r="H36" s="38" t="s">
        <v>49</v>
      </c>
      <c r="I36" s="48" cm="1">
        <f t="array" ref="I36">IF($R36,INDEX($S:$S,MATCH(TRUE,EXACT(H36,$A:$A),0)),"")</f>
        <v>34</v>
      </c>
      <c r="J36" s="38" t="s">
        <v>50</v>
      </c>
      <c r="K36" s="52" cm="1">
        <f t="array" ref="K36">IF($R36,INDEX($S:$S,MATCH(TRUE,EXACT(J36,$A:$A),0)),"")</f>
        <v>46</v>
      </c>
      <c r="L36" s="38" t="str" cm="1">
        <f t="array" ref="L36">IF($R36,INDEX($T:$T,MATCH(TRUE,EXACT(H36,$D:$D),0)),"")</f>
        <v>Y</v>
      </c>
      <c r="M36" s="48" cm="1">
        <f t="array" ref="M36">IF($R36,INDEX($S:$S,MATCH(TRUE,EXACT(L36,$A:$A),0)),"")</f>
        <v>57</v>
      </c>
      <c r="N36" s="38" t="str" cm="1">
        <f t="array" ref="N36">IF($R36,INDEX($T:$T,MATCH(TRUE,EXACT(J36,$D:$D),0)),"")</f>
        <v>^</v>
      </c>
      <c r="O36" s="52" cm="1">
        <f t="array" ref="O36">IF($R36,INDEX($S:$S,MATCH(TRUE,EXACT(N36,$A:$A),0)),"")</f>
        <v>62</v>
      </c>
      <c r="P36" s="23"/>
      <c r="Q36" s="33"/>
      <c r="R36" s="18" t="b">
        <f t="shared" si="1"/>
        <v>1</v>
      </c>
      <c r="S36" s="19">
        <f>IF(R36, MAX(S$2:S35)+1,"")</f>
        <v>34</v>
      </c>
      <c r="T36" s="23" t="str">
        <f t="shared" si="2"/>
        <v>B</v>
      </c>
      <c r="U36" s="8" t="str" cm="1">
        <f t="array" ref="U36">CharToUTF8(A36)</f>
        <v>\x42</v>
      </c>
      <c r="W36" s="18" t="str">
        <f t="shared" si="13"/>
        <v>ORTHO_BOTH</v>
      </c>
      <c r="X36" s="24" t="str">
        <f>$AU$4</f>
        <v>ORTHO_BOTH</v>
      </c>
      <c r="Y36" s="24" t="str">
        <f>$AU$4</f>
        <v>ORTHO_BOTH</v>
      </c>
      <c r="Z36" s="21" t="str">
        <f>$AU$3</f>
        <v>DIAG_BOTH</v>
      </c>
      <c r="AB36" s="31" t="b">
        <f t="shared" si="3"/>
        <v>0</v>
      </c>
      <c r="AC36" s="31" t="b">
        <f t="shared" si="4"/>
        <v>0</v>
      </c>
      <c r="AD36" t="b">
        <f t="shared" si="5"/>
        <v>1</v>
      </c>
      <c r="AE36" t="b">
        <f t="shared" si="6"/>
        <v>0</v>
      </c>
      <c r="AF36" t="b">
        <f>IF($R36,W36=VLOOKUP(Z36,$AU$2:$AZ$10,3,FALSE),"")</f>
        <v>0</v>
      </c>
      <c r="AG36" t="b">
        <f>IF($R36,X36=VLOOKUP(Y36,$AU$2:$AZ$10,3,FALSE),"")</f>
        <v>1</v>
      </c>
      <c r="AH36" t="b">
        <f>IF($R36,Y36=VLOOKUP(W36,$AU$2:$AZ$10,3,FALSE),"")</f>
        <v>1</v>
      </c>
      <c r="AI36" t="b">
        <f>IF($R36,Z36=VLOOKUP(X36,$AU$2:$AZ$10,3,FALSE),"")</f>
        <v>0</v>
      </c>
      <c r="AJ36" t="b">
        <f>IF($R36,W36=VLOOKUP(W36,$AU$2:$AZ$10,4,FALSE),"")</f>
        <v>1</v>
      </c>
      <c r="AK36" t="b">
        <f>IF($R36,X36=VLOOKUP(X36,$AU$2:$AZ$10,4,FALSE),"")</f>
        <v>1</v>
      </c>
      <c r="AL36" t="b">
        <f>IF($R36,Y36=VLOOKUP(Y36,$AU$2:$AZ$10,4,FALSE),"")</f>
        <v>1</v>
      </c>
      <c r="AM36" t="b">
        <f>IF($R36,Z36=VLOOKUP(Z36,$AU$2:$AZ$10,4,FALSE),"")</f>
        <v>1</v>
      </c>
      <c r="AN36" t="b">
        <f>IF($R36,W36=VLOOKUP(W36,$AU$2:$AZ$10,5,FALSE),"")</f>
        <v>1</v>
      </c>
      <c r="AO36" t="b">
        <f>IF($R36,X36=VLOOKUP(X36,$AU$2:$AZ$10,5,FALSE),"")</f>
        <v>1</v>
      </c>
      <c r="AP36" t="b">
        <f>IF($R36,Y36=VLOOKUP(Y36,$AU$2:$AZ$10,6,FALSE),"")</f>
        <v>1</v>
      </c>
      <c r="AQ36" t="b">
        <f>IF($R36,Z36=VLOOKUP(Z36,$AU$2:$AZ$10,6,FALSE),"")</f>
        <v>1</v>
      </c>
      <c r="AR36" t="b">
        <f t="shared" si="8"/>
        <v>0</v>
      </c>
      <c r="AS36" t="b">
        <f t="shared" si="9"/>
        <v>0</v>
      </c>
      <c r="BD36" s="59" t="str">
        <f t="shared" si="10"/>
        <v xml:space="preserve">    { wxString::FromUTF8("\x42"), &amp;AllGlyphs[62], &amp;AllGlyphs[46], &amp;AllGlyphs[34], &amp;AllGlyphs[46], &amp;AllGlyphs[57], &amp;AllGlyphs[62], Connection::ORTHO_BOTH, Connection::ORTHO_BOTH, Connection::ORTHO_BOTH, Connection::DIAG_BOTH, 0, 0, 1, 0, 0, 0 },</v>
      </c>
      <c r="BE36" s="60"/>
      <c r="BF36" s="60"/>
      <c r="BG36" s="60"/>
      <c r="BH36" s="60"/>
      <c r="BI36" s="60"/>
      <c r="BJ36" s="60"/>
      <c r="BK36" s="61"/>
      <c r="BM36" s="54" t="str">
        <f>IF($R36,"&amp;AllGlyphs[" &amp; E36 &amp; "]","")</f>
        <v>&amp;AllGlyphs[62]</v>
      </c>
      <c r="BN36" s="54" t="str">
        <f>IF($R36,"&amp;AllGlyphs[" &amp; G36 &amp; "]","")</f>
        <v>&amp;AllGlyphs[46]</v>
      </c>
      <c r="BO36" s="54" t="str">
        <f>IF($R36,"&amp;AllGlyphs[" &amp; I36 &amp; "]","")</f>
        <v>&amp;AllGlyphs[34]</v>
      </c>
      <c r="BP36" s="54" t="str">
        <f>IF($R36,"&amp;AllGlyphs[" &amp; K36 &amp; "]","")</f>
        <v>&amp;AllGlyphs[46]</v>
      </c>
      <c r="BQ36" s="54" t="str">
        <f>IF($R36,"&amp;AllGlyphs[" &amp; M36 &amp; "]","")</f>
        <v>&amp;AllGlyphs[57]</v>
      </c>
      <c r="BR36" s="54" t="str">
        <f>IF($R36,"&amp;AllGlyphs[" &amp; O36 &amp; "]","")</f>
        <v>&amp;AllGlyphs[62]</v>
      </c>
      <c r="BT36" s="58">
        <f>IF($R36,IF(AB36,1,0),"")</f>
        <v>0</v>
      </c>
      <c r="BU36" s="58">
        <f>IF($R36,IF(AC36,1,0),"")</f>
        <v>0</v>
      </c>
      <c r="BV36" s="58">
        <f>IF($R36,IF(AD36,1,0),"")</f>
        <v>1</v>
      </c>
      <c r="BW36" s="58">
        <f>IF($R36,IF(AE36,1,0),"")</f>
        <v>0</v>
      </c>
      <c r="BX36" s="58">
        <f>IF($R36,IF(AR36,1,0),"")</f>
        <v>0</v>
      </c>
      <c r="BY36" s="58">
        <f>IF($R36,IF(AS36,1,0),"")</f>
        <v>0</v>
      </c>
    </row>
    <row r="37" spans="1:77" x14ac:dyDescent="0.4">
      <c r="A37" s="7" t="s">
        <v>47</v>
      </c>
      <c r="B37" s="6" t="str">
        <f t="shared" si="0"/>
        <v>C</v>
      </c>
      <c r="C37" s="48" cm="1">
        <f t="array" ref="C37">IF($R37,INDEX($S:$S,MATCH(TRUE,EXACT(B37,$A:$A),0)),"")</f>
        <v>35</v>
      </c>
      <c r="D37" s="38" t="s">
        <v>45</v>
      </c>
      <c r="E37" s="48" cm="1">
        <f t="array" ref="E37">IF($R37,INDEX($S:$S,MATCH(TRUE,EXACT(D37,$A:$A),0)),"")</f>
        <v>58</v>
      </c>
      <c r="F37" s="38" t="s">
        <v>26</v>
      </c>
      <c r="G37" s="48" cm="1">
        <f t="array" ref="G37">IF($S37&lt;&gt;"",INDEX($S:$S,MATCH(TRUE,EXACT(F37,$A:$A),0)),"")</f>
        <v>49</v>
      </c>
      <c r="H37" s="38" t="s">
        <v>28</v>
      </c>
      <c r="I37" s="48" cm="1">
        <f t="array" ref="I37">IF($R37,INDEX($S:$S,MATCH(TRUE,EXACT(H37,$A:$A),0)),"")</f>
        <v>37</v>
      </c>
      <c r="J37" s="38" t="s">
        <v>45</v>
      </c>
      <c r="K37" s="52" cm="1">
        <f t="array" ref="K37">IF($R37,INDEX($S:$S,MATCH(TRUE,EXACT(J37,$A:$A),0)),"")</f>
        <v>58</v>
      </c>
      <c r="L37" s="38" t="str" cm="1">
        <f t="array" ref="L37">IF($R37,INDEX($T:$T,MATCH(TRUE,EXACT(H37,$D:$D),0)),"")</f>
        <v>Q</v>
      </c>
      <c r="M37" s="48" cm="1">
        <f t="array" ref="M37">IF($R37,INDEX($S:$S,MATCH(TRUE,EXACT(L37,$A:$A),0)),"")</f>
        <v>49</v>
      </c>
      <c r="N37" s="38" t="str" cm="1">
        <f t="array" ref="N37">IF($R37,INDEX($T:$T,MATCH(TRUE,EXACT(J37,$D:$D),0)),"")</f>
        <v>C</v>
      </c>
      <c r="O37" s="52" cm="1">
        <f t="array" ref="O37">IF($R37,INDEX($S:$S,MATCH(TRUE,EXACT(N37,$A:$A),0)),"")</f>
        <v>35</v>
      </c>
      <c r="P37" s="23"/>
      <c r="Q37" s="33"/>
      <c r="R37" s="18" t="b">
        <f t="shared" si="1"/>
        <v>1</v>
      </c>
      <c r="S37" s="19">
        <f>IF(R37, MAX(S$2:S36)+1,"")</f>
        <v>35</v>
      </c>
      <c r="T37" s="23" t="str">
        <f t="shared" si="2"/>
        <v>C</v>
      </c>
      <c r="U37" s="8" t="str" cm="1">
        <f t="array" ref="U37">CharToUTF8(A37)</f>
        <v>\x43</v>
      </c>
      <c r="W37" s="18" t="str">
        <f t="shared" si="13"/>
        <v>ORTHO_BOTH</v>
      </c>
      <c r="X37" s="24" t="str">
        <f>$AU$2</f>
        <v>EMPTY</v>
      </c>
      <c r="Y37" s="24" t="str">
        <f>$AU$4</f>
        <v>ORTHO_BOTH</v>
      </c>
      <c r="Z37" s="21" t="str">
        <f>$AU$2</f>
        <v>EMPTY</v>
      </c>
      <c r="AB37" s="31" t="b">
        <f t="shared" si="3"/>
        <v>0</v>
      </c>
      <c r="AC37" s="31" t="b">
        <f t="shared" si="4"/>
        <v>0</v>
      </c>
      <c r="AD37" t="b">
        <f t="shared" si="5"/>
        <v>0</v>
      </c>
      <c r="AE37" t="b">
        <f t="shared" si="6"/>
        <v>0</v>
      </c>
      <c r="AF37" t="b">
        <f>IF($R37,W37=VLOOKUP(Z37,$AU$2:$AZ$10,3,FALSE),"")</f>
        <v>0</v>
      </c>
      <c r="AG37" t="b">
        <f>IF($R37,X37=VLOOKUP(Y37,$AU$2:$AZ$10,3,FALSE),"")</f>
        <v>0</v>
      </c>
      <c r="AH37" t="b">
        <f>IF($R37,Y37=VLOOKUP(W37,$AU$2:$AZ$10,3,FALSE),"")</f>
        <v>1</v>
      </c>
      <c r="AI37" t="b">
        <f>IF($R37,Z37=VLOOKUP(X37,$AU$2:$AZ$10,3,FALSE),"")</f>
        <v>1</v>
      </c>
      <c r="AJ37" t="b">
        <f>IF($R37,W37=VLOOKUP(W37,$AU$2:$AZ$10,4,FALSE),"")</f>
        <v>1</v>
      </c>
      <c r="AK37" t="b">
        <f>IF($R37,X37=VLOOKUP(X37,$AU$2:$AZ$10,4,FALSE),"")</f>
        <v>1</v>
      </c>
      <c r="AL37" t="b">
        <f>IF($R37,Y37=VLOOKUP(Y37,$AU$2:$AZ$10,4,FALSE),"")</f>
        <v>1</v>
      </c>
      <c r="AM37" t="b">
        <f>IF($R37,Z37=VLOOKUP(Z37,$AU$2:$AZ$10,4,FALSE),"")</f>
        <v>1</v>
      </c>
      <c r="AN37" t="b">
        <f>IF($R37,W37=VLOOKUP(W37,$AU$2:$AZ$10,5,FALSE),"")</f>
        <v>1</v>
      </c>
      <c r="AO37" t="b">
        <f>IF($R37,X37=VLOOKUP(X37,$AU$2:$AZ$10,5,FALSE),"")</f>
        <v>1</v>
      </c>
      <c r="AP37" t="b">
        <f>IF($R37,Y37=VLOOKUP(Y37,$AU$2:$AZ$10,6,FALSE),"")</f>
        <v>1</v>
      </c>
      <c r="AQ37" t="b">
        <f>IF($R37,Z37=VLOOKUP(Z37,$AU$2:$AZ$10,6,FALSE),"")</f>
        <v>1</v>
      </c>
      <c r="AR37" t="b">
        <f t="shared" si="8"/>
        <v>0</v>
      </c>
      <c r="AS37" t="b">
        <f t="shared" si="9"/>
        <v>1</v>
      </c>
      <c r="BD37" s="59" t="str">
        <f t="shared" si="10"/>
        <v xml:space="preserve">    { wxString::FromUTF8("\x43"), &amp;AllGlyphs[58], &amp;AllGlyphs[49], &amp;AllGlyphs[37], &amp;AllGlyphs[58], &amp;AllGlyphs[49], &amp;AllGlyphs[35], Connection::ORTHO_BOTH, Connection::EMPTY, Connection::ORTHO_BOTH, Connection::EMPTY, 0, 0, 0, 0, 0, 1 },</v>
      </c>
      <c r="BE37" s="60"/>
      <c r="BF37" s="60"/>
      <c r="BG37" s="60"/>
      <c r="BH37" s="60"/>
      <c r="BI37" s="60"/>
      <c r="BJ37" s="60"/>
      <c r="BK37" s="61"/>
      <c r="BM37" s="54" t="str">
        <f>IF($R37,"&amp;AllGlyphs[" &amp; E37 &amp; "]","")</f>
        <v>&amp;AllGlyphs[58]</v>
      </c>
      <c r="BN37" s="54" t="str">
        <f>IF($R37,"&amp;AllGlyphs[" &amp; G37 &amp; "]","")</f>
        <v>&amp;AllGlyphs[49]</v>
      </c>
      <c r="BO37" s="54" t="str">
        <f>IF($R37,"&amp;AllGlyphs[" &amp; I37 &amp; "]","")</f>
        <v>&amp;AllGlyphs[37]</v>
      </c>
      <c r="BP37" s="54" t="str">
        <f>IF($R37,"&amp;AllGlyphs[" &amp; K37 &amp; "]","")</f>
        <v>&amp;AllGlyphs[58]</v>
      </c>
      <c r="BQ37" s="54" t="str">
        <f>IF($R37,"&amp;AllGlyphs[" &amp; M37 &amp; "]","")</f>
        <v>&amp;AllGlyphs[49]</v>
      </c>
      <c r="BR37" s="54" t="str">
        <f>IF($R37,"&amp;AllGlyphs[" &amp; O37 &amp; "]","")</f>
        <v>&amp;AllGlyphs[35]</v>
      </c>
      <c r="BT37" s="58">
        <f>IF($R37,IF(AB37,1,0),"")</f>
        <v>0</v>
      </c>
      <c r="BU37" s="58">
        <f>IF($R37,IF(AC37,1,0),"")</f>
        <v>0</v>
      </c>
      <c r="BV37" s="58">
        <f>IF($R37,IF(AD37,1,0),"")</f>
        <v>0</v>
      </c>
      <c r="BW37" s="58">
        <f>IF($R37,IF(AE37,1,0),"")</f>
        <v>0</v>
      </c>
      <c r="BX37" s="58">
        <f>IF($R37,IF(AR37,1,0),"")</f>
        <v>0</v>
      </c>
      <c r="BY37" s="58">
        <f>IF($R37,IF(AS37,1,0),"")</f>
        <v>1</v>
      </c>
    </row>
    <row r="38" spans="1:77" x14ac:dyDescent="0.4">
      <c r="A38" s="7" t="s">
        <v>38</v>
      </c>
      <c r="B38" s="6" t="str">
        <f t="shared" si="0"/>
        <v>D</v>
      </c>
      <c r="C38" s="48" cm="1">
        <f t="array" ref="C38">IF($R38,INDEX($S:$S,MATCH(TRUE,EXACT(B38,$A:$A),0)),"")</f>
        <v>36</v>
      </c>
      <c r="D38" s="38" t="s">
        <v>46</v>
      </c>
      <c r="E38" s="48" cm="1">
        <f t="array" ref="E38">IF($R38,INDEX($S:$S,MATCH(TRUE,EXACT(D38,$A:$A),0)),"")</f>
        <v>56</v>
      </c>
      <c r="F38" s="38" t="s">
        <v>36</v>
      </c>
      <c r="G38" s="48" cm="1">
        <f t="array" ref="G38">IF($S38&lt;&gt;"",INDEX($S:$S,MATCH(TRUE,EXACT(F38,$A:$A),0)),"")</f>
        <v>33</v>
      </c>
      <c r="H38" s="38" t="s">
        <v>38</v>
      </c>
      <c r="I38" s="48" cm="1">
        <f t="array" ref="I38">IF($R38,INDEX($S:$S,MATCH(TRUE,EXACT(H38,$A:$A),0)),"")</f>
        <v>36</v>
      </c>
      <c r="J38" s="38" t="s">
        <v>36</v>
      </c>
      <c r="K38" s="52" cm="1">
        <f t="array" ref="K38">IF($R38,INDEX($S:$S,MATCH(TRUE,EXACT(J38,$A:$A),0)),"")</f>
        <v>33</v>
      </c>
      <c r="L38" s="38" t="str" cm="1">
        <f t="array" ref="L38">IF($R38,INDEX($T:$T,MATCH(TRUE,EXACT(H38,$D:$D),0)),"")</f>
        <v>W</v>
      </c>
      <c r="M38" s="48" cm="1">
        <f t="array" ref="M38">IF($R38,INDEX($S:$S,MATCH(TRUE,EXACT(L38,$A:$A),0)),"")</f>
        <v>55</v>
      </c>
      <c r="N38" s="38" t="str" cm="1">
        <f t="array" ref="N38">IF($R38,INDEX($T:$T,MATCH(TRUE,EXACT(J38,$D:$D),0)),"")</f>
        <v>X</v>
      </c>
      <c r="O38" s="52" cm="1">
        <f t="array" ref="O38">IF($R38,INDEX($S:$S,MATCH(TRUE,EXACT(N38,$A:$A),0)),"")</f>
        <v>56</v>
      </c>
      <c r="P38" s="23"/>
      <c r="Q38" s="33"/>
      <c r="R38" s="18" t="b">
        <f t="shared" si="1"/>
        <v>1</v>
      </c>
      <c r="S38" s="19">
        <f>IF(R38, MAX(S$2:S37)+1,"")</f>
        <v>36</v>
      </c>
      <c r="T38" s="23" t="str">
        <f t="shared" si="2"/>
        <v>D</v>
      </c>
      <c r="U38" s="8" t="str" cm="1">
        <f t="array" ref="U38">CharToUTF8(A38)</f>
        <v>\x44</v>
      </c>
      <c r="W38" s="18" t="str">
        <f t="shared" si="13"/>
        <v>ORTHO_BOTH</v>
      </c>
      <c r="X38" s="24" t="str">
        <f>$AU$4</f>
        <v>ORTHO_BOTH</v>
      </c>
      <c r="Y38" s="24" t="str">
        <f>$AU$4</f>
        <v>ORTHO_BOTH</v>
      </c>
      <c r="Z38" s="21" t="str">
        <f>$AU$2</f>
        <v>EMPTY</v>
      </c>
      <c r="AB38" s="31" t="b">
        <f t="shared" si="3"/>
        <v>0</v>
      </c>
      <c r="AC38" s="31" t="b">
        <f t="shared" si="4"/>
        <v>0</v>
      </c>
      <c r="AD38" t="b">
        <f t="shared" si="5"/>
        <v>1</v>
      </c>
      <c r="AE38" t="b">
        <f t="shared" si="6"/>
        <v>0</v>
      </c>
      <c r="AF38" t="b">
        <f>IF($R38,W38=VLOOKUP(Z38,$AU$2:$AZ$10,3,FALSE),"")</f>
        <v>0</v>
      </c>
      <c r="AG38" t="b">
        <f>IF($R38,X38=VLOOKUP(Y38,$AU$2:$AZ$10,3,FALSE),"")</f>
        <v>1</v>
      </c>
      <c r="AH38" t="b">
        <f>IF($R38,Y38=VLOOKUP(W38,$AU$2:$AZ$10,3,FALSE),"")</f>
        <v>1</v>
      </c>
      <c r="AI38" t="b">
        <f>IF($R38,Z38=VLOOKUP(X38,$AU$2:$AZ$10,3,FALSE),"")</f>
        <v>0</v>
      </c>
      <c r="AJ38" t="b">
        <f>IF($R38,W38=VLOOKUP(W38,$AU$2:$AZ$10,4,FALSE),"")</f>
        <v>1</v>
      </c>
      <c r="AK38" t="b">
        <f>IF($R38,X38=VLOOKUP(X38,$AU$2:$AZ$10,4,FALSE),"")</f>
        <v>1</v>
      </c>
      <c r="AL38" t="b">
        <f>IF($R38,Y38=VLOOKUP(Y38,$AU$2:$AZ$10,4,FALSE),"")</f>
        <v>1</v>
      </c>
      <c r="AM38" t="b">
        <f>IF($R38,Z38=VLOOKUP(Z38,$AU$2:$AZ$10,4,FALSE),"")</f>
        <v>1</v>
      </c>
      <c r="AN38" t="b">
        <f>IF($R38,W38=VLOOKUP(W38,$AU$2:$AZ$10,5,FALSE),"")</f>
        <v>1</v>
      </c>
      <c r="AO38" t="b">
        <f>IF($R38,X38=VLOOKUP(X38,$AU$2:$AZ$10,5,FALSE),"")</f>
        <v>1</v>
      </c>
      <c r="AP38" t="b">
        <f>IF($R38,Y38=VLOOKUP(Y38,$AU$2:$AZ$10,6,FALSE),"")</f>
        <v>1</v>
      </c>
      <c r="AQ38" t="b">
        <f>IF($R38,Z38=VLOOKUP(Z38,$AU$2:$AZ$10,6,FALSE),"")</f>
        <v>1</v>
      </c>
      <c r="AR38" t="b">
        <f t="shared" si="8"/>
        <v>0</v>
      </c>
      <c r="AS38" t="b">
        <f t="shared" si="9"/>
        <v>0</v>
      </c>
      <c r="BD38" s="59" t="str">
        <f t="shared" si="10"/>
        <v xml:space="preserve">    { wxString::FromUTF8("\x44"), &amp;AllGlyphs[56], &amp;AllGlyphs[33], &amp;AllGlyphs[36], &amp;AllGlyphs[33], &amp;AllGlyphs[55], &amp;AllGlyphs[56], Connection::ORTHO_BOTH, Connection::ORTHO_BOTH, Connection::ORTHO_BOTH, Connection::EMPTY, 0, 0, 1, 0, 0, 0 },</v>
      </c>
      <c r="BE38" s="60"/>
      <c r="BF38" s="60"/>
      <c r="BG38" s="60"/>
      <c r="BH38" s="60"/>
      <c r="BI38" s="60"/>
      <c r="BJ38" s="60"/>
      <c r="BK38" s="61"/>
      <c r="BM38" s="54" t="str">
        <f>IF($R38,"&amp;AllGlyphs[" &amp; E38 &amp; "]","")</f>
        <v>&amp;AllGlyphs[56]</v>
      </c>
      <c r="BN38" s="54" t="str">
        <f>IF($R38,"&amp;AllGlyphs[" &amp; G38 &amp; "]","")</f>
        <v>&amp;AllGlyphs[33]</v>
      </c>
      <c r="BO38" s="54" t="str">
        <f>IF($R38,"&amp;AllGlyphs[" &amp; I38 &amp; "]","")</f>
        <v>&amp;AllGlyphs[36]</v>
      </c>
      <c r="BP38" s="54" t="str">
        <f>IF($R38,"&amp;AllGlyphs[" &amp; K38 &amp; "]","")</f>
        <v>&amp;AllGlyphs[33]</v>
      </c>
      <c r="BQ38" s="54" t="str">
        <f>IF($R38,"&amp;AllGlyphs[" &amp; M38 &amp; "]","")</f>
        <v>&amp;AllGlyphs[55]</v>
      </c>
      <c r="BR38" s="54" t="str">
        <f>IF($R38,"&amp;AllGlyphs[" &amp; O38 &amp; "]","")</f>
        <v>&amp;AllGlyphs[56]</v>
      </c>
      <c r="BT38" s="58">
        <f>IF($R38,IF(AB38,1,0),"")</f>
        <v>0</v>
      </c>
      <c r="BU38" s="58">
        <f>IF($R38,IF(AC38,1,0),"")</f>
        <v>0</v>
      </c>
      <c r="BV38" s="58">
        <f>IF($R38,IF(AD38,1,0),"")</f>
        <v>1</v>
      </c>
      <c r="BW38" s="58">
        <f>IF($R38,IF(AE38,1,0),"")</f>
        <v>0</v>
      </c>
      <c r="BX38" s="58">
        <f>IF($R38,IF(AR38,1,0),"")</f>
        <v>0</v>
      </c>
      <c r="BY38" s="58">
        <f>IF($R38,IF(AS38,1,0),"")</f>
        <v>0</v>
      </c>
    </row>
    <row r="39" spans="1:77" x14ac:dyDescent="0.4">
      <c r="A39" s="7" t="s">
        <v>28</v>
      </c>
      <c r="B39" s="6" t="str">
        <f t="shared" si="0"/>
        <v>E</v>
      </c>
      <c r="C39" s="48" cm="1">
        <f t="array" ref="C39">IF($R39,INDEX($S:$S,MATCH(TRUE,EXACT(B39,$A:$A),0)),"")</f>
        <v>37</v>
      </c>
      <c r="D39" s="38" t="s">
        <v>47</v>
      </c>
      <c r="E39" s="48" cm="1">
        <f t="array" ref="E39">IF($R39,INDEX($S:$S,MATCH(TRUE,EXACT(D39,$A:$A),0)),"")</f>
        <v>35</v>
      </c>
      <c r="F39" s="38" t="s">
        <v>45</v>
      </c>
      <c r="G39" s="48" cm="1">
        <f t="array" ref="G39">IF($S39&lt;&gt;"",INDEX($S:$S,MATCH(TRUE,EXACT(F39,$A:$A),0)),"")</f>
        <v>58</v>
      </c>
      <c r="H39" s="38" t="s">
        <v>47</v>
      </c>
      <c r="I39" s="48" cm="1">
        <f t="array" ref="I39">IF($R39,INDEX($S:$S,MATCH(TRUE,EXACT(H39,$A:$A),0)),"")</f>
        <v>35</v>
      </c>
      <c r="J39" s="38" t="s">
        <v>26</v>
      </c>
      <c r="K39" s="52" cm="1">
        <f t="array" ref="K39">IF($R39,INDEX($S:$S,MATCH(TRUE,EXACT(J39,$A:$A),0)),"")</f>
        <v>49</v>
      </c>
      <c r="L39" s="38" t="str" cm="1">
        <f t="array" ref="L39">IF($R39,INDEX($T:$T,MATCH(TRUE,EXACT(H39,$D:$D),0)),"")</f>
        <v>E</v>
      </c>
      <c r="M39" s="48" cm="1">
        <f t="array" ref="M39">IF($R39,INDEX($S:$S,MATCH(TRUE,EXACT(L39,$A:$A),0)),"")</f>
        <v>37</v>
      </c>
      <c r="N39" s="38" t="str" cm="1">
        <f t="array" ref="N39">IF($R39,INDEX($T:$T,MATCH(TRUE,EXACT(J39,$D:$D),0)),"")</f>
        <v>Z</v>
      </c>
      <c r="O39" s="52" cm="1">
        <f t="array" ref="O39">IF($R39,INDEX($S:$S,MATCH(TRUE,EXACT(N39,$A:$A),0)),"")</f>
        <v>58</v>
      </c>
      <c r="P39" s="23"/>
      <c r="Q39" s="33"/>
      <c r="R39" s="18" t="b">
        <f t="shared" si="1"/>
        <v>1</v>
      </c>
      <c r="S39" s="19">
        <f>IF(R39, MAX(S$2:S38)+1,"")</f>
        <v>37</v>
      </c>
      <c r="T39" s="23" t="str">
        <f t="shared" si="2"/>
        <v>E</v>
      </c>
      <c r="U39" s="8" t="str" cm="1">
        <f t="array" ref="U39">CharToUTF8(A39)</f>
        <v>\x45</v>
      </c>
      <c r="W39" s="18" t="str">
        <f>$AU$2</f>
        <v>EMPTY</v>
      </c>
      <c r="X39" s="24" t="str">
        <f>$AU$4</f>
        <v>ORTHO_BOTH</v>
      </c>
      <c r="Y39" s="24" t="str">
        <f>$AU$4</f>
        <v>ORTHO_BOTH</v>
      </c>
      <c r="Z39" s="21" t="str">
        <f>$AU$2</f>
        <v>EMPTY</v>
      </c>
      <c r="AB39" s="31" t="b">
        <f t="shared" si="3"/>
        <v>0</v>
      </c>
      <c r="AC39" s="31" t="b">
        <f t="shared" si="4"/>
        <v>0</v>
      </c>
      <c r="AD39" t="b">
        <f t="shared" si="5"/>
        <v>0</v>
      </c>
      <c r="AE39" t="b">
        <f t="shared" si="6"/>
        <v>0</v>
      </c>
      <c r="AF39" t="b">
        <f>IF($R39,W39=VLOOKUP(Z39,$AU$2:$AZ$10,3,FALSE),"")</f>
        <v>1</v>
      </c>
      <c r="AG39" t="b">
        <f>IF($R39,X39=VLOOKUP(Y39,$AU$2:$AZ$10,3,FALSE),"")</f>
        <v>1</v>
      </c>
      <c r="AH39" t="b">
        <f>IF($R39,Y39=VLOOKUP(W39,$AU$2:$AZ$10,3,FALSE),"")</f>
        <v>0</v>
      </c>
      <c r="AI39" t="b">
        <f>IF($R39,Z39=VLOOKUP(X39,$AU$2:$AZ$10,3,FALSE),"")</f>
        <v>0</v>
      </c>
      <c r="AJ39" t="b">
        <f>IF($R39,W39=VLOOKUP(W39,$AU$2:$AZ$10,4,FALSE),"")</f>
        <v>1</v>
      </c>
      <c r="AK39" t="b">
        <f>IF($R39,X39=VLOOKUP(X39,$AU$2:$AZ$10,4,FALSE),"")</f>
        <v>1</v>
      </c>
      <c r="AL39" t="b">
        <f>IF($R39,Y39=VLOOKUP(Y39,$AU$2:$AZ$10,4,FALSE),"")</f>
        <v>1</v>
      </c>
      <c r="AM39" t="b">
        <f>IF($R39,Z39=VLOOKUP(Z39,$AU$2:$AZ$10,4,FALSE),"")</f>
        <v>1</v>
      </c>
      <c r="AN39" t="b">
        <f>IF($R39,W39=VLOOKUP(W39,$AU$2:$AZ$10,5,FALSE),"")</f>
        <v>1</v>
      </c>
      <c r="AO39" t="b">
        <f>IF($R39,X39=VLOOKUP(X39,$AU$2:$AZ$10,5,FALSE),"")</f>
        <v>1</v>
      </c>
      <c r="AP39" t="b">
        <f>IF($R39,Y39=VLOOKUP(Y39,$AU$2:$AZ$10,6,FALSE),"")</f>
        <v>1</v>
      </c>
      <c r="AQ39" t="b">
        <f>IF($R39,Z39=VLOOKUP(Z39,$AU$2:$AZ$10,6,FALSE),"")</f>
        <v>1</v>
      </c>
      <c r="AR39" t="b">
        <f t="shared" si="8"/>
        <v>1</v>
      </c>
      <c r="AS39" t="b">
        <f t="shared" si="9"/>
        <v>0</v>
      </c>
      <c r="BD39" s="59" t="str">
        <f t="shared" si="10"/>
        <v xml:space="preserve">    { wxString::FromUTF8("\x45"), &amp;AllGlyphs[35], &amp;AllGlyphs[58], &amp;AllGlyphs[35], &amp;AllGlyphs[49], &amp;AllGlyphs[37], &amp;AllGlyphs[58], Connection::EMPTY, Connection::ORTHO_BOTH, Connection::ORTHO_BOTH, Connection::EMPTY, 0, 0, 0, 0, 1, 0 },</v>
      </c>
      <c r="BE39" s="60"/>
      <c r="BF39" s="60"/>
      <c r="BG39" s="60"/>
      <c r="BH39" s="60"/>
      <c r="BI39" s="60"/>
      <c r="BJ39" s="60"/>
      <c r="BK39" s="61"/>
      <c r="BM39" s="54" t="str">
        <f>IF($R39,"&amp;AllGlyphs[" &amp; E39 &amp; "]","")</f>
        <v>&amp;AllGlyphs[35]</v>
      </c>
      <c r="BN39" s="54" t="str">
        <f>IF($R39,"&amp;AllGlyphs[" &amp; G39 &amp; "]","")</f>
        <v>&amp;AllGlyphs[58]</v>
      </c>
      <c r="BO39" s="54" t="str">
        <f>IF($R39,"&amp;AllGlyphs[" &amp; I39 &amp; "]","")</f>
        <v>&amp;AllGlyphs[35]</v>
      </c>
      <c r="BP39" s="54" t="str">
        <f>IF($R39,"&amp;AllGlyphs[" &amp; K39 &amp; "]","")</f>
        <v>&amp;AllGlyphs[49]</v>
      </c>
      <c r="BQ39" s="54" t="str">
        <f>IF($R39,"&amp;AllGlyphs[" &amp; M39 &amp; "]","")</f>
        <v>&amp;AllGlyphs[37]</v>
      </c>
      <c r="BR39" s="54" t="str">
        <f>IF($R39,"&amp;AllGlyphs[" &amp; O39 &amp; "]","")</f>
        <v>&amp;AllGlyphs[58]</v>
      </c>
      <c r="BT39" s="58">
        <f>IF($R39,IF(AB39,1,0),"")</f>
        <v>0</v>
      </c>
      <c r="BU39" s="58">
        <f>IF($R39,IF(AC39,1,0),"")</f>
        <v>0</v>
      </c>
      <c r="BV39" s="58">
        <f>IF($R39,IF(AD39,1,0),"")</f>
        <v>0</v>
      </c>
      <c r="BW39" s="58">
        <f>IF($R39,IF(AE39,1,0),"")</f>
        <v>0</v>
      </c>
      <c r="BX39" s="58">
        <f>IF($R39,IF(AR39,1,0),"")</f>
        <v>1</v>
      </c>
      <c r="BY39" s="58">
        <f>IF($R39,IF(AS39,1,0),"")</f>
        <v>0</v>
      </c>
    </row>
    <row r="40" spans="1:77" x14ac:dyDescent="0.4">
      <c r="A40" s="7" t="s">
        <v>39</v>
      </c>
      <c r="B40" s="6" t="str">
        <f t="shared" si="0"/>
        <v>F</v>
      </c>
      <c r="C40" s="48" cm="1">
        <f t="array" ref="C40">IF($R40,INDEX($S:$S,MATCH(TRUE,EXACT(B40,$A:$A),0)),"")</f>
        <v>38</v>
      </c>
      <c r="D40" s="38" t="s">
        <v>55</v>
      </c>
      <c r="E40" s="48" cm="1">
        <f t="array" ref="E40">IF($R40,INDEX($S:$S,MATCH(TRUE,EXACT(D40,$A:$A),0)),"")</f>
        <v>4</v>
      </c>
      <c r="F40" s="38" t="s">
        <v>48</v>
      </c>
      <c r="G40" s="48" cm="1">
        <f t="array" ref="G40">IF($S40&lt;&gt;"",INDEX($S:$S,MATCH(TRUE,EXACT(F40,$A:$A),0)),"")</f>
        <v>54</v>
      </c>
      <c r="H40" s="38" t="s">
        <v>39</v>
      </c>
      <c r="I40" s="48" cm="1">
        <f t="array" ref="I40">IF($R40,INDEX($S:$S,MATCH(TRUE,EXACT(H40,$A:$A),0)),"")</f>
        <v>38</v>
      </c>
      <c r="J40" s="38" t="s">
        <v>48</v>
      </c>
      <c r="K40" s="52" cm="1">
        <f t="array" ref="K40">IF($R40,INDEX($S:$S,MATCH(TRUE,EXACT(J40,$A:$A),0)),"")</f>
        <v>54</v>
      </c>
      <c r="L40" s="38" t="str" cm="1">
        <f t="array" ref="L40">IF($R40,INDEX($T:$T,MATCH(TRUE,EXACT(H40,$D:$D),0)),"")</f>
        <v>R</v>
      </c>
      <c r="M40" s="48" cm="1">
        <f t="array" ref="M40">IF($R40,INDEX($S:$S,MATCH(TRUE,EXACT(L40,$A:$A),0)),"")</f>
        <v>50</v>
      </c>
      <c r="N40" s="38" t="str" cm="1">
        <f t="array" ref="N40">IF($R40,INDEX($T:$T,MATCH(TRUE,EXACT(J40,$D:$D),0)),"")</f>
        <v>$</v>
      </c>
      <c r="O40" s="52" cm="1">
        <f t="array" ref="O40">IF($R40,INDEX($S:$S,MATCH(TRUE,EXACT(N40,$A:$A),0)),"")</f>
        <v>4</v>
      </c>
      <c r="P40" s="23"/>
      <c r="Q40" s="33"/>
      <c r="R40" s="18" t="b">
        <f t="shared" si="1"/>
        <v>1</v>
      </c>
      <c r="S40" s="19">
        <f>IF(R40, MAX(S$2:S39)+1,"")</f>
        <v>38</v>
      </c>
      <c r="T40" s="23" t="str">
        <f t="shared" si="2"/>
        <v>F</v>
      </c>
      <c r="U40" s="8" t="str" cm="1">
        <f t="array" ref="U40">CharToUTF8(A40)</f>
        <v>\x46</v>
      </c>
      <c r="W40" s="18" t="str">
        <f>$AU$2</f>
        <v>EMPTY</v>
      </c>
      <c r="X40" s="24" t="str">
        <f>$AU$2</f>
        <v>EMPTY</v>
      </c>
      <c r="Y40" s="24" t="str">
        <f>$AU$2</f>
        <v>EMPTY</v>
      </c>
      <c r="Z40" s="21" t="str">
        <f>$AU$4</f>
        <v>ORTHO_BOTH</v>
      </c>
      <c r="AB40" s="31" t="b">
        <f t="shared" si="3"/>
        <v>0</v>
      </c>
      <c r="AC40" s="31" t="b">
        <f t="shared" si="4"/>
        <v>0</v>
      </c>
      <c r="AD40" t="b">
        <f t="shared" si="5"/>
        <v>1</v>
      </c>
      <c r="AE40" t="b">
        <f t="shared" si="6"/>
        <v>0</v>
      </c>
      <c r="AF40" t="b">
        <f>IF($R40,W40=VLOOKUP(Z40,$AU$2:$AZ$10,3,FALSE),"")</f>
        <v>0</v>
      </c>
      <c r="AG40" t="b">
        <f>IF($R40,X40=VLOOKUP(Y40,$AU$2:$AZ$10,3,FALSE),"")</f>
        <v>1</v>
      </c>
      <c r="AH40" t="b">
        <f>IF($R40,Y40=VLOOKUP(W40,$AU$2:$AZ$10,3,FALSE),"")</f>
        <v>1</v>
      </c>
      <c r="AI40" t="b">
        <f>IF($R40,Z40=VLOOKUP(X40,$AU$2:$AZ$10,3,FALSE),"")</f>
        <v>0</v>
      </c>
      <c r="AJ40" t="b">
        <f>IF($R40,W40=VLOOKUP(W40,$AU$2:$AZ$10,4,FALSE),"")</f>
        <v>1</v>
      </c>
      <c r="AK40" t="b">
        <f>IF($R40,X40=VLOOKUP(X40,$AU$2:$AZ$10,4,FALSE),"")</f>
        <v>1</v>
      </c>
      <c r="AL40" t="b">
        <f>IF($R40,Y40=VLOOKUP(Y40,$AU$2:$AZ$10,4,FALSE),"")</f>
        <v>1</v>
      </c>
      <c r="AM40" t="b">
        <f>IF($R40,Z40=VLOOKUP(Z40,$AU$2:$AZ$10,4,FALSE),"")</f>
        <v>1</v>
      </c>
      <c r="AN40" t="b">
        <f>IF($R40,W40=VLOOKUP(W40,$AU$2:$AZ$10,5,FALSE),"")</f>
        <v>1</v>
      </c>
      <c r="AO40" t="b">
        <f>IF($R40,X40=VLOOKUP(X40,$AU$2:$AZ$10,5,FALSE),"")</f>
        <v>1</v>
      </c>
      <c r="AP40" t="b">
        <f>IF($R40,Y40=VLOOKUP(Y40,$AU$2:$AZ$10,6,FALSE),"")</f>
        <v>1</v>
      </c>
      <c r="AQ40" t="b">
        <f>IF($R40,Z40=VLOOKUP(Z40,$AU$2:$AZ$10,6,FALSE),"")</f>
        <v>1</v>
      </c>
      <c r="AR40" t="b">
        <f t="shared" si="8"/>
        <v>0</v>
      </c>
      <c r="AS40" t="b">
        <f t="shared" si="9"/>
        <v>0</v>
      </c>
      <c r="BD40" s="59" t="str">
        <f t="shared" si="10"/>
        <v xml:space="preserve">    { wxString::FromUTF8("\x46"), &amp;AllGlyphs[4], &amp;AllGlyphs[54], &amp;AllGlyphs[38], &amp;AllGlyphs[54], &amp;AllGlyphs[50], &amp;AllGlyphs[4], Connection::EMPTY, Connection::EMPTY, Connection::EMPTY, Connection::ORTHO_BOTH, 0, 0, 1, 0, 0, 0 },</v>
      </c>
      <c r="BE40" s="60"/>
      <c r="BF40" s="60"/>
      <c r="BG40" s="60"/>
      <c r="BH40" s="60"/>
      <c r="BI40" s="60"/>
      <c r="BJ40" s="60"/>
      <c r="BK40" s="61"/>
      <c r="BM40" s="54" t="str">
        <f>IF($R40,"&amp;AllGlyphs[" &amp; E40 &amp; "]","")</f>
        <v>&amp;AllGlyphs[4]</v>
      </c>
      <c r="BN40" s="54" t="str">
        <f>IF($R40,"&amp;AllGlyphs[" &amp; G40 &amp; "]","")</f>
        <v>&amp;AllGlyphs[54]</v>
      </c>
      <c r="BO40" s="54" t="str">
        <f>IF($R40,"&amp;AllGlyphs[" &amp; I40 &amp; "]","")</f>
        <v>&amp;AllGlyphs[38]</v>
      </c>
      <c r="BP40" s="54" t="str">
        <f>IF($R40,"&amp;AllGlyphs[" &amp; K40 &amp; "]","")</f>
        <v>&amp;AllGlyphs[54]</v>
      </c>
      <c r="BQ40" s="54" t="str">
        <f>IF($R40,"&amp;AllGlyphs[" &amp; M40 &amp; "]","")</f>
        <v>&amp;AllGlyphs[50]</v>
      </c>
      <c r="BR40" s="54" t="str">
        <f>IF($R40,"&amp;AllGlyphs[" &amp; O40 &amp; "]","")</f>
        <v>&amp;AllGlyphs[4]</v>
      </c>
      <c r="BT40" s="58">
        <f>IF($R40,IF(AB40,1,0),"")</f>
        <v>0</v>
      </c>
      <c r="BU40" s="58">
        <f>IF($R40,IF(AC40,1,0),"")</f>
        <v>0</v>
      </c>
      <c r="BV40" s="58">
        <f>IF($R40,IF(AD40,1,0),"")</f>
        <v>1</v>
      </c>
      <c r="BW40" s="58">
        <f>IF($R40,IF(AE40,1,0),"")</f>
        <v>0</v>
      </c>
      <c r="BX40" s="58">
        <f>IF($R40,IF(AR40,1,0),"")</f>
        <v>0</v>
      </c>
      <c r="BY40" s="58">
        <f>IF($R40,IF(AS40,1,0),"")</f>
        <v>0</v>
      </c>
    </row>
    <row r="41" spans="1:77" x14ac:dyDescent="0.4">
      <c r="A41" s="7" t="s">
        <v>40</v>
      </c>
      <c r="B41" s="6" t="str">
        <f t="shared" si="0"/>
        <v>G</v>
      </c>
      <c r="C41" s="48" cm="1">
        <f t="array" ref="C41">IF($R41,INDEX($S:$S,MATCH(TRUE,EXACT(B41,$A:$A),0)),"")</f>
        <v>39</v>
      </c>
      <c r="D41" s="38" t="s">
        <v>56</v>
      </c>
      <c r="E41" s="48" cm="1">
        <f t="array" ref="E41">IF($R41,INDEX($S:$S,MATCH(TRUE,EXACT(D41,$A:$A),0)),"")</f>
        <v>5</v>
      </c>
      <c r="F41" s="38" t="s">
        <v>41</v>
      </c>
      <c r="G41" s="48" cm="1">
        <f t="array" ref="G41">IF($S41&lt;&gt;"",INDEX($S:$S,MATCH(TRUE,EXACT(F41,$A:$A),0)),"")</f>
        <v>40</v>
      </c>
      <c r="H41" s="38" t="s">
        <v>40</v>
      </c>
      <c r="I41" s="48" cm="1">
        <f t="array" ref="I41">IF($R41,INDEX($S:$S,MATCH(TRUE,EXACT(H41,$A:$A),0)),"")</f>
        <v>39</v>
      </c>
      <c r="J41" s="38" t="s">
        <v>41</v>
      </c>
      <c r="K41" s="52" cm="1">
        <f t="array" ref="K41">IF($R41,INDEX($S:$S,MATCH(TRUE,EXACT(J41,$A:$A),0)),"")</f>
        <v>40</v>
      </c>
      <c r="L41" s="38" t="str" cm="1">
        <f t="array" ref="L41">IF($R41,INDEX($T:$T,MATCH(TRUE,EXACT(H41,$D:$D),0)),"")</f>
        <v>T</v>
      </c>
      <c r="M41" s="48" cm="1">
        <f t="array" ref="M41">IF($R41,INDEX($S:$S,MATCH(TRUE,EXACT(L41,$A:$A),0)),"")</f>
        <v>52</v>
      </c>
      <c r="N41" s="38" t="str" cm="1">
        <f t="array" ref="N41">IF($R41,INDEX($T:$T,MATCH(TRUE,EXACT(J41,$D:$D),0)),"")</f>
        <v>%</v>
      </c>
      <c r="O41" s="52" cm="1">
        <f t="array" ref="O41">IF($R41,INDEX($S:$S,MATCH(TRUE,EXACT(N41,$A:$A),0)),"")</f>
        <v>5</v>
      </c>
      <c r="P41" s="23"/>
      <c r="Q41" s="33"/>
      <c r="R41" s="18" t="b">
        <f t="shared" si="1"/>
        <v>1</v>
      </c>
      <c r="S41" s="19">
        <f>IF(R41, MAX(S$2:S40)+1,"")</f>
        <v>39</v>
      </c>
      <c r="T41" s="23" t="str">
        <f t="shared" si="2"/>
        <v>G</v>
      </c>
      <c r="U41" s="8" t="str" cm="1">
        <f t="array" ref="U41">CharToUTF8(A41)</f>
        <v>\x47</v>
      </c>
      <c r="W41" s="18" t="str">
        <f>$AU$4</f>
        <v>ORTHO_BOTH</v>
      </c>
      <c r="X41" s="24" t="str">
        <f>$AU$4</f>
        <v>ORTHO_BOTH</v>
      </c>
      <c r="Y41" s="24" t="str">
        <f>$AU$2</f>
        <v>EMPTY</v>
      </c>
      <c r="Z41" s="21" t="str">
        <f>$AU$3</f>
        <v>DIAG_BOTH</v>
      </c>
      <c r="AB41" s="31" t="b">
        <f t="shared" si="3"/>
        <v>0</v>
      </c>
      <c r="AC41" s="31" t="b">
        <f t="shared" si="4"/>
        <v>0</v>
      </c>
      <c r="AD41" t="b">
        <f t="shared" si="5"/>
        <v>1</v>
      </c>
      <c r="AE41" t="b">
        <f t="shared" si="6"/>
        <v>0</v>
      </c>
      <c r="AF41" t="b">
        <f>IF($R41,W41=VLOOKUP(Z41,$AU$2:$AZ$10,3,FALSE),"")</f>
        <v>0</v>
      </c>
      <c r="AG41" t="b">
        <f>IF($R41,X41=VLOOKUP(Y41,$AU$2:$AZ$10,3,FALSE),"")</f>
        <v>0</v>
      </c>
      <c r="AH41" t="b">
        <f>IF($R41,Y41=VLOOKUP(W41,$AU$2:$AZ$10,3,FALSE),"")</f>
        <v>0</v>
      </c>
      <c r="AI41" t="b">
        <f>IF($R41,Z41=VLOOKUP(X41,$AU$2:$AZ$10,3,FALSE),"")</f>
        <v>0</v>
      </c>
      <c r="AJ41" t="b">
        <f>IF($R41,W41=VLOOKUP(W41,$AU$2:$AZ$10,4,FALSE),"")</f>
        <v>1</v>
      </c>
      <c r="AK41" t="b">
        <f>IF($R41,X41=VLOOKUP(X41,$AU$2:$AZ$10,4,FALSE),"")</f>
        <v>1</v>
      </c>
      <c r="AL41" t="b">
        <f>IF($R41,Y41=VLOOKUP(Y41,$AU$2:$AZ$10,4,FALSE),"")</f>
        <v>1</v>
      </c>
      <c r="AM41" t="b">
        <f>IF($R41,Z41=VLOOKUP(Z41,$AU$2:$AZ$10,4,FALSE),"")</f>
        <v>1</v>
      </c>
      <c r="AN41" t="b">
        <f>IF($R41,W41=VLOOKUP(W41,$AU$2:$AZ$10,5,FALSE),"")</f>
        <v>1</v>
      </c>
      <c r="AO41" t="b">
        <f>IF($R41,X41=VLOOKUP(X41,$AU$2:$AZ$10,5,FALSE),"")</f>
        <v>1</v>
      </c>
      <c r="AP41" t="b">
        <f>IF($R41,Y41=VLOOKUP(Y41,$AU$2:$AZ$10,6,FALSE),"")</f>
        <v>1</v>
      </c>
      <c r="AQ41" t="b">
        <f>IF($R41,Z41=VLOOKUP(Z41,$AU$2:$AZ$10,6,FALSE),"")</f>
        <v>1</v>
      </c>
      <c r="AR41" t="b">
        <f t="shared" si="8"/>
        <v>0</v>
      </c>
      <c r="AS41" t="b">
        <f t="shared" si="9"/>
        <v>0</v>
      </c>
      <c r="BD41" s="59" t="str">
        <f t="shared" si="10"/>
        <v xml:space="preserve">    { wxString::FromUTF8("\x47"), &amp;AllGlyphs[5], &amp;AllGlyphs[40], &amp;AllGlyphs[39], &amp;AllGlyphs[40], &amp;AllGlyphs[52], &amp;AllGlyphs[5], Connection::ORTHO_BOTH, Connection::ORTHO_BOTH, Connection::EMPTY, Connection::DIAG_BOTH, 0, 0, 1, 0, 0, 0 },</v>
      </c>
      <c r="BE41" s="60"/>
      <c r="BF41" s="60"/>
      <c r="BG41" s="60"/>
      <c r="BH41" s="60"/>
      <c r="BI41" s="60"/>
      <c r="BJ41" s="60"/>
      <c r="BK41" s="61"/>
      <c r="BM41" s="54" t="str">
        <f>IF($R41,"&amp;AllGlyphs[" &amp; E41 &amp; "]","")</f>
        <v>&amp;AllGlyphs[5]</v>
      </c>
      <c r="BN41" s="54" t="str">
        <f>IF($R41,"&amp;AllGlyphs[" &amp; G41 &amp; "]","")</f>
        <v>&amp;AllGlyphs[40]</v>
      </c>
      <c r="BO41" s="54" t="str">
        <f>IF($R41,"&amp;AllGlyphs[" &amp; I41 &amp; "]","")</f>
        <v>&amp;AllGlyphs[39]</v>
      </c>
      <c r="BP41" s="54" t="str">
        <f>IF($R41,"&amp;AllGlyphs[" &amp; K41 &amp; "]","")</f>
        <v>&amp;AllGlyphs[40]</v>
      </c>
      <c r="BQ41" s="54" t="str">
        <f>IF($R41,"&amp;AllGlyphs[" &amp; M41 &amp; "]","")</f>
        <v>&amp;AllGlyphs[52]</v>
      </c>
      <c r="BR41" s="54" t="str">
        <f>IF($R41,"&amp;AllGlyphs[" &amp; O41 &amp; "]","")</f>
        <v>&amp;AllGlyphs[5]</v>
      </c>
      <c r="BT41" s="58">
        <f>IF($R41,IF(AB41,1,0),"")</f>
        <v>0</v>
      </c>
      <c r="BU41" s="58">
        <f>IF($R41,IF(AC41,1,0),"")</f>
        <v>0</v>
      </c>
      <c r="BV41" s="58">
        <f>IF($R41,IF(AD41,1,0),"")</f>
        <v>1</v>
      </c>
      <c r="BW41" s="58">
        <f>IF($R41,IF(AE41,1,0),"")</f>
        <v>0</v>
      </c>
      <c r="BX41" s="58">
        <f>IF($R41,IF(AR41,1,0),"")</f>
        <v>0</v>
      </c>
      <c r="BY41" s="58">
        <f>IF($R41,IF(AS41,1,0),"")</f>
        <v>0</v>
      </c>
    </row>
    <row r="42" spans="1:77" x14ac:dyDescent="0.4">
      <c r="A42" s="7" t="s">
        <v>41</v>
      </c>
      <c r="B42" s="6" t="str">
        <f t="shared" si="0"/>
        <v>H</v>
      </c>
      <c r="C42" s="48" cm="1">
        <f t="array" ref="C42">IF($R42,INDEX($S:$S,MATCH(TRUE,EXACT(B42,$A:$A),0)),"")</f>
        <v>40</v>
      </c>
      <c r="D42" s="38" t="s">
        <v>30</v>
      </c>
      <c r="E42" s="48" cm="1">
        <f t="array" ref="E42">IF($R42,INDEX($S:$S,MATCH(TRUE,EXACT(D42,$A:$A),0)),"")</f>
        <v>52</v>
      </c>
      <c r="F42" s="38" t="s">
        <v>40</v>
      </c>
      <c r="G42" s="48" cm="1">
        <f t="array" ref="G42">IF($S42&lt;&gt;"",INDEX($S:$S,MATCH(TRUE,EXACT(F42,$A:$A),0)),"")</f>
        <v>39</v>
      </c>
      <c r="H42" s="38" t="s">
        <v>41</v>
      </c>
      <c r="I42" s="48" cm="1">
        <f t="array" ref="I42">IF($R42,INDEX($S:$S,MATCH(TRUE,EXACT(H42,$A:$A),0)),"")</f>
        <v>40</v>
      </c>
      <c r="J42" s="38" t="s">
        <v>40</v>
      </c>
      <c r="K42" s="52" cm="1">
        <f t="array" ref="K42">IF($R42,INDEX($S:$S,MATCH(TRUE,EXACT(J42,$A:$A),0)),"")</f>
        <v>39</v>
      </c>
      <c r="L42" s="38" t="str" cm="1">
        <f t="array" ref="L42">IF($R42,INDEX($T:$T,MATCH(TRUE,EXACT(H42,$D:$D),0)),"")</f>
        <v>%</v>
      </c>
      <c r="M42" s="48" cm="1">
        <f t="array" ref="M42">IF($R42,INDEX($S:$S,MATCH(TRUE,EXACT(L42,$A:$A),0)),"")</f>
        <v>5</v>
      </c>
      <c r="N42" s="38" t="str" cm="1">
        <f t="array" ref="N42">IF($R42,INDEX($T:$T,MATCH(TRUE,EXACT(J42,$D:$D),0)),"")</f>
        <v>T</v>
      </c>
      <c r="O42" s="52" cm="1">
        <f t="array" ref="O42">IF($R42,INDEX($S:$S,MATCH(TRUE,EXACT(N42,$A:$A),0)),"")</f>
        <v>52</v>
      </c>
      <c r="P42" s="23"/>
      <c r="Q42" s="33"/>
      <c r="R42" s="18" t="b">
        <f t="shared" si="1"/>
        <v>1</v>
      </c>
      <c r="S42" s="19">
        <f>IF(R42, MAX(S$2:S41)+1,"")</f>
        <v>40</v>
      </c>
      <c r="T42" s="23" t="str">
        <f t="shared" si="2"/>
        <v>H</v>
      </c>
      <c r="U42" s="8" t="str" cm="1">
        <f t="array" ref="U42">CharToUTF8(A42)</f>
        <v>\x48</v>
      </c>
      <c r="W42" s="18" t="str">
        <f>$AU$4</f>
        <v>ORTHO_BOTH</v>
      </c>
      <c r="X42" s="24" t="str">
        <f>$AU$4</f>
        <v>ORTHO_BOTH</v>
      </c>
      <c r="Y42" s="24" t="str">
        <f>$AU$3</f>
        <v>DIAG_BOTH</v>
      </c>
      <c r="Z42" s="21" t="str">
        <f>$AU$2</f>
        <v>EMPTY</v>
      </c>
      <c r="AB42" s="31" t="b">
        <f t="shared" si="3"/>
        <v>0</v>
      </c>
      <c r="AC42" s="31" t="b">
        <f t="shared" si="4"/>
        <v>0</v>
      </c>
      <c r="AD42" t="b">
        <f t="shared" si="5"/>
        <v>1</v>
      </c>
      <c r="AE42" t="b">
        <f t="shared" si="6"/>
        <v>0</v>
      </c>
      <c r="AF42" t="b">
        <f>IF($R42,W42=VLOOKUP(Z42,$AU$2:$AZ$10,3,FALSE),"")</f>
        <v>0</v>
      </c>
      <c r="AG42" t="b">
        <f>IF($R42,X42=VLOOKUP(Y42,$AU$2:$AZ$10,3,FALSE),"")</f>
        <v>0</v>
      </c>
      <c r="AH42" t="b">
        <f>IF($R42,Y42=VLOOKUP(W42,$AU$2:$AZ$10,3,FALSE),"")</f>
        <v>0</v>
      </c>
      <c r="AI42" t="b">
        <f>IF($R42,Z42=VLOOKUP(X42,$AU$2:$AZ$10,3,FALSE),"")</f>
        <v>0</v>
      </c>
      <c r="AJ42" t="b">
        <f>IF($R42,W42=VLOOKUP(W42,$AU$2:$AZ$10,4,FALSE),"")</f>
        <v>1</v>
      </c>
      <c r="AK42" t="b">
        <f>IF($R42,X42=VLOOKUP(X42,$AU$2:$AZ$10,4,FALSE),"")</f>
        <v>1</v>
      </c>
      <c r="AL42" t="b">
        <f>IF($R42,Y42=VLOOKUP(Y42,$AU$2:$AZ$10,4,FALSE),"")</f>
        <v>1</v>
      </c>
      <c r="AM42" t="b">
        <f>IF($R42,Z42=VLOOKUP(Z42,$AU$2:$AZ$10,4,FALSE),"")</f>
        <v>1</v>
      </c>
      <c r="AN42" t="b">
        <f>IF($R42,W42=VLOOKUP(W42,$AU$2:$AZ$10,5,FALSE),"")</f>
        <v>1</v>
      </c>
      <c r="AO42" t="b">
        <f>IF($R42,X42=VLOOKUP(X42,$AU$2:$AZ$10,5,FALSE),"")</f>
        <v>1</v>
      </c>
      <c r="AP42" t="b">
        <f>IF($R42,Y42=VLOOKUP(Y42,$AU$2:$AZ$10,6,FALSE),"")</f>
        <v>1</v>
      </c>
      <c r="AQ42" t="b">
        <f>IF($R42,Z42=VLOOKUP(Z42,$AU$2:$AZ$10,6,FALSE),"")</f>
        <v>1</v>
      </c>
      <c r="AR42" t="b">
        <f t="shared" si="8"/>
        <v>0</v>
      </c>
      <c r="AS42" t="b">
        <f t="shared" si="9"/>
        <v>0</v>
      </c>
      <c r="BD42" s="59" t="str">
        <f t="shared" si="10"/>
        <v xml:space="preserve">    { wxString::FromUTF8("\x48"), &amp;AllGlyphs[52], &amp;AllGlyphs[39], &amp;AllGlyphs[40], &amp;AllGlyphs[39], &amp;AllGlyphs[5], &amp;AllGlyphs[52], Connection::ORTHO_BOTH, Connection::ORTHO_BOTH, Connection::DIAG_BOTH, Connection::EMPTY, 0, 0, 1, 0, 0, 0 },</v>
      </c>
      <c r="BE42" s="60"/>
      <c r="BF42" s="60"/>
      <c r="BG42" s="60"/>
      <c r="BH42" s="60"/>
      <c r="BI42" s="60"/>
      <c r="BJ42" s="60"/>
      <c r="BK42" s="61"/>
      <c r="BM42" s="54" t="str">
        <f>IF($R42,"&amp;AllGlyphs[" &amp; E42 &amp; "]","")</f>
        <v>&amp;AllGlyphs[52]</v>
      </c>
      <c r="BN42" s="54" t="str">
        <f>IF($R42,"&amp;AllGlyphs[" &amp; G42 &amp; "]","")</f>
        <v>&amp;AllGlyphs[39]</v>
      </c>
      <c r="BO42" s="54" t="str">
        <f>IF($R42,"&amp;AllGlyphs[" &amp; I42 &amp; "]","")</f>
        <v>&amp;AllGlyphs[40]</v>
      </c>
      <c r="BP42" s="54" t="str">
        <f>IF($R42,"&amp;AllGlyphs[" &amp; K42 &amp; "]","")</f>
        <v>&amp;AllGlyphs[39]</v>
      </c>
      <c r="BQ42" s="54" t="str">
        <f>IF($R42,"&amp;AllGlyphs[" &amp; M42 &amp; "]","")</f>
        <v>&amp;AllGlyphs[5]</v>
      </c>
      <c r="BR42" s="54" t="str">
        <f>IF($R42,"&amp;AllGlyphs[" &amp; O42 &amp; "]","")</f>
        <v>&amp;AllGlyphs[52]</v>
      </c>
      <c r="BT42" s="58">
        <f>IF($R42,IF(AB42,1,0),"")</f>
        <v>0</v>
      </c>
      <c r="BU42" s="58">
        <f>IF($R42,IF(AC42,1,0),"")</f>
        <v>0</v>
      </c>
      <c r="BV42" s="58">
        <f>IF($R42,IF(AD42,1,0),"")</f>
        <v>1</v>
      </c>
      <c r="BW42" s="58">
        <f>IF($R42,IF(AE42,1,0),"")</f>
        <v>0</v>
      </c>
      <c r="BX42" s="58">
        <f>IF($R42,IF(AR42,1,0),"")</f>
        <v>0</v>
      </c>
      <c r="BY42" s="58">
        <f>IF($R42,IF(AS42,1,0),"")</f>
        <v>0</v>
      </c>
    </row>
    <row r="43" spans="1:77" x14ac:dyDescent="0.4">
      <c r="A43" s="7" t="s">
        <v>33</v>
      </c>
      <c r="B43" s="6" t="str">
        <f t="shared" si="0"/>
        <v>I</v>
      </c>
      <c r="C43" s="48" cm="1">
        <f t="array" ref="C43">IF($R43,INDEX($S:$S,MATCH(TRUE,EXACT(B43,$A:$A),0)),"")</f>
        <v>41</v>
      </c>
      <c r="D43" s="38" t="s">
        <v>51</v>
      </c>
      <c r="E43" s="48" cm="1">
        <f t="array" ref="E43">IF($R43,INDEX($S:$S,MATCH(TRUE,EXACT(D43,$A:$A),0)),"")</f>
        <v>45</v>
      </c>
      <c r="F43" s="38" t="s">
        <v>58</v>
      </c>
      <c r="G43" s="48" cm="1">
        <f t="array" ref="G43">IF($S43&lt;&gt;"",INDEX($S:$S,MATCH(TRUE,EXACT(F43,$A:$A),0)),"")</f>
        <v>6</v>
      </c>
      <c r="H43" s="38" t="s">
        <v>59</v>
      </c>
      <c r="I43" s="48" cm="1">
        <f t="array" ref="I43">IF($R43,INDEX($S:$S,MATCH(TRUE,EXACT(H43,$A:$A),0)),"")</f>
        <v>10</v>
      </c>
      <c r="J43" s="38" t="s">
        <v>32</v>
      </c>
      <c r="K43" s="52" cm="1">
        <f t="array" ref="K43">IF($R43,INDEX($S:$S,MATCH(TRUE,EXACT(J43,$A:$A),0)),"")</f>
        <v>53</v>
      </c>
      <c r="L43" s="38" t="str" cm="1">
        <f t="array" ref="L43">IF($R43,INDEX($T:$T,MATCH(TRUE,EXACT(H43,$D:$D),0)),"")</f>
        <v>J</v>
      </c>
      <c r="M43" s="48" cm="1">
        <f t="array" ref="M43">IF($R43,INDEX($S:$S,MATCH(TRUE,EXACT(L43,$A:$A),0)),"")</f>
        <v>42</v>
      </c>
      <c r="N43" s="38" t="str" cm="1">
        <f t="array" ref="N43">IF($R43,INDEX($T:$T,MATCH(TRUE,EXACT(J43,$D:$D),0)),"")</f>
        <v>&lt;</v>
      </c>
      <c r="O43" s="52" cm="1">
        <f t="array" ref="O43">IF($R43,INDEX($S:$S,MATCH(TRUE,EXACT(N43,$A:$A),0)),"")</f>
        <v>28</v>
      </c>
      <c r="P43" s="23"/>
      <c r="Q43" s="33"/>
      <c r="R43" s="18" t="b">
        <f t="shared" si="1"/>
        <v>1</v>
      </c>
      <c r="S43" s="19">
        <f>IF(R43, MAX(S$2:S42)+1,"")</f>
        <v>41</v>
      </c>
      <c r="T43" s="23" t="str">
        <f t="shared" si="2"/>
        <v>I</v>
      </c>
      <c r="U43" s="8" t="str" cm="1">
        <f t="array" ref="U43">CharToUTF8(A43)</f>
        <v>\x49</v>
      </c>
      <c r="W43" s="18" t="str">
        <f>$AU$4</f>
        <v>ORTHO_BOTH</v>
      </c>
      <c r="X43" s="24" t="str">
        <f>$AU$3</f>
        <v>DIAG_BOTH</v>
      </c>
      <c r="Y43" s="24" t="str">
        <f>$AU$4</f>
        <v>ORTHO_BOTH</v>
      </c>
      <c r="Z43" s="21" t="str">
        <f>$AU$2</f>
        <v>EMPTY</v>
      </c>
      <c r="AB43" s="31" t="b">
        <f t="shared" si="3"/>
        <v>0</v>
      </c>
      <c r="AC43" s="31" t="b">
        <f t="shared" si="4"/>
        <v>0</v>
      </c>
      <c r="AD43" t="b">
        <f t="shared" si="5"/>
        <v>0</v>
      </c>
      <c r="AE43" t="b">
        <f t="shared" si="6"/>
        <v>0</v>
      </c>
      <c r="AF43" t="b">
        <f>IF($R43,W43=VLOOKUP(Z43,$AU$2:$AZ$10,3,FALSE),"")</f>
        <v>0</v>
      </c>
      <c r="AG43" t="b">
        <f>IF($R43,X43=VLOOKUP(Y43,$AU$2:$AZ$10,3,FALSE),"")</f>
        <v>0</v>
      </c>
      <c r="AH43" t="b">
        <f>IF($R43,Y43=VLOOKUP(W43,$AU$2:$AZ$10,3,FALSE),"")</f>
        <v>1</v>
      </c>
      <c r="AI43" t="b">
        <f>IF($R43,Z43=VLOOKUP(X43,$AU$2:$AZ$10,3,FALSE),"")</f>
        <v>0</v>
      </c>
      <c r="AJ43" t="b">
        <f>IF($R43,W43=VLOOKUP(W43,$AU$2:$AZ$10,4,FALSE),"")</f>
        <v>1</v>
      </c>
      <c r="AK43" t="b">
        <f>IF($R43,X43=VLOOKUP(X43,$AU$2:$AZ$10,4,FALSE),"")</f>
        <v>1</v>
      </c>
      <c r="AL43" t="b">
        <f>IF($R43,Y43=VLOOKUP(Y43,$AU$2:$AZ$10,4,FALSE),"")</f>
        <v>1</v>
      </c>
      <c r="AM43" t="b">
        <f>IF($R43,Z43=VLOOKUP(Z43,$AU$2:$AZ$10,4,FALSE),"")</f>
        <v>1</v>
      </c>
      <c r="AN43" t="b">
        <f>IF($R43,W43=VLOOKUP(W43,$AU$2:$AZ$10,5,FALSE),"")</f>
        <v>1</v>
      </c>
      <c r="AO43" t="b">
        <f>IF($R43,X43=VLOOKUP(X43,$AU$2:$AZ$10,5,FALSE),"")</f>
        <v>1</v>
      </c>
      <c r="AP43" t="b">
        <f>IF($R43,Y43=VLOOKUP(Y43,$AU$2:$AZ$10,6,FALSE),"")</f>
        <v>1</v>
      </c>
      <c r="AQ43" t="b">
        <f>IF($R43,Z43=VLOOKUP(Z43,$AU$2:$AZ$10,6,FALSE),"")</f>
        <v>1</v>
      </c>
      <c r="AR43" t="b">
        <f t="shared" si="8"/>
        <v>0</v>
      </c>
      <c r="AS43" t="b">
        <f t="shared" si="9"/>
        <v>0</v>
      </c>
      <c r="BD43" s="59" t="str">
        <f t="shared" si="10"/>
        <v xml:space="preserve">    { wxString::FromUTF8("\x49"), &amp;AllGlyphs[45], &amp;AllGlyphs[6], &amp;AllGlyphs[10], &amp;AllGlyphs[53], &amp;AllGlyphs[42], &amp;AllGlyphs[28], Connection::ORTHO_BOTH, Connection::DIAG_BOTH, Connection::ORTHO_BOTH, Connection::EMPTY, 0, 0, 0, 0, 0, 0 },</v>
      </c>
      <c r="BE43" s="60"/>
      <c r="BF43" s="60"/>
      <c r="BG43" s="60"/>
      <c r="BH43" s="60"/>
      <c r="BI43" s="60"/>
      <c r="BJ43" s="60"/>
      <c r="BK43" s="61"/>
      <c r="BM43" s="54" t="str">
        <f>IF($R43,"&amp;AllGlyphs[" &amp; E43 &amp; "]","")</f>
        <v>&amp;AllGlyphs[45]</v>
      </c>
      <c r="BN43" s="54" t="str">
        <f>IF($R43,"&amp;AllGlyphs[" &amp; G43 &amp; "]","")</f>
        <v>&amp;AllGlyphs[6]</v>
      </c>
      <c r="BO43" s="54" t="str">
        <f>IF($R43,"&amp;AllGlyphs[" &amp; I43 &amp; "]","")</f>
        <v>&amp;AllGlyphs[10]</v>
      </c>
      <c r="BP43" s="54" t="str">
        <f>IF($R43,"&amp;AllGlyphs[" &amp; K43 &amp; "]","")</f>
        <v>&amp;AllGlyphs[53]</v>
      </c>
      <c r="BQ43" s="54" t="str">
        <f>IF($R43,"&amp;AllGlyphs[" &amp; M43 &amp; "]","")</f>
        <v>&amp;AllGlyphs[42]</v>
      </c>
      <c r="BR43" s="54" t="str">
        <f>IF($R43,"&amp;AllGlyphs[" &amp; O43 &amp; "]","")</f>
        <v>&amp;AllGlyphs[28]</v>
      </c>
      <c r="BT43" s="58">
        <f>IF($R43,IF(AB43,1,0),"")</f>
        <v>0</v>
      </c>
      <c r="BU43" s="58">
        <f>IF($R43,IF(AC43,1,0),"")</f>
        <v>0</v>
      </c>
      <c r="BV43" s="58">
        <f>IF($R43,IF(AD43,1,0),"")</f>
        <v>0</v>
      </c>
      <c r="BW43" s="58">
        <f>IF($R43,IF(AE43,1,0),"")</f>
        <v>0</v>
      </c>
      <c r="BX43" s="58">
        <f>IF($R43,IF(AR43,1,0),"")</f>
        <v>0</v>
      </c>
      <c r="BY43" s="58">
        <f>IF($R43,IF(AS43,1,0),"")</f>
        <v>0</v>
      </c>
    </row>
    <row r="44" spans="1:77" x14ac:dyDescent="0.4">
      <c r="A44" s="7" t="s">
        <v>42</v>
      </c>
      <c r="B44" s="6" t="str">
        <f t="shared" si="0"/>
        <v>J</v>
      </c>
      <c r="C44" s="48" cm="1">
        <f t="array" ref="C44">IF($R44,INDEX($S:$S,MATCH(TRUE,EXACT(B44,$A:$A),0)),"")</f>
        <v>42</v>
      </c>
      <c r="D44" s="38" t="s">
        <v>59</v>
      </c>
      <c r="E44" s="48" cm="1">
        <f t="array" ref="E44">IF($R44,INDEX($S:$S,MATCH(TRUE,EXACT(D44,$A:$A),0)),"")</f>
        <v>10</v>
      </c>
      <c r="F44" s="38" t="s">
        <v>165</v>
      </c>
      <c r="G44" s="48" cm="1">
        <f t="array" ref="G44">IF($S44&lt;&gt;"",INDEX($S:$S,MATCH(TRUE,EXACT(F44,$A:$A),0)),"")</f>
        <v>28</v>
      </c>
      <c r="H44" s="38" t="s">
        <v>51</v>
      </c>
      <c r="I44" s="48" cm="1">
        <f t="array" ref="I44">IF($R44,INDEX($S:$S,MATCH(TRUE,EXACT(H44,$A:$A),0)),"")</f>
        <v>45</v>
      </c>
      <c r="J44" s="38" t="s">
        <v>43</v>
      </c>
      <c r="K44" s="52" cm="1">
        <f t="array" ref="K44">IF($R44,INDEX($S:$S,MATCH(TRUE,EXACT(J44,$A:$A),0)),"")</f>
        <v>43</v>
      </c>
      <c r="L44" s="38" t="str" cm="1">
        <f t="array" ref="L44">IF($R44,INDEX($T:$T,MATCH(TRUE,EXACT(H44,$D:$D),0)),"")</f>
        <v>I</v>
      </c>
      <c r="M44" s="48" cm="1">
        <f t="array" ref="M44">IF($R44,INDEX($S:$S,MATCH(TRUE,EXACT(L44,$A:$A),0)),"")</f>
        <v>41</v>
      </c>
      <c r="N44" s="38" t="str" cm="1">
        <f t="array" ref="N44">IF($R44,INDEX($T:$T,MATCH(TRUE,EXACT(J44,$D:$D),0)),"")</f>
        <v>&amp;</v>
      </c>
      <c r="O44" s="52" cm="1">
        <f t="array" ref="O44">IF($R44,INDEX($S:$S,MATCH(TRUE,EXACT(N44,$A:$A),0)),"")</f>
        <v>6</v>
      </c>
      <c r="P44" s="23"/>
      <c r="Q44" s="33"/>
      <c r="R44" s="18" t="b">
        <f t="shared" si="1"/>
        <v>1</v>
      </c>
      <c r="S44" s="19">
        <f>IF(R44, MAX(S$2:S43)+1,"")</f>
        <v>42</v>
      </c>
      <c r="T44" s="23" t="str">
        <f t="shared" si="2"/>
        <v>J</v>
      </c>
      <c r="U44" s="8" t="str" cm="1">
        <f t="array" ref="U44">CharToUTF8(A44)</f>
        <v>\x4A</v>
      </c>
      <c r="W44" s="18" t="str">
        <f>$AU$2</f>
        <v>EMPTY</v>
      </c>
      <c r="X44" s="24" t="str">
        <f>$AU$4</f>
        <v>ORTHO_BOTH</v>
      </c>
      <c r="Y44" s="24" t="str">
        <f>$AU$3</f>
        <v>DIAG_BOTH</v>
      </c>
      <c r="Z44" s="21" t="str">
        <f>$AU$4</f>
        <v>ORTHO_BOTH</v>
      </c>
      <c r="AB44" s="31" t="b">
        <f t="shared" si="3"/>
        <v>0</v>
      </c>
      <c r="AC44" s="31" t="b">
        <f t="shared" si="4"/>
        <v>0</v>
      </c>
      <c r="AD44" t="b">
        <f t="shared" si="5"/>
        <v>0</v>
      </c>
      <c r="AE44" t="b">
        <f t="shared" si="6"/>
        <v>0</v>
      </c>
      <c r="AF44" t="b">
        <f>IF($R44,W44=VLOOKUP(Z44,$AU$2:$AZ$10,3,FALSE),"")</f>
        <v>0</v>
      </c>
      <c r="AG44" t="b">
        <f>IF($R44,X44=VLOOKUP(Y44,$AU$2:$AZ$10,3,FALSE),"")</f>
        <v>0</v>
      </c>
      <c r="AH44" t="b">
        <f>IF($R44,Y44=VLOOKUP(W44,$AU$2:$AZ$10,3,FALSE),"")</f>
        <v>0</v>
      </c>
      <c r="AI44" t="b">
        <f>IF($R44,Z44=VLOOKUP(X44,$AU$2:$AZ$10,3,FALSE),"")</f>
        <v>1</v>
      </c>
      <c r="AJ44" t="b">
        <f>IF($R44,W44=VLOOKUP(W44,$AU$2:$AZ$10,4,FALSE),"")</f>
        <v>1</v>
      </c>
      <c r="AK44" t="b">
        <f>IF($R44,X44=VLOOKUP(X44,$AU$2:$AZ$10,4,FALSE),"")</f>
        <v>1</v>
      </c>
      <c r="AL44" t="b">
        <f>IF($R44,Y44=VLOOKUP(Y44,$AU$2:$AZ$10,4,FALSE),"")</f>
        <v>1</v>
      </c>
      <c r="AM44" t="b">
        <f>IF($R44,Z44=VLOOKUP(Z44,$AU$2:$AZ$10,4,FALSE),"")</f>
        <v>1</v>
      </c>
      <c r="AN44" t="b">
        <f>IF($R44,W44=VLOOKUP(W44,$AU$2:$AZ$10,5,FALSE),"")</f>
        <v>1</v>
      </c>
      <c r="AO44" t="b">
        <f>IF($R44,X44=VLOOKUP(X44,$AU$2:$AZ$10,5,FALSE),"")</f>
        <v>1</v>
      </c>
      <c r="AP44" t="b">
        <f>IF($R44,Y44=VLOOKUP(Y44,$AU$2:$AZ$10,6,FALSE),"")</f>
        <v>1</v>
      </c>
      <c r="AQ44" t="b">
        <f>IF($R44,Z44=VLOOKUP(Z44,$AU$2:$AZ$10,6,FALSE),"")</f>
        <v>1</v>
      </c>
      <c r="AR44" t="b">
        <f t="shared" si="8"/>
        <v>0</v>
      </c>
      <c r="AS44" t="b">
        <f t="shared" si="9"/>
        <v>0</v>
      </c>
      <c r="BD44" s="59" t="str">
        <f t="shared" si="10"/>
        <v xml:space="preserve">    { wxString::FromUTF8("\x4A"), &amp;AllGlyphs[10], &amp;AllGlyphs[28], &amp;AllGlyphs[45], &amp;AllGlyphs[43], &amp;AllGlyphs[41], &amp;AllGlyphs[6], Connection::EMPTY, Connection::ORTHO_BOTH, Connection::DIAG_BOTH, Connection::ORTHO_BOTH, 0, 0, 0, 0, 0, 0 },</v>
      </c>
      <c r="BE44" s="60"/>
      <c r="BF44" s="60"/>
      <c r="BG44" s="60"/>
      <c r="BH44" s="60"/>
      <c r="BI44" s="60"/>
      <c r="BJ44" s="60"/>
      <c r="BK44" s="61"/>
      <c r="BM44" s="54" t="str">
        <f>IF($R44,"&amp;AllGlyphs[" &amp; E44 &amp; "]","")</f>
        <v>&amp;AllGlyphs[10]</v>
      </c>
      <c r="BN44" s="54" t="str">
        <f>IF($R44,"&amp;AllGlyphs[" &amp; G44 &amp; "]","")</f>
        <v>&amp;AllGlyphs[28]</v>
      </c>
      <c r="BO44" s="54" t="str">
        <f>IF($R44,"&amp;AllGlyphs[" &amp; I44 &amp; "]","")</f>
        <v>&amp;AllGlyphs[45]</v>
      </c>
      <c r="BP44" s="54" t="str">
        <f>IF($R44,"&amp;AllGlyphs[" &amp; K44 &amp; "]","")</f>
        <v>&amp;AllGlyphs[43]</v>
      </c>
      <c r="BQ44" s="54" t="str">
        <f>IF($R44,"&amp;AllGlyphs[" &amp; M44 &amp; "]","")</f>
        <v>&amp;AllGlyphs[41]</v>
      </c>
      <c r="BR44" s="54" t="str">
        <f>IF($R44,"&amp;AllGlyphs[" &amp; O44 &amp; "]","")</f>
        <v>&amp;AllGlyphs[6]</v>
      </c>
      <c r="BT44" s="58">
        <f>IF($R44,IF(AB44,1,0),"")</f>
        <v>0</v>
      </c>
      <c r="BU44" s="58">
        <f>IF($R44,IF(AC44,1,0),"")</f>
        <v>0</v>
      </c>
      <c r="BV44" s="58">
        <f>IF($R44,IF(AD44,1,0),"")</f>
        <v>0</v>
      </c>
      <c r="BW44" s="58">
        <f>IF($R44,IF(AE44,1,0),"")</f>
        <v>0</v>
      </c>
      <c r="BX44" s="58">
        <f>IF($R44,IF(AR44,1,0),"")</f>
        <v>0</v>
      </c>
      <c r="BY44" s="58">
        <f>IF($R44,IF(AS44,1,0),"")</f>
        <v>0</v>
      </c>
    </row>
    <row r="45" spans="1:77" x14ac:dyDescent="0.4">
      <c r="A45" s="7" t="s">
        <v>43</v>
      </c>
      <c r="B45" s="6" t="str">
        <f t="shared" si="0"/>
        <v>K</v>
      </c>
      <c r="C45" s="48" cm="1">
        <f t="array" ref="C45">IF($R45,INDEX($S:$S,MATCH(TRUE,EXACT(B45,$A:$A),0)),"")</f>
        <v>43</v>
      </c>
      <c r="D45" s="38" t="s">
        <v>33</v>
      </c>
      <c r="E45" s="48" cm="1">
        <f t="array" ref="E45">IF($R45,INDEX($S:$S,MATCH(TRUE,EXACT(D45,$A:$A),0)),"")</f>
        <v>41</v>
      </c>
      <c r="F45" s="38" t="s">
        <v>51</v>
      </c>
      <c r="G45" s="48" cm="1">
        <f t="array" ref="G45">IF($S45&lt;&gt;"",INDEX($S:$S,MATCH(TRUE,EXACT(F45,$A:$A),0)),"")</f>
        <v>45</v>
      </c>
      <c r="H45" s="38" t="s">
        <v>165</v>
      </c>
      <c r="I45" s="48" cm="1">
        <f t="array" ref="I45">IF($R45,INDEX($S:$S,MATCH(TRUE,EXACT(H45,$A:$A),0)),"")</f>
        <v>28</v>
      </c>
      <c r="J45" s="38" t="s">
        <v>42</v>
      </c>
      <c r="K45" s="52" cm="1">
        <f t="array" ref="K45">IF($R45,INDEX($S:$S,MATCH(TRUE,EXACT(J45,$A:$A),0)),"")</f>
        <v>42</v>
      </c>
      <c r="L45" s="38" t="str" cm="1">
        <f t="array" ref="L45">IF($R45,INDEX($T:$T,MATCH(TRUE,EXACT(H45,$D:$D),0)),"")</f>
        <v>*</v>
      </c>
      <c r="M45" s="48" cm="1">
        <f t="array" ref="M45">IF($R45,INDEX($S:$S,MATCH(TRUE,EXACT(L45,$A:$A),0)),"")</f>
        <v>10</v>
      </c>
      <c r="N45" s="38" t="str" cm="1">
        <f t="array" ref="N45">IF($R45,INDEX($T:$T,MATCH(TRUE,EXACT(J45,$D:$D),0)),"")</f>
        <v>U</v>
      </c>
      <c r="O45" s="52" cm="1">
        <f t="array" ref="O45">IF($R45,INDEX($S:$S,MATCH(TRUE,EXACT(N45,$A:$A),0)),"")</f>
        <v>53</v>
      </c>
      <c r="P45" s="23"/>
      <c r="Q45" s="33"/>
      <c r="R45" s="18" t="b">
        <f t="shared" si="1"/>
        <v>1</v>
      </c>
      <c r="S45" s="19">
        <f>IF(R45, MAX(S$2:S44)+1,"")</f>
        <v>43</v>
      </c>
      <c r="T45" s="23" t="str">
        <f t="shared" si="2"/>
        <v>K</v>
      </c>
      <c r="U45" s="8" t="str" cm="1">
        <f t="array" ref="U45">CharToUTF8(A45)</f>
        <v>\x4B</v>
      </c>
      <c r="W45" s="18" t="str">
        <f>$AU$2</f>
        <v>EMPTY</v>
      </c>
      <c r="X45" s="24" t="str">
        <f>$AU$4</f>
        <v>ORTHO_BOTH</v>
      </c>
      <c r="Y45" s="24" t="str">
        <f>$AU$4</f>
        <v>ORTHO_BOTH</v>
      </c>
      <c r="Z45" s="21" t="str">
        <f>$AU$3</f>
        <v>DIAG_BOTH</v>
      </c>
      <c r="AB45" s="31" t="b">
        <f t="shared" si="3"/>
        <v>0</v>
      </c>
      <c r="AC45" s="31" t="b">
        <f t="shared" si="4"/>
        <v>0</v>
      </c>
      <c r="AD45" t="b">
        <f t="shared" si="5"/>
        <v>0</v>
      </c>
      <c r="AE45" t="b">
        <f t="shared" si="6"/>
        <v>0</v>
      </c>
      <c r="AF45" t="b">
        <f>IF($R45,W45=VLOOKUP(Z45,$AU$2:$AZ$10,3,FALSE),"")</f>
        <v>0</v>
      </c>
      <c r="AG45" t="b">
        <f>IF($R45,X45=VLOOKUP(Y45,$AU$2:$AZ$10,3,FALSE),"")</f>
        <v>1</v>
      </c>
      <c r="AH45" t="b">
        <f>IF($R45,Y45=VLOOKUP(W45,$AU$2:$AZ$10,3,FALSE),"")</f>
        <v>0</v>
      </c>
      <c r="AI45" t="b">
        <f>IF($R45,Z45=VLOOKUP(X45,$AU$2:$AZ$10,3,FALSE),"")</f>
        <v>0</v>
      </c>
      <c r="AJ45" t="b">
        <f>IF($R45,W45=VLOOKUP(W45,$AU$2:$AZ$10,4,FALSE),"")</f>
        <v>1</v>
      </c>
      <c r="AK45" t="b">
        <f>IF($R45,X45=VLOOKUP(X45,$AU$2:$AZ$10,4,FALSE),"")</f>
        <v>1</v>
      </c>
      <c r="AL45" t="b">
        <f>IF($R45,Y45=VLOOKUP(Y45,$AU$2:$AZ$10,4,FALSE),"")</f>
        <v>1</v>
      </c>
      <c r="AM45" t="b">
        <f>IF($R45,Z45=VLOOKUP(Z45,$AU$2:$AZ$10,4,FALSE),"")</f>
        <v>1</v>
      </c>
      <c r="AN45" t="b">
        <f>IF($R45,W45=VLOOKUP(W45,$AU$2:$AZ$10,5,FALSE),"")</f>
        <v>1</v>
      </c>
      <c r="AO45" t="b">
        <f>IF($R45,X45=VLOOKUP(X45,$AU$2:$AZ$10,5,FALSE),"")</f>
        <v>1</v>
      </c>
      <c r="AP45" t="b">
        <f>IF($R45,Y45=VLOOKUP(Y45,$AU$2:$AZ$10,6,FALSE),"")</f>
        <v>1</v>
      </c>
      <c r="AQ45" t="b">
        <f>IF($R45,Z45=VLOOKUP(Z45,$AU$2:$AZ$10,6,FALSE),"")</f>
        <v>1</v>
      </c>
      <c r="AR45" t="b">
        <f t="shared" si="8"/>
        <v>0</v>
      </c>
      <c r="AS45" t="b">
        <f t="shared" si="9"/>
        <v>0</v>
      </c>
      <c r="BD45" s="59" t="str">
        <f t="shared" si="10"/>
        <v xml:space="preserve">    { wxString::FromUTF8("\x4B"), &amp;AllGlyphs[41], &amp;AllGlyphs[45], &amp;AllGlyphs[28], &amp;AllGlyphs[42], &amp;AllGlyphs[10], &amp;AllGlyphs[53], Connection::EMPTY, Connection::ORTHO_BOTH, Connection::ORTHO_BOTH, Connection::DIAG_BOTH, 0, 0, 0, 0, 0, 0 },</v>
      </c>
      <c r="BE45" s="60"/>
      <c r="BF45" s="60"/>
      <c r="BG45" s="60"/>
      <c r="BH45" s="60"/>
      <c r="BI45" s="60"/>
      <c r="BJ45" s="60"/>
      <c r="BK45" s="61"/>
      <c r="BM45" s="54" t="str">
        <f>IF($R45,"&amp;AllGlyphs[" &amp; E45 &amp; "]","")</f>
        <v>&amp;AllGlyphs[41]</v>
      </c>
      <c r="BN45" s="54" t="str">
        <f>IF($R45,"&amp;AllGlyphs[" &amp; G45 &amp; "]","")</f>
        <v>&amp;AllGlyphs[45]</v>
      </c>
      <c r="BO45" s="54" t="str">
        <f>IF($R45,"&amp;AllGlyphs[" &amp; I45 &amp; "]","")</f>
        <v>&amp;AllGlyphs[28]</v>
      </c>
      <c r="BP45" s="54" t="str">
        <f>IF($R45,"&amp;AllGlyphs[" &amp; K45 &amp; "]","")</f>
        <v>&amp;AllGlyphs[42]</v>
      </c>
      <c r="BQ45" s="54" t="str">
        <f>IF($R45,"&amp;AllGlyphs[" &amp; M45 &amp; "]","")</f>
        <v>&amp;AllGlyphs[10]</v>
      </c>
      <c r="BR45" s="54" t="str">
        <f>IF($R45,"&amp;AllGlyphs[" &amp; O45 &amp; "]","")</f>
        <v>&amp;AllGlyphs[53]</v>
      </c>
      <c r="BT45" s="58">
        <f>IF($R45,IF(AB45,1,0),"")</f>
        <v>0</v>
      </c>
      <c r="BU45" s="58">
        <f>IF($R45,IF(AC45,1,0),"")</f>
        <v>0</v>
      </c>
      <c r="BV45" s="58">
        <f>IF($R45,IF(AD45,1,0),"")</f>
        <v>0</v>
      </c>
      <c r="BW45" s="58">
        <f>IF($R45,IF(AE45,1,0),"")</f>
        <v>0</v>
      </c>
      <c r="BX45" s="58">
        <f>IF($R45,IF(AR45,1,0),"")</f>
        <v>0</v>
      </c>
      <c r="BY45" s="58">
        <f>IF($R45,IF(AS45,1,0),"")</f>
        <v>0</v>
      </c>
    </row>
    <row r="46" spans="1:77" x14ac:dyDescent="0.4">
      <c r="A46" s="7" t="s">
        <v>44</v>
      </c>
      <c r="B46" s="6" t="str">
        <f t="shared" si="0"/>
        <v>L</v>
      </c>
      <c r="C46" s="48" cm="1">
        <f t="array" ref="C46">IF($R46,INDEX($S:$S,MATCH(TRUE,EXACT(B46,$A:$A),0)),"")</f>
        <v>44</v>
      </c>
      <c r="D46" s="38" t="s">
        <v>67</v>
      </c>
      <c r="E46" s="48" cm="1">
        <f t="array" ref="E46">IF($R46,INDEX($S:$S,MATCH(TRUE,EXACT(D46,$A:$A),0)),"")</f>
        <v>26</v>
      </c>
      <c r="F46" s="39" t="s">
        <v>167</v>
      </c>
      <c r="G46" s="48" cm="1">
        <f t="array" ref="G46">IF($S46&lt;&gt;"",INDEX($S:$S,MATCH(TRUE,EXACT(F46,$A:$A),0)),"")</f>
        <v>31</v>
      </c>
      <c r="H46" s="38" t="s">
        <v>166</v>
      </c>
      <c r="I46" s="48" cm="1">
        <f t="array" ref="I46">IF($R46,INDEX($S:$S,MATCH(TRUE,EXACT(H46,$A:$A),0)),"")</f>
        <v>30</v>
      </c>
      <c r="J46" s="38" t="s">
        <v>67</v>
      </c>
      <c r="K46" s="52" cm="1">
        <f t="array" ref="K46">IF($R46,INDEX($S:$S,MATCH(TRUE,EXACT(J46,$A:$A),0)),"")</f>
        <v>26</v>
      </c>
      <c r="L46" s="38" t="str" cm="1">
        <f t="array" ref="L46">IF($R46,INDEX($T:$T,MATCH(TRUE,EXACT(H46,$D:$D),0)),"")</f>
        <v>?</v>
      </c>
      <c r="M46" s="48" cm="1">
        <f t="array" ref="M46">IF($R46,INDEX($S:$S,MATCH(TRUE,EXACT(L46,$A:$A),0)),"")</f>
        <v>31</v>
      </c>
      <c r="N46" s="38" t="str" cm="1">
        <f t="array" ref="N46">IF($R46,INDEX($T:$T,MATCH(TRUE,EXACT(J46,$D:$D),0)),"")</f>
        <v>L</v>
      </c>
      <c r="O46" s="52" cm="1">
        <f t="array" ref="O46">IF($R46,INDEX($S:$S,MATCH(TRUE,EXACT(N46,$A:$A),0)),"")</f>
        <v>44</v>
      </c>
      <c r="P46" s="23"/>
      <c r="Q46" s="33"/>
      <c r="R46" s="18" t="b">
        <f t="shared" si="1"/>
        <v>1</v>
      </c>
      <c r="S46" s="19">
        <f>IF(R46, MAX(S$2:S45)+1,"")</f>
        <v>44</v>
      </c>
      <c r="T46" s="23" t="str">
        <f t="shared" si="2"/>
        <v>L</v>
      </c>
      <c r="U46" s="8" t="str" cm="1">
        <f t="array" ref="U46">CharToUTF8(A46)</f>
        <v>\x4C</v>
      </c>
      <c r="W46" s="18" t="str">
        <f>$AU$2</f>
        <v>EMPTY</v>
      </c>
      <c r="X46" s="24" t="str">
        <f>$AU$4</f>
        <v>ORTHO_BOTH</v>
      </c>
      <c r="Y46" s="24" t="str">
        <f>$AU$2</f>
        <v>EMPTY</v>
      </c>
      <c r="Z46" s="21" t="str">
        <f>$AU$4</f>
        <v>ORTHO_BOTH</v>
      </c>
      <c r="AB46" s="31" t="b">
        <f t="shared" si="3"/>
        <v>0</v>
      </c>
      <c r="AC46" s="31" t="b">
        <f t="shared" si="4"/>
        <v>0</v>
      </c>
      <c r="AD46" t="b">
        <f t="shared" si="5"/>
        <v>0</v>
      </c>
      <c r="AE46" t="b">
        <f t="shared" si="6"/>
        <v>0</v>
      </c>
      <c r="AF46" t="b">
        <f>IF($R46,W46=VLOOKUP(Z46,$AU$2:$AZ$10,3,FALSE),"")</f>
        <v>0</v>
      </c>
      <c r="AG46" t="b">
        <f>IF($R46,X46=VLOOKUP(Y46,$AU$2:$AZ$10,3,FALSE),"")</f>
        <v>0</v>
      </c>
      <c r="AH46" t="b">
        <f>IF($R46,Y46=VLOOKUP(W46,$AU$2:$AZ$10,3,FALSE),"")</f>
        <v>1</v>
      </c>
      <c r="AI46" t="b">
        <f>IF($R46,Z46=VLOOKUP(X46,$AU$2:$AZ$10,3,FALSE),"")</f>
        <v>1</v>
      </c>
      <c r="AJ46" t="b">
        <f>IF($R46,W46=VLOOKUP(W46,$AU$2:$AZ$10,4,FALSE),"")</f>
        <v>1</v>
      </c>
      <c r="AK46" t="b">
        <f>IF($R46,X46=VLOOKUP(X46,$AU$2:$AZ$10,4,FALSE),"")</f>
        <v>1</v>
      </c>
      <c r="AL46" t="b">
        <f>IF($R46,Y46=VLOOKUP(Y46,$AU$2:$AZ$10,4,FALSE),"")</f>
        <v>1</v>
      </c>
      <c r="AM46" t="b">
        <f>IF($R46,Z46=VLOOKUP(Z46,$AU$2:$AZ$10,4,FALSE),"")</f>
        <v>1</v>
      </c>
      <c r="AN46" t="b">
        <f>IF($R46,W46=VLOOKUP(W46,$AU$2:$AZ$10,5,FALSE),"")</f>
        <v>1</v>
      </c>
      <c r="AO46" t="b">
        <f>IF($R46,X46=VLOOKUP(X46,$AU$2:$AZ$10,5,FALSE),"")</f>
        <v>1</v>
      </c>
      <c r="AP46" t="b">
        <f>IF($R46,Y46=VLOOKUP(Y46,$AU$2:$AZ$10,6,FALSE),"")</f>
        <v>1</v>
      </c>
      <c r="AQ46" t="b">
        <f>IF($R46,Z46=VLOOKUP(Z46,$AU$2:$AZ$10,6,FALSE),"")</f>
        <v>1</v>
      </c>
      <c r="AR46" t="b">
        <f t="shared" si="8"/>
        <v>0</v>
      </c>
      <c r="AS46" t="b">
        <f t="shared" si="9"/>
        <v>1</v>
      </c>
      <c r="BD46" s="59" t="str">
        <f t="shared" si="10"/>
        <v xml:space="preserve">    { wxString::FromUTF8("\x4C"), &amp;AllGlyphs[26], &amp;AllGlyphs[31], &amp;AllGlyphs[30], &amp;AllGlyphs[26], &amp;AllGlyphs[31], &amp;AllGlyphs[44], Connection::EMPTY, Connection::ORTHO_BOTH, Connection::EMPTY, Connection::ORTHO_BOTH, 0, 0, 0, 0, 0, 1 },</v>
      </c>
      <c r="BE46" s="60"/>
      <c r="BF46" s="60"/>
      <c r="BG46" s="60"/>
      <c r="BH46" s="60"/>
      <c r="BI46" s="60"/>
      <c r="BJ46" s="60"/>
      <c r="BK46" s="61"/>
      <c r="BM46" s="54" t="str">
        <f>IF($R46,"&amp;AllGlyphs[" &amp; E46 &amp; "]","")</f>
        <v>&amp;AllGlyphs[26]</v>
      </c>
      <c r="BN46" s="54" t="str">
        <f>IF($R46,"&amp;AllGlyphs[" &amp; G46 &amp; "]","")</f>
        <v>&amp;AllGlyphs[31]</v>
      </c>
      <c r="BO46" s="54" t="str">
        <f>IF($R46,"&amp;AllGlyphs[" &amp; I46 &amp; "]","")</f>
        <v>&amp;AllGlyphs[30]</v>
      </c>
      <c r="BP46" s="54" t="str">
        <f>IF($R46,"&amp;AllGlyphs[" &amp; K46 &amp; "]","")</f>
        <v>&amp;AllGlyphs[26]</v>
      </c>
      <c r="BQ46" s="54" t="str">
        <f>IF($R46,"&amp;AllGlyphs[" &amp; M46 &amp; "]","")</f>
        <v>&amp;AllGlyphs[31]</v>
      </c>
      <c r="BR46" s="54" t="str">
        <f>IF($R46,"&amp;AllGlyphs[" &amp; O46 &amp; "]","")</f>
        <v>&amp;AllGlyphs[44]</v>
      </c>
      <c r="BT46" s="58">
        <f>IF($R46,IF(AB46,1,0),"")</f>
        <v>0</v>
      </c>
      <c r="BU46" s="58">
        <f>IF($R46,IF(AC46,1,0),"")</f>
        <v>0</v>
      </c>
      <c r="BV46" s="58">
        <f>IF($R46,IF(AD46,1,0),"")</f>
        <v>0</v>
      </c>
      <c r="BW46" s="58">
        <f>IF($R46,IF(AE46,1,0),"")</f>
        <v>0</v>
      </c>
      <c r="BX46" s="58">
        <f>IF($R46,IF(AR46,1,0),"")</f>
        <v>0</v>
      </c>
      <c r="BY46" s="58">
        <f>IF($R46,IF(AS46,1,0),"")</f>
        <v>1</v>
      </c>
    </row>
    <row r="47" spans="1:77" x14ac:dyDescent="0.4">
      <c r="A47" s="7" t="s">
        <v>51</v>
      </c>
      <c r="B47" s="6" t="str">
        <f t="shared" si="0"/>
        <v>M</v>
      </c>
      <c r="C47" s="48" cm="1">
        <f t="array" ref="C47">IF($R47,INDEX($S:$S,MATCH(TRUE,EXACT(B47,$A:$A),0)),"")</f>
        <v>45</v>
      </c>
      <c r="D47" s="38" t="s">
        <v>58</v>
      </c>
      <c r="E47" s="48" cm="1">
        <f t="array" ref="E47">IF($R47,INDEX($S:$S,MATCH(TRUE,EXACT(D47,$A:$A),0)),"")</f>
        <v>6</v>
      </c>
      <c r="F47" s="38" t="s">
        <v>43</v>
      </c>
      <c r="G47" s="48" cm="1">
        <f t="array" ref="G47">IF($S47&lt;&gt;"",INDEX($S:$S,MATCH(TRUE,EXACT(F47,$A:$A),0)),"")</f>
        <v>43</v>
      </c>
      <c r="H47" s="38" t="s">
        <v>42</v>
      </c>
      <c r="I47" s="48" cm="1">
        <f t="array" ref="I47">IF($R47,INDEX($S:$S,MATCH(TRUE,EXACT(H47,$A:$A),0)),"")</f>
        <v>42</v>
      </c>
      <c r="J47" s="38" t="s">
        <v>165</v>
      </c>
      <c r="K47" s="52" cm="1">
        <f t="array" ref="K47">IF($R47,INDEX($S:$S,MATCH(TRUE,EXACT(J47,$A:$A),0)),"")</f>
        <v>28</v>
      </c>
      <c r="L47" s="38" t="str" cm="1">
        <f t="array" ref="L47">IF($R47,INDEX($T:$T,MATCH(TRUE,EXACT(H47,$D:$D),0)),"")</f>
        <v>U</v>
      </c>
      <c r="M47" s="48" cm="1">
        <f t="array" ref="M47">IF($R47,INDEX($S:$S,MATCH(TRUE,EXACT(L47,$A:$A),0)),"")</f>
        <v>53</v>
      </c>
      <c r="N47" s="38" t="str" cm="1">
        <f t="array" ref="N47">IF($R47,INDEX($T:$T,MATCH(TRUE,EXACT(J47,$D:$D),0)),"")</f>
        <v>*</v>
      </c>
      <c r="O47" s="52" cm="1">
        <f t="array" ref="O47">IF($R47,INDEX($S:$S,MATCH(TRUE,EXACT(N47,$A:$A),0)),"")</f>
        <v>10</v>
      </c>
      <c r="P47" s="23"/>
      <c r="Q47" s="33"/>
      <c r="R47" s="18" t="b">
        <f t="shared" si="1"/>
        <v>1</v>
      </c>
      <c r="S47" s="19">
        <f>IF(R47, MAX(S$2:S46)+1,"")</f>
        <v>45</v>
      </c>
      <c r="T47" s="23" t="str">
        <f t="shared" si="2"/>
        <v>M</v>
      </c>
      <c r="U47" s="8" t="str" cm="1">
        <f t="array" ref="U47">CharToUTF8(A47)</f>
        <v>\x4D</v>
      </c>
      <c r="W47" s="18" t="str">
        <f>$AU$4</f>
        <v>ORTHO_BOTH</v>
      </c>
      <c r="X47" s="24" t="str">
        <f>$AU$2</f>
        <v>EMPTY</v>
      </c>
      <c r="Y47" s="24" t="str">
        <f>$AU$3</f>
        <v>DIAG_BOTH</v>
      </c>
      <c r="Z47" s="21" t="str">
        <f>$AU$4</f>
        <v>ORTHO_BOTH</v>
      </c>
      <c r="AB47" s="31" t="b">
        <f t="shared" si="3"/>
        <v>0</v>
      </c>
      <c r="AC47" s="31" t="b">
        <f t="shared" si="4"/>
        <v>0</v>
      </c>
      <c r="AD47" t="b">
        <f t="shared" si="5"/>
        <v>0</v>
      </c>
      <c r="AE47" t="b">
        <f t="shared" si="6"/>
        <v>0</v>
      </c>
      <c r="AF47" t="b">
        <f>IF($R47,W47=VLOOKUP(Z47,$AU$2:$AZ$10,3,FALSE),"")</f>
        <v>1</v>
      </c>
      <c r="AG47" t="b">
        <f>IF($R47,X47=VLOOKUP(Y47,$AU$2:$AZ$10,3,FALSE),"")</f>
        <v>0</v>
      </c>
      <c r="AH47" t="b">
        <f>IF($R47,Y47=VLOOKUP(W47,$AU$2:$AZ$10,3,FALSE),"")</f>
        <v>0</v>
      </c>
      <c r="AI47" t="b">
        <f>IF($R47,Z47=VLOOKUP(X47,$AU$2:$AZ$10,3,FALSE),"")</f>
        <v>0</v>
      </c>
      <c r="AJ47" t="b">
        <f>IF($R47,W47=VLOOKUP(W47,$AU$2:$AZ$10,4,FALSE),"")</f>
        <v>1</v>
      </c>
      <c r="AK47" t="b">
        <f>IF($R47,X47=VLOOKUP(X47,$AU$2:$AZ$10,4,FALSE),"")</f>
        <v>1</v>
      </c>
      <c r="AL47" t="b">
        <f>IF($R47,Y47=VLOOKUP(Y47,$AU$2:$AZ$10,4,FALSE),"")</f>
        <v>1</v>
      </c>
      <c r="AM47" t="b">
        <f>IF($R47,Z47=VLOOKUP(Z47,$AU$2:$AZ$10,4,FALSE),"")</f>
        <v>1</v>
      </c>
      <c r="AN47" t="b">
        <f>IF($R47,W47=VLOOKUP(W47,$AU$2:$AZ$10,5,FALSE),"")</f>
        <v>1</v>
      </c>
      <c r="AO47" t="b">
        <f>IF($R47,X47=VLOOKUP(X47,$AU$2:$AZ$10,5,FALSE),"")</f>
        <v>1</v>
      </c>
      <c r="AP47" t="b">
        <f>IF($R47,Y47=VLOOKUP(Y47,$AU$2:$AZ$10,6,FALSE),"")</f>
        <v>1</v>
      </c>
      <c r="AQ47" t="b">
        <f>IF($R47,Z47=VLOOKUP(Z47,$AU$2:$AZ$10,6,FALSE),"")</f>
        <v>1</v>
      </c>
      <c r="AR47" t="b">
        <f t="shared" si="8"/>
        <v>0</v>
      </c>
      <c r="AS47" t="b">
        <f t="shared" si="9"/>
        <v>0</v>
      </c>
      <c r="BD47" s="59" t="str">
        <f t="shared" si="10"/>
        <v xml:space="preserve">    { wxString::FromUTF8("\x4D"), &amp;AllGlyphs[6], &amp;AllGlyphs[43], &amp;AllGlyphs[42], &amp;AllGlyphs[28], &amp;AllGlyphs[53], &amp;AllGlyphs[10], Connection::ORTHO_BOTH, Connection::EMPTY, Connection::DIAG_BOTH, Connection::ORTHO_BOTH, 0, 0, 0, 0, 0, 0 },</v>
      </c>
      <c r="BE47" s="60"/>
      <c r="BF47" s="60"/>
      <c r="BG47" s="60"/>
      <c r="BH47" s="60"/>
      <c r="BI47" s="60"/>
      <c r="BJ47" s="60"/>
      <c r="BK47" s="61"/>
      <c r="BM47" s="54" t="str">
        <f>IF($R47,"&amp;AllGlyphs[" &amp; E47 &amp; "]","")</f>
        <v>&amp;AllGlyphs[6]</v>
      </c>
      <c r="BN47" s="54" t="str">
        <f>IF($R47,"&amp;AllGlyphs[" &amp; G47 &amp; "]","")</f>
        <v>&amp;AllGlyphs[43]</v>
      </c>
      <c r="BO47" s="54" t="str">
        <f>IF($R47,"&amp;AllGlyphs[" &amp; I47 &amp; "]","")</f>
        <v>&amp;AllGlyphs[42]</v>
      </c>
      <c r="BP47" s="54" t="str">
        <f>IF($R47,"&amp;AllGlyphs[" &amp; K47 &amp; "]","")</f>
        <v>&amp;AllGlyphs[28]</v>
      </c>
      <c r="BQ47" s="54" t="str">
        <f>IF($R47,"&amp;AllGlyphs[" &amp; M47 &amp; "]","")</f>
        <v>&amp;AllGlyphs[53]</v>
      </c>
      <c r="BR47" s="54" t="str">
        <f>IF($R47,"&amp;AllGlyphs[" &amp; O47 &amp; "]","")</f>
        <v>&amp;AllGlyphs[10]</v>
      </c>
      <c r="BT47" s="58">
        <f>IF($R47,IF(AB47,1,0),"")</f>
        <v>0</v>
      </c>
      <c r="BU47" s="58">
        <f>IF($R47,IF(AC47,1,0),"")</f>
        <v>0</v>
      </c>
      <c r="BV47" s="58">
        <f>IF($R47,IF(AD47,1,0),"")</f>
        <v>0</v>
      </c>
      <c r="BW47" s="58">
        <f>IF($R47,IF(AE47,1,0),"")</f>
        <v>0</v>
      </c>
      <c r="BX47" s="58">
        <f>IF($R47,IF(AR47,1,0),"")</f>
        <v>0</v>
      </c>
      <c r="BY47" s="58">
        <f>IF($R47,IF(AS47,1,0),"")</f>
        <v>0</v>
      </c>
    </row>
    <row r="48" spans="1:77" x14ac:dyDescent="0.4">
      <c r="A48" s="7" t="s">
        <v>50</v>
      </c>
      <c r="B48" s="6" t="str">
        <f t="shared" si="0"/>
        <v>N</v>
      </c>
      <c r="C48" s="48" cm="1">
        <f t="array" ref="C48">IF($R48,INDEX($S:$S,MATCH(TRUE,EXACT(B48,$A:$A),0)),"")</f>
        <v>46</v>
      </c>
      <c r="D48" s="38" t="s">
        <v>31</v>
      </c>
      <c r="E48" s="48" cm="1">
        <f t="array" ref="E48">IF($R48,INDEX($S:$S,MATCH(TRUE,EXACT(D48,$A:$A),0)),"")</f>
        <v>57</v>
      </c>
      <c r="F48" s="38" t="s">
        <v>49</v>
      </c>
      <c r="G48" s="48" cm="1">
        <f t="array" ref="G48">IF($S48&lt;&gt;"",INDEX($S:$S,MATCH(TRUE,EXACT(F48,$A:$A),0)),"")</f>
        <v>34</v>
      </c>
      <c r="H48" s="38" t="s">
        <v>50</v>
      </c>
      <c r="I48" s="48" cm="1">
        <f t="array" ref="I48">IF($R48,INDEX($S:$S,MATCH(TRUE,EXACT(H48,$A:$A),0)),"")</f>
        <v>46</v>
      </c>
      <c r="J48" s="38" t="s">
        <v>49</v>
      </c>
      <c r="K48" s="52" cm="1">
        <f t="array" ref="K48">IF($R48,INDEX($S:$S,MATCH(TRUE,EXACT(J48,$A:$A),0)),"")</f>
        <v>34</v>
      </c>
      <c r="L48" s="38" t="str" cm="1">
        <f t="array" ref="L48">IF($R48,INDEX($T:$T,MATCH(TRUE,EXACT(H48,$D:$D),0)),"")</f>
        <v>^</v>
      </c>
      <c r="M48" s="48" cm="1">
        <f t="array" ref="M48">IF($R48,INDEX($S:$S,MATCH(TRUE,EXACT(L48,$A:$A),0)),"")</f>
        <v>62</v>
      </c>
      <c r="N48" s="38" t="str" cm="1">
        <f t="array" ref="N48">IF($R48,INDEX($T:$T,MATCH(TRUE,EXACT(J48,$D:$D),0)),"")</f>
        <v>Y</v>
      </c>
      <c r="O48" s="52" cm="1">
        <f t="array" ref="O48">IF($R48,INDEX($S:$S,MATCH(TRUE,EXACT(N48,$A:$A),0)),"")</f>
        <v>57</v>
      </c>
      <c r="P48" s="23"/>
      <c r="Q48" s="33"/>
      <c r="R48" s="18" t="b">
        <f t="shared" si="1"/>
        <v>1</v>
      </c>
      <c r="S48" s="19">
        <f>IF(R48, MAX(S$2:S47)+1,"")</f>
        <v>46</v>
      </c>
      <c r="T48" s="23" t="str">
        <f t="shared" si="2"/>
        <v>N</v>
      </c>
      <c r="U48" s="8" t="str" cm="1">
        <f t="array" ref="U48">CharToUTF8(A48)</f>
        <v>\x4E</v>
      </c>
      <c r="W48" s="18" t="str">
        <f>$AU$4</f>
        <v>ORTHO_BOTH</v>
      </c>
      <c r="X48" s="24" t="str">
        <f>$AU$4</f>
        <v>ORTHO_BOTH</v>
      </c>
      <c r="Y48" s="24" t="str">
        <f>$AU$3</f>
        <v>DIAG_BOTH</v>
      </c>
      <c r="Z48" s="21" t="str">
        <f>$AU$4</f>
        <v>ORTHO_BOTH</v>
      </c>
      <c r="AB48" s="31" t="b">
        <f t="shared" si="3"/>
        <v>0</v>
      </c>
      <c r="AC48" s="31" t="b">
        <f t="shared" si="4"/>
        <v>0</v>
      </c>
      <c r="AD48" t="b">
        <f t="shared" si="5"/>
        <v>1</v>
      </c>
      <c r="AE48" t="b">
        <f t="shared" si="6"/>
        <v>0</v>
      </c>
      <c r="AF48" t="b">
        <f>IF($R48,W48=VLOOKUP(Z48,$AU$2:$AZ$10,3,FALSE),"")</f>
        <v>1</v>
      </c>
      <c r="AG48" t="b">
        <f>IF($R48,X48=VLOOKUP(Y48,$AU$2:$AZ$10,3,FALSE),"")</f>
        <v>0</v>
      </c>
      <c r="AH48" t="b">
        <f>IF($R48,Y48=VLOOKUP(W48,$AU$2:$AZ$10,3,FALSE),"")</f>
        <v>0</v>
      </c>
      <c r="AI48" t="b">
        <f>IF($R48,Z48=VLOOKUP(X48,$AU$2:$AZ$10,3,FALSE),"")</f>
        <v>1</v>
      </c>
      <c r="AJ48" t="b">
        <f>IF($R48,W48=VLOOKUP(W48,$AU$2:$AZ$10,4,FALSE),"")</f>
        <v>1</v>
      </c>
      <c r="AK48" t="b">
        <f>IF($R48,X48=VLOOKUP(X48,$AU$2:$AZ$10,4,FALSE),"")</f>
        <v>1</v>
      </c>
      <c r="AL48" t="b">
        <f>IF($R48,Y48=VLOOKUP(Y48,$AU$2:$AZ$10,4,FALSE),"")</f>
        <v>1</v>
      </c>
      <c r="AM48" t="b">
        <f>IF($R48,Z48=VLOOKUP(Z48,$AU$2:$AZ$10,4,FALSE),"")</f>
        <v>1</v>
      </c>
      <c r="AN48" t="b">
        <f>IF($R48,W48=VLOOKUP(W48,$AU$2:$AZ$10,5,FALSE),"")</f>
        <v>1</v>
      </c>
      <c r="AO48" t="b">
        <f>IF($R48,X48=VLOOKUP(X48,$AU$2:$AZ$10,5,FALSE),"")</f>
        <v>1</v>
      </c>
      <c r="AP48" t="b">
        <f>IF($R48,Y48=VLOOKUP(Y48,$AU$2:$AZ$10,6,FALSE),"")</f>
        <v>1</v>
      </c>
      <c r="AQ48" t="b">
        <f>IF($R48,Z48=VLOOKUP(Z48,$AU$2:$AZ$10,6,FALSE),"")</f>
        <v>1</v>
      </c>
      <c r="AR48" t="b">
        <f t="shared" si="8"/>
        <v>0</v>
      </c>
      <c r="AS48" t="b">
        <f t="shared" si="9"/>
        <v>0</v>
      </c>
      <c r="BD48" s="59" t="str">
        <f t="shared" si="10"/>
        <v xml:space="preserve">    { wxString::FromUTF8("\x4E"), &amp;AllGlyphs[57], &amp;AllGlyphs[34], &amp;AllGlyphs[46], &amp;AllGlyphs[34], &amp;AllGlyphs[62], &amp;AllGlyphs[57], Connection::ORTHO_BOTH, Connection::ORTHO_BOTH, Connection::DIAG_BOTH, Connection::ORTHO_BOTH, 0, 0, 1, 0, 0, 0 },</v>
      </c>
      <c r="BE48" s="60"/>
      <c r="BF48" s="60"/>
      <c r="BG48" s="60"/>
      <c r="BH48" s="60"/>
      <c r="BI48" s="60"/>
      <c r="BJ48" s="60"/>
      <c r="BK48" s="61"/>
      <c r="BM48" s="54" t="str">
        <f>IF($R48,"&amp;AllGlyphs[" &amp; E48 &amp; "]","")</f>
        <v>&amp;AllGlyphs[57]</v>
      </c>
      <c r="BN48" s="54" t="str">
        <f>IF($R48,"&amp;AllGlyphs[" &amp; G48 &amp; "]","")</f>
        <v>&amp;AllGlyphs[34]</v>
      </c>
      <c r="BO48" s="54" t="str">
        <f>IF($R48,"&amp;AllGlyphs[" &amp; I48 &amp; "]","")</f>
        <v>&amp;AllGlyphs[46]</v>
      </c>
      <c r="BP48" s="54" t="str">
        <f>IF($R48,"&amp;AllGlyphs[" &amp; K48 &amp; "]","")</f>
        <v>&amp;AllGlyphs[34]</v>
      </c>
      <c r="BQ48" s="54" t="str">
        <f>IF($R48,"&amp;AllGlyphs[" &amp; M48 &amp; "]","")</f>
        <v>&amp;AllGlyphs[62]</v>
      </c>
      <c r="BR48" s="54" t="str">
        <f>IF($R48,"&amp;AllGlyphs[" &amp; O48 &amp; "]","")</f>
        <v>&amp;AllGlyphs[57]</v>
      </c>
      <c r="BT48" s="58">
        <f>IF($R48,IF(AB48,1,0),"")</f>
        <v>0</v>
      </c>
      <c r="BU48" s="58">
        <f>IF($R48,IF(AC48,1,0),"")</f>
        <v>0</v>
      </c>
      <c r="BV48" s="58">
        <f>IF($R48,IF(AD48,1,0),"")</f>
        <v>1</v>
      </c>
      <c r="BW48" s="58">
        <f>IF($R48,IF(AE48,1,0),"")</f>
        <v>0</v>
      </c>
      <c r="BX48" s="58">
        <f>IF($R48,IF(AR48,1,0),"")</f>
        <v>0</v>
      </c>
      <c r="BY48" s="58">
        <f>IF($R48,IF(AS48,1,0),"")</f>
        <v>0</v>
      </c>
    </row>
    <row r="49" spans="1:77" x14ac:dyDescent="0.4">
      <c r="A49" s="7" t="s">
        <v>34</v>
      </c>
      <c r="B49" s="6" t="str">
        <f t="shared" si="0"/>
        <v>O</v>
      </c>
      <c r="C49" s="48" cm="1">
        <f t="array" ref="C49">IF($R49,INDEX($S:$S,MATCH(TRUE,EXACT(B49,$A:$A),0)),"")</f>
        <v>47</v>
      </c>
      <c r="D49" s="38" t="s">
        <v>60</v>
      </c>
      <c r="E49" s="48" cm="1">
        <f t="array" ref="E49">IF($R49,INDEX($S:$S,MATCH(TRUE,EXACT(D49,$A:$A),0)),"")</f>
        <v>8</v>
      </c>
      <c r="F49" s="38" t="s">
        <v>61</v>
      </c>
      <c r="G49" s="48" cm="1">
        <f t="array" ref="G49">IF($S49&lt;&gt;"",INDEX($S:$S,MATCH(TRUE,EXACT(F49,$A:$A),0)),"")</f>
        <v>9</v>
      </c>
      <c r="H49" s="38" t="s">
        <v>60</v>
      </c>
      <c r="I49" s="48" cm="1">
        <f t="array" ref="I49">IF($R49,INDEX($S:$S,MATCH(TRUE,EXACT(H49,$A:$A),0)),"")</f>
        <v>8</v>
      </c>
      <c r="J49" s="38" t="s">
        <v>35</v>
      </c>
      <c r="K49" s="52" cm="1">
        <f t="array" ref="K49">IF($R49,INDEX($S:$S,MATCH(TRUE,EXACT(J49,$A:$A),0)),"")</f>
        <v>48</v>
      </c>
      <c r="L49" s="38" t="str" cm="1">
        <f t="array" ref="L49">IF($R49,INDEX($T:$T,MATCH(TRUE,EXACT(H49,$D:$D),0)),"")</f>
        <v>O</v>
      </c>
      <c r="M49" s="48" cm="1">
        <f t="array" ref="M49">IF($R49,INDEX($S:$S,MATCH(TRUE,EXACT(L49,$A:$A),0)),"")</f>
        <v>47</v>
      </c>
      <c r="N49" s="38" t="str" cm="1">
        <f t="array" ref="N49">IF($R49,INDEX($T:$T,MATCH(TRUE,EXACT(J49,$D:$D),0)),"")</f>
        <v>)</v>
      </c>
      <c r="O49" s="52" cm="1">
        <f t="array" ref="O49">IF($R49,INDEX($S:$S,MATCH(TRUE,EXACT(N49,$A:$A),0)),"")</f>
        <v>9</v>
      </c>
      <c r="P49" s="23"/>
      <c r="Q49" s="33"/>
      <c r="R49" s="18" t="b">
        <f t="shared" si="1"/>
        <v>1</v>
      </c>
      <c r="S49" s="19">
        <f>IF(R49, MAX(S$2:S48)+1,"")</f>
        <v>47</v>
      </c>
      <c r="T49" s="23" t="str">
        <f t="shared" si="2"/>
        <v>O</v>
      </c>
      <c r="U49" s="8" t="str" cm="1">
        <f t="array" ref="U49">CharToUTF8(A49)</f>
        <v>\x4F</v>
      </c>
      <c r="W49" s="18" t="str">
        <f>$AU$4</f>
        <v>ORTHO_BOTH</v>
      </c>
      <c r="X49" s="24" t="str">
        <f>$AU$2</f>
        <v>EMPTY</v>
      </c>
      <c r="Y49" s="24" t="str">
        <f>$AU$2</f>
        <v>EMPTY</v>
      </c>
      <c r="Z49" s="21" t="str">
        <f>$AU$4</f>
        <v>ORTHO_BOTH</v>
      </c>
      <c r="AB49" s="31" t="b">
        <f t="shared" si="3"/>
        <v>0</v>
      </c>
      <c r="AC49" s="31" t="b">
        <f t="shared" si="4"/>
        <v>0</v>
      </c>
      <c r="AD49" t="b">
        <f t="shared" si="5"/>
        <v>0</v>
      </c>
      <c r="AE49" t="b">
        <f t="shared" si="6"/>
        <v>0</v>
      </c>
      <c r="AF49" t="b">
        <f>IF($R49,W49=VLOOKUP(Z49,$AU$2:$AZ$10,3,FALSE),"")</f>
        <v>1</v>
      </c>
      <c r="AG49" t="b">
        <f>IF($R49,X49=VLOOKUP(Y49,$AU$2:$AZ$10,3,FALSE),"")</f>
        <v>1</v>
      </c>
      <c r="AH49" t="b">
        <f>IF($R49,Y49=VLOOKUP(W49,$AU$2:$AZ$10,3,FALSE),"")</f>
        <v>0</v>
      </c>
      <c r="AI49" t="b">
        <f>IF($R49,Z49=VLOOKUP(X49,$AU$2:$AZ$10,3,FALSE),"")</f>
        <v>0</v>
      </c>
      <c r="AJ49" t="b">
        <f>IF($R49,W49=VLOOKUP(W49,$AU$2:$AZ$10,4,FALSE),"")</f>
        <v>1</v>
      </c>
      <c r="AK49" t="b">
        <f>IF($R49,X49=VLOOKUP(X49,$AU$2:$AZ$10,4,FALSE),"")</f>
        <v>1</v>
      </c>
      <c r="AL49" t="b">
        <f>IF($R49,Y49=VLOOKUP(Y49,$AU$2:$AZ$10,4,FALSE),"")</f>
        <v>1</v>
      </c>
      <c r="AM49" t="b">
        <f>IF($R49,Z49=VLOOKUP(Z49,$AU$2:$AZ$10,4,FALSE),"")</f>
        <v>1</v>
      </c>
      <c r="AN49" t="b">
        <f>IF($R49,W49=VLOOKUP(W49,$AU$2:$AZ$10,5,FALSE),"")</f>
        <v>1</v>
      </c>
      <c r="AO49" t="b">
        <f>IF($R49,X49=VLOOKUP(X49,$AU$2:$AZ$10,5,FALSE),"")</f>
        <v>1</v>
      </c>
      <c r="AP49" t="b">
        <f>IF($R49,Y49=VLOOKUP(Y49,$AU$2:$AZ$10,6,FALSE),"")</f>
        <v>1</v>
      </c>
      <c r="AQ49" t="b">
        <f>IF($R49,Z49=VLOOKUP(Z49,$AU$2:$AZ$10,6,FALSE),"")</f>
        <v>1</v>
      </c>
      <c r="AR49" t="b">
        <f t="shared" si="8"/>
        <v>1</v>
      </c>
      <c r="AS49" t="b">
        <f t="shared" si="9"/>
        <v>0</v>
      </c>
      <c r="BD49" s="59" t="str">
        <f t="shared" si="10"/>
        <v xml:space="preserve">    { wxString::FromUTF8("\x4F"), &amp;AllGlyphs[8], &amp;AllGlyphs[9], &amp;AllGlyphs[8], &amp;AllGlyphs[48], &amp;AllGlyphs[47], &amp;AllGlyphs[9], Connection::ORTHO_BOTH, Connection::EMPTY, Connection::EMPTY, Connection::ORTHO_BOTH, 0, 0, 0, 0, 1, 0 },</v>
      </c>
      <c r="BE49" s="60"/>
      <c r="BF49" s="60"/>
      <c r="BG49" s="60"/>
      <c r="BH49" s="60"/>
      <c r="BI49" s="60"/>
      <c r="BJ49" s="60"/>
      <c r="BK49" s="61"/>
      <c r="BM49" s="54" t="str">
        <f>IF($R49,"&amp;AllGlyphs[" &amp; E49 &amp; "]","")</f>
        <v>&amp;AllGlyphs[8]</v>
      </c>
      <c r="BN49" s="54" t="str">
        <f>IF($R49,"&amp;AllGlyphs[" &amp; G49 &amp; "]","")</f>
        <v>&amp;AllGlyphs[9]</v>
      </c>
      <c r="BO49" s="54" t="str">
        <f>IF($R49,"&amp;AllGlyphs[" &amp; I49 &amp; "]","")</f>
        <v>&amp;AllGlyphs[8]</v>
      </c>
      <c r="BP49" s="54" t="str">
        <f>IF($R49,"&amp;AllGlyphs[" &amp; K49 &amp; "]","")</f>
        <v>&amp;AllGlyphs[48]</v>
      </c>
      <c r="BQ49" s="54" t="str">
        <f>IF($R49,"&amp;AllGlyphs[" &amp; M49 &amp; "]","")</f>
        <v>&amp;AllGlyphs[47]</v>
      </c>
      <c r="BR49" s="54" t="str">
        <f>IF($R49,"&amp;AllGlyphs[" &amp; O49 &amp; "]","")</f>
        <v>&amp;AllGlyphs[9]</v>
      </c>
      <c r="BT49" s="58">
        <f>IF($R49,IF(AB49,1,0),"")</f>
        <v>0</v>
      </c>
      <c r="BU49" s="58">
        <f>IF($R49,IF(AC49,1,0),"")</f>
        <v>0</v>
      </c>
      <c r="BV49" s="58">
        <f>IF($R49,IF(AD49,1,0),"")</f>
        <v>0</v>
      </c>
      <c r="BW49" s="58">
        <f>IF($R49,IF(AE49,1,0),"")</f>
        <v>0</v>
      </c>
      <c r="BX49" s="58">
        <f>IF($R49,IF(AR49,1,0),"")</f>
        <v>1</v>
      </c>
      <c r="BY49" s="58">
        <f>IF($R49,IF(AS49,1,0),"")</f>
        <v>0</v>
      </c>
    </row>
    <row r="50" spans="1:77" x14ac:dyDescent="0.4">
      <c r="A50" s="7" t="s">
        <v>35</v>
      </c>
      <c r="B50" s="6" t="str">
        <f t="shared" si="0"/>
        <v>P</v>
      </c>
      <c r="C50" s="48" cm="1">
        <f t="array" ref="C50">IF($R50,INDEX($S:$S,MATCH(TRUE,EXACT(B50,$A:$A),0)),"")</f>
        <v>48</v>
      </c>
      <c r="D50" s="38" t="s">
        <v>34</v>
      </c>
      <c r="E50" s="48" cm="1">
        <f t="array" ref="E50">IF($R50,INDEX($S:$S,MATCH(TRUE,EXACT(D50,$A:$A),0)),"")</f>
        <v>47</v>
      </c>
      <c r="F50" s="38" t="s">
        <v>60</v>
      </c>
      <c r="G50" s="48" cm="1">
        <f t="array" ref="G50">IF($S50&lt;&gt;"",INDEX($S:$S,MATCH(TRUE,EXACT(F50,$A:$A),0)),"")</f>
        <v>8</v>
      </c>
      <c r="H50" s="38" t="s">
        <v>61</v>
      </c>
      <c r="I50" s="48" cm="1">
        <f t="array" ref="I50">IF($R50,INDEX($S:$S,MATCH(TRUE,EXACT(H50,$A:$A),0)),"")</f>
        <v>9</v>
      </c>
      <c r="J50" s="38" t="s">
        <v>34</v>
      </c>
      <c r="K50" s="52" cm="1">
        <f t="array" ref="K50">IF($R50,INDEX($S:$S,MATCH(TRUE,EXACT(J50,$A:$A),0)),"")</f>
        <v>47</v>
      </c>
      <c r="L50" s="38" t="str" cm="1">
        <f t="array" ref="L50">IF($R50,INDEX($T:$T,MATCH(TRUE,EXACT(H50,$D:$D),0)),"")</f>
        <v>(</v>
      </c>
      <c r="M50" s="48" cm="1">
        <f t="array" ref="M50">IF($R50,INDEX($S:$S,MATCH(TRUE,EXACT(L50,$A:$A),0)),"")</f>
        <v>8</v>
      </c>
      <c r="N50" s="38" t="str" cm="1">
        <f t="array" ref="N50">IF($R50,INDEX($T:$T,MATCH(TRUE,EXACT(J50,$D:$D),0)),"")</f>
        <v>P</v>
      </c>
      <c r="O50" s="52" cm="1">
        <f t="array" ref="O50">IF($R50,INDEX($S:$S,MATCH(TRUE,EXACT(N50,$A:$A),0)),"")</f>
        <v>48</v>
      </c>
      <c r="P50" s="23"/>
      <c r="Q50" s="33"/>
      <c r="R50" s="18" t="b">
        <f t="shared" si="1"/>
        <v>1</v>
      </c>
      <c r="S50" s="19">
        <f>IF(R50, MAX(S$2:S49)+1,"")</f>
        <v>48</v>
      </c>
      <c r="T50" s="23" t="str">
        <f t="shared" si="2"/>
        <v>P</v>
      </c>
      <c r="U50" s="8" t="str" cm="1">
        <f t="array" ref="U50">CharToUTF8(A50)</f>
        <v>\x50</v>
      </c>
      <c r="W50" s="18" t="str">
        <f>$AU$4</f>
        <v>ORTHO_BOTH</v>
      </c>
      <c r="X50" s="24" t="str">
        <f>$AU$2</f>
        <v>EMPTY</v>
      </c>
      <c r="Y50" s="24" t="str">
        <f>$AU$4</f>
        <v>ORTHO_BOTH</v>
      </c>
      <c r="Z50" s="21" t="str">
        <f>$AU$2</f>
        <v>EMPTY</v>
      </c>
      <c r="AB50" s="31" t="b">
        <f t="shared" si="3"/>
        <v>0</v>
      </c>
      <c r="AC50" s="31" t="b">
        <f t="shared" si="4"/>
        <v>0</v>
      </c>
      <c r="AD50" t="b">
        <f t="shared" si="5"/>
        <v>0</v>
      </c>
      <c r="AE50" t="b">
        <f t="shared" si="6"/>
        <v>0</v>
      </c>
      <c r="AF50" t="b">
        <f>IF($R50,W50=VLOOKUP(Z50,$AU$2:$AZ$10,3,FALSE),"")</f>
        <v>0</v>
      </c>
      <c r="AG50" t="b">
        <f>IF($R50,X50=VLOOKUP(Y50,$AU$2:$AZ$10,3,FALSE),"")</f>
        <v>0</v>
      </c>
      <c r="AH50" t="b">
        <f>IF($R50,Y50=VLOOKUP(W50,$AU$2:$AZ$10,3,FALSE),"")</f>
        <v>1</v>
      </c>
      <c r="AI50" t="b">
        <f>IF($R50,Z50=VLOOKUP(X50,$AU$2:$AZ$10,3,FALSE),"")</f>
        <v>1</v>
      </c>
      <c r="AJ50" t="b">
        <f>IF($R50,W50=VLOOKUP(W50,$AU$2:$AZ$10,4,FALSE),"")</f>
        <v>1</v>
      </c>
      <c r="AK50" t="b">
        <f>IF($R50,X50=VLOOKUP(X50,$AU$2:$AZ$10,4,FALSE),"")</f>
        <v>1</v>
      </c>
      <c r="AL50" t="b">
        <f>IF($R50,Y50=VLOOKUP(Y50,$AU$2:$AZ$10,4,FALSE),"")</f>
        <v>1</v>
      </c>
      <c r="AM50" t="b">
        <f>IF($R50,Z50=VLOOKUP(Z50,$AU$2:$AZ$10,4,FALSE),"")</f>
        <v>1</v>
      </c>
      <c r="AN50" t="b">
        <f>IF($R50,W50=VLOOKUP(W50,$AU$2:$AZ$10,5,FALSE),"")</f>
        <v>1</v>
      </c>
      <c r="AO50" t="b">
        <f>IF($R50,X50=VLOOKUP(X50,$AU$2:$AZ$10,5,FALSE),"")</f>
        <v>1</v>
      </c>
      <c r="AP50" t="b">
        <f>IF($R50,Y50=VLOOKUP(Y50,$AU$2:$AZ$10,6,FALSE),"")</f>
        <v>1</v>
      </c>
      <c r="AQ50" t="b">
        <f>IF($R50,Z50=VLOOKUP(Z50,$AU$2:$AZ$10,6,FALSE),"")</f>
        <v>1</v>
      </c>
      <c r="AR50" t="b">
        <f t="shared" si="8"/>
        <v>0</v>
      </c>
      <c r="AS50" t="b">
        <f t="shared" si="9"/>
        <v>1</v>
      </c>
      <c r="BD50" s="59" t="str">
        <f t="shared" si="10"/>
        <v xml:space="preserve">    { wxString::FromUTF8("\x50"), &amp;AllGlyphs[47], &amp;AllGlyphs[8], &amp;AllGlyphs[9], &amp;AllGlyphs[47], &amp;AllGlyphs[8], &amp;AllGlyphs[48], Connection::ORTHO_BOTH, Connection::EMPTY, Connection::ORTHO_BOTH, Connection::EMPTY, 0, 0, 0, 0, 0, 1 },</v>
      </c>
      <c r="BE50" s="60"/>
      <c r="BF50" s="60"/>
      <c r="BG50" s="60"/>
      <c r="BH50" s="60"/>
      <c r="BI50" s="60"/>
      <c r="BJ50" s="60"/>
      <c r="BK50" s="61"/>
      <c r="BM50" s="54" t="str">
        <f>IF($R50,"&amp;AllGlyphs[" &amp; E50 &amp; "]","")</f>
        <v>&amp;AllGlyphs[47]</v>
      </c>
      <c r="BN50" s="54" t="str">
        <f>IF($R50,"&amp;AllGlyphs[" &amp; G50 &amp; "]","")</f>
        <v>&amp;AllGlyphs[8]</v>
      </c>
      <c r="BO50" s="54" t="str">
        <f>IF($R50,"&amp;AllGlyphs[" &amp; I50 &amp; "]","")</f>
        <v>&amp;AllGlyphs[9]</v>
      </c>
      <c r="BP50" s="54" t="str">
        <f>IF($R50,"&amp;AllGlyphs[" &amp; K50 &amp; "]","")</f>
        <v>&amp;AllGlyphs[47]</v>
      </c>
      <c r="BQ50" s="54" t="str">
        <f>IF($R50,"&amp;AllGlyphs[" &amp; M50 &amp; "]","")</f>
        <v>&amp;AllGlyphs[8]</v>
      </c>
      <c r="BR50" s="54" t="str">
        <f>IF($R50,"&amp;AllGlyphs[" &amp; O50 &amp; "]","")</f>
        <v>&amp;AllGlyphs[48]</v>
      </c>
      <c r="BT50" s="58">
        <f>IF($R50,IF(AB50,1,0),"")</f>
        <v>0</v>
      </c>
      <c r="BU50" s="58">
        <f>IF($R50,IF(AC50,1,0),"")</f>
        <v>0</v>
      </c>
      <c r="BV50" s="58">
        <f>IF($R50,IF(AD50,1,0),"")</f>
        <v>0</v>
      </c>
      <c r="BW50" s="58">
        <f>IF($R50,IF(AE50,1,0),"")</f>
        <v>0</v>
      </c>
      <c r="BX50" s="58">
        <f>IF($R50,IF(AR50,1,0),"")</f>
        <v>0</v>
      </c>
      <c r="BY50" s="58">
        <f>IF($R50,IF(AS50,1,0),"")</f>
        <v>1</v>
      </c>
    </row>
    <row r="51" spans="1:77" x14ac:dyDescent="0.4">
      <c r="A51" s="7" t="s">
        <v>26</v>
      </c>
      <c r="B51" s="6" t="str">
        <f t="shared" si="0"/>
        <v>Q</v>
      </c>
      <c r="C51" s="48" cm="1">
        <f t="array" ref="C51">IF($R51,INDEX($S:$S,MATCH(TRUE,EXACT(B51,$A:$A),0)),"")</f>
        <v>49</v>
      </c>
      <c r="D51" s="38" t="s">
        <v>28</v>
      </c>
      <c r="E51" s="48" cm="1">
        <f t="array" ref="E51">IF($R51,INDEX($S:$S,MATCH(TRUE,EXACT(D51,$A:$A),0)),"")</f>
        <v>37</v>
      </c>
      <c r="F51" s="38" t="s">
        <v>47</v>
      </c>
      <c r="G51" s="48" cm="1">
        <f t="array" ref="G51">IF($S51&lt;&gt;"",INDEX($S:$S,MATCH(TRUE,EXACT(F51,$A:$A),0)),"")</f>
        <v>35</v>
      </c>
      <c r="H51" s="38" t="s">
        <v>45</v>
      </c>
      <c r="I51" s="48" cm="1">
        <f t="array" ref="I51">IF($R51,INDEX($S:$S,MATCH(TRUE,EXACT(H51,$A:$A),0)),"")</f>
        <v>58</v>
      </c>
      <c r="J51" s="38" t="s">
        <v>28</v>
      </c>
      <c r="K51" s="52" cm="1">
        <f t="array" ref="K51">IF($R51,INDEX($S:$S,MATCH(TRUE,EXACT(J51,$A:$A),0)),"")</f>
        <v>37</v>
      </c>
      <c r="L51" s="38" t="str" cm="1">
        <f t="array" ref="L51">IF($R51,INDEX($T:$T,MATCH(TRUE,EXACT(H51,$D:$D),0)),"")</f>
        <v>C</v>
      </c>
      <c r="M51" s="48" cm="1">
        <f t="array" ref="M51">IF($R51,INDEX($S:$S,MATCH(TRUE,EXACT(L51,$A:$A),0)),"")</f>
        <v>35</v>
      </c>
      <c r="N51" s="38" t="str" cm="1">
        <f t="array" ref="N51">IF($R51,INDEX($T:$T,MATCH(TRUE,EXACT(J51,$D:$D),0)),"")</f>
        <v>Q</v>
      </c>
      <c r="O51" s="52" cm="1">
        <f t="array" ref="O51">IF($R51,INDEX($S:$S,MATCH(TRUE,EXACT(N51,$A:$A),0)),"")</f>
        <v>49</v>
      </c>
      <c r="P51" s="23"/>
      <c r="Q51" s="33"/>
      <c r="R51" s="18" t="b">
        <f t="shared" si="1"/>
        <v>1</v>
      </c>
      <c r="S51" s="19">
        <f>IF(R51, MAX(S$2:S50)+1,"")</f>
        <v>49</v>
      </c>
      <c r="T51" s="23" t="str">
        <f t="shared" si="2"/>
        <v>Q</v>
      </c>
      <c r="U51" s="8" t="str" cm="1">
        <f t="array" ref="U51">CharToUTF8(A51)</f>
        <v>\x51</v>
      </c>
      <c r="W51" s="18" t="str">
        <f>$AU$2</f>
        <v>EMPTY</v>
      </c>
      <c r="X51" s="24" t="str">
        <f>$AU$4</f>
        <v>ORTHO_BOTH</v>
      </c>
      <c r="Y51" s="24" t="str">
        <f>$AU$2</f>
        <v>EMPTY</v>
      </c>
      <c r="Z51" s="21" t="str">
        <f>$AU$4</f>
        <v>ORTHO_BOTH</v>
      </c>
      <c r="AB51" s="31" t="b">
        <f t="shared" si="3"/>
        <v>0</v>
      </c>
      <c r="AC51" s="31" t="b">
        <f t="shared" si="4"/>
        <v>0</v>
      </c>
      <c r="AD51" t="b">
        <f t="shared" si="5"/>
        <v>0</v>
      </c>
      <c r="AE51" t="b">
        <f t="shared" si="6"/>
        <v>0</v>
      </c>
      <c r="AF51" t="b">
        <f>IF($R51,W51=VLOOKUP(Z51,$AU$2:$AZ$10,3,FALSE),"")</f>
        <v>0</v>
      </c>
      <c r="AG51" t="b">
        <f>IF($R51,X51=VLOOKUP(Y51,$AU$2:$AZ$10,3,FALSE),"")</f>
        <v>0</v>
      </c>
      <c r="AH51" t="b">
        <f>IF($R51,Y51=VLOOKUP(W51,$AU$2:$AZ$10,3,FALSE),"")</f>
        <v>1</v>
      </c>
      <c r="AI51" t="b">
        <f>IF($R51,Z51=VLOOKUP(X51,$AU$2:$AZ$10,3,FALSE),"")</f>
        <v>1</v>
      </c>
      <c r="AJ51" t="b">
        <f>IF($R51,W51=VLOOKUP(W51,$AU$2:$AZ$10,4,FALSE),"")</f>
        <v>1</v>
      </c>
      <c r="AK51" t="b">
        <f>IF($R51,X51=VLOOKUP(X51,$AU$2:$AZ$10,4,FALSE),"")</f>
        <v>1</v>
      </c>
      <c r="AL51" t="b">
        <f>IF($R51,Y51=VLOOKUP(Y51,$AU$2:$AZ$10,4,FALSE),"")</f>
        <v>1</v>
      </c>
      <c r="AM51" t="b">
        <f>IF($R51,Z51=VLOOKUP(Z51,$AU$2:$AZ$10,4,FALSE),"")</f>
        <v>1</v>
      </c>
      <c r="AN51" t="b">
        <f>IF($R51,W51=VLOOKUP(W51,$AU$2:$AZ$10,5,FALSE),"")</f>
        <v>1</v>
      </c>
      <c r="AO51" t="b">
        <f>IF($R51,X51=VLOOKUP(X51,$AU$2:$AZ$10,5,FALSE),"")</f>
        <v>1</v>
      </c>
      <c r="AP51" t="b">
        <f>IF($R51,Y51=VLOOKUP(Y51,$AU$2:$AZ$10,6,FALSE),"")</f>
        <v>1</v>
      </c>
      <c r="AQ51" t="b">
        <f>IF($R51,Z51=VLOOKUP(Z51,$AU$2:$AZ$10,6,FALSE),"")</f>
        <v>1</v>
      </c>
      <c r="AR51" t="b">
        <f t="shared" si="8"/>
        <v>0</v>
      </c>
      <c r="AS51" t="b">
        <f t="shared" si="9"/>
        <v>1</v>
      </c>
      <c r="BD51" s="59" t="str">
        <f t="shared" si="10"/>
        <v xml:space="preserve">    { wxString::FromUTF8("\x51"), &amp;AllGlyphs[37], &amp;AllGlyphs[35], &amp;AllGlyphs[58], &amp;AllGlyphs[37], &amp;AllGlyphs[35], &amp;AllGlyphs[49], Connection::EMPTY, Connection::ORTHO_BOTH, Connection::EMPTY, Connection::ORTHO_BOTH, 0, 0, 0, 0, 0, 1 },</v>
      </c>
      <c r="BE51" s="60"/>
      <c r="BF51" s="60"/>
      <c r="BG51" s="60"/>
      <c r="BH51" s="60"/>
      <c r="BI51" s="60"/>
      <c r="BJ51" s="60"/>
      <c r="BK51" s="61"/>
      <c r="BM51" s="54" t="str">
        <f>IF($R51,"&amp;AllGlyphs[" &amp; E51 &amp; "]","")</f>
        <v>&amp;AllGlyphs[37]</v>
      </c>
      <c r="BN51" s="54" t="str">
        <f>IF($R51,"&amp;AllGlyphs[" &amp; G51 &amp; "]","")</f>
        <v>&amp;AllGlyphs[35]</v>
      </c>
      <c r="BO51" s="54" t="str">
        <f>IF($R51,"&amp;AllGlyphs[" &amp; I51 &amp; "]","")</f>
        <v>&amp;AllGlyphs[58]</v>
      </c>
      <c r="BP51" s="54" t="str">
        <f>IF($R51,"&amp;AllGlyphs[" &amp; K51 &amp; "]","")</f>
        <v>&amp;AllGlyphs[37]</v>
      </c>
      <c r="BQ51" s="54" t="str">
        <f>IF($R51,"&amp;AllGlyphs[" &amp; M51 &amp; "]","")</f>
        <v>&amp;AllGlyphs[35]</v>
      </c>
      <c r="BR51" s="54" t="str">
        <f>IF($R51,"&amp;AllGlyphs[" &amp; O51 &amp; "]","")</f>
        <v>&amp;AllGlyphs[49]</v>
      </c>
      <c r="BT51" s="58">
        <f>IF($R51,IF(AB51,1,0),"")</f>
        <v>0</v>
      </c>
      <c r="BU51" s="58">
        <f>IF($R51,IF(AC51,1,0),"")</f>
        <v>0</v>
      </c>
      <c r="BV51" s="58">
        <f>IF($R51,IF(AD51,1,0),"")</f>
        <v>0</v>
      </c>
      <c r="BW51" s="58">
        <f>IF($R51,IF(AE51,1,0),"")</f>
        <v>0</v>
      </c>
      <c r="BX51" s="58">
        <f>IF($R51,IF(AR51,1,0),"")</f>
        <v>0</v>
      </c>
      <c r="BY51" s="58">
        <f>IF($R51,IF(AS51,1,0),"")</f>
        <v>1</v>
      </c>
    </row>
    <row r="52" spans="1:77" x14ac:dyDescent="0.4">
      <c r="A52" s="7" t="s">
        <v>29</v>
      </c>
      <c r="B52" s="6" t="str">
        <f t="shared" si="0"/>
        <v>R</v>
      </c>
      <c r="C52" s="48" cm="1">
        <f t="array" ref="C52">IF($R52,INDEX($S:$S,MATCH(TRUE,EXACT(B52,$A:$A),0)),"")</f>
        <v>50</v>
      </c>
      <c r="D52" s="38" t="s">
        <v>39</v>
      </c>
      <c r="E52" s="48" cm="1">
        <f t="array" ref="E52">IF($R52,INDEX($S:$S,MATCH(TRUE,EXACT(D52,$A:$A),0)),"")</f>
        <v>38</v>
      </c>
      <c r="F52" s="38" t="s">
        <v>55</v>
      </c>
      <c r="G52" s="48" cm="1">
        <f t="array" ref="G52">IF($S52&lt;&gt;"",INDEX($S:$S,MATCH(TRUE,EXACT(F52,$A:$A),0)),"")</f>
        <v>4</v>
      </c>
      <c r="H52" s="38" t="s">
        <v>55</v>
      </c>
      <c r="I52" s="48" cm="1">
        <f t="array" ref="I52">IF($R52,INDEX($S:$S,MATCH(TRUE,EXACT(H52,$A:$A),0)),"")</f>
        <v>4</v>
      </c>
      <c r="J52" s="38" t="s">
        <v>29</v>
      </c>
      <c r="K52" s="52" cm="1">
        <f t="array" ref="K52">IF($R52,INDEX($S:$S,MATCH(TRUE,EXACT(J52,$A:$A),0)),"")</f>
        <v>50</v>
      </c>
      <c r="L52" s="38" t="str" cm="1">
        <f t="array" ref="L52">IF($R52,INDEX($T:$T,MATCH(TRUE,EXACT(H52,$D:$D),0)),"")</f>
        <v>F</v>
      </c>
      <c r="M52" s="48" cm="1">
        <f t="array" ref="M52">IF($R52,INDEX($S:$S,MATCH(TRUE,EXACT(L52,$A:$A),0)),"")</f>
        <v>38</v>
      </c>
      <c r="N52" s="38" t="str" cm="1">
        <f t="array" ref="N52">IF($R52,INDEX($T:$T,MATCH(TRUE,EXACT(J52,$D:$D),0)),"")</f>
        <v>V</v>
      </c>
      <c r="O52" s="52" cm="1">
        <f t="array" ref="O52">IF($R52,INDEX($S:$S,MATCH(TRUE,EXACT(N52,$A:$A),0)),"")</f>
        <v>54</v>
      </c>
      <c r="P52" s="23"/>
      <c r="Q52" s="33"/>
      <c r="R52" s="18" t="b">
        <f t="shared" si="1"/>
        <v>1</v>
      </c>
      <c r="S52" s="19">
        <f>IF(R52, MAX(S$2:S51)+1,"")</f>
        <v>50</v>
      </c>
      <c r="T52" s="23" t="str">
        <f t="shared" si="2"/>
        <v>R</v>
      </c>
      <c r="U52" s="8" t="str" cm="1">
        <f t="array" ref="U52">CharToUTF8(A52)</f>
        <v>\x52</v>
      </c>
      <c r="W52" s="18" t="str">
        <f>$AU$4</f>
        <v>ORTHO_BOTH</v>
      </c>
      <c r="X52" s="24" t="str">
        <f>$AU$2</f>
        <v>EMPTY</v>
      </c>
      <c r="Y52" s="24" t="str">
        <f>$AU$2</f>
        <v>EMPTY</v>
      </c>
      <c r="Z52" s="21" t="str">
        <f>$AU$2</f>
        <v>EMPTY</v>
      </c>
      <c r="AB52" s="31" t="b">
        <f t="shared" si="3"/>
        <v>0</v>
      </c>
      <c r="AC52" s="31" t="b">
        <f t="shared" si="4"/>
        <v>0</v>
      </c>
      <c r="AD52" t="b">
        <f t="shared" si="5"/>
        <v>0</v>
      </c>
      <c r="AE52" t="b">
        <f t="shared" si="6"/>
        <v>1</v>
      </c>
      <c r="AF52" t="b">
        <f>IF($R52,W52=VLOOKUP(Z52,$AU$2:$AZ$10,3,FALSE),"")</f>
        <v>0</v>
      </c>
      <c r="AG52" t="b">
        <f>IF($R52,X52=VLOOKUP(Y52,$AU$2:$AZ$10,3,FALSE),"")</f>
        <v>1</v>
      </c>
      <c r="AH52" t="b">
        <f>IF($R52,Y52=VLOOKUP(W52,$AU$2:$AZ$10,3,FALSE),"")</f>
        <v>0</v>
      </c>
      <c r="AI52" t="b">
        <f>IF($R52,Z52=VLOOKUP(X52,$AU$2:$AZ$10,3,FALSE),"")</f>
        <v>1</v>
      </c>
      <c r="AJ52" t="b">
        <f>IF($R52,W52=VLOOKUP(W52,$AU$2:$AZ$10,4,FALSE),"")</f>
        <v>1</v>
      </c>
      <c r="AK52" t="b">
        <f>IF($R52,X52=VLOOKUP(X52,$AU$2:$AZ$10,4,FALSE),"")</f>
        <v>1</v>
      </c>
      <c r="AL52" t="b">
        <f>IF($R52,Y52=VLOOKUP(Y52,$AU$2:$AZ$10,4,FALSE),"")</f>
        <v>1</v>
      </c>
      <c r="AM52" t="b">
        <f>IF($R52,Z52=VLOOKUP(Z52,$AU$2:$AZ$10,4,FALSE),"")</f>
        <v>1</v>
      </c>
      <c r="AN52" t="b">
        <f>IF($R52,W52=VLOOKUP(W52,$AU$2:$AZ$10,5,FALSE),"")</f>
        <v>1</v>
      </c>
      <c r="AO52" t="b">
        <f>IF($R52,X52=VLOOKUP(X52,$AU$2:$AZ$10,5,FALSE),"")</f>
        <v>1</v>
      </c>
      <c r="AP52" t="b">
        <f>IF($R52,Y52=VLOOKUP(Y52,$AU$2:$AZ$10,6,FALSE),"")</f>
        <v>1</v>
      </c>
      <c r="AQ52" t="b">
        <f>IF($R52,Z52=VLOOKUP(Z52,$AU$2:$AZ$10,6,FALSE),"")</f>
        <v>1</v>
      </c>
      <c r="AR52" t="b">
        <f t="shared" si="8"/>
        <v>0</v>
      </c>
      <c r="AS52" t="b">
        <f t="shared" si="9"/>
        <v>0</v>
      </c>
      <c r="BD52" s="59" t="str">
        <f t="shared" si="10"/>
        <v xml:space="preserve">    { wxString::FromUTF8("\x52"), &amp;AllGlyphs[38], &amp;AllGlyphs[4], &amp;AllGlyphs[4], &amp;AllGlyphs[50], &amp;AllGlyphs[38], &amp;AllGlyphs[54], Connection::ORTHO_BOTH, Connection::EMPTY, Connection::EMPTY, Connection::EMPTY, 0, 0, 0, 1, 0, 0 },</v>
      </c>
      <c r="BE52" s="60"/>
      <c r="BF52" s="60"/>
      <c r="BG52" s="60"/>
      <c r="BH52" s="60"/>
      <c r="BI52" s="60"/>
      <c r="BJ52" s="60"/>
      <c r="BK52" s="61"/>
      <c r="BM52" s="54" t="str">
        <f>IF($R52,"&amp;AllGlyphs[" &amp; E52 &amp; "]","")</f>
        <v>&amp;AllGlyphs[38]</v>
      </c>
      <c r="BN52" s="54" t="str">
        <f>IF($R52,"&amp;AllGlyphs[" &amp; G52 &amp; "]","")</f>
        <v>&amp;AllGlyphs[4]</v>
      </c>
      <c r="BO52" s="54" t="str">
        <f>IF($R52,"&amp;AllGlyphs[" &amp; I52 &amp; "]","")</f>
        <v>&amp;AllGlyphs[4]</v>
      </c>
      <c r="BP52" s="54" t="str">
        <f>IF($R52,"&amp;AllGlyphs[" &amp; K52 &amp; "]","")</f>
        <v>&amp;AllGlyphs[50]</v>
      </c>
      <c r="BQ52" s="54" t="str">
        <f>IF($R52,"&amp;AllGlyphs[" &amp; M52 &amp; "]","")</f>
        <v>&amp;AllGlyphs[38]</v>
      </c>
      <c r="BR52" s="54" t="str">
        <f>IF($R52,"&amp;AllGlyphs[" &amp; O52 &amp; "]","")</f>
        <v>&amp;AllGlyphs[54]</v>
      </c>
      <c r="BT52" s="58">
        <f>IF($R52,IF(AB52,1,0),"")</f>
        <v>0</v>
      </c>
      <c r="BU52" s="58">
        <f>IF($R52,IF(AC52,1,0),"")</f>
        <v>0</v>
      </c>
      <c r="BV52" s="58">
        <f>IF($R52,IF(AD52,1,0),"")</f>
        <v>0</v>
      </c>
      <c r="BW52" s="58">
        <f>IF($R52,IF(AE52,1,0),"")</f>
        <v>1</v>
      </c>
      <c r="BX52" s="58">
        <f>IF($R52,IF(AR52,1,0),"")</f>
        <v>0</v>
      </c>
      <c r="BY52" s="58">
        <f>IF($R52,IF(AS52,1,0),"")</f>
        <v>0</v>
      </c>
    </row>
    <row r="53" spans="1:77" x14ac:dyDescent="0.4">
      <c r="A53" s="7" t="s">
        <v>37</v>
      </c>
      <c r="B53" s="6" t="str">
        <f t="shared" si="0"/>
        <v>S</v>
      </c>
      <c r="C53" s="48" cm="1">
        <f t="array" ref="C53">IF($R53,INDEX($S:$S,MATCH(TRUE,EXACT(B53,$A:$A),0)),"")</f>
        <v>51</v>
      </c>
      <c r="D53" s="38" t="s">
        <v>37</v>
      </c>
      <c r="E53" s="48" cm="1">
        <f t="array" ref="E53">IF($R53,INDEX($S:$S,MATCH(TRUE,EXACT(D53,$A:$A),0)),"")</f>
        <v>51</v>
      </c>
      <c r="F53" s="38" t="s">
        <v>37</v>
      </c>
      <c r="G53" s="48" cm="1">
        <f t="array" ref="G53">IF($S53&lt;&gt;"",INDEX($S:$S,MATCH(TRUE,EXACT(F53,$A:$A),0)),"")</f>
        <v>51</v>
      </c>
      <c r="H53" s="38" t="s">
        <v>37</v>
      </c>
      <c r="I53" s="48" cm="1">
        <f t="array" ref="I53">IF($R53,INDEX($S:$S,MATCH(TRUE,EXACT(H53,$A:$A),0)),"")</f>
        <v>51</v>
      </c>
      <c r="J53" s="38" t="s">
        <v>37</v>
      </c>
      <c r="K53" s="52" cm="1">
        <f t="array" ref="K53">IF($R53,INDEX($S:$S,MATCH(TRUE,EXACT(J53,$A:$A),0)),"")</f>
        <v>51</v>
      </c>
      <c r="L53" s="38" t="str" cm="1">
        <f t="array" ref="L53">IF($R53,INDEX($T:$T,MATCH(TRUE,EXACT(H53,$D:$D),0)),"")</f>
        <v>S</v>
      </c>
      <c r="M53" s="48" cm="1">
        <f t="array" ref="M53">IF($R53,INDEX($S:$S,MATCH(TRUE,EXACT(L53,$A:$A),0)),"")</f>
        <v>51</v>
      </c>
      <c r="N53" s="38" t="str" cm="1">
        <f t="array" ref="N53">IF($R53,INDEX($T:$T,MATCH(TRUE,EXACT(J53,$D:$D),0)),"")</f>
        <v>S</v>
      </c>
      <c r="O53" s="52" cm="1">
        <f t="array" ref="O53">IF($R53,INDEX($S:$S,MATCH(TRUE,EXACT(N53,$A:$A),0)),"")</f>
        <v>51</v>
      </c>
      <c r="P53" s="23"/>
      <c r="Q53" s="33"/>
      <c r="R53" s="18" t="b">
        <f t="shared" si="1"/>
        <v>1</v>
      </c>
      <c r="S53" s="19">
        <f>IF(R53, MAX(S$2:S52)+1,"")</f>
        <v>51</v>
      </c>
      <c r="T53" s="23" t="str">
        <f t="shared" si="2"/>
        <v>S</v>
      </c>
      <c r="U53" s="8" t="str" cm="1">
        <f t="array" ref="U53">CharToUTF8(A53)</f>
        <v>\x53</v>
      </c>
      <c r="W53" s="18" t="str">
        <f>$AU$4</f>
        <v>ORTHO_BOTH</v>
      </c>
      <c r="X53" s="24" t="str">
        <f>$AU$4</f>
        <v>ORTHO_BOTH</v>
      </c>
      <c r="Y53" s="24" t="str">
        <f>$AU$4</f>
        <v>ORTHO_BOTH</v>
      </c>
      <c r="Z53" s="21" t="str">
        <f>$AU$4</f>
        <v>ORTHO_BOTH</v>
      </c>
      <c r="AB53" s="31" t="b">
        <f t="shared" si="3"/>
        <v>1</v>
      </c>
      <c r="AC53" s="31" t="b">
        <f t="shared" si="4"/>
        <v>1</v>
      </c>
      <c r="AD53" t="b">
        <f t="shared" si="5"/>
        <v>1</v>
      </c>
      <c r="AE53" t="b">
        <f t="shared" si="6"/>
        <v>1</v>
      </c>
      <c r="AF53" t="b">
        <f>IF($R53,W53=VLOOKUP(Z53,$AU$2:$AZ$10,3,FALSE),"")</f>
        <v>1</v>
      </c>
      <c r="AG53" t="b">
        <f>IF($R53,X53=VLOOKUP(Y53,$AU$2:$AZ$10,3,FALSE),"")</f>
        <v>1</v>
      </c>
      <c r="AH53" t="b">
        <f>IF($R53,Y53=VLOOKUP(W53,$AU$2:$AZ$10,3,FALSE),"")</f>
        <v>1</v>
      </c>
      <c r="AI53" t="b">
        <f>IF($R53,Z53=VLOOKUP(X53,$AU$2:$AZ$10,3,FALSE),"")</f>
        <v>1</v>
      </c>
      <c r="AJ53" t="b">
        <f>IF($R53,W53=VLOOKUP(W53,$AU$2:$AZ$10,4,FALSE),"")</f>
        <v>1</v>
      </c>
      <c r="AK53" t="b">
        <f>IF($R53,X53=VLOOKUP(X53,$AU$2:$AZ$10,4,FALSE),"")</f>
        <v>1</v>
      </c>
      <c r="AL53" t="b">
        <f>IF($R53,Y53=VLOOKUP(Y53,$AU$2:$AZ$10,4,FALSE),"")</f>
        <v>1</v>
      </c>
      <c r="AM53" t="b">
        <f>IF($R53,Z53=VLOOKUP(Z53,$AU$2:$AZ$10,4,FALSE),"")</f>
        <v>1</v>
      </c>
      <c r="AN53" t="b">
        <f>IF($R53,W53=VLOOKUP(W53,$AU$2:$AZ$10,5,FALSE),"")</f>
        <v>1</v>
      </c>
      <c r="AO53" t="b">
        <f>IF($R53,X53=VLOOKUP(X53,$AU$2:$AZ$10,5,FALSE),"")</f>
        <v>1</v>
      </c>
      <c r="AP53" t="b">
        <f>IF($R53,Y53=VLOOKUP(Y53,$AU$2:$AZ$10,6,FALSE),"")</f>
        <v>1</v>
      </c>
      <c r="AQ53" t="b">
        <f>IF($R53,Z53=VLOOKUP(Z53,$AU$2:$AZ$10,6,FALSE),"")</f>
        <v>1</v>
      </c>
      <c r="AR53" t="b">
        <f t="shared" si="8"/>
        <v>1</v>
      </c>
      <c r="AS53" t="b">
        <f t="shared" si="9"/>
        <v>1</v>
      </c>
      <c r="BD53" s="59" t="str">
        <f t="shared" si="10"/>
        <v xml:space="preserve">    { wxString::FromUTF8("\x53"), &amp;AllGlyphs[51], &amp;AllGlyphs[51], &amp;AllGlyphs[51], &amp;AllGlyphs[51], &amp;AllGlyphs[51], &amp;AllGlyphs[51], Connection::ORTHO_BOTH, Connection::ORTHO_BOTH, Connection::ORTHO_BOTH, Connection::ORTHO_BOTH, 1, 1, 1, 1, 1, 1 },</v>
      </c>
      <c r="BE53" s="60"/>
      <c r="BF53" s="60"/>
      <c r="BG53" s="60"/>
      <c r="BH53" s="60"/>
      <c r="BI53" s="60"/>
      <c r="BJ53" s="60"/>
      <c r="BK53" s="61"/>
      <c r="BM53" s="54" t="str">
        <f>IF($R53,"&amp;AllGlyphs[" &amp; E53 &amp; "]","")</f>
        <v>&amp;AllGlyphs[51]</v>
      </c>
      <c r="BN53" s="54" t="str">
        <f>IF($R53,"&amp;AllGlyphs[" &amp; G53 &amp; "]","")</f>
        <v>&amp;AllGlyphs[51]</v>
      </c>
      <c r="BO53" s="54" t="str">
        <f>IF($R53,"&amp;AllGlyphs[" &amp; I53 &amp; "]","")</f>
        <v>&amp;AllGlyphs[51]</v>
      </c>
      <c r="BP53" s="54" t="str">
        <f>IF($R53,"&amp;AllGlyphs[" &amp; K53 &amp; "]","")</f>
        <v>&amp;AllGlyphs[51]</v>
      </c>
      <c r="BQ53" s="54" t="str">
        <f>IF($R53,"&amp;AllGlyphs[" &amp; M53 &amp; "]","")</f>
        <v>&amp;AllGlyphs[51]</v>
      </c>
      <c r="BR53" s="54" t="str">
        <f>IF($R53,"&amp;AllGlyphs[" &amp; O53 &amp; "]","")</f>
        <v>&amp;AllGlyphs[51]</v>
      </c>
      <c r="BT53" s="58">
        <f>IF($R53,IF(AB53,1,0),"")</f>
        <v>1</v>
      </c>
      <c r="BU53" s="58">
        <f>IF($R53,IF(AC53,1,0),"")</f>
        <v>1</v>
      </c>
      <c r="BV53" s="58">
        <f>IF($R53,IF(AD53,1,0),"")</f>
        <v>1</v>
      </c>
      <c r="BW53" s="58">
        <f>IF($R53,IF(AE53,1,0),"")</f>
        <v>1</v>
      </c>
      <c r="BX53" s="58">
        <f>IF($R53,IF(AR53,1,0),"")</f>
        <v>1</v>
      </c>
      <c r="BY53" s="58">
        <f>IF($R53,IF(AS53,1,0),"")</f>
        <v>1</v>
      </c>
    </row>
    <row r="54" spans="1:77" x14ac:dyDescent="0.4">
      <c r="A54" s="7" t="s">
        <v>30</v>
      </c>
      <c r="B54" s="6" t="str">
        <f t="shared" si="0"/>
        <v>T</v>
      </c>
      <c r="C54" s="48" cm="1">
        <f t="array" ref="C54">IF($R54,INDEX($S:$S,MATCH(TRUE,EXACT(B54,$A:$A),0)),"")</f>
        <v>52</v>
      </c>
      <c r="D54" s="38" t="s">
        <v>40</v>
      </c>
      <c r="E54" s="48" cm="1">
        <f t="array" ref="E54">IF($R54,INDEX($S:$S,MATCH(TRUE,EXACT(D54,$A:$A),0)),"")</f>
        <v>39</v>
      </c>
      <c r="F54" s="38" t="s">
        <v>56</v>
      </c>
      <c r="G54" s="48" cm="1">
        <f t="array" ref="G54">IF($S54&lt;&gt;"",INDEX($S:$S,MATCH(TRUE,EXACT(F54,$A:$A),0)),"")</f>
        <v>5</v>
      </c>
      <c r="H54" s="38" t="s">
        <v>56</v>
      </c>
      <c r="I54" s="48" cm="1">
        <f t="array" ref="I54">IF($R54,INDEX($S:$S,MATCH(TRUE,EXACT(H54,$A:$A),0)),"")</f>
        <v>5</v>
      </c>
      <c r="J54" s="38" t="s">
        <v>30</v>
      </c>
      <c r="K54" s="52" cm="1">
        <f t="array" ref="K54">IF($R54,INDEX($S:$S,MATCH(TRUE,EXACT(J54,$A:$A),0)),"")</f>
        <v>52</v>
      </c>
      <c r="L54" s="38" t="str" cm="1">
        <f t="array" ref="L54">IF($R54,INDEX($T:$T,MATCH(TRUE,EXACT(H54,$D:$D),0)),"")</f>
        <v>G</v>
      </c>
      <c r="M54" s="48" cm="1">
        <f t="array" ref="M54">IF($R54,INDEX($S:$S,MATCH(TRUE,EXACT(L54,$A:$A),0)),"")</f>
        <v>39</v>
      </c>
      <c r="N54" s="38" t="str" cm="1">
        <f t="array" ref="N54">IF($R54,INDEX($T:$T,MATCH(TRUE,EXACT(J54,$D:$D),0)),"")</f>
        <v>H</v>
      </c>
      <c r="O54" s="52" cm="1">
        <f t="array" ref="O54">IF($R54,INDEX($S:$S,MATCH(TRUE,EXACT(N54,$A:$A),0)),"")</f>
        <v>40</v>
      </c>
      <c r="P54" s="23"/>
      <c r="Q54" s="33"/>
      <c r="R54" s="18" t="b">
        <f t="shared" si="1"/>
        <v>1</v>
      </c>
      <c r="S54" s="19">
        <f>IF(R54, MAX(S$2:S53)+1,"")</f>
        <v>52</v>
      </c>
      <c r="T54" s="23" t="str">
        <f t="shared" si="2"/>
        <v>T</v>
      </c>
      <c r="U54" s="8" t="str" cm="1">
        <f t="array" ref="U54">CharToUTF8(A54)</f>
        <v>\x54</v>
      </c>
      <c r="W54" s="18" t="str">
        <f>$AU$3</f>
        <v>DIAG_BOTH</v>
      </c>
      <c r="X54" s="24" t="str">
        <f>$AU$2</f>
        <v>EMPTY</v>
      </c>
      <c r="Y54" s="24" t="str">
        <f>$AU$4</f>
        <v>ORTHO_BOTH</v>
      </c>
      <c r="Z54" s="21" t="str">
        <f>$AU$4</f>
        <v>ORTHO_BOTH</v>
      </c>
      <c r="AB54" s="31" t="b">
        <f t="shared" si="3"/>
        <v>0</v>
      </c>
      <c r="AC54" s="31" t="b">
        <f t="shared" si="4"/>
        <v>0</v>
      </c>
      <c r="AD54" t="b">
        <f t="shared" si="5"/>
        <v>0</v>
      </c>
      <c r="AE54" t="b">
        <f t="shared" si="6"/>
        <v>1</v>
      </c>
      <c r="AF54" t="b">
        <f>IF($R54,W54=VLOOKUP(Z54,$AU$2:$AZ$10,3,FALSE),"")</f>
        <v>0</v>
      </c>
      <c r="AG54" t="b">
        <f>IF($R54,X54=VLOOKUP(Y54,$AU$2:$AZ$10,3,FALSE),"")</f>
        <v>0</v>
      </c>
      <c r="AH54" t="b">
        <f>IF($R54,Y54=VLOOKUP(W54,$AU$2:$AZ$10,3,FALSE),"")</f>
        <v>0</v>
      </c>
      <c r="AI54" t="b">
        <f>IF($R54,Z54=VLOOKUP(X54,$AU$2:$AZ$10,3,FALSE),"")</f>
        <v>0</v>
      </c>
      <c r="AJ54" t="b">
        <f>IF($R54,W54=VLOOKUP(W54,$AU$2:$AZ$10,4,FALSE),"")</f>
        <v>1</v>
      </c>
      <c r="AK54" t="b">
        <f>IF($R54,X54=VLOOKUP(X54,$AU$2:$AZ$10,4,FALSE),"")</f>
        <v>1</v>
      </c>
      <c r="AL54" t="b">
        <f>IF($R54,Y54=VLOOKUP(Y54,$AU$2:$AZ$10,4,FALSE),"")</f>
        <v>1</v>
      </c>
      <c r="AM54" t="b">
        <f>IF($R54,Z54=VLOOKUP(Z54,$AU$2:$AZ$10,4,FALSE),"")</f>
        <v>1</v>
      </c>
      <c r="AN54" t="b">
        <f>IF($R54,W54=VLOOKUP(W54,$AU$2:$AZ$10,5,FALSE),"")</f>
        <v>1</v>
      </c>
      <c r="AO54" t="b">
        <f>IF($R54,X54=VLOOKUP(X54,$AU$2:$AZ$10,5,FALSE),"")</f>
        <v>1</v>
      </c>
      <c r="AP54" t="b">
        <f>IF($R54,Y54=VLOOKUP(Y54,$AU$2:$AZ$10,6,FALSE),"")</f>
        <v>1</v>
      </c>
      <c r="AQ54" t="b">
        <f>IF($R54,Z54=VLOOKUP(Z54,$AU$2:$AZ$10,6,FALSE),"")</f>
        <v>1</v>
      </c>
      <c r="AR54" t="b">
        <f t="shared" si="8"/>
        <v>0</v>
      </c>
      <c r="AS54" t="b">
        <f t="shared" si="9"/>
        <v>0</v>
      </c>
      <c r="BD54" s="59" t="str">
        <f t="shared" si="10"/>
        <v xml:space="preserve">    { wxString::FromUTF8("\x54"), &amp;AllGlyphs[39], &amp;AllGlyphs[5], &amp;AllGlyphs[5], &amp;AllGlyphs[52], &amp;AllGlyphs[39], &amp;AllGlyphs[40], Connection::DIAG_BOTH, Connection::EMPTY, Connection::ORTHO_BOTH, Connection::ORTHO_BOTH, 0, 0, 0, 1, 0, 0 },</v>
      </c>
      <c r="BE54" s="60"/>
      <c r="BF54" s="60"/>
      <c r="BG54" s="60"/>
      <c r="BH54" s="60"/>
      <c r="BI54" s="60"/>
      <c r="BJ54" s="60"/>
      <c r="BK54" s="61"/>
      <c r="BM54" s="54" t="str">
        <f>IF($R54,"&amp;AllGlyphs[" &amp; E54 &amp; "]","")</f>
        <v>&amp;AllGlyphs[39]</v>
      </c>
      <c r="BN54" s="54" t="str">
        <f>IF($R54,"&amp;AllGlyphs[" &amp; G54 &amp; "]","")</f>
        <v>&amp;AllGlyphs[5]</v>
      </c>
      <c r="BO54" s="54" t="str">
        <f>IF($R54,"&amp;AllGlyphs[" &amp; I54 &amp; "]","")</f>
        <v>&amp;AllGlyphs[5]</v>
      </c>
      <c r="BP54" s="54" t="str">
        <f>IF($R54,"&amp;AllGlyphs[" &amp; K54 &amp; "]","")</f>
        <v>&amp;AllGlyphs[52]</v>
      </c>
      <c r="BQ54" s="54" t="str">
        <f>IF($R54,"&amp;AllGlyphs[" &amp; M54 &amp; "]","")</f>
        <v>&amp;AllGlyphs[39]</v>
      </c>
      <c r="BR54" s="54" t="str">
        <f>IF($R54,"&amp;AllGlyphs[" &amp; O54 &amp; "]","")</f>
        <v>&amp;AllGlyphs[40]</v>
      </c>
      <c r="BT54" s="58">
        <f>IF($R54,IF(AB54,1,0),"")</f>
        <v>0</v>
      </c>
      <c r="BU54" s="58">
        <f>IF($R54,IF(AC54,1,0),"")</f>
        <v>0</v>
      </c>
      <c r="BV54" s="58">
        <f>IF($R54,IF(AD54,1,0),"")</f>
        <v>0</v>
      </c>
      <c r="BW54" s="58">
        <f>IF($R54,IF(AE54,1,0),"")</f>
        <v>1</v>
      </c>
      <c r="BX54" s="58">
        <f>IF($R54,IF(AR54,1,0),"")</f>
        <v>0</v>
      </c>
      <c r="BY54" s="58">
        <f>IF($R54,IF(AS54,1,0),"")</f>
        <v>0</v>
      </c>
    </row>
    <row r="55" spans="1:77" x14ac:dyDescent="0.4">
      <c r="A55" s="7" t="s">
        <v>32</v>
      </c>
      <c r="B55" s="6" t="str">
        <f t="shared" si="0"/>
        <v>U</v>
      </c>
      <c r="C55" s="48" cm="1">
        <f t="array" ref="C55">IF($R55,INDEX($S:$S,MATCH(TRUE,EXACT(B55,$A:$A),0)),"")</f>
        <v>53</v>
      </c>
      <c r="D55" s="38" t="s">
        <v>42</v>
      </c>
      <c r="E55" s="48" cm="1">
        <f t="array" ref="E55">IF($R55,INDEX($S:$S,MATCH(TRUE,EXACT(D55,$A:$A),0)),"")</f>
        <v>42</v>
      </c>
      <c r="F55" s="38" t="s">
        <v>59</v>
      </c>
      <c r="G55" s="48" cm="1">
        <f t="array" ref="G55">IF($S55&lt;&gt;"",INDEX($S:$S,MATCH(TRUE,EXACT(F55,$A:$A),0)),"")</f>
        <v>10</v>
      </c>
      <c r="H55" s="38" t="s">
        <v>58</v>
      </c>
      <c r="I55" s="48" cm="1">
        <f t="array" ref="I55">IF($R55,INDEX($S:$S,MATCH(TRUE,EXACT(H55,$A:$A),0)),"")</f>
        <v>6</v>
      </c>
      <c r="J55" s="38" t="s">
        <v>33</v>
      </c>
      <c r="K55" s="52" cm="1">
        <f t="array" ref="K55">IF($R55,INDEX($S:$S,MATCH(TRUE,EXACT(J55,$A:$A),0)),"")</f>
        <v>41</v>
      </c>
      <c r="L55" s="38" t="str" cm="1">
        <f t="array" ref="L55">IF($R55,INDEX($T:$T,MATCH(TRUE,EXACT(H55,$D:$D),0)),"")</f>
        <v>M</v>
      </c>
      <c r="M55" s="48" cm="1">
        <f t="array" ref="M55">IF($R55,INDEX($S:$S,MATCH(TRUE,EXACT(L55,$A:$A),0)),"")</f>
        <v>45</v>
      </c>
      <c r="N55" s="38" t="str" cm="1">
        <f t="array" ref="N55">IF($R55,INDEX($T:$T,MATCH(TRUE,EXACT(J55,$D:$D),0)),"")</f>
        <v>K</v>
      </c>
      <c r="O55" s="52" cm="1">
        <f t="array" ref="O55">IF($R55,INDEX($S:$S,MATCH(TRUE,EXACT(N55,$A:$A),0)),"")</f>
        <v>43</v>
      </c>
      <c r="P55" s="23"/>
      <c r="Q55" s="33"/>
      <c r="R55" s="18" t="b">
        <f t="shared" si="1"/>
        <v>1</v>
      </c>
      <c r="S55" s="19">
        <f>IF(R55, MAX(S$2:S54)+1,"")</f>
        <v>53</v>
      </c>
      <c r="T55" s="23" t="str">
        <f t="shared" si="2"/>
        <v>U</v>
      </c>
      <c r="U55" s="8" t="str" cm="1">
        <f t="array" ref="U55">CharToUTF8(A55)</f>
        <v>\x55</v>
      </c>
      <c r="W55" s="18" t="str">
        <f>$AU$4</f>
        <v>ORTHO_BOTH</v>
      </c>
      <c r="X55" s="24" t="str">
        <f>$AU$3</f>
        <v>DIAG_BOTH</v>
      </c>
      <c r="Y55" s="24" t="str">
        <f>$AU$2</f>
        <v>EMPTY</v>
      </c>
      <c r="Z55" s="21" t="str">
        <f>$AU$4</f>
        <v>ORTHO_BOTH</v>
      </c>
      <c r="AB55" s="31" t="b">
        <f t="shared" si="3"/>
        <v>0</v>
      </c>
      <c r="AC55" s="31" t="b">
        <f t="shared" si="4"/>
        <v>0</v>
      </c>
      <c r="AD55" t="b">
        <f t="shared" si="5"/>
        <v>0</v>
      </c>
      <c r="AE55" t="b">
        <f t="shared" si="6"/>
        <v>0</v>
      </c>
      <c r="AF55" t="b">
        <f>IF($R55,W55=VLOOKUP(Z55,$AU$2:$AZ$10,3,FALSE),"")</f>
        <v>1</v>
      </c>
      <c r="AG55" t="b">
        <f>IF($R55,X55=VLOOKUP(Y55,$AU$2:$AZ$10,3,FALSE),"")</f>
        <v>0</v>
      </c>
      <c r="AH55" t="b">
        <f>IF($R55,Y55=VLOOKUP(W55,$AU$2:$AZ$10,3,FALSE),"")</f>
        <v>0</v>
      </c>
      <c r="AI55" t="b">
        <f>IF($R55,Z55=VLOOKUP(X55,$AU$2:$AZ$10,3,FALSE),"")</f>
        <v>0</v>
      </c>
      <c r="AJ55" t="b">
        <f>IF($R55,W55=VLOOKUP(W55,$AU$2:$AZ$10,4,FALSE),"")</f>
        <v>1</v>
      </c>
      <c r="AK55" t="b">
        <f>IF($R55,X55=VLOOKUP(X55,$AU$2:$AZ$10,4,FALSE),"")</f>
        <v>1</v>
      </c>
      <c r="AL55" t="b">
        <f>IF($R55,Y55=VLOOKUP(Y55,$AU$2:$AZ$10,4,FALSE),"")</f>
        <v>1</v>
      </c>
      <c r="AM55" t="b">
        <f>IF($R55,Z55=VLOOKUP(Z55,$AU$2:$AZ$10,4,FALSE),"")</f>
        <v>1</v>
      </c>
      <c r="AN55" t="b">
        <f>IF($R55,W55=VLOOKUP(W55,$AU$2:$AZ$10,5,FALSE),"")</f>
        <v>1</v>
      </c>
      <c r="AO55" t="b">
        <f>IF($R55,X55=VLOOKUP(X55,$AU$2:$AZ$10,5,FALSE),"")</f>
        <v>1</v>
      </c>
      <c r="AP55" t="b">
        <f>IF($R55,Y55=VLOOKUP(Y55,$AU$2:$AZ$10,6,FALSE),"")</f>
        <v>1</v>
      </c>
      <c r="AQ55" t="b">
        <f>IF($R55,Z55=VLOOKUP(Z55,$AU$2:$AZ$10,6,FALSE),"")</f>
        <v>1</v>
      </c>
      <c r="AR55" t="b">
        <f t="shared" si="8"/>
        <v>0</v>
      </c>
      <c r="AS55" t="b">
        <f t="shared" si="9"/>
        <v>0</v>
      </c>
      <c r="BD55" s="59" t="str">
        <f t="shared" si="10"/>
        <v xml:space="preserve">    { wxString::FromUTF8("\x55"), &amp;AllGlyphs[42], &amp;AllGlyphs[10], &amp;AllGlyphs[6], &amp;AllGlyphs[41], &amp;AllGlyphs[45], &amp;AllGlyphs[43], Connection::ORTHO_BOTH, Connection::DIAG_BOTH, Connection::EMPTY, Connection::ORTHO_BOTH, 0, 0, 0, 0, 0, 0 },</v>
      </c>
      <c r="BE55" s="60"/>
      <c r="BF55" s="60"/>
      <c r="BG55" s="60"/>
      <c r="BH55" s="60"/>
      <c r="BI55" s="60"/>
      <c r="BJ55" s="60"/>
      <c r="BK55" s="61"/>
      <c r="BM55" s="54" t="str">
        <f>IF($R55,"&amp;AllGlyphs[" &amp; E55 &amp; "]","")</f>
        <v>&amp;AllGlyphs[42]</v>
      </c>
      <c r="BN55" s="54" t="str">
        <f>IF($R55,"&amp;AllGlyphs[" &amp; G55 &amp; "]","")</f>
        <v>&amp;AllGlyphs[10]</v>
      </c>
      <c r="BO55" s="54" t="str">
        <f>IF($R55,"&amp;AllGlyphs[" &amp; I55 &amp; "]","")</f>
        <v>&amp;AllGlyphs[6]</v>
      </c>
      <c r="BP55" s="54" t="str">
        <f>IF($R55,"&amp;AllGlyphs[" &amp; K55 &amp; "]","")</f>
        <v>&amp;AllGlyphs[41]</v>
      </c>
      <c r="BQ55" s="54" t="str">
        <f>IF($R55,"&amp;AllGlyphs[" &amp; M55 &amp; "]","")</f>
        <v>&amp;AllGlyphs[45]</v>
      </c>
      <c r="BR55" s="54" t="str">
        <f>IF($R55,"&amp;AllGlyphs[" &amp; O55 &amp; "]","")</f>
        <v>&amp;AllGlyphs[43]</v>
      </c>
      <c r="BT55" s="58">
        <f>IF($R55,IF(AB55,1,0),"")</f>
        <v>0</v>
      </c>
      <c r="BU55" s="58">
        <f>IF($R55,IF(AC55,1,0),"")</f>
        <v>0</v>
      </c>
      <c r="BV55" s="58">
        <f>IF($R55,IF(AD55,1,0),"")</f>
        <v>0</v>
      </c>
      <c r="BW55" s="58">
        <f>IF($R55,IF(AE55,1,0),"")</f>
        <v>0</v>
      </c>
      <c r="BX55" s="58">
        <f>IF($R55,IF(AR55,1,0),"")</f>
        <v>0</v>
      </c>
      <c r="BY55" s="58">
        <f>IF($R55,IF(AS55,1,0),"")</f>
        <v>0</v>
      </c>
    </row>
    <row r="56" spans="1:77" x14ac:dyDescent="0.4">
      <c r="A56" s="7" t="s">
        <v>48</v>
      </c>
      <c r="B56" s="6" t="str">
        <f t="shared" si="0"/>
        <v>V</v>
      </c>
      <c r="C56" s="48" cm="1">
        <f t="array" ref="C56">IF($R56,INDEX($S:$S,MATCH(TRUE,EXACT(B56,$A:$A),0)),"")</f>
        <v>54</v>
      </c>
      <c r="D56" s="38" t="s">
        <v>29</v>
      </c>
      <c r="E56" s="48" cm="1">
        <f t="array" ref="E56">IF($R56,INDEX($S:$S,MATCH(TRUE,EXACT(D56,$A:$A),0)),"")</f>
        <v>50</v>
      </c>
      <c r="F56" s="38" t="s">
        <v>39</v>
      </c>
      <c r="G56" s="48" cm="1">
        <f t="array" ref="G56">IF($S56&lt;&gt;"",INDEX($S:$S,MATCH(TRUE,EXACT(F56,$A:$A),0)),"")</f>
        <v>38</v>
      </c>
      <c r="H56" s="38" t="s">
        <v>48</v>
      </c>
      <c r="I56" s="48" cm="1">
        <f t="array" ref="I56">IF($R56,INDEX($S:$S,MATCH(TRUE,EXACT(H56,$A:$A),0)),"")</f>
        <v>54</v>
      </c>
      <c r="J56" s="38" t="s">
        <v>39</v>
      </c>
      <c r="K56" s="52" cm="1">
        <f t="array" ref="K56">IF($R56,INDEX($S:$S,MATCH(TRUE,EXACT(J56,$A:$A),0)),"")</f>
        <v>38</v>
      </c>
      <c r="L56" s="38" t="str" cm="1">
        <f t="array" ref="L56">IF($R56,INDEX($T:$T,MATCH(TRUE,EXACT(H56,$D:$D),0)),"")</f>
        <v>$</v>
      </c>
      <c r="M56" s="48" cm="1">
        <f t="array" ref="M56">IF($R56,INDEX($S:$S,MATCH(TRUE,EXACT(L56,$A:$A),0)),"")</f>
        <v>4</v>
      </c>
      <c r="N56" s="38" t="str" cm="1">
        <f t="array" ref="N56">IF($R56,INDEX($T:$T,MATCH(TRUE,EXACT(J56,$D:$D),0)),"")</f>
        <v>R</v>
      </c>
      <c r="O56" s="52" cm="1">
        <f t="array" ref="O56">IF($R56,INDEX($S:$S,MATCH(TRUE,EXACT(N56,$A:$A),0)),"")</f>
        <v>50</v>
      </c>
      <c r="P56" s="23"/>
      <c r="Q56" s="33"/>
      <c r="R56" s="18" t="b">
        <f t="shared" si="1"/>
        <v>1</v>
      </c>
      <c r="S56" s="19">
        <f>IF(R56, MAX(S$2:S55)+1,"")</f>
        <v>54</v>
      </c>
      <c r="T56" s="23" t="str">
        <f t="shared" si="2"/>
        <v>V</v>
      </c>
      <c r="U56" s="8" t="str" cm="1">
        <f t="array" ref="U56">CharToUTF8(A56)</f>
        <v>\x56</v>
      </c>
      <c r="W56" s="18" t="str">
        <f>$AU$2</f>
        <v>EMPTY</v>
      </c>
      <c r="X56" s="24" t="str">
        <f>$AU$2</f>
        <v>EMPTY</v>
      </c>
      <c r="Y56" s="24" t="str">
        <f>$AU$4</f>
        <v>ORTHO_BOTH</v>
      </c>
      <c r="Z56" s="21" t="str">
        <f>$AU$2</f>
        <v>EMPTY</v>
      </c>
      <c r="AB56" s="31" t="b">
        <f t="shared" si="3"/>
        <v>0</v>
      </c>
      <c r="AC56" s="31" t="b">
        <f t="shared" si="4"/>
        <v>0</v>
      </c>
      <c r="AD56" t="b">
        <f t="shared" si="5"/>
        <v>1</v>
      </c>
      <c r="AE56" t="b">
        <f t="shared" si="6"/>
        <v>0</v>
      </c>
      <c r="AF56" t="b">
        <f>IF($R56,W56=VLOOKUP(Z56,$AU$2:$AZ$10,3,FALSE),"")</f>
        <v>1</v>
      </c>
      <c r="AG56" t="b">
        <f>IF($R56,X56=VLOOKUP(Y56,$AU$2:$AZ$10,3,FALSE),"")</f>
        <v>0</v>
      </c>
      <c r="AH56" t="b">
        <f>IF($R56,Y56=VLOOKUP(W56,$AU$2:$AZ$10,3,FALSE),"")</f>
        <v>0</v>
      </c>
      <c r="AI56" t="b">
        <f>IF($R56,Z56=VLOOKUP(X56,$AU$2:$AZ$10,3,FALSE),"")</f>
        <v>1</v>
      </c>
      <c r="AJ56" t="b">
        <f>IF($R56,W56=VLOOKUP(W56,$AU$2:$AZ$10,4,FALSE),"")</f>
        <v>1</v>
      </c>
      <c r="AK56" t="b">
        <f>IF($R56,X56=VLOOKUP(X56,$AU$2:$AZ$10,4,FALSE),"")</f>
        <v>1</v>
      </c>
      <c r="AL56" t="b">
        <f>IF($R56,Y56=VLOOKUP(Y56,$AU$2:$AZ$10,4,FALSE),"")</f>
        <v>1</v>
      </c>
      <c r="AM56" t="b">
        <f>IF($R56,Z56=VLOOKUP(Z56,$AU$2:$AZ$10,4,FALSE),"")</f>
        <v>1</v>
      </c>
      <c r="AN56" t="b">
        <f>IF($R56,W56=VLOOKUP(W56,$AU$2:$AZ$10,5,FALSE),"")</f>
        <v>1</v>
      </c>
      <c r="AO56" t="b">
        <f>IF($R56,X56=VLOOKUP(X56,$AU$2:$AZ$10,5,FALSE),"")</f>
        <v>1</v>
      </c>
      <c r="AP56" t="b">
        <f>IF($R56,Y56=VLOOKUP(Y56,$AU$2:$AZ$10,6,FALSE),"")</f>
        <v>1</v>
      </c>
      <c r="AQ56" t="b">
        <f>IF($R56,Z56=VLOOKUP(Z56,$AU$2:$AZ$10,6,FALSE),"")</f>
        <v>1</v>
      </c>
      <c r="AR56" t="b">
        <f t="shared" si="8"/>
        <v>0</v>
      </c>
      <c r="AS56" t="b">
        <f t="shared" si="9"/>
        <v>0</v>
      </c>
      <c r="BD56" s="59" t="str">
        <f t="shared" si="10"/>
        <v xml:space="preserve">    { wxString::FromUTF8("\x56"), &amp;AllGlyphs[50], &amp;AllGlyphs[38], &amp;AllGlyphs[54], &amp;AllGlyphs[38], &amp;AllGlyphs[4], &amp;AllGlyphs[50], Connection::EMPTY, Connection::EMPTY, Connection::ORTHO_BOTH, Connection::EMPTY, 0, 0, 1, 0, 0, 0 },</v>
      </c>
      <c r="BE56" s="60"/>
      <c r="BF56" s="60"/>
      <c r="BG56" s="60"/>
      <c r="BH56" s="60"/>
      <c r="BI56" s="60"/>
      <c r="BJ56" s="60"/>
      <c r="BK56" s="61"/>
      <c r="BM56" s="54" t="str">
        <f>IF($R56,"&amp;AllGlyphs[" &amp; E56 &amp; "]","")</f>
        <v>&amp;AllGlyphs[50]</v>
      </c>
      <c r="BN56" s="54" t="str">
        <f>IF($R56,"&amp;AllGlyphs[" &amp; G56 &amp; "]","")</f>
        <v>&amp;AllGlyphs[38]</v>
      </c>
      <c r="BO56" s="54" t="str">
        <f>IF($R56,"&amp;AllGlyphs[" &amp; I56 &amp; "]","")</f>
        <v>&amp;AllGlyphs[54]</v>
      </c>
      <c r="BP56" s="54" t="str">
        <f>IF($R56,"&amp;AllGlyphs[" &amp; K56 &amp; "]","")</f>
        <v>&amp;AllGlyphs[38]</v>
      </c>
      <c r="BQ56" s="54" t="str">
        <f>IF($R56,"&amp;AllGlyphs[" &amp; M56 &amp; "]","")</f>
        <v>&amp;AllGlyphs[4]</v>
      </c>
      <c r="BR56" s="54" t="str">
        <f>IF($R56,"&amp;AllGlyphs[" &amp; O56 &amp; "]","")</f>
        <v>&amp;AllGlyphs[50]</v>
      </c>
      <c r="BT56" s="58">
        <f>IF($R56,IF(AB56,1,0),"")</f>
        <v>0</v>
      </c>
      <c r="BU56" s="58">
        <f>IF($R56,IF(AC56,1,0),"")</f>
        <v>0</v>
      </c>
      <c r="BV56" s="58">
        <f>IF($R56,IF(AD56,1,0),"")</f>
        <v>1</v>
      </c>
      <c r="BW56" s="58">
        <f>IF($R56,IF(AE56,1,0),"")</f>
        <v>0</v>
      </c>
      <c r="BX56" s="58">
        <f>IF($R56,IF(AR56,1,0),"")</f>
        <v>0</v>
      </c>
      <c r="BY56" s="58">
        <f>IF($R56,IF(AS56,1,0),"")</f>
        <v>0</v>
      </c>
    </row>
    <row r="57" spans="1:77" x14ac:dyDescent="0.4">
      <c r="A57" s="7" t="s">
        <v>27</v>
      </c>
      <c r="B57" s="6" t="str">
        <f t="shared" si="0"/>
        <v>W</v>
      </c>
      <c r="C57" s="48" cm="1">
        <f t="array" ref="C57">IF($R57,INDEX($S:$S,MATCH(TRUE,EXACT(B57,$A:$A),0)),"")</f>
        <v>55</v>
      </c>
      <c r="D57" s="38" t="s">
        <v>38</v>
      </c>
      <c r="E57" s="48" cm="1">
        <f t="array" ref="E57">IF($R57,INDEX($S:$S,MATCH(TRUE,EXACT(D57,$A:$A),0)),"")</f>
        <v>36</v>
      </c>
      <c r="F57" s="38" t="s">
        <v>46</v>
      </c>
      <c r="G57" s="48" cm="1">
        <f t="array" ref="G57">IF($S57&lt;&gt;"",INDEX($S:$S,MATCH(TRUE,EXACT(F57,$A:$A),0)),"")</f>
        <v>56</v>
      </c>
      <c r="H57" s="38" t="s">
        <v>46</v>
      </c>
      <c r="I57" s="48" cm="1">
        <f t="array" ref="I57">IF($R57,INDEX($S:$S,MATCH(TRUE,EXACT(H57,$A:$A),0)),"")</f>
        <v>56</v>
      </c>
      <c r="J57" s="38" t="s">
        <v>27</v>
      </c>
      <c r="K57" s="52" cm="1">
        <f t="array" ref="K57">IF($R57,INDEX($S:$S,MATCH(TRUE,EXACT(J57,$A:$A),0)),"")</f>
        <v>55</v>
      </c>
      <c r="L57" s="38" t="str" cm="1">
        <f t="array" ref="L57">IF($R57,INDEX($T:$T,MATCH(TRUE,EXACT(H57,$D:$D),0)),"")</f>
        <v>D</v>
      </c>
      <c r="M57" s="48" cm="1">
        <f t="array" ref="M57">IF($R57,INDEX($S:$S,MATCH(TRUE,EXACT(L57,$A:$A),0)),"")</f>
        <v>36</v>
      </c>
      <c r="N57" s="38" t="str" cm="1">
        <f t="array" ref="N57">IF($R57,INDEX($T:$T,MATCH(TRUE,EXACT(J57,$D:$D),0)),"")</f>
        <v>A</v>
      </c>
      <c r="O57" s="52" cm="1">
        <f t="array" ref="O57">IF($R57,INDEX($S:$S,MATCH(TRUE,EXACT(N57,$A:$A),0)),"")</f>
        <v>33</v>
      </c>
      <c r="P57" s="23"/>
      <c r="Q57" s="33"/>
      <c r="R57" s="18" t="b">
        <f t="shared" si="1"/>
        <v>1</v>
      </c>
      <c r="S57" s="19">
        <f>IF(R57, MAX(S$2:S56)+1,"")</f>
        <v>55</v>
      </c>
      <c r="T57" s="23" t="str">
        <f t="shared" si="2"/>
        <v>W</v>
      </c>
      <c r="U57" s="8" t="str" cm="1">
        <f t="array" ref="U57">CharToUTF8(A57)</f>
        <v>\x57</v>
      </c>
      <c r="W57" s="18" t="str">
        <f>$AU$2</f>
        <v>EMPTY</v>
      </c>
      <c r="X57" s="24" t="str">
        <f>$AU$4</f>
        <v>ORTHO_BOTH</v>
      </c>
      <c r="Y57" s="24" t="str">
        <f>$AU$4</f>
        <v>ORTHO_BOTH</v>
      </c>
      <c r="Z57" s="21" t="str">
        <f>$AU$4</f>
        <v>ORTHO_BOTH</v>
      </c>
      <c r="AB57" s="31" t="b">
        <f t="shared" si="3"/>
        <v>0</v>
      </c>
      <c r="AC57" s="31" t="b">
        <f t="shared" si="4"/>
        <v>0</v>
      </c>
      <c r="AD57" t="b">
        <f t="shared" si="5"/>
        <v>0</v>
      </c>
      <c r="AE57" t="b">
        <f t="shared" si="6"/>
        <v>1</v>
      </c>
      <c r="AF57" t="b">
        <f>IF($R57,W57=VLOOKUP(Z57,$AU$2:$AZ$10,3,FALSE),"")</f>
        <v>0</v>
      </c>
      <c r="AG57" t="b">
        <f>IF($R57,X57=VLOOKUP(Y57,$AU$2:$AZ$10,3,FALSE),"")</f>
        <v>1</v>
      </c>
      <c r="AH57" t="b">
        <f>IF($R57,Y57=VLOOKUP(W57,$AU$2:$AZ$10,3,FALSE),"")</f>
        <v>0</v>
      </c>
      <c r="AI57" t="b">
        <f>IF($R57,Z57=VLOOKUP(X57,$AU$2:$AZ$10,3,FALSE),"")</f>
        <v>1</v>
      </c>
      <c r="AJ57" t="b">
        <f>IF($R57,W57=VLOOKUP(W57,$AU$2:$AZ$10,4,FALSE),"")</f>
        <v>1</v>
      </c>
      <c r="AK57" t="b">
        <f>IF($R57,X57=VLOOKUP(X57,$AU$2:$AZ$10,4,FALSE),"")</f>
        <v>1</v>
      </c>
      <c r="AL57" t="b">
        <f>IF($R57,Y57=VLOOKUP(Y57,$AU$2:$AZ$10,4,FALSE),"")</f>
        <v>1</v>
      </c>
      <c r="AM57" t="b">
        <f>IF($R57,Z57=VLOOKUP(Z57,$AU$2:$AZ$10,4,FALSE),"")</f>
        <v>1</v>
      </c>
      <c r="AN57" t="b">
        <f>IF($R57,W57=VLOOKUP(W57,$AU$2:$AZ$10,5,FALSE),"")</f>
        <v>1</v>
      </c>
      <c r="AO57" t="b">
        <f>IF($R57,X57=VLOOKUP(X57,$AU$2:$AZ$10,5,FALSE),"")</f>
        <v>1</v>
      </c>
      <c r="AP57" t="b">
        <f>IF($R57,Y57=VLOOKUP(Y57,$AU$2:$AZ$10,6,FALSE),"")</f>
        <v>1</v>
      </c>
      <c r="AQ57" t="b">
        <f>IF($R57,Z57=VLOOKUP(Z57,$AU$2:$AZ$10,6,FALSE),"")</f>
        <v>1</v>
      </c>
      <c r="AR57" t="b">
        <f t="shared" si="8"/>
        <v>0</v>
      </c>
      <c r="AS57" t="b">
        <f t="shared" si="9"/>
        <v>0</v>
      </c>
      <c r="BD57" s="59" t="str">
        <f t="shared" si="10"/>
        <v xml:space="preserve">    { wxString::FromUTF8("\x57"), &amp;AllGlyphs[36], &amp;AllGlyphs[56], &amp;AllGlyphs[56], &amp;AllGlyphs[55], &amp;AllGlyphs[36], &amp;AllGlyphs[33], Connection::EMPTY, Connection::ORTHO_BOTH, Connection::ORTHO_BOTH, Connection::ORTHO_BOTH, 0, 0, 0, 1, 0, 0 },</v>
      </c>
      <c r="BE57" s="60"/>
      <c r="BF57" s="60"/>
      <c r="BG57" s="60"/>
      <c r="BH57" s="60"/>
      <c r="BI57" s="60"/>
      <c r="BJ57" s="60"/>
      <c r="BK57" s="61"/>
      <c r="BM57" s="54" t="str">
        <f>IF($R57,"&amp;AllGlyphs[" &amp; E57 &amp; "]","")</f>
        <v>&amp;AllGlyphs[36]</v>
      </c>
      <c r="BN57" s="54" t="str">
        <f>IF($R57,"&amp;AllGlyphs[" &amp; G57 &amp; "]","")</f>
        <v>&amp;AllGlyphs[56]</v>
      </c>
      <c r="BO57" s="54" t="str">
        <f>IF($R57,"&amp;AllGlyphs[" &amp; I57 &amp; "]","")</f>
        <v>&amp;AllGlyphs[56]</v>
      </c>
      <c r="BP57" s="54" t="str">
        <f>IF($R57,"&amp;AllGlyphs[" &amp; K57 &amp; "]","")</f>
        <v>&amp;AllGlyphs[55]</v>
      </c>
      <c r="BQ57" s="54" t="str">
        <f>IF($R57,"&amp;AllGlyphs[" &amp; M57 &amp; "]","")</f>
        <v>&amp;AllGlyphs[36]</v>
      </c>
      <c r="BR57" s="54" t="str">
        <f>IF($R57,"&amp;AllGlyphs[" &amp; O57 &amp; "]","")</f>
        <v>&amp;AllGlyphs[33]</v>
      </c>
      <c r="BT57" s="58">
        <f>IF($R57,IF(AB57,1,0),"")</f>
        <v>0</v>
      </c>
      <c r="BU57" s="58">
        <f>IF($R57,IF(AC57,1,0),"")</f>
        <v>0</v>
      </c>
      <c r="BV57" s="58">
        <f>IF($R57,IF(AD57,1,0),"")</f>
        <v>0</v>
      </c>
      <c r="BW57" s="58">
        <f>IF($R57,IF(AE57,1,0),"")</f>
        <v>1</v>
      </c>
      <c r="BX57" s="58">
        <f>IF($R57,IF(AR57,1,0),"")</f>
        <v>0</v>
      </c>
      <c r="BY57" s="58">
        <f>IF($R57,IF(AS57,1,0),"")</f>
        <v>0</v>
      </c>
    </row>
    <row r="58" spans="1:77" x14ac:dyDescent="0.4">
      <c r="A58" s="7" t="s">
        <v>46</v>
      </c>
      <c r="B58" s="6" t="str">
        <f t="shared" si="0"/>
        <v>X</v>
      </c>
      <c r="C58" s="48" cm="1">
        <f t="array" ref="C58">IF($R58,INDEX($S:$S,MATCH(TRUE,EXACT(B58,$A:$A),0)),"")</f>
        <v>56</v>
      </c>
      <c r="D58" s="38" t="s">
        <v>36</v>
      </c>
      <c r="E58" s="48" cm="1">
        <f t="array" ref="E58">IF($R58,INDEX($S:$S,MATCH(TRUE,EXACT(D58,$A:$A),0)),"")</f>
        <v>33</v>
      </c>
      <c r="F58" s="38" t="s">
        <v>27</v>
      </c>
      <c r="G58" s="48" cm="1">
        <f t="array" ref="G58">IF($S58&lt;&gt;"",INDEX($S:$S,MATCH(TRUE,EXACT(F58,$A:$A),0)),"")</f>
        <v>55</v>
      </c>
      <c r="H58" s="38" t="s">
        <v>27</v>
      </c>
      <c r="I58" s="48" cm="1">
        <f t="array" ref="I58">IF($R58,INDEX($S:$S,MATCH(TRUE,EXACT(H58,$A:$A),0)),"")</f>
        <v>55</v>
      </c>
      <c r="J58" s="38" t="s">
        <v>46</v>
      </c>
      <c r="K58" s="52" cm="1">
        <f t="array" ref="K58">IF($R58,INDEX($S:$S,MATCH(TRUE,EXACT(J58,$A:$A),0)),"")</f>
        <v>56</v>
      </c>
      <c r="L58" s="38" t="str" cm="1">
        <f t="array" ref="L58">IF($R58,INDEX($T:$T,MATCH(TRUE,EXACT(H58,$D:$D),0)),"")</f>
        <v>A</v>
      </c>
      <c r="M58" s="48" cm="1">
        <f t="array" ref="M58">IF($R58,INDEX($S:$S,MATCH(TRUE,EXACT(L58,$A:$A),0)),"")</f>
        <v>33</v>
      </c>
      <c r="N58" s="38" t="str" cm="1">
        <f t="array" ref="N58">IF($R58,INDEX($T:$T,MATCH(TRUE,EXACT(J58,$D:$D),0)),"")</f>
        <v>D</v>
      </c>
      <c r="O58" s="52" cm="1">
        <f t="array" ref="O58">IF($R58,INDEX($S:$S,MATCH(TRUE,EXACT(N58,$A:$A),0)),"")</f>
        <v>36</v>
      </c>
      <c r="P58" s="23"/>
      <c r="Q58" s="33"/>
      <c r="R58" s="18" t="b">
        <f t="shared" si="1"/>
        <v>1</v>
      </c>
      <c r="S58" s="19">
        <f>IF(R58, MAX(S$2:S57)+1,"")</f>
        <v>56</v>
      </c>
      <c r="T58" s="23" t="str">
        <f t="shared" si="2"/>
        <v>X</v>
      </c>
      <c r="U58" s="8" t="str" cm="1">
        <f t="array" ref="U58">CharToUTF8(A58)</f>
        <v>\x58</v>
      </c>
      <c r="W58" s="18" t="str">
        <f>$AU$4</f>
        <v>ORTHO_BOTH</v>
      </c>
      <c r="X58" s="24" t="str">
        <f>$AU$2</f>
        <v>EMPTY</v>
      </c>
      <c r="Y58" s="24" t="str">
        <f>$AU$4</f>
        <v>ORTHO_BOTH</v>
      </c>
      <c r="Z58" s="21" t="str">
        <f>$AU$4</f>
        <v>ORTHO_BOTH</v>
      </c>
      <c r="AB58" s="31" t="b">
        <f t="shared" si="3"/>
        <v>0</v>
      </c>
      <c r="AC58" s="31" t="b">
        <f t="shared" si="4"/>
        <v>0</v>
      </c>
      <c r="AD58" t="b">
        <f t="shared" si="5"/>
        <v>0</v>
      </c>
      <c r="AE58" t="b">
        <f t="shared" si="6"/>
        <v>1</v>
      </c>
      <c r="AF58" t="b">
        <f>IF($R58,W58=VLOOKUP(Z58,$AU$2:$AZ$10,3,FALSE),"")</f>
        <v>1</v>
      </c>
      <c r="AG58" t="b">
        <f>IF($R58,X58=VLOOKUP(Y58,$AU$2:$AZ$10,3,FALSE),"")</f>
        <v>0</v>
      </c>
      <c r="AH58" t="b">
        <f>IF($R58,Y58=VLOOKUP(W58,$AU$2:$AZ$10,3,FALSE),"")</f>
        <v>1</v>
      </c>
      <c r="AI58" t="b">
        <f>IF($R58,Z58=VLOOKUP(X58,$AU$2:$AZ$10,3,FALSE),"")</f>
        <v>0</v>
      </c>
      <c r="AJ58" t="b">
        <f>IF($R58,W58=VLOOKUP(W58,$AU$2:$AZ$10,4,FALSE),"")</f>
        <v>1</v>
      </c>
      <c r="AK58" t="b">
        <f>IF($R58,X58=VLOOKUP(X58,$AU$2:$AZ$10,4,FALSE),"")</f>
        <v>1</v>
      </c>
      <c r="AL58" t="b">
        <f>IF($R58,Y58=VLOOKUP(Y58,$AU$2:$AZ$10,4,FALSE),"")</f>
        <v>1</v>
      </c>
      <c r="AM58" t="b">
        <f>IF($R58,Z58=VLOOKUP(Z58,$AU$2:$AZ$10,4,FALSE),"")</f>
        <v>1</v>
      </c>
      <c r="AN58" t="b">
        <f>IF($R58,W58=VLOOKUP(W58,$AU$2:$AZ$10,5,FALSE),"")</f>
        <v>1</v>
      </c>
      <c r="AO58" t="b">
        <f>IF($R58,X58=VLOOKUP(X58,$AU$2:$AZ$10,5,FALSE),"")</f>
        <v>1</v>
      </c>
      <c r="AP58" t="b">
        <f>IF($R58,Y58=VLOOKUP(Y58,$AU$2:$AZ$10,6,FALSE),"")</f>
        <v>1</v>
      </c>
      <c r="AQ58" t="b">
        <f>IF($R58,Z58=VLOOKUP(Z58,$AU$2:$AZ$10,6,FALSE),"")</f>
        <v>1</v>
      </c>
      <c r="AR58" t="b">
        <f t="shared" si="8"/>
        <v>0</v>
      </c>
      <c r="AS58" t="b">
        <f t="shared" si="9"/>
        <v>0</v>
      </c>
      <c r="BD58" s="59" t="str">
        <f t="shared" si="10"/>
        <v xml:space="preserve">    { wxString::FromUTF8("\x58"), &amp;AllGlyphs[33], &amp;AllGlyphs[55], &amp;AllGlyphs[55], &amp;AllGlyphs[56], &amp;AllGlyphs[33], &amp;AllGlyphs[36], Connection::ORTHO_BOTH, Connection::EMPTY, Connection::ORTHO_BOTH, Connection::ORTHO_BOTH, 0, 0, 0, 1, 0, 0 },</v>
      </c>
      <c r="BE58" s="60"/>
      <c r="BF58" s="60"/>
      <c r="BG58" s="60"/>
      <c r="BH58" s="60"/>
      <c r="BI58" s="60"/>
      <c r="BJ58" s="60"/>
      <c r="BK58" s="61"/>
      <c r="BM58" s="54" t="str">
        <f>IF($R58,"&amp;AllGlyphs[" &amp; E58 &amp; "]","")</f>
        <v>&amp;AllGlyphs[33]</v>
      </c>
      <c r="BN58" s="54" t="str">
        <f>IF($R58,"&amp;AllGlyphs[" &amp; G58 &amp; "]","")</f>
        <v>&amp;AllGlyphs[55]</v>
      </c>
      <c r="BO58" s="54" t="str">
        <f>IF($R58,"&amp;AllGlyphs[" &amp; I58 &amp; "]","")</f>
        <v>&amp;AllGlyphs[55]</v>
      </c>
      <c r="BP58" s="54" t="str">
        <f>IF($R58,"&amp;AllGlyphs[" &amp; K58 &amp; "]","")</f>
        <v>&amp;AllGlyphs[56]</v>
      </c>
      <c r="BQ58" s="54" t="str">
        <f>IF($R58,"&amp;AllGlyphs[" &amp; M58 &amp; "]","")</f>
        <v>&amp;AllGlyphs[33]</v>
      </c>
      <c r="BR58" s="54" t="str">
        <f>IF($R58,"&amp;AllGlyphs[" &amp; O58 &amp; "]","")</f>
        <v>&amp;AllGlyphs[36]</v>
      </c>
      <c r="BT58" s="58">
        <f>IF($R58,IF(AB58,1,0),"")</f>
        <v>0</v>
      </c>
      <c r="BU58" s="58">
        <f>IF($R58,IF(AC58,1,0),"")</f>
        <v>0</v>
      </c>
      <c r="BV58" s="58">
        <f>IF($R58,IF(AD58,1,0),"")</f>
        <v>0</v>
      </c>
      <c r="BW58" s="58">
        <f>IF($R58,IF(AE58,1,0),"")</f>
        <v>1</v>
      </c>
      <c r="BX58" s="58">
        <f>IF($R58,IF(AR58,1,0),"")</f>
        <v>0</v>
      </c>
      <c r="BY58" s="58">
        <f>IF($R58,IF(AS58,1,0),"")</f>
        <v>0</v>
      </c>
    </row>
    <row r="59" spans="1:77" x14ac:dyDescent="0.4">
      <c r="A59" s="7" t="s">
        <v>31</v>
      </c>
      <c r="B59" s="6" t="str">
        <f t="shared" si="0"/>
        <v>Y</v>
      </c>
      <c r="C59" s="48" cm="1">
        <f t="array" ref="C59">IF($R59,INDEX($S:$S,MATCH(TRUE,EXACT(B59,$A:$A),0)),"")</f>
        <v>57</v>
      </c>
      <c r="D59" s="38" t="s">
        <v>49</v>
      </c>
      <c r="E59" s="48" cm="1">
        <f t="array" ref="E59">IF($R59,INDEX($S:$S,MATCH(TRUE,EXACT(D59,$A:$A),0)),"")</f>
        <v>34</v>
      </c>
      <c r="F59" s="38" t="s">
        <v>57</v>
      </c>
      <c r="G59" s="48" cm="1">
        <f t="array" ref="G59">IF($S59&lt;&gt;"",INDEX($S:$S,MATCH(TRUE,EXACT(F59,$A:$A),0)),"")</f>
        <v>62</v>
      </c>
      <c r="H59" s="38" t="s">
        <v>57</v>
      </c>
      <c r="I59" s="48" cm="1">
        <f t="array" ref="I59">IF($R59,INDEX($S:$S,MATCH(TRUE,EXACT(H59,$A:$A),0)),"")</f>
        <v>62</v>
      </c>
      <c r="J59" s="38" t="s">
        <v>31</v>
      </c>
      <c r="K59" s="52" cm="1">
        <f t="array" ref="K59">IF($R59,INDEX($S:$S,MATCH(TRUE,EXACT(J59,$A:$A),0)),"")</f>
        <v>57</v>
      </c>
      <c r="L59" s="38" t="str" cm="1">
        <f t="array" ref="L59">IF($R59,INDEX($T:$T,MATCH(TRUE,EXACT(H59,$D:$D),0)),"")</f>
        <v>B</v>
      </c>
      <c r="M59" s="48" cm="1">
        <f t="array" ref="M59">IF($R59,INDEX($S:$S,MATCH(TRUE,EXACT(L59,$A:$A),0)),"")</f>
        <v>34</v>
      </c>
      <c r="N59" s="38" t="str" cm="1">
        <f t="array" ref="N59">IF($R59,INDEX($T:$T,MATCH(TRUE,EXACT(J59,$D:$D),0)),"")</f>
        <v>N</v>
      </c>
      <c r="O59" s="52" cm="1">
        <f t="array" ref="O59">IF($R59,INDEX($S:$S,MATCH(TRUE,EXACT(N59,$A:$A),0)),"")</f>
        <v>46</v>
      </c>
      <c r="P59" s="23"/>
      <c r="Q59" s="33"/>
      <c r="R59" s="18" t="b">
        <f t="shared" si="1"/>
        <v>1</v>
      </c>
      <c r="S59" s="19">
        <f>IF(R59, MAX(S$2:S58)+1,"")</f>
        <v>57</v>
      </c>
      <c r="T59" s="23" t="str">
        <f t="shared" si="2"/>
        <v>Y</v>
      </c>
      <c r="U59" s="8" t="str" cm="1">
        <f t="array" ref="U59">CharToUTF8(A59)</f>
        <v>\x59</v>
      </c>
      <c r="W59" s="18" t="str">
        <f>$AU$3</f>
        <v>DIAG_BOTH</v>
      </c>
      <c r="X59" s="24" t="str">
        <f>$AU$4</f>
        <v>ORTHO_BOTH</v>
      </c>
      <c r="Y59" s="24" t="str">
        <f>$AU$4</f>
        <v>ORTHO_BOTH</v>
      </c>
      <c r="Z59" s="21" t="str">
        <f>$AU$4</f>
        <v>ORTHO_BOTH</v>
      </c>
      <c r="AB59" s="31" t="b">
        <f t="shared" si="3"/>
        <v>0</v>
      </c>
      <c r="AC59" s="31" t="b">
        <f t="shared" si="4"/>
        <v>0</v>
      </c>
      <c r="AD59" t="b">
        <f t="shared" si="5"/>
        <v>0</v>
      </c>
      <c r="AE59" t="b">
        <f t="shared" si="6"/>
        <v>1</v>
      </c>
      <c r="AF59" t="b">
        <f>IF($R59,W59=VLOOKUP(Z59,$AU$2:$AZ$10,3,FALSE),"")</f>
        <v>0</v>
      </c>
      <c r="AG59" t="b">
        <f>IF($R59,X59=VLOOKUP(Y59,$AU$2:$AZ$10,3,FALSE),"")</f>
        <v>1</v>
      </c>
      <c r="AH59" t="b">
        <f>IF($R59,Y59=VLOOKUP(W59,$AU$2:$AZ$10,3,FALSE),"")</f>
        <v>0</v>
      </c>
      <c r="AI59" t="b">
        <f>IF($R59,Z59=VLOOKUP(X59,$AU$2:$AZ$10,3,FALSE),"")</f>
        <v>1</v>
      </c>
      <c r="AJ59" t="b">
        <f>IF($R59,W59=VLOOKUP(W59,$AU$2:$AZ$10,4,FALSE),"")</f>
        <v>1</v>
      </c>
      <c r="AK59" t="b">
        <f>IF($R59,X59=VLOOKUP(X59,$AU$2:$AZ$10,4,FALSE),"")</f>
        <v>1</v>
      </c>
      <c r="AL59" t="b">
        <f>IF($R59,Y59=VLOOKUP(Y59,$AU$2:$AZ$10,4,FALSE),"")</f>
        <v>1</v>
      </c>
      <c r="AM59" t="b">
        <f>IF($R59,Z59=VLOOKUP(Z59,$AU$2:$AZ$10,4,FALSE),"")</f>
        <v>1</v>
      </c>
      <c r="AN59" t="b">
        <f>IF($R59,W59=VLOOKUP(W59,$AU$2:$AZ$10,5,FALSE),"")</f>
        <v>1</v>
      </c>
      <c r="AO59" t="b">
        <f>IF($R59,X59=VLOOKUP(X59,$AU$2:$AZ$10,5,FALSE),"")</f>
        <v>1</v>
      </c>
      <c r="AP59" t="b">
        <f>IF($R59,Y59=VLOOKUP(Y59,$AU$2:$AZ$10,6,FALSE),"")</f>
        <v>1</v>
      </c>
      <c r="AQ59" t="b">
        <f>IF($R59,Z59=VLOOKUP(Z59,$AU$2:$AZ$10,6,FALSE),"")</f>
        <v>1</v>
      </c>
      <c r="AR59" t="b">
        <f t="shared" si="8"/>
        <v>0</v>
      </c>
      <c r="AS59" t="b">
        <f t="shared" si="9"/>
        <v>0</v>
      </c>
      <c r="BD59" s="59" t="str">
        <f t="shared" si="10"/>
        <v xml:space="preserve">    { wxString::FromUTF8("\x59"), &amp;AllGlyphs[34], &amp;AllGlyphs[62], &amp;AllGlyphs[62], &amp;AllGlyphs[57], &amp;AllGlyphs[34], &amp;AllGlyphs[46], Connection::DIAG_BOTH, Connection::ORTHO_BOTH, Connection::ORTHO_BOTH, Connection::ORTHO_BOTH, 0, 0, 0, 1, 0, 0 },</v>
      </c>
      <c r="BE59" s="60"/>
      <c r="BF59" s="60"/>
      <c r="BG59" s="60"/>
      <c r="BH59" s="60"/>
      <c r="BI59" s="60"/>
      <c r="BJ59" s="60"/>
      <c r="BK59" s="61"/>
      <c r="BM59" s="54" t="str">
        <f>IF($R59,"&amp;AllGlyphs[" &amp; E59 &amp; "]","")</f>
        <v>&amp;AllGlyphs[34]</v>
      </c>
      <c r="BN59" s="54" t="str">
        <f>IF($R59,"&amp;AllGlyphs[" &amp; G59 &amp; "]","")</f>
        <v>&amp;AllGlyphs[62]</v>
      </c>
      <c r="BO59" s="54" t="str">
        <f>IF($R59,"&amp;AllGlyphs[" &amp; I59 &amp; "]","")</f>
        <v>&amp;AllGlyphs[62]</v>
      </c>
      <c r="BP59" s="54" t="str">
        <f>IF($R59,"&amp;AllGlyphs[" &amp; K59 &amp; "]","")</f>
        <v>&amp;AllGlyphs[57]</v>
      </c>
      <c r="BQ59" s="54" t="str">
        <f>IF($R59,"&amp;AllGlyphs[" &amp; M59 &amp; "]","")</f>
        <v>&amp;AllGlyphs[34]</v>
      </c>
      <c r="BR59" s="54" t="str">
        <f>IF($R59,"&amp;AllGlyphs[" &amp; O59 &amp; "]","")</f>
        <v>&amp;AllGlyphs[46]</v>
      </c>
      <c r="BT59" s="58">
        <f>IF($R59,IF(AB59,1,0),"")</f>
        <v>0</v>
      </c>
      <c r="BU59" s="58">
        <f>IF($R59,IF(AC59,1,0),"")</f>
        <v>0</v>
      </c>
      <c r="BV59" s="58">
        <f>IF($R59,IF(AD59,1,0),"")</f>
        <v>0</v>
      </c>
      <c r="BW59" s="58">
        <f>IF($R59,IF(AE59,1,0),"")</f>
        <v>1</v>
      </c>
      <c r="BX59" s="58">
        <f>IF($R59,IF(AR59,1,0),"")</f>
        <v>0</v>
      </c>
      <c r="BY59" s="58">
        <f>IF($R59,IF(AS59,1,0),"")</f>
        <v>0</v>
      </c>
    </row>
    <row r="60" spans="1:77" x14ac:dyDescent="0.4">
      <c r="A60" s="7" t="s">
        <v>45</v>
      </c>
      <c r="B60" s="6" t="str">
        <f t="shared" si="0"/>
        <v>Z</v>
      </c>
      <c r="C60" s="48" cm="1">
        <f t="array" ref="C60">IF($R60,INDEX($S:$S,MATCH(TRUE,EXACT(B60,$A:$A),0)),"")</f>
        <v>58</v>
      </c>
      <c r="D60" s="38" t="s">
        <v>26</v>
      </c>
      <c r="E60" s="48" cm="1">
        <f t="array" ref="E60">IF($R60,INDEX($S:$S,MATCH(TRUE,EXACT(D60,$A:$A),0)),"")</f>
        <v>49</v>
      </c>
      <c r="F60" s="38" t="s">
        <v>28</v>
      </c>
      <c r="G60" s="48" cm="1">
        <f t="array" ref="G60">IF($S60&lt;&gt;"",INDEX($S:$S,MATCH(TRUE,EXACT(F60,$A:$A),0)),"")</f>
        <v>37</v>
      </c>
      <c r="H60" s="38" t="s">
        <v>26</v>
      </c>
      <c r="I60" s="48" cm="1">
        <f t="array" ref="I60">IF($R60,INDEX($S:$S,MATCH(TRUE,EXACT(H60,$A:$A),0)),"")</f>
        <v>49</v>
      </c>
      <c r="J60" s="38" t="s">
        <v>47</v>
      </c>
      <c r="K60" s="52" cm="1">
        <f t="array" ref="K60">IF($R60,INDEX($S:$S,MATCH(TRUE,EXACT(J60,$A:$A),0)),"")</f>
        <v>35</v>
      </c>
      <c r="L60" s="38" t="str" cm="1">
        <f t="array" ref="L60">IF($R60,INDEX($T:$T,MATCH(TRUE,EXACT(H60,$D:$D),0)),"")</f>
        <v>Z</v>
      </c>
      <c r="M60" s="48" cm="1">
        <f t="array" ref="M60">IF($R60,INDEX($S:$S,MATCH(TRUE,EXACT(L60,$A:$A),0)),"")</f>
        <v>58</v>
      </c>
      <c r="N60" s="38" t="str" cm="1">
        <f t="array" ref="N60">IF($R60,INDEX($T:$T,MATCH(TRUE,EXACT(J60,$D:$D),0)),"")</f>
        <v>E</v>
      </c>
      <c r="O60" s="52" cm="1">
        <f t="array" ref="O60">IF($R60,INDEX($S:$S,MATCH(TRUE,EXACT(N60,$A:$A),0)),"")</f>
        <v>37</v>
      </c>
      <c r="P60" s="23"/>
      <c r="Q60" s="33"/>
      <c r="R60" s="18" t="b">
        <f t="shared" si="1"/>
        <v>1</v>
      </c>
      <c r="S60" s="19">
        <f>IF(R60, MAX(S$2:S59)+1,"")</f>
        <v>58</v>
      </c>
      <c r="T60" s="23" t="str">
        <f t="shared" si="2"/>
        <v>Z</v>
      </c>
      <c r="U60" s="8" t="str" cm="1">
        <f t="array" ref="U60">CharToUTF8(A60)</f>
        <v>\x5A</v>
      </c>
      <c r="W60" s="18" t="str">
        <f>$AU$4</f>
        <v>ORTHO_BOTH</v>
      </c>
      <c r="X60" s="24" t="str">
        <f>$AU$2</f>
        <v>EMPTY</v>
      </c>
      <c r="Y60" s="24" t="str">
        <f>$AU$2</f>
        <v>EMPTY</v>
      </c>
      <c r="Z60" s="21" t="str">
        <f>$AU$4</f>
        <v>ORTHO_BOTH</v>
      </c>
      <c r="AB60" s="31" t="b">
        <f t="shared" si="3"/>
        <v>0</v>
      </c>
      <c r="AC60" s="31" t="b">
        <f t="shared" si="4"/>
        <v>0</v>
      </c>
      <c r="AD60" t="b">
        <f t="shared" si="5"/>
        <v>0</v>
      </c>
      <c r="AE60" t="b">
        <f t="shared" si="6"/>
        <v>0</v>
      </c>
      <c r="AF60" t="b">
        <f>IF($R60,W60=VLOOKUP(Z60,$AU$2:$AZ$10,3,FALSE),"")</f>
        <v>1</v>
      </c>
      <c r="AG60" t="b">
        <f>IF($R60,X60=VLOOKUP(Y60,$AU$2:$AZ$10,3,FALSE),"")</f>
        <v>1</v>
      </c>
      <c r="AH60" t="b">
        <f>IF($R60,Y60=VLOOKUP(W60,$AU$2:$AZ$10,3,FALSE),"")</f>
        <v>0</v>
      </c>
      <c r="AI60" t="b">
        <f>IF($R60,Z60=VLOOKUP(X60,$AU$2:$AZ$10,3,FALSE),"")</f>
        <v>0</v>
      </c>
      <c r="AJ60" t="b">
        <f>IF($R60,W60=VLOOKUP(W60,$AU$2:$AZ$10,4,FALSE),"")</f>
        <v>1</v>
      </c>
      <c r="AK60" t="b">
        <f>IF($R60,X60=VLOOKUP(X60,$AU$2:$AZ$10,4,FALSE),"")</f>
        <v>1</v>
      </c>
      <c r="AL60" t="b">
        <f>IF($R60,Y60=VLOOKUP(Y60,$AU$2:$AZ$10,4,FALSE),"")</f>
        <v>1</v>
      </c>
      <c r="AM60" t="b">
        <f>IF($R60,Z60=VLOOKUP(Z60,$AU$2:$AZ$10,4,FALSE),"")</f>
        <v>1</v>
      </c>
      <c r="AN60" t="b">
        <f>IF($R60,W60=VLOOKUP(W60,$AU$2:$AZ$10,5,FALSE),"")</f>
        <v>1</v>
      </c>
      <c r="AO60" t="b">
        <f>IF($R60,X60=VLOOKUP(X60,$AU$2:$AZ$10,5,FALSE),"")</f>
        <v>1</v>
      </c>
      <c r="AP60" t="b">
        <f>IF($R60,Y60=VLOOKUP(Y60,$AU$2:$AZ$10,6,FALSE),"")</f>
        <v>1</v>
      </c>
      <c r="AQ60" t="b">
        <f>IF($R60,Z60=VLOOKUP(Z60,$AU$2:$AZ$10,6,FALSE),"")</f>
        <v>1</v>
      </c>
      <c r="AR60" t="b">
        <f t="shared" si="8"/>
        <v>1</v>
      </c>
      <c r="AS60" t="b">
        <f t="shared" si="9"/>
        <v>0</v>
      </c>
      <c r="BD60" s="59" t="str">
        <f t="shared" si="10"/>
        <v xml:space="preserve">    { wxString::FromUTF8("\x5A"), &amp;AllGlyphs[49], &amp;AllGlyphs[37], &amp;AllGlyphs[49], &amp;AllGlyphs[35], &amp;AllGlyphs[58], &amp;AllGlyphs[37], Connection::ORTHO_BOTH, Connection::EMPTY, Connection::EMPTY, Connection::ORTHO_BOTH, 0, 0, 0, 0, 1, 0 },</v>
      </c>
      <c r="BE60" s="60"/>
      <c r="BF60" s="60"/>
      <c r="BG60" s="60"/>
      <c r="BH60" s="60"/>
      <c r="BI60" s="60"/>
      <c r="BJ60" s="60"/>
      <c r="BK60" s="61"/>
      <c r="BM60" s="54" t="str">
        <f>IF($R60,"&amp;AllGlyphs[" &amp; E60 &amp; "]","")</f>
        <v>&amp;AllGlyphs[49]</v>
      </c>
      <c r="BN60" s="54" t="str">
        <f>IF($R60,"&amp;AllGlyphs[" &amp; G60 &amp; "]","")</f>
        <v>&amp;AllGlyphs[37]</v>
      </c>
      <c r="BO60" s="54" t="str">
        <f>IF($R60,"&amp;AllGlyphs[" &amp; I60 &amp; "]","")</f>
        <v>&amp;AllGlyphs[49]</v>
      </c>
      <c r="BP60" s="54" t="str">
        <f>IF($R60,"&amp;AllGlyphs[" &amp; K60 &amp; "]","")</f>
        <v>&amp;AllGlyphs[35]</v>
      </c>
      <c r="BQ60" s="54" t="str">
        <f>IF($R60,"&amp;AllGlyphs[" &amp; M60 &amp; "]","")</f>
        <v>&amp;AllGlyphs[58]</v>
      </c>
      <c r="BR60" s="54" t="str">
        <f>IF($R60,"&amp;AllGlyphs[" &amp; O60 &amp; "]","")</f>
        <v>&amp;AllGlyphs[37]</v>
      </c>
      <c r="BT60" s="58">
        <f>IF($R60,IF(AB60,1,0),"")</f>
        <v>0</v>
      </c>
      <c r="BU60" s="58">
        <f>IF($R60,IF(AC60,1,0),"")</f>
        <v>0</v>
      </c>
      <c r="BV60" s="58">
        <f>IF($R60,IF(AD60,1,0),"")</f>
        <v>0</v>
      </c>
      <c r="BW60" s="58">
        <f>IF($R60,IF(AE60,1,0),"")</f>
        <v>0</v>
      </c>
      <c r="BX60" s="58">
        <f>IF($R60,IF(AR60,1,0),"")</f>
        <v>1</v>
      </c>
      <c r="BY60" s="58">
        <f>IF($R60,IF(AS60,1,0),"")</f>
        <v>0</v>
      </c>
    </row>
    <row r="61" spans="1:77" x14ac:dyDescent="0.4">
      <c r="A61" s="7" t="s">
        <v>71</v>
      </c>
      <c r="B61" s="6" t="str">
        <f t="shared" si="0"/>
        <v>[</v>
      </c>
      <c r="C61" s="48" cm="1">
        <f t="array" ref="C61">IF($R61,INDEX($S:$S,MATCH(TRUE,EXACT(B61,$A:$A),0)),"")</f>
        <v>59</v>
      </c>
      <c r="D61" s="38" t="s">
        <v>74</v>
      </c>
      <c r="E61" s="48" cm="1">
        <f t="array" ref="E61">IF($R61,INDEX($S:$S,MATCH(TRUE,EXACT(D61,$A:$A),0)),"")</f>
        <v>13</v>
      </c>
      <c r="F61" s="38" t="s">
        <v>72</v>
      </c>
      <c r="G61" s="48" cm="1">
        <f t="array" ref="G61">IF($S61&lt;&gt;"",INDEX($S:$S,MATCH(TRUE,EXACT(F61,$A:$A),0)),"")</f>
        <v>61</v>
      </c>
      <c r="H61" s="38" t="s">
        <v>71</v>
      </c>
      <c r="I61" s="48" cm="1">
        <f t="array" ref="I61">IF($R61,INDEX($S:$S,MATCH(TRUE,EXACT(H61,$A:$A),0)),"")</f>
        <v>59</v>
      </c>
      <c r="J61" s="38" t="s">
        <v>72</v>
      </c>
      <c r="K61" s="52" cm="1">
        <f t="array" ref="K61">IF($R61,INDEX($S:$S,MATCH(TRUE,EXACT(J61,$A:$A),0)),"")</f>
        <v>61</v>
      </c>
      <c r="L61" s="38" t="str" cm="1">
        <f t="array" ref="L61">IF($R61,INDEX($T:$T,MATCH(TRUE,EXACT(H61,$D:$D),0)),"")</f>
        <v>=</v>
      </c>
      <c r="M61" s="48" cm="1">
        <f t="array" ref="M61">IF($R61,INDEX($S:$S,MATCH(TRUE,EXACT(L61,$A:$A),0)),"")</f>
        <v>29</v>
      </c>
      <c r="N61" s="38" t="str" cm="1">
        <f t="array" ref="N61">IF($R61,INDEX($T:$T,MATCH(TRUE,EXACT(J61,$D:$D),0)),"")</f>
        <v>-</v>
      </c>
      <c r="O61" s="52" cm="1">
        <f t="array" ref="O61">IF($R61,INDEX($S:$S,MATCH(TRUE,EXACT(N61,$A:$A),0)),"")</f>
        <v>13</v>
      </c>
      <c r="P61" s="23"/>
      <c r="Q61" s="33"/>
      <c r="R61" s="18" t="b">
        <f t="shared" si="1"/>
        <v>1</v>
      </c>
      <c r="S61" s="19">
        <f>IF(R61, MAX(S$2:S60)+1,"")</f>
        <v>59</v>
      </c>
      <c r="T61" s="23" t="str">
        <f t="shared" si="2"/>
        <v>[</v>
      </c>
      <c r="U61" s="8" t="str" cm="1">
        <f t="array" ref="U61">CharToUTF8(A61)</f>
        <v>\x5B</v>
      </c>
      <c r="W61" s="18" t="str">
        <f>$AU$2</f>
        <v>EMPTY</v>
      </c>
      <c r="X61" s="24" t="str">
        <f>$AU$2</f>
        <v>EMPTY</v>
      </c>
      <c r="Y61" s="24" t="str">
        <f>$AU$3</f>
        <v>DIAG_BOTH</v>
      </c>
      <c r="Z61" s="21" t="str">
        <f>$AU$4</f>
        <v>ORTHO_BOTH</v>
      </c>
      <c r="AB61" s="31" t="b">
        <f t="shared" si="3"/>
        <v>0</v>
      </c>
      <c r="AC61" s="31" t="b">
        <f t="shared" si="4"/>
        <v>0</v>
      </c>
      <c r="AD61" t="b">
        <f t="shared" si="5"/>
        <v>1</v>
      </c>
      <c r="AE61" t="b">
        <f t="shared" si="6"/>
        <v>0</v>
      </c>
      <c r="AF61" t="b">
        <f>IF($R61,W61=VLOOKUP(Z61,$AU$2:$AZ$10,3,FALSE),"")</f>
        <v>0</v>
      </c>
      <c r="AG61" t="b">
        <f>IF($R61,X61=VLOOKUP(Y61,$AU$2:$AZ$10,3,FALSE),"")</f>
        <v>0</v>
      </c>
      <c r="AH61" t="b">
        <f>IF($R61,Y61=VLOOKUP(W61,$AU$2:$AZ$10,3,FALSE),"")</f>
        <v>0</v>
      </c>
      <c r="AI61" t="b">
        <f>IF($R61,Z61=VLOOKUP(X61,$AU$2:$AZ$10,3,FALSE),"")</f>
        <v>0</v>
      </c>
      <c r="AJ61" t="b">
        <f>IF($R61,W61=VLOOKUP(W61,$AU$2:$AZ$10,4,FALSE),"")</f>
        <v>1</v>
      </c>
      <c r="AK61" t="b">
        <f>IF($R61,X61=VLOOKUP(X61,$AU$2:$AZ$10,4,FALSE),"")</f>
        <v>1</v>
      </c>
      <c r="AL61" t="b">
        <f>IF($R61,Y61=VLOOKUP(Y61,$AU$2:$AZ$10,4,FALSE),"")</f>
        <v>1</v>
      </c>
      <c r="AM61" t="b">
        <f>IF($R61,Z61=VLOOKUP(Z61,$AU$2:$AZ$10,4,FALSE),"")</f>
        <v>1</v>
      </c>
      <c r="AN61" t="b">
        <f>IF($R61,W61=VLOOKUP(W61,$AU$2:$AZ$10,5,FALSE),"")</f>
        <v>1</v>
      </c>
      <c r="AO61" t="b">
        <f>IF($R61,X61=VLOOKUP(X61,$AU$2:$AZ$10,5,FALSE),"")</f>
        <v>1</v>
      </c>
      <c r="AP61" t="b">
        <f>IF($R61,Y61=VLOOKUP(Y61,$AU$2:$AZ$10,6,FALSE),"")</f>
        <v>1</v>
      </c>
      <c r="AQ61" t="b">
        <f>IF($R61,Z61=VLOOKUP(Z61,$AU$2:$AZ$10,6,FALSE),"")</f>
        <v>1</v>
      </c>
      <c r="AR61" t="b">
        <f t="shared" si="8"/>
        <v>0</v>
      </c>
      <c r="AS61" t="b">
        <f t="shared" si="9"/>
        <v>0</v>
      </c>
      <c r="BD61" s="59" t="str">
        <f t="shared" si="10"/>
        <v xml:space="preserve">    { wxString::FromUTF8("\x5B"), &amp;AllGlyphs[13], &amp;AllGlyphs[61], &amp;AllGlyphs[59], &amp;AllGlyphs[61], &amp;AllGlyphs[29], &amp;AllGlyphs[13], Connection::EMPTY, Connection::EMPTY, Connection::DIAG_BOTH, Connection::ORTHO_BOTH, 0, 0, 1, 0, 0, 0 },</v>
      </c>
      <c r="BE61" s="60"/>
      <c r="BF61" s="60"/>
      <c r="BG61" s="60"/>
      <c r="BH61" s="60"/>
      <c r="BI61" s="60"/>
      <c r="BJ61" s="60"/>
      <c r="BK61" s="61"/>
      <c r="BM61" s="54" t="str">
        <f>IF($R61,"&amp;AllGlyphs[" &amp; E61 &amp; "]","")</f>
        <v>&amp;AllGlyphs[13]</v>
      </c>
      <c r="BN61" s="54" t="str">
        <f>IF($R61,"&amp;AllGlyphs[" &amp; G61 &amp; "]","")</f>
        <v>&amp;AllGlyphs[61]</v>
      </c>
      <c r="BO61" s="54" t="str">
        <f>IF($R61,"&amp;AllGlyphs[" &amp; I61 &amp; "]","")</f>
        <v>&amp;AllGlyphs[59]</v>
      </c>
      <c r="BP61" s="54" t="str">
        <f>IF($R61,"&amp;AllGlyphs[" &amp; K61 &amp; "]","")</f>
        <v>&amp;AllGlyphs[61]</v>
      </c>
      <c r="BQ61" s="54" t="str">
        <f>IF($R61,"&amp;AllGlyphs[" &amp; M61 &amp; "]","")</f>
        <v>&amp;AllGlyphs[29]</v>
      </c>
      <c r="BR61" s="54" t="str">
        <f>IF($R61,"&amp;AllGlyphs[" &amp; O61 &amp; "]","")</f>
        <v>&amp;AllGlyphs[13]</v>
      </c>
      <c r="BT61" s="58">
        <f>IF($R61,IF(AB61,1,0),"")</f>
        <v>0</v>
      </c>
      <c r="BU61" s="58">
        <f>IF($R61,IF(AC61,1,0),"")</f>
        <v>0</v>
      </c>
      <c r="BV61" s="58">
        <f>IF($R61,IF(AD61,1,0),"")</f>
        <v>1</v>
      </c>
      <c r="BW61" s="58">
        <f>IF($R61,IF(AE61,1,0),"")</f>
        <v>0</v>
      </c>
      <c r="BX61" s="58">
        <f>IF($R61,IF(AR61,1,0),"")</f>
        <v>0</v>
      </c>
      <c r="BY61" s="58">
        <f>IF($R61,IF(AS61,1,0),"")</f>
        <v>0</v>
      </c>
    </row>
    <row r="62" spans="1:77" x14ac:dyDescent="0.4">
      <c r="A62" s="7" t="s">
        <v>68</v>
      </c>
      <c r="B62" s="6" t="str">
        <f t="shared" si="0"/>
        <v>\</v>
      </c>
      <c r="C62" s="48" cm="1">
        <f t="array" ref="C62">IF($R62,INDEX($S:$S,MATCH(TRUE,EXACT(B62,$A:$A),0)),"")</f>
        <v>60</v>
      </c>
      <c r="D62" s="38" t="s">
        <v>69</v>
      </c>
      <c r="E62" s="48" cm="1">
        <f t="array" ref="E62">IF($R62,INDEX($S:$S,MATCH(TRUE,EXACT(D62,$A:$A),0)),"")</f>
        <v>92</v>
      </c>
      <c r="F62" s="38" t="s">
        <v>68</v>
      </c>
      <c r="G62" s="48" cm="1">
        <f t="array" ref="G62">IF($S62&lt;&gt;"",INDEX($S:$S,MATCH(TRUE,EXACT(F62,$A:$A),0)),"")</f>
        <v>60</v>
      </c>
      <c r="H62" s="38" t="s">
        <v>68</v>
      </c>
      <c r="I62" s="48" cm="1">
        <f t="array" ref="I62">IF($R62,INDEX($S:$S,MATCH(TRUE,EXACT(H62,$A:$A),0)),"")</f>
        <v>60</v>
      </c>
      <c r="J62" s="38" t="s">
        <v>68</v>
      </c>
      <c r="K62" s="52" cm="1">
        <f t="array" ref="K62">IF($R62,INDEX($S:$S,MATCH(TRUE,EXACT(J62,$A:$A),0)),"")</f>
        <v>60</v>
      </c>
      <c r="L62" s="38" t="str" cm="1">
        <f t="array" ref="L62">IF($R62,INDEX($T:$T,MATCH(TRUE,EXACT(H62,$D:$D),0)),"")</f>
        <v>|</v>
      </c>
      <c r="M62" s="48" cm="1">
        <f t="array" ref="M62">IF($R62,INDEX($S:$S,MATCH(TRUE,EXACT(L62,$A:$A),0)),"")</f>
        <v>92</v>
      </c>
      <c r="N62" s="38" t="str" cm="1">
        <f t="array" ref="N62">IF($R62,INDEX($T:$T,MATCH(TRUE,EXACT(J62,$D:$D),0)),"")</f>
        <v>|</v>
      </c>
      <c r="O62" s="52" cm="1">
        <f t="array" ref="O62">IF($R62,INDEX($S:$S,MATCH(TRUE,EXACT(N62,$A:$A),0)),"")</f>
        <v>92</v>
      </c>
      <c r="P62" s="23"/>
      <c r="Q62" s="33"/>
      <c r="R62" s="18" t="b">
        <f t="shared" si="1"/>
        <v>1</v>
      </c>
      <c r="S62" s="19">
        <f>IF(R62, MAX(S$2:S61)+1,"")</f>
        <v>60</v>
      </c>
      <c r="T62" s="23" t="str">
        <f t="shared" si="2"/>
        <v>\</v>
      </c>
      <c r="U62" s="8" t="str" cm="1">
        <f t="array" ref="U62">CharToUTF8(A62)</f>
        <v>\x5C</v>
      </c>
      <c r="W62" s="18" t="str">
        <f>$AU$4</f>
        <v>ORTHO_BOTH</v>
      </c>
      <c r="X62" s="24" t="str">
        <f>$AU$4</f>
        <v>ORTHO_BOTH</v>
      </c>
      <c r="Y62" s="24" t="str">
        <f>$AU$2</f>
        <v>EMPTY</v>
      </c>
      <c r="Z62" s="21" t="str">
        <f>$AU$2</f>
        <v>EMPTY</v>
      </c>
      <c r="AB62" s="31" t="b">
        <f t="shared" si="3"/>
        <v>0</v>
      </c>
      <c r="AC62" s="31" t="b">
        <f t="shared" si="4"/>
        <v>1</v>
      </c>
      <c r="AD62" t="b">
        <f t="shared" si="5"/>
        <v>1</v>
      </c>
      <c r="AE62" t="b">
        <f t="shared" si="6"/>
        <v>1</v>
      </c>
      <c r="AF62" t="b">
        <f>IF($R62,W62=VLOOKUP(Z62,$AU$2:$AZ$10,3,FALSE),"")</f>
        <v>0</v>
      </c>
      <c r="AG62" t="b">
        <f>IF($R62,X62=VLOOKUP(Y62,$AU$2:$AZ$10,3,FALSE),"")</f>
        <v>0</v>
      </c>
      <c r="AH62" t="b">
        <f>IF($R62,Y62=VLOOKUP(W62,$AU$2:$AZ$10,3,FALSE),"")</f>
        <v>0</v>
      </c>
      <c r="AI62" t="b">
        <f>IF($R62,Z62=VLOOKUP(X62,$AU$2:$AZ$10,3,FALSE),"")</f>
        <v>0</v>
      </c>
      <c r="AJ62" t="b">
        <f>IF($R62,W62=VLOOKUP(W62,$AU$2:$AZ$10,4,FALSE),"")</f>
        <v>1</v>
      </c>
      <c r="AK62" t="b">
        <f>IF($R62,X62=VLOOKUP(X62,$AU$2:$AZ$10,4,FALSE),"")</f>
        <v>1</v>
      </c>
      <c r="AL62" t="b">
        <f>IF($R62,Y62=VLOOKUP(Y62,$AU$2:$AZ$10,4,FALSE),"")</f>
        <v>1</v>
      </c>
      <c r="AM62" t="b">
        <f>IF($R62,Z62=VLOOKUP(Z62,$AU$2:$AZ$10,4,FALSE),"")</f>
        <v>1</v>
      </c>
      <c r="AN62" t="b">
        <f>IF($R62,W62=VLOOKUP(W62,$AU$2:$AZ$10,5,FALSE),"")</f>
        <v>1</v>
      </c>
      <c r="AO62" t="b">
        <f>IF($R62,X62=VLOOKUP(X62,$AU$2:$AZ$10,5,FALSE),"")</f>
        <v>1</v>
      </c>
      <c r="AP62" t="b">
        <f>IF($R62,Y62=VLOOKUP(Y62,$AU$2:$AZ$10,6,FALSE),"")</f>
        <v>1</v>
      </c>
      <c r="AQ62" t="b">
        <f>IF($R62,Z62=VLOOKUP(Z62,$AU$2:$AZ$10,6,FALSE),"")</f>
        <v>1</v>
      </c>
      <c r="AR62" t="b">
        <f t="shared" si="8"/>
        <v>0</v>
      </c>
      <c r="AS62" t="b">
        <f t="shared" si="9"/>
        <v>0</v>
      </c>
      <c r="BD62" s="59" t="str">
        <f t="shared" si="10"/>
        <v xml:space="preserve">    { wxString::FromUTF8("\x5C"), &amp;AllGlyphs[92], &amp;AllGlyphs[60], &amp;AllGlyphs[60], &amp;AllGlyphs[60], &amp;AllGlyphs[92], &amp;AllGlyphs[92], Connection::ORTHO_BOTH, Connection::ORTHO_BOTH, Connection::EMPTY, Connection::EMPTY, 0, 1, 1, 1, 0, 0 },</v>
      </c>
      <c r="BE62" s="60"/>
      <c r="BF62" s="60"/>
      <c r="BG62" s="60"/>
      <c r="BH62" s="60"/>
      <c r="BI62" s="60"/>
      <c r="BJ62" s="60"/>
      <c r="BK62" s="61"/>
      <c r="BM62" s="54" t="str">
        <f>IF($R62,"&amp;AllGlyphs[" &amp; E62 &amp; "]","")</f>
        <v>&amp;AllGlyphs[92]</v>
      </c>
      <c r="BN62" s="54" t="str">
        <f>IF($R62,"&amp;AllGlyphs[" &amp; G62 &amp; "]","")</f>
        <v>&amp;AllGlyphs[60]</v>
      </c>
      <c r="BO62" s="54" t="str">
        <f>IF($R62,"&amp;AllGlyphs[" &amp; I62 &amp; "]","")</f>
        <v>&amp;AllGlyphs[60]</v>
      </c>
      <c r="BP62" s="54" t="str">
        <f>IF($R62,"&amp;AllGlyphs[" &amp; K62 &amp; "]","")</f>
        <v>&amp;AllGlyphs[60]</v>
      </c>
      <c r="BQ62" s="54" t="str">
        <f>IF($R62,"&amp;AllGlyphs[" &amp; M62 &amp; "]","")</f>
        <v>&amp;AllGlyphs[92]</v>
      </c>
      <c r="BR62" s="54" t="str">
        <f>IF($R62,"&amp;AllGlyphs[" &amp; O62 &amp; "]","")</f>
        <v>&amp;AllGlyphs[92]</v>
      </c>
      <c r="BT62" s="58">
        <f>IF($R62,IF(AB62,1,0),"")</f>
        <v>0</v>
      </c>
      <c r="BU62" s="58">
        <f>IF($R62,IF(AC62,1,0),"")</f>
        <v>1</v>
      </c>
      <c r="BV62" s="58">
        <f>IF($R62,IF(AD62,1,0),"")</f>
        <v>1</v>
      </c>
      <c r="BW62" s="58">
        <f>IF($R62,IF(AE62,1,0),"")</f>
        <v>1</v>
      </c>
      <c r="BX62" s="58">
        <f>IF($R62,IF(AR62,1,0),"")</f>
        <v>0</v>
      </c>
      <c r="BY62" s="58">
        <f>IF($R62,IF(AS62,1,0),"")</f>
        <v>0</v>
      </c>
    </row>
    <row r="63" spans="1:77" x14ac:dyDescent="0.4">
      <c r="A63" s="7" t="s">
        <v>72</v>
      </c>
      <c r="B63" s="9" t="str">
        <f t="shared" si="0"/>
        <v>]</v>
      </c>
      <c r="C63" s="48" cm="1">
        <f t="array" ref="C63">IF($R63,INDEX($S:$S,MATCH(TRUE,EXACT(B63,$A:$A),0)),"")</f>
        <v>61</v>
      </c>
      <c r="D63" s="39" t="s">
        <v>79</v>
      </c>
      <c r="E63" s="48" cm="1">
        <f t="array" ref="E63">IF($R63,INDEX($S:$S,MATCH(TRUE,EXACT(D63,$A:$A),0)),"")</f>
        <v>29</v>
      </c>
      <c r="F63" s="39" t="s">
        <v>71</v>
      </c>
      <c r="G63" s="48" cm="1">
        <f t="array" ref="G63">IF($S63&lt;&gt;"",INDEX($S:$S,MATCH(TRUE,EXACT(F63,$A:$A),0)),"")</f>
        <v>59</v>
      </c>
      <c r="H63" s="39" t="s">
        <v>72</v>
      </c>
      <c r="I63" s="48" cm="1">
        <f t="array" ref="I63">IF($R63,INDEX($S:$S,MATCH(TRUE,EXACT(H63,$A:$A),0)),"")</f>
        <v>61</v>
      </c>
      <c r="J63" s="39" t="s">
        <v>71</v>
      </c>
      <c r="K63" s="52" cm="1">
        <f t="array" ref="K63">IF($R63,INDEX($S:$S,MATCH(TRUE,EXACT(J63,$A:$A),0)),"")</f>
        <v>59</v>
      </c>
      <c r="L63" s="38" t="str" cm="1">
        <f t="array" ref="L63">IF($R63,INDEX($T:$T,MATCH(TRUE,EXACT(H63,$D:$D),0)),"")</f>
        <v>-</v>
      </c>
      <c r="M63" s="48" cm="1">
        <f t="array" ref="M63">IF($R63,INDEX($S:$S,MATCH(TRUE,EXACT(L63,$A:$A),0)),"")</f>
        <v>13</v>
      </c>
      <c r="N63" s="38" t="str" cm="1">
        <f t="array" ref="N63">IF($R63,INDEX($T:$T,MATCH(TRUE,EXACT(J63,$D:$D),0)),"")</f>
        <v>=</v>
      </c>
      <c r="O63" s="52" cm="1">
        <f t="array" ref="O63">IF($R63,INDEX($S:$S,MATCH(TRUE,EXACT(N63,$A:$A),0)),"")</f>
        <v>29</v>
      </c>
      <c r="P63" s="46"/>
      <c r="Q63" s="34"/>
      <c r="R63" s="18" t="b">
        <f t="shared" si="1"/>
        <v>1</v>
      </c>
      <c r="S63" s="19">
        <f>IF(R63, MAX(S$2:S62)+1,"")</f>
        <v>61</v>
      </c>
      <c r="T63" s="23" t="str">
        <f t="shared" si="2"/>
        <v>]</v>
      </c>
      <c r="U63" s="8" t="str" cm="1">
        <f t="array" ref="U63">CharToUTF8(A63)</f>
        <v>\x5D</v>
      </c>
      <c r="W63" s="18" t="str">
        <f>$AU$2</f>
        <v>EMPTY</v>
      </c>
      <c r="X63" s="24" t="str">
        <f>$AU$2</f>
        <v>EMPTY</v>
      </c>
      <c r="Y63" s="24" t="str">
        <f>$AU$4</f>
        <v>ORTHO_BOTH</v>
      </c>
      <c r="Z63" s="21" t="str">
        <f>$AU$3</f>
        <v>DIAG_BOTH</v>
      </c>
      <c r="AB63" s="31" t="b">
        <f t="shared" si="3"/>
        <v>0</v>
      </c>
      <c r="AC63" s="31" t="b">
        <f t="shared" si="4"/>
        <v>0</v>
      </c>
      <c r="AD63" t="b">
        <f t="shared" si="5"/>
        <v>1</v>
      </c>
      <c r="AE63" t="b">
        <f t="shared" si="6"/>
        <v>0</v>
      </c>
      <c r="AF63" t="b">
        <f>IF($R63,W63=VLOOKUP(Z63,$AU$2:$AZ$10,3,FALSE),"")</f>
        <v>0</v>
      </c>
      <c r="AG63" t="b">
        <f>IF($R63,X63=VLOOKUP(Y63,$AU$2:$AZ$10,3,FALSE),"")</f>
        <v>0</v>
      </c>
      <c r="AH63" t="b">
        <f>IF($R63,Y63=VLOOKUP(W63,$AU$2:$AZ$10,3,FALSE),"")</f>
        <v>0</v>
      </c>
      <c r="AI63" t="b">
        <f>IF($R63,Z63=VLOOKUP(X63,$AU$2:$AZ$10,3,FALSE),"")</f>
        <v>0</v>
      </c>
      <c r="AJ63" t="b">
        <f>IF($R63,W63=VLOOKUP(W63,$AU$2:$AZ$10,4,FALSE),"")</f>
        <v>1</v>
      </c>
      <c r="AK63" t="b">
        <f>IF($R63,X63=VLOOKUP(X63,$AU$2:$AZ$10,4,FALSE),"")</f>
        <v>1</v>
      </c>
      <c r="AL63" t="b">
        <f>IF($R63,Y63=VLOOKUP(Y63,$AU$2:$AZ$10,4,FALSE),"")</f>
        <v>1</v>
      </c>
      <c r="AM63" t="b">
        <f>IF($R63,Z63=VLOOKUP(Z63,$AU$2:$AZ$10,4,FALSE),"")</f>
        <v>1</v>
      </c>
      <c r="AN63" t="b">
        <f>IF($R63,W63=VLOOKUP(W63,$AU$2:$AZ$10,5,FALSE),"")</f>
        <v>1</v>
      </c>
      <c r="AO63" t="b">
        <f>IF($R63,X63=VLOOKUP(X63,$AU$2:$AZ$10,5,FALSE),"")</f>
        <v>1</v>
      </c>
      <c r="AP63" t="b">
        <f>IF($R63,Y63=VLOOKUP(Y63,$AU$2:$AZ$10,6,FALSE),"")</f>
        <v>1</v>
      </c>
      <c r="AQ63" t="b">
        <f>IF($R63,Z63=VLOOKUP(Z63,$AU$2:$AZ$10,6,FALSE),"")</f>
        <v>1</v>
      </c>
      <c r="AR63" t="b">
        <f t="shared" si="8"/>
        <v>0</v>
      </c>
      <c r="AS63" t="b">
        <f t="shared" si="9"/>
        <v>0</v>
      </c>
      <c r="BD63" s="59" t="str">
        <f t="shared" si="10"/>
        <v xml:space="preserve">    { wxString::FromUTF8("\x5D"), &amp;AllGlyphs[29], &amp;AllGlyphs[59], &amp;AllGlyphs[61], &amp;AllGlyphs[59], &amp;AllGlyphs[13], &amp;AllGlyphs[29], Connection::EMPTY, Connection::EMPTY, Connection::ORTHO_BOTH, Connection::DIAG_BOTH, 0, 0, 1, 0, 0, 0 },</v>
      </c>
      <c r="BE63" s="60"/>
      <c r="BF63" s="60"/>
      <c r="BG63" s="60"/>
      <c r="BH63" s="60"/>
      <c r="BI63" s="60"/>
      <c r="BJ63" s="60"/>
      <c r="BK63" s="61"/>
      <c r="BM63" s="54" t="str">
        <f>IF($R63,"&amp;AllGlyphs[" &amp; E63 &amp; "]","")</f>
        <v>&amp;AllGlyphs[29]</v>
      </c>
      <c r="BN63" s="54" t="str">
        <f>IF($R63,"&amp;AllGlyphs[" &amp; G63 &amp; "]","")</f>
        <v>&amp;AllGlyphs[59]</v>
      </c>
      <c r="BO63" s="54" t="str">
        <f>IF($R63,"&amp;AllGlyphs[" &amp; I63 &amp; "]","")</f>
        <v>&amp;AllGlyphs[61]</v>
      </c>
      <c r="BP63" s="54" t="str">
        <f>IF($R63,"&amp;AllGlyphs[" &amp; K63 &amp; "]","")</f>
        <v>&amp;AllGlyphs[59]</v>
      </c>
      <c r="BQ63" s="54" t="str">
        <f>IF($R63,"&amp;AllGlyphs[" &amp; M63 &amp; "]","")</f>
        <v>&amp;AllGlyphs[13]</v>
      </c>
      <c r="BR63" s="54" t="str">
        <f>IF($R63,"&amp;AllGlyphs[" &amp; O63 &amp; "]","")</f>
        <v>&amp;AllGlyphs[29]</v>
      </c>
      <c r="BT63" s="58">
        <f>IF($R63,IF(AB63,1,0),"")</f>
        <v>0</v>
      </c>
      <c r="BU63" s="58">
        <f>IF($R63,IF(AC63,1,0),"")</f>
        <v>0</v>
      </c>
      <c r="BV63" s="58">
        <f>IF($R63,IF(AD63,1,0),"")</f>
        <v>1</v>
      </c>
      <c r="BW63" s="58">
        <f>IF($R63,IF(AE63,1,0),"")</f>
        <v>0</v>
      </c>
      <c r="BX63" s="58">
        <f>IF($R63,IF(AR63,1,0),"")</f>
        <v>0</v>
      </c>
      <c r="BY63" s="58">
        <f>IF($R63,IF(AS63,1,0),"")</f>
        <v>0</v>
      </c>
    </row>
    <row r="64" spans="1:77" x14ac:dyDescent="0.4">
      <c r="A64" s="7" t="s">
        <v>57</v>
      </c>
      <c r="B64" s="6" t="str">
        <f t="shared" si="0"/>
        <v>^</v>
      </c>
      <c r="C64" s="48" cm="1">
        <f t="array" ref="C64">IF($R64,INDEX($S:$S,MATCH(TRUE,EXACT(B64,$A:$A),0)),"")</f>
        <v>62</v>
      </c>
      <c r="D64" s="38" t="s">
        <v>50</v>
      </c>
      <c r="E64" s="48" cm="1">
        <f t="array" ref="E64">IF($R64,INDEX($S:$S,MATCH(TRUE,EXACT(D64,$A:$A),0)),"")</f>
        <v>46</v>
      </c>
      <c r="F64" s="38" t="s">
        <v>31</v>
      </c>
      <c r="G64" s="48" cm="1">
        <f t="array" ref="G64">IF($S64&lt;&gt;"",INDEX($S:$S,MATCH(TRUE,EXACT(F64,$A:$A),0)),"")</f>
        <v>57</v>
      </c>
      <c r="H64" s="38" t="s">
        <v>31</v>
      </c>
      <c r="I64" s="48" cm="1">
        <f t="array" ref="I64">IF($R64,INDEX($S:$S,MATCH(TRUE,EXACT(H64,$A:$A),0)),"")</f>
        <v>57</v>
      </c>
      <c r="J64" s="38" t="s">
        <v>57</v>
      </c>
      <c r="K64" s="52" cm="1">
        <f t="array" ref="K64">IF($R64,INDEX($S:$S,MATCH(TRUE,EXACT(J64,$A:$A),0)),"")</f>
        <v>62</v>
      </c>
      <c r="L64" s="38" t="str" cm="1">
        <f t="array" ref="L64">IF($R64,INDEX($T:$T,MATCH(TRUE,EXACT(H64,$D:$D),0)),"")</f>
        <v>N</v>
      </c>
      <c r="M64" s="48" cm="1">
        <f t="array" ref="M64">IF($R64,INDEX($S:$S,MATCH(TRUE,EXACT(L64,$A:$A),0)),"")</f>
        <v>46</v>
      </c>
      <c r="N64" s="38" t="str" cm="1">
        <f t="array" ref="N64">IF($R64,INDEX($T:$T,MATCH(TRUE,EXACT(J64,$D:$D),0)),"")</f>
        <v>B</v>
      </c>
      <c r="O64" s="52" cm="1">
        <f t="array" ref="O64">IF($R64,INDEX($S:$S,MATCH(TRUE,EXACT(N64,$A:$A),0)),"")</f>
        <v>34</v>
      </c>
      <c r="P64" s="23"/>
      <c r="Q64" s="33"/>
      <c r="R64" s="18" t="b">
        <f t="shared" si="1"/>
        <v>1</v>
      </c>
      <c r="S64" s="19">
        <f>IF(R64, MAX(S$2:S63)+1,"")</f>
        <v>62</v>
      </c>
      <c r="T64" s="23" t="str">
        <f t="shared" si="2"/>
        <v>^</v>
      </c>
      <c r="U64" s="8" t="str" cm="1">
        <f t="array" ref="U64">CharToUTF8(A64)</f>
        <v>\x5E</v>
      </c>
      <c r="W64" s="18" t="str">
        <f>$AU$4</f>
        <v>ORTHO_BOTH</v>
      </c>
      <c r="X64" s="24" t="str">
        <f>$AU$3</f>
        <v>DIAG_BOTH</v>
      </c>
      <c r="Y64" s="24" t="str">
        <f>$AU$4</f>
        <v>ORTHO_BOTH</v>
      </c>
      <c r="Z64" s="21" t="str">
        <f>$AU$4</f>
        <v>ORTHO_BOTH</v>
      </c>
      <c r="AB64" s="31" t="b">
        <f t="shared" si="3"/>
        <v>0</v>
      </c>
      <c r="AC64" s="31" t="b">
        <f t="shared" si="4"/>
        <v>0</v>
      </c>
      <c r="AD64" t="b">
        <f t="shared" si="5"/>
        <v>0</v>
      </c>
      <c r="AE64" t="b">
        <f t="shared" si="6"/>
        <v>1</v>
      </c>
      <c r="AF64" t="b">
        <f>IF($R64,W64=VLOOKUP(Z64,$AU$2:$AZ$10,3,FALSE),"")</f>
        <v>1</v>
      </c>
      <c r="AG64" t="b">
        <f>IF($R64,X64=VLOOKUP(Y64,$AU$2:$AZ$10,3,FALSE),"")</f>
        <v>0</v>
      </c>
      <c r="AH64" t="b">
        <f>IF($R64,Y64=VLOOKUP(W64,$AU$2:$AZ$10,3,FALSE),"")</f>
        <v>1</v>
      </c>
      <c r="AI64" t="b">
        <f>IF($R64,Z64=VLOOKUP(X64,$AU$2:$AZ$10,3,FALSE),"")</f>
        <v>0</v>
      </c>
      <c r="AJ64" t="b">
        <f>IF($R64,W64=VLOOKUP(W64,$AU$2:$AZ$10,4,FALSE),"")</f>
        <v>1</v>
      </c>
      <c r="AK64" t="b">
        <f>IF($R64,X64=VLOOKUP(X64,$AU$2:$AZ$10,4,FALSE),"")</f>
        <v>1</v>
      </c>
      <c r="AL64" t="b">
        <f>IF($R64,Y64=VLOOKUP(Y64,$AU$2:$AZ$10,4,FALSE),"")</f>
        <v>1</v>
      </c>
      <c r="AM64" t="b">
        <f>IF($R64,Z64=VLOOKUP(Z64,$AU$2:$AZ$10,4,FALSE),"")</f>
        <v>1</v>
      </c>
      <c r="AN64" t="b">
        <f>IF($R64,W64=VLOOKUP(W64,$AU$2:$AZ$10,5,FALSE),"")</f>
        <v>1</v>
      </c>
      <c r="AO64" t="b">
        <f>IF($R64,X64=VLOOKUP(X64,$AU$2:$AZ$10,5,FALSE),"")</f>
        <v>1</v>
      </c>
      <c r="AP64" t="b">
        <f>IF($R64,Y64=VLOOKUP(Y64,$AU$2:$AZ$10,6,FALSE),"")</f>
        <v>1</v>
      </c>
      <c r="AQ64" t="b">
        <f>IF($R64,Z64=VLOOKUP(Z64,$AU$2:$AZ$10,6,FALSE),"")</f>
        <v>1</v>
      </c>
      <c r="AR64" t="b">
        <f t="shared" si="8"/>
        <v>0</v>
      </c>
      <c r="AS64" t="b">
        <f t="shared" si="9"/>
        <v>0</v>
      </c>
      <c r="BD64" s="59" t="str">
        <f t="shared" si="10"/>
        <v xml:space="preserve">    { wxString::FromUTF8("\x5E"), &amp;AllGlyphs[46], &amp;AllGlyphs[57], &amp;AllGlyphs[57], &amp;AllGlyphs[62], &amp;AllGlyphs[46], &amp;AllGlyphs[34], Connection::ORTHO_BOTH, Connection::DIAG_BOTH, Connection::ORTHO_BOTH, Connection::ORTHO_BOTH, 0, 0, 0, 1, 0, 0 },</v>
      </c>
      <c r="BE64" s="60"/>
      <c r="BF64" s="60"/>
      <c r="BG64" s="60"/>
      <c r="BH64" s="60"/>
      <c r="BI64" s="60"/>
      <c r="BJ64" s="60"/>
      <c r="BK64" s="61"/>
      <c r="BM64" s="54" t="str">
        <f>IF($R64,"&amp;AllGlyphs[" &amp; E64 &amp; "]","")</f>
        <v>&amp;AllGlyphs[46]</v>
      </c>
      <c r="BN64" s="54" t="str">
        <f>IF($R64,"&amp;AllGlyphs[" &amp; G64 &amp; "]","")</f>
        <v>&amp;AllGlyphs[57]</v>
      </c>
      <c r="BO64" s="54" t="str">
        <f>IF($R64,"&amp;AllGlyphs[" &amp; I64 &amp; "]","")</f>
        <v>&amp;AllGlyphs[57]</v>
      </c>
      <c r="BP64" s="54" t="str">
        <f>IF($R64,"&amp;AllGlyphs[" &amp; K64 &amp; "]","")</f>
        <v>&amp;AllGlyphs[62]</v>
      </c>
      <c r="BQ64" s="54" t="str">
        <f>IF($R64,"&amp;AllGlyphs[" &amp; M64 &amp; "]","")</f>
        <v>&amp;AllGlyphs[46]</v>
      </c>
      <c r="BR64" s="54" t="str">
        <f>IF($R64,"&amp;AllGlyphs[" &amp; O64 &amp; "]","")</f>
        <v>&amp;AllGlyphs[34]</v>
      </c>
      <c r="BT64" s="58">
        <f>IF($R64,IF(AB64,1,0),"")</f>
        <v>0</v>
      </c>
      <c r="BU64" s="58">
        <f>IF($R64,IF(AC64,1,0),"")</f>
        <v>0</v>
      </c>
      <c r="BV64" s="58">
        <f>IF($R64,IF(AD64,1,0),"")</f>
        <v>0</v>
      </c>
      <c r="BW64" s="58">
        <f>IF($R64,IF(AE64,1,0),"")</f>
        <v>1</v>
      </c>
      <c r="BX64" s="58">
        <f>IF($R64,IF(AR64,1,0),"")</f>
        <v>0</v>
      </c>
      <c r="BY64" s="58">
        <f>IF($R64,IF(AS64,1,0),"")</f>
        <v>0</v>
      </c>
    </row>
    <row r="65" spans="1:77" x14ac:dyDescent="0.4">
      <c r="A65" s="7" t="s">
        <v>75</v>
      </c>
      <c r="B65" s="6" t="str">
        <f t="shared" si="0"/>
        <v>_</v>
      </c>
      <c r="C65" s="48" cm="1">
        <f t="array" ref="C65">IF($R65,INDEX($S:$S,MATCH(TRUE,EXACT(B65,$A:$A),0)),"")</f>
        <v>63</v>
      </c>
      <c r="D65" s="38" t="s">
        <v>70</v>
      </c>
      <c r="E65" s="48" cm="1">
        <f t="array" ref="E65">IF($R65,INDEX($S:$S,MATCH(TRUE,EXACT(D65,$A:$A),0)),"")</f>
        <v>11</v>
      </c>
      <c r="F65" s="38" t="s">
        <v>77</v>
      </c>
      <c r="G65" s="48" cm="1">
        <f t="array" ref="G65">IF($S65&lt;&gt;"",INDEX($S:$S,MATCH(TRUE,EXACT(F65,$A:$A),0)),"")</f>
        <v>93</v>
      </c>
      <c r="H65" s="38" t="s">
        <v>76</v>
      </c>
      <c r="I65" s="48" cm="1">
        <f t="array" ref="I65">IF($R65,INDEX($S:$S,MATCH(TRUE,EXACT(H65,$A:$A),0)),"")</f>
        <v>91</v>
      </c>
      <c r="J65" s="38" t="s">
        <v>70</v>
      </c>
      <c r="K65" s="52" cm="1">
        <f t="array" ref="K65">IF($R65,INDEX($S:$S,MATCH(TRUE,EXACT(J65,$A:$A),0)),"")</f>
        <v>11</v>
      </c>
      <c r="L65" s="38" t="str" cm="1">
        <f t="array" ref="L65">IF($R65,INDEX($T:$T,MATCH(TRUE,EXACT(H65,$D:$D),0)),"")</f>
        <v>}</v>
      </c>
      <c r="M65" s="48" cm="1">
        <f t="array" ref="M65">IF($R65,INDEX($S:$S,MATCH(TRUE,EXACT(L65,$A:$A),0)),"")</f>
        <v>93</v>
      </c>
      <c r="N65" s="38" t="str" cm="1">
        <f t="array" ref="N65">IF($R65,INDEX($T:$T,MATCH(TRUE,EXACT(J65,$D:$D),0)),"")</f>
        <v>_</v>
      </c>
      <c r="O65" s="52" cm="1">
        <f t="array" ref="O65">IF($R65,INDEX($S:$S,MATCH(TRUE,EXACT(N65,$A:$A),0)),"")</f>
        <v>63</v>
      </c>
      <c r="P65" s="23"/>
      <c r="Q65" s="33"/>
      <c r="R65" s="18" t="b">
        <f t="shared" si="1"/>
        <v>1</v>
      </c>
      <c r="S65" s="19">
        <f>IF(R65, MAX(S$2:S64)+1,"")</f>
        <v>63</v>
      </c>
      <c r="T65" s="23" t="str">
        <f t="shared" si="2"/>
        <v>_</v>
      </c>
      <c r="U65" s="8" t="str" cm="1">
        <f t="array" ref="U65">CharToUTF8(A65)</f>
        <v>\x5F</v>
      </c>
      <c r="W65" s="18" t="str">
        <f t="shared" ref="W65:W70" si="14">$AU$3</f>
        <v>DIAG_BOTH</v>
      </c>
      <c r="X65" s="24" t="str">
        <f>$AU$4</f>
        <v>ORTHO_BOTH</v>
      </c>
      <c r="Y65" s="24" t="str">
        <f>$AU$3</f>
        <v>DIAG_BOTH</v>
      </c>
      <c r="Z65" s="21" t="str">
        <f>$AU$4</f>
        <v>ORTHO_BOTH</v>
      </c>
      <c r="AB65" s="31" t="b">
        <f t="shared" si="3"/>
        <v>0</v>
      </c>
      <c r="AC65" s="31" t="b">
        <f t="shared" si="4"/>
        <v>0</v>
      </c>
      <c r="AD65" t="b">
        <f t="shared" si="5"/>
        <v>0</v>
      </c>
      <c r="AE65" t="b">
        <f t="shared" si="6"/>
        <v>0</v>
      </c>
      <c r="AF65" t="b">
        <f>IF($R65,W65=VLOOKUP(Z65,$AU$2:$AZ$10,3,FALSE),"")</f>
        <v>0</v>
      </c>
      <c r="AG65" t="b">
        <f>IF($R65,X65=VLOOKUP(Y65,$AU$2:$AZ$10,3,FALSE),"")</f>
        <v>0</v>
      </c>
      <c r="AH65" t="b">
        <f>IF($R65,Y65=VLOOKUP(W65,$AU$2:$AZ$10,3,FALSE),"")</f>
        <v>1</v>
      </c>
      <c r="AI65" t="b">
        <f>IF($R65,Z65=VLOOKUP(X65,$AU$2:$AZ$10,3,FALSE),"")</f>
        <v>1</v>
      </c>
      <c r="AJ65" t="b">
        <f>IF($R65,W65=VLOOKUP(W65,$AU$2:$AZ$10,4,FALSE),"")</f>
        <v>1</v>
      </c>
      <c r="AK65" t="b">
        <f>IF($R65,X65=VLOOKUP(X65,$AU$2:$AZ$10,4,FALSE),"")</f>
        <v>1</v>
      </c>
      <c r="AL65" t="b">
        <f>IF($R65,Y65=VLOOKUP(Y65,$AU$2:$AZ$10,4,FALSE),"")</f>
        <v>1</v>
      </c>
      <c r="AM65" t="b">
        <f>IF($R65,Z65=VLOOKUP(Z65,$AU$2:$AZ$10,4,FALSE),"")</f>
        <v>1</v>
      </c>
      <c r="AN65" t="b">
        <f>IF($R65,W65=VLOOKUP(W65,$AU$2:$AZ$10,5,FALSE),"")</f>
        <v>1</v>
      </c>
      <c r="AO65" t="b">
        <f>IF($R65,X65=VLOOKUP(X65,$AU$2:$AZ$10,5,FALSE),"")</f>
        <v>1</v>
      </c>
      <c r="AP65" t="b">
        <f>IF($R65,Y65=VLOOKUP(Y65,$AU$2:$AZ$10,6,FALSE),"")</f>
        <v>1</v>
      </c>
      <c r="AQ65" t="b">
        <f>IF($R65,Z65=VLOOKUP(Z65,$AU$2:$AZ$10,6,FALSE),"")</f>
        <v>1</v>
      </c>
      <c r="AR65" t="b">
        <f t="shared" si="8"/>
        <v>0</v>
      </c>
      <c r="AS65" t="b">
        <f t="shared" si="9"/>
        <v>1</v>
      </c>
      <c r="BD65" s="59" t="str">
        <f t="shared" si="10"/>
        <v xml:space="preserve">    { wxString::FromUTF8("\x5F"), &amp;AllGlyphs[11], &amp;AllGlyphs[93], &amp;AllGlyphs[91], &amp;AllGlyphs[11], &amp;AllGlyphs[93], &amp;AllGlyphs[63], Connection::DIAG_BOTH, Connection::ORTHO_BOTH, Connection::DIAG_BOTH, Connection::ORTHO_BOTH, 0, 0, 0, 0, 0, 1 },</v>
      </c>
      <c r="BE65" s="60"/>
      <c r="BF65" s="60"/>
      <c r="BG65" s="60"/>
      <c r="BH65" s="60"/>
      <c r="BI65" s="60"/>
      <c r="BJ65" s="60"/>
      <c r="BK65" s="61"/>
      <c r="BM65" s="54" t="str">
        <f>IF($R65,"&amp;AllGlyphs[" &amp; E65 &amp; "]","")</f>
        <v>&amp;AllGlyphs[11]</v>
      </c>
      <c r="BN65" s="54" t="str">
        <f>IF($R65,"&amp;AllGlyphs[" &amp; G65 &amp; "]","")</f>
        <v>&amp;AllGlyphs[93]</v>
      </c>
      <c r="BO65" s="54" t="str">
        <f>IF($R65,"&amp;AllGlyphs[" &amp; I65 &amp; "]","")</f>
        <v>&amp;AllGlyphs[91]</v>
      </c>
      <c r="BP65" s="54" t="str">
        <f>IF($R65,"&amp;AllGlyphs[" &amp; K65 &amp; "]","")</f>
        <v>&amp;AllGlyphs[11]</v>
      </c>
      <c r="BQ65" s="54" t="str">
        <f>IF($R65,"&amp;AllGlyphs[" &amp; M65 &amp; "]","")</f>
        <v>&amp;AllGlyphs[93]</v>
      </c>
      <c r="BR65" s="54" t="str">
        <f>IF($R65,"&amp;AllGlyphs[" &amp; O65 &amp; "]","")</f>
        <v>&amp;AllGlyphs[63]</v>
      </c>
      <c r="BT65" s="58">
        <f>IF($R65,IF(AB65,1,0),"")</f>
        <v>0</v>
      </c>
      <c r="BU65" s="58">
        <f>IF($R65,IF(AC65,1,0),"")</f>
        <v>0</v>
      </c>
      <c r="BV65" s="58">
        <f>IF($R65,IF(AD65,1,0),"")</f>
        <v>0</v>
      </c>
      <c r="BW65" s="58">
        <f>IF($R65,IF(AE65,1,0),"")</f>
        <v>0</v>
      </c>
      <c r="BX65" s="58">
        <f>IF($R65,IF(AR65,1,0),"")</f>
        <v>0</v>
      </c>
      <c r="BY65" s="58">
        <f>IF($R65,IF(AS65,1,0),"")</f>
        <v>1</v>
      </c>
    </row>
    <row r="66" spans="1:77" x14ac:dyDescent="0.4">
      <c r="A66" s="7" t="s">
        <v>168</v>
      </c>
      <c r="B66" s="6" t="str">
        <f t="shared" ref="B66:B129" si="15">A66</f>
        <v>`</v>
      </c>
      <c r="C66" s="48" cm="1">
        <f t="array" ref="C66">IF($R66,INDEX($S:$S,MATCH(TRUE,EXACT(B66,$A:$A),0)),"")</f>
        <v>64</v>
      </c>
      <c r="D66" s="38">
        <v>1</v>
      </c>
      <c r="E66" s="48" cm="1">
        <f t="array" ref="E66">IF($R66,INDEX($S:$S,MATCH(TRUE,EXACT(D66,$A:$A),0)),"")</f>
        <v>17</v>
      </c>
      <c r="F66" s="38" t="s">
        <v>168</v>
      </c>
      <c r="G66" s="48" cm="1">
        <f t="array" ref="G66">IF($S66&lt;&gt;"",INDEX($S:$S,MATCH(TRUE,EXACT(F66,$A:$A),0)),"")</f>
        <v>64</v>
      </c>
      <c r="H66" s="38" t="s">
        <v>168</v>
      </c>
      <c r="I66" s="48" cm="1">
        <f t="array" ref="I66">IF($R66,INDEX($S:$S,MATCH(TRUE,EXACT(H66,$A:$A),0)),"")</f>
        <v>64</v>
      </c>
      <c r="J66" s="38" t="s">
        <v>168</v>
      </c>
      <c r="K66" s="52" cm="1">
        <f t="array" ref="K66">IF($R66,INDEX($S:$S,MATCH(TRUE,EXACT(J66,$A:$A),0)),"")</f>
        <v>64</v>
      </c>
      <c r="L66" s="38" cm="1">
        <f t="array" ref="L66">IF($R66,INDEX($T:$T,MATCH(TRUE,EXACT(H66,$D:$D),0)),"")</f>
        <v>1</v>
      </c>
      <c r="M66" s="48" cm="1">
        <f t="array" ref="M66">IF($R66,INDEX($S:$S,MATCH(TRUE,EXACT(L66,$A:$A),0)),"")</f>
        <v>17</v>
      </c>
      <c r="N66" s="38" cm="1">
        <f t="array" ref="N66">IF($R66,INDEX($T:$T,MATCH(TRUE,EXACT(J66,$D:$D),0)),"")</f>
        <v>1</v>
      </c>
      <c r="O66" s="52" cm="1">
        <f t="array" ref="O66">IF($R66,INDEX($S:$S,MATCH(TRUE,EXACT(N66,$A:$A),0)),"")</f>
        <v>17</v>
      </c>
      <c r="P66" s="23"/>
      <c r="Q66" s="33"/>
      <c r="R66" s="18" t="b">
        <f t="shared" ref="R66:R129" si="16">AND(B66&lt;&gt;"", D66&lt;&gt;"", F66&lt;&gt;"", J66&lt;&gt;"", H66&lt;&gt;"")</f>
        <v>1</v>
      </c>
      <c r="S66" s="19">
        <f>IF(R66, MAX(S$2:S65)+1,"")</f>
        <v>64</v>
      </c>
      <c r="T66" s="23" t="str">
        <f t="shared" ref="T66:T129" si="17">A66</f>
        <v>`</v>
      </c>
      <c r="U66" s="8" t="str" cm="1">
        <f t="array" ref="U66">CharToUTF8(A66)</f>
        <v>\x60</v>
      </c>
      <c r="W66" s="18" t="str">
        <f t="shared" si="14"/>
        <v>DIAG_BOTH</v>
      </c>
      <c r="X66" s="24" t="str">
        <f>$AU$3</f>
        <v>DIAG_BOTH</v>
      </c>
      <c r="Y66" s="24" t="str">
        <f>$AU$2</f>
        <v>EMPTY</v>
      </c>
      <c r="Z66" s="21" t="str">
        <f>$AU$2</f>
        <v>EMPTY</v>
      </c>
      <c r="AB66" s="31" t="b">
        <f t="shared" ref="AB66:AB129" si="18">IF($R66,C66=E66,"")</f>
        <v>0</v>
      </c>
      <c r="AC66" s="31" t="b">
        <f t="shared" ref="AC66:AC129" si="19">IF($R66,C66=G66,"")</f>
        <v>1</v>
      </c>
      <c r="AD66" t="b">
        <f t="shared" ref="AD66:AD129" si="20">IF($R66,C66=I66,"")</f>
        <v>1</v>
      </c>
      <c r="AE66" t="b">
        <f t="shared" ref="AE66:AE129" si="21">IF($R66,C66=K66,"")</f>
        <v>1</v>
      </c>
      <c r="AF66" t="b">
        <f>IF($R66,W66=VLOOKUP(Z66,$AU$2:$AZ$10,3,FALSE),"")</f>
        <v>0</v>
      </c>
      <c r="AG66" t="b">
        <f>IF($R66,X66=VLOOKUP(Y66,$AU$2:$AZ$10,3,FALSE),"")</f>
        <v>0</v>
      </c>
      <c r="AH66" t="b">
        <f>IF($R66,Y66=VLOOKUP(W66,$AU$2:$AZ$10,3,FALSE),"")</f>
        <v>0</v>
      </c>
      <c r="AI66" t="b">
        <f>IF($R66,Z66=VLOOKUP(X66,$AU$2:$AZ$10,3,FALSE),"")</f>
        <v>0</v>
      </c>
      <c r="AJ66" t="b">
        <f>IF($R66,W66=VLOOKUP(W66,$AU$2:$AZ$10,4,FALSE),"")</f>
        <v>1</v>
      </c>
      <c r="AK66" t="b">
        <f>IF($R66,X66=VLOOKUP(X66,$AU$2:$AZ$10,4,FALSE),"")</f>
        <v>1</v>
      </c>
      <c r="AL66" t="b">
        <f>IF($R66,Y66=VLOOKUP(Y66,$AU$2:$AZ$10,4,FALSE),"")</f>
        <v>1</v>
      </c>
      <c r="AM66" t="b">
        <f>IF($R66,Z66=VLOOKUP(Z66,$AU$2:$AZ$10,4,FALSE),"")</f>
        <v>1</v>
      </c>
      <c r="AN66" t="b">
        <f>IF($R66,W66=VLOOKUP(W66,$AU$2:$AZ$10,5,FALSE),"")</f>
        <v>1</v>
      </c>
      <c r="AO66" t="b">
        <f>IF($R66,X66=VLOOKUP(X66,$AU$2:$AZ$10,5,FALSE),"")</f>
        <v>1</v>
      </c>
      <c r="AP66" t="b">
        <f>IF($R66,Y66=VLOOKUP(Y66,$AU$2:$AZ$10,6,FALSE),"")</f>
        <v>1</v>
      </c>
      <c r="AQ66" t="b">
        <f>IF($R66,Z66=VLOOKUP(Z66,$AU$2:$AZ$10,6,FALSE),"")</f>
        <v>1</v>
      </c>
      <c r="AR66" t="b">
        <f t="shared" si="8"/>
        <v>0</v>
      </c>
      <c r="AS66" t="b">
        <f t="shared" si="9"/>
        <v>0</v>
      </c>
      <c r="BD66" s="59" t="str">
        <f t="shared" si="10"/>
        <v xml:space="preserve">    { wxString::FromUTF8("\x60"), &amp;AllGlyphs[17], &amp;AllGlyphs[64], &amp;AllGlyphs[64], &amp;AllGlyphs[64], &amp;AllGlyphs[17], &amp;AllGlyphs[17], Connection::DIAG_BOTH, Connection::DIAG_BOTH, Connection::EMPTY, Connection::EMPTY, 0, 1, 1, 1, 0, 0 },</v>
      </c>
      <c r="BE66" s="60"/>
      <c r="BF66" s="60"/>
      <c r="BG66" s="60"/>
      <c r="BH66" s="60"/>
      <c r="BI66" s="60"/>
      <c r="BJ66" s="60"/>
      <c r="BK66" s="61"/>
      <c r="BM66" s="54" t="str">
        <f>IF($R66,"&amp;AllGlyphs[" &amp; E66 &amp; "]","")</f>
        <v>&amp;AllGlyphs[17]</v>
      </c>
      <c r="BN66" s="54" t="str">
        <f>IF($R66,"&amp;AllGlyphs[" &amp; G66 &amp; "]","")</f>
        <v>&amp;AllGlyphs[64]</v>
      </c>
      <c r="BO66" s="54" t="str">
        <f>IF($R66,"&amp;AllGlyphs[" &amp; I66 &amp; "]","")</f>
        <v>&amp;AllGlyphs[64]</v>
      </c>
      <c r="BP66" s="54" t="str">
        <f>IF($R66,"&amp;AllGlyphs[" &amp; K66 &amp; "]","")</f>
        <v>&amp;AllGlyphs[64]</v>
      </c>
      <c r="BQ66" s="54" t="str">
        <f>IF($R66,"&amp;AllGlyphs[" &amp; M66 &amp; "]","")</f>
        <v>&amp;AllGlyphs[17]</v>
      </c>
      <c r="BR66" s="54" t="str">
        <f>IF($R66,"&amp;AllGlyphs[" &amp; O66 &amp; "]","")</f>
        <v>&amp;AllGlyphs[17]</v>
      </c>
      <c r="BT66" s="58">
        <f>IF($R66,IF(AB66,1,0),"")</f>
        <v>0</v>
      </c>
      <c r="BU66" s="58">
        <f>IF($R66,IF(AC66,1,0),"")</f>
        <v>1</v>
      </c>
      <c r="BV66" s="58">
        <f>IF($R66,IF(AD66,1,0),"")</f>
        <v>1</v>
      </c>
      <c r="BW66" s="58">
        <f>IF($R66,IF(AE66,1,0),"")</f>
        <v>1</v>
      </c>
      <c r="BX66" s="58">
        <f>IF($R66,IF(AR66,1,0),"")</f>
        <v>0</v>
      </c>
      <c r="BY66" s="58">
        <f>IF($R66,IF(AS66,1,0),"")</f>
        <v>0</v>
      </c>
    </row>
    <row r="67" spans="1:77" x14ac:dyDescent="0.4">
      <c r="A67" s="7" t="s">
        <v>10</v>
      </c>
      <c r="B67" s="6" t="str">
        <f t="shared" si="15"/>
        <v>a</v>
      </c>
      <c r="C67" s="48" cm="1">
        <f t="array" ref="C67">IF($R67,INDEX($S:$S,MATCH(TRUE,EXACT(B67,$A:$A),0)),"")</f>
        <v>65</v>
      </c>
      <c r="D67" s="38" t="s">
        <v>1</v>
      </c>
      <c r="E67" s="48" cm="1">
        <f t="array" ref="E67">IF($R67,INDEX($S:$S,MATCH(TRUE,EXACT(D67,$A:$A),0)),"")</f>
        <v>87</v>
      </c>
      <c r="F67" s="38" t="s">
        <v>12</v>
      </c>
      <c r="G67" s="48" cm="1">
        <f t="array" ref="G67">IF($S67&lt;&gt;"",INDEX($S:$S,MATCH(TRUE,EXACT(F67,$A:$A),0)),"")</f>
        <v>68</v>
      </c>
      <c r="H67" s="38" t="s">
        <v>10</v>
      </c>
      <c r="I67" s="48" cm="1">
        <f t="array" ref="I67">IF($R67,INDEX($S:$S,MATCH(TRUE,EXACT(H67,$A:$A),0)),"")</f>
        <v>65</v>
      </c>
      <c r="J67" s="38" t="s">
        <v>12</v>
      </c>
      <c r="K67" s="52" cm="1">
        <f t="array" ref="K67">IF($R67,INDEX($S:$S,MATCH(TRUE,EXACT(J67,$A:$A),0)),"")</f>
        <v>68</v>
      </c>
      <c r="L67" s="38" t="str" cm="1">
        <f t="array" ref="L67">IF($R67,INDEX($T:$T,MATCH(TRUE,EXACT(H67,$D:$D),0)),"")</f>
        <v>x</v>
      </c>
      <c r="M67" s="48" cm="1">
        <f t="array" ref="M67">IF($R67,INDEX($S:$S,MATCH(TRUE,EXACT(L67,$A:$A),0)),"")</f>
        <v>88</v>
      </c>
      <c r="N67" s="38" t="str" cm="1">
        <f t="array" ref="N67">IF($R67,INDEX($T:$T,MATCH(TRUE,EXACT(J67,$D:$D),0)),"")</f>
        <v>w</v>
      </c>
      <c r="O67" s="52" cm="1">
        <f t="array" ref="O67">IF($R67,INDEX($S:$S,MATCH(TRUE,EXACT(N67,$A:$A),0)),"")</f>
        <v>87</v>
      </c>
      <c r="P67" s="23"/>
      <c r="Q67" s="33"/>
      <c r="R67" s="18" t="b">
        <f t="shared" si="16"/>
        <v>1</v>
      </c>
      <c r="S67" s="19">
        <f>IF(R67, MAX(S$2:S66)+1,"")</f>
        <v>65</v>
      </c>
      <c r="T67" s="23" t="str">
        <f t="shared" si="17"/>
        <v>a</v>
      </c>
      <c r="U67" s="8" t="str" cm="1">
        <f t="array" ref="U67">CharToUTF8(A67)</f>
        <v>\x61</v>
      </c>
      <c r="W67" s="18" t="str">
        <f t="shared" si="14"/>
        <v>DIAG_BOTH</v>
      </c>
      <c r="X67" s="24" t="str">
        <f>$AU$3</f>
        <v>DIAG_BOTH</v>
      </c>
      <c r="Y67" s="24" t="str">
        <f>$AU$2</f>
        <v>EMPTY</v>
      </c>
      <c r="Z67" s="21" t="str">
        <f>$AU$3</f>
        <v>DIAG_BOTH</v>
      </c>
      <c r="AB67" s="31" t="b">
        <f t="shared" si="18"/>
        <v>0</v>
      </c>
      <c r="AC67" s="31" t="b">
        <f t="shared" si="19"/>
        <v>0</v>
      </c>
      <c r="AD67" t="b">
        <f t="shared" si="20"/>
        <v>1</v>
      </c>
      <c r="AE67" t="b">
        <f t="shared" si="21"/>
        <v>0</v>
      </c>
      <c r="AF67" t="b">
        <f>IF($R67,W67=VLOOKUP(Z67,$AU$2:$AZ$10,3,FALSE),"")</f>
        <v>1</v>
      </c>
      <c r="AG67" t="b">
        <f>IF($R67,X67=VLOOKUP(Y67,$AU$2:$AZ$10,3,FALSE),"")</f>
        <v>0</v>
      </c>
      <c r="AH67" t="b">
        <f>IF($R67,Y67=VLOOKUP(W67,$AU$2:$AZ$10,3,FALSE),"")</f>
        <v>0</v>
      </c>
      <c r="AI67" t="b">
        <f>IF($R67,Z67=VLOOKUP(X67,$AU$2:$AZ$10,3,FALSE),"")</f>
        <v>1</v>
      </c>
      <c r="AJ67" t="b">
        <f>IF($R67,W67=VLOOKUP(W67,$AU$2:$AZ$10,4,FALSE),"")</f>
        <v>1</v>
      </c>
      <c r="AK67" t="b">
        <f>IF($R67,X67=VLOOKUP(X67,$AU$2:$AZ$10,4,FALSE),"")</f>
        <v>1</v>
      </c>
      <c r="AL67" t="b">
        <f>IF($R67,Y67=VLOOKUP(Y67,$AU$2:$AZ$10,4,FALSE),"")</f>
        <v>1</v>
      </c>
      <c r="AM67" t="b">
        <f>IF($R67,Z67=VLOOKUP(Z67,$AU$2:$AZ$10,4,FALSE),"")</f>
        <v>1</v>
      </c>
      <c r="AN67" t="b">
        <f>IF($R67,W67=VLOOKUP(W67,$AU$2:$AZ$10,5,FALSE),"")</f>
        <v>1</v>
      </c>
      <c r="AO67" t="b">
        <f>IF($R67,X67=VLOOKUP(X67,$AU$2:$AZ$10,5,FALSE),"")</f>
        <v>1</v>
      </c>
      <c r="AP67" t="b">
        <f>IF($R67,Y67=VLOOKUP(Y67,$AU$2:$AZ$10,6,FALSE),"")</f>
        <v>1</v>
      </c>
      <c r="AQ67" t="b">
        <f>IF($R67,Z67=VLOOKUP(Z67,$AU$2:$AZ$10,6,FALSE),"")</f>
        <v>1</v>
      </c>
      <c r="AR67" t="b">
        <f t="shared" ref="AR67:AR130" si="22">IF($R67,C67=M67,"")</f>
        <v>0</v>
      </c>
      <c r="AS67" t="b">
        <f t="shared" ref="AS67:AS130" si="23">IF($R67,C67=O67,"")</f>
        <v>0</v>
      </c>
      <c r="BD67" s="59" t="str">
        <f t="shared" ref="BD67:BD130" si="24">IF($R67,"    { wxString::FromUTF8(""" &amp; $U67 &amp; """), " &amp; _xlfn.TEXTJOIN(", ", TRUE, BM67:BR67) &amp; ", " &amp; $AU$1 &amp; _xlfn.TEXTJOIN(", " &amp; $AU$1, TRUE, $W67:$Z67) &amp; ", " &amp; _xlfn.TEXTJOIN(", ", TRUE, BT67:BY67) &amp; " },","")</f>
        <v xml:space="preserve">    { wxString::FromUTF8("\x61"), &amp;AllGlyphs[87], &amp;AllGlyphs[68], &amp;AllGlyphs[65], &amp;AllGlyphs[68], &amp;AllGlyphs[88], &amp;AllGlyphs[87], Connection::DIAG_BOTH, Connection::DIAG_BOTH, Connection::EMPTY, Connection::DIAG_BOTH, 0, 0, 1, 0, 0, 0 },</v>
      </c>
      <c r="BE67" s="60"/>
      <c r="BF67" s="60"/>
      <c r="BG67" s="60"/>
      <c r="BH67" s="60"/>
      <c r="BI67" s="60"/>
      <c r="BJ67" s="60"/>
      <c r="BK67" s="61"/>
      <c r="BM67" s="54" t="str">
        <f>IF($R67,"&amp;AllGlyphs[" &amp; E67 &amp; "]","")</f>
        <v>&amp;AllGlyphs[87]</v>
      </c>
      <c r="BN67" s="54" t="str">
        <f>IF($R67,"&amp;AllGlyphs[" &amp; G67 &amp; "]","")</f>
        <v>&amp;AllGlyphs[68]</v>
      </c>
      <c r="BO67" s="54" t="str">
        <f>IF($R67,"&amp;AllGlyphs[" &amp; I67 &amp; "]","")</f>
        <v>&amp;AllGlyphs[65]</v>
      </c>
      <c r="BP67" s="54" t="str">
        <f>IF($R67,"&amp;AllGlyphs[" &amp; K67 &amp; "]","")</f>
        <v>&amp;AllGlyphs[68]</v>
      </c>
      <c r="BQ67" s="54" t="str">
        <f>IF($R67,"&amp;AllGlyphs[" &amp; M67 &amp; "]","")</f>
        <v>&amp;AllGlyphs[88]</v>
      </c>
      <c r="BR67" s="54" t="str">
        <f>IF($R67,"&amp;AllGlyphs[" &amp; O67 &amp; "]","")</f>
        <v>&amp;AllGlyphs[87]</v>
      </c>
      <c r="BT67" s="58">
        <f>IF($R67,IF(AB67,1,0),"")</f>
        <v>0</v>
      </c>
      <c r="BU67" s="58">
        <f>IF($R67,IF(AC67,1,0),"")</f>
        <v>0</v>
      </c>
      <c r="BV67" s="58">
        <f>IF($R67,IF(AD67,1,0),"")</f>
        <v>1</v>
      </c>
      <c r="BW67" s="58">
        <f>IF($R67,IF(AE67,1,0),"")</f>
        <v>0</v>
      </c>
      <c r="BX67" s="58">
        <f>IF($R67,IF(AR67,1,0),"")</f>
        <v>0</v>
      </c>
      <c r="BY67" s="58">
        <f>IF($R67,IF(AS67,1,0),"")</f>
        <v>0</v>
      </c>
    </row>
    <row r="68" spans="1:77" x14ac:dyDescent="0.4">
      <c r="A68" s="7" t="s">
        <v>23</v>
      </c>
      <c r="B68" s="6" t="str">
        <f t="shared" si="15"/>
        <v>b</v>
      </c>
      <c r="C68" s="48" cm="1">
        <f t="array" ref="C68">IF($R68,INDEX($S:$S,MATCH(TRUE,EXACT(B68,$A:$A),0)),"")</f>
        <v>66</v>
      </c>
      <c r="D68" s="38">
        <v>6</v>
      </c>
      <c r="E68" s="48" cm="1">
        <f t="array" ref="E68">IF($R68,INDEX($S:$S,MATCH(TRUE,EXACT(D68,$A:$A),0)),"")</f>
        <v>22</v>
      </c>
      <c r="F68" s="38" t="s">
        <v>24</v>
      </c>
      <c r="G68" s="48" cm="1">
        <f t="array" ref="G68">IF($S68&lt;&gt;"",INDEX($S:$S,MATCH(TRUE,EXACT(F68,$A:$A),0)),"")</f>
        <v>78</v>
      </c>
      <c r="H68" s="38" t="s">
        <v>23</v>
      </c>
      <c r="I68" s="48" cm="1">
        <f t="array" ref="I68">IF($R68,INDEX($S:$S,MATCH(TRUE,EXACT(H68,$A:$A),0)),"")</f>
        <v>66</v>
      </c>
      <c r="J68" s="38" t="s">
        <v>24</v>
      </c>
      <c r="K68" s="52" cm="1">
        <f t="array" ref="K68">IF($R68,INDEX($S:$S,MATCH(TRUE,EXACT(J68,$A:$A),0)),"")</f>
        <v>78</v>
      </c>
      <c r="L68" s="38" t="str" cm="1">
        <f t="array" ref="L68">IF($R68,INDEX($T:$T,MATCH(TRUE,EXACT(H68,$D:$D),0)),"")</f>
        <v>y</v>
      </c>
      <c r="M68" s="48" cm="1">
        <f t="array" ref="M68">IF($R68,INDEX($S:$S,MATCH(TRUE,EXACT(L68,$A:$A),0)),"")</f>
        <v>89</v>
      </c>
      <c r="N68" s="38" cm="1">
        <f t="array" ref="N68">IF($R68,INDEX($T:$T,MATCH(TRUE,EXACT(J68,$D:$D),0)),"")</f>
        <v>6</v>
      </c>
      <c r="O68" s="52" cm="1">
        <f t="array" ref="O68">IF($R68,INDEX($S:$S,MATCH(TRUE,EXACT(N68,$A:$A),0)),"")</f>
        <v>22</v>
      </c>
      <c r="P68" s="23"/>
      <c r="Q68" s="33"/>
      <c r="R68" s="18" t="b">
        <f t="shared" si="16"/>
        <v>1</v>
      </c>
      <c r="S68" s="19">
        <f>IF(R68, MAX(S$2:S67)+1,"")</f>
        <v>66</v>
      </c>
      <c r="T68" s="23" t="str">
        <f t="shared" si="17"/>
        <v>b</v>
      </c>
      <c r="U68" s="8" t="str" cm="1">
        <f t="array" ref="U68">CharToUTF8(A68)</f>
        <v>\x62</v>
      </c>
      <c r="W68" s="18" t="str">
        <f t="shared" si="14"/>
        <v>DIAG_BOTH</v>
      </c>
      <c r="X68" s="24" t="str">
        <f>$AU$3</f>
        <v>DIAG_BOTH</v>
      </c>
      <c r="Y68" s="24" t="str">
        <f>$AU$2</f>
        <v>EMPTY</v>
      </c>
      <c r="Z68" s="21" t="str">
        <f>$AU$4</f>
        <v>ORTHO_BOTH</v>
      </c>
      <c r="AB68" s="31" t="b">
        <f t="shared" si="18"/>
        <v>0</v>
      </c>
      <c r="AC68" s="31" t="b">
        <f t="shared" si="19"/>
        <v>0</v>
      </c>
      <c r="AD68" t="b">
        <f t="shared" si="20"/>
        <v>1</v>
      </c>
      <c r="AE68" t="b">
        <f t="shared" si="21"/>
        <v>0</v>
      </c>
      <c r="AF68" t="b">
        <f>IF($R68,W68=VLOOKUP(Z68,$AU$2:$AZ$10,3,FALSE),"")</f>
        <v>0</v>
      </c>
      <c r="AG68" t="b">
        <f>IF($R68,X68=VLOOKUP(Y68,$AU$2:$AZ$10,3,FALSE),"")</f>
        <v>0</v>
      </c>
      <c r="AH68" t="b">
        <f>IF($R68,Y68=VLOOKUP(W68,$AU$2:$AZ$10,3,FALSE),"")</f>
        <v>0</v>
      </c>
      <c r="AI68" t="b">
        <f>IF($R68,Z68=VLOOKUP(X68,$AU$2:$AZ$10,3,FALSE),"")</f>
        <v>0</v>
      </c>
      <c r="AJ68" t="b">
        <f>IF($R68,W68=VLOOKUP(W68,$AU$2:$AZ$10,4,FALSE),"")</f>
        <v>1</v>
      </c>
      <c r="AK68" t="b">
        <f>IF($R68,X68=VLOOKUP(X68,$AU$2:$AZ$10,4,FALSE),"")</f>
        <v>1</v>
      </c>
      <c r="AL68" t="b">
        <f>IF($R68,Y68=VLOOKUP(Y68,$AU$2:$AZ$10,4,FALSE),"")</f>
        <v>1</v>
      </c>
      <c r="AM68" t="b">
        <f>IF($R68,Z68=VLOOKUP(Z68,$AU$2:$AZ$10,4,FALSE),"")</f>
        <v>1</v>
      </c>
      <c r="AN68" t="b">
        <f>IF($R68,W68=VLOOKUP(W68,$AU$2:$AZ$10,5,FALSE),"")</f>
        <v>1</v>
      </c>
      <c r="AO68" t="b">
        <f>IF($R68,X68=VLOOKUP(X68,$AU$2:$AZ$10,5,FALSE),"")</f>
        <v>1</v>
      </c>
      <c r="AP68" t="b">
        <f>IF($R68,Y68=VLOOKUP(Y68,$AU$2:$AZ$10,6,FALSE),"")</f>
        <v>1</v>
      </c>
      <c r="AQ68" t="b">
        <f>IF($R68,Z68=VLOOKUP(Z68,$AU$2:$AZ$10,6,FALSE),"")</f>
        <v>1</v>
      </c>
      <c r="AR68" t="b">
        <f t="shared" si="22"/>
        <v>0</v>
      </c>
      <c r="AS68" t="b">
        <f t="shared" si="23"/>
        <v>0</v>
      </c>
      <c r="BD68" s="59" t="str">
        <f t="shared" si="24"/>
        <v xml:space="preserve">    { wxString::FromUTF8("\x62"), &amp;AllGlyphs[22], &amp;AllGlyphs[78], &amp;AllGlyphs[66], &amp;AllGlyphs[78], &amp;AllGlyphs[89], &amp;AllGlyphs[22], Connection::DIAG_BOTH, Connection::DIAG_BOTH, Connection::EMPTY, Connection::ORTHO_BOTH, 0, 0, 1, 0, 0, 0 },</v>
      </c>
      <c r="BE68" s="60"/>
      <c r="BF68" s="60"/>
      <c r="BG68" s="60"/>
      <c r="BH68" s="60"/>
      <c r="BI68" s="60"/>
      <c r="BJ68" s="60"/>
      <c r="BK68" s="61"/>
      <c r="BM68" s="54" t="str">
        <f>IF($R68,"&amp;AllGlyphs[" &amp; E68 &amp; "]","")</f>
        <v>&amp;AllGlyphs[22]</v>
      </c>
      <c r="BN68" s="54" t="str">
        <f>IF($R68,"&amp;AllGlyphs[" &amp; G68 &amp; "]","")</f>
        <v>&amp;AllGlyphs[78]</v>
      </c>
      <c r="BO68" s="54" t="str">
        <f>IF($R68,"&amp;AllGlyphs[" &amp; I68 &amp; "]","")</f>
        <v>&amp;AllGlyphs[66]</v>
      </c>
      <c r="BP68" s="54" t="str">
        <f>IF($R68,"&amp;AllGlyphs[" &amp; K68 &amp; "]","")</f>
        <v>&amp;AllGlyphs[78]</v>
      </c>
      <c r="BQ68" s="54" t="str">
        <f>IF($R68,"&amp;AllGlyphs[" &amp; M68 &amp; "]","")</f>
        <v>&amp;AllGlyphs[89]</v>
      </c>
      <c r="BR68" s="54" t="str">
        <f>IF($R68,"&amp;AllGlyphs[" &amp; O68 &amp; "]","")</f>
        <v>&amp;AllGlyphs[22]</v>
      </c>
      <c r="BT68" s="58">
        <f>IF($R68,IF(AB68,1,0),"")</f>
        <v>0</v>
      </c>
      <c r="BU68" s="58">
        <f>IF($R68,IF(AC68,1,0),"")</f>
        <v>0</v>
      </c>
      <c r="BV68" s="58">
        <f>IF($R68,IF(AD68,1,0),"")</f>
        <v>1</v>
      </c>
      <c r="BW68" s="58">
        <f>IF($R68,IF(AE68,1,0),"")</f>
        <v>0</v>
      </c>
      <c r="BX68" s="58">
        <f>IF($R68,IF(AR68,1,0),"")</f>
        <v>0</v>
      </c>
      <c r="BY68" s="58">
        <f>IF($R68,IF(AS68,1,0),"")</f>
        <v>0</v>
      </c>
    </row>
    <row r="69" spans="1:77" x14ac:dyDescent="0.4">
      <c r="A69" s="7" t="s">
        <v>21</v>
      </c>
      <c r="B69" s="6" t="str">
        <f t="shared" si="15"/>
        <v>c</v>
      </c>
      <c r="C69" s="48" cm="1">
        <f t="array" ref="C69">IF($R69,INDEX($S:$S,MATCH(TRUE,EXACT(B69,$A:$A),0)),"")</f>
        <v>67</v>
      </c>
      <c r="D69" s="38" t="s">
        <v>19</v>
      </c>
      <c r="E69" s="48" cm="1">
        <f t="array" ref="E69">IF($R69,INDEX($S:$S,MATCH(TRUE,EXACT(D69,$A:$A),0)),"")</f>
        <v>90</v>
      </c>
      <c r="F69" s="38" t="s">
        <v>0</v>
      </c>
      <c r="G69" s="48" cm="1">
        <f t="array" ref="G69">IF($S69&lt;&gt;"",INDEX($S:$S,MATCH(TRUE,EXACT(F69,$A:$A),0)),"")</f>
        <v>81</v>
      </c>
      <c r="H69" s="38" t="s">
        <v>2</v>
      </c>
      <c r="I69" s="48" cm="1">
        <f t="array" ref="I69">IF($R69,INDEX($S:$S,MATCH(TRUE,EXACT(H69,$A:$A),0)),"")</f>
        <v>69</v>
      </c>
      <c r="J69" s="38" t="s">
        <v>19</v>
      </c>
      <c r="K69" s="52" cm="1">
        <f t="array" ref="K69">IF($R69,INDEX($S:$S,MATCH(TRUE,EXACT(J69,$A:$A),0)),"")</f>
        <v>90</v>
      </c>
      <c r="L69" s="38" t="str" cm="1">
        <f t="array" ref="L69">IF($R69,INDEX($T:$T,MATCH(TRUE,EXACT(H69,$D:$D),0)),"")</f>
        <v>q</v>
      </c>
      <c r="M69" s="48" cm="1">
        <f t="array" ref="M69">IF($R69,INDEX($S:$S,MATCH(TRUE,EXACT(L69,$A:$A),0)),"")</f>
        <v>81</v>
      </c>
      <c r="N69" s="38" t="str" cm="1">
        <f t="array" ref="N69">IF($R69,INDEX($T:$T,MATCH(TRUE,EXACT(J69,$D:$D),0)),"")</f>
        <v>c</v>
      </c>
      <c r="O69" s="52" cm="1">
        <f t="array" ref="O69">IF($R69,INDEX($S:$S,MATCH(TRUE,EXACT(N69,$A:$A),0)),"")</f>
        <v>67</v>
      </c>
      <c r="P69" s="23"/>
      <c r="Q69" s="33"/>
      <c r="R69" s="18" t="b">
        <f t="shared" si="16"/>
        <v>1</v>
      </c>
      <c r="S69" s="19">
        <f>IF(R69, MAX(S$2:S68)+1,"")</f>
        <v>67</v>
      </c>
      <c r="T69" s="23" t="str">
        <f t="shared" si="17"/>
        <v>c</v>
      </c>
      <c r="U69" s="8" t="str" cm="1">
        <f t="array" ref="U69">CharToUTF8(A69)</f>
        <v>\x63</v>
      </c>
      <c r="W69" s="18" t="str">
        <f t="shared" si="14"/>
        <v>DIAG_BOTH</v>
      </c>
      <c r="X69" s="24" t="str">
        <f>$AU$2</f>
        <v>EMPTY</v>
      </c>
      <c r="Y69" s="24" t="str">
        <f>$AU$3</f>
        <v>DIAG_BOTH</v>
      </c>
      <c r="Z69" s="21" t="str">
        <f>$AU$2</f>
        <v>EMPTY</v>
      </c>
      <c r="AB69" s="31" t="b">
        <f t="shared" si="18"/>
        <v>0</v>
      </c>
      <c r="AC69" s="31" t="b">
        <f t="shared" si="19"/>
        <v>0</v>
      </c>
      <c r="AD69" t="b">
        <f t="shared" si="20"/>
        <v>0</v>
      </c>
      <c r="AE69" t="b">
        <f t="shared" si="21"/>
        <v>0</v>
      </c>
      <c r="AF69" t="b">
        <f>IF($R69,W69=VLOOKUP(Z69,$AU$2:$AZ$10,3,FALSE),"")</f>
        <v>0</v>
      </c>
      <c r="AG69" t="b">
        <f>IF($R69,X69=VLOOKUP(Y69,$AU$2:$AZ$10,3,FALSE),"")</f>
        <v>0</v>
      </c>
      <c r="AH69" t="b">
        <f>IF($R69,Y69=VLOOKUP(W69,$AU$2:$AZ$10,3,FALSE),"")</f>
        <v>1</v>
      </c>
      <c r="AI69" t="b">
        <f>IF($R69,Z69=VLOOKUP(X69,$AU$2:$AZ$10,3,FALSE),"")</f>
        <v>1</v>
      </c>
      <c r="AJ69" t="b">
        <f>IF($R69,W69=VLOOKUP(W69,$AU$2:$AZ$10,4,FALSE),"")</f>
        <v>1</v>
      </c>
      <c r="AK69" t="b">
        <f>IF($R69,X69=VLOOKUP(X69,$AU$2:$AZ$10,4,FALSE),"")</f>
        <v>1</v>
      </c>
      <c r="AL69" t="b">
        <f>IF($R69,Y69=VLOOKUP(Y69,$AU$2:$AZ$10,4,FALSE),"")</f>
        <v>1</v>
      </c>
      <c r="AM69" t="b">
        <f>IF($R69,Z69=VLOOKUP(Z69,$AU$2:$AZ$10,4,FALSE),"")</f>
        <v>1</v>
      </c>
      <c r="AN69" t="b">
        <f>IF($R69,W69=VLOOKUP(W69,$AU$2:$AZ$10,5,FALSE),"")</f>
        <v>1</v>
      </c>
      <c r="AO69" t="b">
        <f>IF($R69,X69=VLOOKUP(X69,$AU$2:$AZ$10,5,FALSE),"")</f>
        <v>1</v>
      </c>
      <c r="AP69" t="b">
        <f>IF($R69,Y69=VLOOKUP(Y69,$AU$2:$AZ$10,6,FALSE),"")</f>
        <v>1</v>
      </c>
      <c r="AQ69" t="b">
        <f>IF($R69,Z69=VLOOKUP(Z69,$AU$2:$AZ$10,6,FALSE),"")</f>
        <v>1</v>
      </c>
      <c r="AR69" t="b">
        <f t="shared" si="22"/>
        <v>0</v>
      </c>
      <c r="AS69" t="b">
        <f t="shared" si="23"/>
        <v>1</v>
      </c>
      <c r="BD69" s="59" t="str">
        <f t="shared" si="24"/>
        <v xml:space="preserve">    { wxString::FromUTF8("\x63"), &amp;AllGlyphs[90], &amp;AllGlyphs[81], &amp;AllGlyphs[69], &amp;AllGlyphs[90], &amp;AllGlyphs[81], &amp;AllGlyphs[67], Connection::DIAG_BOTH, Connection::EMPTY, Connection::DIAG_BOTH, Connection::EMPTY, 0, 0, 0, 0, 0, 1 },</v>
      </c>
      <c r="BE69" s="60"/>
      <c r="BF69" s="60"/>
      <c r="BG69" s="60"/>
      <c r="BH69" s="60"/>
      <c r="BI69" s="60"/>
      <c r="BJ69" s="60"/>
      <c r="BK69" s="61"/>
      <c r="BM69" s="54" t="str">
        <f>IF($R69,"&amp;AllGlyphs[" &amp; E69 &amp; "]","")</f>
        <v>&amp;AllGlyphs[90]</v>
      </c>
      <c r="BN69" s="54" t="str">
        <f>IF($R69,"&amp;AllGlyphs[" &amp; G69 &amp; "]","")</f>
        <v>&amp;AllGlyphs[81]</v>
      </c>
      <c r="BO69" s="54" t="str">
        <f>IF($R69,"&amp;AllGlyphs[" &amp; I69 &amp; "]","")</f>
        <v>&amp;AllGlyphs[69]</v>
      </c>
      <c r="BP69" s="54" t="str">
        <f>IF($R69,"&amp;AllGlyphs[" &amp; K69 &amp; "]","")</f>
        <v>&amp;AllGlyphs[90]</v>
      </c>
      <c r="BQ69" s="54" t="str">
        <f>IF($R69,"&amp;AllGlyphs[" &amp; M69 &amp; "]","")</f>
        <v>&amp;AllGlyphs[81]</v>
      </c>
      <c r="BR69" s="54" t="str">
        <f>IF($R69,"&amp;AllGlyphs[" &amp; O69 &amp; "]","")</f>
        <v>&amp;AllGlyphs[67]</v>
      </c>
      <c r="BT69" s="58">
        <f>IF($R69,IF(AB69,1,0),"")</f>
        <v>0</v>
      </c>
      <c r="BU69" s="58">
        <f>IF($R69,IF(AC69,1,0),"")</f>
        <v>0</v>
      </c>
      <c r="BV69" s="58">
        <f>IF($R69,IF(AD69,1,0),"")</f>
        <v>0</v>
      </c>
      <c r="BW69" s="58">
        <f>IF($R69,IF(AE69,1,0),"")</f>
        <v>0</v>
      </c>
      <c r="BX69" s="58">
        <f>IF($R69,IF(AR69,1,0),"")</f>
        <v>0</v>
      </c>
      <c r="BY69" s="58">
        <f>IF($R69,IF(AS69,1,0),"")</f>
        <v>1</v>
      </c>
    </row>
    <row r="70" spans="1:77" x14ac:dyDescent="0.4">
      <c r="A70" s="7" t="s">
        <v>12</v>
      </c>
      <c r="B70" s="6" t="str">
        <f t="shared" si="15"/>
        <v>d</v>
      </c>
      <c r="C70" s="48" cm="1">
        <f t="array" ref="C70">IF($R70,INDEX($S:$S,MATCH(TRUE,EXACT(B70,$A:$A),0)),"")</f>
        <v>68</v>
      </c>
      <c r="D70" s="38" t="s">
        <v>20</v>
      </c>
      <c r="E70" s="48" cm="1">
        <f t="array" ref="E70">IF($R70,INDEX($S:$S,MATCH(TRUE,EXACT(D70,$A:$A),0)),"")</f>
        <v>88</v>
      </c>
      <c r="F70" s="38" t="s">
        <v>10</v>
      </c>
      <c r="G70" s="48" cm="1">
        <f t="array" ref="G70">IF($S70&lt;&gt;"",INDEX($S:$S,MATCH(TRUE,EXACT(F70,$A:$A),0)),"")</f>
        <v>65</v>
      </c>
      <c r="H70" s="38" t="s">
        <v>12</v>
      </c>
      <c r="I70" s="48" cm="1">
        <f t="array" ref="I70">IF($R70,INDEX($S:$S,MATCH(TRUE,EXACT(H70,$A:$A),0)),"")</f>
        <v>68</v>
      </c>
      <c r="J70" s="38" t="s">
        <v>10</v>
      </c>
      <c r="K70" s="52" cm="1">
        <f t="array" ref="K70">IF($R70,INDEX($S:$S,MATCH(TRUE,EXACT(J70,$A:$A),0)),"")</f>
        <v>65</v>
      </c>
      <c r="L70" s="38" t="str" cm="1">
        <f t="array" ref="L70">IF($R70,INDEX($T:$T,MATCH(TRUE,EXACT(H70,$D:$D),0)),"")</f>
        <v>w</v>
      </c>
      <c r="M70" s="48" cm="1">
        <f t="array" ref="M70">IF($R70,INDEX($S:$S,MATCH(TRUE,EXACT(L70,$A:$A),0)),"")</f>
        <v>87</v>
      </c>
      <c r="N70" s="38" t="str" cm="1">
        <f t="array" ref="N70">IF($R70,INDEX($T:$T,MATCH(TRUE,EXACT(J70,$D:$D),0)),"")</f>
        <v>x</v>
      </c>
      <c r="O70" s="52" cm="1">
        <f t="array" ref="O70">IF($R70,INDEX($S:$S,MATCH(TRUE,EXACT(N70,$A:$A),0)),"")</f>
        <v>88</v>
      </c>
      <c r="P70" s="23"/>
      <c r="Q70" s="33"/>
      <c r="R70" s="18" t="b">
        <f t="shared" si="16"/>
        <v>1</v>
      </c>
      <c r="S70" s="19">
        <f>IF(R70, MAX(S$2:S69)+1,"")</f>
        <v>68</v>
      </c>
      <c r="T70" s="23" t="str">
        <f t="shared" si="17"/>
        <v>d</v>
      </c>
      <c r="U70" s="8" t="str" cm="1">
        <f t="array" ref="U70">CharToUTF8(A70)</f>
        <v>\x64</v>
      </c>
      <c r="W70" s="18" t="str">
        <f t="shared" si="14"/>
        <v>DIAG_BOTH</v>
      </c>
      <c r="X70" s="24" t="str">
        <f>$AU$3</f>
        <v>DIAG_BOTH</v>
      </c>
      <c r="Y70" s="24" t="str">
        <f>$AU$3</f>
        <v>DIAG_BOTH</v>
      </c>
      <c r="Z70" s="21" t="str">
        <f>$AU$2</f>
        <v>EMPTY</v>
      </c>
      <c r="AB70" s="31" t="b">
        <f t="shared" si="18"/>
        <v>0</v>
      </c>
      <c r="AC70" s="31" t="b">
        <f t="shared" si="19"/>
        <v>0</v>
      </c>
      <c r="AD70" t="b">
        <f t="shared" si="20"/>
        <v>1</v>
      </c>
      <c r="AE70" t="b">
        <f t="shared" si="21"/>
        <v>0</v>
      </c>
      <c r="AF70" t="b">
        <f>IF($R70,W70=VLOOKUP(Z70,$AU$2:$AZ$10,3,FALSE),"")</f>
        <v>0</v>
      </c>
      <c r="AG70" t="b">
        <f>IF($R70,X70=VLOOKUP(Y70,$AU$2:$AZ$10,3,FALSE),"")</f>
        <v>1</v>
      </c>
      <c r="AH70" t="b">
        <f>IF($R70,Y70=VLOOKUP(W70,$AU$2:$AZ$10,3,FALSE),"")</f>
        <v>1</v>
      </c>
      <c r="AI70" t="b">
        <f>IF($R70,Z70=VLOOKUP(X70,$AU$2:$AZ$10,3,FALSE),"")</f>
        <v>0</v>
      </c>
      <c r="AJ70" t="b">
        <f>IF($R70,W70=VLOOKUP(W70,$AU$2:$AZ$10,4,FALSE),"")</f>
        <v>1</v>
      </c>
      <c r="AK70" t="b">
        <f>IF($R70,X70=VLOOKUP(X70,$AU$2:$AZ$10,4,FALSE),"")</f>
        <v>1</v>
      </c>
      <c r="AL70" t="b">
        <f>IF($R70,Y70=VLOOKUP(Y70,$AU$2:$AZ$10,4,FALSE),"")</f>
        <v>1</v>
      </c>
      <c r="AM70" t="b">
        <f>IF($R70,Z70=VLOOKUP(Z70,$AU$2:$AZ$10,4,FALSE),"")</f>
        <v>1</v>
      </c>
      <c r="AN70" t="b">
        <f>IF($R70,W70=VLOOKUP(W70,$AU$2:$AZ$10,5,FALSE),"")</f>
        <v>1</v>
      </c>
      <c r="AO70" t="b">
        <f>IF($R70,X70=VLOOKUP(X70,$AU$2:$AZ$10,5,FALSE),"")</f>
        <v>1</v>
      </c>
      <c r="AP70" t="b">
        <f>IF($R70,Y70=VLOOKUP(Y70,$AU$2:$AZ$10,6,FALSE),"")</f>
        <v>1</v>
      </c>
      <c r="AQ70" t="b">
        <f>IF($R70,Z70=VLOOKUP(Z70,$AU$2:$AZ$10,6,FALSE),"")</f>
        <v>1</v>
      </c>
      <c r="AR70" t="b">
        <f t="shared" si="22"/>
        <v>0</v>
      </c>
      <c r="AS70" t="b">
        <f t="shared" si="23"/>
        <v>0</v>
      </c>
      <c r="BD70" s="59" t="str">
        <f t="shared" si="24"/>
        <v xml:space="preserve">    { wxString::FromUTF8("\x64"), &amp;AllGlyphs[88], &amp;AllGlyphs[65], &amp;AllGlyphs[68], &amp;AllGlyphs[65], &amp;AllGlyphs[87], &amp;AllGlyphs[88], Connection::DIAG_BOTH, Connection::DIAG_BOTH, Connection::DIAG_BOTH, Connection::EMPTY, 0, 0, 1, 0, 0, 0 },</v>
      </c>
      <c r="BE70" s="60"/>
      <c r="BF70" s="60"/>
      <c r="BG70" s="60"/>
      <c r="BH70" s="60"/>
      <c r="BI70" s="60"/>
      <c r="BJ70" s="60"/>
      <c r="BK70" s="61"/>
      <c r="BM70" s="54" t="str">
        <f>IF($R70,"&amp;AllGlyphs[" &amp; E70 &amp; "]","")</f>
        <v>&amp;AllGlyphs[88]</v>
      </c>
      <c r="BN70" s="54" t="str">
        <f>IF($R70,"&amp;AllGlyphs[" &amp; G70 &amp; "]","")</f>
        <v>&amp;AllGlyphs[65]</v>
      </c>
      <c r="BO70" s="54" t="str">
        <f>IF($R70,"&amp;AllGlyphs[" &amp; I70 &amp; "]","")</f>
        <v>&amp;AllGlyphs[68]</v>
      </c>
      <c r="BP70" s="54" t="str">
        <f>IF($R70,"&amp;AllGlyphs[" &amp; K70 &amp; "]","")</f>
        <v>&amp;AllGlyphs[65]</v>
      </c>
      <c r="BQ70" s="54" t="str">
        <f>IF($R70,"&amp;AllGlyphs[" &amp; M70 &amp; "]","")</f>
        <v>&amp;AllGlyphs[87]</v>
      </c>
      <c r="BR70" s="54" t="str">
        <f>IF($R70,"&amp;AllGlyphs[" &amp; O70 &amp; "]","")</f>
        <v>&amp;AllGlyphs[88]</v>
      </c>
      <c r="BT70" s="58">
        <f>IF($R70,IF(AB70,1,0),"")</f>
        <v>0</v>
      </c>
      <c r="BU70" s="58">
        <f>IF($R70,IF(AC70,1,0),"")</f>
        <v>0</v>
      </c>
      <c r="BV70" s="58">
        <f>IF($R70,IF(AD70,1,0),"")</f>
        <v>1</v>
      </c>
      <c r="BW70" s="58">
        <f>IF($R70,IF(AE70,1,0),"")</f>
        <v>0</v>
      </c>
      <c r="BX70" s="58">
        <f>IF($R70,IF(AR70,1,0),"")</f>
        <v>0</v>
      </c>
      <c r="BY70" s="58">
        <f>IF($R70,IF(AS70,1,0),"")</f>
        <v>0</v>
      </c>
    </row>
    <row r="71" spans="1:77" x14ac:dyDescent="0.4">
      <c r="A71" s="7" t="s">
        <v>2</v>
      </c>
      <c r="B71" s="6" t="str">
        <f t="shared" si="15"/>
        <v>e</v>
      </c>
      <c r="C71" s="48" cm="1">
        <f t="array" ref="C71">IF($R71,INDEX($S:$S,MATCH(TRUE,EXACT(B71,$A:$A),0)),"")</f>
        <v>69</v>
      </c>
      <c r="D71" s="38" t="s">
        <v>21</v>
      </c>
      <c r="E71" s="48" cm="1">
        <f t="array" ref="E71">IF($R71,INDEX($S:$S,MATCH(TRUE,EXACT(D71,$A:$A),0)),"")</f>
        <v>67</v>
      </c>
      <c r="F71" s="38" t="s">
        <v>19</v>
      </c>
      <c r="G71" s="48" cm="1">
        <f t="array" ref="G71">IF($S71&lt;&gt;"",INDEX($S:$S,MATCH(TRUE,EXACT(F71,$A:$A),0)),"")</f>
        <v>90</v>
      </c>
      <c r="H71" s="38" t="s">
        <v>21</v>
      </c>
      <c r="I71" s="48" cm="1">
        <f t="array" ref="I71">IF($R71,INDEX($S:$S,MATCH(TRUE,EXACT(H71,$A:$A),0)),"")</f>
        <v>67</v>
      </c>
      <c r="J71" s="38" t="s">
        <v>0</v>
      </c>
      <c r="K71" s="52" cm="1">
        <f t="array" ref="K71">IF($R71,INDEX($S:$S,MATCH(TRUE,EXACT(J71,$A:$A),0)),"")</f>
        <v>81</v>
      </c>
      <c r="L71" s="38" t="str" cm="1">
        <f t="array" ref="L71">IF($R71,INDEX($T:$T,MATCH(TRUE,EXACT(H71,$D:$D),0)),"")</f>
        <v>e</v>
      </c>
      <c r="M71" s="48" cm="1">
        <f t="array" ref="M71">IF($R71,INDEX($S:$S,MATCH(TRUE,EXACT(L71,$A:$A),0)),"")</f>
        <v>69</v>
      </c>
      <c r="N71" s="38" t="str" cm="1">
        <f t="array" ref="N71">IF($R71,INDEX($T:$T,MATCH(TRUE,EXACT(J71,$D:$D),0)),"")</f>
        <v>z</v>
      </c>
      <c r="O71" s="52" cm="1">
        <f t="array" ref="O71">IF($R71,INDEX($S:$S,MATCH(TRUE,EXACT(N71,$A:$A),0)),"")</f>
        <v>90</v>
      </c>
      <c r="P71" s="23"/>
      <c r="Q71" s="33"/>
      <c r="R71" s="18" t="b">
        <f t="shared" si="16"/>
        <v>1</v>
      </c>
      <c r="S71" s="19">
        <f>IF(R71, MAX(S$2:S70)+1,"")</f>
        <v>69</v>
      </c>
      <c r="T71" s="23" t="str">
        <f t="shared" si="17"/>
        <v>e</v>
      </c>
      <c r="U71" s="8" t="str" cm="1">
        <f t="array" ref="U71">CharToUTF8(A71)</f>
        <v>\x65</v>
      </c>
      <c r="W71" s="18" t="str">
        <f>$AU$2</f>
        <v>EMPTY</v>
      </c>
      <c r="X71" s="24" t="str">
        <f>$AU$3</f>
        <v>DIAG_BOTH</v>
      </c>
      <c r="Y71" s="24" t="str">
        <f>$AU$3</f>
        <v>DIAG_BOTH</v>
      </c>
      <c r="Z71" s="21" t="str">
        <f>$AU$2</f>
        <v>EMPTY</v>
      </c>
      <c r="AB71" s="31" t="b">
        <f t="shared" si="18"/>
        <v>0</v>
      </c>
      <c r="AC71" s="31" t="b">
        <f t="shared" si="19"/>
        <v>0</v>
      </c>
      <c r="AD71" t="b">
        <f t="shared" si="20"/>
        <v>0</v>
      </c>
      <c r="AE71" t="b">
        <f t="shared" si="21"/>
        <v>0</v>
      </c>
      <c r="AF71" t="b">
        <f>IF($R71,W71=VLOOKUP(Z71,$AU$2:$AZ$10,3,FALSE),"")</f>
        <v>1</v>
      </c>
      <c r="AG71" t="b">
        <f>IF($R71,X71=VLOOKUP(Y71,$AU$2:$AZ$10,3,FALSE),"")</f>
        <v>1</v>
      </c>
      <c r="AH71" t="b">
        <f>IF($R71,Y71=VLOOKUP(W71,$AU$2:$AZ$10,3,FALSE),"")</f>
        <v>0</v>
      </c>
      <c r="AI71" t="b">
        <f>IF($R71,Z71=VLOOKUP(X71,$AU$2:$AZ$10,3,FALSE),"")</f>
        <v>0</v>
      </c>
      <c r="AJ71" t="b">
        <f>IF($R71,W71=VLOOKUP(W71,$AU$2:$AZ$10,4,FALSE),"")</f>
        <v>1</v>
      </c>
      <c r="AK71" t="b">
        <f>IF($R71,X71=VLOOKUP(X71,$AU$2:$AZ$10,4,FALSE),"")</f>
        <v>1</v>
      </c>
      <c r="AL71" t="b">
        <f>IF($R71,Y71=VLOOKUP(Y71,$AU$2:$AZ$10,4,FALSE),"")</f>
        <v>1</v>
      </c>
      <c r="AM71" t="b">
        <f>IF($R71,Z71=VLOOKUP(Z71,$AU$2:$AZ$10,4,FALSE),"")</f>
        <v>1</v>
      </c>
      <c r="AN71" t="b">
        <f>IF($R71,W71=VLOOKUP(W71,$AU$2:$AZ$10,5,FALSE),"")</f>
        <v>1</v>
      </c>
      <c r="AO71" t="b">
        <f>IF($R71,X71=VLOOKUP(X71,$AU$2:$AZ$10,5,FALSE),"")</f>
        <v>1</v>
      </c>
      <c r="AP71" t="b">
        <f>IF($R71,Y71=VLOOKUP(Y71,$AU$2:$AZ$10,6,FALSE),"")</f>
        <v>1</v>
      </c>
      <c r="AQ71" t="b">
        <f>IF($R71,Z71=VLOOKUP(Z71,$AU$2:$AZ$10,6,FALSE),"")</f>
        <v>1</v>
      </c>
      <c r="AR71" t="b">
        <f t="shared" si="22"/>
        <v>1</v>
      </c>
      <c r="AS71" t="b">
        <f t="shared" si="23"/>
        <v>0</v>
      </c>
      <c r="BD71" s="59" t="str">
        <f t="shared" si="24"/>
        <v xml:space="preserve">    { wxString::FromUTF8("\x65"), &amp;AllGlyphs[67], &amp;AllGlyphs[90], &amp;AllGlyphs[67], &amp;AllGlyphs[81], &amp;AllGlyphs[69], &amp;AllGlyphs[90], Connection::EMPTY, Connection::DIAG_BOTH, Connection::DIAG_BOTH, Connection::EMPTY, 0, 0, 0, 0, 1, 0 },</v>
      </c>
      <c r="BE71" s="60"/>
      <c r="BF71" s="60"/>
      <c r="BG71" s="60"/>
      <c r="BH71" s="60"/>
      <c r="BI71" s="60"/>
      <c r="BJ71" s="60"/>
      <c r="BK71" s="61"/>
      <c r="BM71" s="54" t="str">
        <f>IF($R71,"&amp;AllGlyphs[" &amp; E71 &amp; "]","")</f>
        <v>&amp;AllGlyphs[67]</v>
      </c>
      <c r="BN71" s="54" t="str">
        <f>IF($R71,"&amp;AllGlyphs[" &amp; G71 &amp; "]","")</f>
        <v>&amp;AllGlyphs[90]</v>
      </c>
      <c r="BO71" s="54" t="str">
        <f>IF($R71,"&amp;AllGlyphs[" &amp; I71 &amp; "]","")</f>
        <v>&amp;AllGlyphs[67]</v>
      </c>
      <c r="BP71" s="54" t="str">
        <f>IF($R71,"&amp;AllGlyphs[" &amp; K71 &amp; "]","")</f>
        <v>&amp;AllGlyphs[81]</v>
      </c>
      <c r="BQ71" s="54" t="str">
        <f>IF($R71,"&amp;AllGlyphs[" &amp; M71 &amp; "]","")</f>
        <v>&amp;AllGlyphs[69]</v>
      </c>
      <c r="BR71" s="54" t="str">
        <f>IF($R71,"&amp;AllGlyphs[" &amp; O71 &amp; "]","")</f>
        <v>&amp;AllGlyphs[90]</v>
      </c>
      <c r="BT71" s="58">
        <f>IF($R71,IF(AB71,1,0),"")</f>
        <v>0</v>
      </c>
      <c r="BU71" s="58">
        <f>IF($R71,IF(AC71,1,0),"")</f>
        <v>0</v>
      </c>
      <c r="BV71" s="58">
        <f>IF($R71,IF(AD71,1,0),"")</f>
        <v>0</v>
      </c>
      <c r="BW71" s="58">
        <f>IF($R71,IF(AE71,1,0),"")</f>
        <v>0</v>
      </c>
      <c r="BX71" s="58">
        <f>IF($R71,IF(AR71,1,0),"")</f>
        <v>1</v>
      </c>
      <c r="BY71" s="58">
        <f>IF($R71,IF(AS71,1,0),"")</f>
        <v>0</v>
      </c>
    </row>
    <row r="72" spans="1:77" x14ac:dyDescent="0.4">
      <c r="A72" s="7" t="s">
        <v>13</v>
      </c>
      <c r="B72" s="6" t="str">
        <f t="shared" si="15"/>
        <v>f</v>
      </c>
      <c r="C72" s="48" cm="1">
        <f t="array" ref="C72">IF($R72,INDEX($S:$S,MATCH(TRUE,EXACT(B72,$A:$A),0)),"")</f>
        <v>70</v>
      </c>
      <c r="D72" s="38">
        <v>4</v>
      </c>
      <c r="E72" s="48" cm="1">
        <f t="array" ref="E72">IF($R72,INDEX($S:$S,MATCH(TRUE,EXACT(D72,$A:$A),0)),"")</f>
        <v>20</v>
      </c>
      <c r="F72" s="38" t="s">
        <v>22</v>
      </c>
      <c r="G72" s="48" cm="1">
        <f t="array" ref="G72">IF($S72&lt;&gt;"",INDEX($S:$S,MATCH(TRUE,EXACT(F72,$A:$A),0)),"")</f>
        <v>86</v>
      </c>
      <c r="H72" s="38" t="s">
        <v>13</v>
      </c>
      <c r="I72" s="48" cm="1">
        <f t="array" ref="I72">IF($R72,INDEX($S:$S,MATCH(TRUE,EXACT(H72,$A:$A),0)),"")</f>
        <v>70</v>
      </c>
      <c r="J72" s="38" t="s">
        <v>22</v>
      </c>
      <c r="K72" s="52" cm="1">
        <f t="array" ref="K72">IF($R72,INDEX($S:$S,MATCH(TRUE,EXACT(J72,$A:$A),0)),"")</f>
        <v>86</v>
      </c>
      <c r="L72" s="38" t="str" cm="1">
        <f t="array" ref="L72">IF($R72,INDEX($T:$T,MATCH(TRUE,EXACT(H72,$D:$D),0)),"")</f>
        <v>r</v>
      </c>
      <c r="M72" s="48" cm="1">
        <f t="array" ref="M72">IF($R72,INDEX($S:$S,MATCH(TRUE,EXACT(L72,$A:$A),0)),"")</f>
        <v>82</v>
      </c>
      <c r="N72" s="38" cm="1">
        <f t="array" ref="N72">IF($R72,INDEX($T:$T,MATCH(TRUE,EXACT(J72,$D:$D),0)),"")</f>
        <v>4</v>
      </c>
      <c r="O72" s="52" cm="1">
        <f t="array" ref="O72">IF($R72,INDEX($S:$S,MATCH(TRUE,EXACT(N72,$A:$A),0)),"")</f>
        <v>20</v>
      </c>
      <c r="P72" s="23"/>
      <c r="Q72" s="33"/>
      <c r="R72" s="18" t="b">
        <f t="shared" si="16"/>
        <v>1</v>
      </c>
      <c r="S72" s="19">
        <f>IF(R72, MAX(S$2:S71)+1,"")</f>
        <v>70</v>
      </c>
      <c r="T72" s="23" t="str">
        <f t="shared" si="17"/>
        <v>f</v>
      </c>
      <c r="U72" s="8" t="str" cm="1">
        <f t="array" ref="U72">CharToUTF8(A72)</f>
        <v>\x66</v>
      </c>
      <c r="W72" s="18" t="str">
        <f>$AU$2</f>
        <v>EMPTY</v>
      </c>
      <c r="X72" s="24" t="str">
        <f>$AU$2</f>
        <v>EMPTY</v>
      </c>
      <c r="Y72" s="24" t="str">
        <f>$AU$2</f>
        <v>EMPTY</v>
      </c>
      <c r="Z72" s="21" t="str">
        <f>$AU$3</f>
        <v>DIAG_BOTH</v>
      </c>
      <c r="AB72" s="31" t="b">
        <f t="shared" si="18"/>
        <v>0</v>
      </c>
      <c r="AC72" s="31" t="b">
        <f t="shared" si="19"/>
        <v>0</v>
      </c>
      <c r="AD72" t="b">
        <f t="shared" si="20"/>
        <v>1</v>
      </c>
      <c r="AE72" t="b">
        <f t="shared" si="21"/>
        <v>0</v>
      </c>
      <c r="AF72" t="b">
        <f>IF($R72,W72=VLOOKUP(Z72,$AU$2:$AZ$10,3,FALSE),"")</f>
        <v>0</v>
      </c>
      <c r="AG72" t="b">
        <f>IF($R72,X72=VLOOKUP(Y72,$AU$2:$AZ$10,3,FALSE),"")</f>
        <v>1</v>
      </c>
      <c r="AH72" t="b">
        <f>IF($R72,Y72=VLOOKUP(W72,$AU$2:$AZ$10,3,FALSE),"")</f>
        <v>1</v>
      </c>
      <c r="AI72" t="b">
        <f>IF($R72,Z72=VLOOKUP(X72,$AU$2:$AZ$10,3,FALSE),"")</f>
        <v>0</v>
      </c>
      <c r="AJ72" t="b">
        <f>IF($R72,W72=VLOOKUP(W72,$AU$2:$AZ$10,4,FALSE),"")</f>
        <v>1</v>
      </c>
      <c r="AK72" t="b">
        <f>IF($R72,X72=VLOOKUP(X72,$AU$2:$AZ$10,4,FALSE),"")</f>
        <v>1</v>
      </c>
      <c r="AL72" t="b">
        <f>IF($R72,Y72=VLOOKUP(Y72,$AU$2:$AZ$10,4,FALSE),"")</f>
        <v>1</v>
      </c>
      <c r="AM72" t="b">
        <f>IF($R72,Z72=VLOOKUP(Z72,$AU$2:$AZ$10,4,FALSE),"")</f>
        <v>1</v>
      </c>
      <c r="AN72" t="b">
        <f>IF($R72,W72=VLOOKUP(W72,$AU$2:$AZ$10,5,FALSE),"")</f>
        <v>1</v>
      </c>
      <c r="AO72" t="b">
        <f>IF($R72,X72=VLOOKUP(X72,$AU$2:$AZ$10,5,FALSE),"")</f>
        <v>1</v>
      </c>
      <c r="AP72" t="b">
        <f>IF($R72,Y72=VLOOKUP(Y72,$AU$2:$AZ$10,6,FALSE),"")</f>
        <v>1</v>
      </c>
      <c r="AQ72" t="b">
        <f>IF($R72,Z72=VLOOKUP(Z72,$AU$2:$AZ$10,6,FALSE),"")</f>
        <v>1</v>
      </c>
      <c r="AR72" t="b">
        <f t="shared" si="22"/>
        <v>0</v>
      </c>
      <c r="AS72" t="b">
        <f t="shared" si="23"/>
        <v>0</v>
      </c>
      <c r="BD72" s="59" t="str">
        <f t="shared" si="24"/>
        <v xml:space="preserve">    { wxString::FromUTF8("\x66"), &amp;AllGlyphs[20], &amp;AllGlyphs[86], &amp;AllGlyphs[70], &amp;AllGlyphs[86], &amp;AllGlyphs[82], &amp;AllGlyphs[20], Connection::EMPTY, Connection::EMPTY, Connection::EMPTY, Connection::DIAG_BOTH, 0, 0, 1, 0, 0, 0 },</v>
      </c>
      <c r="BE72" s="60"/>
      <c r="BF72" s="60"/>
      <c r="BG72" s="60"/>
      <c r="BH72" s="60"/>
      <c r="BI72" s="60"/>
      <c r="BJ72" s="60"/>
      <c r="BK72" s="61"/>
      <c r="BM72" s="54" t="str">
        <f>IF($R72,"&amp;AllGlyphs[" &amp; E72 &amp; "]","")</f>
        <v>&amp;AllGlyphs[20]</v>
      </c>
      <c r="BN72" s="54" t="str">
        <f>IF($R72,"&amp;AllGlyphs[" &amp; G72 &amp; "]","")</f>
        <v>&amp;AllGlyphs[86]</v>
      </c>
      <c r="BO72" s="54" t="str">
        <f>IF($R72,"&amp;AllGlyphs[" &amp; I72 &amp; "]","")</f>
        <v>&amp;AllGlyphs[70]</v>
      </c>
      <c r="BP72" s="54" t="str">
        <f>IF($R72,"&amp;AllGlyphs[" &amp; K72 &amp; "]","")</f>
        <v>&amp;AllGlyphs[86]</v>
      </c>
      <c r="BQ72" s="54" t="str">
        <f>IF($R72,"&amp;AllGlyphs[" &amp; M72 &amp; "]","")</f>
        <v>&amp;AllGlyphs[82]</v>
      </c>
      <c r="BR72" s="54" t="str">
        <f>IF($R72,"&amp;AllGlyphs[" &amp; O72 &amp; "]","")</f>
        <v>&amp;AllGlyphs[20]</v>
      </c>
      <c r="BT72" s="58">
        <f>IF($R72,IF(AB72,1,0),"")</f>
        <v>0</v>
      </c>
      <c r="BU72" s="58">
        <f>IF($R72,IF(AC72,1,0),"")</f>
        <v>0</v>
      </c>
      <c r="BV72" s="58">
        <f>IF($R72,IF(AD72,1,0),"")</f>
        <v>1</v>
      </c>
      <c r="BW72" s="58">
        <f>IF($R72,IF(AE72,1,0),"")</f>
        <v>0</v>
      </c>
      <c r="BX72" s="58">
        <f>IF($R72,IF(AR72,1,0),"")</f>
        <v>0</v>
      </c>
      <c r="BY72" s="58">
        <f>IF($R72,IF(AS72,1,0),"")</f>
        <v>0</v>
      </c>
    </row>
    <row r="73" spans="1:77" x14ac:dyDescent="0.4">
      <c r="A73" s="7" t="s">
        <v>14</v>
      </c>
      <c r="B73" s="6" t="str">
        <f t="shared" si="15"/>
        <v>g</v>
      </c>
      <c r="C73" s="48" cm="1">
        <f t="array" ref="C73">IF($R73,INDEX($S:$S,MATCH(TRUE,EXACT(B73,$A:$A),0)),"")</f>
        <v>71</v>
      </c>
      <c r="D73" s="38">
        <v>5</v>
      </c>
      <c r="E73" s="48" cm="1">
        <f t="array" ref="E73">IF($R73,INDEX($S:$S,MATCH(TRUE,EXACT(D73,$A:$A),0)),"")</f>
        <v>21</v>
      </c>
      <c r="F73" s="38" t="s">
        <v>15</v>
      </c>
      <c r="G73" s="48" cm="1">
        <f t="array" ref="G73">IF($S73&lt;&gt;"",INDEX($S:$S,MATCH(TRUE,EXACT(F73,$A:$A),0)),"")</f>
        <v>72</v>
      </c>
      <c r="H73" s="38" t="s">
        <v>14</v>
      </c>
      <c r="I73" s="48" cm="1">
        <f t="array" ref="I73">IF($R73,INDEX($S:$S,MATCH(TRUE,EXACT(H73,$A:$A),0)),"")</f>
        <v>71</v>
      </c>
      <c r="J73" s="38" t="s">
        <v>15</v>
      </c>
      <c r="K73" s="52" cm="1">
        <f t="array" ref="K73">IF($R73,INDEX($S:$S,MATCH(TRUE,EXACT(J73,$A:$A),0)),"")</f>
        <v>72</v>
      </c>
      <c r="L73" s="38" t="str" cm="1">
        <f t="array" ref="L73">IF($R73,INDEX($T:$T,MATCH(TRUE,EXACT(H73,$D:$D),0)),"")</f>
        <v>t</v>
      </c>
      <c r="M73" s="48" cm="1">
        <f t="array" ref="M73">IF($R73,INDEX($S:$S,MATCH(TRUE,EXACT(L73,$A:$A),0)),"")</f>
        <v>84</v>
      </c>
      <c r="N73" s="38" cm="1">
        <f t="array" ref="N73">IF($R73,INDEX($T:$T,MATCH(TRUE,EXACT(J73,$D:$D),0)),"")</f>
        <v>5</v>
      </c>
      <c r="O73" s="52" cm="1">
        <f t="array" ref="O73">IF($R73,INDEX($S:$S,MATCH(TRUE,EXACT(N73,$A:$A),0)),"")</f>
        <v>21</v>
      </c>
      <c r="P73" s="23"/>
      <c r="Q73" s="33"/>
      <c r="R73" s="18" t="b">
        <f t="shared" si="16"/>
        <v>1</v>
      </c>
      <c r="S73" s="19">
        <f>IF(R73, MAX(S$2:S72)+1,"")</f>
        <v>71</v>
      </c>
      <c r="T73" s="23" t="str">
        <f t="shared" si="17"/>
        <v>g</v>
      </c>
      <c r="U73" s="8" t="str" cm="1">
        <f t="array" ref="U73">CharToUTF8(A73)</f>
        <v>\x67</v>
      </c>
      <c r="W73" s="18" t="str">
        <f>$AU$3</f>
        <v>DIAG_BOTH</v>
      </c>
      <c r="X73" s="24" t="str">
        <f>$AU$3</f>
        <v>DIAG_BOTH</v>
      </c>
      <c r="Y73" s="24" t="str">
        <f>$AU$3</f>
        <v>DIAG_BOTH</v>
      </c>
      <c r="Z73" s="21" t="str">
        <f>$AU$4</f>
        <v>ORTHO_BOTH</v>
      </c>
      <c r="AB73" s="31" t="b">
        <f t="shared" si="18"/>
        <v>0</v>
      </c>
      <c r="AC73" s="31" t="b">
        <f t="shared" si="19"/>
        <v>0</v>
      </c>
      <c r="AD73" t="b">
        <f t="shared" si="20"/>
        <v>1</v>
      </c>
      <c r="AE73" t="b">
        <f t="shared" si="21"/>
        <v>0</v>
      </c>
      <c r="AF73" t="b">
        <f>IF($R73,W73=VLOOKUP(Z73,$AU$2:$AZ$10,3,FALSE),"")</f>
        <v>0</v>
      </c>
      <c r="AG73" t="b">
        <f>IF($R73,X73=VLOOKUP(Y73,$AU$2:$AZ$10,3,FALSE),"")</f>
        <v>1</v>
      </c>
      <c r="AH73" t="b">
        <f>IF($R73,Y73=VLOOKUP(W73,$AU$2:$AZ$10,3,FALSE),"")</f>
        <v>1</v>
      </c>
      <c r="AI73" t="b">
        <f>IF($R73,Z73=VLOOKUP(X73,$AU$2:$AZ$10,3,FALSE),"")</f>
        <v>0</v>
      </c>
      <c r="AJ73" t="b">
        <f>IF($R73,W73=VLOOKUP(W73,$AU$2:$AZ$10,4,FALSE),"")</f>
        <v>1</v>
      </c>
      <c r="AK73" t="b">
        <f>IF($R73,X73=VLOOKUP(X73,$AU$2:$AZ$10,4,FALSE),"")</f>
        <v>1</v>
      </c>
      <c r="AL73" t="b">
        <f>IF($R73,Y73=VLOOKUP(Y73,$AU$2:$AZ$10,4,FALSE),"")</f>
        <v>1</v>
      </c>
      <c r="AM73" t="b">
        <f>IF($R73,Z73=VLOOKUP(Z73,$AU$2:$AZ$10,4,FALSE),"")</f>
        <v>1</v>
      </c>
      <c r="AN73" t="b">
        <f>IF($R73,W73=VLOOKUP(W73,$AU$2:$AZ$10,5,FALSE),"")</f>
        <v>1</v>
      </c>
      <c r="AO73" t="b">
        <f>IF($R73,X73=VLOOKUP(X73,$AU$2:$AZ$10,5,FALSE),"")</f>
        <v>1</v>
      </c>
      <c r="AP73" t="b">
        <f>IF($R73,Y73=VLOOKUP(Y73,$AU$2:$AZ$10,6,FALSE),"")</f>
        <v>1</v>
      </c>
      <c r="AQ73" t="b">
        <f>IF($R73,Z73=VLOOKUP(Z73,$AU$2:$AZ$10,6,FALSE),"")</f>
        <v>1</v>
      </c>
      <c r="AR73" t="b">
        <f t="shared" si="22"/>
        <v>0</v>
      </c>
      <c r="AS73" t="b">
        <f t="shared" si="23"/>
        <v>0</v>
      </c>
      <c r="BD73" s="59" t="str">
        <f t="shared" si="24"/>
        <v xml:space="preserve">    { wxString::FromUTF8("\x67"), &amp;AllGlyphs[21], &amp;AllGlyphs[72], &amp;AllGlyphs[71], &amp;AllGlyphs[72], &amp;AllGlyphs[84], &amp;AllGlyphs[21], Connection::DIAG_BOTH, Connection::DIAG_BOTH, Connection::DIAG_BOTH, Connection::ORTHO_BOTH, 0, 0, 1, 0, 0, 0 },</v>
      </c>
      <c r="BE73" s="60"/>
      <c r="BF73" s="60"/>
      <c r="BG73" s="60"/>
      <c r="BH73" s="60"/>
      <c r="BI73" s="60"/>
      <c r="BJ73" s="60"/>
      <c r="BK73" s="61"/>
      <c r="BM73" s="54" t="str">
        <f>IF($R73,"&amp;AllGlyphs[" &amp; E73 &amp; "]","")</f>
        <v>&amp;AllGlyphs[21]</v>
      </c>
      <c r="BN73" s="54" t="str">
        <f>IF($R73,"&amp;AllGlyphs[" &amp; G73 &amp; "]","")</f>
        <v>&amp;AllGlyphs[72]</v>
      </c>
      <c r="BO73" s="54" t="str">
        <f>IF($R73,"&amp;AllGlyphs[" &amp; I73 &amp; "]","")</f>
        <v>&amp;AllGlyphs[71]</v>
      </c>
      <c r="BP73" s="54" t="str">
        <f>IF($R73,"&amp;AllGlyphs[" &amp; K73 &amp; "]","")</f>
        <v>&amp;AllGlyphs[72]</v>
      </c>
      <c r="BQ73" s="54" t="str">
        <f>IF($R73,"&amp;AllGlyphs[" &amp; M73 &amp; "]","")</f>
        <v>&amp;AllGlyphs[84]</v>
      </c>
      <c r="BR73" s="54" t="str">
        <f>IF($R73,"&amp;AllGlyphs[" &amp; O73 &amp; "]","")</f>
        <v>&amp;AllGlyphs[21]</v>
      </c>
      <c r="BT73" s="58">
        <f>IF($R73,IF(AB73,1,0),"")</f>
        <v>0</v>
      </c>
      <c r="BU73" s="58">
        <f>IF($R73,IF(AC73,1,0),"")</f>
        <v>0</v>
      </c>
      <c r="BV73" s="58">
        <f>IF($R73,IF(AD73,1,0),"")</f>
        <v>1</v>
      </c>
      <c r="BW73" s="58">
        <f>IF($R73,IF(AE73,1,0),"")</f>
        <v>0</v>
      </c>
      <c r="BX73" s="58">
        <f>IF($R73,IF(AR73,1,0),"")</f>
        <v>0</v>
      </c>
      <c r="BY73" s="58">
        <f>IF($R73,IF(AS73,1,0),"")</f>
        <v>0</v>
      </c>
    </row>
    <row r="74" spans="1:77" x14ac:dyDescent="0.4">
      <c r="A74" s="7" t="s">
        <v>15</v>
      </c>
      <c r="B74" s="6" t="str">
        <f t="shared" si="15"/>
        <v>h</v>
      </c>
      <c r="C74" s="48" cm="1">
        <f t="array" ref="C74">IF($R74,INDEX($S:$S,MATCH(TRUE,EXACT(B74,$A:$A),0)),"")</f>
        <v>72</v>
      </c>
      <c r="D74" s="38" t="s">
        <v>4</v>
      </c>
      <c r="E74" s="48" cm="1">
        <f t="array" ref="E74">IF($R74,INDEX($S:$S,MATCH(TRUE,EXACT(D74,$A:$A),0)),"")</f>
        <v>84</v>
      </c>
      <c r="F74" s="38" t="s">
        <v>14</v>
      </c>
      <c r="G74" s="48" cm="1">
        <f t="array" ref="G74">IF($S74&lt;&gt;"",INDEX($S:$S,MATCH(TRUE,EXACT(F74,$A:$A),0)),"")</f>
        <v>71</v>
      </c>
      <c r="H74" s="38" t="s">
        <v>15</v>
      </c>
      <c r="I74" s="48" cm="1">
        <f t="array" ref="I74">IF($R74,INDEX($S:$S,MATCH(TRUE,EXACT(H74,$A:$A),0)),"")</f>
        <v>72</v>
      </c>
      <c r="J74" s="38" t="s">
        <v>14</v>
      </c>
      <c r="K74" s="52" cm="1">
        <f t="array" ref="K74">IF($R74,INDEX($S:$S,MATCH(TRUE,EXACT(J74,$A:$A),0)),"")</f>
        <v>71</v>
      </c>
      <c r="L74" s="38" cm="1">
        <f t="array" ref="L74">IF($R74,INDEX($T:$T,MATCH(TRUE,EXACT(H74,$D:$D),0)),"")</f>
        <v>5</v>
      </c>
      <c r="M74" s="48" cm="1">
        <f t="array" ref="M74">IF($R74,INDEX($S:$S,MATCH(TRUE,EXACT(L74,$A:$A),0)),"")</f>
        <v>21</v>
      </c>
      <c r="N74" s="38" t="str" cm="1">
        <f t="array" ref="N74">IF($R74,INDEX($T:$T,MATCH(TRUE,EXACT(J74,$D:$D),0)),"")</f>
        <v>t</v>
      </c>
      <c r="O74" s="52" cm="1">
        <f t="array" ref="O74">IF($R74,INDEX($S:$S,MATCH(TRUE,EXACT(N74,$A:$A),0)),"")</f>
        <v>84</v>
      </c>
      <c r="P74" s="23"/>
      <c r="Q74" s="33"/>
      <c r="R74" s="18" t="b">
        <f t="shared" si="16"/>
        <v>1</v>
      </c>
      <c r="S74" s="19">
        <f>IF(R74, MAX(S$2:S73)+1,"")</f>
        <v>72</v>
      </c>
      <c r="T74" s="23" t="str">
        <f t="shared" si="17"/>
        <v>h</v>
      </c>
      <c r="U74" s="8" t="str" cm="1">
        <f t="array" ref="U74">CharToUTF8(A74)</f>
        <v>\x68</v>
      </c>
      <c r="W74" s="18" t="str">
        <f>$AU$3</f>
        <v>DIAG_BOTH</v>
      </c>
      <c r="X74" s="24" t="str">
        <f>$AU$3</f>
        <v>DIAG_BOTH</v>
      </c>
      <c r="Y74" s="24" t="str">
        <f>$AU$4</f>
        <v>ORTHO_BOTH</v>
      </c>
      <c r="Z74" s="21" t="str">
        <f>$AU$3</f>
        <v>DIAG_BOTH</v>
      </c>
      <c r="AB74" s="31" t="b">
        <f t="shared" si="18"/>
        <v>0</v>
      </c>
      <c r="AC74" s="31" t="b">
        <f t="shared" si="19"/>
        <v>0</v>
      </c>
      <c r="AD74" t="b">
        <f t="shared" si="20"/>
        <v>1</v>
      </c>
      <c r="AE74" t="b">
        <f t="shared" si="21"/>
        <v>0</v>
      </c>
      <c r="AF74" t="b">
        <f>IF($R74,W74=VLOOKUP(Z74,$AU$2:$AZ$10,3,FALSE),"")</f>
        <v>1</v>
      </c>
      <c r="AG74" t="b">
        <f>IF($R74,X74=VLOOKUP(Y74,$AU$2:$AZ$10,3,FALSE),"")</f>
        <v>0</v>
      </c>
      <c r="AH74" t="b">
        <f>IF($R74,Y74=VLOOKUP(W74,$AU$2:$AZ$10,3,FALSE),"")</f>
        <v>0</v>
      </c>
      <c r="AI74" t="b">
        <f>IF($R74,Z74=VLOOKUP(X74,$AU$2:$AZ$10,3,FALSE),"")</f>
        <v>1</v>
      </c>
      <c r="AJ74" t="b">
        <f>IF($R74,W74=VLOOKUP(W74,$AU$2:$AZ$10,4,FALSE),"")</f>
        <v>1</v>
      </c>
      <c r="AK74" t="b">
        <f>IF($R74,X74=VLOOKUP(X74,$AU$2:$AZ$10,4,FALSE),"")</f>
        <v>1</v>
      </c>
      <c r="AL74" t="b">
        <f>IF($R74,Y74=VLOOKUP(Y74,$AU$2:$AZ$10,4,FALSE),"")</f>
        <v>1</v>
      </c>
      <c r="AM74" t="b">
        <f>IF($R74,Z74=VLOOKUP(Z74,$AU$2:$AZ$10,4,FALSE),"")</f>
        <v>1</v>
      </c>
      <c r="AN74" t="b">
        <f>IF($R74,W74=VLOOKUP(W74,$AU$2:$AZ$10,5,FALSE),"")</f>
        <v>1</v>
      </c>
      <c r="AO74" t="b">
        <f>IF($R74,X74=VLOOKUP(X74,$AU$2:$AZ$10,5,FALSE),"")</f>
        <v>1</v>
      </c>
      <c r="AP74" t="b">
        <f>IF($R74,Y74=VLOOKUP(Y74,$AU$2:$AZ$10,6,FALSE),"")</f>
        <v>1</v>
      </c>
      <c r="AQ74" t="b">
        <f>IF($R74,Z74=VLOOKUP(Z74,$AU$2:$AZ$10,6,FALSE),"")</f>
        <v>1</v>
      </c>
      <c r="AR74" t="b">
        <f t="shared" si="22"/>
        <v>0</v>
      </c>
      <c r="AS74" t="b">
        <f t="shared" si="23"/>
        <v>0</v>
      </c>
      <c r="BD74" s="59" t="str">
        <f t="shared" si="24"/>
        <v xml:space="preserve">    { wxString::FromUTF8("\x68"), &amp;AllGlyphs[84], &amp;AllGlyphs[71], &amp;AllGlyphs[72], &amp;AllGlyphs[71], &amp;AllGlyphs[21], &amp;AllGlyphs[84], Connection::DIAG_BOTH, Connection::DIAG_BOTH, Connection::ORTHO_BOTH, Connection::DIAG_BOTH, 0, 0, 1, 0, 0, 0 },</v>
      </c>
      <c r="BE74" s="60"/>
      <c r="BF74" s="60"/>
      <c r="BG74" s="60"/>
      <c r="BH74" s="60"/>
      <c r="BI74" s="60"/>
      <c r="BJ74" s="60"/>
      <c r="BK74" s="61"/>
      <c r="BM74" s="54" t="str">
        <f>IF($R74,"&amp;AllGlyphs[" &amp; E74 &amp; "]","")</f>
        <v>&amp;AllGlyphs[84]</v>
      </c>
      <c r="BN74" s="54" t="str">
        <f>IF($R74,"&amp;AllGlyphs[" &amp; G74 &amp; "]","")</f>
        <v>&amp;AllGlyphs[71]</v>
      </c>
      <c r="BO74" s="54" t="str">
        <f>IF($R74,"&amp;AllGlyphs[" &amp; I74 &amp; "]","")</f>
        <v>&amp;AllGlyphs[72]</v>
      </c>
      <c r="BP74" s="54" t="str">
        <f>IF($R74,"&amp;AllGlyphs[" &amp; K74 &amp; "]","")</f>
        <v>&amp;AllGlyphs[71]</v>
      </c>
      <c r="BQ74" s="54" t="str">
        <f>IF($R74,"&amp;AllGlyphs[" &amp; M74 &amp; "]","")</f>
        <v>&amp;AllGlyphs[21]</v>
      </c>
      <c r="BR74" s="54" t="str">
        <f>IF($R74,"&amp;AllGlyphs[" &amp; O74 &amp; "]","")</f>
        <v>&amp;AllGlyphs[84]</v>
      </c>
      <c r="BT74" s="58">
        <f>IF($R74,IF(AB74,1,0),"")</f>
        <v>0</v>
      </c>
      <c r="BU74" s="58">
        <f>IF($R74,IF(AC74,1,0),"")</f>
        <v>0</v>
      </c>
      <c r="BV74" s="58">
        <f>IF($R74,IF(AD74,1,0),"")</f>
        <v>1</v>
      </c>
      <c r="BW74" s="58">
        <f>IF($R74,IF(AE74,1,0),"")</f>
        <v>0</v>
      </c>
      <c r="BX74" s="58">
        <f>IF($R74,IF(AR74,1,0),"")</f>
        <v>0</v>
      </c>
      <c r="BY74" s="58">
        <f>IF($R74,IF(AS74,1,0),"")</f>
        <v>0</v>
      </c>
    </row>
    <row r="75" spans="1:77" x14ac:dyDescent="0.4">
      <c r="A75" s="7" t="s">
        <v>7</v>
      </c>
      <c r="B75" s="6" t="str">
        <f t="shared" si="15"/>
        <v>i</v>
      </c>
      <c r="C75" s="48" cm="1">
        <f t="array" ref="C75">IF($R75,INDEX($S:$S,MATCH(TRUE,EXACT(B75,$A:$A),0)),"")</f>
        <v>73</v>
      </c>
      <c r="D75" s="38" t="s">
        <v>25</v>
      </c>
      <c r="E75" s="48" cm="1">
        <f t="array" ref="E75">IF($R75,INDEX($S:$S,MATCH(TRUE,EXACT(D75,$A:$A),0)),"")</f>
        <v>77</v>
      </c>
      <c r="F75" s="38">
        <v>7</v>
      </c>
      <c r="G75" s="48" cm="1">
        <f t="array" ref="G75">IF($S75&lt;&gt;"",INDEX($S:$S,MATCH(TRUE,EXACT(F75,$A:$A),0)),"")</f>
        <v>23</v>
      </c>
      <c r="H75" s="38">
        <v>8</v>
      </c>
      <c r="I75" s="48" cm="1">
        <f t="array" ref="I75">IF($R75,INDEX($S:$S,MATCH(TRUE,EXACT(H75,$A:$A),0)),"")</f>
        <v>24</v>
      </c>
      <c r="J75" s="38" t="s">
        <v>6</v>
      </c>
      <c r="K75" s="52" cm="1">
        <f t="array" ref="K75">IF($R75,INDEX($S:$S,MATCH(TRUE,EXACT(J75,$A:$A),0)),"")</f>
        <v>85</v>
      </c>
      <c r="L75" s="38" t="str" cm="1">
        <f t="array" ref="L75">IF($R75,INDEX($T:$T,MATCH(TRUE,EXACT(H75,$D:$D),0)),"")</f>
        <v>j</v>
      </c>
      <c r="M75" s="48" cm="1">
        <f t="array" ref="M75">IF($R75,INDEX($S:$S,MATCH(TRUE,EXACT(L75,$A:$A),0)),"")</f>
        <v>74</v>
      </c>
      <c r="N75" s="38" t="str" cm="1">
        <f t="array" ref="N75">IF($R75,INDEX($T:$T,MATCH(TRUE,EXACT(J75,$D:$D),0)),"")</f>
        <v>,</v>
      </c>
      <c r="O75" s="52" cm="1">
        <f t="array" ref="O75">IF($R75,INDEX($S:$S,MATCH(TRUE,EXACT(N75,$A:$A),0)),"")</f>
        <v>12</v>
      </c>
      <c r="P75" s="23"/>
      <c r="Q75" s="33"/>
      <c r="R75" s="18" t="b">
        <f t="shared" si="16"/>
        <v>1</v>
      </c>
      <c r="S75" s="19">
        <f>IF(R75, MAX(S$2:S74)+1,"")</f>
        <v>73</v>
      </c>
      <c r="T75" s="23" t="str">
        <f t="shared" si="17"/>
        <v>i</v>
      </c>
      <c r="U75" s="8" t="str" cm="1">
        <f t="array" ref="U75">CharToUTF8(A75)</f>
        <v>\x69</v>
      </c>
      <c r="W75" s="18" t="str">
        <f>$AU$4</f>
        <v>ORTHO_BOTH</v>
      </c>
      <c r="X75" s="24" t="str">
        <f>$AU$3</f>
        <v>DIAG_BOTH</v>
      </c>
      <c r="Y75" s="24" t="str">
        <f>$AU$3</f>
        <v>DIAG_BOTH</v>
      </c>
      <c r="Z75" s="21" t="str">
        <f>$AU$2</f>
        <v>EMPTY</v>
      </c>
      <c r="AB75" s="31" t="b">
        <f t="shared" si="18"/>
        <v>0</v>
      </c>
      <c r="AC75" s="31" t="b">
        <f t="shared" si="19"/>
        <v>0</v>
      </c>
      <c r="AD75" t="b">
        <f t="shared" si="20"/>
        <v>0</v>
      </c>
      <c r="AE75" t="b">
        <f t="shared" si="21"/>
        <v>0</v>
      </c>
      <c r="AF75" t="b">
        <f>IF($R75,W75=VLOOKUP(Z75,$AU$2:$AZ$10,3,FALSE),"")</f>
        <v>0</v>
      </c>
      <c r="AG75" t="b">
        <f>IF($R75,X75=VLOOKUP(Y75,$AU$2:$AZ$10,3,FALSE),"")</f>
        <v>1</v>
      </c>
      <c r="AH75" t="b">
        <f>IF($R75,Y75=VLOOKUP(W75,$AU$2:$AZ$10,3,FALSE),"")</f>
        <v>0</v>
      </c>
      <c r="AI75" t="b">
        <f>IF($R75,Z75=VLOOKUP(X75,$AU$2:$AZ$10,3,FALSE),"")</f>
        <v>0</v>
      </c>
      <c r="AJ75" t="b">
        <f>IF($R75,W75=VLOOKUP(W75,$AU$2:$AZ$10,4,FALSE),"")</f>
        <v>1</v>
      </c>
      <c r="AK75" t="b">
        <f>IF($R75,X75=VLOOKUP(X75,$AU$2:$AZ$10,4,FALSE),"")</f>
        <v>1</v>
      </c>
      <c r="AL75" t="b">
        <f>IF($R75,Y75=VLOOKUP(Y75,$AU$2:$AZ$10,4,FALSE),"")</f>
        <v>1</v>
      </c>
      <c r="AM75" t="b">
        <f>IF($R75,Z75=VLOOKUP(Z75,$AU$2:$AZ$10,4,FALSE),"")</f>
        <v>1</v>
      </c>
      <c r="AN75" t="b">
        <f>IF($R75,W75=VLOOKUP(W75,$AU$2:$AZ$10,5,FALSE),"")</f>
        <v>1</v>
      </c>
      <c r="AO75" t="b">
        <f>IF($R75,X75=VLOOKUP(X75,$AU$2:$AZ$10,5,FALSE),"")</f>
        <v>1</v>
      </c>
      <c r="AP75" t="b">
        <f>IF($R75,Y75=VLOOKUP(Y75,$AU$2:$AZ$10,6,FALSE),"")</f>
        <v>1</v>
      </c>
      <c r="AQ75" t="b">
        <f>IF($R75,Z75=VLOOKUP(Z75,$AU$2:$AZ$10,6,FALSE),"")</f>
        <v>1</v>
      </c>
      <c r="AR75" t="b">
        <f t="shared" si="22"/>
        <v>0</v>
      </c>
      <c r="AS75" t="b">
        <f t="shared" si="23"/>
        <v>0</v>
      </c>
      <c r="BD75" s="59" t="str">
        <f t="shared" si="24"/>
        <v xml:space="preserve">    { wxString::FromUTF8("\x69"), &amp;AllGlyphs[77], &amp;AllGlyphs[23], &amp;AllGlyphs[24], &amp;AllGlyphs[85], &amp;AllGlyphs[74], &amp;AllGlyphs[12], Connection::ORTHO_BOTH, Connection::DIAG_BOTH, Connection::DIAG_BOTH, Connection::EMPTY, 0, 0, 0, 0, 0, 0 },</v>
      </c>
      <c r="BE75" s="60"/>
      <c r="BF75" s="60"/>
      <c r="BG75" s="60"/>
      <c r="BH75" s="60"/>
      <c r="BI75" s="60"/>
      <c r="BJ75" s="60"/>
      <c r="BK75" s="61"/>
      <c r="BM75" s="54" t="str">
        <f>IF($R75,"&amp;AllGlyphs[" &amp; E75 &amp; "]","")</f>
        <v>&amp;AllGlyphs[77]</v>
      </c>
      <c r="BN75" s="54" t="str">
        <f>IF($R75,"&amp;AllGlyphs[" &amp; G75 &amp; "]","")</f>
        <v>&amp;AllGlyphs[23]</v>
      </c>
      <c r="BO75" s="54" t="str">
        <f>IF($R75,"&amp;AllGlyphs[" &amp; I75 &amp; "]","")</f>
        <v>&amp;AllGlyphs[24]</v>
      </c>
      <c r="BP75" s="54" t="str">
        <f>IF($R75,"&amp;AllGlyphs[" &amp; K75 &amp; "]","")</f>
        <v>&amp;AllGlyphs[85]</v>
      </c>
      <c r="BQ75" s="54" t="str">
        <f>IF($R75,"&amp;AllGlyphs[" &amp; M75 &amp; "]","")</f>
        <v>&amp;AllGlyphs[74]</v>
      </c>
      <c r="BR75" s="54" t="str">
        <f>IF($R75,"&amp;AllGlyphs[" &amp; O75 &amp; "]","")</f>
        <v>&amp;AllGlyphs[12]</v>
      </c>
      <c r="BT75" s="58">
        <f>IF($R75,IF(AB75,1,0),"")</f>
        <v>0</v>
      </c>
      <c r="BU75" s="58">
        <f>IF($R75,IF(AC75,1,0),"")</f>
        <v>0</v>
      </c>
      <c r="BV75" s="58">
        <f>IF($R75,IF(AD75,1,0),"")</f>
        <v>0</v>
      </c>
      <c r="BW75" s="58">
        <f>IF($R75,IF(AE75,1,0),"")</f>
        <v>0</v>
      </c>
      <c r="BX75" s="58">
        <f>IF($R75,IF(AR75,1,0),"")</f>
        <v>0</v>
      </c>
      <c r="BY75" s="58">
        <f>IF($R75,IF(AS75,1,0),"")</f>
        <v>0</v>
      </c>
    </row>
    <row r="76" spans="1:77" x14ac:dyDescent="0.4">
      <c r="A76" s="7" t="s">
        <v>16</v>
      </c>
      <c r="B76" s="6" t="str">
        <f t="shared" si="15"/>
        <v>j</v>
      </c>
      <c r="C76" s="48" cm="1">
        <f t="array" ref="C76">IF($R76,INDEX($S:$S,MATCH(TRUE,EXACT(B76,$A:$A),0)),"")</f>
        <v>74</v>
      </c>
      <c r="D76" s="38">
        <v>8</v>
      </c>
      <c r="E76" s="48" cm="1">
        <f t="array" ref="E76">IF($R76,INDEX($S:$S,MATCH(TRUE,EXACT(D76,$A:$A),0)),"")</f>
        <v>24</v>
      </c>
      <c r="F76" s="38" t="s">
        <v>64</v>
      </c>
      <c r="G76" s="48" cm="1">
        <f t="array" ref="G76">IF($S76&lt;&gt;"",INDEX($S:$S,MATCH(TRUE,EXACT(F76,$A:$A),0)),"")</f>
        <v>12</v>
      </c>
      <c r="H76" s="38" t="s">
        <v>25</v>
      </c>
      <c r="I76" s="48" cm="1">
        <f t="array" ref="I76">IF($R76,INDEX($S:$S,MATCH(TRUE,EXACT(H76,$A:$A),0)),"")</f>
        <v>77</v>
      </c>
      <c r="J76" s="38" t="s">
        <v>17</v>
      </c>
      <c r="K76" s="52" cm="1">
        <f t="array" ref="K76">IF($R76,INDEX($S:$S,MATCH(TRUE,EXACT(J76,$A:$A),0)),"")</f>
        <v>75</v>
      </c>
      <c r="L76" s="38" t="str" cm="1">
        <f t="array" ref="L76">IF($R76,INDEX($T:$T,MATCH(TRUE,EXACT(H76,$D:$D),0)),"")</f>
        <v>i</v>
      </c>
      <c r="M76" s="48" cm="1">
        <f t="array" ref="M76">IF($R76,INDEX($S:$S,MATCH(TRUE,EXACT(L76,$A:$A),0)),"")</f>
        <v>73</v>
      </c>
      <c r="N76" s="38" cm="1">
        <f t="array" ref="N76">IF($R76,INDEX($T:$T,MATCH(TRUE,EXACT(J76,$D:$D),0)),"")</f>
        <v>7</v>
      </c>
      <c r="O76" s="52" cm="1">
        <f t="array" ref="O76">IF($R76,INDEX($S:$S,MATCH(TRUE,EXACT(N76,$A:$A),0)),"")</f>
        <v>23</v>
      </c>
      <c r="P76" s="23"/>
      <c r="Q76" s="33"/>
      <c r="R76" s="18" t="b">
        <f t="shared" si="16"/>
        <v>1</v>
      </c>
      <c r="S76" s="19">
        <f>IF(R76, MAX(S$2:S75)+1,"")</f>
        <v>74</v>
      </c>
      <c r="T76" s="23" t="str">
        <f t="shared" si="17"/>
        <v>j</v>
      </c>
      <c r="U76" s="8" t="str" cm="1">
        <f t="array" ref="U76">CharToUTF8(A76)</f>
        <v>\x6A</v>
      </c>
      <c r="W76" s="18" t="str">
        <f>$AU$2</f>
        <v>EMPTY</v>
      </c>
      <c r="X76" s="24" t="str">
        <f>$AU$3</f>
        <v>DIAG_BOTH</v>
      </c>
      <c r="Y76" s="24" t="str">
        <f>$AU$3</f>
        <v>DIAG_BOTH</v>
      </c>
      <c r="Z76" s="21" t="str">
        <f>$AU$4</f>
        <v>ORTHO_BOTH</v>
      </c>
      <c r="AB76" s="31" t="b">
        <f t="shared" si="18"/>
        <v>0</v>
      </c>
      <c r="AC76" s="31" t="b">
        <f t="shared" si="19"/>
        <v>0</v>
      </c>
      <c r="AD76" t="b">
        <f t="shared" si="20"/>
        <v>0</v>
      </c>
      <c r="AE76" t="b">
        <f t="shared" si="21"/>
        <v>0</v>
      </c>
      <c r="AF76" t="b">
        <f>IF($R76,W76=VLOOKUP(Z76,$AU$2:$AZ$10,3,FALSE),"")</f>
        <v>0</v>
      </c>
      <c r="AG76" t="b">
        <f>IF($R76,X76=VLOOKUP(Y76,$AU$2:$AZ$10,3,FALSE),"")</f>
        <v>1</v>
      </c>
      <c r="AH76" t="b">
        <f>IF($R76,Y76=VLOOKUP(W76,$AU$2:$AZ$10,3,FALSE),"")</f>
        <v>0</v>
      </c>
      <c r="AI76" t="b">
        <f>IF($R76,Z76=VLOOKUP(X76,$AU$2:$AZ$10,3,FALSE),"")</f>
        <v>0</v>
      </c>
      <c r="AJ76" t="b">
        <f>IF($R76,W76=VLOOKUP(W76,$AU$2:$AZ$10,4,FALSE),"")</f>
        <v>1</v>
      </c>
      <c r="AK76" t="b">
        <f>IF($R76,X76=VLOOKUP(X76,$AU$2:$AZ$10,4,FALSE),"")</f>
        <v>1</v>
      </c>
      <c r="AL76" t="b">
        <f>IF($R76,Y76=VLOOKUP(Y76,$AU$2:$AZ$10,4,FALSE),"")</f>
        <v>1</v>
      </c>
      <c r="AM76" t="b">
        <f>IF($R76,Z76=VLOOKUP(Z76,$AU$2:$AZ$10,4,FALSE),"")</f>
        <v>1</v>
      </c>
      <c r="AN76" t="b">
        <f>IF($R76,W76=VLOOKUP(W76,$AU$2:$AZ$10,5,FALSE),"")</f>
        <v>1</v>
      </c>
      <c r="AO76" t="b">
        <f>IF($R76,X76=VLOOKUP(X76,$AU$2:$AZ$10,5,FALSE),"")</f>
        <v>1</v>
      </c>
      <c r="AP76" t="b">
        <f>IF($R76,Y76=VLOOKUP(Y76,$AU$2:$AZ$10,6,FALSE),"")</f>
        <v>1</v>
      </c>
      <c r="AQ76" t="b">
        <f>IF($R76,Z76=VLOOKUP(Z76,$AU$2:$AZ$10,6,FALSE),"")</f>
        <v>1</v>
      </c>
      <c r="AR76" t="b">
        <f t="shared" si="22"/>
        <v>0</v>
      </c>
      <c r="AS76" t="b">
        <f t="shared" si="23"/>
        <v>0</v>
      </c>
      <c r="BD76" s="59" t="str">
        <f t="shared" si="24"/>
        <v xml:space="preserve">    { wxString::FromUTF8("\x6A"), &amp;AllGlyphs[24], &amp;AllGlyphs[12], &amp;AllGlyphs[77], &amp;AllGlyphs[75], &amp;AllGlyphs[73], &amp;AllGlyphs[23], Connection::EMPTY, Connection::DIAG_BOTH, Connection::DIAG_BOTH, Connection::ORTHO_BOTH, 0, 0, 0, 0, 0, 0 },</v>
      </c>
      <c r="BE76" s="60"/>
      <c r="BF76" s="60"/>
      <c r="BG76" s="60"/>
      <c r="BH76" s="60"/>
      <c r="BI76" s="60"/>
      <c r="BJ76" s="60"/>
      <c r="BK76" s="61"/>
      <c r="BM76" s="54" t="str">
        <f>IF($R76,"&amp;AllGlyphs[" &amp; E76 &amp; "]","")</f>
        <v>&amp;AllGlyphs[24]</v>
      </c>
      <c r="BN76" s="54" t="str">
        <f>IF($R76,"&amp;AllGlyphs[" &amp; G76 &amp; "]","")</f>
        <v>&amp;AllGlyphs[12]</v>
      </c>
      <c r="BO76" s="54" t="str">
        <f>IF($R76,"&amp;AllGlyphs[" &amp; I76 &amp; "]","")</f>
        <v>&amp;AllGlyphs[77]</v>
      </c>
      <c r="BP76" s="54" t="str">
        <f>IF($R76,"&amp;AllGlyphs[" &amp; K76 &amp; "]","")</f>
        <v>&amp;AllGlyphs[75]</v>
      </c>
      <c r="BQ76" s="54" t="str">
        <f>IF($R76,"&amp;AllGlyphs[" &amp; M76 &amp; "]","")</f>
        <v>&amp;AllGlyphs[73]</v>
      </c>
      <c r="BR76" s="54" t="str">
        <f>IF($R76,"&amp;AllGlyphs[" &amp; O76 &amp; "]","")</f>
        <v>&amp;AllGlyphs[23]</v>
      </c>
      <c r="BT76" s="58">
        <f>IF($R76,IF(AB76,1,0),"")</f>
        <v>0</v>
      </c>
      <c r="BU76" s="58">
        <f>IF($R76,IF(AC76,1,0),"")</f>
        <v>0</v>
      </c>
      <c r="BV76" s="58">
        <f>IF($R76,IF(AD76,1,0),"")</f>
        <v>0</v>
      </c>
      <c r="BW76" s="58">
        <f>IF($R76,IF(AE76,1,0),"")</f>
        <v>0</v>
      </c>
      <c r="BX76" s="58">
        <f>IF($R76,IF(AR76,1,0),"")</f>
        <v>0</v>
      </c>
      <c r="BY76" s="58">
        <f>IF($R76,IF(AS76,1,0),"")</f>
        <v>0</v>
      </c>
    </row>
    <row r="77" spans="1:77" x14ac:dyDescent="0.4">
      <c r="A77" s="7" t="s">
        <v>17</v>
      </c>
      <c r="B77" s="6" t="str">
        <f t="shared" si="15"/>
        <v>k</v>
      </c>
      <c r="C77" s="48" cm="1">
        <f t="array" ref="C77">IF($R77,INDEX($S:$S,MATCH(TRUE,EXACT(B77,$A:$A),0)),"")</f>
        <v>75</v>
      </c>
      <c r="D77" s="38" t="s">
        <v>7</v>
      </c>
      <c r="E77" s="48" cm="1">
        <f t="array" ref="E77">IF($R77,INDEX($S:$S,MATCH(TRUE,EXACT(D77,$A:$A),0)),"")</f>
        <v>73</v>
      </c>
      <c r="F77" s="38" t="s">
        <v>25</v>
      </c>
      <c r="G77" s="48" cm="1">
        <f t="array" ref="G77">IF($S77&lt;&gt;"",INDEX($S:$S,MATCH(TRUE,EXACT(F77,$A:$A),0)),"")</f>
        <v>77</v>
      </c>
      <c r="H77" s="38" t="s">
        <v>64</v>
      </c>
      <c r="I77" s="48" cm="1">
        <f t="array" ref="I77">IF($R77,INDEX($S:$S,MATCH(TRUE,EXACT(H77,$A:$A),0)),"")</f>
        <v>12</v>
      </c>
      <c r="J77" s="38" t="s">
        <v>16</v>
      </c>
      <c r="K77" s="52" cm="1">
        <f t="array" ref="K77">IF($R77,INDEX($S:$S,MATCH(TRUE,EXACT(J77,$A:$A),0)),"")</f>
        <v>74</v>
      </c>
      <c r="L77" s="38" cm="1">
        <f t="array" ref="L77">IF($R77,INDEX($T:$T,MATCH(TRUE,EXACT(H77,$D:$D),0)),"")</f>
        <v>8</v>
      </c>
      <c r="M77" s="48" cm="1">
        <f t="array" ref="M77">IF($R77,INDEX($S:$S,MATCH(TRUE,EXACT(L77,$A:$A),0)),"")</f>
        <v>24</v>
      </c>
      <c r="N77" s="38" t="str" cm="1">
        <f t="array" ref="N77">IF($R77,INDEX($T:$T,MATCH(TRUE,EXACT(J77,$D:$D),0)),"")</f>
        <v>u</v>
      </c>
      <c r="O77" s="52" cm="1">
        <f t="array" ref="O77">IF($R77,INDEX($S:$S,MATCH(TRUE,EXACT(N77,$A:$A),0)),"")</f>
        <v>85</v>
      </c>
      <c r="P77" s="23"/>
      <c r="Q77" s="33"/>
      <c r="R77" s="18" t="b">
        <f t="shared" si="16"/>
        <v>1</v>
      </c>
      <c r="S77" s="19">
        <f>IF(R77, MAX(S$2:S76)+1,"")</f>
        <v>75</v>
      </c>
      <c r="T77" s="23" t="str">
        <f t="shared" si="17"/>
        <v>k</v>
      </c>
      <c r="U77" s="8" t="str" cm="1">
        <f t="array" ref="U77">CharToUTF8(A77)</f>
        <v>\x6B</v>
      </c>
      <c r="W77" s="18" t="str">
        <f>$AU$2</f>
        <v>EMPTY</v>
      </c>
      <c r="X77" s="24" t="str">
        <f>$AU$3</f>
        <v>DIAG_BOTH</v>
      </c>
      <c r="Y77" s="24" t="str">
        <f>$AU$4</f>
        <v>ORTHO_BOTH</v>
      </c>
      <c r="Z77" s="21" t="str">
        <f>$AU$3</f>
        <v>DIAG_BOTH</v>
      </c>
      <c r="AB77" s="31" t="b">
        <f t="shared" si="18"/>
        <v>0</v>
      </c>
      <c r="AC77" s="31" t="b">
        <f t="shared" si="19"/>
        <v>0</v>
      </c>
      <c r="AD77" t="b">
        <f t="shared" si="20"/>
        <v>0</v>
      </c>
      <c r="AE77" t="b">
        <f t="shared" si="21"/>
        <v>0</v>
      </c>
      <c r="AF77" t="b">
        <f>IF($R77,W77=VLOOKUP(Z77,$AU$2:$AZ$10,3,FALSE),"")</f>
        <v>0</v>
      </c>
      <c r="AG77" t="b">
        <f>IF($R77,X77=VLOOKUP(Y77,$AU$2:$AZ$10,3,FALSE),"")</f>
        <v>0</v>
      </c>
      <c r="AH77" t="b">
        <f>IF($R77,Y77=VLOOKUP(W77,$AU$2:$AZ$10,3,FALSE),"")</f>
        <v>0</v>
      </c>
      <c r="AI77" t="b">
        <f>IF($R77,Z77=VLOOKUP(X77,$AU$2:$AZ$10,3,FALSE),"")</f>
        <v>1</v>
      </c>
      <c r="AJ77" t="b">
        <f>IF($R77,W77=VLOOKUP(W77,$AU$2:$AZ$10,4,FALSE),"")</f>
        <v>1</v>
      </c>
      <c r="AK77" t="b">
        <f>IF($R77,X77=VLOOKUP(X77,$AU$2:$AZ$10,4,FALSE),"")</f>
        <v>1</v>
      </c>
      <c r="AL77" t="b">
        <f>IF($R77,Y77=VLOOKUP(Y77,$AU$2:$AZ$10,4,FALSE),"")</f>
        <v>1</v>
      </c>
      <c r="AM77" t="b">
        <f>IF($R77,Z77=VLOOKUP(Z77,$AU$2:$AZ$10,4,FALSE),"")</f>
        <v>1</v>
      </c>
      <c r="AN77" t="b">
        <f>IF($R77,W77=VLOOKUP(W77,$AU$2:$AZ$10,5,FALSE),"")</f>
        <v>1</v>
      </c>
      <c r="AO77" t="b">
        <f>IF($R77,X77=VLOOKUP(X77,$AU$2:$AZ$10,5,FALSE),"")</f>
        <v>1</v>
      </c>
      <c r="AP77" t="b">
        <f>IF($R77,Y77=VLOOKUP(Y77,$AU$2:$AZ$10,6,FALSE),"")</f>
        <v>1</v>
      </c>
      <c r="AQ77" t="b">
        <f>IF($R77,Z77=VLOOKUP(Z77,$AU$2:$AZ$10,6,FALSE),"")</f>
        <v>1</v>
      </c>
      <c r="AR77" t="b">
        <f t="shared" si="22"/>
        <v>0</v>
      </c>
      <c r="AS77" t="b">
        <f t="shared" si="23"/>
        <v>0</v>
      </c>
      <c r="BD77" s="59" t="str">
        <f t="shared" si="24"/>
        <v xml:space="preserve">    { wxString::FromUTF8("\x6B"), &amp;AllGlyphs[73], &amp;AllGlyphs[77], &amp;AllGlyphs[12], &amp;AllGlyphs[74], &amp;AllGlyphs[24], &amp;AllGlyphs[85], Connection::EMPTY, Connection::DIAG_BOTH, Connection::ORTHO_BOTH, Connection::DIAG_BOTH, 0, 0, 0, 0, 0, 0 },</v>
      </c>
      <c r="BE77" s="60"/>
      <c r="BF77" s="60"/>
      <c r="BG77" s="60"/>
      <c r="BH77" s="60"/>
      <c r="BI77" s="60"/>
      <c r="BJ77" s="60"/>
      <c r="BK77" s="61"/>
      <c r="BM77" s="54" t="str">
        <f>IF($R77,"&amp;AllGlyphs[" &amp; E77 &amp; "]","")</f>
        <v>&amp;AllGlyphs[73]</v>
      </c>
      <c r="BN77" s="54" t="str">
        <f>IF($R77,"&amp;AllGlyphs[" &amp; G77 &amp; "]","")</f>
        <v>&amp;AllGlyphs[77]</v>
      </c>
      <c r="BO77" s="54" t="str">
        <f>IF($R77,"&amp;AllGlyphs[" &amp; I77 &amp; "]","")</f>
        <v>&amp;AllGlyphs[12]</v>
      </c>
      <c r="BP77" s="54" t="str">
        <f>IF($R77,"&amp;AllGlyphs[" &amp; K77 &amp; "]","")</f>
        <v>&amp;AllGlyphs[74]</v>
      </c>
      <c r="BQ77" s="54" t="str">
        <f>IF($R77,"&amp;AllGlyphs[" &amp; M77 &amp; "]","")</f>
        <v>&amp;AllGlyphs[24]</v>
      </c>
      <c r="BR77" s="54" t="str">
        <f>IF($R77,"&amp;AllGlyphs[" &amp; O77 &amp; "]","")</f>
        <v>&amp;AllGlyphs[85]</v>
      </c>
      <c r="BT77" s="58">
        <f>IF($R77,IF(AB77,1,0),"")</f>
        <v>0</v>
      </c>
      <c r="BU77" s="58">
        <f>IF($R77,IF(AC77,1,0),"")</f>
        <v>0</v>
      </c>
      <c r="BV77" s="58">
        <f>IF($R77,IF(AD77,1,0),"")</f>
        <v>0</v>
      </c>
      <c r="BW77" s="58">
        <f>IF($R77,IF(AE77,1,0),"")</f>
        <v>0</v>
      </c>
      <c r="BX77" s="58">
        <f>IF($R77,IF(AR77,1,0),"")</f>
        <v>0</v>
      </c>
      <c r="BY77" s="58">
        <f>IF($R77,IF(AS77,1,0),"")</f>
        <v>0</v>
      </c>
    </row>
    <row r="78" spans="1:77" x14ac:dyDescent="0.4">
      <c r="A78" s="7" t="s">
        <v>18</v>
      </c>
      <c r="B78" s="6" t="str">
        <f t="shared" si="15"/>
        <v>l</v>
      </c>
      <c r="C78" s="48" cm="1">
        <f t="array" ref="C78">IF($R78,INDEX($S:$S,MATCH(TRUE,EXACT(B78,$A:$A),0)),"")</f>
        <v>76</v>
      </c>
      <c r="D78" s="38">
        <v>0</v>
      </c>
      <c r="E78" s="48" cm="1">
        <f t="array" ref="E78">IF($R78,INDEX($S:$S,MATCH(TRUE,EXACT(D78,$A:$A),0)),"")</f>
        <v>16</v>
      </c>
      <c r="F78" s="38" t="s">
        <v>65</v>
      </c>
      <c r="G78" s="48" cm="1">
        <f t="array" ref="G78">IF($S78&lt;&gt;"",INDEX($S:$S,MATCH(TRUE,EXACT(F78,$A:$A),0)),"")</f>
        <v>15</v>
      </c>
      <c r="H78" s="38" t="s">
        <v>73</v>
      </c>
      <c r="I78" s="48" cm="1">
        <f t="array" ref="I78">IF($R78,INDEX($S:$S,MATCH(TRUE,EXACT(H78,$A:$A),0)),"")</f>
        <v>14</v>
      </c>
      <c r="J78" s="38" t="s">
        <v>66</v>
      </c>
      <c r="K78" s="52" cm="1">
        <f t="array" ref="K78">IF($R78,INDEX($S:$S,MATCH(TRUE,EXACT(J78,$A:$A),0)),"")</f>
        <v>27</v>
      </c>
      <c r="L78" s="38" t="str" cm="1">
        <f t="array" ref="L78">IF($R78,INDEX($T:$T,MATCH(TRUE,EXACT(H78,$D:$D),0)),"")</f>
        <v>p</v>
      </c>
      <c r="M78" s="48" cm="1">
        <f t="array" ref="M78">IF($R78,INDEX($S:$S,MATCH(TRUE,EXACT(L78,$A:$A),0)),"")</f>
        <v>80</v>
      </c>
      <c r="N78" s="38" cm="1">
        <f t="array" ref="N78">IF($R78,INDEX($T:$T,MATCH(TRUE,EXACT(J78,$D:$D),0)),"")</f>
        <v>9</v>
      </c>
      <c r="O78" s="52" cm="1">
        <f t="array" ref="O78">IF($R78,INDEX($S:$S,MATCH(TRUE,EXACT(N78,$A:$A),0)),"")</f>
        <v>25</v>
      </c>
      <c r="P78" s="23"/>
      <c r="Q78" s="33"/>
      <c r="R78" s="18" t="b">
        <f t="shared" si="16"/>
        <v>1</v>
      </c>
      <c r="S78" s="19">
        <f>IF(R78, MAX(S$2:S77)+1,"")</f>
        <v>76</v>
      </c>
      <c r="T78" s="23" t="str">
        <f t="shared" si="17"/>
        <v>l</v>
      </c>
      <c r="U78" s="8" t="str" cm="1">
        <f t="array" ref="U78">CharToUTF8(A78)</f>
        <v>\x6C</v>
      </c>
      <c r="W78" s="18" t="str">
        <f>$AU$2</f>
        <v>EMPTY</v>
      </c>
      <c r="X78" s="24" t="str">
        <f>$AU$3</f>
        <v>DIAG_BOTH</v>
      </c>
      <c r="Y78" s="24" t="str">
        <f>$AU$2</f>
        <v>EMPTY</v>
      </c>
      <c r="Z78" s="21" t="str">
        <f>$AU$4</f>
        <v>ORTHO_BOTH</v>
      </c>
      <c r="AB78" s="31" t="b">
        <f t="shared" si="18"/>
        <v>0</v>
      </c>
      <c r="AC78" s="31" t="b">
        <f t="shared" si="19"/>
        <v>0</v>
      </c>
      <c r="AD78" t="b">
        <f t="shared" si="20"/>
        <v>0</v>
      </c>
      <c r="AE78" t="b">
        <f t="shared" si="21"/>
        <v>0</v>
      </c>
      <c r="AF78" t="b">
        <f>IF($R78,W78=VLOOKUP(Z78,$AU$2:$AZ$10,3,FALSE),"")</f>
        <v>0</v>
      </c>
      <c r="AG78" t="b">
        <f>IF($R78,X78=VLOOKUP(Y78,$AU$2:$AZ$10,3,FALSE),"")</f>
        <v>0</v>
      </c>
      <c r="AH78" t="b">
        <f>IF($R78,Y78=VLOOKUP(W78,$AU$2:$AZ$10,3,FALSE),"")</f>
        <v>1</v>
      </c>
      <c r="AI78" t="b">
        <f>IF($R78,Z78=VLOOKUP(X78,$AU$2:$AZ$10,3,FALSE),"")</f>
        <v>0</v>
      </c>
      <c r="AJ78" t="b">
        <f>IF($R78,W78=VLOOKUP(W78,$AU$2:$AZ$10,4,FALSE),"")</f>
        <v>1</v>
      </c>
      <c r="AK78" t="b">
        <f>IF($R78,X78=VLOOKUP(X78,$AU$2:$AZ$10,4,FALSE),"")</f>
        <v>1</v>
      </c>
      <c r="AL78" t="b">
        <f>IF($R78,Y78=VLOOKUP(Y78,$AU$2:$AZ$10,4,FALSE),"")</f>
        <v>1</v>
      </c>
      <c r="AM78" t="b">
        <f>IF($R78,Z78=VLOOKUP(Z78,$AU$2:$AZ$10,4,FALSE),"")</f>
        <v>1</v>
      </c>
      <c r="AN78" t="b">
        <f>IF($R78,W78=VLOOKUP(W78,$AU$2:$AZ$10,5,FALSE),"")</f>
        <v>1</v>
      </c>
      <c r="AO78" t="b">
        <f>IF($R78,X78=VLOOKUP(X78,$AU$2:$AZ$10,5,FALSE),"")</f>
        <v>1</v>
      </c>
      <c r="AP78" t="b">
        <f>IF($R78,Y78=VLOOKUP(Y78,$AU$2:$AZ$10,6,FALSE),"")</f>
        <v>1</v>
      </c>
      <c r="AQ78" t="b">
        <f>IF($R78,Z78=VLOOKUP(Z78,$AU$2:$AZ$10,6,FALSE),"")</f>
        <v>1</v>
      </c>
      <c r="AR78" t="b">
        <f t="shared" si="22"/>
        <v>0</v>
      </c>
      <c r="AS78" t="b">
        <f t="shared" si="23"/>
        <v>0</v>
      </c>
      <c r="BD78" s="59" t="str">
        <f t="shared" si="24"/>
        <v xml:space="preserve">    { wxString::FromUTF8("\x6C"), &amp;AllGlyphs[16], &amp;AllGlyphs[15], &amp;AllGlyphs[14], &amp;AllGlyphs[27], &amp;AllGlyphs[80], &amp;AllGlyphs[25], Connection::EMPTY, Connection::DIAG_BOTH, Connection::EMPTY, Connection::ORTHO_BOTH, 0, 0, 0, 0, 0, 0 },</v>
      </c>
      <c r="BE78" s="60"/>
      <c r="BF78" s="60"/>
      <c r="BG78" s="60"/>
      <c r="BH78" s="60"/>
      <c r="BI78" s="60"/>
      <c r="BJ78" s="60"/>
      <c r="BK78" s="61"/>
      <c r="BM78" s="54" t="str">
        <f>IF($R78,"&amp;AllGlyphs[" &amp; E78 &amp; "]","")</f>
        <v>&amp;AllGlyphs[16]</v>
      </c>
      <c r="BN78" s="54" t="str">
        <f>IF($R78,"&amp;AllGlyphs[" &amp; G78 &amp; "]","")</f>
        <v>&amp;AllGlyphs[15]</v>
      </c>
      <c r="BO78" s="54" t="str">
        <f>IF($R78,"&amp;AllGlyphs[" &amp; I78 &amp; "]","")</f>
        <v>&amp;AllGlyphs[14]</v>
      </c>
      <c r="BP78" s="54" t="str">
        <f>IF($R78,"&amp;AllGlyphs[" &amp; K78 &amp; "]","")</f>
        <v>&amp;AllGlyphs[27]</v>
      </c>
      <c r="BQ78" s="54" t="str">
        <f>IF($R78,"&amp;AllGlyphs[" &amp; M78 &amp; "]","")</f>
        <v>&amp;AllGlyphs[80]</v>
      </c>
      <c r="BR78" s="54" t="str">
        <f>IF($R78,"&amp;AllGlyphs[" &amp; O78 &amp; "]","")</f>
        <v>&amp;AllGlyphs[25]</v>
      </c>
      <c r="BT78" s="58">
        <f>IF($R78,IF(AB78,1,0),"")</f>
        <v>0</v>
      </c>
      <c r="BU78" s="58">
        <f>IF($R78,IF(AC78,1,0),"")</f>
        <v>0</v>
      </c>
      <c r="BV78" s="58">
        <f>IF($R78,IF(AD78,1,0),"")</f>
        <v>0</v>
      </c>
      <c r="BW78" s="58">
        <f>IF($R78,IF(AE78,1,0),"")</f>
        <v>0</v>
      </c>
      <c r="BX78" s="58">
        <f>IF($R78,IF(AR78,1,0),"")</f>
        <v>0</v>
      </c>
      <c r="BY78" s="58">
        <f>IF($R78,IF(AS78,1,0),"")</f>
        <v>0</v>
      </c>
    </row>
    <row r="79" spans="1:77" x14ac:dyDescent="0.4">
      <c r="A79" s="7" t="s">
        <v>25</v>
      </c>
      <c r="B79" s="6" t="str">
        <f t="shared" si="15"/>
        <v>m</v>
      </c>
      <c r="C79" s="48" cm="1">
        <f t="array" ref="C79">IF($R79,INDEX($S:$S,MATCH(TRUE,EXACT(B79,$A:$A),0)),"")</f>
        <v>77</v>
      </c>
      <c r="D79" s="38">
        <v>7</v>
      </c>
      <c r="E79" s="48" cm="1">
        <f t="array" ref="E79">IF($R79,INDEX($S:$S,MATCH(TRUE,EXACT(D79,$A:$A),0)),"")</f>
        <v>23</v>
      </c>
      <c r="F79" s="38" t="s">
        <v>17</v>
      </c>
      <c r="G79" s="48" cm="1">
        <f t="array" ref="G79">IF($S79&lt;&gt;"",INDEX($S:$S,MATCH(TRUE,EXACT(F79,$A:$A),0)),"")</f>
        <v>75</v>
      </c>
      <c r="H79" s="38" t="s">
        <v>16</v>
      </c>
      <c r="I79" s="48" cm="1">
        <f t="array" ref="I79">IF($R79,INDEX($S:$S,MATCH(TRUE,EXACT(H79,$A:$A),0)),"")</f>
        <v>74</v>
      </c>
      <c r="J79" s="38" t="s">
        <v>64</v>
      </c>
      <c r="K79" s="52" cm="1">
        <f t="array" ref="K79">IF($R79,INDEX($S:$S,MATCH(TRUE,EXACT(J79,$A:$A),0)),"")</f>
        <v>12</v>
      </c>
      <c r="L79" s="38" t="str" cm="1">
        <f t="array" ref="L79">IF($R79,INDEX($T:$T,MATCH(TRUE,EXACT(H79,$D:$D),0)),"")</f>
        <v>u</v>
      </c>
      <c r="M79" s="48" cm="1">
        <f t="array" ref="M79">IF($R79,INDEX($S:$S,MATCH(TRUE,EXACT(L79,$A:$A),0)),"")</f>
        <v>85</v>
      </c>
      <c r="N79" s="38" cm="1">
        <f t="array" ref="N79">IF($R79,INDEX($T:$T,MATCH(TRUE,EXACT(J79,$D:$D),0)),"")</f>
        <v>8</v>
      </c>
      <c r="O79" s="52" cm="1">
        <f t="array" ref="O79">IF($R79,INDEX($S:$S,MATCH(TRUE,EXACT(N79,$A:$A),0)),"")</f>
        <v>24</v>
      </c>
      <c r="P79" s="23"/>
      <c r="Q79" s="33"/>
      <c r="R79" s="18" t="b">
        <f t="shared" si="16"/>
        <v>1</v>
      </c>
      <c r="S79" s="19">
        <f>IF(R79, MAX(S$2:S78)+1,"")</f>
        <v>77</v>
      </c>
      <c r="T79" s="23" t="str">
        <f t="shared" si="17"/>
        <v>m</v>
      </c>
      <c r="U79" s="8" t="str" cm="1">
        <f t="array" ref="U79">CharToUTF8(A79)</f>
        <v>\x6D</v>
      </c>
      <c r="W79" s="18" t="str">
        <f>$AU$3</f>
        <v>DIAG_BOTH</v>
      </c>
      <c r="X79" s="24" t="str">
        <f>$AU$2</f>
        <v>EMPTY</v>
      </c>
      <c r="Y79" s="24" t="str">
        <f>$AU$3</f>
        <v>DIAG_BOTH</v>
      </c>
      <c r="Z79" s="21" t="str">
        <f>$AU$4</f>
        <v>ORTHO_BOTH</v>
      </c>
      <c r="AB79" s="31" t="b">
        <f t="shared" si="18"/>
        <v>0</v>
      </c>
      <c r="AC79" s="31" t="b">
        <f t="shared" si="19"/>
        <v>0</v>
      </c>
      <c r="AD79" t="b">
        <f t="shared" si="20"/>
        <v>0</v>
      </c>
      <c r="AE79" t="b">
        <f t="shared" si="21"/>
        <v>0</v>
      </c>
      <c r="AF79" t="b">
        <f>IF($R79,W79=VLOOKUP(Z79,$AU$2:$AZ$10,3,FALSE),"")</f>
        <v>0</v>
      </c>
      <c r="AG79" t="b">
        <f>IF($R79,X79=VLOOKUP(Y79,$AU$2:$AZ$10,3,FALSE),"")</f>
        <v>0</v>
      </c>
      <c r="AH79" t="b">
        <f>IF($R79,Y79=VLOOKUP(W79,$AU$2:$AZ$10,3,FALSE),"")</f>
        <v>1</v>
      </c>
      <c r="AI79" t="b">
        <f>IF($R79,Z79=VLOOKUP(X79,$AU$2:$AZ$10,3,FALSE),"")</f>
        <v>0</v>
      </c>
      <c r="AJ79" t="b">
        <f>IF($R79,W79=VLOOKUP(W79,$AU$2:$AZ$10,4,FALSE),"")</f>
        <v>1</v>
      </c>
      <c r="AK79" t="b">
        <f>IF($R79,X79=VLOOKUP(X79,$AU$2:$AZ$10,4,FALSE),"")</f>
        <v>1</v>
      </c>
      <c r="AL79" t="b">
        <f>IF($R79,Y79=VLOOKUP(Y79,$AU$2:$AZ$10,4,FALSE),"")</f>
        <v>1</v>
      </c>
      <c r="AM79" t="b">
        <f>IF($R79,Z79=VLOOKUP(Z79,$AU$2:$AZ$10,4,FALSE),"")</f>
        <v>1</v>
      </c>
      <c r="AN79" t="b">
        <f>IF($R79,W79=VLOOKUP(W79,$AU$2:$AZ$10,5,FALSE),"")</f>
        <v>1</v>
      </c>
      <c r="AO79" t="b">
        <f>IF($R79,X79=VLOOKUP(X79,$AU$2:$AZ$10,5,FALSE),"")</f>
        <v>1</v>
      </c>
      <c r="AP79" t="b">
        <f>IF($R79,Y79=VLOOKUP(Y79,$AU$2:$AZ$10,6,FALSE),"")</f>
        <v>1</v>
      </c>
      <c r="AQ79" t="b">
        <f>IF($R79,Z79=VLOOKUP(Z79,$AU$2:$AZ$10,6,FALSE),"")</f>
        <v>1</v>
      </c>
      <c r="AR79" t="b">
        <f t="shared" si="22"/>
        <v>0</v>
      </c>
      <c r="AS79" t="b">
        <f t="shared" si="23"/>
        <v>0</v>
      </c>
      <c r="BD79" s="59" t="str">
        <f t="shared" si="24"/>
        <v xml:space="preserve">    { wxString::FromUTF8("\x6D"), &amp;AllGlyphs[23], &amp;AllGlyphs[75], &amp;AllGlyphs[74], &amp;AllGlyphs[12], &amp;AllGlyphs[85], &amp;AllGlyphs[24], Connection::DIAG_BOTH, Connection::EMPTY, Connection::DIAG_BOTH, Connection::ORTHO_BOTH, 0, 0, 0, 0, 0, 0 },</v>
      </c>
      <c r="BE79" s="60"/>
      <c r="BF79" s="60"/>
      <c r="BG79" s="60"/>
      <c r="BH79" s="60"/>
      <c r="BI79" s="60"/>
      <c r="BJ79" s="60"/>
      <c r="BK79" s="61"/>
      <c r="BM79" s="54" t="str">
        <f>IF($R79,"&amp;AllGlyphs[" &amp; E79 &amp; "]","")</f>
        <v>&amp;AllGlyphs[23]</v>
      </c>
      <c r="BN79" s="54" t="str">
        <f>IF($R79,"&amp;AllGlyphs[" &amp; G79 &amp; "]","")</f>
        <v>&amp;AllGlyphs[75]</v>
      </c>
      <c r="BO79" s="54" t="str">
        <f>IF($R79,"&amp;AllGlyphs[" &amp; I79 &amp; "]","")</f>
        <v>&amp;AllGlyphs[74]</v>
      </c>
      <c r="BP79" s="54" t="str">
        <f>IF($R79,"&amp;AllGlyphs[" &amp; K79 &amp; "]","")</f>
        <v>&amp;AllGlyphs[12]</v>
      </c>
      <c r="BQ79" s="54" t="str">
        <f>IF($R79,"&amp;AllGlyphs[" &amp; M79 &amp; "]","")</f>
        <v>&amp;AllGlyphs[85]</v>
      </c>
      <c r="BR79" s="54" t="str">
        <f>IF($R79,"&amp;AllGlyphs[" &amp; O79 &amp; "]","")</f>
        <v>&amp;AllGlyphs[24]</v>
      </c>
      <c r="BT79" s="58">
        <f>IF($R79,IF(AB79,1,0),"")</f>
        <v>0</v>
      </c>
      <c r="BU79" s="58">
        <f>IF($R79,IF(AC79,1,0),"")</f>
        <v>0</v>
      </c>
      <c r="BV79" s="58">
        <f>IF($R79,IF(AD79,1,0),"")</f>
        <v>0</v>
      </c>
      <c r="BW79" s="58">
        <f>IF($R79,IF(AE79,1,0),"")</f>
        <v>0</v>
      </c>
      <c r="BX79" s="58">
        <f>IF($R79,IF(AR79,1,0),"")</f>
        <v>0</v>
      </c>
      <c r="BY79" s="58">
        <f>IF($R79,IF(AS79,1,0),"")</f>
        <v>0</v>
      </c>
    </row>
    <row r="80" spans="1:77" x14ac:dyDescent="0.4">
      <c r="A80" s="7" t="s">
        <v>24</v>
      </c>
      <c r="B80" s="6" t="str">
        <f t="shared" si="15"/>
        <v>n</v>
      </c>
      <c r="C80" s="48" cm="1">
        <f t="array" ref="C80">IF($R80,INDEX($S:$S,MATCH(TRUE,EXACT(B80,$A:$A),0)),"")</f>
        <v>78</v>
      </c>
      <c r="D80" s="38" t="s">
        <v>5</v>
      </c>
      <c r="E80" s="48" cm="1">
        <f t="array" ref="E80">IF($R80,INDEX($S:$S,MATCH(TRUE,EXACT(D80,$A:$A),0)),"")</f>
        <v>89</v>
      </c>
      <c r="F80" s="38" t="s">
        <v>23</v>
      </c>
      <c r="G80" s="48" cm="1">
        <f t="array" ref="G80">IF($S80&lt;&gt;"",INDEX($S:$S,MATCH(TRUE,EXACT(F80,$A:$A),0)),"")</f>
        <v>66</v>
      </c>
      <c r="H80" s="38" t="s">
        <v>24</v>
      </c>
      <c r="I80" s="48" cm="1">
        <f t="array" ref="I80">IF($R80,INDEX($S:$S,MATCH(TRUE,EXACT(H80,$A:$A),0)),"")</f>
        <v>78</v>
      </c>
      <c r="J80" s="38" t="s">
        <v>23</v>
      </c>
      <c r="K80" s="52" cm="1">
        <f t="array" ref="K80">IF($R80,INDEX($S:$S,MATCH(TRUE,EXACT(J80,$A:$A),0)),"")</f>
        <v>66</v>
      </c>
      <c r="L80" s="38" cm="1">
        <f t="array" ref="L80">IF($R80,INDEX($T:$T,MATCH(TRUE,EXACT(H80,$D:$D),0)),"")</f>
        <v>6</v>
      </c>
      <c r="M80" s="48" cm="1">
        <f t="array" ref="M80">IF($R80,INDEX($S:$S,MATCH(TRUE,EXACT(L80,$A:$A),0)),"")</f>
        <v>22</v>
      </c>
      <c r="N80" s="38" t="str" cm="1">
        <f t="array" ref="N80">IF($R80,INDEX($T:$T,MATCH(TRUE,EXACT(J80,$D:$D),0)),"")</f>
        <v>y</v>
      </c>
      <c r="O80" s="52" cm="1">
        <f t="array" ref="O80">IF($R80,INDEX($S:$S,MATCH(TRUE,EXACT(N80,$A:$A),0)),"")</f>
        <v>89</v>
      </c>
      <c r="P80" s="23"/>
      <c r="Q80" s="33"/>
      <c r="R80" s="18" t="b">
        <f t="shared" si="16"/>
        <v>1</v>
      </c>
      <c r="S80" s="19">
        <f>IF(R80, MAX(S$2:S79)+1,"")</f>
        <v>78</v>
      </c>
      <c r="T80" s="23" t="str">
        <f t="shared" si="17"/>
        <v>n</v>
      </c>
      <c r="U80" s="8" t="str" cm="1">
        <f t="array" ref="U80">CharToUTF8(A80)</f>
        <v>\x6E</v>
      </c>
      <c r="W80" s="18" t="str">
        <f>$AU$3</f>
        <v>DIAG_BOTH</v>
      </c>
      <c r="X80" s="24" t="str">
        <f>$AU$3</f>
        <v>DIAG_BOTH</v>
      </c>
      <c r="Y80" s="24" t="str">
        <f>$AU$4</f>
        <v>ORTHO_BOTH</v>
      </c>
      <c r="Z80" s="21" t="str">
        <f>$AU$2</f>
        <v>EMPTY</v>
      </c>
      <c r="AB80" s="31" t="b">
        <f t="shared" si="18"/>
        <v>0</v>
      </c>
      <c r="AC80" s="31" t="b">
        <f t="shared" si="19"/>
        <v>0</v>
      </c>
      <c r="AD80" t="b">
        <f t="shared" si="20"/>
        <v>1</v>
      </c>
      <c r="AE80" t="b">
        <f t="shared" si="21"/>
        <v>0</v>
      </c>
      <c r="AF80" t="b">
        <f>IF($R80,W80=VLOOKUP(Z80,$AU$2:$AZ$10,3,FALSE),"")</f>
        <v>0</v>
      </c>
      <c r="AG80" t="b">
        <f>IF($R80,X80=VLOOKUP(Y80,$AU$2:$AZ$10,3,FALSE),"")</f>
        <v>0</v>
      </c>
      <c r="AH80" t="b">
        <f>IF($R80,Y80=VLOOKUP(W80,$AU$2:$AZ$10,3,FALSE),"")</f>
        <v>0</v>
      </c>
      <c r="AI80" t="b">
        <f>IF($R80,Z80=VLOOKUP(X80,$AU$2:$AZ$10,3,FALSE),"")</f>
        <v>0</v>
      </c>
      <c r="AJ80" t="b">
        <f>IF($R80,W80=VLOOKUP(W80,$AU$2:$AZ$10,4,FALSE),"")</f>
        <v>1</v>
      </c>
      <c r="AK80" t="b">
        <f>IF($R80,X80=VLOOKUP(X80,$AU$2:$AZ$10,4,FALSE),"")</f>
        <v>1</v>
      </c>
      <c r="AL80" t="b">
        <f>IF($R80,Y80=VLOOKUP(Y80,$AU$2:$AZ$10,4,FALSE),"")</f>
        <v>1</v>
      </c>
      <c r="AM80" t="b">
        <f>IF($R80,Z80=VLOOKUP(Z80,$AU$2:$AZ$10,4,FALSE),"")</f>
        <v>1</v>
      </c>
      <c r="AN80" t="b">
        <f>IF($R80,W80=VLOOKUP(W80,$AU$2:$AZ$10,5,FALSE),"")</f>
        <v>1</v>
      </c>
      <c r="AO80" t="b">
        <f>IF($R80,X80=VLOOKUP(X80,$AU$2:$AZ$10,5,FALSE),"")</f>
        <v>1</v>
      </c>
      <c r="AP80" t="b">
        <f>IF($R80,Y80=VLOOKUP(Y80,$AU$2:$AZ$10,6,FALSE),"")</f>
        <v>1</v>
      </c>
      <c r="AQ80" t="b">
        <f>IF($R80,Z80=VLOOKUP(Z80,$AU$2:$AZ$10,6,FALSE),"")</f>
        <v>1</v>
      </c>
      <c r="AR80" t="b">
        <f t="shared" si="22"/>
        <v>0</v>
      </c>
      <c r="AS80" t="b">
        <f t="shared" si="23"/>
        <v>0</v>
      </c>
      <c r="BD80" s="59" t="str">
        <f t="shared" si="24"/>
        <v xml:space="preserve">    { wxString::FromUTF8("\x6E"), &amp;AllGlyphs[89], &amp;AllGlyphs[66], &amp;AllGlyphs[78], &amp;AllGlyphs[66], &amp;AllGlyphs[22], &amp;AllGlyphs[89], Connection::DIAG_BOTH, Connection::DIAG_BOTH, Connection::ORTHO_BOTH, Connection::EMPTY, 0, 0, 1, 0, 0, 0 },</v>
      </c>
      <c r="BE80" s="60"/>
      <c r="BF80" s="60"/>
      <c r="BG80" s="60"/>
      <c r="BH80" s="60"/>
      <c r="BI80" s="60"/>
      <c r="BJ80" s="60"/>
      <c r="BK80" s="61"/>
      <c r="BM80" s="54" t="str">
        <f>IF($R80,"&amp;AllGlyphs[" &amp; E80 &amp; "]","")</f>
        <v>&amp;AllGlyphs[89]</v>
      </c>
      <c r="BN80" s="54" t="str">
        <f>IF($R80,"&amp;AllGlyphs[" &amp; G80 &amp; "]","")</f>
        <v>&amp;AllGlyphs[66]</v>
      </c>
      <c r="BO80" s="54" t="str">
        <f>IF($R80,"&amp;AllGlyphs[" &amp; I80 &amp; "]","")</f>
        <v>&amp;AllGlyphs[78]</v>
      </c>
      <c r="BP80" s="54" t="str">
        <f>IF($R80,"&amp;AllGlyphs[" &amp; K80 &amp; "]","")</f>
        <v>&amp;AllGlyphs[66]</v>
      </c>
      <c r="BQ80" s="54" t="str">
        <f>IF($R80,"&amp;AllGlyphs[" &amp; M80 &amp; "]","")</f>
        <v>&amp;AllGlyphs[22]</v>
      </c>
      <c r="BR80" s="54" t="str">
        <f>IF($R80,"&amp;AllGlyphs[" &amp; O80 &amp; "]","")</f>
        <v>&amp;AllGlyphs[89]</v>
      </c>
      <c r="BT80" s="58">
        <f>IF($R80,IF(AB80,1,0),"")</f>
        <v>0</v>
      </c>
      <c r="BU80" s="58">
        <f>IF($R80,IF(AC80,1,0),"")</f>
        <v>0</v>
      </c>
      <c r="BV80" s="58">
        <f>IF($R80,IF(AD80,1,0),"")</f>
        <v>1</v>
      </c>
      <c r="BW80" s="58">
        <f>IF($R80,IF(AE80,1,0),"")</f>
        <v>0</v>
      </c>
      <c r="BX80" s="58">
        <f>IF($R80,IF(AR80,1,0),"")</f>
        <v>0</v>
      </c>
      <c r="BY80" s="58">
        <f>IF($R80,IF(AS80,1,0),"")</f>
        <v>0</v>
      </c>
    </row>
    <row r="81" spans="1:77" x14ac:dyDescent="0.4">
      <c r="A81" s="7" t="s">
        <v>8</v>
      </c>
      <c r="B81" s="6" t="str">
        <f t="shared" si="15"/>
        <v>o</v>
      </c>
      <c r="C81" s="48" cm="1">
        <f t="array" ref="C81">IF($R81,INDEX($S:$S,MATCH(TRUE,EXACT(B81,$A:$A),0)),"")</f>
        <v>79</v>
      </c>
      <c r="D81" s="38" t="s">
        <v>18</v>
      </c>
      <c r="E81" s="48" cm="1">
        <f t="array" ref="E81">IF($R81,INDEX($S:$S,MATCH(TRUE,EXACT(D81,$A:$A),0)),"")</f>
        <v>76</v>
      </c>
      <c r="F81" s="38">
        <v>0</v>
      </c>
      <c r="G81" s="48" cm="1">
        <f t="array" ref="G81">IF($S81&lt;&gt;"",INDEX($S:$S,MATCH(TRUE,EXACT(F81,$A:$A),0)),"")</f>
        <v>16</v>
      </c>
      <c r="H81" s="38">
        <v>9</v>
      </c>
      <c r="I81" s="48" cm="1">
        <f t="array" ref="I81">IF($R81,INDEX($S:$S,MATCH(TRUE,EXACT(H81,$A:$A),0)),"")</f>
        <v>25</v>
      </c>
      <c r="J81" s="38" t="s">
        <v>9</v>
      </c>
      <c r="K81" s="52" cm="1">
        <f t="array" ref="K81">IF($R81,INDEX($S:$S,MATCH(TRUE,EXACT(J81,$A:$A),0)),"")</f>
        <v>80</v>
      </c>
      <c r="L81" s="38" t="str" cm="1">
        <f t="array" ref="L81">IF($R81,INDEX($T:$T,MATCH(TRUE,EXACT(H81,$D:$D),0)),"")</f>
        <v>.</v>
      </c>
      <c r="M81" s="48" cm="1">
        <f t="array" ref="M81">IF($R81,INDEX($S:$S,MATCH(TRUE,EXACT(L81,$A:$A),0)),"")</f>
        <v>14</v>
      </c>
      <c r="N81" s="38" t="str" cm="1">
        <f t="array" ref="N81">IF($R81,INDEX($T:$T,MATCH(TRUE,EXACT(J81,$D:$D),0)),"")</f>
        <v>;</v>
      </c>
      <c r="O81" s="52" cm="1">
        <f t="array" ref="O81">IF($R81,INDEX($S:$S,MATCH(TRUE,EXACT(N81,$A:$A),0)),"")</f>
        <v>27</v>
      </c>
      <c r="P81" s="23"/>
      <c r="Q81" s="33"/>
      <c r="R81" s="18" t="b">
        <f t="shared" si="16"/>
        <v>1</v>
      </c>
      <c r="S81" s="19">
        <f>IF(R81, MAX(S$2:S80)+1,"")</f>
        <v>79</v>
      </c>
      <c r="T81" s="23" t="str">
        <f t="shared" si="17"/>
        <v>o</v>
      </c>
      <c r="U81" s="8" t="str" cm="1">
        <f t="array" ref="U81">CharToUTF8(A81)</f>
        <v>\x6F</v>
      </c>
      <c r="W81" s="18" t="str">
        <f>$AU$4</f>
        <v>ORTHO_BOTH</v>
      </c>
      <c r="X81" s="24" t="str">
        <f>$AU$2</f>
        <v>EMPTY</v>
      </c>
      <c r="Y81" s="24" t="str">
        <f>$AU$2</f>
        <v>EMPTY</v>
      </c>
      <c r="Z81" s="21" t="str">
        <f>$AU$3</f>
        <v>DIAG_BOTH</v>
      </c>
      <c r="AB81" s="31" t="b">
        <f t="shared" si="18"/>
        <v>0</v>
      </c>
      <c r="AC81" s="31" t="b">
        <f t="shared" si="19"/>
        <v>0</v>
      </c>
      <c r="AD81" t="b">
        <f t="shared" si="20"/>
        <v>0</v>
      </c>
      <c r="AE81" t="b">
        <f t="shared" si="21"/>
        <v>0</v>
      </c>
      <c r="AF81" t="b">
        <f>IF($R81,W81=VLOOKUP(Z81,$AU$2:$AZ$10,3,FALSE),"")</f>
        <v>0</v>
      </c>
      <c r="AG81" t="b">
        <f>IF($R81,X81=VLOOKUP(Y81,$AU$2:$AZ$10,3,FALSE),"")</f>
        <v>1</v>
      </c>
      <c r="AH81" t="b">
        <f>IF($R81,Y81=VLOOKUP(W81,$AU$2:$AZ$10,3,FALSE),"")</f>
        <v>0</v>
      </c>
      <c r="AI81" t="b">
        <f>IF($R81,Z81=VLOOKUP(X81,$AU$2:$AZ$10,3,FALSE),"")</f>
        <v>0</v>
      </c>
      <c r="AJ81" t="b">
        <f>IF($R81,W81=VLOOKUP(W81,$AU$2:$AZ$10,4,FALSE),"")</f>
        <v>1</v>
      </c>
      <c r="AK81" t="b">
        <f>IF($R81,X81=VLOOKUP(X81,$AU$2:$AZ$10,4,FALSE),"")</f>
        <v>1</v>
      </c>
      <c r="AL81" t="b">
        <f>IF($R81,Y81=VLOOKUP(Y81,$AU$2:$AZ$10,4,FALSE),"")</f>
        <v>1</v>
      </c>
      <c r="AM81" t="b">
        <f>IF($R81,Z81=VLOOKUP(Z81,$AU$2:$AZ$10,4,FALSE),"")</f>
        <v>1</v>
      </c>
      <c r="AN81" t="b">
        <f>IF($R81,W81=VLOOKUP(W81,$AU$2:$AZ$10,5,FALSE),"")</f>
        <v>1</v>
      </c>
      <c r="AO81" t="b">
        <f>IF($R81,X81=VLOOKUP(X81,$AU$2:$AZ$10,5,FALSE),"")</f>
        <v>1</v>
      </c>
      <c r="AP81" t="b">
        <f>IF($R81,Y81=VLOOKUP(Y81,$AU$2:$AZ$10,6,FALSE),"")</f>
        <v>1</v>
      </c>
      <c r="AQ81" t="b">
        <f>IF($R81,Z81=VLOOKUP(Z81,$AU$2:$AZ$10,6,FALSE),"")</f>
        <v>1</v>
      </c>
      <c r="AR81" t="b">
        <f t="shared" si="22"/>
        <v>0</v>
      </c>
      <c r="AS81" t="b">
        <f t="shared" si="23"/>
        <v>0</v>
      </c>
      <c r="BD81" s="59" t="str">
        <f t="shared" si="24"/>
        <v xml:space="preserve">    { wxString::FromUTF8("\x6F"), &amp;AllGlyphs[76], &amp;AllGlyphs[16], &amp;AllGlyphs[25], &amp;AllGlyphs[80], &amp;AllGlyphs[14], &amp;AllGlyphs[27], Connection::ORTHO_BOTH, Connection::EMPTY, Connection::EMPTY, Connection::DIAG_BOTH, 0, 0, 0, 0, 0, 0 },</v>
      </c>
      <c r="BE81" s="60"/>
      <c r="BF81" s="60"/>
      <c r="BG81" s="60"/>
      <c r="BH81" s="60"/>
      <c r="BI81" s="60"/>
      <c r="BJ81" s="60"/>
      <c r="BK81" s="61"/>
      <c r="BM81" s="54" t="str">
        <f>IF($R81,"&amp;AllGlyphs[" &amp; E81 &amp; "]","")</f>
        <v>&amp;AllGlyphs[76]</v>
      </c>
      <c r="BN81" s="54" t="str">
        <f>IF($R81,"&amp;AllGlyphs[" &amp; G81 &amp; "]","")</f>
        <v>&amp;AllGlyphs[16]</v>
      </c>
      <c r="BO81" s="54" t="str">
        <f>IF($R81,"&amp;AllGlyphs[" &amp; I81 &amp; "]","")</f>
        <v>&amp;AllGlyphs[25]</v>
      </c>
      <c r="BP81" s="54" t="str">
        <f>IF($R81,"&amp;AllGlyphs[" &amp; K81 &amp; "]","")</f>
        <v>&amp;AllGlyphs[80]</v>
      </c>
      <c r="BQ81" s="54" t="str">
        <f>IF($R81,"&amp;AllGlyphs[" &amp; M81 &amp; "]","")</f>
        <v>&amp;AllGlyphs[14]</v>
      </c>
      <c r="BR81" s="54" t="str">
        <f>IF($R81,"&amp;AllGlyphs[" &amp; O81 &amp; "]","")</f>
        <v>&amp;AllGlyphs[27]</v>
      </c>
      <c r="BT81" s="58">
        <f>IF($R81,IF(AB81,1,0),"")</f>
        <v>0</v>
      </c>
      <c r="BU81" s="58">
        <f>IF($R81,IF(AC81,1,0),"")</f>
        <v>0</v>
      </c>
      <c r="BV81" s="58">
        <f>IF($R81,IF(AD81,1,0),"")</f>
        <v>0</v>
      </c>
      <c r="BW81" s="58">
        <f>IF($R81,IF(AE81,1,0),"")</f>
        <v>0</v>
      </c>
      <c r="BX81" s="58">
        <f>IF($R81,IF(AR81,1,0),"")</f>
        <v>0</v>
      </c>
      <c r="BY81" s="58">
        <f>IF($R81,IF(AS81,1,0),"")</f>
        <v>0</v>
      </c>
    </row>
    <row r="82" spans="1:77" x14ac:dyDescent="0.4">
      <c r="A82" s="7" t="s">
        <v>9</v>
      </c>
      <c r="B82" s="6" t="str">
        <f t="shared" si="15"/>
        <v>p</v>
      </c>
      <c r="C82" s="48" cm="1">
        <f t="array" ref="C82">IF($R82,INDEX($S:$S,MATCH(TRUE,EXACT(B82,$A:$A),0)),"")</f>
        <v>80</v>
      </c>
      <c r="D82" s="38" t="s">
        <v>73</v>
      </c>
      <c r="E82" s="48" cm="1">
        <f t="array" ref="E82">IF($R82,INDEX($S:$S,MATCH(TRUE,EXACT(D82,$A:$A),0)),"")</f>
        <v>14</v>
      </c>
      <c r="F82" s="38">
        <v>9</v>
      </c>
      <c r="G82" s="48" cm="1">
        <f t="array" ref="G82">IF($S82&lt;&gt;"",INDEX($S:$S,MATCH(TRUE,EXACT(F82,$A:$A),0)),"")</f>
        <v>25</v>
      </c>
      <c r="H82" s="38">
        <v>0</v>
      </c>
      <c r="I82" s="48" cm="1">
        <f t="array" ref="I82">IF($R82,INDEX($S:$S,MATCH(TRUE,EXACT(H82,$A:$A),0)),"")</f>
        <v>16</v>
      </c>
      <c r="J82" s="38" t="s">
        <v>8</v>
      </c>
      <c r="K82" s="52" cm="1">
        <f t="array" ref="K82">IF($R82,INDEX($S:$S,MATCH(TRUE,EXACT(J82,$A:$A),0)),"")</f>
        <v>79</v>
      </c>
      <c r="L82" s="38" t="str" cm="1">
        <f t="array" ref="L82">IF($R82,INDEX($T:$T,MATCH(TRUE,EXACT(H82,$D:$D),0)),"")</f>
        <v>l</v>
      </c>
      <c r="M82" s="48" cm="1">
        <f t="array" ref="M82">IF($R82,INDEX($S:$S,MATCH(TRUE,EXACT(L82,$A:$A),0)),"")</f>
        <v>76</v>
      </c>
      <c r="N82" s="38" t="str" cm="1">
        <f t="array" ref="N82">IF($R82,INDEX($T:$T,MATCH(TRUE,EXACT(J82,$D:$D),0)),"")</f>
        <v>/</v>
      </c>
      <c r="O82" s="52" cm="1">
        <f t="array" ref="O82">IF($R82,INDEX($S:$S,MATCH(TRUE,EXACT(N82,$A:$A),0)),"")</f>
        <v>15</v>
      </c>
      <c r="P82" s="23"/>
      <c r="Q82" s="33"/>
      <c r="R82" s="18" t="b">
        <f t="shared" si="16"/>
        <v>1</v>
      </c>
      <c r="S82" s="19">
        <f>IF(R82, MAX(S$2:S81)+1,"")</f>
        <v>80</v>
      </c>
      <c r="T82" s="23" t="str">
        <f t="shared" si="17"/>
        <v>p</v>
      </c>
      <c r="U82" s="8" t="str" cm="1">
        <f t="array" ref="U82">CharToUTF8(A82)</f>
        <v>\x70</v>
      </c>
      <c r="W82" s="18" t="str">
        <f>$AU$4</f>
        <v>ORTHO_BOTH</v>
      </c>
      <c r="X82" s="24" t="str">
        <f>$AU$2</f>
        <v>EMPTY</v>
      </c>
      <c r="Y82" s="24" t="str">
        <f>$AU$3</f>
        <v>DIAG_BOTH</v>
      </c>
      <c r="Z82" s="21" t="str">
        <f>$AU$2</f>
        <v>EMPTY</v>
      </c>
      <c r="AB82" s="31" t="b">
        <f t="shared" si="18"/>
        <v>0</v>
      </c>
      <c r="AC82" s="31" t="b">
        <f t="shared" si="19"/>
        <v>0</v>
      </c>
      <c r="AD82" t="b">
        <f t="shared" si="20"/>
        <v>0</v>
      </c>
      <c r="AE82" t="b">
        <f t="shared" si="21"/>
        <v>0</v>
      </c>
      <c r="AF82" t="b">
        <f>IF($R82,W82=VLOOKUP(Z82,$AU$2:$AZ$10,3,FALSE),"")</f>
        <v>0</v>
      </c>
      <c r="AG82" t="b">
        <f>IF($R82,X82=VLOOKUP(Y82,$AU$2:$AZ$10,3,FALSE),"")</f>
        <v>0</v>
      </c>
      <c r="AH82" t="b">
        <f>IF($R82,Y82=VLOOKUP(W82,$AU$2:$AZ$10,3,FALSE),"")</f>
        <v>0</v>
      </c>
      <c r="AI82" t="b">
        <f>IF($R82,Z82=VLOOKUP(X82,$AU$2:$AZ$10,3,FALSE),"")</f>
        <v>1</v>
      </c>
      <c r="AJ82" t="b">
        <f>IF($R82,W82=VLOOKUP(W82,$AU$2:$AZ$10,4,FALSE),"")</f>
        <v>1</v>
      </c>
      <c r="AK82" t="b">
        <f>IF($R82,X82=VLOOKUP(X82,$AU$2:$AZ$10,4,FALSE),"")</f>
        <v>1</v>
      </c>
      <c r="AL82" t="b">
        <f>IF($R82,Y82=VLOOKUP(Y82,$AU$2:$AZ$10,4,FALSE),"")</f>
        <v>1</v>
      </c>
      <c r="AM82" t="b">
        <f>IF($R82,Z82=VLOOKUP(Z82,$AU$2:$AZ$10,4,FALSE),"")</f>
        <v>1</v>
      </c>
      <c r="AN82" t="b">
        <f>IF($R82,W82=VLOOKUP(W82,$AU$2:$AZ$10,5,FALSE),"")</f>
        <v>1</v>
      </c>
      <c r="AO82" t="b">
        <f>IF($R82,X82=VLOOKUP(X82,$AU$2:$AZ$10,5,FALSE),"")</f>
        <v>1</v>
      </c>
      <c r="AP82" t="b">
        <f>IF($R82,Y82=VLOOKUP(Y82,$AU$2:$AZ$10,6,FALSE),"")</f>
        <v>1</v>
      </c>
      <c r="AQ82" t="b">
        <f>IF($R82,Z82=VLOOKUP(Z82,$AU$2:$AZ$10,6,FALSE),"")</f>
        <v>1</v>
      </c>
      <c r="AR82" t="b">
        <f t="shared" si="22"/>
        <v>0</v>
      </c>
      <c r="AS82" t="b">
        <f t="shared" si="23"/>
        <v>0</v>
      </c>
      <c r="BD82" s="59" t="str">
        <f t="shared" si="24"/>
        <v xml:space="preserve">    { wxString::FromUTF8("\x70"), &amp;AllGlyphs[14], &amp;AllGlyphs[25], &amp;AllGlyphs[16], &amp;AllGlyphs[79], &amp;AllGlyphs[76], &amp;AllGlyphs[15], Connection::ORTHO_BOTH, Connection::EMPTY, Connection::DIAG_BOTH, Connection::EMPTY, 0, 0, 0, 0, 0, 0 },</v>
      </c>
      <c r="BE82" s="60"/>
      <c r="BF82" s="60"/>
      <c r="BG82" s="60"/>
      <c r="BH82" s="60"/>
      <c r="BI82" s="60"/>
      <c r="BJ82" s="60"/>
      <c r="BK82" s="61"/>
      <c r="BM82" s="54" t="str">
        <f>IF($R82,"&amp;AllGlyphs[" &amp; E82 &amp; "]","")</f>
        <v>&amp;AllGlyphs[14]</v>
      </c>
      <c r="BN82" s="54" t="str">
        <f>IF($R82,"&amp;AllGlyphs[" &amp; G82 &amp; "]","")</f>
        <v>&amp;AllGlyphs[25]</v>
      </c>
      <c r="BO82" s="54" t="str">
        <f>IF($R82,"&amp;AllGlyphs[" &amp; I82 &amp; "]","")</f>
        <v>&amp;AllGlyphs[16]</v>
      </c>
      <c r="BP82" s="54" t="str">
        <f>IF($R82,"&amp;AllGlyphs[" &amp; K82 &amp; "]","")</f>
        <v>&amp;AllGlyphs[79]</v>
      </c>
      <c r="BQ82" s="54" t="str">
        <f>IF($R82,"&amp;AllGlyphs[" &amp; M82 &amp; "]","")</f>
        <v>&amp;AllGlyphs[76]</v>
      </c>
      <c r="BR82" s="54" t="str">
        <f>IF($R82,"&amp;AllGlyphs[" &amp; O82 &amp; "]","")</f>
        <v>&amp;AllGlyphs[15]</v>
      </c>
      <c r="BT82" s="58">
        <f>IF($R82,IF(AB82,1,0),"")</f>
        <v>0</v>
      </c>
      <c r="BU82" s="58">
        <f>IF($R82,IF(AC82,1,0),"")</f>
        <v>0</v>
      </c>
      <c r="BV82" s="58">
        <f>IF($R82,IF(AD82,1,0),"")</f>
        <v>0</v>
      </c>
      <c r="BW82" s="58">
        <f>IF($R82,IF(AE82,1,0),"")</f>
        <v>0</v>
      </c>
      <c r="BX82" s="58">
        <f>IF($R82,IF(AR82,1,0),"")</f>
        <v>0</v>
      </c>
      <c r="BY82" s="58">
        <f>IF($R82,IF(AS82,1,0),"")</f>
        <v>0</v>
      </c>
    </row>
    <row r="83" spans="1:77" x14ac:dyDescent="0.4">
      <c r="A83" s="7" t="s">
        <v>0</v>
      </c>
      <c r="B83" s="6" t="str">
        <f t="shared" si="15"/>
        <v>q</v>
      </c>
      <c r="C83" s="48" cm="1">
        <f t="array" ref="C83">IF($R83,INDEX($S:$S,MATCH(TRUE,EXACT(B83,$A:$A),0)),"")</f>
        <v>81</v>
      </c>
      <c r="D83" s="38" t="s">
        <v>2</v>
      </c>
      <c r="E83" s="48" cm="1">
        <f t="array" ref="E83">IF($R83,INDEX($S:$S,MATCH(TRUE,EXACT(D83,$A:$A),0)),"")</f>
        <v>69</v>
      </c>
      <c r="F83" s="38" t="s">
        <v>21</v>
      </c>
      <c r="G83" s="48" cm="1">
        <f t="array" ref="G83">IF($S83&lt;&gt;"",INDEX($S:$S,MATCH(TRUE,EXACT(F83,$A:$A),0)),"")</f>
        <v>67</v>
      </c>
      <c r="H83" s="38" t="s">
        <v>19</v>
      </c>
      <c r="I83" s="48" cm="1">
        <f t="array" ref="I83">IF($R83,INDEX($S:$S,MATCH(TRUE,EXACT(H83,$A:$A),0)),"")</f>
        <v>90</v>
      </c>
      <c r="J83" s="38" t="s">
        <v>2</v>
      </c>
      <c r="K83" s="52" cm="1">
        <f t="array" ref="K83">IF($R83,INDEX($S:$S,MATCH(TRUE,EXACT(J83,$A:$A),0)),"")</f>
        <v>69</v>
      </c>
      <c r="L83" s="38" t="str" cm="1">
        <f t="array" ref="L83">IF($R83,INDEX($T:$T,MATCH(TRUE,EXACT(H83,$D:$D),0)),"")</f>
        <v>c</v>
      </c>
      <c r="M83" s="48" cm="1">
        <f t="array" ref="M83">IF($R83,INDEX($S:$S,MATCH(TRUE,EXACT(L83,$A:$A),0)),"")</f>
        <v>67</v>
      </c>
      <c r="N83" s="38" t="str" cm="1">
        <f t="array" ref="N83">IF($R83,INDEX($T:$T,MATCH(TRUE,EXACT(J83,$D:$D),0)),"")</f>
        <v>q</v>
      </c>
      <c r="O83" s="52" cm="1">
        <f t="array" ref="O83">IF($R83,INDEX($S:$S,MATCH(TRUE,EXACT(N83,$A:$A),0)),"")</f>
        <v>81</v>
      </c>
      <c r="P83" s="23"/>
      <c r="Q83" s="33"/>
      <c r="R83" s="18" t="b">
        <f t="shared" si="16"/>
        <v>1</v>
      </c>
      <c r="S83" s="19">
        <f>IF(R83, MAX(S$2:S82)+1,"")</f>
        <v>81</v>
      </c>
      <c r="T83" s="23" t="str">
        <f t="shared" si="17"/>
        <v>q</v>
      </c>
      <c r="U83" s="8" t="str" cm="1">
        <f t="array" ref="U83">CharToUTF8(A83)</f>
        <v>\x71</v>
      </c>
      <c r="W83" s="18" t="str">
        <f>$AU$2</f>
        <v>EMPTY</v>
      </c>
      <c r="X83" s="24" t="str">
        <f>$AU$3</f>
        <v>DIAG_BOTH</v>
      </c>
      <c r="Y83" s="24" t="str">
        <f>$AU$2</f>
        <v>EMPTY</v>
      </c>
      <c r="Z83" s="21" t="str">
        <f>$AU$3</f>
        <v>DIAG_BOTH</v>
      </c>
      <c r="AB83" s="31" t="b">
        <f t="shared" si="18"/>
        <v>0</v>
      </c>
      <c r="AC83" s="31" t="b">
        <f t="shared" si="19"/>
        <v>0</v>
      </c>
      <c r="AD83" t="b">
        <f t="shared" si="20"/>
        <v>0</v>
      </c>
      <c r="AE83" t="b">
        <f t="shared" si="21"/>
        <v>0</v>
      </c>
      <c r="AF83" t="b">
        <f>IF($R83,W83=VLOOKUP(Z83,$AU$2:$AZ$10,3,FALSE),"")</f>
        <v>0</v>
      </c>
      <c r="AG83" t="b">
        <f>IF($R83,X83=VLOOKUP(Y83,$AU$2:$AZ$10,3,FALSE),"")</f>
        <v>0</v>
      </c>
      <c r="AH83" t="b">
        <f>IF($R83,Y83=VLOOKUP(W83,$AU$2:$AZ$10,3,FALSE),"")</f>
        <v>1</v>
      </c>
      <c r="AI83" t="b">
        <f>IF($R83,Z83=VLOOKUP(X83,$AU$2:$AZ$10,3,FALSE),"")</f>
        <v>1</v>
      </c>
      <c r="AJ83" t="b">
        <f>IF($R83,W83=VLOOKUP(W83,$AU$2:$AZ$10,4,FALSE),"")</f>
        <v>1</v>
      </c>
      <c r="AK83" t="b">
        <f>IF($R83,X83=VLOOKUP(X83,$AU$2:$AZ$10,4,FALSE),"")</f>
        <v>1</v>
      </c>
      <c r="AL83" t="b">
        <f>IF($R83,Y83=VLOOKUP(Y83,$AU$2:$AZ$10,4,FALSE),"")</f>
        <v>1</v>
      </c>
      <c r="AM83" t="b">
        <f>IF($R83,Z83=VLOOKUP(Z83,$AU$2:$AZ$10,4,FALSE),"")</f>
        <v>1</v>
      </c>
      <c r="AN83" t="b">
        <f>IF($R83,W83=VLOOKUP(W83,$AU$2:$AZ$10,5,FALSE),"")</f>
        <v>1</v>
      </c>
      <c r="AO83" t="b">
        <f>IF($R83,X83=VLOOKUP(X83,$AU$2:$AZ$10,5,FALSE),"")</f>
        <v>1</v>
      </c>
      <c r="AP83" t="b">
        <f>IF($R83,Y83=VLOOKUP(Y83,$AU$2:$AZ$10,6,FALSE),"")</f>
        <v>1</v>
      </c>
      <c r="AQ83" t="b">
        <f>IF($R83,Z83=VLOOKUP(Z83,$AU$2:$AZ$10,6,FALSE),"")</f>
        <v>1</v>
      </c>
      <c r="AR83" t="b">
        <f t="shared" si="22"/>
        <v>0</v>
      </c>
      <c r="AS83" t="b">
        <f t="shared" si="23"/>
        <v>1</v>
      </c>
      <c r="BD83" s="59" t="str">
        <f t="shared" si="24"/>
        <v xml:space="preserve">    { wxString::FromUTF8("\x71"), &amp;AllGlyphs[69], &amp;AllGlyphs[67], &amp;AllGlyphs[90], &amp;AllGlyphs[69], &amp;AllGlyphs[67], &amp;AllGlyphs[81], Connection::EMPTY, Connection::DIAG_BOTH, Connection::EMPTY, Connection::DIAG_BOTH, 0, 0, 0, 0, 0, 1 },</v>
      </c>
      <c r="BE83" s="60"/>
      <c r="BF83" s="60"/>
      <c r="BG83" s="60"/>
      <c r="BH83" s="60"/>
      <c r="BI83" s="60"/>
      <c r="BJ83" s="60"/>
      <c r="BK83" s="61"/>
      <c r="BM83" s="54" t="str">
        <f>IF($R83,"&amp;AllGlyphs[" &amp; E83 &amp; "]","")</f>
        <v>&amp;AllGlyphs[69]</v>
      </c>
      <c r="BN83" s="54" t="str">
        <f>IF($R83,"&amp;AllGlyphs[" &amp; G83 &amp; "]","")</f>
        <v>&amp;AllGlyphs[67]</v>
      </c>
      <c r="BO83" s="54" t="str">
        <f>IF($R83,"&amp;AllGlyphs[" &amp; I83 &amp; "]","")</f>
        <v>&amp;AllGlyphs[90]</v>
      </c>
      <c r="BP83" s="54" t="str">
        <f>IF($R83,"&amp;AllGlyphs[" &amp; K83 &amp; "]","")</f>
        <v>&amp;AllGlyphs[69]</v>
      </c>
      <c r="BQ83" s="54" t="str">
        <f>IF($R83,"&amp;AllGlyphs[" &amp; M83 &amp; "]","")</f>
        <v>&amp;AllGlyphs[67]</v>
      </c>
      <c r="BR83" s="54" t="str">
        <f>IF($R83,"&amp;AllGlyphs[" &amp; O83 &amp; "]","")</f>
        <v>&amp;AllGlyphs[81]</v>
      </c>
      <c r="BT83" s="58">
        <f>IF($R83,IF(AB83,1,0),"")</f>
        <v>0</v>
      </c>
      <c r="BU83" s="58">
        <f>IF($R83,IF(AC83,1,0),"")</f>
        <v>0</v>
      </c>
      <c r="BV83" s="58">
        <f>IF($R83,IF(AD83,1,0),"")</f>
        <v>0</v>
      </c>
      <c r="BW83" s="58">
        <f>IF($R83,IF(AE83,1,0),"")</f>
        <v>0</v>
      </c>
      <c r="BX83" s="58">
        <f>IF($R83,IF(AR83,1,0),"")</f>
        <v>0</v>
      </c>
      <c r="BY83" s="58">
        <f>IF($R83,IF(AS83,1,0),"")</f>
        <v>1</v>
      </c>
    </row>
    <row r="84" spans="1:77" x14ac:dyDescent="0.4">
      <c r="A84" s="7" t="s">
        <v>3</v>
      </c>
      <c r="B84" s="6" t="str">
        <f t="shared" si="15"/>
        <v>r</v>
      </c>
      <c r="C84" s="48" cm="1">
        <f t="array" ref="C84">IF($R84,INDEX($S:$S,MATCH(TRUE,EXACT(B84,$A:$A),0)),"")</f>
        <v>82</v>
      </c>
      <c r="D84" s="38" t="s">
        <v>13</v>
      </c>
      <c r="E84" s="48" cm="1">
        <f t="array" ref="E84">IF($R84,INDEX($S:$S,MATCH(TRUE,EXACT(D84,$A:$A),0)),"")</f>
        <v>70</v>
      </c>
      <c r="F84" s="38">
        <v>4</v>
      </c>
      <c r="G84" s="48" cm="1">
        <f t="array" ref="G84">IF($S84&lt;&gt;"",INDEX($S:$S,MATCH(TRUE,EXACT(F84,$A:$A),0)),"")</f>
        <v>20</v>
      </c>
      <c r="H84" s="38">
        <v>4</v>
      </c>
      <c r="I84" s="48" cm="1">
        <f t="array" ref="I84">IF($R84,INDEX($S:$S,MATCH(TRUE,EXACT(H84,$A:$A),0)),"")</f>
        <v>20</v>
      </c>
      <c r="J84" s="38" t="s">
        <v>3</v>
      </c>
      <c r="K84" s="52" cm="1">
        <f t="array" ref="K84">IF($R84,INDEX($S:$S,MATCH(TRUE,EXACT(J84,$A:$A),0)),"")</f>
        <v>82</v>
      </c>
      <c r="L84" s="38" t="str" cm="1">
        <f t="array" ref="L84">IF($R84,INDEX($T:$T,MATCH(TRUE,EXACT(H84,$D:$D),0)),"")</f>
        <v>f</v>
      </c>
      <c r="M84" s="48" cm="1">
        <f t="array" ref="M84">IF($R84,INDEX($S:$S,MATCH(TRUE,EXACT(L84,$A:$A),0)),"")</f>
        <v>70</v>
      </c>
      <c r="N84" s="38" t="str" cm="1">
        <f t="array" ref="N84">IF($R84,INDEX($T:$T,MATCH(TRUE,EXACT(J84,$D:$D),0)),"")</f>
        <v>v</v>
      </c>
      <c r="O84" s="52" cm="1">
        <f t="array" ref="O84">IF($R84,INDEX($S:$S,MATCH(TRUE,EXACT(N84,$A:$A),0)),"")</f>
        <v>86</v>
      </c>
      <c r="P84" s="23"/>
      <c r="Q84" s="33"/>
      <c r="R84" s="18" t="b">
        <f t="shared" si="16"/>
        <v>1</v>
      </c>
      <c r="S84" s="19">
        <f>IF(R84, MAX(S$2:S83)+1,"")</f>
        <v>82</v>
      </c>
      <c r="T84" s="23" t="str">
        <f t="shared" si="17"/>
        <v>r</v>
      </c>
      <c r="U84" s="8" t="str" cm="1">
        <f t="array" ref="U84">CharToUTF8(A84)</f>
        <v>\x72</v>
      </c>
      <c r="W84" s="18" t="str">
        <f>$AU$3</f>
        <v>DIAG_BOTH</v>
      </c>
      <c r="X84" s="24" t="str">
        <f>$AU$2</f>
        <v>EMPTY</v>
      </c>
      <c r="Y84" s="24" t="str">
        <f>$AU$2</f>
        <v>EMPTY</v>
      </c>
      <c r="Z84" s="21" t="str">
        <f>$AU$2</f>
        <v>EMPTY</v>
      </c>
      <c r="AB84" s="31" t="b">
        <f t="shared" si="18"/>
        <v>0</v>
      </c>
      <c r="AC84" s="31" t="b">
        <f t="shared" si="19"/>
        <v>0</v>
      </c>
      <c r="AD84" t="b">
        <f t="shared" si="20"/>
        <v>0</v>
      </c>
      <c r="AE84" t="b">
        <f t="shared" si="21"/>
        <v>1</v>
      </c>
      <c r="AF84" t="b">
        <f>IF($R84,W84=VLOOKUP(Z84,$AU$2:$AZ$10,3,FALSE),"")</f>
        <v>0</v>
      </c>
      <c r="AG84" t="b">
        <f>IF($R84,X84=VLOOKUP(Y84,$AU$2:$AZ$10,3,FALSE),"")</f>
        <v>1</v>
      </c>
      <c r="AH84" t="b">
        <f>IF($R84,Y84=VLOOKUP(W84,$AU$2:$AZ$10,3,FALSE),"")</f>
        <v>0</v>
      </c>
      <c r="AI84" t="b">
        <f>IF($R84,Z84=VLOOKUP(X84,$AU$2:$AZ$10,3,FALSE),"")</f>
        <v>1</v>
      </c>
      <c r="AJ84" t="b">
        <f>IF($R84,W84=VLOOKUP(W84,$AU$2:$AZ$10,4,FALSE),"")</f>
        <v>1</v>
      </c>
      <c r="AK84" t="b">
        <f>IF($R84,X84=VLOOKUP(X84,$AU$2:$AZ$10,4,FALSE),"")</f>
        <v>1</v>
      </c>
      <c r="AL84" t="b">
        <f>IF($R84,Y84=VLOOKUP(Y84,$AU$2:$AZ$10,4,FALSE),"")</f>
        <v>1</v>
      </c>
      <c r="AM84" t="b">
        <f>IF($R84,Z84=VLOOKUP(Z84,$AU$2:$AZ$10,4,FALSE),"")</f>
        <v>1</v>
      </c>
      <c r="AN84" t="b">
        <f>IF($R84,W84=VLOOKUP(W84,$AU$2:$AZ$10,5,FALSE),"")</f>
        <v>1</v>
      </c>
      <c r="AO84" t="b">
        <f>IF($R84,X84=VLOOKUP(X84,$AU$2:$AZ$10,5,FALSE),"")</f>
        <v>1</v>
      </c>
      <c r="AP84" t="b">
        <f>IF($R84,Y84=VLOOKUP(Y84,$AU$2:$AZ$10,6,FALSE),"")</f>
        <v>1</v>
      </c>
      <c r="AQ84" t="b">
        <f>IF($R84,Z84=VLOOKUP(Z84,$AU$2:$AZ$10,6,FALSE),"")</f>
        <v>1</v>
      </c>
      <c r="AR84" t="b">
        <f t="shared" si="22"/>
        <v>0</v>
      </c>
      <c r="AS84" t="b">
        <f t="shared" si="23"/>
        <v>0</v>
      </c>
      <c r="BD84" s="59" t="str">
        <f t="shared" si="24"/>
        <v xml:space="preserve">    { wxString::FromUTF8("\x72"), &amp;AllGlyphs[70], &amp;AllGlyphs[20], &amp;AllGlyphs[20], &amp;AllGlyphs[82], &amp;AllGlyphs[70], &amp;AllGlyphs[86], Connection::DIAG_BOTH, Connection::EMPTY, Connection::EMPTY, Connection::EMPTY, 0, 0, 0, 1, 0, 0 },</v>
      </c>
      <c r="BE84" s="60"/>
      <c r="BF84" s="60"/>
      <c r="BG84" s="60"/>
      <c r="BH84" s="60"/>
      <c r="BI84" s="60"/>
      <c r="BJ84" s="60"/>
      <c r="BK84" s="61"/>
      <c r="BM84" s="54" t="str">
        <f>IF($R84,"&amp;AllGlyphs[" &amp; E84 &amp; "]","")</f>
        <v>&amp;AllGlyphs[70]</v>
      </c>
      <c r="BN84" s="54" t="str">
        <f>IF($R84,"&amp;AllGlyphs[" &amp; G84 &amp; "]","")</f>
        <v>&amp;AllGlyphs[20]</v>
      </c>
      <c r="BO84" s="54" t="str">
        <f>IF($R84,"&amp;AllGlyphs[" &amp; I84 &amp; "]","")</f>
        <v>&amp;AllGlyphs[20]</v>
      </c>
      <c r="BP84" s="54" t="str">
        <f>IF($R84,"&amp;AllGlyphs[" &amp; K84 &amp; "]","")</f>
        <v>&amp;AllGlyphs[82]</v>
      </c>
      <c r="BQ84" s="54" t="str">
        <f>IF($R84,"&amp;AllGlyphs[" &amp; M84 &amp; "]","")</f>
        <v>&amp;AllGlyphs[70]</v>
      </c>
      <c r="BR84" s="54" t="str">
        <f>IF($R84,"&amp;AllGlyphs[" &amp; O84 &amp; "]","")</f>
        <v>&amp;AllGlyphs[86]</v>
      </c>
      <c r="BT84" s="58">
        <f>IF($R84,IF(AB84,1,0),"")</f>
        <v>0</v>
      </c>
      <c r="BU84" s="58">
        <f>IF($R84,IF(AC84,1,0),"")</f>
        <v>0</v>
      </c>
      <c r="BV84" s="58">
        <f>IF($R84,IF(AD84,1,0),"")</f>
        <v>0</v>
      </c>
      <c r="BW84" s="58">
        <f>IF($R84,IF(AE84,1,0),"")</f>
        <v>1</v>
      </c>
      <c r="BX84" s="58">
        <f>IF($R84,IF(AR84,1,0),"")</f>
        <v>0</v>
      </c>
      <c r="BY84" s="58">
        <f>IF($R84,IF(AS84,1,0),"")</f>
        <v>0</v>
      </c>
    </row>
    <row r="85" spans="1:77" x14ac:dyDescent="0.4">
      <c r="A85" s="7" t="s">
        <v>11</v>
      </c>
      <c r="B85" s="6" t="str">
        <f t="shared" si="15"/>
        <v>s</v>
      </c>
      <c r="C85" s="48" cm="1">
        <f t="array" ref="C85">IF($R85,INDEX($S:$S,MATCH(TRUE,EXACT(B85,$A:$A),0)),"")</f>
        <v>83</v>
      </c>
      <c r="D85" s="38" t="s">
        <v>11</v>
      </c>
      <c r="E85" s="48" cm="1">
        <f t="array" ref="E85">IF($R85,INDEX($S:$S,MATCH(TRUE,EXACT(D85,$A:$A),0)),"")</f>
        <v>83</v>
      </c>
      <c r="F85" s="38" t="s">
        <v>11</v>
      </c>
      <c r="G85" s="48" cm="1">
        <f t="array" ref="G85">IF($S85&lt;&gt;"",INDEX($S:$S,MATCH(TRUE,EXACT(F85,$A:$A),0)),"")</f>
        <v>83</v>
      </c>
      <c r="H85" s="38" t="s">
        <v>11</v>
      </c>
      <c r="I85" s="48" cm="1">
        <f t="array" ref="I85">IF($R85,INDEX($S:$S,MATCH(TRUE,EXACT(H85,$A:$A),0)),"")</f>
        <v>83</v>
      </c>
      <c r="J85" s="38" t="s">
        <v>11</v>
      </c>
      <c r="K85" s="52" cm="1">
        <f t="array" ref="K85">IF($R85,INDEX($S:$S,MATCH(TRUE,EXACT(J85,$A:$A),0)),"")</f>
        <v>83</v>
      </c>
      <c r="L85" s="38" t="str" cm="1">
        <f t="array" ref="L85">IF($R85,INDEX($T:$T,MATCH(TRUE,EXACT(H85,$D:$D),0)),"")</f>
        <v>s</v>
      </c>
      <c r="M85" s="48" cm="1">
        <f t="array" ref="M85">IF($R85,INDEX($S:$S,MATCH(TRUE,EXACT(L85,$A:$A),0)),"")</f>
        <v>83</v>
      </c>
      <c r="N85" s="38" t="str" cm="1">
        <f t="array" ref="N85">IF($R85,INDEX($T:$T,MATCH(TRUE,EXACT(J85,$D:$D),0)),"")</f>
        <v>s</v>
      </c>
      <c r="O85" s="52" cm="1">
        <f t="array" ref="O85">IF($R85,INDEX($S:$S,MATCH(TRUE,EXACT(N85,$A:$A),0)),"")</f>
        <v>83</v>
      </c>
      <c r="P85" s="23"/>
      <c r="Q85" s="33"/>
      <c r="R85" s="18" t="b">
        <f t="shared" si="16"/>
        <v>1</v>
      </c>
      <c r="S85" s="19">
        <f>IF(R85, MAX(S$2:S84)+1,"")</f>
        <v>83</v>
      </c>
      <c r="T85" s="23" t="str">
        <f t="shared" si="17"/>
        <v>s</v>
      </c>
      <c r="U85" s="8" t="str" cm="1">
        <f t="array" ref="U85">CharToUTF8(A85)</f>
        <v>\x73</v>
      </c>
      <c r="W85" s="18" t="str">
        <f>$AU$3</f>
        <v>DIAG_BOTH</v>
      </c>
      <c r="X85" s="24" t="str">
        <f t="shared" ref="X85:Z86" si="25">$AU$3</f>
        <v>DIAG_BOTH</v>
      </c>
      <c r="Y85" s="24" t="str">
        <f t="shared" si="25"/>
        <v>DIAG_BOTH</v>
      </c>
      <c r="Z85" s="21" t="str">
        <f t="shared" si="25"/>
        <v>DIAG_BOTH</v>
      </c>
      <c r="AB85" s="31" t="b">
        <f t="shared" si="18"/>
        <v>1</v>
      </c>
      <c r="AC85" s="31" t="b">
        <f t="shared" si="19"/>
        <v>1</v>
      </c>
      <c r="AD85" t="b">
        <f t="shared" si="20"/>
        <v>1</v>
      </c>
      <c r="AE85" t="b">
        <f t="shared" si="21"/>
        <v>1</v>
      </c>
      <c r="AF85" t="b">
        <f>IF($R85,W85=VLOOKUP(Z85,$AU$2:$AZ$10,3,FALSE),"")</f>
        <v>1</v>
      </c>
      <c r="AG85" t="b">
        <f>IF($R85,X85=VLOOKUP(Y85,$AU$2:$AZ$10,3,FALSE),"")</f>
        <v>1</v>
      </c>
      <c r="AH85" t="b">
        <f>IF($R85,Y85=VLOOKUP(W85,$AU$2:$AZ$10,3,FALSE),"")</f>
        <v>1</v>
      </c>
      <c r="AI85" t="b">
        <f>IF($R85,Z85=VLOOKUP(X85,$AU$2:$AZ$10,3,FALSE),"")</f>
        <v>1</v>
      </c>
      <c r="AJ85" t="b">
        <f>IF($R85,W85=VLOOKUP(W85,$AU$2:$AZ$10,4,FALSE),"")</f>
        <v>1</v>
      </c>
      <c r="AK85" t="b">
        <f>IF($R85,X85=VLOOKUP(X85,$AU$2:$AZ$10,4,FALSE),"")</f>
        <v>1</v>
      </c>
      <c r="AL85" t="b">
        <f>IF($R85,Y85=VLOOKUP(Y85,$AU$2:$AZ$10,4,FALSE),"")</f>
        <v>1</v>
      </c>
      <c r="AM85" t="b">
        <f>IF($R85,Z85=VLOOKUP(Z85,$AU$2:$AZ$10,4,FALSE),"")</f>
        <v>1</v>
      </c>
      <c r="AN85" t="b">
        <f>IF($R85,W85=VLOOKUP(W85,$AU$2:$AZ$10,5,FALSE),"")</f>
        <v>1</v>
      </c>
      <c r="AO85" t="b">
        <f>IF($R85,X85=VLOOKUP(X85,$AU$2:$AZ$10,5,FALSE),"")</f>
        <v>1</v>
      </c>
      <c r="AP85" t="b">
        <f>IF($R85,Y85=VLOOKUP(Y85,$AU$2:$AZ$10,6,FALSE),"")</f>
        <v>1</v>
      </c>
      <c r="AQ85" t="b">
        <f>IF($R85,Z85=VLOOKUP(Z85,$AU$2:$AZ$10,6,FALSE),"")</f>
        <v>1</v>
      </c>
      <c r="AR85" t="b">
        <f t="shared" si="22"/>
        <v>1</v>
      </c>
      <c r="AS85" t="b">
        <f t="shared" si="23"/>
        <v>1</v>
      </c>
      <c r="BD85" s="59" t="str">
        <f t="shared" si="24"/>
        <v xml:space="preserve">    { wxString::FromUTF8("\x73"), &amp;AllGlyphs[83], &amp;AllGlyphs[83], &amp;AllGlyphs[83], &amp;AllGlyphs[83], &amp;AllGlyphs[83], &amp;AllGlyphs[83], Connection::DIAG_BOTH, Connection::DIAG_BOTH, Connection::DIAG_BOTH, Connection::DIAG_BOTH, 1, 1, 1, 1, 1, 1 },</v>
      </c>
      <c r="BE85" s="60"/>
      <c r="BF85" s="60"/>
      <c r="BG85" s="60"/>
      <c r="BH85" s="60"/>
      <c r="BI85" s="60"/>
      <c r="BJ85" s="60"/>
      <c r="BK85" s="61"/>
      <c r="BM85" s="54" t="str">
        <f>IF($R85,"&amp;AllGlyphs[" &amp; E85 &amp; "]","")</f>
        <v>&amp;AllGlyphs[83]</v>
      </c>
      <c r="BN85" s="54" t="str">
        <f>IF($R85,"&amp;AllGlyphs[" &amp; G85 &amp; "]","")</f>
        <v>&amp;AllGlyphs[83]</v>
      </c>
      <c r="BO85" s="54" t="str">
        <f>IF($R85,"&amp;AllGlyphs[" &amp; I85 &amp; "]","")</f>
        <v>&amp;AllGlyphs[83]</v>
      </c>
      <c r="BP85" s="54" t="str">
        <f>IF($R85,"&amp;AllGlyphs[" &amp; K85 &amp; "]","")</f>
        <v>&amp;AllGlyphs[83]</v>
      </c>
      <c r="BQ85" s="54" t="str">
        <f>IF($R85,"&amp;AllGlyphs[" &amp; M85 &amp; "]","")</f>
        <v>&amp;AllGlyphs[83]</v>
      </c>
      <c r="BR85" s="54" t="str">
        <f>IF($R85,"&amp;AllGlyphs[" &amp; O85 &amp; "]","")</f>
        <v>&amp;AllGlyphs[83]</v>
      </c>
      <c r="BT85" s="58">
        <f>IF($R85,IF(AB85,1,0),"")</f>
        <v>1</v>
      </c>
      <c r="BU85" s="58">
        <f>IF($R85,IF(AC85,1,0),"")</f>
        <v>1</v>
      </c>
      <c r="BV85" s="58">
        <f>IF($R85,IF(AD85,1,0),"")</f>
        <v>1</v>
      </c>
      <c r="BW85" s="58">
        <f>IF($R85,IF(AE85,1,0),"")</f>
        <v>1</v>
      </c>
      <c r="BX85" s="58">
        <f>IF($R85,IF(AR85,1,0),"")</f>
        <v>1</v>
      </c>
      <c r="BY85" s="58">
        <f>IF($R85,IF(AS85,1,0),"")</f>
        <v>1</v>
      </c>
    </row>
    <row r="86" spans="1:77" x14ac:dyDescent="0.4">
      <c r="A86" s="7" t="s">
        <v>4</v>
      </c>
      <c r="B86" s="6" t="str">
        <f t="shared" si="15"/>
        <v>t</v>
      </c>
      <c r="C86" s="48" cm="1">
        <f t="array" ref="C86">IF($R86,INDEX($S:$S,MATCH(TRUE,EXACT(B86,$A:$A),0)),"")</f>
        <v>84</v>
      </c>
      <c r="D86" s="38" t="s">
        <v>14</v>
      </c>
      <c r="E86" s="48" cm="1">
        <f t="array" ref="E86">IF($R86,INDEX($S:$S,MATCH(TRUE,EXACT(D86,$A:$A),0)),"")</f>
        <v>71</v>
      </c>
      <c r="F86" s="38">
        <v>5</v>
      </c>
      <c r="G86" s="48" cm="1">
        <f t="array" ref="G86">IF($S86&lt;&gt;"",INDEX($S:$S,MATCH(TRUE,EXACT(F86,$A:$A),0)),"")</f>
        <v>21</v>
      </c>
      <c r="H86" s="38">
        <v>5</v>
      </c>
      <c r="I86" s="48" cm="1">
        <f t="array" ref="I86">IF($R86,INDEX($S:$S,MATCH(TRUE,EXACT(H86,$A:$A),0)),"")</f>
        <v>21</v>
      </c>
      <c r="J86" s="38" t="s">
        <v>4</v>
      </c>
      <c r="K86" s="52" cm="1">
        <f t="array" ref="K86">IF($R86,INDEX($S:$S,MATCH(TRUE,EXACT(J86,$A:$A),0)),"")</f>
        <v>84</v>
      </c>
      <c r="L86" s="38" t="str" cm="1">
        <f t="array" ref="L86">IF($R86,INDEX($T:$T,MATCH(TRUE,EXACT(H86,$D:$D),0)),"")</f>
        <v>g</v>
      </c>
      <c r="M86" s="48" cm="1">
        <f t="array" ref="M86">IF($R86,INDEX($S:$S,MATCH(TRUE,EXACT(L86,$A:$A),0)),"")</f>
        <v>71</v>
      </c>
      <c r="N86" s="38" t="str" cm="1">
        <f t="array" ref="N86">IF($R86,INDEX($T:$T,MATCH(TRUE,EXACT(J86,$D:$D),0)),"")</f>
        <v>h</v>
      </c>
      <c r="O86" s="52" cm="1">
        <f t="array" ref="O86">IF($R86,INDEX($S:$S,MATCH(TRUE,EXACT(N86,$A:$A),0)),"")</f>
        <v>72</v>
      </c>
      <c r="P86" s="23"/>
      <c r="Q86" s="33"/>
      <c r="R86" s="18" t="b">
        <f t="shared" si="16"/>
        <v>1</v>
      </c>
      <c r="S86" s="19">
        <f>IF(R86, MAX(S$2:S85)+1,"")</f>
        <v>84</v>
      </c>
      <c r="T86" s="23" t="str">
        <f t="shared" si="17"/>
        <v>t</v>
      </c>
      <c r="U86" s="8" t="str" cm="1">
        <f t="array" ref="U86">CharToUTF8(A86)</f>
        <v>\x74</v>
      </c>
      <c r="W86" s="18" t="str">
        <f>$AU$4</f>
        <v>ORTHO_BOTH</v>
      </c>
      <c r="X86" s="24" t="str">
        <f t="shared" si="25"/>
        <v>DIAG_BOTH</v>
      </c>
      <c r="Y86" s="24" t="str">
        <f t="shared" si="25"/>
        <v>DIAG_BOTH</v>
      </c>
      <c r="Z86" s="21" t="str">
        <f t="shared" si="25"/>
        <v>DIAG_BOTH</v>
      </c>
      <c r="AB86" s="31" t="b">
        <f t="shared" si="18"/>
        <v>0</v>
      </c>
      <c r="AC86" s="31" t="b">
        <f t="shared" si="19"/>
        <v>0</v>
      </c>
      <c r="AD86" t="b">
        <f t="shared" si="20"/>
        <v>0</v>
      </c>
      <c r="AE86" t="b">
        <f t="shared" si="21"/>
        <v>1</v>
      </c>
      <c r="AF86" t="b">
        <f>IF($R86,W86=VLOOKUP(Z86,$AU$2:$AZ$10,3,FALSE),"")</f>
        <v>0</v>
      </c>
      <c r="AG86" t="b">
        <f>IF($R86,X86=VLOOKUP(Y86,$AU$2:$AZ$10,3,FALSE),"")</f>
        <v>1</v>
      </c>
      <c r="AH86" t="b">
        <f>IF($R86,Y86=VLOOKUP(W86,$AU$2:$AZ$10,3,FALSE),"")</f>
        <v>0</v>
      </c>
      <c r="AI86" t="b">
        <f>IF($R86,Z86=VLOOKUP(X86,$AU$2:$AZ$10,3,FALSE),"")</f>
        <v>1</v>
      </c>
      <c r="AJ86" t="b">
        <f>IF($R86,W86=VLOOKUP(W86,$AU$2:$AZ$10,4,FALSE),"")</f>
        <v>1</v>
      </c>
      <c r="AK86" t="b">
        <f>IF($R86,X86=VLOOKUP(X86,$AU$2:$AZ$10,4,FALSE),"")</f>
        <v>1</v>
      </c>
      <c r="AL86" t="b">
        <f>IF($R86,Y86=VLOOKUP(Y86,$AU$2:$AZ$10,4,FALSE),"")</f>
        <v>1</v>
      </c>
      <c r="AM86" t="b">
        <f>IF($R86,Z86=VLOOKUP(Z86,$AU$2:$AZ$10,4,FALSE),"")</f>
        <v>1</v>
      </c>
      <c r="AN86" t="b">
        <f>IF($R86,W86=VLOOKUP(W86,$AU$2:$AZ$10,5,FALSE),"")</f>
        <v>1</v>
      </c>
      <c r="AO86" t="b">
        <f>IF($R86,X86=VLOOKUP(X86,$AU$2:$AZ$10,5,FALSE),"")</f>
        <v>1</v>
      </c>
      <c r="AP86" t="b">
        <f>IF($R86,Y86=VLOOKUP(Y86,$AU$2:$AZ$10,6,FALSE),"")</f>
        <v>1</v>
      </c>
      <c r="AQ86" t="b">
        <f>IF($R86,Z86=VLOOKUP(Z86,$AU$2:$AZ$10,6,FALSE),"")</f>
        <v>1</v>
      </c>
      <c r="AR86" t="b">
        <f t="shared" si="22"/>
        <v>0</v>
      </c>
      <c r="AS86" t="b">
        <f t="shared" si="23"/>
        <v>0</v>
      </c>
      <c r="BD86" s="59" t="str">
        <f t="shared" si="24"/>
        <v xml:space="preserve">    { wxString::FromUTF8("\x74"), &amp;AllGlyphs[71], &amp;AllGlyphs[21], &amp;AllGlyphs[21], &amp;AllGlyphs[84], &amp;AllGlyphs[71], &amp;AllGlyphs[72], Connection::ORTHO_BOTH, Connection::DIAG_BOTH, Connection::DIAG_BOTH, Connection::DIAG_BOTH, 0, 0, 0, 1, 0, 0 },</v>
      </c>
      <c r="BE86" s="60"/>
      <c r="BF86" s="60"/>
      <c r="BG86" s="60"/>
      <c r="BH86" s="60"/>
      <c r="BI86" s="60"/>
      <c r="BJ86" s="60"/>
      <c r="BK86" s="61"/>
      <c r="BM86" s="54" t="str">
        <f>IF($R86,"&amp;AllGlyphs[" &amp; E86 &amp; "]","")</f>
        <v>&amp;AllGlyphs[71]</v>
      </c>
      <c r="BN86" s="54" t="str">
        <f>IF($R86,"&amp;AllGlyphs[" &amp; G86 &amp; "]","")</f>
        <v>&amp;AllGlyphs[21]</v>
      </c>
      <c r="BO86" s="54" t="str">
        <f>IF($R86,"&amp;AllGlyphs[" &amp; I86 &amp; "]","")</f>
        <v>&amp;AllGlyphs[21]</v>
      </c>
      <c r="BP86" s="54" t="str">
        <f>IF($R86,"&amp;AllGlyphs[" &amp; K86 &amp; "]","")</f>
        <v>&amp;AllGlyphs[84]</v>
      </c>
      <c r="BQ86" s="54" t="str">
        <f>IF($R86,"&amp;AllGlyphs[" &amp; M86 &amp; "]","")</f>
        <v>&amp;AllGlyphs[71]</v>
      </c>
      <c r="BR86" s="54" t="str">
        <f>IF($R86,"&amp;AllGlyphs[" &amp; O86 &amp; "]","")</f>
        <v>&amp;AllGlyphs[72]</v>
      </c>
      <c r="BT86" s="58">
        <f>IF($R86,IF(AB86,1,0),"")</f>
        <v>0</v>
      </c>
      <c r="BU86" s="58">
        <f>IF($R86,IF(AC86,1,0),"")</f>
        <v>0</v>
      </c>
      <c r="BV86" s="58">
        <f>IF($R86,IF(AD86,1,0),"")</f>
        <v>0</v>
      </c>
      <c r="BW86" s="58">
        <f>IF($R86,IF(AE86,1,0),"")</f>
        <v>1</v>
      </c>
      <c r="BX86" s="58">
        <f>IF($R86,IF(AR86,1,0),"")</f>
        <v>0</v>
      </c>
      <c r="BY86" s="58">
        <f>IF($R86,IF(AS86,1,0),"")</f>
        <v>0</v>
      </c>
    </row>
    <row r="87" spans="1:77" x14ac:dyDescent="0.4">
      <c r="A87" s="7" t="s">
        <v>6</v>
      </c>
      <c r="B87" s="6" t="str">
        <f t="shared" si="15"/>
        <v>u</v>
      </c>
      <c r="C87" s="48" cm="1">
        <f t="array" ref="C87">IF($R87,INDEX($S:$S,MATCH(TRUE,EXACT(B87,$A:$A),0)),"")</f>
        <v>85</v>
      </c>
      <c r="D87" s="38" t="s">
        <v>16</v>
      </c>
      <c r="E87" s="48" cm="1">
        <f t="array" ref="E87">IF($R87,INDEX($S:$S,MATCH(TRUE,EXACT(D87,$A:$A),0)),"")</f>
        <v>74</v>
      </c>
      <c r="F87" s="38">
        <v>8</v>
      </c>
      <c r="G87" s="48" cm="1">
        <f t="array" ref="G87">IF($S87&lt;&gt;"",INDEX($S:$S,MATCH(TRUE,EXACT(F87,$A:$A),0)),"")</f>
        <v>24</v>
      </c>
      <c r="H87" s="38">
        <v>7</v>
      </c>
      <c r="I87" s="48" cm="1">
        <f t="array" ref="I87">IF($R87,INDEX($S:$S,MATCH(TRUE,EXACT(H87,$A:$A),0)),"")</f>
        <v>23</v>
      </c>
      <c r="J87" s="38" t="s">
        <v>7</v>
      </c>
      <c r="K87" s="52" cm="1">
        <f t="array" ref="K87">IF($R87,INDEX($S:$S,MATCH(TRUE,EXACT(J87,$A:$A),0)),"")</f>
        <v>73</v>
      </c>
      <c r="L87" s="38" t="str" cm="1">
        <f t="array" ref="L87">IF($R87,INDEX($T:$T,MATCH(TRUE,EXACT(H87,$D:$D),0)),"")</f>
        <v>m</v>
      </c>
      <c r="M87" s="48" cm="1">
        <f t="array" ref="M87">IF($R87,INDEX($S:$S,MATCH(TRUE,EXACT(L87,$A:$A),0)),"")</f>
        <v>77</v>
      </c>
      <c r="N87" s="38" t="str" cm="1">
        <f t="array" ref="N87">IF($R87,INDEX($T:$T,MATCH(TRUE,EXACT(J87,$D:$D),0)),"")</f>
        <v>k</v>
      </c>
      <c r="O87" s="52" cm="1">
        <f t="array" ref="O87">IF($R87,INDEX($S:$S,MATCH(TRUE,EXACT(N87,$A:$A),0)),"")</f>
        <v>75</v>
      </c>
      <c r="P87" s="23"/>
      <c r="Q87" s="33"/>
      <c r="R87" s="18" t="b">
        <f t="shared" si="16"/>
        <v>1</v>
      </c>
      <c r="S87" s="19">
        <f>IF(R87, MAX(S$2:S86)+1,"")</f>
        <v>85</v>
      </c>
      <c r="T87" s="23" t="str">
        <f t="shared" si="17"/>
        <v>u</v>
      </c>
      <c r="U87" s="8" t="str" cm="1">
        <f t="array" ref="U87">CharToUTF8(A87)</f>
        <v>\x75</v>
      </c>
      <c r="W87" s="18" t="str">
        <f>$AU$4</f>
        <v>ORTHO_BOTH</v>
      </c>
      <c r="X87" s="24" t="str">
        <f>$AU$3</f>
        <v>DIAG_BOTH</v>
      </c>
      <c r="Y87" s="24" t="str">
        <f>$AU$2</f>
        <v>EMPTY</v>
      </c>
      <c r="Z87" s="21" t="str">
        <f>$AU$3</f>
        <v>DIAG_BOTH</v>
      </c>
      <c r="AB87" s="31" t="b">
        <f t="shared" si="18"/>
        <v>0</v>
      </c>
      <c r="AC87" s="31" t="b">
        <f t="shared" si="19"/>
        <v>0</v>
      </c>
      <c r="AD87" t="b">
        <f t="shared" si="20"/>
        <v>0</v>
      </c>
      <c r="AE87" t="b">
        <f t="shared" si="21"/>
        <v>0</v>
      </c>
      <c r="AF87" t="b">
        <f>IF($R87,W87=VLOOKUP(Z87,$AU$2:$AZ$10,3,FALSE),"")</f>
        <v>0</v>
      </c>
      <c r="AG87" t="b">
        <f>IF($R87,X87=VLOOKUP(Y87,$AU$2:$AZ$10,3,FALSE),"")</f>
        <v>0</v>
      </c>
      <c r="AH87" t="b">
        <f>IF($R87,Y87=VLOOKUP(W87,$AU$2:$AZ$10,3,FALSE),"")</f>
        <v>0</v>
      </c>
      <c r="AI87" t="b">
        <f>IF($R87,Z87=VLOOKUP(X87,$AU$2:$AZ$10,3,FALSE),"")</f>
        <v>1</v>
      </c>
      <c r="AJ87" t="b">
        <f>IF($R87,W87=VLOOKUP(W87,$AU$2:$AZ$10,4,FALSE),"")</f>
        <v>1</v>
      </c>
      <c r="AK87" t="b">
        <f>IF($R87,X87=VLOOKUP(X87,$AU$2:$AZ$10,4,FALSE),"")</f>
        <v>1</v>
      </c>
      <c r="AL87" t="b">
        <f>IF($R87,Y87=VLOOKUP(Y87,$AU$2:$AZ$10,4,FALSE),"")</f>
        <v>1</v>
      </c>
      <c r="AM87" t="b">
        <f>IF($R87,Z87=VLOOKUP(Z87,$AU$2:$AZ$10,4,FALSE),"")</f>
        <v>1</v>
      </c>
      <c r="AN87" t="b">
        <f>IF($R87,W87=VLOOKUP(W87,$AU$2:$AZ$10,5,FALSE),"")</f>
        <v>1</v>
      </c>
      <c r="AO87" t="b">
        <f>IF($R87,X87=VLOOKUP(X87,$AU$2:$AZ$10,5,FALSE),"")</f>
        <v>1</v>
      </c>
      <c r="AP87" t="b">
        <f>IF($R87,Y87=VLOOKUP(Y87,$AU$2:$AZ$10,6,FALSE),"")</f>
        <v>1</v>
      </c>
      <c r="AQ87" t="b">
        <f>IF($R87,Z87=VLOOKUP(Z87,$AU$2:$AZ$10,6,FALSE),"")</f>
        <v>1</v>
      </c>
      <c r="AR87" t="b">
        <f t="shared" si="22"/>
        <v>0</v>
      </c>
      <c r="AS87" t="b">
        <f t="shared" si="23"/>
        <v>0</v>
      </c>
      <c r="BD87" s="59" t="str">
        <f t="shared" si="24"/>
        <v xml:space="preserve">    { wxString::FromUTF8("\x75"), &amp;AllGlyphs[74], &amp;AllGlyphs[24], &amp;AllGlyphs[23], &amp;AllGlyphs[73], &amp;AllGlyphs[77], &amp;AllGlyphs[75], Connection::ORTHO_BOTH, Connection::DIAG_BOTH, Connection::EMPTY, Connection::DIAG_BOTH, 0, 0, 0, 0, 0, 0 },</v>
      </c>
      <c r="BE87" s="60"/>
      <c r="BF87" s="60"/>
      <c r="BG87" s="60"/>
      <c r="BH87" s="60"/>
      <c r="BI87" s="60"/>
      <c r="BJ87" s="60"/>
      <c r="BK87" s="61"/>
      <c r="BM87" s="54" t="str">
        <f>IF($R87,"&amp;AllGlyphs[" &amp; E87 &amp; "]","")</f>
        <v>&amp;AllGlyphs[74]</v>
      </c>
      <c r="BN87" s="54" t="str">
        <f>IF($R87,"&amp;AllGlyphs[" &amp; G87 &amp; "]","")</f>
        <v>&amp;AllGlyphs[24]</v>
      </c>
      <c r="BO87" s="54" t="str">
        <f>IF($R87,"&amp;AllGlyphs[" &amp; I87 &amp; "]","")</f>
        <v>&amp;AllGlyphs[23]</v>
      </c>
      <c r="BP87" s="54" t="str">
        <f>IF($R87,"&amp;AllGlyphs[" &amp; K87 &amp; "]","")</f>
        <v>&amp;AllGlyphs[73]</v>
      </c>
      <c r="BQ87" s="54" t="str">
        <f>IF($R87,"&amp;AllGlyphs[" &amp; M87 &amp; "]","")</f>
        <v>&amp;AllGlyphs[77]</v>
      </c>
      <c r="BR87" s="54" t="str">
        <f>IF($R87,"&amp;AllGlyphs[" &amp; O87 &amp; "]","")</f>
        <v>&amp;AllGlyphs[75]</v>
      </c>
      <c r="BT87" s="58">
        <f>IF($R87,IF(AB87,1,0),"")</f>
        <v>0</v>
      </c>
      <c r="BU87" s="58">
        <f>IF($R87,IF(AC87,1,0),"")</f>
        <v>0</v>
      </c>
      <c r="BV87" s="58">
        <f>IF($R87,IF(AD87,1,0),"")</f>
        <v>0</v>
      </c>
      <c r="BW87" s="58">
        <f>IF($R87,IF(AE87,1,0),"")</f>
        <v>0</v>
      </c>
      <c r="BX87" s="58">
        <f>IF($R87,IF(AR87,1,0),"")</f>
        <v>0</v>
      </c>
      <c r="BY87" s="58">
        <f>IF($R87,IF(AS87,1,0),"")</f>
        <v>0</v>
      </c>
    </row>
    <row r="88" spans="1:77" x14ac:dyDescent="0.4">
      <c r="A88" s="7" t="s">
        <v>22</v>
      </c>
      <c r="B88" s="6" t="str">
        <f t="shared" si="15"/>
        <v>v</v>
      </c>
      <c r="C88" s="48" cm="1">
        <f t="array" ref="C88">IF($R88,INDEX($S:$S,MATCH(TRUE,EXACT(B88,$A:$A),0)),"")</f>
        <v>86</v>
      </c>
      <c r="D88" s="38" t="s">
        <v>3</v>
      </c>
      <c r="E88" s="48" cm="1">
        <f t="array" ref="E88">IF($R88,INDEX($S:$S,MATCH(TRUE,EXACT(D88,$A:$A),0)),"")</f>
        <v>82</v>
      </c>
      <c r="F88" s="38" t="s">
        <v>13</v>
      </c>
      <c r="G88" s="48" cm="1">
        <f t="array" ref="G88">IF($S88&lt;&gt;"",INDEX($S:$S,MATCH(TRUE,EXACT(F88,$A:$A),0)),"")</f>
        <v>70</v>
      </c>
      <c r="H88" s="38" t="s">
        <v>22</v>
      </c>
      <c r="I88" s="48" cm="1">
        <f t="array" ref="I88">IF($R88,INDEX($S:$S,MATCH(TRUE,EXACT(H88,$A:$A),0)),"")</f>
        <v>86</v>
      </c>
      <c r="J88" s="38" t="s">
        <v>13</v>
      </c>
      <c r="K88" s="52" cm="1">
        <f t="array" ref="K88">IF($R88,INDEX($S:$S,MATCH(TRUE,EXACT(J88,$A:$A),0)),"")</f>
        <v>70</v>
      </c>
      <c r="L88" s="38" cm="1">
        <f t="array" ref="L88">IF($R88,INDEX($T:$T,MATCH(TRUE,EXACT(H88,$D:$D),0)),"")</f>
        <v>4</v>
      </c>
      <c r="M88" s="48" cm="1">
        <f t="array" ref="M88">IF($R88,INDEX($S:$S,MATCH(TRUE,EXACT(L88,$A:$A),0)),"")</f>
        <v>20</v>
      </c>
      <c r="N88" s="38" t="str" cm="1">
        <f t="array" ref="N88">IF($R88,INDEX($T:$T,MATCH(TRUE,EXACT(J88,$D:$D),0)),"")</f>
        <v>r</v>
      </c>
      <c r="O88" s="52" cm="1">
        <f t="array" ref="O88">IF($R88,INDEX($S:$S,MATCH(TRUE,EXACT(N88,$A:$A),0)),"")</f>
        <v>82</v>
      </c>
      <c r="P88" s="23"/>
      <c r="Q88" s="33"/>
      <c r="R88" s="18" t="b">
        <f t="shared" si="16"/>
        <v>1</v>
      </c>
      <c r="S88" s="19">
        <f>IF(R88, MAX(S$2:S87)+1,"")</f>
        <v>86</v>
      </c>
      <c r="T88" s="23" t="str">
        <f t="shared" si="17"/>
        <v>v</v>
      </c>
      <c r="U88" s="8" t="str" cm="1">
        <f t="array" ref="U88">CharToUTF8(A88)</f>
        <v>\x76</v>
      </c>
      <c r="W88" s="18" t="str">
        <f>$AU$2</f>
        <v>EMPTY</v>
      </c>
      <c r="X88" s="24" t="str">
        <f>$AU$2</f>
        <v>EMPTY</v>
      </c>
      <c r="Y88" s="24" t="str">
        <f>$AU$3</f>
        <v>DIAG_BOTH</v>
      </c>
      <c r="Z88" s="21" t="str">
        <f>$AU$2</f>
        <v>EMPTY</v>
      </c>
      <c r="AB88" s="31" t="b">
        <f t="shared" si="18"/>
        <v>0</v>
      </c>
      <c r="AC88" s="31" t="b">
        <f t="shared" si="19"/>
        <v>0</v>
      </c>
      <c r="AD88" t="b">
        <f t="shared" si="20"/>
        <v>1</v>
      </c>
      <c r="AE88" t="b">
        <f t="shared" si="21"/>
        <v>0</v>
      </c>
      <c r="AF88" t="b">
        <f>IF($R88,W88=VLOOKUP(Z88,$AU$2:$AZ$10,3,FALSE),"")</f>
        <v>1</v>
      </c>
      <c r="AG88" t="b">
        <f>IF($R88,X88=VLOOKUP(Y88,$AU$2:$AZ$10,3,FALSE),"")</f>
        <v>0</v>
      </c>
      <c r="AH88" t="b">
        <f>IF($R88,Y88=VLOOKUP(W88,$AU$2:$AZ$10,3,FALSE),"")</f>
        <v>0</v>
      </c>
      <c r="AI88" t="b">
        <f>IF($R88,Z88=VLOOKUP(X88,$AU$2:$AZ$10,3,FALSE),"")</f>
        <v>1</v>
      </c>
      <c r="AJ88" t="b">
        <f>IF($R88,W88=VLOOKUP(W88,$AU$2:$AZ$10,4,FALSE),"")</f>
        <v>1</v>
      </c>
      <c r="AK88" t="b">
        <f>IF($R88,X88=VLOOKUP(X88,$AU$2:$AZ$10,4,FALSE),"")</f>
        <v>1</v>
      </c>
      <c r="AL88" t="b">
        <f>IF($R88,Y88=VLOOKUP(Y88,$AU$2:$AZ$10,4,FALSE),"")</f>
        <v>1</v>
      </c>
      <c r="AM88" t="b">
        <f>IF($R88,Z88=VLOOKUP(Z88,$AU$2:$AZ$10,4,FALSE),"")</f>
        <v>1</v>
      </c>
      <c r="AN88" t="b">
        <f>IF($R88,W88=VLOOKUP(W88,$AU$2:$AZ$10,5,FALSE),"")</f>
        <v>1</v>
      </c>
      <c r="AO88" t="b">
        <f>IF($R88,X88=VLOOKUP(X88,$AU$2:$AZ$10,5,FALSE),"")</f>
        <v>1</v>
      </c>
      <c r="AP88" t="b">
        <f>IF($R88,Y88=VLOOKUP(Y88,$AU$2:$AZ$10,6,FALSE),"")</f>
        <v>1</v>
      </c>
      <c r="AQ88" t="b">
        <f>IF($R88,Z88=VLOOKUP(Z88,$AU$2:$AZ$10,6,FALSE),"")</f>
        <v>1</v>
      </c>
      <c r="AR88" t="b">
        <f t="shared" si="22"/>
        <v>0</v>
      </c>
      <c r="AS88" t="b">
        <f t="shared" si="23"/>
        <v>0</v>
      </c>
      <c r="BD88" s="59" t="str">
        <f t="shared" si="24"/>
        <v xml:space="preserve">    { wxString::FromUTF8("\x76"), &amp;AllGlyphs[82], &amp;AllGlyphs[70], &amp;AllGlyphs[86], &amp;AllGlyphs[70], &amp;AllGlyphs[20], &amp;AllGlyphs[82], Connection::EMPTY, Connection::EMPTY, Connection::DIAG_BOTH, Connection::EMPTY, 0, 0, 1, 0, 0, 0 },</v>
      </c>
      <c r="BE88" s="60"/>
      <c r="BF88" s="60"/>
      <c r="BG88" s="60"/>
      <c r="BH88" s="60"/>
      <c r="BI88" s="60"/>
      <c r="BJ88" s="60"/>
      <c r="BK88" s="61"/>
      <c r="BM88" s="54" t="str">
        <f>IF($R88,"&amp;AllGlyphs[" &amp; E88 &amp; "]","")</f>
        <v>&amp;AllGlyphs[82]</v>
      </c>
      <c r="BN88" s="54" t="str">
        <f>IF($R88,"&amp;AllGlyphs[" &amp; G88 &amp; "]","")</f>
        <v>&amp;AllGlyphs[70]</v>
      </c>
      <c r="BO88" s="54" t="str">
        <f>IF($R88,"&amp;AllGlyphs[" &amp; I88 &amp; "]","")</f>
        <v>&amp;AllGlyphs[86]</v>
      </c>
      <c r="BP88" s="54" t="str">
        <f>IF($R88,"&amp;AllGlyphs[" &amp; K88 &amp; "]","")</f>
        <v>&amp;AllGlyphs[70]</v>
      </c>
      <c r="BQ88" s="54" t="str">
        <f>IF($R88,"&amp;AllGlyphs[" &amp; M88 &amp; "]","")</f>
        <v>&amp;AllGlyphs[20]</v>
      </c>
      <c r="BR88" s="54" t="str">
        <f>IF($R88,"&amp;AllGlyphs[" &amp; O88 &amp; "]","")</f>
        <v>&amp;AllGlyphs[82]</v>
      </c>
      <c r="BT88" s="58">
        <f>IF($R88,IF(AB88,1,0),"")</f>
        <v>0</v>
      </c>
      <c r="BU88" s="58">
        <f>IF($R88,IF(AC88,1,0),"")</f>
        <v>0</v>
      </c>
      <c r="BV88" s="58">
        <f>IF($R88,IF(AD88,1,0),"")</f>
        <v>1</v>
      </c>
      <c r="BW88" s="58">
        <f>IF($R88,IF(AE88,1,0),"")</f>
        <v>0</v>
      </c>
      <c r="BX88" s="58">
        <f>IF($R88,IF(AR88,1,0),"")</f>
        <v>0</v>
      </c>
      <c r="BY88" s="58">
        <f>IF($R88,IF(AS88,1,0),"")</f>
        <v>0</v>
      </c>
    </row>
    <row r="89" spans="1:77" x14ac:dyDescent="0.4">
      <c r="A89" s="7" t="s">
        <v>1</v>
      </c>
      <c r="B89" s="6" t="str">
        <f t="shared" si="15"/>
        <v>w</v>
      </c>
      <c r="C89" s="48" cm="1">
        <f t="array" ref="C89">IF($R89,INDEX($S:$S,MATCH(TRUE,EXACT(B89,$A:$A),0)),"")</f>
        <v>87</v>
      </c>
      <c r="D89" s="38" t="s">
        <v>12</v>
      </c>
      <c r="E89" s="48" cm="1">
        <f t="array" ref="E89">IF($R89,INDEX($S:$S,MATCH(TRUE,EXACT(D89,$A:$A),0)),"")</f>
        <v>68</v>
      </c>
      <c r="F89" s="38" t="s">
        <v>20</v>
      </c>
      <c r="G89" s="48" cm="1">
        <f t="array" ref="G89">IF($S89&lt;&gt;"",INDEX($S:$S,MATCH(TRUE,EXACT(F89,$A:$A),0)),"")</f>
        <v>88</v>
      </c>
      <c r="H89" s="38" t="s">
        <v>20</v>
      </c>
      <c r="I89" s="48" cm="1">
        <f t="array" ref="I89">IF($R89,INDEX($S:$S,MATCH(TRUE,EXACT(H89,$A:$A),0)),"")</f>
        <v>88</v>
      </c>
      <c r="J89" s="38" t="s">
        <v>1</v>
      </c>
      <c r="K89" s="52" cm="1">
        <f t="array" ref="K89">IF($R89,INDEX($S:$S,MATCH(TRUE,EXACT(J89,$A:$A),0)),"")</f>
        <v>87</v>
      </c>
      <c r="L89" s="38" t="str" cm="1">
        <f t="array" ref="L89">IF($R89,INDEX($T:$T,MATCH(TRUE,EXACT(H89,$D:$D),0)),"")</f>
        <v>d</v>
      </c>
      <c r="M89" s="48" cm="1">
        <f t="array" ref="M89">IF($R89,INDEX($S:$S,MATCH(TRUE,EXACT(L89,$A:$A),0)),"")</f>
        <v>68</v>
      </c>
      <c r="N89" s="38" t="str" cm="1">
        <f t="array" ref="N89">IF($R89,INDEX($T:$T,MATCH(TRUE,EXACT(J89,$D:$D),0)),"")</f>
        <v>a</v>
      </c>
      <c r="O89" s="52" cm="1">
        <f t="array" ref="O89">IF($R89,INDEX($S:$S,MATCH(TRUE,EXACT(N89,$A:$A),0)),"")</f>
        <v>65</v>
      </c>
      <c r="P89" s="23"/>
      <c r="Q89" s="33"/>
      <c r="R89" s="18" t="b">
        <f t="shared" si="16"/>
        <v>1</v>
      </c>
      <c r="S89" s="19">
        <f>IF(R89, MAX(S$2:S88)+1,"")</f>
        <v>87</v>
      </c>
      <c r="T89" s="23" t="str">
        <f t="shared" si="17"/>
        <v>w</v>
      </c>
      <c r="U89" s="8" t="str" cm="1">
        <f t="array" ref="U89">CharToUTF8(A89)</f>
        <v>\x77</v>
      </c>
      <c r="W89" s="18" t="str">
        <f>$AU$2</f>
        <v>EMPTY</v>
      </c>
      <c r="X89" s="24" t="str">
        <f>$AU$3</f>
        <v>DIAG_BOTH</v>
      </c>
      <c r="Y89" s="24" t="str">
        <f>$AU$3</f>
        <v>DIAG_BOTH</v>
      </c>
      <c r="Z89" s="21" t="str">
        <f>$AU$3</f>
        <v>DIAG_BOTH</v>
      </c>
      <c r="AB89" s="31" t="b">
        <f t="shared" si="18"/>
        <v>0</v>
      </c>
      <c r="AC89" s="31" t="b">
        <f t="shared" si="19"/>
        <v>0</v>
      </c>
      <c r="AD89" t="b">
        <f t="shared" si="20"/>
        <v>0</v>
      </c>
      <c r="AE89" t="b">
        <f t="shared" si="21"/>
        <v>1</v>
      </c>
      <c r="AF89" t="b">
        <f>IF($R89,W89=VLOOKUP(Z89,$AU$2:$AZ$10,3,FALSE),"")</f>
        <v>0</v>
      </c>
      <c r="AG89" t="b">
        <f>IF($R89,X89=VLOOKUP(Y89,$AU$2:$AZ$10,3,FALSE),"")</f>
        <v>1</v>
      </c>
      <c r="AH89" t="b">
        <f>IF($R89,Y89=VLOOKUP(W89,$AU$2:$AZ$10,3,FALSE),"")</f>
        <v>0</v>
      </c>
      <c r="AI89" t="b">
        <f>IF($R89,Z89=VLOOKUP(X89,$AU$2:$AZ$10,3,FALSE),"")</f>
        <v>1</v>
      </c>
      <c r="AJ89" t="b">
        <f>IF($R89,W89=VLOOKUP(W89,$AU$2:$AZ$10,4,FALSE),"")</f>
        <v>1</v>
      </c>
      <c r="AK89" t="b">
        <f>IF($R89,X89=VLOOKUP(X89,$AU$2:$AZ$10,4,FALSE),"")</f>
        <v>1</v>
      </c>
      <c r="AL89" t="b">
        <f>IF($R89,Y89=VLOOKUP(Y89,$AU$2:$AZ$10,4,FALSE),"")</f>
        <v>1</v>
      </c>
      <c r="AM89" t="b">
        <f>IF($R89,Z89=VLOOKUP(Z89,$AU$2:$AZ$10,4,FALSE),"")</f>
        <v>1</v>
      </c>
      <c r="AN89" t="b">
        <f>IF($R89,W89=VLOOKUP(W89,$AU$2:$AZ$10,5,FALSE),"")</f>
        <v>1</v>
      </c>
      <c r="AO89" t="b">
        <f>IF($R89,X89=VLOOKUP(X89,$AU$2:$AZ$10,5,FALSE),"")</f>
        <v>1</v>
      </c>
      <c r="AP89" t="b">
        <f>IF($R89,Y89=VLOOKUP(Y89,$AU$2:$AZ$10,6,FALSE),"")</f>
        <v>1</v>
      </c>
      <c r="AQ89" t="b">
        <f>IF($R89,Z89=VLOOKUP(Z89,$AU$2:$AZ$10,6,FALSE),"")</f>
        <v>1</v>
      </c>
      <c r="AR89" t="b">
        <f t="shared" si="22"/>
        <v>0</v>
      </c>
      <c r="AS89" t="b">
        <f t="shared" si="23"/>
        <v>0</v>
      </c>
      <c r="BD89" s="59" t="str">
        <f t="shared" si="24"/>
        <v xml:space="preserve">    { wxString::FromUTF8("\x77"), &amp;AllGlyphs[68], &amp;AllGlyphs[88], &amp;AllGlyphs[88], &amp;AllGlyphs[87], &amp;AllGlyphs[68], &amp;AllGlyphs[65], Connection::EMPTY, Connection::DIAG_BOTH, Connection::DIAG_BOTH, Connection::DIAG_BOTH, 0, 0, 0, 1, 0, 0 },</v>
      </c>
      <c r="BE89" s="60"/>
      <c r="BF89" s="60"/>
      <c r="BG89" s="60"/>
      <c r="BH89" s="60"/>
      <c r="BI89" s="60"/>
      <c r="BJ89" s="60"/>
      <c r="BK89" s="61"/>
      <c r="BM89" s="54" t="str">
        <f>IF($R89,"&amp;AllGlyphs[" &amp; E89 &amp; "]","")</f>
        <v>&amp;AllGlyphs[68]</v>
      </c>
      <c r="BN89" s="54" t="str">
        <f>IF($R89,"&amp;AllGlyphs[" &amp; G89 &amp; "]","")</f>
        <v>&amp;AllGlyphs[88]</v>
      </c>
      <c r="BO89" s="54" t="str">
        <f>IF($R89,"&amp;AllGlyphs[" &amp; I89 &amp; "]","")</f>
        <v>&amp;AllGlyphs[88]</v>
      </c>
      <c r="BP89" s="54" t="str">
        <f>IF($R89,"&amp;AllGlyphs[" &amp; K89 &amp; "]","")</f>
        <v>&amp;AllGlyphs[87]</v>
      </c>
      <c r="BQ89" s="54" t="str">
        <f>IF($R89,"&amp;AllGlyphs[" &amp; M89 &amp; "]","")</f>
        <v>&amp;AllGlyphs[68]</v>
      </c>
      <c r="BR89" s="54" t="str">
        <f>IF($R89,"&amp;AllGlyphs[" &amp; O89 &amp; "]","")</f>
        <v>&amp;AllGlyphs[65]</v>
      </c>
      <c r="BT89" s="58">
        <f>IF($R89,IF(AB89,1,0),"")</f>
        <v>0</v>
      </c>
      <c r="BU89" s="58">
        <f>IF($R89,IF(AC89,1,0),"")</f>
        <v>0</v>
      </c>
      <c r="BV89" s="58">
        <f>IF($R89,IF(AD89,1,0),"")</f>
        <v>0</v>
      </c>
      <c r="BW89" s="58">
        <f>IF($R89,IF(AE89,1,0),"")</f>
        <v>1</v>
      </c>
      <c r="BX89" s="58">
        <f>IF($R89,IF(AR89,1,0),"")</f>
        <v>0</v>
      </c>
      <c r="BY89" s="58">
        <f>IF($R89,IF(AS89,1,0),"")</f>
        <v>0</v>
      </c>
    </row>
    <row r="90" spans="1:77" x14ac:dyDescent="0.4">
      <c r="A90" s="7" t="s">
        <v>20</v>
      </c>
      <c r="B90" s="6" t="str">
        <f t="shared" si="15"/>
        <v>x</v>
      </c>
      <c r="C90" s="48" cm="1">
        <f t="array" ref="C90">IF($R90,INDEX($S:$S,MATCH(TRUE,EXACT(B90,$A:$A),0)),"")</f>
        <v>88</v>
      </c>
      <c r="D90" s="38" t="s">
        <v>10</v>
      </c>
      <c r="E90" s="48" cm="1">
        <f t="array" ref="E90">IF($R90,INDEX($S:$S,MATCH(TRUE,EXACT(D90,$A:$A),0)),"")</f>
        <v>65</v>
      </c>
      <c r="F90" s="38" t="s">
        <v>1</v>
      </c>
      <c r="G90" s="48" cm="1">
        <f t="array" ref="G90">IF($S90&lt;&gt;"",INDEX($S:$S,MATCH(TRUE,EXACT(F90,$A:$A),0)),"")</f>
        <v>87</v>
      </c>
      <c r="H90" s="38" t="s">
        <v>1</v>
      </c>
      <c r="I90" s="48" cm="1">
        <f t="array" ref="I90">IF($R90,INDEX($S:$S,MATCH(TRUE,EXACT(H90,$A:$A),0)),"")</f>
        <v>87</v>
      </c>
      <c r="J90" s="38" t="s">
        <v>20</v>
      </c>
      <c r="K90" s="52" cm="1">
        <f t="array" ref="K90">IF($R90,INDEX($S:$S,MATCH(TRUE,EXACT(J90,$A:$A),0)),"")</f>
        <v>88</v>
      </c>
      <c r="L90" s="38" t="str" cm="1">
        <f t="array" ref="L90">IF($R90,INDEX($T:$T,MATCH(TRUE,EXACT(H90,$D:$D),0)),"")</f>
        <v>a</v>
      </c>
      <c r="M90" s="48" cm="1">
        <f t="array" ref="M90">IF($R90,INDEX($S:$S,MATCH(TRUE,EXACT(L90,$A:$A),0)),"")</f>
        <v>65</v>
      </c>
      <c r="N90" s="38" t="str" cm="1">
        <f t="array" ref="N90">IF($R90,INDEX($T:$T,MATCH(TRUE,EXACT(J90,$D:$D),0)),"")</f>
        <v>d</v>
      </c>
      <c r="O90" s="52" cm="1">
        <f t="array" ref="O90">IF($R90,INDEX($S:$S,MATCH(TRUE,EXACT(N90,$A:$A),0)),"")</f>
        <v>68</v>
      </c>
      <c r="P90" s="23"/>
      <c r="Q90" s="33"/>
      <c r="R90" s="18" t="b">
        <f t="shared" si="16"/>
        <v>1</v>
      </c>
      <c r="S90" s="19">
        <f>IF(R90, MAX(S$2:S89)+1,"")</f>
        <v>88</v>
      </c>
      <c r="T90" s="23" t="str">
        <f t="shared" si="17"/>
        <v>x</v>
      </c>
      <c r="U90" s="8" t="str" cm="1">
        <f t="array" ref="U90">CharToUTF8(A90)</f>
        <v>\x78</v>
      </c>
      <c r="W90" s="18" t="str">
        <f>$AU$3</f>
        <v>DIAG_BOTH</v>
      </c>
      <c r="X90" s="24" t="str">
        <f>$AU$2</f>
        <v>EMPTY</v>
      </c>
      <c r="Y90" s="24" t="str">
        <f>$AU$3</f>
        <v>DIAG_BOTH</v>
      </c>
      <c r="Z90" s="21" t="str">
        <f>$AU$3</f>
        <v>DIAG_BOTH</v>
      </c>
      <c r="AB90" s="31" t="b">
        <f t="shared" si="18"/>
        <v>0</v>
      </c>
      <c r="AC90" s="31" t="b">
        <f t="shared" si="19"/>
        <v>0</v>
      </c>
      <c r="AD90" t="b">
        <f t="shared" si="20"/>
        <v>0</v>
      </c>
      <c r="AE90" t="b">
        <f t="shared" si="21"/>
        <v>1</v>
      </c>
      <c r="AF90" t="b">
        <f>IF($R90,W90=VLOOKUP(Z90,$AU$2:$AZ$10,3,FALSE),"")</f>
        <v>1</v>
      </c>
      <c r="AG90" t="b">
        <f>IF($R90,X90=VLOOKUP(Y90,$AU$2:$AZ$10,3,FALSE),"")</f>
        <v>0</v>
      </c>
      <c r="AH90" t="b">
        <f>IF($R90,Y90=VLOOKUP(W90,$AU$2:$AZ$10,3,FALSE),"")</f>
        <v>1</v>
      </c>
      <c r="AI90" t="b">
        <f>IF($R90,Z90=VLOOKUP(X90,$AU$2:$AZ$10,3,FALSE),"")</f>
        <v>0</v>
      </c>
      <c r="AJ90" t="b">
        <f>IF($R90,W90=VLOOKUP(W90,$AU$2:$AZ$10,4,FALSE),"")</f>
        <v>1</v>
      </c>
      <c r="AK90" t="b">
        <f>IF($R90,X90=VLOOKUP(X90,$AU$2:$AZ$10,4,FALSE),"")</f>
        <v>1</v>
      </c>
      <c r="AL90" t="b">
        <f>IF($R90,Y90=VLOOKUP(Y90,$AU$2:$AZ$10,4,FALSE),"")</f>
        <v>1</v>
      </c>
      <c r="AM90" t="b">
        <f>IF($R90,Z90=VLOOKUP(Z90,$AU$2:$AZ$10,4,FALSE),"")</f>
        <v>1</v>
      </c>
      <c r="AN90" t="b">
        <f>IF($R90,W90=VLOOKUP(W90,$AU$2:$AZ$10,5,FALSE),"")</f>
        <v>1</v>
      </c>
      <c r="AO90" t="b">
        <f>IF($R90,X90=VLOOKUP(X90,$AU$2:$AZ$10,5,FALSE),"")</f>
        <v>1</v>
      </c>
      <c r="AP90" t="b">
        <f>IF($R90,Y90=VLOOKUP(Y90,$AU$2:$AZ$10,6,FALSE),"")</f>
        <v>1</v>
      </c>
      <c r="AQ90" t="b">
        <f>IF($R90,Z90=VLOOKUP(Z90,$AU$2:$AZ$10,6,FALSE),"")</f>
        <v>1</v>
      </c>
      <c r="AR90" t="b">
        <f t="shared" si="22"/>
        <v>0</v>
      </c>
      <c r="AS90" t="b">
        <f t="shared" si="23"/>
        <v>0</v>
      </c>
      <c r="BD90" s="59" t="str">
        <f t="shared" si="24"/>
        <v xml:space="preserve">    { wxString::FromUTF8("\x78"), &amp;AllGlyphs[65], &amp;AllGlyphs[87], &amp;AllGlyphs[87], &amp;AllGlyphs[88], &amp;AllGlyphs[65], &amp;AllGlyphs[68], Connection::DIAG_BOTH, Connection::EMPTY, Connection::DIAG_BOTH, Connection::DIAG_BOTH, 0, 0, 0, 1, 0, 0 },</v>
      </c>
      <c r="BE90" s="60"/>
      <c r="BF90" s="60"/>
      <c r="BG90" s="60"/>
      <c r="BH90" s="60"/>
      <c r="BI90" s="60"/>
      <c r="BJ90" s="60"/>
      <c r="BK90" s="61"/>
      <c r="BM90" s="54" t="str">
        <f>IF($R90,"&amp;AllGlyphs[" &amp; E90 &amp; "]","")</f>
        <v>&amp;AllGlyphs[65]</v>
      </c>
      <c r="BN90" s="54" t="str">
        <f>IF($R90,"&amp;AllGlyphs[" &amp; G90 &amp; "]","")</f>
        <v>&amp;AllGlyphs[87]</v>
      </c>
      <c r="BO90" s="54" t="str">
        <f>IF($R90,"&amp;AllGlyphs[" &amp; I90 &amp; "]","")</f>
        <v>&amp;AllGlyphs[87]</v>
      </c>
      <c r="BP90" s="54" t="str">
        <f>IF($R90,"&amp;AllGlyphs[" &amp; K90 &amp; "]","")</f>
        <v>&amp;AllGlyphs[88]</v>
      </c>
      <c r="BQ90" s="54" t="str">
        <f>IF($R90,"&amp;AllGlyphs[" &amp; M90 &amp; "]","")</f>
        <v>&amp;AllGlyphs[65]</v>
      </c>
      <c r="BR90" s="54" t="str">
        <f>IF($R90,"&amp;AllGlyphs[" &amp; O90 &amp; "]","")</f>
        <v>&amp;AllGlyphs[68]</v>
      </c>
      <c r="BT90" s="58">
        <f>IF($R90,IF(AB90,1,0),"")</f>
        <v>0</v>
      </c>
      <c r="BU90" s="58">
        <f>IF($R90,IF(AC90,1,0),"")</f>
        <v>0</v>
      </c>
      <c r="BV90" s="58">
        <f>IF($R90,IF(AD90,1,0),"")</f>
        <v>0</v>
      </c>
      <c r="BW90" s="58">
        <f>IF($R90,IF(AE90,1,0),"")</f>
        <v>1</v>
      </c>
      <c r="BX90" s="58">
        <f>IF($R90,IF(AR90,1,0),"")</f>
        <v>0</v>
      </c>
      <c r="BY90" s="58">
        <f>IF($R90,IF(AS90,1,0),"")</f>
        <v>0</v>
      </c>
    </row>
    <row r="91" spans="1:77" x14ac:dyDescent="0.4">
      <c r="A91" s="7" t="s">
        <v>5</v>
      </c>
      <c r="B91" s="6" t="str">
        <f t="shared" si="15"/>
        <v>y</v>
      </c>
      <c r="C91" s="48" cm="1">
        <f t="array" ref="C91">IF($R91,INDEX($S:$S,MATCH(TRUE,EXACT(B91,$A:$A),0)),"")</f>
        <v>89</v>
      </c>
      <c r="D91" s="38" t="s">
        <v>23</v>
      </c>
      <c r="E91" s="48" cm="1">
        <f t="array" ref="E91">IF($R91,INDEX($S:$S,MATCH(TRUE,EXACT(D91,$A:$A),0)),"")</f>
        <v>66</v>
      </c>
      <c r="F91" s="38">
        <v>6</v>
      </c>
      <c r="G91" s="48" cm="1">
        <f t="array" ref="G91">IF($S91&lt;&gt;"",INDEX($S:$S,MATCH(TRUE,EXACT(F91,$A:$A),0)),"")</f>
        <v>22</v>
      </c>
      <c r="H91" s="38">
        <v>6</v>
      </c>
      <c r="I91" s="48" cm="1">
        <f t="array" ref="I91">IF($R91,INDEX($S:$S,MATCH(TRUE,EXACT(H91,$A:$A),0)),"")</f>
        <v>22</v>
      </c>
      <c r="J91" s="38" t="s">
        <v>5</v>
      </c>
      <c r="K91" s="52" cm="1">
        <f t="array" ref="K91">IF($R91,INDEX($S:$S,MATCH(TRUE,EXACT(J91,$A:$A),0)),"")</f>
        <v>89</v>
      </c>
      <c r="L91" s="38" t="str" cm="1">
        <f t="array" ref="L91">IF($R91,INDEX($T:$T,MATCH(TRUE,EXACT(H91,$D:$D),0)),"")</f>
        <v>b</v>
      </c>
      <c r="M91" s="48" cm="1">
        <f t="array" ref="M91">IF($R91,INDEX($S:$S,MATCH(TRUE,EXACT(L91,$A:$A),0)),"")</f>
        <v>66</v>
      </c>
      <c r="N91" s="38" t="str" cm="1">
        <f t="array" ref="N91">IF($R91,INDEX($T:$T,MATCH(TRUE,EXACT(J91,$D:$D),0)),"")</f>
        <v>n</v>
      </c>
      <c r="O91" s="52" cm="1">
        <f t="array" ref="O91">IF($R91,INDEX($S:$S,MATCH(TRUE,EXACT(N91,$A:$A),0)),"")</f>
        <v>78</v>
      </c>
      <c r="P91" s="23"/>
      <c r="Q91" s="33"/>
      <c r="R91" s="18" t="b">
        <f t="shared" si="16"/>
        <v>1</v>
      </c>
      <c r="S91" s="19">
        <f>IF(R91, MAX(S$2:S90)+1,"")</f>
        <v>89</v>
      </c>
      <c r="T91" s="23" t="str">
        <f t="shared" si="17"/>
        <v>y</v>
      </c>
      <c r="U91" s="8" t="str" cm="1">
        <f t="array" ref="U91">CharToUTF8(A91)</f>
        <v>\x79</v>
      </c>
      <c r="W91" s="18" t="str">
        <f>$AU$4</f>
        <v>ORTHO_BOTH</v>
      </c>
      <c r="X91" s="24" t="str">
        <f>$AU$2</f>
        <v>EMPTY</v>
      </c>
      <c r="Y91" s="24" t="str">
        <f>$AU$3</f>
        <v>DIAG_BOTH</v>
      </c>
      <c r="Z91" s="21" t="str">
        <f>$AU$3</f>
        <v>DIAG_BOTH</v>
      </c>
      <c r="AB91" s="31" t="b">
        <f t="shared" si="18"/>
        <v>0</v>
      </c>
      <c r="AC91" s="31" t="b">
        <f t="shared" si="19"/>
        <v>0</v>
      </c>
      <c r="AD91" t="b">
        <f t="shared" si="20"/>
        <v>0</v>
      </c>
      <c r="AE91" t="b">
        <f t="shared" si="21"/>
        <v>1</v>
      </c>
      <c r="AF91" t="b">
        <f>IF($R91,W91=VLOOKUP(Z91,$AU$2:$AZ$10,3,FALSE),"")</f>
        <v>0</v>
      </c>
      <c r="AG91" t="b">
        <f>IF($R91,X91=VLOOKUP(Y91,$AU$2:$AZ$10,3,FALSE),"")</f>
        <v>0</v>
      </c>
      <c r="AH91" t="b">
        <f>IF($R91,Y91=VLOOKUP(W91,$AU$2:$AZ$10,3,FALSE),"")</f>
        <v>0</v>
      </c>
      <c r="AI91" t="b">
        <f>IF($R91,Z91=VLOOKUP(X91,$AU$2:$AZ$10,3,FALSE),"")</f>
        <v>0</v>
      </c>
      <c r="AJ91" t="b">
        <f>IF($R91,W91=VLOOKUP(W91,$AU$2:$AZ$10,4,FALSE),"")</f>
        <v>1</v>
      </c>
      <c r="AK91" t="b">
        <f>IF($R91,X91=VLOOKUP(X91,$AU$2:$AZ$10,4,FALSE),"")</f>
        <v>1</v>
      </c>
      <c r="AL91" t="b">
        <f>IF($R91,Y91=VLOOKUP(Y91,$AU$2:$AZ$10,4,FALSE),"")</f>
        <v>1</v>
      </c>
      <c r="AM91" t="b">
        <f>IF($R91,Z91=VLOOKUP(Z91,$AU$2:$AZ$10,4,FALSE),"")</f>
        <v>1</v>
      </c>
      <c r="AN91" t="b">
        <f>IF($R91,W91=VLOOKUP(W91,$AU$2:$AZ$10,5,FALSE),"")</f>
        <v>1</v>
      </c>
      <c r="AO91" t="b">
        <f>IF($R91,X91=VLOOKUP(X91,$AU$2:$AZ$10,5,FALSE),"")</f>
        <v>1</v>
      </c>
      <c r="AP91" t="b">
        <f>IF($R91,Y91=VLOOKUP(Y91,$AU$2:$AZ$10,6,FALSE),"")</f>
        <v>1</v>
      </c>
      <c r="AQ91" t="b">
        <f>IF($R91,Z91=VLOOKUP(Z91,$AU$2:$AZ$10,6,FALSE),"")</f>
        <v>1</v>
      </c>
      <c r="AR91" t="b">
        <f t="shared" si="22"/>
        <v>0</v>
      </c>
      <c r="AS91" t="b">
        <f t="shared" si="23"/>
        <v>0</v>
      </c>
      <c r="BD91" s="59" t="str">
        <f t="shared" si="24"/>
        <v xml:space="preserve">    { wxString::FromUTF8("\x79"), &amp;AllGlyphs[66], &amp;AllGlyphs[22], &amp;AllGlyphs[22], &amp;AllGlyphs[89], &amp;AllGlyphs[66], &amp;AllGlyphs[78], Connection::ORTHO_BOTH, Connection::EMPTY, Connection::DIAG_BOTH, Connection::DIAG_BOTH, 0, 0, 0, 1, 0, 0 },</v>
      </c>
      <c r="BE91" s="60"/>
      <c r="BF91" s="60"/>
      <c r="BG91" s="60"/>
      <c r="BH91" s="60"/>
      <c r="BI91" s="60"/>
      <c r="BJ91" s="60"/>
      <c r="BK91" s="61"/>
      <c r="BM91" s="54" t="str">
        <f>IF($R91,"&amp;AllGlyphs[" &amp; E91 &amp; "]","")</f>
        <v>&amp;AllGlyphs[66]</v>
      </c>
      <c r="BN91" s="54" t="str">
        <f>IF($R91,"&amp;AllGlyphs[" &amp; G91 &amp; "]","")</f>
        <v>&amp;AllGlyphs[22]</v>
      </c>
      <c r="BO91" s="54" t="str">
        <f>IF($R91,"&amp;AllGlyphs[" &amp; I91 &amp; "]","")</f>
        <v>&amp;AllGlyphs[22]</v>
      </c>
      <c r="BP91" s="54" t="str">
        <f>IF($R91,"&amp;AllGlyphs[" &amp; K91 &amp; "]","")</f>
        <v>&amp;AllGlyphs[89]</v>
      </c>
      <c r="BQ91" s="54" t="str">
        <f>IF($R91,"&amp;AllGlyphs[" &amp; M91 &amp; "]","")</f>
        <v>&amp;AllGlyphs[66]</v>
      </c>
      <c r="BR91" s="54" t="str">
        <f>IF($R91,"&amp;AllGlyphs[" &amp; O91 &amp; "]","")</f>
        <v>&amp;AllGlyphs[78]</v>
      </c>
      <c r="BT91" s="58">
        <f>IF($R91,IF(AB91,1,0),"")</f>
        <v>0</v>
      </c>
      <c r="BU91" s="58">
        <f>IF($R91,IF(AC91,1,0),"")</f>
        <v>0</v>
      </c>
      <c r="BV91" s="58">
        <f>IF($R91,IF(AD91,1,0),"")</f>
        <v>0</v>
      </c>
      <c r="BW91" s="58">
        <f>IF($R91,IF(AE91,1,0),"")</f>
        <v>1</v>
      </c>
      <c r="BX91" s="58">
        <f>IF($R91,IF(AR91,1,0),"")</f>
        <v>0</v>
      </c>
      <c r="BY91" s="58">
        <f>IF($R91,IF(AS91,1,0),"")</f>
        <v>0</v>
      </c>
    </row>
    <row r="92" spans="1:77" x14ac:dyDescent="0.4">
      <c r="A92" s="7" t="s">
        <v>19</v>
      </c>
      <c r="B92" s="6" t="str">
        <f t="shared" si="15"/>
        <v>z</v>
      </c>
      <c r="C92" s="48" cm="1">
        <f t="array" ref="C92">IF($R92,INDEX($S:$S,MATCH(TRUE,EXACT(B92,$A:$A),0)),"")</f>
        <v>90</v>
      </c>
      <c r="D92" s="38" t="s">
        <v>0</v>
      </c>
      <c r="E92" s="48" cm="1">
        <f t="array" ref="E92">IF($R92,INDEX($S:$S,MATCH(TRUE,EXACT(D92,$A:$A),0)),"")</f>
        <v>81</v>
      </c>
      <c r="F92" s="38" t="s">
        <v>2</v>
      </c>
      <c r="G92" s="48" cm="1">
        <f t="array" ref="G92">IF($S92&lt;&gt;"",INDEX($S:$S,MATCH(TRUE,EXACT(F92,$A:$A),0)),"")</f>
        <v>69</v>
      </c>
      <c r="H92" s="38" t="s">
        <v>0</v>
      </c>
      <c r="I92" s="48" cm="1">
        <f t="array" ref="I92">IF($R92,INDEX($S:$S,MATCH(TRUE,EXACT(H92,$A:$A),0)),"")</f>
        <v>81</v>
      </c>
      <c r="J92" s="38" t="s">
        <v>21</v>
      </c>
      <c r="K92" s="52" cm="1">
        <f t="array" ref="K92">IF($R92,INDEX($S:$S,MATCH(TRUE,EXACT(J92,$A:$A),0)),"")</f>
        <v>67</v>
      </c>
      <c r="L92" s="38" t="str" cm="1">
        <f t="array" ref="L92">IF($R92,INDEX($T:$T,MATCH(TRUE,EXACT(H92,$D:$D),0)),"")</f>
        <v>z</v>
      </c>
      <c r="M92" s="48" cm="1">
        <f t="array" ref="M92">IF($R92,INDEX($S:$S,MATCH(TRUE,EXACT(L92,$A:$A),0)),"")</f>
        <v>90</v>
      </c>
      <c r="N92" s="38" t="str" cm="1">
        <f t="array" ref="N92">IF($R92,INDEX($T:$T,MATCH(TRUE,EXACT(J92,$D:$D),0)),"")</f>
        <v>e</v>
      </c>
      <c r="O92" s="52" cm="1">
        <f t="array" ref="O92">IF($R92,INDEX($S:$S,MATCH(TRUE,EXACT(N92,$A:$A),0)),"")</f>
        <v>69</v>
      </c>
      <c r="P92" s="23"/>
      <c r="Q92" s="33"/>
      <c r="R92" s="18" t="b">
        <f t="shared" si="16"/>
        <v>1</v>
      </c>
      <c r="S92" s="19">
        <f>IF(R92, MAX(S$2:S91)+1,"")</f>
        <v>90</v>
      </c>
      <c r="T92" s="23" t="str">
        <f t="shared" si="17"/>
        <v>z</v>
      </c>
      <c r="U92" s="8" t="str" cm="1">
        <f t="array" ref="U92">CharToUTF8(A92)</f>
        <v>\x7A</v>
      </c>
      <c r="W92" s="18" t="str">
        <f>$AU$3</f>
        <v>DIAG_BOTH</v>
      </c>
      <c r="X92" s="24" t="str">
        <f>$AU$2</f>
        <v>EMPTY</v>
      </c>
      <c r="Y92" s="24" t="str">
        <f>$AU$2</f>
        <v>EMPTY</v>
      </c>
      <c r="Z92" s="21" t="str">
        <f>$AU$3</f>
        <v>DIAG_BOTH</v>
      </c>
      <c r="AB92" s="31" t="b">
        <f t="shared" si="18"/>
        <v>0</v>
      </c>
      <c r="AC92" s="31" t="b">
        <f t="shared" si="19"/>
        <v>0</v>
      </c>
      <c r="AD92" t="b">
        <f t="shared" si="20"/>
        <v>0</v>
      </c>
      <c r="AE92" t="b">
        <f t="shared" si="21"/>
        <v>0</v>
      </c>
      <c r="AF92" t="b">
        <f>IF($R92,W92=VLOOKUP(Z92,$AU$2:$AZ$10,3,FALSE),"")</f>
        <v>1</v>
      </c>
      <c r="AG92" t="b">
        <f>IF($R92,X92=VLOOKUP(Y92,$AU$2:$AZ$10,3,FALSE),"")</f>
        <v>1</v>
      </c>
      <c r="AH92" t="b">
        <f>IF($R92,Y92=VLOOKUP(W92,$AU$2:$AZ$10,3,FALSE),"")</f>
        <v>0</v>
      </c>
      <c r="AI92" t="b">
        <f>IF($R92,Z92=VLOOKUP(X92,$AU$2:$AZ$10,3,FALSE),"")</f>
        <v>0</v>
      </c>
      <c r="AJ92" t="b">
        <f>IF($R92,W92=VLOOKUP(W92,$AU$2:$AZ$10,4,FALSE),"")</f>
        <v>1</v>
      </c>
      <c r="AK92" t="b">
        <f>IF($R92,X92=VLOOKUP(X92,$AU$2:$AZ$10,4,FALSE),"")</f>
        <v>1</v>
      </c>
      <c r="AL92" t="b">
        <f>IF($R92,Y92=VLOOKUP(Y92,$AU$2:$AZ$10,4,FALSE),"")</f>
        <v>1</v>
      </c>
      <c r="AM92" t="b">
        <f>IF($R92,Z92=VLOOKUP(Z92,$AU$2:$AZ$10,4,FALSE),"")</f>
        <v>1</v>
      </c>
      <c r="AN92" t="b">
        <f>IF($R92,W92=VLOOKUP(W92,$AU$2:$AZ$10,5,FALSE),"")</f>
        <v>1</v>
      </c>
      <c r="AO92" t="b">
        <f>IF($R92,X92=VLOOKUP(X92,$AU$2:$AZ$10,5,FALSE),"")</f>
        <v>1</v>
      </c>
      <c r="AP92" t="b">
        <f>IF($R92,Y92=VLOOKUP(Y92,$AU$2:$AZ$10,6,FALSE),"")</f>
        <v>1</v>
      </c>
      <c r="AQ92" t="b">
        <f>IF($R92,Z92=VLOOKUP(Z92,$AU$2:$AZ$10,6,FALSE),"")</f>
        <v>1</v>
      </c>
      <c r="AR92" t="b">
        <f t="shared" si="22"/>
        <v>1</v>
      </c>
      <c r="AS92" t="b">
        <f t="shared" si="23"/>
        <v>0</v>
      </c>
      <c r="BD92" s="59" t="str">
        <f t="shared" si="24"/>
        <v xml:space="preserve">    { wxString::FromUTF8("\x7A"), &amp;AllGlyphs[81], &amp;AllGlyphs[69], &amp;AllGlyphs[81], &amp;AllGlyphs[67], &amp;AllGlyphs[90], &amp;AllGlyphs[69], Connection::DIAG_BOTH, Connection::EMPTY, Connection::EMPTY, Connection::DIAG_BOTH, 0, 0, 0, 0, 1, 0 },</v>
      </c>
      <c r="BE92" s="60"/>
      <c r="BF92" s="60"/>
      <c r="BG92" s="60"/>
      <c r="BH92" s="60"/>
      <c r="BI92" s="60"/>
      <c r="BJ92" s="60"/>
      <c r="BK92" s="61"/>
      <c r="BM92" s="54" t="str">
        <f>IF($R92,"&amp;AllGlyphs[" &amp; E92 &amp; "]","")</f>
        <v>&amp;AllGlyphs[81]</v>
      </c>
      <c r="BN92" s="54" t="str">
        <f>IF($R92,"&amp;AllGlyphs[" &amp; G92 &amp; "]","")</f>
        <v>&amp;AllGlyphs[69]</v>
      </c>
      <c r="BO92" s="54" t="str">
        <f>IF($R92,"&amp;AllGlyphs[" &amp; I92 &amp; "]","")</f>
        <v>&amp;AllGlyphs[81]</v>
      </c>
      <c r="BP92" s="54" t="str">
        <f>IF($R92,"&amp;AllGlyphs[" &amp; K92 &amp; "]","")</f>
        <v>&amp;AllGlyphs[67]</v>
      </c>
      <c r="BQ92" s="54" t="str">
        <f>IF($R92,"&amp;AllGlyphs[" &amp; M92 &amp; "]","")</f>
        <v>&amp;AllGlyphs[90]</v>
      </c>
      <c r="BR92" s="54" t="str">
        <f>IF($R92,"&amp;AllGlyphs[" &amp; O92 &amp; "]","")</f>
        <v>&amp;AllGlyphs[69]</v>
      </c>
      <c r="BT92" s="58">
        <f>IF($R92,IF(AB92,1,0),"")</f>
        <v>0</v>
      </c>
      <c r="BU92" s="58">
        <f>IF($R92,IF(AC92,1,0),"")</f>
        <v>0</v>
      </c>
      <c r="BV92" s="58">
        <f>IF($R92,IF(AD92,1,0),"")</f>
        <v>0</v>
      </c>
      <c r="BW92" s="58">
        <f>IF($R92,IF(AE92,1,0),"")</f>
        <v>0</v>
      </c>
      <c r="BX92" s="58">
        <f>IF($R92,IF(AR92,1,0),"")</f>
        <v>1</v>
      </c>
      <c r="BY92" s="58">
        <f>IF($R92,IF(AS92,1,0),"")</f>
        <v>0</v>
      </c>
    </row>
    <row r="93" spans="1:77" x14ac:dyDescent="0.4">
      <c r="A93" s="7" t="s">
        <v>76</v>
      </c>
      <c r="B93" s="6" t="str">
        <f t="shared" si="15"/>
        <v>{</v>
      </c>
      <c r="C93" s="48" cm="1">
        <f t="array" ref="C93">IF($R93,INDEX($S:$S,MATCH(TRUE,EXACT(B93,$A:$A),0)),"")</f>
        <v>91</v>
      </c>
      <c r="D93" s="38" t="s">
        <v>75</v>
      </c>
      <c r="E93" s="48" cm="1">
        <f t="array" ref="E93">IF($R93,INDEX($S:$S,MATCH(TRUE,EXACT(D93,$A:$A),0)),"")</f>
        <v>63</v>
      </c>
      <c r="F93" s="38" t="s">
        <v>70</v>
      </c>
      <c r="G93" s="48" cm="1">
        <f t="array" ref="G93">IF($S93&lt;&gt;"",INDEX($S:$S,MATCH(TRUE,EXACT(F93,$A:$A),0)),"")</f>
        <v>11</v>
      </c>
      <c r="H93" s="38" t="s">
        <v>75</v>
      </c>
      <c r="I93" s="48" cm="1">
        <f t="array" ref="I93">IF($R93,INDEX($S:$S,MATCH(TRUE,EXACT(H93,$A:$A),0)),"")</f>
        <v>63</v>
      </c>
      <c r="J93" s="38" t="s">
        <v>77</v>
      </c>
      <c r="K93" s="52" cm="1">
        <f t="array" ref="K93">IF($R93,INDEX($S:$S,MATCH(TRUE,EXACT(J93,$A:$A),0)),"")</f>
        <v>93</v>
      </c>
      <c r="L93" s="38" t="str" cm="1">
        <f t="array" ref="L93">IF($R93,INDEX($T:$T,MATCH(TRUE,EXACT(H93,$D:$D),0)),"")</f>
        <v>{</v>
      </c>
      <c r="M93" s="48" cm="1">
        <f t="array" ref="M93">IF($R93,INDEX($S:$S,MATCH(TRUE,EXACT(L93,$A:$A),0)),"")</f>
        <v>91</v>
      </c>
      <c r="N93" s="38" t="str" cm="1">
        <f t="array" ref="N93">IF($R93,INDEX($T:$T,MATCH(TRUE,EXACT(J93,$D:$D),0)),"")</f>
        <v>+</v>
      </c>
      <c r="O93" s="52" cm="1">
        <f t="array" ref="O93">IF($R93,INDEX($S:$S,MATCH(TRUE,EXACT(N93,$A:$A),0)),"")</f>
        <v>11</v>
      </c>
      <c r="P93" s="23"/>
      <c r="Q93" s="33"/>
      <c r="R93" s="18" t="b">
        <f t="shared" si="16"/>
        <v>1</v>
      </c>
      <c r="S93" s="19">
        <f>IF(R93, MAX(S$2:S92)+1,"")</f>
        <v>91</v>
      </c>
      <c r="T93" s="23" t="str">
        <f t="shared" si="17"/>
        <v>{</v>
      </c>
      <c r="U93" s="8" t="str" cm="1">
        <f t="array" ref="U93">CharToUTF8(A93)</f>
        <v>\x7B</v>
      </c>
      <c r="W93" s="18" t="str">
        <f>$AU$4</f>
        <v>ORTHO_BOTH</v>
      </c>
      <c r="X93" s="24" t="str">
        <f>$AU$3</f>
        <v>DIAG_BOTH</v>
      </c>
      <c r="Y93" s="24" t="str">
        <f>$AU$3</f>
        <v>DIAG_BOTH</v>
      </c>
      <c r="Z93" s="21" t="str">
        <f>$AU$4</f>
        <v>ORTHO_BOTH</v>
      </c>
      <c r="AB93" s="31" t="b">
        <f t="shared" si="18"/>
        <v>0</v>
      </c>
      <c r="AC93" s="31" t="b">
        <f t="shared" si="19"/>
        <v>0</v>
      </c>
      <c r="AD93" t="b">
        <f t="shared" si="20"/>
        <v>0</v>
      </c>
      <c r="AE93" t="b">
        <f t="shared" si="21"/>
        <v>0</v>
      </c>
      <c r="AF93" t="b">
        <f>IF($R93,W93=VLOOKUP(Z93,$AU$2:$AZ$10,3,FALSE),"")</f>
        <v>1</v>
      </c>
      <c r="AG93" t="b">
        <f>IF($R93,X93=VLOOKUP(Y93,$AU$2:$AZ$10,3,FALSE),"")</f>
        <v>1</v>
      </c>
      <c r="AH93" t="b">
        <f>IF($R93,Y93=VLOOKUP(W93,$AU$2:$AZ$10,3,FALSE),"")</f>
        <v>0</v>
      </c>
      <c r="AI93" t="b">
        <f>IF($R93,Z93=VLOOKUP(X93,$AU$2:$AZ$10,3,FALSE),"")</f>
        <v>0</v>
      </c>
      <c r="AJ93" t="b">
        <f>IF($R93,W93=VLOOKUP(W93,$AU$2:$AZ$10,4,FALSE),"")</f>
        <v>1</v>
      </c>
      <c r="AK93" t="b">
        <f>IF($R93,X93=VLOOKUP(X93,$AU$2:$AZ$10,4,FALSE),"")</f>
        <v>1</v>
      </c>
      <c r="AL93" t="b">
        <f>IF($R93,Y93=VLOOKUP(Y93,$AU$2:$AZ$10,4,FALSE),"")</f>
        <v>1</v>
      </c>
      <c r="AM93" t="b">
        <f>IF($R93,Z93=VLOOKUP(Z93,$AU$2:$AZ$10,4,FALSE),"")</f>
        <v>1</v>
      </c>
      <c r="AN93" t="b">
        <f>IF($R93,W93=VLOOKUP(W93,$AU$2:$AZ$10,5,FALSE),"")</f>
        <v>1</v>
      </c>
      <c r="AO93" t="b">
        <f>IF($R93,X93=VLOOKUP(X93,$AU$2:$AZ$10,5,FALSE),"")</f>
        <v>1</v>
      </c>
      <c r="AP93" t="b">
        <f>IF($R93,Y93=VLOOKUP(Y93,$AU$2:$AZ$10,6,FALSE),"")</f>
        <v>1</v>
      </c>
      <c r="AQ93" t="b">
        <f>IF($R93,Z93=VLOOKUP(Z93,$AU$2:$AZ$10,6,FALSE),"")</f>
        <v>1</v>
      </c>
      <c r="AR93" t="b">
        <f t="shared" si="22"/>
        <v>1</v>
      </c>
      <c r="AS93" t="b">
        <f t="shared" si="23"/>
        <v>0</v>
      </c>
      <c r="BD93" s="59" t="str">
        <f t="shared" si="24"/>
        <v xml:space="preserve">    { wxString::FromUTF8("\x7B"), &amp;AllGlyphs[63], &amp;AllGlyphs[11], &amp;AllGlyphs[63], &amp;AllGlyphs[93], &amp;AllGlyphs[91], &amp;AllGlyphs[11], Connection::ORTHO_BOTH, Connection::DIAG_BOTH, Connection::DIAG_BOTH, Connection::ORTHO_BOTH, 0, 0, 0, 0, 1, 0 },</v>
      </c>
      <c r="BE93" s="60"/>
      <c r="BF93" s="60"/>
      <c r="BG93" s="60"/>
      <c r="BH93" s="60"/>
      <c r="BI93" s="60"/>
      <c r="BJ93" s="60"/>
      <c r="BK93" s="61"/>
      <c r="BM93" s="54" t="str">
        <f>IF($R93,"&amp;AllGlyphs[" &amp; E93 &amp; "]","")</f>
        <v>&amp;AllGlyphs[63]</v>
      </c>
      <c r="BN93" s="54" t="str">
        <f>IF($R93,"&amp;AllGlyphs[" &amp; G93 &amp; "]","")</f>
        <v>&amp;AllGlyphs[11]</v>
      </c>
      <c r="BO93" s="54" t="str">
        <f>IF($R93,"&amp;AllGlyphs[" &amp; I93 &amp; "]","")</f>
        <v>&amp;AllGlyphs[63]</v>
      </c>
      <c r="BP93" s="54" t="str">
        <f>IF($R93,"&amp;AllGlyphs[" &amp; K93 &amp; "]","")</f>
        <v>&amp;AllGlyphs[93]</v>
      </c>
      <c r="BQ93" s="54" t="str">
        <f>IF($R93,"&amp;AllGlyphs[" &amp; M93 &amp; "]","")</f>
        <v>&amp;AllGlyphs[91]</v>
      </c>
      <c r="BR93" s="54" t="str">
        <f>IF($R93,"&amp;AllGlyphs[" &amp; O93 &amp; "]","")</f>
        <v>&amp;AllGlyphs[11]</v>
      </c>
      <c r="BT93" s="58">
        <f>IF($R93,IF(AB93,1,0),"")</f>
        <v>0</v>
      </c>
      <c r="BU93" s="58">
        <f>IF($R93,IF(AC93,1,0),"")</f>
        <v>0</v>
      </c>
      <c r="BV93" s="58">
        <f>IF($R93,IF(AD93,1,0),"")</f>
        <v>0</v>
      </c>
      <c r="BW93" s="58">
        <f>IF($R93,IF(AE93,1,0),"")</f>
        <v>0</v>
      </c>
      <c r="BX93" s="58">
        <f>IF($R93,IF(AR93,1,0),"")</f>
        <v>1</v>
      </c>
      <c r="BY93" s="58">
        <f>IF($R93,IF(AS93,1,0),"")</f>
        <v>0</v>
      </c>
    </row>
    <row r="94" spans="1:77" x14ac:dyDescent="0.4">
      <c r="A94" s="7" t="s">
        <v>69</v>
      </c>
      <c r="B94" s="6" t="str">
        <f t="shared" si="15"/>
        <v>|</v>
      </c>
      <c r="C94" s="48" cm="1">
        <f t="array" ref="C94">IF($R94,INDEX($S:$S,MATCH(TRUE,EXACT(B94,$A:$A),0)),"")</f>
        <v>92</v>
      </c>
      <c r="D94" s="38" t="s">
        <v>68</v>
      </c>
      <c r="E94" s="48" cm="1">
        <f t="array" ref="E94">IF($R94,INDEX($S:$S,MATCH(TRUE,EXACT(D94,$A:$A),0)),"")</f>
        <v>60</v>
      </c>
      <c r="F94" s="38" t="s">
        <v>69</v>
      </c>
      <c r="G94" s="48" cm="1">
        <f t="array" ref="G94">IF($S94&lt;&gt;"",INDEX($S:$S,MATCH(TRUE,EXACT(F94,$A:$A),0)),"")</f>
        <v>92</v>
      </c>
      <c r="H94" s="38" t="s">
        <v>69</v>
      </c>
      <c r="I94" s="48" cm="1">
        <f t="array" ref="I94">IF($R94,INDEX($S:$S,MATCH(TRUE,EXACT(H94,$A:$A),0)),"")</f>
        <v>92</v>
      </c>
      <c r="J94" s="38" t="s">
        <v>69</v>
      </c>
      <c r="K94" s="52" cm="1">
        <f t="array" ref="K94">IF($R94,INDEX($S:$S,MATCH(TRUE,EXACT(J94,$A:$A),0)),"")</f>
        <v>92</v>
      </c>
      <c r="L94" s="38" t="str" cm="1">
        <f t="array" ref="L94">IF($R94,INDEX($T:$T,MATCH(TRUE,EXACT(H94,$D:$D),0)),"")</f>
        <v>\</v>
      </c>
      <c r="M94" s="48" cm="1">
        <f t="array" ref="M94">IF($R94,INDEX($S:$S,MATCH(TRUE,EXACT(L94,$A:$A),0)),"")</f>
        <v>60</v>
      </c>
      <c r="N94" s="38" t="str" cm="1">
        <f t="array" ref="N94">IF($R94,INDEX($T:$T,MATCH(TRUE,EXACT(J94,$D:$D),0)),"")</f>
        <v>\</v>
      </c>
      <c r="O94" s="52" cm="1">
        <f t="array" ref="O94">IF($R94,INDEX($S:$S,MATCH(TRUE,EXACT(N94,$A:$A),0)),"")</f>
        <v>60</v>
      </c>
      <c r="P94" s="23"/>
      <c r="Q94" s="33"/>
      <c r="R94" s="18" t="b">
        <f t="shared" si="16"/>
        <v>1</v>
      </c>
      <c r="S94" s="19">
        <f>IF(R94, MAX(S$2:S93)+1,"")</f>
        <v>92</v>
      </c>
      <c r="T94" s="23" t="str">
        <f t="shared" si="17"/>
        <v>|</v>
      </c>
      <c r="U94" s="8" t="str" cm="1">
        <f t="array" ref="U94">CharToUTF8(A94)</f>
        <v>\x7C</v>
      </c>
      <c r="W94" s="18" t="str">
        <f>$AU$2</f>
        <v>EMPTY</v>
      </c>
      <c r="X94" s="24" t="str">
        <f>$AU$2</f>
        <v>EMPTY</v>
      </c>
      <c r="Y94" s="24" t="str">
        <f>$AU$4</f>
        <v>ORTHO_BOTH</v>
      </c>
      <c r="Z94" s="21" t="str">
        <f>$AU$4</f>
        <v>ORTHO_BOTH</v>
      </c>
      <c r="AB94" s="31" t="b">
        <f t="shared" si="18"/>
        <v>0</v>
      </c>
      <c r="AC94" s="31" t="b">
        <f t="shared" si="19"/>
        <v>1</v>
      </c>
      <c r="AD94" t="b">
        <f t="shared" si="20"/>
        <v>1</v>
      </c>
      <c r="AE94" t="b">
        <f t="shared" si="21"/>
        <v>1</v>
      </c>
      <c r="AF94" t="b">
        <f>IF($R94,W94=VLOOKUP(Z94,$AU$2:$AZ$10,3,FALSE),"")</f>
        <v>0</v>
      </c>
      <c r="AG94" t="b">
        <f>IF($R94,X94=VLOOKUP(Y94,$AU$2:$AZ$10,3,FALSE),"")</f>
        <v>0</v>
      </c>
      <c r="AH94" t="b">
        <f>IF($R94,Y94=VLOOKUP(W94,$AU$2:$AZ$10,3,FALSE),"")</f>
        <v>0</v>
      </c>
      <c r="AI94" t="b">
        <f>IF($R94,Z94=VLOOKUP(X94,$AU$2:$AZ$10,3,FALSE),"")</f>
        <v>0</v>
      </c>
      <c r="AJ94" t="b">
        <f>IF($R94,W94=VLOOKUP(W94,$AU$2:$AZ$10,4,FALSE),"")</f>
        <v>1</v>
      </c>
      <c r="AK94" t="b">
        <f>IF($R94,X94=VLOOKUP(X94,$AU$2:$AZ$10,4,FALSE),"")</f>
        <v>1</v>
      </c>
      <c r="AL94" t="b">
        <f>IF($R94,Y94=VLOOKUP(Y94,$AU$2:$AZ$10,4,FALSE),"")</f>
        <v>1</v>
      </c>
      <c r="AM94" t="b">
        <f>IF($R94,Z94=VLOOKUP(Z94,$AU$2:$AZ$10,4,FALSE),"")</f>
        <v>1</v>
      </c>
      <c r="AN94" t="b">
        <f>IF($R94,W94=VLOOKUP(W94,$AU$2:$AZ$10,5,FALSE),"")</f>
        <v>1</v>
      </c>
      <c r="AO94" t="b">
        <f>IF($R94,X94=VLOOKUP(X94,$AU$2:$AZ$10,5,FALSE),"")</f>
        <v>1</v>
      </c>
      <c r="AP94" t="b">
        <f>IF($R94,Y94=VLOOKUP(Y94,$AU$2:$AZ$10,6,FALSE),"")</f>
        <v>1</v>
      </c>
      <c r="AQ94" t="b">
        <f>IF($R94,Z94=VLOOKUP(Z94,$AU$2:$AZ$10,6,FALSE),"")</f>
        <v>1</v>
      </c>
      <c r="AR94" t="b">
        <f t="shared" si="22"/>
        <v>0</v>
      </c>
      <c r="AS94" t="b">
        <f t="shared" si="23"/>
        <v>0</v>
      </c>
      <c r="BD94" s="59" t="str">
        <f t="shared" si="24"/>
        <v xml:space="preserve">    { wxString::FromUTF8("\x7C"), &amp;AllGlyphs[60], &amp;AllGlyphs[92], &amp;AllGlyphs[92], &amp;AllGlyphs[92], &amp;AllGlyphs[60], &amp;AllGlyphs[60], Connection::EMPTY, Connection::EMPTY, Connection::ORTHO_BOTH, Connection::ORTHO_BOTH, 0, 1, 1, 1, 0, 0 },</v>
      </c>
      <c r="BE94" s="60"/>
      <c r="BF94" s="60"/>
      <c r="BG94" s="60"/>
      <c r="BH94" s="60"/>
      <c r="BI94" s="60"/>
      <c r="BJ94" s="60"/>
      <c r="BK94" s="61"/>
      <c r="BM94" s="54" t="str">
        <f>IF($R94,"&amp;AllGlyphs[" &amp; E94 &amp; "]","")</f>
        <v>&amp;AllGlyphs[60]</v>
      </c>
      <c r="BN94" s="54" t="str">
        <f>IF($R94,"&amp;AllGlyphs[" &amp; G94 &amp; "]","")</f>
        <v>&amp;AllGlyphs[92]</v>
      </c>
      <c r="BO94" s="54" t="str">
        <f>IF($R94,"&amp;AllGlyphs[" &amp; I94 &amp; "]","")</f>
        <v>&amp;AllGlyphs[92]</v>
      </c>
      <c r="BP94" s="54" t="str">
        <f>IF($R94,"&amp;AllGlyphs[" &amp; K94 &amp; "]","")</f>
        <v>&amp;AllGlyphs[92]</v>
      </c>
      <c r="BQ94" s="54" t="str">
        <f>IF($R94,"&amp;AllGlyphs[" &amp; M94 &amp; "]","")</f>
        <v>&amp;AllGlyphs[60]</v>
      </c>
      <c r="BR94" s="54" t="str">
        <f>IF($R94,"&amp;AllGlyphs[" &amp; O94 &amp; "]","")</f>
        <v>&amp;AllGlyphs[60]</v>
      </c>
      <c r="BT94" s="58">
        <f>IF($R94,IF(AB94,1,0),"")</f>
        <v>0</v>
      </c>
      <c r="BU94" s="58">
        <f>IF($R94,IF(AC94,1,0),"")</f>
        <v>1</v>
      </c>
      <c r="BV94" s="58">
        <f>IF($R94,IF(AD94,1,0),"")</f>
        <v>1</v>
      </c>
      <c r="BW94" s="58">
        <f>IF($R94,IF(AE94,1,0),"")</f>
        <v>1</v>
      </c>
      <c r="BX94" s="58">
        <f>IF($R94,IF(AR94,1,0),"")</f>
        <v>0</v>
      </c>
      <c r="BY94" s="58">
        <f>IF($R94,IF(AS94,1,0),"")</f>
        <v>0</v>
      </c>
    </row>
    <row r="95" spans="1:77" x14ac:dyDescent="0.4">
      <c r="A95" s="7" t="s">
        <v>77</v>
      </c>
      <c r="B95" s="6" t="str">
        <f t="shared" si="15"/>
        <v>}</v>
      </c>
      <c r="C95" s="48" cm="1">
        <f t="array" ref="C95">IF($R95,INDEX($S:$S,MATCH(TRUE,EXACT(B95,$A:$A),0)),"")</f>
        <v>93</v>
      </c>
      <c r="D95" s="38" t="s">
        <v>76</v>
      </c>
      <c r="E95" s="48" cm="1">
        <f t="array" ref="E95">IF($R95,INDEX($S:$S,MATCH(TRUE,EXACT(D95,$A:$A),0)),"")</f>
        <v>91</v>
      </c>
      <c r="F95" s="38" t="s">
        <v>75</v>
      </c>
      <c r="G95" s="48" cm="1">
        <f t="array" ref="G95">IF($S95&lt;&gt;"",INDEX($S:$S,MATCH(TRUE,EXACT(F95,$A:$A),0)),"")</f>
        <v>63</v>
      </c>
      <c r="H95" s="38" t="s">
        <v>70</v>
      </c>
      <c r="I95" s="48" cm="1">
        <f t="array" ref="I95">IF($R95,INDEX($S:$S,MATCH(TRUE,EXACT(H95,$A:$A),0)),"")</f>
        <v>11</v>
      </c>
      <c r="J95" s="38" t="s">
        <v>76</v>
      </c>
      <c r="K95" s="52" cm="1">
        <f t="array" ref="K95">IF($R95,INDEX($S:$S,MATCH(TRUE,EXACT(J95,$A:$A),0)),"")</f>
        <v>91</v>
      </c>
      <c r="L95" s="38" t="str" cm="1">
        <f t="array" ref="L95">IF($R95,INDEX($T:$T,MATCH(TRUE,EXACT(H95,$D:$D),0)),"")</f>
        <v>_</v>
      </c>
      <c r="M95" s="48" cm="1">
        <f t="array" ref="M95">IF($R95,INDEX($S:$S,MATCH(TRUE,EXACT(L95,$A:$A),0)),"")</f>
        <v>63</v>
      </c>
      <c r="N95" s="38" t="str" cm="1">
        <f t="array" ref="N95">IF($R95,INDEX($T:$T,MATCH(TRUE,EXACT(J95,$D:$D),0)),"")</f>
        <v>}</v>
      </c>
      <c r="O95" s="52" cm="1">
        <f t="array" ref="O95">IF($R95,INDEX($S:$S,MATCH(TRUE,EXACT(N95,$A:$A),0)),"")</f>
        <v>93</v>
      </c>
      <c r="P95" s="23"/>
      <c r="Q95" s="33"/>
      <c r="R95" s="18" t="b">
        <f t="shared" si="16"/>
        <v>1</v>
      </c>
      <c r="S95" s="19">
        <f>IF(R95, MAX(S$2:S94)+1,"")</f>
        <v>93</v>
      </c>
      <c r="T95" s="23" t="str">
        <f t="shared" si="17"/>
        <v>}</v>
      </c>
      <c r="U95" s="8" t="str" cm="1">
        <f t="array" ref="U95">CharToUTF8(A95)</f>
        <v>\x7D</v>
      </c>
      <c r="W95" s="18" t="str">
        <f>$AU$4</f>
        <v>ORTHO_BOTH</v>
      </c>
      <c r="X95" s="24" t="str">
        <f>$AU$3</f>
        <v>DIAG_BOTH</v>
      </c>
      <c r="Y95" s="24" t="str">
        <f>$AU$4</f>
        <v>ORTHO_BOTH</v>
      </c>
      <c r="Z95" s="21" t="str">
        <f>$AU$3</f>
        <v>DIAG_BOTH</v>
      </c>
      <c r="AB95" s="31" t="b">
        <f t="shared" si="18"/>
        <v>0</v>
      </c>
      <c r="AC95" s="31" t="b">
        <f t="shared" si="19"/>
        <v>0</v>
      </c>
      <c r="AD95" t="b">
        <f t="shared" si="20"/>
        <v>0</v>
      </c>
      <c r="AE95" t="b">
        <f t="shared" si="21"/>
        <v>0</v>
      </c>
      <c r="AF95" t="b">
        <f>IF($R95,W95=VLOOKUP(Z95,$AU$2:$AZ$10,3,FALSE),"")</f>
        <v>0</v>
      </c>
      <c r="AG95" t="b">
        <f>IF($R95,X95=VLOOKUP(Y95,$AU$2:$AZ$10,3,FALSE),"")</f>
        <v>0</v>
      </c>
      <c r="AH95" t="b">
        <f>IF($R95,Y95=VLOOKUP(W95,$AU$2:$AZ$10,3,FALSE),"")</f>
        <v>1</v>
      </c>
      <c r="AI95" t="b">
        <f>IF($R95,Z95=VLOOKUP(X95,$AU$2:$AZ$10,3,FALSE),"")</f>
        <v>1</v>
      </c>
      <c r="AJ95" t="b">
        <f>IF($R95,W95=VLOOKUP(W95,$AU$2:$AZ$10,4,FALSE),"")</f>
        <v>1</v>
      </c>
      <c r="AK95" t="b">
        <f>IF($R95,X95=VLOOKUP(X95,$AU$2:$AZ$10,4,FALSE),"")</f>
        <v>1</v>
      </c>
      <c r="AL95" t="b">
        <f>IF($R95,Y95=VLOOKUP(Y95,$AU$2:$AZ$10,4,FALSE),"")</f>
        <v>1</v>
      </c>
      <c r="AM95" t="b">
        <f>IF($R95,Z95=VLOOKUP(Z95,$AU$2:$AZ$10,4,FALSE),"")</f>
        <v>1</v>
      </c>
      <c r="AN95" t="b">
        <f>IF($R95,W95=VLOOKUP(W95,$AU$2:$AZ$10,5,FALSE),"")</f>
        <v>1</v>
      </c>
      <c r="AO95" t="b">
        <f>IF($R95,X95=VLOOKUP(X95,$AU$2:$AZ$10,5,FALSE),"")</f>
        <v>1</v>
      </c>
      <c r="AP95" t="b">
        <f>IF($R95,Y95=VLOOKUP(Y95,$AU$2:$AZ$10,6,FALSE),"")</f>
        <v>1</v>
      </c>
      <c r="AQ95" t="b">
        <f>IF($R95,Z95=VLOOKUP(Z95,$AU$2:$AZ$10,6,FALSE),"")</f>
        <v>1</v>
      </c>
      <c r="AR95" t="b">
        <f t="shared" si="22"/>
        <v>0</v>
      </c>
      <c r="AS95" t="b">
        <f t="shared" si="23"/>
        <v>1</v>
      </c>
      <c r="BD95" s="59" t="str">
        <f t="shared" si="24"/>
        <v xml:space="preserve">    { wxString::FromUTF8("\x7D"), &amp;AllGlyphs[91], &amp;AllGlyphs[63], &amp;AllGlyphs[11], &amp;AllGlyphs[91], &amp;AllGlyphs[63], &amp;AllGlyphs[93], Connection::ORTHO_BOTH, Connection::DIAG_BOTH, Connection::ORTHO_BOTH, Connection::DIAG_BOTH, 0, 0, 0, 0, 0, 1 },</v>
      </c>
      <c r="BE95" s="60"/>
      <c r="BF95" s="60"/>
      <c r="BG95" s="60"/>
      <c r="BH95" s="60"/>
      <c r="BI95" s="60"/>
      <c r="BJ95" s="60"/>
      <c r="BK95" s="61"/>
      <c r="BM95" s="54" t="str">
        <f>IF($R95,"&amp;AllGlyphs[" &amp; E95 &amp; "]","")</f>
        <v>&amp;AllGlyphs[91]</v>
      </c>
      <c r="BN95" s="54" t="str">
        <f>IF($R95,"&amp;AllGlyphs[" &amp; G95 &amp; "]","")</f>
        <v>&amp;AllGlyphs[63]</v>
      </c>
      <c r="BO95" s="54" t="str">
        <f>IF($R95,"&amp;AllGlyphs[" &amp; I95 &amp; "]","")</f>
        <v>&amp;AllGlyphs[11]</v>
      </c>
      <c r="BP95" s="54" t="str">
        <f>IF($R95,"&amp;AllGlyphs[" &amp; K95 &amp; "]","")</f>
        <v>&amp;AllGlyphs[91]</v>
      </c>
      <c r="BQ95" s="54" t="str">
        <f>IF($R95,"&amp;AllGlyphs[" &amp; M95 &amp; "]","")</f>
        <v>&amp;AllGlyphs[63]</v>
      </c>
      <c r="BR95" s="54" t="str">
        <f>IF($R95,"&amp;AllGlyphs[" &amp; O95 &amp; "]","")</f>
        <v>&amp;AllGlyphs[93]</v>
      </c>
      <c r="BT95" s="58">
        <f>IF($R95,IF(AB95,1,0),"")</f>
        <v>0</v>
      </c>
      <c r="BU95" s="58">
        <f>IF($R95,IF(AC95,1,0),"")</f>
        <v>0</v>
      </c>
      <c r="BV95" s="58">
        <f>IF($R95,IF(AD95,1,0),"")</f>
        <v>0</v>
      </c>
      <c r="BW95" s="58">
        <f>IF($R95,IF(AE95,1,0),"")</f>
        <v>0</v>
      </c>
      <c r="BX95" s="58">
        <f>IF($R95,IF(AR95,1,0),"")</f>
        <v>0</v>
      </c>
      <c r="BY95" s="58">
        <f>IF($R95,IF(AS95,1,0),"")</f>
        <v>1</v>
      </c>
    </row>
    <row r="96" spans="1:77" x14ac:dyDescent="0.4">
      <c r="A96" s="7" t="s">
        <v>62</v>
      </c>
      <c r="B96" s="6" t="str">
        <f t="shared" si="15"/>
        <v>~</v>
      </c>
      <c r="C96" s="48" cm="1">
        <f t="array" ref="C96">IF($R96,INDEX($S:$S,MATCH(TRUE,EXACT(B96,$A:$A),0)),"")</f>
        <v>94</v>
      </c>
      <c r="D96" s="38" t="s">
        <v>52</v>
      </c>
      <c r="E96" s="48" cm="1">
        <f t="array" ref="E96">IF($R96,INDEX($S:$S,MATCH(TRUE,EXACT(D96,$A:$A),0)),"")</f>
        <v>1</v>
      </c>
      <c r="F96" s="38" t="s">
        <v>62</v>
      </c>
      <c r="G96" s="48" cm="1">
        <f t="array" ref="G96">IF($S96&lt;&gt;"",INDEX($S:$S,MATCH(TRUE,EXACT(F96,$A:$A),0)),"")</f>
        <v>94</v>
      </c>
      <c r="H96" s="38" t="s">
        <v>62</v>
      </c>
      <c r="I96" s="48" cm="1">
        <f t="array" ref="I96">IF($R96,INDEX($S:$S,MATCH(TRUE,EXACT(H96,$A:$A),0)),"")</f>
        <v>94</v>
      </c>
      <c r="J96" s="38" t="s">
        <v>62</v>
      </c>
      <c r="K96" s="52" cm="1">
        <f t="array" ref="K96">IF($R96,INDEX($S:$S,MATCH(TRUE,EXACT(J96,$A:$A),0)),"")</f>
        <v>94</v>
      </c>
      <c r="L96" s="38" t="str" cm="1">
        <f t="array" ref="L96">IF($R96,INDEX($T:$T,MATCH(TRUE,EXACT(H96,$D:$D),0)),"")</f>
        <v>!</v>
      </c>
      <c r="M96" s="48" cm="1">
        <f t="array" ref="M96">IF($R96,INDEX($S:$S,MATCH(TRUE,EXACT(L96,$A:$A),0)),"")</f>
        <v>1</v>
      </c>
      <c r="N96" s="38" t="str" cm="1">
        <f t="array" ref="N96">IF($R96,INDEX($T:$T,MATCH(TRUE,EXACT(J96,$D:$D),0)),"")</f>
        <v>!</v>
      </c>
      <c r="O96" s="52" cm="1">
        <f t="array" ref="O96">IF($R96,INDEX($S:$S,MATCH(TRUE,EXACT(N96,$A:$A),0)),"")</f>
        <v>1</v>
      </c>
      <c r="P96" s="23"/>
      <c r="Q96" s="33"/>
      <c r="R96" s="18" t="b">
        <f t="shared" si="16"/>
        <v>1</v>
      </c>
      <c r="S96" s="19">
        <f>IF(R96, MAX(S$2:S95)+1,"")</f>
        <v>94</v>
      </c>
      <c r="T96" s="23" t="str">
        <f t="shared" si="17"/>
        <v>~</v>
      </c>
      <c r="U96" s="8" t="str" cm="1">
        <f t="array" ref="U96">CharToUTF8(A96)</f>
        <v>\x7E</v>
      </c>
      <c r="W96" s="18" t="str">
        <f>$AU$4</f>
        <v>ORTHO_BOTH</v>
      </c>
      <c r="X96" s="24" t="str">
        <f>$AU$4</f>
        <v>ORTHO_BOTH</v>
      </c>
      <c r="Y96" s="24" t="str">
        <f t="shared" ref="Y96:Z98" si="26">$AU$2</f>
        <v>EMPTY</v>
      </c>
      <c r="Z96" s="21" t="str">
        <f t="shared" si="26"/>
        <v>EMPTY</v>
      </c>
      <c r="AB96" s="31" t="b">
        <f t="shared" si="18"/>
        <v>0</v>
      </c>
      <c r="AC96" s="31" t="b">
        <f t="shared" si="19"/>
        <v>1</v>
      </c>
      <c r="AD96" t="b">
        <f t="shared" si="20"/>
        <v>1</v>
      </c>
      <c r="AE96" t="b">
        <f t="shared" si="21"/>
        <v>1</v>
      </c>
      <c r="AF96" t="b">
        <f>IF($R96,W96=VLOOKUP(Z96,$AU$2:$AZ$10,3,FALSE),"")</f>
        <v>0</v>
      </c>
      <c r="AG96" t="b">
        <f>IF($R96,X96=VLOOKUP(Y96,$AU$2:$AZ$10,3,FALSE),"")</f>
        <v>0</v>
      </c>
      <c r="AH96" t="b">
        <f>IF($R96,Y96=VLOOKUP(W96,$AU$2:$AZ$10,3,FALSE),"")</f>
        <v>0</v>
      </c>
      <c r="AI96" t="b">
        <f>IF($R96,Z96=VLOOKUP(X96,$AU$2:$AZ$10,3,FALSE),"")</f>
        <v>0</v>
      </c>
      <c r="AJ96" t="b">
        <f>IF($R96,W96=VLOOKUP(W96,$AU$2:$AZ$10,4,FALSE),"")</f>
        <v>1</v>
      </c>
      <c r="AK96" t="b">
        <f>IF($R96,X96=VLOOKUP(X96,$AU$2:$AZ$10,4,FALSE),"")</f>
        <v>1</v>
      </c>
      <c r="AL96" t="b">
        <f>IF($R96,Y96=VLOOKUP(Y96,$AU$2:$AZ$10,4,FALSE),"")</f>
        <v>1</v>
      </c>
      <c r="AM96" t="b">
        <f>IF($R96,Z96=VLOOKUP(Z96,$AU$2:$AZ$10,4,FALSE),"")</f>
        <v>1</v>
      </c>
      <c r="AN96" t="b">
        <f>IF($R96,W96=VLOOKUP(W96,$AU$2:$AZ$10,5,FALSE),"")</f>
        <v>1</v>
      </c>
      <c r="AO96" t="b">
        <f>IF($R96,X96=VLOOKUP(X96,$AU$2:$AZ$10,5,FALSE),"")</f>
        <v>1</v>
      </c>
      <c r="AP96" t="b">
        <f>IF($R96,Y96=VLOOKUP(Y96,$AU$2:$AZ$10,6,FALSE),"")</f>
        <v>1</v>
      </c>
      <c r="AQ96" t="b">
        <f>IF($R96,Z96=VLOOKUP(Z96,$AU$2:$AZ$10,6,FALSE),"")</f>
        <v>1</v>
      </c>
      <c r="AR96" t="b">
        <f t="shared" si="22"/>
        <v>0</v>
      </c>
      <c r="AS96" t="b">
        <f t="shared" si="23"/>
        <v>0</v>
      </c>
      <c r="BD96" s="59" t="str">
        <f t="shared" si="24"/>
        <v xml:space="preserve">    { wxString::FromUTF8("\x7E"), &amp;AllGlyphs[1], &amp;AllGlyphs[94], &amp;AllGlyphs[94], &amp;AllGlyphs[94], &amp;AllGlyphs[1], &amp;AllGlyphs[1], Connection::ORTHO_BOTH, Connection::ORTHO_BOTH, Connection::EMPTY, Connection::EMPTY, 0, 1, 1, 1, 0, 0 },</v>
      </c>
      <c r="BE96" s="60"/>
      <c r="BF96" s="60"/>
      <c r="BG96" s="60"/>
      <c r="BH96" s="60"/>
      <c r="BI96" s="60"/>
      <c r="BJ96" s="60"/>
      <c r="BK96" s="61"/>
      <c r="BM96" s="54" t="str">
        <f>IF($R96,"&amp;AllGlyphs[" &amp; E96 &amp; "]","")</f>
        <v>&amp;AllGlyphs[1]</v>
      </c>
      <c r="BN96" s="54" t="str">
        <f>IF($R96,"&amp;AllGlyphs[" &amp; G96 &amp; "]","")</f>
        <v>&amp;AllGlyphs[94]</v>
      </c>
      <c r="BO96" s="54" t="str">
        <f>IF($R96,"&amp;AllGlyphs[" &amp; I96 &amp; "]","")</f>
        <v>&amp;AllGlyphs[94]</v>
      </c>
      <c r="BP96" s="54" t="str">
        <f>IF($R96,"&amp;AllGlyphs[" &amp; K96 &amp; "]","")</f>
        <v>&amp;AllGlyphs[94]</v>
      </c>
      <c r="BQ96" s="54" t="str">
        <f>IF($R96,"&amp;AllGlyphs[" &amp; M96 &amp; "]","")</f>
        <v>&amp;AllGlyphs[1]</v>
      </c>
      <c r="BR96" s="54" t="str">
        <f>IF($R96,"&amp;AllGlyphs[" &amp; O96 &amp; "]","")</f>
        <v>&amp;AllGlyphs[1]</v>
      </c>
      <c r="BT96" s="58">
        <f>IF($R96,IF(AB96,1,0),"")</f>
        <v>0</v>
      </c>
      <c r="BU96" s="58">
        <f>IF($R96,IF(AC96,1,0),"")</f>
        <v>1</v>
      </c>
      <c r="BV96" s="58">
        <f>IF($R96,IF(AD96,1,0),"")</f>
        <v>1</v>
      </c>
      <c r="BW96" s="58">
        <f>IF($R96,IF(AE96,1,0),"")</f>
        <v>1</v>
      </c>
      <c r="BX96" s="58">
        <f>IF($R96,IF(AR96,1,0),"")</f>
        <v>0</v>
      </c>
      <c r="BY96" s="58">
        <f>IF($R96,IF(AS96,1,0),"")</f>
        <v>0</v>
      </c>
    </row>
    <row r="97" spans="1:77" x14ac:dyDescent="0.4">
      <c r="A97" s="7" t="s">
        <v>169</v>
      </c>
      <c r="B97" s="6" t="str">
        <f t="shared" si="15"/>
        <v>¡</v>
      </c>
      <c r="C97" s="48" cm="1">
        <f t="array" ref="C97">IF($R97,INDEX($S:$S,MATCH(TRUE,EXACT(B97,$A:$A),0)),"")</f>
        <v>95</v>
      </c>
      <c r="D97" s="38" t="s">
        <v>172</v>
      </c>
      <c r="E97" s="48" cm="1">
        <f t="array" ref="E97">IF($R97,INDEX($S:$S,MATCH(TRUE,EXACT(D97,$A:$A),0)),"")</f>
        <v>98</v>
      </c>
      <c r="F97" s="38" t="s">
        <v>170</v>
      </c>
      <c r="G97" s="48" cm="1">
        <f t="array" ref="G97">IF($S97&lt;&gt;"",INDEX($S:$S,MATCH(TRUE,EXACT(F97,$A:$A),0)),"")</f>
        <v>96</v>
      </c>
      <c r="H97" s="38" t="s">
        <v>169</v>
      </c>
      <c r="I97" s="48" cm="1">
        <f t="array" ref="I97">IF($R97,INDEX($S:$S,MATCH(TRUE,EXACT(H97,$A:$A),0)),"")</f>
        <v>95</v>
      </c>
      <c r="J97" s="38" t="s">
        <v>170</v>
      </c>
      <c r="K97" s="52" cm="1">
        <f t="array" ref="K97">IF($R97,INDEX($S:$S,MATCH(TRUE,EXACT(J97,$A:$A),0)),"")</f>
        <v>96</v>
      </c>
      <c r="L97" s="38" t="str" cm="1">
        <f t="array" ref="L97">IF($R97,INDEX($T:$T,MATCH(TRUE,EXACT(H97,$D:$D),0)),"")</f>
        <v>£</v>
      </c>
      <c r="M97" s="48" cm="1">
        <f t="array" ref="M97">IF($R97,INDEX($S:$S,MATCH(TRUE,EXACT(L97,$A:$A),0)),"")</f>
        <v>97</v>
      </c>
      <c r="N97" s="38" t="str" cm="1">
        <f t="array" ref="N97">IF($R97,INDEX($T:$T,MATCH(TRUE,EXACT(J97,$D:$D),0)),"")</f>
        <v>¤</v>
      </c>
      <c r="O97" s="52" cm="1">
        <f t="array" ref="O97">IF($R97,INDEX($S:$S,MATCH(TRUE,EXACT(N97,$A:$A),0)),"")</f>
        <v>98</v>
      </c>
      <c r="P97" s="23"/>
      <c r="Q97" s="33"/>
      <c r="R97" s="18" t="b">
        <f t="shared" si="16"/>
        <v>1</v>
      </c>
      <c r="S97" s="19">
        <f>IF(R97, MAX(S$2:S96)+1,"")</f>
        <v>95</v>
      </c>
      <c r="T97" s="23" t="str">
        <f t="shared" si="17"/>
        <v>¡</v>
      </c>
      <c r="U97" s="8" t="str" cm="1">
        <f t="array" ref="U97">CharToUTF8(A97)</f>
        <v>\xC2\xA1</v>
      </c>
      <c r="W97" s="18" t="str">
        <f>$AU$10</f>
        <v>ORTHO_RIGHT</v>
      </c>
      <c r="X97" s="24" t="str">
        <f>$AU$10</f>
        <v>ORTHO_RIGHT</v>
      </c>
      <c r="Y97" s="24" t="str">
        <f t="shared" si="26"/>
        <v>EMPTY</v>
      </c>
      <c r="Z97" s="21" t="str">
        <f t="shared" si="26"/>
        <v>EMPTY</v>
      </c>
      <c r="AB97" s="31" t="b">
        <f t="shared" si="18"/>
        <v>0</v>
      </c>
      <c r="AC97" s="31" t="b">
        <f t="shared" si="19"/>
        <v>0</v>
      </c>
      <c r="AD97" t="b">
        <f t="shared" si="20"/>
        <v>1</v>
      </c>
      <c r="AE97" t="b">
        <f t="shared" si="21"/>
        <v>0</v>
      </c>
      <c r="AF97" t="b">
        <f>IF($R97,W97=VLOOKUP(Z97,$AU$2:$AZ$10,3,FALSE),"")</f>
        <v>0</v>
      </c>
      <c r="AG97" t="b">
        <f>IF($R97,X97=VLOOKUP(Y97,$AU$2:$AZ$10,3,FALSE),"")</f>
        <v>0</v>
      </c>
      <c r="AH97" t="b">
        <f>IF($R97,Y97=VLOOKUP(W97,$AU$2:$AZ$10,3,FALSE),"")</f>
        <v>0</v>
      </c>
      <c r="AI97" t="b">
        <f>IF($R97,Z97=VLOOKUP(X97,$AU$2:$AZ$10,3,FALSE),"")</f>
        <v>0</v>
      </c>
      <c r="AJ97" t="b">
        <f>IF($R97,W97=VLOOKUP(W97,$AU$2:$AZ$10,4,FALSE),"")</f>
        <v>0</v>
      </c>
      <c r="AK97" t="b">
        <f>IF($R97,X97=VLOOKUP(X97,$AU$2:$AZ$10,4,FALSE),"")</f>
        <v>0</v>
      </c>
      <c r="AL97" t="b">
        <f>IF($R97,Y97=VLOOKUP(Y97,$AU$2:$AZ$10,4,FALSE),"")</f>
        <v>1</v>
      </c>
      <c r="AM97" t="b">
        <f>IF($R97,Z97=VLOOKUP(Z97,$AU$2:$AZ$10,4,FALSE),"")</f>
        <v>1</v>
      </c>
      <c r="AN97" t="b">
        <f>IF($R97,W97=VLOOKUP(W97,$AU$2:$AZ$10,5,FALSE),"")</f>
        <v>1</v>
      </c>
      <c r="AO97" t="b">
        <f>IF($R97,X97=VLOOKUP(X97,$AU$2:$AZ$10,5,FALSE),"")</f>
        <v>1</v>
      </c>
      <c r="AP97" t="b">
        <f>IF($R97,Y97=VLOOKUP(Y97,$AU$2:$AZ$10,6,FALSE),"")</f>
        <v>1</v>
      </c>
      <c r="AQ97" t="b">
        <f>IF($R97,Z97=VLOOKUP(Z97,$AU$2:$AZ$10,6,FALSE),"")</f>
        <v>1</v>
      </c>
      <c r="AR97" t="b">
        <f t="shared" si="22"/>
        <v>0</v>
      </c>
      <c r="AS97" t="b">
        <f t="shared" si="23"/>
        <v>0</v>
      </c>
      <c r="BD97" s="59" t="str">
        <f t="shared" si="24"/>
        <v xml:space="preserve">    { wxString::FromUTF8("\xC2\xA1"), &amp;AllGlyphs[98], &amp;AllGlyphs[96], &amp;AllGlyphs[95], &amp;AllGlyphs[96], &amp;AllGlyphs[97], &amp;AllGlyphs[98], Connection::ORTHO_RIGHT, Connection::ORTHO_RIGHT, Connection::EMPTY, Connection::EMPTY, 0, 0, 1, 0, 0, 0 },</v>
      </c>
      <c r="BE97" s="60"/>
      <c r="BF97" s="60"/>
      <c r="BG97" s="60"/>
      <c r="BH97" s="60"/>
      <c r="BI97" s="60"/>
      <c r="BJ97" s="60"/>
      <c r="BK97" s="61"/>
      <c r="BM97" s="54" t="str">
        <f>IF($R97,"&amp;AllGlyphs[" &amp; E97 &amp; "]","")</f>
        <v>&amp;AllGlyphs[98]</v>
      </c>
      <c r="BN97" s="54" t="str">
        <f>IF($R97,"&amp;AllGlyphs[" &amp; G97 &amp; "]","")</f>
        <v>&amp;AllGlyphs[96]</v>
      </c>
      <c r="BO97" s="54" t="str">
        <f>IF($R97,"&amp;AllGlyphs[" &amp; I97 &amp; "]","")</f>
        <v>&amp;AllGlyphs[95]</v>
      </c>
      <c r="BP97" s="54" t="str">
        <f>IF($R97,"&amp;AllGlyphs[" &amp; K97 &amp; "]","")</f>
        <v>&amp;AllGlyphs[96]</v>
      </c>
      <c r="BQ97" s="54" t="str">
        <f>IF($R97,"&amp;AllGlyphs[" &amp; M97 &amp; "]","")</f>
        <v>&amp;AllGlyphs[97]</v>
      </c>
      <c r="BR97" s="54" t="str">
        <f>IF($R97,"&amp;AllGlyphs[" &amp; O97 &amp; "]","")</f>
        <v>&amp;AllGlyphs[98]</v>
      </c>
      <c r="BT97" s="58">
        <f>IF($R97,IF(AB97,1,0),"")</f>
        <v>0</v>
      </c>
      <c r="BU97" s="58">
        <f>IF($R97,IF(AC97,1,0),"")</f>
        <v>0</v>
      </c>
      <c r="BV97" s="58">
        <f>IF($R97,IF(AD97,1,0),"")</f>
        <v>1</v>
      </c>
      <c r="BW97" s="58">
        <f>IF($R97,IF(AE97,1,0),"")</f>
        <v>0</v>
      </c>
      <c r="BX97" s="58">
        <f>IF($R97,IF(AR97,1,0),"")</f>
        <v>0</v>
      </c>
      <c r="BY97" s="58">
        <f>IF($R97,IF(AS97,1,0),"")</f>
        <v>0</v>
      </c>
    </row>
    <row r="98" spans="1:77" x14ac:dyDescent="0.4">
      <c r="A98" s="7" t="s">
        <v>170</v>
      </c>
      <c r="B98" s="6" t="str">
        <f t="shared" si="15"/>
        <v>¢</v>
      </c>
      <c r="C98" s="48" cm="1">
        <f t="array" ref="C98">IF($R98,INDEX($S:$S,MATCH(TRUE,EXACT(B98,$A:$A),0)),"")</f>
        <v>96</v>
      </c>
      <c r="D98" s="38" t="s">
        <v>171</v>
      </c>
      <c r="E98" s="48" cm="1">
        <f t="array" ref="E98">IF($R98,INDEX($S:$S,MATCH(TRUE,EXACT(D98,$A:$A),0)),"")</f>
        <v>97</v>
      </c>
      <c r="F98" s="38" t="s">
        <v>169</v>
      </c>
      <c r="G98" s="48" cm="1">
        <f t="array" ref="G98">IF($S98&lt;&gt;"",INDEX($S:$S,MATCH(TRUE,EXACT(F98,$A:$A),0)),"")</f>
        <v>95</v>
      </c>
      <c r="H98" s="38" t="s">
        <v>170</v>
      </c>
      <c r="I98" s="48" cm="1">
        <f t="array" ref="I98">IF($R98,INDEX($S:$S,MATCH(TRUE,EXACT(H98,$A:$A),0)),"")</f>
        <v>96</v>
      </c>
      <c r="J98" s="38" t="s">
        <v>169</v>
      </c>
      <c r="K98" s="52" cm="1">
        <f t="array" ref="K98">IF($R98,INDEX($S:$S,MATCH(TRUE,EXACT(J98,$A:$A),0)),"")</f>
        <v>95</v>
      </c>
      <c r="L98" s="38" t="str" cm="1">
        <f t="array" ref="L98">IF($R98,INDEX($T:$T,MATCH(TRUE,EXACT(H98,$D:$D),0)),"")</f>
        <v>¤</v>
      </c>
      <c r="M98" s="48" cm="1">
        <f t="array" ref="M98">IF($R98,INDEX($S:$S,MATCH(TRUE,EXACT(L98,$A:$A),0)),"")</f>
        <v>98</v>
      </c>
      <c r="N98" s="38" t="str" cm="1">
        <f t="array" ref="N98">IF($R98,INDEX($T:$T,MATCH(TRUE,EXACT(J98,$D:$D),0)),"")</f>
        <v>£</v>
      </c>
      <c r="O98" s="52" cm="1">
        <f t="array" ref="O98">IF($R98,INDEX($S:$S,MATCH(TRUE,EXACT(N98,$A:$A),0)),"")</f>
        <v>97</v>
      </c>
      <c r="P98" s="23"/>
      <c r="Q98" s="33"/>
      <c r="R98" s="18" t="b">
        <f t="shared" si="16"/>
        <v>1</v>
      </c>
      <c r="S98" s="19">
        <f>IF(R98, MAX(S$2:S97)+1,"")</f>
        <v>96</v>
      </c>
      <c r="T98" s="23" t="str">
        <f t="shared" si="17"/>
        <v>¢</v>
      </c>
      <c r="U98" s="8" t="str" cm="1">
        <f t="array" ref="U98">CharToUTF8(A98)</f>
        <v>\xC2\xA2</v>
      </c>
      <c r="W98" s="18" t="str">
        <f>$AU$9</f>
        <v>ORTHO_LEFT</v>
      </c>
      <c r="X98" s="24" t="str">
        <f>$AU$9</f>
        <v>ORTHO_LEFT</v>
      </c>
      <c r="Y98" s="24" t="str">
        <f t="shared" si="26"/>
        <v>EMPTY</v>
      </c>
      <c r="Z98" s="21" t="str">
        <f t="shared" si="26"/>
        <v>EMPTY</v>
      </c>
      <c r="AB98" s="31" t="b">
        <f t="shared" si="18"/>
        <v>0</v>
      </c>
      <c r="AC98" s="31" t="b">
        <f t="shared" si="19"/>
        <v>0</v>
      </c>
      <c r="AD98" t="b">
        <f t="shared" si="20"/>
        <v>1</v>
      </c>
      <c r="AE98" t="b">
        <f t="shared" si="21"/>
        <v>0</v>
      </c>
      <c r="AF98" t="b">
        <f>IF($R98,W98=VLOOKUP(Z98,$AU$2:$AZ$10,3,FALSE),"")</f>
        <v>0</v>
      </c>
      <c r="AG98" t="b">
        <f>IF($R98,X98=VLOOKUP(Y98,$AU$2:$AZ$10,3,FALSE),"")</f>
        <v>0</v>
      </c>
      <c r="AH98" t="b">
        <f>IF($R98,Y98=VLOOKUP(W98,$AU$2:$AZ$10,3,FALSE),"")</f>
        <v>0</v>
      </c>
      <c r="AI98" t="b">
        <f>IF($R98,Z98=VLOOKUP(X98,$AU$2:$AZ$10,3,FALSE),"")</f>
        <v>0</v>
      </c>
      <c r="AJ98" t="b">
        <f>IF($R98,W98=VLOOKUP(W98,$AU$2:$AZ$10,4,FALSE),"")</f>
        <v>0</v>
      </c>
      <c r="AK98" t="b">
        <f>IF($R98,X98=VLOOKUP(X98,$AU$2:$AZ$10,4,FALSE),"")</f>
        <v>0</v>
      </c>
      <c r="AL98" t="b">
        <f>IF($R98,Y98=VLOOKUP(Y98,$AU$2:$AZ$10,4,FALSE),"")</f>
        <v>1</v>
      </c>
      <c r="AM98" t="b">
        <f>IF($R98,Z98=VLOOKUP(Z98,$AU$2:$AZ$10,4,FALSE),"")</f>
        <v>1</v>
      </c>
      <c r="AN98" t="b">
        <f>IF($R98,W98=VLOOKUP(W98,$AU$2:$AZ$10,5,FALSE),"")</f>
        <v>1</v>
      </c>
      <c r="AO98" t="b">
        <f>IF($R98,X98=VLOOKUP(X98,$AU$2:$AZ$10,5,FALSE),"")</f>
        <v>1</v>
      </c>
      <c r="AP98" t="b">
        <f>IF($R98,Y98=VLOOKUP(Y98,$AU$2:$AZ$10,6,FALSE),"")</f>
        <v>1</v>
      </c>
      <c r="AQ98" t="b">
        <f>IF($R98,Z98=VLOOKUP(Z98,$AU$2:$AZ$10,6,FALSE),"")</f>
        <v>1</v>
      </c>
      <c r="AR98" t="b">
        <f t="shared" si="22"/>
        <v>0</v>
      </c>
      <c r="AS98" t="b">
        <f t="shared" si="23"/>
        <v>0</v>
      </c>
      <c r="BD98" s="59" t="str">
        <f t="shared" si="24"/>
        <v xml:space="preserve">    { wxString::FromUTF8("\xC2\xA2"), &amp;AllGlyphs[97], &amp;AllGlyphs[95], &amp;AllGlyphs[96], &amp;AllGlyphs[95], &amp;AllGlyphs[98], &amp;AllGlyphs[97], Connection::ORTHO_LEFT, Connection::ORTHO_LEFT, Connection::EMPTY, Connection::EMPTY, 0, 0, 1, 0, 0, 0 },</v>
      </c>
      <c r="BE98" s="60"/>
      <c r="BF98" s="60"/>
      <c r="BG98" s="60"/>
      <c r="BH98" s="60"/>
      <c r="BI98" s="60"/>
      <c r="BJ98" s="60"/>
      <c r="BK98" s="61"/>
      <c r="BM98" s="54" t="str">
        <f>IF($R98,"&amp;AllGlyphs[" &amp; E98 &amp; "]","")</f>
        <v>&amp;AllGlyphs[97]</v>
      </c>
      <c r="BN98" s="54" t="str">
        <f>IF($R98,"&amp;AllGlyphs[" &amp; G98 &amp; "]","")</f>
        <v>&amp;AllGlyphs[95]</v>
      </c>
      <c r="BO98" s="54" t="str">
        <f>IF($R98,"&amp;AllGlyphs[" &amp; I98 &amp; "]","")</f>
        <v>&amp;AllGlyphs[96]</v>
      </c>
      <c r="BP98" s="54" t="str">
        <f>IF($R98,"&amp;AllGlyphs[" &amp; K98 &amp; "]","")</f>
        <v>&amp;AllGlyphs[95]</v>
      </c>
      <c r="BQ98" s="54" t="str">
        <f>IF($R98,"&amp;AllGlyphs[" &amp; M98 &amp; "]","")</f>
        <v>&amp;AllGlyphs[98]</v>
      </c>
      <c r="BR98" s="54" t="str">
        <f>IF($R98,"&amp;AllGlyphs[" &amp; O98 &amp; "]","")</f>
        <v>&amp;AllGlyphs[97]</v>
      </c>
      <c r="BT98" s="58">
        <f>IF($R98,IF(AB98,1,0),"")</f>
        <v>0</v>
      </c>
      <c r="BU98" s="58">
        <f>IF($R98,IF(AC98,1,0),"")</f>
        <v>0</v>
      </c>
      <c r="BV98" s="58">
        <f>IF($R98,IF(AD98,1,0),"")</f>
        <v>1</v>
      </c>
      <c r="BW98" s="58">
        <f>IF($R98,IF(AE98,1,0),"")</f>
        <v>0</v>
      </c>
      <c r="BX98" s="58">
        <f>IF($R98,IF(AR98,1,0),"")</f>
        <v>0</v>
      </c>
      <c r="BY98" s="58">
        <f>IF($R98,IF(AS98,1,0),"")</f>
        <v>0</v>
      </c>
    </row>
    <row r="99" spans="1:77" x14ac:dyDescent="0.4">
      <c r="A99" s="7" t="s">
        <v>171</v>
      </c>
      <c r="B99" s="6" t="str">
        <f t="shared" si="15"/>
        <v>£</v>
      </c>
      <c r="C99" s="48" cm="1">
        <f t="array" ref="C99">IF($R99,INDEX($S:$S,MATCH(TRUE,EXACT(B99,$A:$A),0)),"")</f>
        <v>97</v>
      </c>
      <c r="D99" s="38" t="s">
        <v>169</v>
      </c>
      <c r="E99" s="48" cm="1">
        <f t="array" ref="E99">IF($R99,INDEX($S:$S,MATCH(TRUE,EXACT(D99,$A:$A),0)),"")</f>
        <v>95</v>
      </c>
      <c r="F99" s="38" t="s">
        <v>172</v>
      </c>
      <c r="G99" s="48" cm="1">
        <f t="array" ref="G99">IF($S99&lt;&gt;"",INDEX($S:$S,MATCH(TRUE,EXACT(F99,$A:$A),0)),"")</f>
        <v>98</v>
      </c>
      <c r="H99" s="38" t="s">
        <v>172</v>
      </c>
      <c r="I99" s="48" cm="1">
        <f t="array" ref="I99">IF($R99,INDEX($S:$S,MATCH(TRUE,EXACT(H99,$A:$A),0)),"")</f>
        <v>98</v>
      </c>
      <c r="J99" s="38" t="s">
        <v>171</v>
      </c>
      <c r="K99" s="52" cm="1">
        <f t="array" ref="K99">IF($R99,INDEX($S:$S,MATCH(TRUE,EXACT(J99,$A:$A),0)),"")</f>
        <v>97</v>
      </c>
      <c r="L99" s="38" t="str" cm="1">
        <f t="array" ref="L99">IF($R99,INDEX($T:$T,MATCH(TRUE,EXACT(H99,$D:$D),0)),"")</f>
        <v>¡</v>
      </c>
      <c r="M99" s="48" cm="1">
        <f t="array" ref="M99">IF($R99,INDEX($S:$S,MATCH(TRUE,EXACT(L99,$A:$A),0)),"")</f>
        <v>95</v>
      </c>
      <c r="N99" s="38" t="str" cm="1">
        <f t="array" ref="N99">IF($R99,INDEX($T:$T,MATCH(TRUE,EXACT(J99,$D:$D),0)),"")</f>
        <v>¢</v>
      </c>
      <c r="O99" s="52" cm="1">
        <f t="array" ref="O99">IF($R99,INDEX($S:$S,MATCH(TRUE,EXACT(N99,$A:$A),0)),"")</f>
        <v>96</v>
      </c>
      <c r="P99" s="23"/>
      <c r="Q99" s="33"/>
      <c r="R99" s="18" t="b">
        <f t="shared" si="16"/>
        <v>1</v>
      </c>
      <c r="S99" s="19">
        <f>IF(R99, MAX(S$2:S98)+1,"")</f>
        <v>97</v>
      </c>
      <c r="T99" s="23" t="str">
        <f t="shared" si="17"/>
        <v>£</v>
      </c>
      <c r="U99" s="8" t="str" cm="1">
        <f t="array" ref="U99">CharToUTF8(A99)</f>
        <v>\xC2\xA3</v>
      </c>
      <c r="W99" s="18" t="str">
        <f>$AU$2</f>
        <v>EMPTY</v>
      </c>
      <c r="X99" s="24" t="str">
        <f>$AU$2</f>
        <v>EMPTY</v>
      </c>
      <c r="Y99" s="24" t="str">
        <f>$AU$7</f>
        <v>ORTHO_UP</v>
      </c>
      <c r="Z99" s="21" t="str">
        <f>$AU$7</f>
        <v>ORTHO_UP</v>
      </c>
      <c r="AB99" s="31" t="b">
        <f t="shared" si="18"/>
        <v>0</v>
      </c>
      <c r="AC99" s="31" t="b">
        <f t="shared" si="19"/>
        <v>0</v>
      </c>
      <c r="AD99" t="b">
        <f t="shared" si="20"/>
        <v>0</v>
      </c>
      <c r="AE99" t="b">
        <f t="shared" si="21"/>
        <v>1</v>
      </c>
      <c r="AF99" t="b">
        <f>IF($R99,W99=VLOOKUP(Z99,$AU$2:$AZ$10,3,FALSE),"")</f>
        <v>0</v>
      </c>
      <c r="AG99" t="b">
        <f>IF($R99,X99=VLOOKUP(Y99,$AU$2:$AZ$10,3,FALSE),"")</f>
        <v>0</v>
      </c>
      <c r="AH99" t="b">
        <f>IF($R99,Y99=VLOOKUP(W99,$AU$2:$AZ$10,3,FALSE),"")</f>
        <v>0</v>
      </c>
      <c r="AI99" t="b">
        <f>IF($R99,Z99=VLOOKUP(X99,$AU$2:$AZ$10,3,FALSE),"")</f>
        <v>0</v>
      </c>
      <c r="AJ99" t="b">
        <f>IF($R99,W99=VLOOKUP(W99,$AU$2:$AZ$10,4,FALSE),"")</f>
        <v>1</v>
      </c>
      <c r="AK99" t="b">
        <f>IF($R99,X99=VLOOKUP(X99,$AU$2:$AZ$10,4,FALSE),"")</f>
        <v>1</v>
      </c>
      <c r="AL99" t="b">
        <f>IF($R99,Y99=VLOOKUP(Y99,$AU$2:$AZ$10,4,FALSE),"")</f>
        <v>0</v>
      </c>
      <c r="AM99" t="b">
        <f>IF($R99,Z99=VLOOKUP(Z99,$AU$2:$AZ$10,4,FALSE),"")</f>
        <v>0</v>
      </c>
      <c r="AN99" t="b">
        <f>IF($R99,W99=VLOOKUP(W99,$AU$2:$AZ$10,5,FALSE),"")</f>
        <v>1</v>
      </c>
      <c r="AO99" t="b">
        <f>IF($R99,X99=VLOOKUP(X99,$AU$2:$AZ$10,5,FALSE),"")</f>
        <v>1</v>
      </c>
      <c r="AP99" t="b">
        <f>IF($R99,Y99=VLOOKUP(Y99,$AU$2:$AZ$10,6,FALSE),"")</f>
        <v>1</v>
      </c>
      <c r="AQ99" t="b">
        <f>IF($R99,Z99=VLOOKUP(Z99,$AU$2:$AZ$10,6,FALSE),"")</f>
        <v>1</v>
      </c>
      <c r="AR99" t="b">
        <f t="shared" si="22"/>
        <v>0</v>
      </c>
      <c r="AS99" t="b">
        <f t="shared" si="23"/>
        <v>0</v>
      </c>
      <c r="BD99" s="59" t="str">
        <f t="shared" si="24"/>
        <v xml:space="preserve">    { wxString::FromUTF8("\xC2\xA3"), &amp;AllGlyphs[95], &amp;AllGlyphs[98], &amp;AllGlyphs[98], &amp;AllGlyphs[97], &amp;AllGlyphs[95], &amp;AllGlyphs[96], Connection::EMPTY, Connection::EMPTY, Connection::ORTHO_UP, Connection::ORTHO_UP, 0, 0, 0, 1, 0, 0 },</v>
      </c>
      <c r="BE99" s="60"/>
      <c r="BF99" s="60"/>
      <c r="BG99" s="60"/>
      <c r="BH99" s="60"/>
      <c r="BI99" s="60"/>
      <c r="BJ99" s="60"/>
      <c r="BK99" s="61"/>
      <c r="BM99" s="54" t="str">
        <f>IF($R99,"&amp;AllGlyphs[" &amp; E99 &amp; "]","")</f>
        <v>&amp;AllGlyphs[95]</v>
      </c>
      <c r="BN99" s="54" t="str">
        <f>IF($R99,"&amp;AllGlyphs[" &amp; G99 &amp; "]","")</f>
        <v>&amp;AllGlyphs[98]</v>
      </c>
      <c r="BO99" s="54" t="str">
        <f>IF($R99,"&amp;AllGlyphs[" &amp; I99 &amp; "]","")</f>
        <v>&amp;AllGlyphs[98]</v>
      </c>
      <c r="BP99" s="54" t="str">
        <f>IF($R99,"&amp;AllGlyphs[" &amp; K99 &amp; "]","")</f>
        <v>&amp;AllGlyphs[97]</v>
      </c>
      <c r="BQ99" s="54" t="str">
        <f>IF($R99,"&amp;AllGlyphs[" &amp; M99 &amp; "]","")</f>
        <v>&amp;AllGlyphs[95]</v>
      </c>
      <c r="BR99" s="54" t="str">
        <f>IF($R99,"&amp;AllGlyphs[" &amp; O99 &amp; "]","")</f>
        <v>&amp;AllGlyphs[96]</v>
      </c>
      <c r="BT99" s="58">
        <f>IF($R99,IF(AB99,1,0),"")</f>
        <v>0</v>
      </c>
      <c r="BU99" s="58">
        <f>IF($R99,IF(AC99,1,0),"")</f>
        <v>0</v>
      </c>
      <c r="BV99" s="58">
        <f>IF($R99,IF(AD99,1,0),"")</f>
        <v>0</v>
      </c>
      <c r="BW99" s="58">
        <f>IF($R99,IF(AE99,1,0),"")</f>
        <v>1</v>
      </c>
      <c r="BX99" s="58">
        <f>IF($R99,IF(AR99,1,0),"")</f>
        <v>0</v>
      </c>
      <c r="BY99" s="58">
        <f>IF($R99,IF(AS99,1,0),"")</f>
        <v>0</v>
      </c>
    </row>
    <row r="100" spans="1:77" x14ac:dyDescent="0.4">
      <c r="A100" s="7" t="s">
        <v>172</v>
      </c>
      <c r="B100" s="6" t="str">
        <f t="shared" si="15"/>
        <v>¤</v>
      </c>
      <c r="C100" s="48" cm="1">
        <f t="array" ref="C100">IF($R100,INDEX($S:$S,MATCH(TRUE,EXACT(B100,$A:$A),0)),"")</f>
        <v>98</v>
      </c>
      <c r="D100" s="38" t="s">
        <v>170</v>
      </c>
      <c r="E100" s="48" cm="1">
        <f t="array" ref="E100">IF($R100,INDEX($S:$S,MATCH(TRUE,EXACT(D100,$A:$A),0)),"")</f>
        <v>96</v>
      </c>
      <c r="F100" s="38" t="s">
        <v>171</v>
      </c>
      <c r="G100" s="48" cm="1">
        <f t="array" ref="G100">IF($S100&lt;&gt;"",INDEX($S:$S,MATCH(TRUE,EXACT(F100,$A:$A),0)),"")</f>
        <v>97</v>
      </c>
      <c r="H100" s="38" t="s">
        <v>171</v>
      </c>
      <c r="I100" s="48" cm="1">
        <f t="array" ref="I100">IF($R100,INDEX($S:$S,MATCH(TRUE,EXACT(H100,$A:$A),0)),"")</f>
        <v>97</v>
      </c>
      <c r="J100" s="38" t="s">
        <v>172</v>
      </c>
      <c r="K100" s="52" cm="1">
        <f t="array" ref="K100">IF($R100,INDEX($S:$S,MATCH(TRUE,EXACT(J100,$A:$A),0)),"")</f>
        <v>98</v>
      </c>
      <c r="L100" s="38" t="str" cm="1">
        <f t="array" ref="L100">IF($R100,INDEX($T:$T,MATCH(TRUE,EXACT(H100,$D:$D),0)),"")</f>
        <v>¢</v>
      </c>
      <c r="M100" s="48" cm="1">
        <f t="array" ref="M100">IF($R100,INDEX($S:$S,MATCH(TRUE,EXACT(L100,$A:$A),0)),"")</f>
        <v>96</v>
      </c>
      <c r="N100" s="38" t="str" cm="1">
        <f t="array" ref="N100">IF($R100,INDEX($T:$T,MATCH(TRUE,EXACT(J100,$D:$D),0)),"")</f>
        <v>¡</v>
      </c>
      <c r="O100" s="52" cm="1">
        <f t="array" ref="O100">IF($R100,INDEX($S:$S,MATCH(TRUE,EXACT(N100,$A:$A),0)),"")</f>
        <v>95</v>
      </c>
      <c r="P100" s="23"/>
      <c r="Q100" s="33"/>
      <c r="R100" s="18" t="b">
        <f t="shared" si="16"/>
        <v>1</v>
      </c>
      <c r="S100" s="19">
        <f>IF(R100, MAX(S$2:S99)+1,"")</f>
        <v>98</v>
      </c>
      <c r="T100" s="23" t="str">
        <f t="shared" si="17"/>
        <v>¤</v>
      </c>
      <c r="U100" s="8" t="str" cm="1">
        <f t="array" ref="U100">CharToUTF8(A100)</f>
        <v>\xC2\xA4</v>
      </c>
      <c r="W100" s="18" t="str">
        <f>$AU$2</f>
        <v>EMPTY</v>
      </c>
      <c r="X100" s="24" t="str">
        <f>$AU$2</f>
        <v>EMPTY</v>
      </c>
      <c r="Y100" s="24" t="str">
        <f>$AU$8</f>
        <v>ORTHO_DOWN</v>
      </c>
      <c r="Z100" s="21" t="str">
        <f>$AU$8</f>
        <v>ORTHO_DOWN</v>
      </c>
      <c r="AB100" s="31" t="b">
        <f t="shared" si="18"/>
        <v>0</v>
      </c>
      <c r="AC100" s="31" t="b">
        <f t="shared" si="19"/>
        <v>0</v>
      </c>
      <c r="AD100" t="b">
        <f t="shared" si="20"/>
        <v>0</v>
      </c>
      <c r="AE100" t="b">
        <f t="shared" si="21"/>
        <v>1</v>
      </c>
      <c r="AF100" t="b">
        <f>IF($R100,W100=VLOOKUP(Z100,$AU$2:$AZ$10,3,FALSE),"")</f>
        <v>0</v>
      </c>
      <c r="AG100" t="b">
        <f>IF($R100,X100=VLOOKUP(Y100,$AU$2:$AZ$10,3,FALSE),"")</f>
        <v>0</v>
      </c>
      <c r="AH100" t="b">
        <f>IF($R100,Y100=VLOOKUP(W100,$AU$2:$AZ$10,3,FALSE),"")</f>
        <v>0</v>
      </c>
      <c r="AI100" t="b">
        <f>IF($R100,Z100=VLOOKUP(X100,$AU$2:$AZ$10,3,FALSE),"")</f>
        <v>0</v>
      </c>
      <c r="AJ100" t="b">
        <f>IF($R100,W100=VLOOKUP(W100,$AU$2:$AZ$10,4,FALSE),"")</f>
        <v>1</v>
      </c>
      <c r="AK100" t="b">
        <f>IF($R100,X100=VLOOKUP(X100,$AU$2:$AZ$10,4,FALSE),"")</f>
        <v>1</v>
      </c>
      <c r="AL100" t="b">
        <f>IF($R100,Y100=VLOOKUP(Y100,$AU$2:$AZ$10,4,FALSE),"")</f>
        <v>0</v>
      </c>
      <c r="AM100" t="b">
        <f>IF($R100,Z100=VLOOKUP(Z100,$AU$2:$AZ$10,4,FALSE),"")</f>
        <v>0</v>
      </c>
      <c r="AN100" t="b">
        <f>IF($R100,W100=VLOOKUP(W100,$AU$2:$AZ$10,5,FALSE),"")</f>
        <v>1</v>
      </c>
      <c r="AO100" t="b">
        <f>IF($R100,X100=VLOOKUP(X100,$AU$2:$AZ$10,5,FALSE),"")</f>
        <v>1</v>
      </c>
      <c r="AP100" t="b">
        <f>IF($R100,Y100=VLOOKUP(Y100,$AU$2:$AZ$10,6,FALSE),"")</f>
        <v>1</v>
      </c>
      <c r="AQ100" t="b">
        <f>IF($R100,Z100=VLOOKUP(Z100,$AU$2:$AZ$10,6,FALSE),"")</f>
        <v>1</v>
      </c>
      <c r="AR100" t="b">
        <f t="shared" si="22"/>
        <v>0</v>
      </c>
      <c r="AS100" t="b">
        <f t="shared" si="23"/>
        <v>0</v>
      </c>
      <c r="BD100" s="59" t="str">
        <f t="shared" si="24"/>
        <v xml:space="preserve">    { wxString::FromUTF8("\xC2\xA4"), &amp;AllGlyphs[96], &amp;AllGlyphs[97], &amp;AllGlyphs[97], &amp;AllGlyphs[98], &amp;AllGlyphs[96], &amp;AllGlyphs[95], Connection::EMPTY, Connection::EMPTY, Connection::ORTHO_DOWN, Connection::ORTHO_DOWN, 0, 0, 0, 1, 0, 0 },</v>
      </c>
      <c r="BE100" s="60"/>
      <c r="BF100" s="60"/>
      <c r="BG100" s="60"/>
      <c r="BH100" s="60"/>
      <c r="BI100" s="60"/>
      <c r="BJ100" s="60"/>
      <c r="BK100" s="61"/>
      <c r="BM100" s="54" t="str">
        <f>IF($R100,"&amp;AllGlyphs[" &amp; E100 &amp; "]","")</f>
        <v>&amp;AllGlyphs[96]</v>
      </c>
      <c r="BN100" s="54" t="str">
        <f>IF($R100,"&amp;AllGlyphs[" &amp; G100 &amp; "]","")</f>
        <v>&amp;AllGlyphs[97]</v>
      </c>
      <c r="BO100" s="54" t="str">
        <f>IF($R100,"&amp;AllGlyphs[" &amp; I100 &amp; "]","")</f>
        <v>&amp;AllGlyphs[97]</v>
      </c>
      <c r="BP100" s="54" t="str">
        <f>IF($R100,"&amp;AllGlyphs[" &amp; K100 &amp; "]","")</f>
        <v>&amp;AllGlyphs[98]</v>
      </c>
      <c r="BQ100" s="54" t="str">
        <f>IF($R100,"&amp;AllGlyphs[" &amp; M100 &amp; "]","")</f>
        <v>&amp;AllGlyphs[96]</v>
      </c>
      <c r="BR100" s="54" t="str">
        <f>IF($R100,"&amp;AllGlyphs[" &amp; O100 &amp; "]","")</f>
        <v>&amp;AllGlyphs[95]</v>
      </c>
      <c r="BT100" s="58">
        <f>IF($R100,IF(AB100,1,0),"")</f>
        <v>0</v>
      </c>
      <c r="BU100" s="58">
        <f>IF($R100,IF(AC100,1,0),"")</f>
        <v>0</v>
      </c>
      <c r="BV100" s="58">
        <f>IF($R100,IF(AD100,1,0),"")</f>
        <v>0</v>
      </c>
      <c r="BW100" s="58">
        <f>IF($R100,IF(AE100,1,0),"")</f>
        <v>1</v>
      </c>
      <c r="BX100" s="58">
        <f>IF($R100,IF(AR100,1,0),"")</f>
        <v>0</v>
      </c>
      <c r="BY100" s="58">
        <f>IF($R100,IF(AS100,1,0),"")</f>
        <v>0</v>
      </c>
    </row>
    <row r="101" spans="1:77" x14ac:dyDescent="0.4">
      <c r="A101" s="7" t="s">
        <v>80</v>
      </c>
      <c r="B101" s="6" t="str">
        <f t="shared" si="15"/>
        <v>¥</v>
      </c>
      <c r="C101" s="48" cm="1">
        <f t="array" ref="C101">IF($R101,INDEX($S:$S,MATCH(TRUE,EXACT(B101,$A:$A),0)),"")</f>
        <v>99</v>
      </c>
      <c r="D101" s="38" t="s">
        <v>81</v>
      </c>
      <c r="E101" s="48" cm="1">
        <f t="array" ref="E101">IF($R101,INDEX($S:$S,MATCH(TRUE,EXACT(D101,$A:$A),0)),"")</f>
        <v>100</v>
      </c>
      <c r="F101" s="38" t="s">
        <v>82</v>
      </c>
      <c r="G101" s="48" cm="1">
        <f t="array" ref="G101">IF($S101&lt;&gt;"",INDEX($S:$S,MATCH(TRUE,EXACT(F101,$A:$A),0)),"")</f>
        <v>101</v>
      </c>
      <c r="H101" s="38" t="s">
        <v>83</v>
      </c>
      <c r="I101" s="48" cm="1">
        <f t="array" ref="I101">IF($R101,INDEX($S:$S,MATCH(TRUE,EXACT(H101,$A:$A),0)),"")</f>
        <v>102</v>
      </c>
      <c r="J101" s="38" t="s">
        <v>81</v>
      </c>
      <c r="K101" s="52" cm="1">
        <f t="array" ref="K101">IF($R101,INDEX($S:$S,MATCH(TRUE,EXACT(J101,$A:$A),0)),"")</f>
        <v>100</v>
      </c>
      <c r="L101" s="38" t="str" cm="1">
        <f t="array" ref="L101">IF($R101,INDEX($T:$T,MATCH(TRUE,EXACT(H101,$D:$D),0)),"")</f>
        <v>§</v>
      </c>
      <c r="M101" s="48" cm="1">
        <f t="array" ref="M101">IF($R101,INDEX($S:$S,MATCH(TRUE,EXACT(L101,$A:$A),0)),"")</f>
        <v>101</v>
      </c>
      <c r="N101" s="38" t="str" cm="1">
        <f t="array" ref="N101">IF($R101,INDEX($T:$T,MATCH(TRUE,EXACT(J101,$D:$D),0)),"")</f>
        <v>¥</v>
      </c>
      <c r="O101" s="52" cm="1">
        <f t="array" ref="O101">IF($R101,INDEX($S:$S,MATCH(TRUE,EXACT(N101,$A:$A),0)),"")</f>
        <v>99</v>
      </c>
      <c r="P101" s="23"/>
      <c r="Q101" s="33"/>
      <c r="R101" s="18" t="b">
        <f t="shared" si="16"/>
        <v>1</v>
      </c>
      <c r="S101" s="19">
        <f>IF(R101, MAX(S$2:S100)+1,"")</f>
        <v>99</v>
      </c>
      <c r="T101" s="23" t="str">
        <f t="shared" si="17"/>
        <v>¥</v>
      </c>
      <c r="U101" s="8" t="str" cm="1">
        <f t="array" ref="U101">CharToUTF8(A101)</f>
        <v>\xC2\xA5</v>
      </c>
      <c r="W101" s="18" t="str">
        <f>$AU$5</f>
        <v>DIAG_FRONT</v>
      </c>
      <c r="X101" s="24" t="str">
        <f>$AU$3</f>
        <v>DIAG_BOTH</v>
      </c>
      <c r="Y101" s="24" t="str">
        <f>$AU$6</f>
        <v>DIAG_BACK</v>
      </c>
      <c r="Z101" s="21" t="str">
        <f>$AU$3</f>
        <v>DIAG_BOTH</v>
      </c>
      <c r="AB101" s="31" t="b">
        <f t="shared" si="18"/>
        <v>0</v>
      </c>
      <c r="AC101" s="31" t="b">
        <f t="shared" si="19"/>
        <v>0</v>
      </c>
      <c r="AD101" t="b">
        <f t="shared" si="20"/>
        <v>0</v>
      </c>
      <c r="AE101" t="b">
        <f t="shared" si="21"/>
        <v>0</v>
      </c>
      <c r="AF101" t="b">
        <f>IF($R101,W101=VLOOKUP(Z101,$AU$2:$AZ$10,3,FALSE),"")</f>
        <v>0</v>
      </c>
      <c r="AG101" t="b">
        <f>IF($R101,X101=VLOOKUP(Y101,$AU$2:$AZ$10,3,FALSE),"")</f>
        <v>0</v>
      </c>
      <c r="AH101" t="b">
        <f>IF($R101,Y101=VLOOKUP(W101,$AU$2:$AZ$10,3,FALSE),"")</f>
        <v>0</v>
      </c>
      <c r="AI101" t="b">
        <f>IF($R101,Z101=VLOOKUP(X101,$AU$2:$AZ$10,3,FALSE),"")</f>
        <v>1</v>
      </c>
      <c r="AJ101" t="b">
        <f>IF($R101,W101=VLOOKUP(W101,$AU$2:$AZ$10,4,FALSE),"")</f>
        <v>1</v>
      </c>
      <c r="AK101" t="b">
        <f>IF($R101,X101=VLOOKUP(X101,$AU$2:$AZ$10,4,FALSE),"")</f>
        <v>1</v>
      </c>
      <c r="AL101" t="b">
        <f>IF($R101,Y101=VLOOKUP(Y101,$AU$2:$AZ$10,4,FALSE),"")</f>
        <v>1</v>
      </c>
      <c r="AM101" t="b">
        <f>IF($R101,Z101=VLOOKUP(Z101,$AU$2:$AZ$10,4,FALSE),"")</f>
        <v>1</v>
      </c>
      <c r="AN101" t="b">
        <f>IF($R101,W101=VLOOKUP(W101,$AU$2:$AZ$10,5,FALSE),"")</f>
        <v>0</v>
      </c>
      <c r="AO101" t="b">
        <f>IF($R101,X101=VLOOKUP(X101,$AU$2:$AZ$10,5,FALSE),"")</f>
        <v>1</v>
      </c>
      <c r="AP101" t="b">
        <f>IF($R101,Y101=VLOOKUP(Y101,$AU$2:$AZ$10,6,FALSE),"")</f>
        <v>0</v>
      </c>
      <c r="AQ101" t="b">
        <f>IF($R101,Z101=VLOOKUP(Z101,$AU$2:$AZ$10,6,FALSE),"")</f>
        <v>1</v>
      </c>
      <c r="AR101" t="b">
        <f t="shared" si="22"/>
        <v>0</v>
      </c>
      <c r="AS101" t="b">
        <f t="shared" si="23"/>
        <v>1</v>
      </c>
      <c r="BD101" s="59" t="str">
        <f t="shared" si="24"/>
        <v xml:space="preserve">    { wxString::FromUTF8("\xC2\xA5"), &amp;AllGlyphs[100], &amp;AllGlyphs[101], &amp;AllGlyphs[102], &amp;AllGlyphs[100], &amp;AllGlyphs[101], &amp;AllGlyphs[99], Connection::DIAG_FRONT, Connection::DIAG_BOTH, Connection::DIAG_BACK, Connection::DIAG_BOTH, 0, 0, 0, 0, 0, 1 },</v>
      </c>
      <c r="BE101" s="60"/>
      <c r="BF101" s="60"/>
      <c r="BG101" s="60"/>
      <c r="BH101" s="60"/>
      <c r="BI101" s="60"/>
      <c r="BJ101" s="60"/>
      <c r="BK101" s="61"/>
      <c r="BM101" s="54" t="str">
        <f>IF($R101,"&amp;AllGlyphs[" &amp; E101 &amp; "]","")</f>
        <v>&amp;AllGlyphs[100]</v>
      </c>
      <c r="BN101" s="54" t="str">
        <f>IF($R101,"&amp;AllGlyphs[" &amp; G101 &amp; "]","")</f>
        <v>&amp;AllGlyphs[101]</v>
      </c>
      <c r="BO101" s="54" t="str">
        <f>IF($R101,"&amp;AllGlyphs[" &amp; I101 &amp; "]","")</f>
        <v>&amp;AllGlyphs[102]</v>
      </c>
      <c r="BP101" s="54" t="str">
        <f>IF($R101,"&amp;AllGlyphs[" &amp; K101 &amp; "]","")</f>
        <v>&amp;AllGlyphs[100]</v>
      </c>
      <c r="BQ101" s="54" t="str">
        <f>IF($R101,"&amp;AllGlyphs[" &amp; M101 &amp; "]","")</f>
        <v>&amp;AllGlyphs[101]</v>
      </c>
      <c r="BR101" s="54" t="str">
        <f>IF($R101,"&amp;AllGlyphs[" &amp; O101 &amp; "]","")</f>
        <v>&amp;AllGlyphs[99]</v>
      </c>
      <c r="BT101" s="58">
        <f>IF($R101,IF(AB101,1,0),"")</f>
        <v>0</v>
      </c>
      <c r="BU101" s="58">
        <f>IF($R101,IF(AC101,1,0),"")</f>
        <v>0</v>
      </c>
      <c r="BV101" s="58">
        <f>IF($R101,IF(AD101,1,0),"")</f>
        <v>0</v>
      </c>
      <c r="BW101" s="58">
        <f>IF($R101,IF(AE101,1,0),"")</f>
        <v>0</v>
      </c>
      <c r="BX101" s="58">
        <f>IF($R101,IF(AR101,1,0),"")</f>
        <v>0</v>
      </c>
      <c r="BY101" s="58">
        <f>IF($R101,IF(AS101,1,0),"")</f>
        <v>1</v>
      </c>
    </row>
    <row r="102" spans="1:77" x14ac:dyDescent="0.4">
      <c r="A102" s="7" t="s">
        <v>81</v>
      </c>
      <c r="B102" s="6" t="str">
        <f t="shared" si="15"/>
        <v>¦</v>
      </c>
      <c r="C102" s="48" cm="1">
        <f t="array" ref="C102">IF($R102,INDEX($S:$S,MATCH(TRUE,EXACT(B102,$A:$A),0)),"")</f>
        <v>100</v>
      </c>
      <c r="D102" s="38" t="s">
        <v>82</v>
      </c>
      <c r="E102" s="48" cm="1">
        <f t="array" ref="E102">IF($R102,INDEX($S:$S,MATCH(TRUE,EXACT(D102,$A:$A),0)),"")</f>
        <v>101</v>
      </c>
      <c r="F102" s="38" t="s">
        <v>83</v>
      </c>
      <c r="G102" s="48" cm="1">
        <f t="array" ref="G102">IF($S102&lt;&gt;"",INDEX($S:$S,MATCH(TRUE,EXACT(F102,$A:$A),0)),"")</f>
        <v>102</v>
      </c>
      <c r="H102" s="38" t="s">
        <v>82</v>
      </c>
      <c r="I102" s="48" cm="1">
        <f t="array" ref="I102">IF($R102,INDEX($S:$S,MATCH(TRUE,EXACT(H102,$A:$A),0)),"")</f>
        <v>101</v>
      </c>
      <c r="J102" s="38" t="s">
        <v>80</v>
      </c>
      <c r="K102" s="52" cm="1">
        <f t="array" ref="K102">IF($R102,INDEX($S:$S,MATCH(TRUE,EXACT(J102,$A:$A),0)),"")</f>
        <v>99</v>
      </c>
      <c r="L102" s="38" t="str" cm="1">
        <f t="array" ref="L102">IF($R102,INDEX($T:$T,MATCH(TRUE,EXACT(H102,$D:$D),0)),"")</f>
        <v>¦</v>
      </c>
      <c r="M102" s="48" cm="1">
        <f t="array" ref="M102">IF($R102,INDEX($S:$S,MATCH(TRUE,EXACT(L102,$A:$A),0)),"")</f>
        <v>100</v>
      </c>
      <c r="N102" s="38" t="str" cm="1">
        <f t="array" ref="N102">IF($R102,INDEX($T:$T,MATCH(TRUE,EXACT(J102,$D:$D),0)),"")</f>
        <v>¨</v>
      </c>
      <c r="O102" s="52" cm="1">
        <f t="array" ref="O102">IF($R102,INDEX($S:$S,MATCH(TRUE,EXACT(N102,$A:$A),0)),"")</f>
        <v>102</v>
      </c>
      <c r="P102" s="23"/>
      <c r="Q102" s="33"/>
      <c r="R102" s="18" t="b">
        <f t="shared" si="16"/>
        <v>1</v>
      </c>
      <c r="S102" s="19">
        <f>IF(R102, MAX(S$2:S101)+1,"")</f>
        <v>100</v>
      </c>
      <c r="T102" s="23" t="str">
        <f t="shared" si="17"/>
        <v>¦</v>
      </c>
      <c r="U102" s="8" t="str" cm="1">
        <f t="array" ref="U102">CharToUTF8(A102)</f>
        <v>\xC2\xA6</v>
      </c>
      <c r="W102" s="18" t="str">
        <f>$AU$6</f>
        <v>DIAG_BACK</v>
      </c>
      <c r="X102" s="24" t="str">
        <f>$AU$3</f>
        <v>DIAG_BOTH</v>
      </c>
      <c r="Y102" s="24" t="str">
        <f>$AU$3</f>
        <v>DIAG_BOTH</v>
      </c>
      <c r="Z102" s="21" t="str">
        <f>$AU$5</f>
        <v>DIAG_FRONT</v>
      </c>
      <c r="AB102" s="31" t="b">
        <f t="shared" si="18"/>
        <v>0</v>
      </c>
      <c r="AC102" s="31" t="b">
        <f t="shared" si="19"/>
        <v>0</v>
      </c>
      <c r="AD102" t="b">
        <f t="shared" si="20"/>
        <v>0</v>
      </c>
      <c r="AE102" t="b">
        <f t="shared" si="21"/>
        <v>0</v>
      </c>
      <c r="AF102" t="b">
        <f>IF($R102,W102=VLOOKUP(Z102,$AU$2:$AZ$10,3,FALSE),"")</f>
        <v>0</v>
      </c>
      <c r="AG102" t="b">
        <f>IF($R102,X102=VLOOKUP(Y102,$AU$2:$AZ$10,3,FALSE),"")</f>
        <v>1</v>
      </c>
      <c r="AH102" t="b">
        <f>IF($R102,Y102=VLOOKUP(W102,$AU$2:$AZ$10,3,FALSE),"")</f>
        <v>0</v>
      </c>
      <c r="AI102" t="b">
        <f>IF($R102,Z102=VLOOKUP(X102,$AU$2:$AZ$10,3,FALSE),"")</f>
        <v>0</v>
      </c>
      <c r="AJ102" t="b">
        <f>IF($R102,W102=VLOOKUP(W102,$AU$2:$AZ$10,4,FALSE),"")</f>
        <v>1</v>
      </c>
      <c r="AK102" t="b">
        <f>IF($R102,X102=VLOOKUP(X102,$AU$2:$AZ$10,4,FALSE),"")</f>
        <v>1</v>
      </c>
      <c r="AL102" t="b">
        <f>IF($R102,Y102=VLOOKUP(Y102,$AU$2:$AZ$10,4,FALSE),"")</f>
        <v>1</v>
      </c>
      <c r="AM102" t="b">
        <f>IF($R102,Z102=VLOOKUP(Z102,$AU$2:$AZ$10,4,FALSE),"")</f>
        <v>1</v>
      </c>
      <c r="AN102" t="b">
        <f>IF($R102,W102=VLOOKUP(W102,$AU$2:$AZ$10,5,FALSE),"")</f>
        <v>0</v>
      </c>
      <c r="AO102" t="b">
        <f>IF($R102,X102=VLOOKUP(X102,$AU$2:$AZ$10,5,FALSE),"")</f>
        <v>1</v>
      </c>
      <c r="AP102" t="b">
        <f>IF($R102,Y102=VLOOKUP(Y102,$AU$2:$AZ$10,6,FALSE),"")</f>
        <v>1</v>
      </c>
      <c r="AQ102" t="b">
        <f>IF($R102,Z102=VLOOKUP(Z102,$AU$2:$AZ$10,6,FALSE),"")</f>
        <v>0</v>
      </c>
      <c r="AR102" t="b">
        <f t="shared" si="22"/>
        <v>1</v>
      </c>
      <c r="AS102" t="b">
        <f t="shared" si="23"/>
        <v>0</v>
      </c>
      <c r="BD102" s="59" t="str">
        <f t="shared" si="24"/>
        <v xml:space="preserve">    { wxString::FromUTF8("\xC2\xA6"), &amp;AllGlyphs[101], &amp;AllGlyphs[102], &amp;AllGlyphs[101], &amp;AllGlyphs[99], &amp;AllGlyphs[100], &amp;AllGlyphs[102], Connection::DIAG_BACK, Connection::DIAG_BOTH, Connection::DIAG_BOTH, Connection::DIAG_FRONT, 0, 0, 0, 0, 1, 0 },</v>
      </c>
      <c r="BE102" s="60"/>
      <c r="BF102" s="60"/>
      <c r="BG102" s="60"/>
      <c r="BH102" s="60"/>
      <c r="BI102" s="60"/>
      <c r="BJ102" s="60"/>
      <c r="BK102" s="61"/>
      <c r="BM102" s="54" t="str">
        <f>IF($R102,"&amp;AllGlyphs[" &amp; E102 &amp; "]","")</f>
        <v>&amp;AllGlyphs[101]</v>
      </c>
      <c r="BN102" s="54" t="str">
        <f>IF($R102,"&amp;AllGlyphs[" &amp; G102 &amp; "]","")</f>
        <v>&amp;AllGlyphs[102]</v>
      </c>
      <c r="BO102" s="54" t="str">
        <f>IF($R102,"&amp;AllGlyphs[" &amp; I102 &amp; "]","")</f>
        <v>&amp;AllGlyphs[101]</v>
      </c>
      <c r="BP102" s="54" t="str">
        <f>IF($R102,"&amp;AllGlyphs[" &amp; K102 &amp; "]","")</f>
        <v>&amp;AllGlyphs[99]</v>
      </c>
      <c r="BQ102" s="54" t="str">
        <f>IF($R102,"&amp;AllGlyphs[" &amp; M102 &amp; "]","")</f>
        <v>&amp;AllGlyphs[100]</v>
      </c>
      <c r="BR102" s="54" t="str">
        <f>IF($R102,"&amp;AllGlyphs[" &amp; O102 &amp; "]","")</f>
        <v>&amp;AllGlyphs[102]</v>
      </c>
      <c r="BT102" s="58">
        <f>IF($R102,IF(AB102,1,0),"")</f>
        <v>0</v>
      </c>
      <c r="BU102" s="58">
        <f>IF($R102,IF(AC102,1,0),"")</f>
        <v>0</v>
      </c>
      <c r="BV102" s="58">
        <f>IF($R102,IF(AD102,1,0),"")</f>
        <v>0</v>
      </c>
      <c r="BW102" s="58">
        <f>IF($R102,IF(AE102,1,0),"")</f>
        <v>0</v>
      </c>
      <c r="BX102" s="58">
        <f>IF($R102,IF(AR102,1,0),"")</f>
        <v>1</v>
      </c>
      <c r="BY102" s="58">
        <f>IF($R102,IF(AS102,1,0),"")</f>
        <v>0</v>
      </c>
    </row>
    <row r="103" spans="1:77" x14ac:dyDescent="0.4">
      <c r="A103" s="7" t="s">
        <v>82</v>
      </c>
      <c r="B103" s="6" t="str">
        <f t="shared" si="15"/>
        <v>§</v>
      </c>
      <c r="C103" s="48" cm="1">
        <f t="array" ref="C103">IF($R103,INDEX($S:$S,MATCH(TRUE,EXACT(B103,$A:$A),0)),"")</f>
        <v>101</v>
      </c>
      <c r="D103" s="38" t="s">
        <v>83</v>
      </c>
      <c r="E103" s="48" cm="1">
        <f t="array" ref="E103">IF($R103,INDEX($S:$S,MATCH(TRUE,EXACT(D103,$A:$A),0)),"")</f>
        <v>102</v>
      </c>
      <c r="F103" s="38" t="s">
        <v>80</v>
      </c>
      <c r="G103" s="48" cm="1">
        <f t="array" ref="G103">IF($S103&lt;&gt;"",INDEX($S:$S,MATCH(TRUE,EXACT(F103,$A:$A),0)),"")</f>
        <v>99</v>
      </c>
      <c r="H103" s="38" t="s">
        <v>81</v>
      </c>
      <c r="I103" s="48" cm="1">
        <f t="array" ref="I103">IF($R103,INDEX($S:$S,MATCH(TRUE,EXACT(H103,$A:$A),0)),"")</f>
        <v>100</v>
      </c>
      <c r="J103" s="38" t="s">
        <v>83</v>
      </c>
      <c r="K103" s="52" cm="1">
        <f t="array" ref="K103">IF($R103,INDEX($S:$S,MATCH(TRUE,EXACT(J103,$A:$A),0)),"")</f>
        <v>102</v>
      </c>
      <c r="L103" s="38" t="str" cm="1">
        <f t="array" ref="L103">IF($R103,INDEX($T:$T,MATCH(TRUE,EXACT(H103,$D:$D),0)),"")</f>
        <v>¥</v>
      </c>
      <c r="M103" s="48" cm="1">
        <f t="array" ref="M103">IF($R103,INDEX($S:$S,MATCH(TRUE,EXACT(L103,$A:$A),0)),"")</f>
        <v>99</v>
      </c>
      <c r="N103" s="38" t="str" cm="1">
        <f t="array" ref="N103">IF($R103,INDEX($T:$T,MATCH(TRUE,EXACT(J103,$D:$D),0)),"")</f>
        <v>§</v>
      </c>
      <c r="O103" s="52" cm="1">
        <f t="array" ref="O103">IF($R103,INDEX($S:$S,MATCH(TRUE,EXACT(N103,$A:$A),0)),"")</f>
        <v>101</v>
      </c>
      <c r="P103" s="23"/>
      <c r="Q103" s="33"/>
      <c r="R103" s="18" t="b">
        <f t="shared" si="16"/>
        <v>1</v>
      </c>
      <c r="S103" s="19">
        <f>IF(R103, MAX(S$2:S102)+1,"")</f>
        <v>101</v>
      </c>
      <c r="T103" s="23" t="str">
        <f t="shared" si="17"/>
        <v>§</v>
      </c>
      <c r="U103" s="8" t="str" cm="1">
        <f t="array" ref="U103">CharToUTF8(A103)</f>
        <v>\xC2\xA7</v>
      </c>
      <c r="W103" s="18" t="str">
        <f>$AU$3</f>
        <v>DIAG_BOTH</v>
      </c>
      <c r="X103" s="24" t="str">
        <f>$AU$5</f>
        <v>DIAG_FRONT</v>
      </c>
      <c r="Y103" s="24" t="str">
        <f>$AU$3</f>
        <v>DIAG_BOTH</v>
      </c>
      <c r="Z103" s="21" t="str">
        <f>$AU$6</f>
        <v>DIAG_BACK</v>
      </c>
      <c r="AB103" s="31" t="b">
        <f t="shared" si="18"/>
        <v>0</v>
      </c>
      <c r="AC103" s="31" t="b">
        <f t="shared" si="19"/>
        <v>0</v>
      </c>
      <c r="AD103" t="b">
        <f t="shared" si="20"/>
        <v>0</v>
      </c>
      <c r="AE103" t="b">
        <f t="shared" si="21"/>
        <v>0</v>
      </c>
      <c r="AF103" t="b">
        <f>IF($R103,W103=VLOOKUP(Z103,$AU$2:$AZ$10,3,FALSE),"")</f>
        <v>0</v>
      </c>
      <c r="AG103" t="b">
        <f>IF($R103,X103=VLOOKUP(Y103,$AU$2:$AZ$10,3,FALSE),"")</f>
        <v>0</v>
      </c>
      <c r="AH103" t="b">
        <f>IF($R103,Y103=VLOOKUP(W103,$AU$2:$AZ$10,3,FALSE),"")</f>
        <v>1</v>
      </c>
      <c r="AI103" t="b">
        <f>IF($R103,Z103=VLOOKUP(X103,$AU$2:$AZ$10,3,FALSE),"")</f>
        <v>0</v>
      </c>
      <c r="AJ103" t="b">
        <f>IF($R103,W103=VLOOKUP(W103,$AU$2:$AZ$10,4,FALSE),"")</f>
        <v>1</v>
      </c>
      <c r="AK103" t="b">
        <f>IF($R103,X103=VLOOKUP(X103,$AU$2:$AZ$10,4,FALSE),"")</f>
        <v>1</v>
      </c>
      <c r="AL103" t="b">
        <f>IF($R103,Y103=VLOOKUP(Y103,$AU$2:$AZ$10,4,FALSE),"")</f>
        <v>1</v>
      </c>
      <c r="AM103" t="b">
        <f>IF($R103,Z103=VLOOKUP(Z103,$AU$2:$AZ$10,4,FALSE),"")</f>
        <v>1</v>
      </c>
      <c r="AN103" t="b">
        <f>IF($R103,W103=VLOOKUP(W103,$AU$2:$AZ$10,5,FALSE),"")</f>
        <v>1</v>
      </c>
      <c r="AO103" t="b">
        <f>IF($R103,X103=VLOOKUP(X103,$AU$2:$AZ$10,5,FALSE),"")</f>
        <v>0</v>
      </c>
      <c r="AP103" t="b">
        <f>IF($R103,Y103=VLOOKUP(Y103,$AU$2:$AZ$10,6,FALSE),"")</f>
        <v>1</v>
      </c>
      <c r="AQ103" t="b">
        <f>IF($R103,Z103=VLOOKUP(Z103,$AU$2:$AZ$10,6,FALSE),"")</f>
        <v>0</v>
      </c>
      <c r="AR103" t="b">
        <f t="shared" si="22"/>
        <v>0</v>
      </c>
      <c r="AS103" t="b">
        <f t="shared" si="23"/>
        <v>1</v>
      </c>
      <c r="BD103" s="59" t="str">
        <f t="shared" si="24"/>
        <v xml:space="preserve">    { wxString::FromUTF8("\xC2\xA7"), &amp;AllGlyphs[102], &amp;AllGlyphs[99], &amp;AllGlyphs[100], &amp;AllGlyphs[102], &amp;AllGlyphs[99], &amp;AllGlyphs[101], Connection::DIAG_BOTH, Connection::DIAG_FRONT, Connection::DIAG_BOTH, Connection::DIAG_BACK, 0, 0, 0, 0, 0, 1 },</v>
      </c>
      <c r="BE103" s="60"/>
      <c r="BF103" s="60"/>
      <c r="BG103" s="60"/>
      <c r="BH103" s="60"/>
      <c r="BI103" s="60"/>
      <c r="BJ103" s="60"/>
      <c r="BK103" s="61"/>
      <c r="BM103" s="54" t="str">
        <f>IF($R103,"&amp;AllGlyphs[" &amp; E103 &amp; "]","")</f>
        <v>&amp;AllGlyphs[102]</v>
      </c>
      <c r="BN103" s="54" t="str">
        <f>IF($R103,"&amp;AllGlyphs[" &amp; G103 &amp; "]","")</f>
        <v>&amp;AllGlyphs[99]</v>
      </c>
      <c r="BO103" s="54" t="str">
        <f>IF($R103,"&amp;AllGlyphs[" &amp; I103 &amp; "]","")</f>
        <v>&amp;AllGlyphs[100]</v>
      </c>
      <c r="BP103" s="54" t="str">
        <f>IF($R103,"&amp;AllGlyphs[" &amp; K103 &amp; "]","")</f>
        <v>&amp;AllGlyphs[102]</v>
      </c>
      <c r="BQ103" s="54" t="str">
        <f>IF($R103,"&amp;AllGlyphs[" &amp; M103 &amp; "]","")</f>
        <v>&amp;AllGlyphs[99]</v>
      </c>
      <c r="BR103" s="54" t="str">
        <f>IF($R103,"&amp;AllGlyphs[" &amp; O103 &amp; "]","")</f>
        <v>&amp;AllGlyphs[101]</v>
      </c>
      <c r="BT103" s="58">
        <f>IF($R103,IF(AB103,1,0),"")</f>
        <v>0</v>
      </c>
      <c r="BU103" s="58">
        <f>IF($R103,IF(AC103,1,0),"")</f>
        <v>0</v>
      </c>
      <c r="BV103" s="58">
        <f>IF($R103,IF(AD103,1,0),"")</f>
        <v>0</v>
      </c>
      <c r="BW103" s="58">
        <f>IF($R103,IF(AE103,1,0),"")</f>
        <v>0</v>
      </c>
      <c r="BX103" s="58">
        <f>IF($R103,IF(AR103,1,0),"")</f>
        <v>0</v>
      </c>
      <c r="BY103" s="58">
        <f>IF($R103,IF(AS103,1,0),"")</f>
        <v>1</v>
      </c>
    </row>
    <row r="104" spans="1:77" x14ac:dyDescent="0.4">
      <c r="A104" s="7" t="s">
        <v>83</v>
      </c>
      <c r="B104" s="6" t="str">
        <f t="shared" si="15"/>
        <v>¨</v>
      </c>
      <c r="C104" s="48" cm="1">
        <f t="array" ref="C104">IF($R104,INDEX($S:$S,MATCH(TRUE,EXACT(B104,$A:$A),0)),"")</f>
        <v>102</v>
      </c>
      <c r="D104" s="38" t="s">
        <v>80</v>
      </c>
      <c r="E104" s="48" cm="1">
        <f t="array" ref="E104">IF($R104,INDEX($S:$S,MATCH(TRUE,EXACT(D104,$A:$A),0)),"")</f>
        <v>99</v>
      </c>
      <c r="F104" s="38" t="s">
        <v>81</v>
      </c>
      <c r="G104" s="48" cm="1">
        <f t="array" ref="G104">IF($S104&lt;&gt;"",INDEX($S:$S,MATCH(TRUE,EXACT(F104,$A:$A),0)),"")</f>
        <v>100</v>
      </c>
      <c r="H104" s="38" t="s">
        <v>80</v>
      </c>
      <c r="I104" s="48" cm="1">
        <f t="array" ref="I104">IF($R104,INDEX($S:$S,MATCH(TRUE,EXACT(H104,$A:$A),0)),"")</f>
        <v>99</v>
      </c>
      <c r="J104" s="38" t="s">
        <v>82</v>
      </c>
      <c r="K104" s="52" cm="1">
        <f t="array" ref="K104">IF($R104,INDEX($S:$S,MATCH(TRUE,EXACT(J104,$A:$A),0)),"")</f>
        <v>101</v>
      </c>
      <c r="L104" s="38" t="str" cm="1">
        <f t="array" ref="L104">IF($R104,INDEX($T:$T,MATCH(TRUE,EXACT(H104,$D:$D),0)),"")</f>
        <v>¨</v>
      </c>
      <c r="M104" s="48" cm="1">
        <f t="array" ref="M104">IF($R104,INDEX($S:$S,MATCH(TRUE,EXACT(L104,$A:$A),0)),"")</f>
        <v>102</v>
      </c>
      <c r="N104" s="38" t="str" cm="1">
        <f t="array" ref="N104">IF($R104,INDEX($T:$T,MATCH(TRUE,EXACT(J104,$D:$D),0)),"")</f>
        <v>¦</v>
      </c>
      <c r="O104" s="52" cm="1">
        <f t="array" ref="O104">IF($R104,INDEX($S:$S,MATCH(TRUE,EXACT(N104,$A:$A),0)),"")</f>
        <v>100</v>
      </c>
      <c r="P104" s="23"/>
      <c r="Q104" s="33"/>
      <c r="R104" s="18" t="b">
        <f t="shared" si="16"/>
        <v>1</v>
      </c>
      <c r="S104" s="19">
        <f>IF(R104, MAX(S$2:S103)+1,"")</f>
        <v>102</v>
      </c>
      <c r="T104" s="23" t="str">
        <f t="shared" si="17"/>
        <v>¨</v>
      </c>
      <c r="U104" s="8" t="str" cm="1">
        <f t="array" ref="U104">CharToUTF8(A104)</f>
        <v>\xC2\xA8</v>
      </c>
      <c r="W104" s="18" t="str">
        <f>$AU$3</f>
        <v>DIAG_BOTH</v>
      </c>
      <c r="X104" s="24" t="str">
        <f>$AU$6</f>
        <v>DIAG_BACK</v>
      </c>
      <c r="Y104" s="24" t="str">
        <f>$AU$5</f>
        <v>DIAG_FRONT</v>
      </c>
      <c r="Z104" s="21" t="str">
        <f>$AU$3</f>
        <v>DIAG_BOTH</v>
      </c>
      <c r="AB104" s="31" t="b">
        <f t="shared" si="18"/>
        <v>0</v>
      </c>
      <c r="AC104" s="31" t="b">
        <f t="shared" si="19"/>
        <v>0</v>
      </c>
      <c r="AD104" t="b">
        <f t="shared" si="20"/>
        <v>0</v>
      </c>
      <c r="AE104" t="b">
        <f t="shared" si="21"/>
        <v>0</v>
      </c>
      <c r="AF104" t="b">
        <f>IF($R104,W104=VLOOKUP(Z104,$AU$2:$AZ$10,3,FALSE),"")</f>
        <v>1</v>
      </c>
      <c r="AG104" t="b">
        <f>IF($R104,X104=VLOOKUP(Y104,$AU$2:$AZ$10,3,FALSE),"")</f>
        <v>0</v>
      </c>
      <c r="AH104" t="b">
        <f>IF($R104,Y104=VLOOKUP(W104,$AU$2:$AZ$10,3,FALSE),"")</f>
        <v>0</v>
      </c>
      <c r="AI104" t="b">
        <f>IF($R104,Z104=VLOOKUP(X104,$AU$2:$AZ$10,3,FALSE),"")</f>
        <v>0</v>
      </c>
      <c r="AJ104" t="b">
        <f>IF($R104,W104=VLOOKUP(W104,$AU$2:$AZ$10,4,FALSE),"")</f>
        <v>1</v>
      </c>
      <c r="AK104" t="b">
        <f>IF($R104,X104=VLOOKUP(X104,$AU$2:$AZ$10,4,FALSE),"")</f>
        <v>1</v>
      </c>
      <c r="AL104" t="b">
        <f>IF($R104,Y104=VLOOKUP(Y104,$AU$2:$AZ$10,4,FALSE),"")</f>
        <v>1</v>
      </c>
      <c r="AM104" t="b">
        <f>IF($R104,Z104=VLOOKUP(Z104,$AU$2:$AZ$10,4,FALSE),"")</f>
        <v>1</v>
      </c>
      <c r="AN104" t="b">
        <f>IF($R104,W104=VLOOKUP(W104,$AU$2:$AZ$10,5,FALSE),"")</f>
        <v>1</v>
      </c>
      <c r="AO104" t="b">
        <f>IF($R104,X104=VLOOKUP(X104,$AU$2:$AZ$10,5,FALSE),"")</f>
        <v>0</v>
      </c>
      <c r="AP104" t="b">
        <f>IF($R104,Y104=VLOOKUP(Y104,$AU$2:$AZ$10,6,FALSE),"")</f>
        <v>0</v>
      </c>
      <c r="AQ104" t="b">
        <f>IF($R104,Z104=VLOOKUP(Z104,$AU$2:$AZ$10,6,FALSE),"")</f>
        <v>1</v>
      </c>
      <c r="AR104" t="b">
        <f t="shared" si="22"/>
        <v>1</v>
      </c>
      <c r="AS104" t="b">
        <f t="shared" si="23"/>
        <v>0</v>
      </c>
      <c r="BD104" s="59" t="str">
        <f t="shared" si="24"/>
        <v xml:space="preserve">    { wxString::FromUTF8("\xC2\xA8"), &amp;AllGlyphs[99], &amp;AllGlyphs[100], &amp;AllGlyphs[99], &amp;AllGlyphs[101], &amp;AllGlyphs[102], &amp;AllGlyphs[100], Connection::DIAG_BOTH, Connection::DIAG_BACK, Connection::DIAG_FRONT, Connection::DIAG_BOTH, 0, 0, 0, 0, 1, 0 },</v>
      </c>
      <c r="BE104" s="60"/>
      <c r="BF104" s="60"/>
      <c r="BG104" s="60"/>
      <c r="BH104" s="60"/>
      <c r="BI104" s="60"/>
      <c r="BJ104" s="60"/>
      <c r="BK104" s="61"/>
      <c r="BM104" s="54" t="str">
        <f>IF($R104,"&amp;AllGlyphs[" &amp; E104 &amp; "]","")</f>
        <v>&amp;AllGlyphs[99]</v>
      </c>
      <c r="BN104" s="54" t="str">
        <f>IF($R104,"&amp;AllGlyphs[" &amp; G104 &amp; "]","")</f>
        <v>&amp;AllGlyphs[100]</v>
      </c>
      <c r="BO104" s="54" t="str">
        <f>IF($R104,"&amp;AllGlyphs[" &amp; I104 &amp; "]","")</f>
        <v>&amp;AllGlyphs[99]</v>
      </c>
      <c r="BP104" s="54" t="str">
        <f>IF($R104,"&amp;AllGlyphs[" &amp; K104 &amp; "]","")</f>
        <v>&amp;AllGlyphs[101]</v>
      </c>
      <c r="BQ104" s="54" t="str">
        <f>IF($R104,"&amp;AllGlyphs[" &amp; M104 &amp; "]","")</f>
        <v>&amp;AllGlyphs[102]</v>
      </c>
      <c r="BR104" s="54" t="str">
        <f>IF($R104,"&amp;AllGlyphs[" &amp; O104 &amp; "]","")</f>
        <v>&amp;AllGlyphs[100]</v>
      </c>
      <c r="BT104" s="58">
        <f>IF($R104,IF(AB104,1,0),"")</f>
        <v>0</v>
      </c>
      <c r="BU104" s="58">
        <f>IF($R104,IF(AC104,1,0),"")</f>
        <v>0</v>
      </c>
      <c r="BV104" s="58">
        <f>IF($R104,IF(AD104,1,0),"")</f>
        <v>0</v>
      </c>
      <c r="BW104" s="58">
        <f>IF($R104,IF(AE104,1,0),"")</f>
        <v>0</v>
      </c>
      <c r="BX104" s="58">
        <f>IF($R104,IF(AR104,1,0),"")</f>
        <v>1</v>
      </c>
      <c r="BY104" s="58">
        <f>IF($R104,IF(AS104,1,0),"")</f>
        <v>0</v>
      </c>
    </row>
    <row r="105" spans="1:77" x14ac:dyDescent="0.4">
      <c r="A105" s="7" t="s">
        <v>84</v>
      </c>
      <c r="B105" s="6" t="str">
        <f t="shared" si="15"/>
        <v>©</v>
      </c>
      <c r="C105" s="48" cm="1">
        <f t="array" ref="C105">IF($R105,INDEX($S:$S,MATCH(TRUE,EXACT(B105,$A:$A),0)),"")</f>
        <v>103</v>
      </c>
      <c r="D105" s="38" t="s">
        <v>85</v>
      </c>
      <c r="E105" s="48" cm="1">
        <f t="array" ref="E105">IF($R105,INDEX($S:$S,MATCH(TRUE,EXACT(D105,$A:$A),0)),"")</f>
        <v>104</v>
      </c>
      <c r="F105" s="38" t="s">
        <v>86</v>
      </c>
      <c r="G105" s="48" cm="1">
        <f t="array" ref="G105">IF($S105&lt;&gt;"",INDEX($S:$S,MATCH(TRUE,EXACT(F105,$A:$A),0)),"")</f>
        <v>105</v>
      </c>
      <c r="H105" s="38" t="s">
        <v>86</v>
      </c>
      <c r="I105" s="48" cm="1">
        <f t="array" ref="I105">IF($R105,INDEX($S:$S,MATCH(TRUE,EXACT(H105,$A:$A),0)),"")</f>
        <v>105</v>
      </c>
      <c r="J105" s="38" t="s">
        <v>84</v>
      </c>
      <c r="K105" s="52" cm="1">
        <f t="array" ref="K105">IF($R105,INDEX($S:$S,MATCH(TRUE,EXACT(J105,$A:$A),0)),"")</f>
        <v>103</v>
      </c>
      <c r="L105" s="38" t="str" cm="1">
        <f t="array" ref="L105">IF($R105,INDEX($T:$T,MATCH(TRUE,EXACT(H105,$D:$D),0)),"")</f>
        <v>ª</v>
      </c>
      <c r="M105" s="48" cm="1">
        <f t="array" ref="M105">IF($R105,INDEX($S:$S,MATCH(TRUE,EXACT(L105,$A:$A),0)),"")</f>
        <v>104</v>
      </c>
      <c r="N105" s="38" t="str" cm="1">
        <f t="array" ref="N105">IF($R105,INDEX($T:$T,MATCH(TRUE,EXACT(J105,$D:$D),0)),"")</f>
        <v>¬</v>
      </c>
      <c r="O105" s="52" cm="1">
        <f t="array" ref="O105">IF($R105,INDEX($S:$S,MATCH(TRUE,EXACT(N105,$A:$A),0)),"")</f>
        <v>106</v>
      </c>
      <c r="P105" s="23"/>
      <c r="Q105" s="33"/>
      <c r="R105" s="18" t="b">
        <f t="shared" si="16"/>
        <v>1</v>
      </c>
      <c r="S105" s="19">
        <f>IF(R105, MAX(S$2:S104)+1,"")</f>
        <v>103</v>
      </c>
      <c r="T105" s="23" t="str">
        <f t="shared" si="17"/>
        <v>©</v>
      </c>
      <c r="U105" s="8" t="str" cm="1">
        <f t="array" ref="U105">CharToUTF8(A105)</f>
        <v>\xC2\xA9</v>
      </c>
      <c r="W105" s="18" t="str">
        <f>$AU$2</f>
        <v>EMPTY</v>
      </c>
      <c r="X105" s="24" t="str">
        <f>$AU$3</f>
        <v>DIAG_BOTH</v>
      </c>
      <c r="Y105" s="24" t="str">
        <f>$AU$6</f>
        <v>DIAG_BACK</v>
      </c>
      <c r="Z105" s="21" t="str">
        <f>$AU$5</f>
        <v>DIAG_FRONT</v>
      </c>
      <c r="AB105" s="31" t="b">
        <f t="shared" si="18"/>
        <v>0</v>
      </c>
      <c r="AC105" s="31" t="b">
        <f t="shared" si="19"/>
        <v>0</v>
      </c>
      <c r="AD105" t="b">
        <f t="shared" si="20"/>
        <v>0</v>
      </c>
      <c r="AE105" t="b">
        <f t="shared" si="21"/>
        <v>1</v>
      </c>
      <c r="AF105" t="b">
        <f>IF($R105,W105=VLOOKUP(Z105,$AU$2:$AZ$10,3,FALSE),"")</f>
        <v>0</v>
      </c>
      <c r="AG105" t="b">
        <f>IF($R105,X105=VLOOKUP(Y105,$AU$2:$AZ$10,3,FALSE),"")</f>
        <v>0</v>
      </c>
      <c r="AH105" t="b">
        <f>IF($R105,Y105=VLOOKUP(W105,$AU$2:$AZ$10,3,FALSE),"")</f>
        <v>0</v>
      </c>
      <c r="AI105" t="b">
        <f>IF($R105,Z105=VLOOKUP(X105,$AU$2:$AZ$10,3,FALSE),"")</f>
        <v>0</v>
      </c>
      <c r="AJ105" t="b">
        <f>IF($R105,W105=VLOOKUP(W105,$AU$2:$AZ$10,4,FALSE),"")</f>
        <v>1</v>
      </c>
      <c r="AK105" t="b">
        <f>IF($R105,X105=VLOOKUP(X105,$AU$2:$AZ$10,4,FALSE),"")</f>
        <v>1</v>
      </c>
      <c r="AL105" t="b">
        <f>IF($R105,Y105=VLOOKUP(Y105,$AU$2:$AZ$10,4,FALSE),"")</f>
        <v>1</v>
      </c>
      <c r="AM105" t="b">
        <f>IF($R105,Z105=VLOOKUP(Z105,$AU$2:$AZ$10,4,FALSE),"")</f>
        <v>1</v>
      </c>
      <c r="AN105" t="b">
        <f>IF($R105,W105=VLOOKUP(W105,$AU$2:$AZ$10,5,FALSE),"")</f>
        <v>1</v>
      </c>
      <c r="AO105" t="b">
        <f>IF($R105,X105=VLOOKUP(X105,$AU$2:$AZ$10,5,FALSE),"")</f>
        <v>1</v>
      </c>
      <c r="AP105" t="b">
        <f>IF($R105,Y105=VLOOKUP(Y105,$AU$2:$AZ$10,6,FALSE),"")</f>
        <v>0</v>
      </c>
      <c r="AQ105" t="b">
        <f>IF($R105,Z105=VLOOKUP(Z105,$AU$2:$AZ$10,6,FALSE),"")</f>
        <v>0</v>
      </c>
      <c r="AR105" t="b">
        <f t="shared" si="22"/>
        <v>0</v>
      </c>
      <c r="AS105" t="b">
        <f t="shared" si="23"/>
        <v>0</v>
      </c>
      <c r="BD105" s="59" t="str">
        <f t="shared" si="24"/>
        <v xml:space="preserve">    { wxString::FromUTF8("\xC2\xA9"), &amp;AllGlyphs[104], &amp;AllGlyphs[105], &amp;AllGlyphs[105], &amp;AllGlyphs[103], &amp;AllGlyphs[104], &amp;AllGlyphs[106], Connection::EMPTY, Connection::DIAG_BOTH, Connection::DIAG_BACK, Connection::DIAG_FRONT, 0, 0, 0, 1, 0, 0 },</v>
      </c>
      <c r="BE105" s="60"/>
      <c r="BF105" s="60"/>
      <c r="BG105" s="60"/>
      <c r="BH105" s="60"/>
      <c r="BI105" s="60"/>
      <c r="BJ105" s="60"/>
      <c r="BK105" s="61"/>
      <c r="BM105" s="54" t="str">
        <f>IF($R105,"&amp;AllGlyphs[" &amp; E105 &amp; "]","")</f>
        <v>&amp;AllGlyphs[104]</v>
      </c>
      <c r="BN105" s="54" t="str">
        <f>IF($R105,"&amp;AllGlyphs[" &amp; G105 &amp; "]","")</f>
        <v>&amp;AllGlyphs[105]</v>
      </c>
      <c r="BO105" s="54" t="str">
        <f>IF($R105,"&amp;AllGlyphs[" &amp; I105 &amp; "]","")</f>
        <v>&amp;AllGlyphs[105]</v>
      </c>
      <c r="BP105" s="54" t="str">
        <f>IF($R105,"&amp;AllGlyphs[" &amp; K105 &amp; "]","")</f>
        <v>&amp;AllGlyphs[103]</v>
      </c>
      <c r="BQ105" s="54" t="str">
        <f>IF($R105,"&amp;AllGlyphs[" &amp; M105 &amp; "]","")</f>
        <v>&amp;AllGlyphs[104]</v>
      </c>
      <c r="BR105" s="54" t="str">
        <f>IF($R105,"&amp;AllGlyphs[" &amp; O105 &amp; "]","")</f>
        <v>&amp;AllGlyphs[106]</v>
      </c>
      <c r="BT105" s="58">
        <f>IF($R105,IF(AB105,1,0),"")</f>
        <v>0</v>
      </c>
      <c r="BU105" s="58">
        <f>IF($R105,IF(AC105,1,0),"")</f>
        <v>0</v>
      </c>
      <c r="BV105" s="58">
        <f>IF($R105,IF(AD105,1,0),"")</f>
        <v>0</v>
      </c>
      <c r="BW105" s="58">
        <f>IF($R105,IF(AE105,1,0),"")</f>
        <v>1</v>
      </c>
      <c r="BX105" s="58">
        <f>IF($R105,IF(AR105,1,0),"")</f>
        <v>0</v>
      </c>
      <c r="BY105" s="58">
        <f>IF($R105,IF(AS105,1,0),"")</f>
        <v>0</v>
      </c>
    </row>
    <row r="106" spans="1:77" ht="31.5" customHeight="1" x14ac:dyDescent="0.4">
      <c r="A106" s="7" t="s">
        <v>85</v>
      </c>
      <c r="B106" s="6" t="str">
        <f t="shared" si="15"/>
        <v>ª</v>
      </c>
      <c r="C106" s="48" cm="1">
        <f t="array" ref="C106">IF($R106,INDEX($S:$S,MATCH(TRUE,EXACT(B106,$A:$A),0)),"")</f>
        <v>104</v>
      </c>
      <c r="D106" s="38" t="s">
        <v>86</v>
      </c>
      <c r="E106" s="48" cm="1">
        <f t="array" ref="E106">IF($R106,INDEX($S:$S,MATCH(TRUE,EXACT(D106,$A:$A),0)),"")</f>
        <v>105</v>
      </c>
      <c r="F106" s="38" t="s">
        <v>87</v>
      </c>
      <c r="G106" s="48" cm="1">
        <f t="array" ref="G106">IF($S106&lt;&gt;"",INDEX($S:$S,MATCH(TRUE,EXACT(F106,$A:$A),0)),"")</f>
        <v>106</v>
      </c>
      <c r="H106" s="38" t="s">
        <v>85</v>
      </c>
      <c r="I106" s="48" cm="1">
        <f t="array" ref="I106">IF($R106,INDEX($S:$S,MATCH(TRUE,EXACT(H106,$A:$A),0)),"")</f>
        <v>104</v>
      </c>
      <c r="J106" s="38" t="s">
        <v>87</v>
      </c>
      <c r="K106" s="52" cm="1">
        <f t="array" ref="K106">IF($R106,INDEX($S:$S,MATCH(TRUE,EXACT(J106,$A:$A),0)),"")</f>
        <v>106</v>
      </c>
      <c r="L106" s="38" t="str" cm="1">
        <f t="array" ref="L106">IF($R106,INDEX($T:$T,MATCH(TRUE,EXACT(H106,$D:$D),0)),"")</f>
        <v>©</v>
      </c>
      <c r="M106" s="48" cm="1">
        <f t="array" ref="M106">IF($R106,INDEX($S:$S,MATCH(TRUE,EXACT(L106,$A:$A),0)),"")</f>
        <v>103</v>
      </c>
      <c r="N106" s="38" t="str" cm="1">
        <f t="array" ref="N106">IF($R106,INDEX($T:$T,MATCH(TRUE,EXACT(J106,$D:$D),0)),"")</f>
        <v>«</v>
      </c>
      <c r="O106" s="52" cm="1">
        <f t="array" ref="O106">IF($R106,INDEX($S:$S,MATCH(TRUE,EXACT(N106,$A:$A),0)),"")</f>
        <v>105</v>
      </c>
      <c r="P106" s="23"/>
      <c r="Q106" s="33"/>
      <c r="R106" s="18" t="b">
        <f t="shared" si="16"/>
        <v>1</v>
      </c>
      <c r="S106" s="19">
        <f>IF(R106, MAX(S$2:S105)+1,"")</f>
        <v>104</v>
      </c>
      <c r="T106" s="23" t="str">
        <f t="shared" si="17"/>
        <v>ª</v>
      </c>
      <c r="U106" s="8" t="str" cm="1">
        <f t="array" ref="U106">CharToUTF8(A106)</f>
        <v>\xC2\xAA</v>
      </c>
      <c r="W106" s="18" t="str">
        <f>$AU$6</f>
        <v>DIAG_BACK</v>
      </c>
      <c r="X106" s="24" t="str">
        <f>$AU$5</f>
        <v>DIAG_FRONT</v>
      </c>
      <c r="Y106" s="24" t="str">
        <f>$AU$3</f>
        <v>DIAG_BOTH</v>
      </c>
      <c r="Z106" s="21" t="str">
        <f>$AU$2</f>
        <v>EMPTY</v>
      </c>
      <c r="AB106" s="31" t="b">
        <f t="shared" si="18"/>
        <v>0</v>
      </c>
      <c r="AC106" s="31" t="b">
        <f t="shared" si="19"/>
        <v>0</v>
      </c>
      <c r="AD106" t="b">
        <f t="shared" si="20"/>
        <v>1</v>
      </c>
      <c r="AE106" t="b">
        <f t="shared" si="21"/>
        <v>0</v>
      </c>
      <c r="AF106" t="b">
        <f>IF($R106,W106=VLOOKUP(Z106,$AU$2:$AZ$10,3,FALSE),"")</f>
        <v>0</v>
      </c>
      <c r="AG106" t="b">
        <f>IF($R106,X106=VLOOKUP(Y106,$AU$2:$AZ$10,3,FALSE),"")</f>
        <v>0</v>
      </c>
      <c r="AH106" t="b">
        <f>IF($R106,Y106=VLOOKUP(W106,$AU$2:$AZ$10,3,FALSE),"")</f>
        <v>0</v>
      </c>
      <c r="AI106" t="b">
        <f>IF($R106,Z106=VLOOKUP(X106,$AU$2:$AZ$10,3,FALSE),"")</f>
        <v>0</v>
      </c>
      <c r="AJ106" t="b">
        <f>IF($R106,W106=VLOOKUP(W106,$AU$2:$AZ$10,4,FALSE),"")</f>
        <v>1</v>
      </c>
      <c r="AK106" t="b">
        <f>IF($R106,X106=VLOOKUP(X106,$AU$2:$AZ$10,4,FALSE),"")</f>
        <v>1</v>
      </c>
      <c r="AL106" t="b">
        <f>IF($R106,Y106=VLOOKUP(Y106,$AU$2:$AZ$10,4,FALSE),"")</f>
        <v>1</v>
      </c>
      <c r="AM106" t="b">
        <f>IF($R106,Z106=VLOOKUP(Z106,$AU$2:$AZ$10,4,FALSE),"")</f>
        <v>1</v>
      </c>
      <c r="AN106" t="b">
        <f>IF($R106,W106=VLOOKUP(W106,$AU$2:$AZ$10,5,FALSE),"")</f>
        <v>0</v>
      </c>
      <c r="AO106" t="b">
        <f>IF($R106,X106=VLOOKUP(X106,$AU$2:$AZ$10,5,FALSE),"")</f>
        <v>0</v>
      </c>
      <c r="AP106" t="b">
        <f>IF($R106,Y106=VLOOKUP(Y106,$AU$2:$AZ$10,6,FALSE),"")</f>
        <v>1</v>
      </c>
      <c r="AQ106" t="b">
        <f>IF($R106,Z106=VLOOKUP(Z106,$AU$2:$AZ$10,6,FALSE),"")</f>
        <v>1</v>
      </c>
      <c r="AR106" t="b">
        <f t="shared" si="22"/>
        <v>0</v>
      </c>
      <c r="AS106" t="b">
        <f t="shared" si="23"/>
        <v>0</v>
      </c>
      <c r="BD106" s="59" t="str">
        <f t="shared" si="24"/>
        <v xml:space="preserve">    { wxString::FromUTF8("\xC2\xAA"), &amp;AllGlyphs[105], &amp;AllGlyphs[106], &amp;AllGlyphs[104], &amp;AllGlyphs[106], &amp;AllGlyphs[103], &amp;AllGlyphs[105], Connection::DIAG_BACK, Connection::DIAG_FRONT, Connection::DIAG_BOTH, Connection::EMPTY, 0, 0, 1, 0, 0, 0 },</v>
      </c>
      <c r="BE106" s="60"/>
      <c r="BF106" s="60"/>
      <c r="BG106" s="60"/>
      <c r="BH106" s="60"/>
      <c r="BI106" s="60"/>
      <c r="BJ106" s="60"/>
      <c r="BK106" s="61"/>
      <c r="BM106" s="54" t="str">
        <f>IF($R106,"&amp;AllGlyphs[" &amp; E106 &amp; "]","")</f>
        <v>&amp;AllGlyphs[105]</v>
      </c>
      <c r="BN106" s="54" t="str">
        <f>IF($R106,"&amp;AllGlyphs[" &amp; G106 &amp; "]","")</f>
        <v>&amp;AllGlyphs[106]</v>
      </c>
      <c r="BO106" s="54" t="str">
        <f>IF($R106,"&amp;AllGlyphs[" &amp; I106 &amp; "]","")</f>
        <v>&amp;AllGlyphs[104]</v>
      </c>
      <c r="BP106" s="54" t="str">
        <f>IF($R106,"&amp;AllGlyphs[" &amp; K106 &amp; "]","")</f>
        <v>&amp;AllGlyphs[106]</v>
      </c>
      <c r="BQ106" s="54" t="str">
        <f>IF($R106,"&amp;AllGlyphs[" &amp; M106 &amp; "]","")</f>
        <v>&amp;AllGlyphs[103]</v>
      </c>
      <c r="BR106" s="54" t="str">
        <f>IF($R106,"&amp;AllGlyphs[" &amp; O106 &amp; "]","")</f>
        <v>&amp;AllGlyphs[105]</v>
      </c>
      <c r="BT106" s="58">
        <f>IF($R106,IF(AB106,1,0),"")</f>
        <v>0</v>
      </c>
      <c r="BU106" s="58">
        <f>IF($R106,IF(AC106,1,0),"")</f>
        <v>0</v>
      </c>
      <c r="BV106" s="58">
        <f>IF($R106,IF(AD106,1,0),"")</f>
        <v>1</v>
      </c>
      <c r="BW106" s="58">
        <f>IF($R106,IF(AE106,1,0),"")</f>
        <v>0</v>
      </c>
      <c r="BX106" s="58">
        <f>IF($R106,IF(AR106,1,0),"")</f>
        <v>0</v>
      </c>
      <c r="BY106" s="58">
        <f>IF($R106,IF(AS106,1,0),"")</f>
        <v>0</v>
      </c>
    </row>
    <row r="107" spans="1:77" x14ac:dyDescent="0.4">
      <c r="A107" s="7" t="s">
        <v>86</v>
      </c>
      <c r="B107" s="6" t="str">
        <f t="shared" si="15"/>
        <v>«</v>
      </c>
      <c r="C107" s="48" cm="1">
        <f t="array" ref="C107">IF($R107,INDEX($S:$S,MATCH(TRUE,EXACT(B107,$A:$A),0)),"")</f>
        <v>105</v>
      </c>
      <c r="D107" s="38" t="s">
        <v>87</v>
      </c>
      <c r="E107" s="48" cm="1">
        <f t="array" ref="E107">IF($R107,INDEX($S:$S,MATCH(TRUE,EXACT(D107,$A:$A),0)),"")</f>
        <v>106</v>
      </c>
      <c r="F107" s="38" t="s">
        <v>84</v>
      </c>
      <c r="G107" s="48" cm="1">
        <f t="array" ref="G107">IF($S107&lt;&gt;"",INDEX($S:$S,MATCH(TRUE,EXACT(F107,$A:$A),0)),"")</f>
        <v>103</v>
      </c>
      <c r="H107" s="38" t="s">
        <v>84</v>
      </c>
      <c r="I107" s="48" cm="1">
        <f t="array" ref="I107">IF($R107,INDEX($S:$S,MATCH(TRUE,EXACT(H107,$A:$A),0)),"")</f>
        <v>103</v>
      </c>
      <c r="J107" s="38" t="s">
        <v>86</v>
      </c>
      <c r="K107" s="52" cm="1">
        <f t="array" ref="K107">IF($R107,INDEX($S:$S,MATCH(TRUE,EXACT(J107,$A:$A),0)),"")</f>
        <v>105</v>
      </c>
      <c r="L107" s="38" t="str" cm="1">
        <f t="array" ref="L107">IF($R107,INDEX($T:$T,MATCH(TRUE,EXACT(H107,$D:$D),0)),"")</f>
        <v>¬</v>
      </c>
      <c r="M107" s="48" cm="1">
        <f t="array" ref="M107">IF($R107,INDEX($S:$S,MATCH(TRUE,EXACT(L107,$A:$A),0)),"")</f>
        <v>106</v>
      </c>
      <c r="N107" s="38" t="str" cm="1">
        <f t="array" ref="N107">IF($R107,INDEX($T:$T,MATCH(TRUE,EXACT(J107,$D:$D),0)),"")</f>
        <v>ª</v>
      </c>
      <c r="O107" s="52" cm="1">
        <f t="array" ref="O107">IF($R107,INDEX($S:$S,MATCH(TRUE,EXACT(N107,$A:$A),0)),"")</f>
        <v>104</v>
      </c>
      <c r="P107" s="23"/>
      <c r="Q107" s="33"/>
      <c r="R107" s="18" t="b">
        <f t="shared" si="16"/>
        <v>1</v>
      </c>
      <c r="S107" s="19">
        <f>IF(R107, MAX(S$2:S106)+1,"")</f>
        <v>105</v>
      </c>
      <c r="T107" s="23" t="str">
        <f t="shared" si="17"/>
        <v>«</v>
      </c>
      <c r="U107" s="8" t="str" cm="1">
        <f t="array" ref="U107">CharToUTF8(A107)</f>
        <v>\xC2\xAB</v>
      </c>
      <c r="W107" s="18" t="str">
        <f>$AU$3</f>
        <v>DIAG_BOTH</v>
      </c>
      <c r="X107" s="24" t="str">
        <f>$AU$2</f>
        <v>EMPTY</v>
      </c>
      <c r="Y107" s="24" t="str">
        <f>$AU$5</f>
        <v>DIAG_FRONT</v>
      </c>
      <c r="Z107" s="21" t="str">
        <f>$AU$6</f>
        <v>DIAG_BACK</v>
      </c>
      <c r="AB107" s="31" t="b">
        <f t="shared" si="18"/>
        <v>0</v>
      </c>
      <c r="AC107" s="31" t="b">
        <f t="shared" si="19"/>
        <v>0</v>
      </c>
      <c r="AD107" t="b">
        <f t="shared" si="20"/>
        <v>0</v>
      </c>
      <c r="AE107" t="b">
        <f t="shared" si="21"/>
        <v>1</v>
      </c>
      <c r="AF107" t="b">
        <f>IF($R107,W107=VLOOKUP(Z107,$AU$2:$AZ$10,3,FALSE),"")</f>
        <v>0</v>
      </c>
      <c r="AG107" t="b">
        <f>IF($R107,X107=VLOOKUP(Y107,$AU$2:$AZ$10,3,FALSE),"")</f>
        <v>0</v>
      </c>
      <c r="AH107" t="b">
        <f>IF($R107,Y107=VLOOKUP(W107,$AU$2:$AZ$10,3,FALSE),"")</f>
        <v>0</v>
      </c>
      <c r="AI107" t="b">
        <f>IF($R107,Z107=VLOOKUP(X107,$AU$2:$AZ$10,3,FALSE),"")</f>
        <v>0</v>
      </c>
      <c r="AJ107" t="b">
        <f>IF($R107,W107=VLOOKUP(W107,$AU$2:$AZ$10,4,FALSE),"")</f>
        <v>1</v>
      </c>
      <c r="AK107" t="b">
        <f>IF($R107,X107=VLOOKUP(X107,$AU$2:$AZ$10,4,FALSE),"")</f>
        <v>1</v>
      </c>
      <c r="AL107" t="b">
        <f>IF($R107,Y107=VLOOKUP(Y107,$AU$2:$AZ$10,4,FALSE),"")</f>
        <v>1</v>
      </c>
      <c r="AM107" t="b">
        <f>IF($R107,Z107=VLOOKUP(Z107,$AU$2:$AZ$10,4,FALSE),"")</f>
        <v>1</v>
      </c>
      <c r="AN107" t="b">
        <f>IF($R107,W107=VLOOKUP(W107,$AU$2:$AZ$10,5,FALSE),"")</f>
        <v>1</v>
      </c>
      <c r="AO107" t="b">
        <f>IF($R107,X107=VLOOKUP(X107,$AU$2:$AZ$10,5,FALSE),"")</f>
        <v>1</v>
      </c>
      <c r="AP107" t="b">
        <f>IF($R107,Y107=VLOOKUP(Y107,$AU$2:$AZ$10,6,FALSE),"")</f>
        <v>0</v>
      </c>
      <c r="AQ107" t="b">
        <f>IF($R107,Z107=VLOOKUP(Z107,$AU$2:$AZ$10,6,FALSE),"")</f>
        <v>0</v>
      </c>
      <c r="AR107" t="b">
        <f t="shared" si="22"/>
        <v>0</v>
      </c>
      <c r="AS107" t="b">
        <f t="shared" si="23"/>
        <v>0</v>
      </c>
      <c r="BD107" s="59" t="str">
        <f t="shared" si="24"/>
        <v xml:space="preserve">    { wxString::FromUTF8("\xC2\xAB"), &amp;AllGlyphs[106], &amp;AllGlyphs[103], &amp;AllGlyphs[103], &amp;AllGlyphs[105], &amp;AllGlyphs[106], &amp;AllGlyphs[104], Connection::DIAG_BOTH, Connection::EMPTY, Connection::DIAG_FRONT, Connection::DIAG_BACK, 0, 0, 0, 1, 0, 0 },</v>
      </c>
      <c r="BE107" s="60"/>
      <c r="BF107" s="60"/>
      <c r="BG107" s="60"/>
      <c r="BH107" s="60"/>
      <c r="BI107" s="60"/>
      <c r="BJ107" s="60"/>
      <c r="BK107" s="61"/>
      <c r="BM107" s="54" t="str">
        <f>IF($R107,"&amp;AllGlyphs[" &amp; E107 &amp; "]","")</f>
        <v>&amp;AllGlyphs[106]</v>
      </c>
      <c r="BN107" s="54" t="str">
        <f>IF($R107,"&amp;AllGlyphs[" &amp; G107 &amp; "]","")</f>
        <v>&amp;AllGlyphs[103]</v>
      </c>
      <c r="BO107" s="54" t="str">
        <f>IF($R107,"&amp;AllGlyphs[" &amp; I107 &amp; "]","")</f>
        <v>&amp;AllGlyphs[103]</v>
      </c>
      <c r="BP107" s="54" t="str">
        <f>IF($R107,"&amp;AllGlyphs[" &amp; K107 &amp; "]","")</f>
        <v>&amp;AllGlyphs[105]</v>
      </c>
      <c r="BQ107" s="54" t="str">
        <f>IF($R107,"&amp;AllGlyphs[" &amp; M107 &amp; "]","")</f>
        <v>&amp;AllGlyphs[106]</v>
      </c>
      <c r="BR107" s="54" t="str">
        <f>IF($R107,"&amp;AllGlyphs[" &amp; O107 &amp; "]","")</f>
        <v>&amp;AllGlyphs[104]</v>
      </c>
      <c r="BT107" s="58">
        <f>IF($R107,IF(AB107,1,0),"")</f>
        <v>0</v>
      </c>
      <c r="BU107" s="58">
        <f>IF($R107,IF(AC107,1,0),"")</f>
        <v>0</v>
      </c>
      <c r="BV107" s="58">
        <f>IF($R107,IF(AD107,1,0),"")</f>
        <v>0</v>
      </c>
      <c r="BW107" s="58">
        <f>IF($R107,IF(AE107,1,0),"")</f>
        <v>1</v>
      </c>
      <c r="BX107" s="58">
        <f>IF($R107,IF(AR107,1,0),"")</f>
        <v>0</v>
      </c>
      <c r="BY107" s="58">
        <f>IF($R107,IF(AS107,1,0),"")</f>
        <v>0</v>
      </c>
    </row>
    <row r="108" spans="1:77" x14ac:dyDescent="0.4">
      <c r="A108" s="7" t="s">
        <v>87</v>
      </c>
      <c r="B108" s="6" t="str">
        <f t="shared" si="15"/>
        <v>¬</v>
      </c>
      <c r="C108" s="48" cm="1">
        <f t="array" ref="C108">IF($R108,INDEX($S:$S,MATCH(TRUE,EXACT(B108,$A:$A),0)),"")</f>
        <v>106</v>
      </c>
      <c r="D108" s="38" t="s">
        <v>84</v>
      </c>
      <c r="E108" s="48" cm="1">
        <f t="array" ref="E108">IF($R108,INDEX($S:$S,MATCH(TRUE,EXACT(D108,$A:$A),0)),"")</f>
        <v>103</v>
      </c>
      <c r="F108" s="38" t="s">
        <v>85</v>
      </c>
      <c r="G108" s="48" cm="1">
        <f t="array" ref="G108">IF($S108&lt;&gt;"",INDEX($S:$S,MATCH(TRUE,EXACT(F108,$A:$A),0)),"")</f>
        <v>104</v>
      </c>
      <c r="H108" s="38" t="s">
        <v>87</v>
      </c>
      <c r="I108" s="48" cm="1">
        <f t="array" ref="I108">IF($R108,INDEX($S:$S,MATCH(TRUE,EXACT(H108,$A:$A),0)),"")</f>
        <v>106</v>
      </c>
      <c r="J108" s="38" t="s">
        <v>85</v>
      </c>
      <c r="K108" s="52" cm="1">
        <f t="array" ref="K108">IF($R108,INDEX($S:$S,MATCH(TRUE,EXACT(J108,$A:$A),0)),"")</f>
        <v>104</v>
      </c>
      <c r="L108" s="38" t="str" cm="1">
        <f t="array" ref="L108">IF($R108,INDEX($T:$T,MATCH(TRUE,EXACT(H108,$D:$D),0)),"")</f>
        <v>«</v>
      </c>
      <c r="M108" s="48" cm="1">
        <f t="array" ref="M108">IF($R108,INDEX($S:$S,MATCH(TRUE,EXACT(L108,$A:$A),0)),"")</f>
        <v>105</v>
      </c>
      <c r="N108" s="38" t="str" cm="1">
        <f t="array" ref="N108">IF($R108,INDEX($T:$T,MATCH(TRUE,EXACT(J108,$D:$D),0)),"")</f>
        <v>©</v>
      </c>
      <c r="O108" s="52" cm="1">
        <f t="array" ref="O108">IF($R108,INDEX($S:$S,MATCH(TRUE,EXACT(N108,$A:$A),0)),"")</f>
        <v>103</v>
      </c>
      <c r="P108" s="23"/>
      <c r="Q108" s="33"/>
      <c r="R108" s="18" t="b">
        <f t="shared" si="16"/>
        <v>1</v>
      </c>
      <c r="S108" s="19">
        <f>IF(R108, MAX(S$2:S107)+1,"")</f>
        <v>106</v>
      </c>
      <c r="T108" s="23" t="str">
        <f t="shared" si="17"/>
        <v>¬</v>
      </c>
      <c r="U108" s="8" t="str" cm="1">
        <f t="array" ref="U108">CharToUTF8(A108)</f>
        <v>\xC2\xAC</v>
      </c>
      <c r="W108" s="18" t="str">
        <f>$AU$5</f>
        <v>DIAG_FRONT</v>
      </c>
      <c r="X108" s="24" t="str">
        <f>$AU$6</f>
        <v>DIAG_BACK</v>
      </c>
      <c r="Y108" s="24" t="str">
        <f>$AU$2</f>
        <v>EMPTY</v>
      </c>
      <c r="Z108" s="21" t="str">
        <f>$AU$3</f>
        <v>DIAG_BOTH</v>
      </c>
      <c r="AB108" s="31" t="b">
        <f t="shared" si="18"/>
        <v>0</v>
      </c>
      <c r="AC108" s="31" t="b">
        <f t="shared" si="19"/>
        <v>0</v>
      </c>
      <c r="AD108" t="b">
        <f t="shared" si="20"/>
        <v>1</v>
      </c>
      <c r="AE108" t="b">
        <f t="shared" si="21"/>
        <v>0</v>
      </c>
      <c r="AF108" t="b">
        <f>IF($R108,W108=VLOOKUP(Z108,$AU$2:$AZ$10,3,FALSE),"")</f>
        <v>0</v>
      </c>
      <c r="AG108" t="b">
        <f>IF($R108,X108=VLOOKUP(Y108,$AU$2:$AZ$10,3,FALSE),"")</f>
        <v>0</v>
      </c>
      <c r="AH108" t="b">
        <f>IF($R108,Y108=VLOOKUP(W108,$AU$2:$AZ$10,3,FALSE),"")</f>
        <v>0</v>
      </c>
      <c r="AI108" t="b">
        <f>IF($R108,Z108=VLOOKUP(X108,$AU$2:$AZ$10,3,FALSE),"")</f>
        <v>0</v>
      </c>
      <c r="AJ108" t="b">
        <f>IF($R108,W108=VLOOKUP(W108,$AU$2:$AZ$10,4,FALSE),"")</f>
        <v>1</v>
      </c>
      <c r="AK108" t="b">
        <f>IF($R108,X108=VLOOKUP(X108,$AU$2:$AZ$10,4,FALSE),"")</f>
        <v>1</v>
      </c>
      <c r="AL108" t="b">
        <f>IF($R108,Y108=VLOOKUP(Y108,$AU$2:$AZ$10,4,FALSE),"")</f>
        <v>1</v>
      </c>
      <c r="AM108" t="b">
        <f>IF($R108,Z108=VLOOKUP(Z108,$AU$2:$AZ$10,4,FALSE),"")</f>
        <v>1</v>
      </c>
      <c r="AN108" t="b">
        <f>IF($R108,W108=VLOOKUP(W108,$AU$2:$AZ$10,5,FALSE),"")</f>
        <v>0</v>
      </c>
      <c r="AO108" t="b">
        <f>IF($R108,X108=VLOOKUP(X108,$AU$2:$AZ$10,5,FALSE),"")</f>
        <v>0</v>
      </c>
      <c r="AP108" t="b">
        <f>IF($R108,Y108=VLOOKUP(Y108,$AU$2:$AZ$10,6,FALSE),"")</f>
        <v>1</v>
      </c>
      <c r="AQ108" t="b">
        <f>IF($R108,Z108=VLOOKUP(Z108,$AU$2:$AZ$10,6,FALSE),"")</f>
        <v>1</v>
      </c>
      <c r="AR108" t="b">
        <f t="shared" si="22"/>
        <v>0</v>
      </c>
      <c r="AS108" t="b">
        <f t="shared" si="23"/>
        <v>0</v>
      </c>
      <c r="BD108" s="59" t="str">
        <f t="shared" si="24"/>
        <v xml:space="preserve">    { wxString::FromUTF8("\xC2\xAC"), &amp;AllGlyphs[103], &amp;AllGlyphs[104], &amp;AllGlyphs[106], &amp;AllGlyphs[104], &amp;AllGlyphs[105], &amp;AllGlyphs[103], Connection::DIAG_FRONT, Connection::DIAG_BACK, Connection::EMPTY, Connection::DIAG_BOTH, 0, 0, 1, 0, 0, 0 },</v>
      </c>
      <c r="BE108" s="60"/>
      <c r="BF108" s="60"/>
      <c r="BG108" s="60"/>
      <c r="BH108" s="60"/>
      <c r="BI108" s="60"/>
      <c r="BJ108" s="60"/>
      <c r="BK108" s="61"/>
      <c r="BM108" s="54" t="str">
        <f>IF($R108,"&amp;AllGlyphs[" &amp; E108 &amp; "]","")</f>
        <v>&amp;AllGlyphs[103]</v>
      </c>
      <c r="BN108" s="54" t="str">
        <f>IF($R108,"&amp;AllGlyphs[" &amp; G108 &amp; "]","")</f>
        <v>&amp;AllGlyphs[104]</v>
      </c>
      <c r="BO108" s="54" t="str">
        <f>IF($R108,"&amp;AllGlyphs[" &amp; I108 &amp; "]","")</f>
        <v>&amp;AllGlyphs[106]</v>
      </c>
      <c r="BP108" s="54" t="str">
        <f>IF($R108,"&amp;AllGlyphs[" &amp; K108 &amp; "]","")</f>
        <v>&amp;AllGlyphs[104]</v>
      </c>
      <c r="BQ108" s="54" t="str">
        <f>IF($R108,"&amp;AllGlyphs[" &amp; M108 &amp; "]","")</f>
        <v>&amp;AllGlyphs[105]</v>
      </c>
      <c r="BR108" s="54" t="str">
        <f>IF($R108,"&amp;AllGlyphs[" &amp; O108 &amp; "]","")</f>
        <v>&amp;AllGlyphs[103]</v>
      </c>
      <c r="BT108" s="58">
        <f>IF($R108,IF(AB108,1,0),"")</f>
        <v>0</v>
      </c>
      <c r="BU108" s="58">
        <f>IF($R108,IF(AC108,1,0),"")</f>
        <v>0</v>
      </c>
      <c r="BV108" s="58">
        <f>IF($R108,IF(AD108,1,0),"")</f>
        <v>1</v>
      </c>
      <c r="BW108" s="58">
        <f>IF($R108,IF(AE108,1,0),"")</f>
        <v>0</v>
      </c>
      <c r="BX108" s="58">
        <f>IF($R108,IF(AR108,1,0),"")</f>
        <v>0</v>
      </c>
      <c r="BY108" s="58">
        <f>IF($R108,IF(AS108,1,0),"")</f>
        <v>0</v>
      </c>
    </row>
    <row r="109" spans="1:77" x14ac:dyDescent="0.4">
      <c r="A109" s="7" t="s">
        <v>88</v>
      </c>
      <c r="B109" s="6" t="str">
        <f t="shared" si="15"/>
        <v>®</v>
      </c>
      <c r="C109" s="48" cm="1">
        <f t="array" ref="C109">IF($R109,INDEX($S:$S,MATCH(TRUE,EXACT(B109,$A:$A),0)),"")</f>
        <v>107</v>
      </c>
      <c r="D109" s="38" t="s">
        <v>89</v>
      </c>
      <c r="E109" s="48" cm="1">
        <f t="array" ref="E109">IF($R109,INDEX($S:$S,MATCH(TRUE,EXACT(D109,$A:$A),0)),"")</f>
        <v>108</v>
      </c>
      <c r="F109" s="38" t="s">
        <v>90</v>
      </c>
      <c r="G109" s="48" cm="1">
        <f t="array" ref="G109">IF($S109&lt;&gt;"",INDEX($S:$S,MATCH(TRUE,EXACT(F109,$A:$A),0)),"")</f>
        <v>109</v>
      </c>
      <c r="H109" s="38" t="s">
        <v>89</v>
      </c>
      <c r="I109" s="48" cm="1">
        <f t="array" ref="I109">IF($R109,INDEX($S:$S,MATCH(TRUE,EXACT(H109,$A:$A),0)),"")</f>
        <v>108</v>
      </c>
      <c r="J109" s="38" t="s">
        <v>91</v>
      </c>
      <c r="K109" s="52" cm="1">
        <f t="array" ref="K109">IF($R109,INDEX($S:$S,MATCH(TRUE,EXACT(J109,$A:$A),0)),"")</f>
        <v>110</v>
      </c>
      <c r="L109" s="38" t="str" cm="1">
        <f t="array" ref="L109">IF($R109,INDEX($T:$T,MATCH(TRUE,EXACT(H109,$D:$D),0)),"")</f>
        <v>®</v>
      </c>
      <c r="M109" s="48" cm="1">
        <f t="array" ref="M109">IF($R109,INDEX($S:$S,MATCH(TRUE,EXACT(L109,$A:$A),0)),"")</f>
        <v>107</v>
      </c>
      <c r="N109" s="38" t="str" cm="1">
        <f t="array" ref="N109">IF($R109,INDEX($T:$T,MATCH(TRUE,EXACT(J109,$D:$D),0)),"")</f>
        <v>°</v>
      </c>
      <c r="O109" s="52" cm="1">
        <f t="array" ref="O109">IF($R109,INDEX($S:$S,MATCH(TRUE,EXACT(N109,$A:$A),0)),"")</f>
        <v>109</v>
      </c>
      <c r="P109" s="23"/>
      <c r="Q109" s="33"/>
      <c r="R109" s="18" t="b">
        <f t="shared" si="16"/>
        <v>1</v>
      </c>
      <c r="S109" s="19">
        <f>IF(R109, MAX(S$2:S108)+1,"")</f>
        <v>107</v>
      </c>
      <c r="T109" s="23" t="str">
        <f t="shared" si="17"/>
        <v>®</v>
      </c>
      <c r="U109" s="8" t="str" cm="1">
        <f t="array" ref="U109">CharToUTF8(A109)</f>
        <v>\xC2\xAE</v>
      </c>
      <c r="W109" s="18" t="str">
        <f>$AU$2</f>
        <v>EMPTY</v>
      </c>
      <c r="X109" s="24" t="str">
        <f>$AU$5</f>
        <v>DIAG_FRONT</v>
      </c>
      <c r="Y109" s="24" t="str">
        <f>$AU$6</f>
        <v>DIAG_BACK</v>
      </c>
      <c r="Z109" s="21" t="str">
        <f>$AU$2</f>
        <v>EMPTY</v>
      </c>
      <c r="AB109" s="31" t="b">
        <f t="shared" si="18"/>
        <v>0</v>
      </c>
      <c r="AC109" s="31" t="b">
        <f t="shared" si="19"/>
        <v>0</v>
      </c>
      <c r="AD109" t="b">
        <f t="shared" si="20"/>
        <v>0</v>
      </c>
      <c r="AE109" t="b">
        <f t="shared" si="21"/>
        <v>0</v>
      </c>
      <c r="AF109" t="b">
        <f>IF($R109,W109=VLOOKUP(Z109,$AU$2:$AZ$10,3,FALSE),"")</f>
        <v>1</v>
      </c>
      <c r="AG109" t="b">
        <f>IF($R109,X109=VLOOKUP(Y109,$AU$2:$AZ$10,3,FALSE),"")</f>
        <v>0</v>
      </c>
      <c r="AH109" t="b">
        <f>IF($R109,Y109=VLOOKUP(W109,$AU$2:$AZ$10,3,FALSE),"")</f>
        <v>0</v>
      </c>
      <c r="AI109" t="b">
        <f>IF($R109,Z109=VLOOKUP(X109,$AU$2:$AZ$10,3,FALSE),"")</f>
        <v>0</v>
      </c>
      <c r="AJ109" t="b">
        <f>IF($R109,W109=VLOOKUP(W109,$AU$2:$AZ$10,4,FALSE),"")</f>
        <v>1</v>
      </c>
      <c r="AK109" t="b">
        <f>IF($R109,X109=VLOOKUP(X109,$AU$2:$AZ$10,4,FALSE),"")</f>
        <v>1</v>
      </c>
      <c r="AL109" t="b">
        <f>IF($R109,Y109=VLOOKUP(Y109,$AU$2:$AZ$10,4,FALSE),"")</f>
        <v>1</v>
      </c>
      <c r="AM109" t="b">
        <f>IF($R109,Z109=VLOOKUP(Z109,$AU$2:$AZ$10,4,FALSE),"")</f>
        <v>1</v>
      </c>
      <c r="AN109" t="b">
        <f>IF($R109,W109=VLOOKUP(W109,$AU$2:$AZ$10,5,FALSE),"")</f>
        <v>1</v>
      </c>
      <c r="AO109" t="b">
        <f>IF($R109,X109=VLOOKUP(X109,$AU$2:$AZ$10,5,FALSE),"")</f>
        <v>0</v>
      </c>
      <c r="AP109" t="b">
        <f>IF($R109,Y109=VLOOKUP(Y109,$AU$2:$AZ$10,6,FALSE),"")</f>
        <v>0</v>
      </c>
      <c r="AQ109" t="b">
        <f>IF($R109,Z109=VLOOKUP(Z109,$AU$2:$AZ$10,6,FALSE),"")</f>
        <v>1</v>
      </c>
      <c r="AR109" t="b">
        <f t="shared" si="22"/>
        <v>1</v>
      </c>
      <c r="AS109" t="b">
        <f t="shared" si="23"/>
        <v>0</v>
      </c>
      <c r="BD109" s="59" t="str">
        <f t="shared" si="24"/>
        <v xml:space="preserve">    { wxString::FromUTF8("\xC2\xAE"), &amp;AllGlyphs[108], &amp;AllGlyphs[109], &amp;AllGlyphs[108], &amp;AllGlyphs[110], &amp;AllGlyphs[107], &amp;AllGlyphs[109], Connection::EMPTY, Connection::DIAG_FRONT, Connection::DIAG_BACK, Connection::EMPTY, 0, 0, 0, 0, 1, 0 },</v>
      </c>
      <c r="BE109" s="60"/>
      <c r="BF109" s="60"/>
      <c r="BG109" s="60"/>
      <c r="BH109" s="60"/>
      <c r="BI109" s="60"/>
      <c r="BJ109" s="60"/>
      <c r="BK109" s="61"/>
      <c r="BM109" s="54" t="str">
        <f>IF($R109,"&amp;AllGlyphs[" &amp; E109 &amp; "]","")</f>
        <v>&amp;AllGlyphs[108]</v>
      </c>
      <c r="BN109" s="54" t="str">
        <f>IF($R109,"&amp;AllGlyphs[" &amp; G109 &amp; "]","")</f>
        <v>&amp;AllGlyphs[109]</v>
      </c>
      <c r="BO109" s="54" t="str">
        <f>IF($R109,"&amp;AllGlyphs[" &amp; I109 &amp; "]","")</f>
        <v>&amp;AllGlyphs[108]</v>
      </c>
      <c r="BP109" s="54" t="str">
        <f>IF($R109,"&amp;AllGlyphs[" &amp; K109 &amp; "]","")</f>
        <v>&amp;AllGlyphs[110]</v>
      </c>
      <c r="BQ109" s="54" t="str">
        <f>IF($R109,"&amp;AllGlyphs[" &amp; M109 &amp; "]","")</f>
        <v>&amp;AllGlyphs[107]</v>
      </c>
      <c r="BR109" s="54" t="str">
        <f>IF($R109,"&amp;AllGlyphs[" &amp; O109 &amp; "]","")</f>
        <v>&amp;AllGlyphs[109]</v>
      </c>
      <c r="BT109" s="58">
        <f>IF($R109,IF(AB109,1,0),"")</f>
        <v>0</v>
      </c>
      <c r="BU109" s="58">
        <f>IF($R109,IF(AC109,1,0),"")</f>
        <v>0</v>
      </c>
      <c r="BV109" s="58">
        <f>IF($R109,IF(AD109,1,0),"")</f>
        <v>0</v>
      </c>
      <c r="BW109" s="58">
        <f>IF($R109,IF(AE109,1,0),"")</f>
        <v>0</v>
      </c>
      <c r="BX109" s="58">
        <f>IF($R109,IF(AR109,1,0),"")</f>
        <v>1</v>
      </c>
      <c r="BY109" s="58">
        <f>IF($R109,IF(AS109,1,0),"")</f>
        <v>0</v>
      </c>
    </row>
    <row r="110" spans="1:77" x14ac:dyDescent="0.4">
      <c r="A110" s="7" t="s">
        <v>89</v>
      </c>
      <c r="B110" s="6" t="str">
        <f t="shared" si="15"/>
        <v>¯</v>
      </c>
      <c r="C110" s="48" cm="1">
        <f t="array" ref="C110">IF($R110,INDEX($S:$S,MATCH(TRUE,EXACT(B110,$A:$A),0)),"")</f>
        <v>108</v>
      </c>
      <c r="D110" s="38" t="s">
        <v>90</v>
      </c>
      <c r="E110" s="48" cm="1">
        <f t="array" ref="E110">IF($R110,INDEX($S:$S,MATCH(TRUE,EXACT(D110,$A:$A),0)),"")</f>
        <v>109</v>
      </c>
      <c r="F110" s="38" t="s">
        <v>91</v>
      </c>
      <c r="G110" s="48" cm="1">
        <f t="array" ref="G110">IF($S110&lt;&gt;"",INDEX($S:$S,MATCH(TRUE,EXACT(F110,$A:$A),0)),"")</f>
        <v>110</v>
      </c>
      <c r="H110" s="38" t="s">
        <v>88</v>
      </c>
      <c r="I110" s="48" cm="1">
        <f t="array" ref="I110">IF($R110,INDEX($S:$S,MATCH(TRUE,EXACT(H110,$A:$A),0)),"")</f>
        <v>107</v>
      </c>
      <c r="J110" s="38" t="s">
        <v>90</v>
      </c>
      <c r="K110" s="52" cm="1">
        <f t="array" ref="K110">IF($R110,INDEX($S:$S,MATCH(TRUE,EXACT(J110,$A:$A),0)),"")</f>
        <v>109</v>
      </c>
      <c r="L110" s="38" t="str" cm="1">
        <f t="array" ref="L110">IF($R110,INDEX($T:$T,MATCH(TRUE,EXACT(H110,$D:$D),0)),"")</f>
        <v>±</v>
      </c>
      <c r="M110" s="48" cm="1">
        <f t="array" ref="M110">IF($R110,INDEX($S:$S,MATCH(TRUE,EXACT(L110,$A:$A),0)),"")</f>
        <v>110</v>
      </c>
      <c r="N110" s="38" t="str" cm="1">
        <f t="array" ref="N110">IF($R110,INDEX($T:$T,MATCH(TRUE,EXACT(J110,$D:$D),0)),"")</f>
        <v>¯</v>
      </c>
      <c r="O110" s="52" cm="1">
        <f t="array" ref="O110">IF($R110,INDEX($S:$S,MATCH(TRUE,EXACT(N110,$A:$A),0)),"")</f>
        <v>108</v>
      </c>
      <c r="P110" s="23"/>
      <c r="Q110" s="33"/>
      <c r="R110" s="18" t="b">
        <f t="shared" si="16"/>
        <v>1</v>
      </c>
      <c r="S110" s="19">
        <f>IF(R110, MAX(S$2:S109)+1,"")</f>
        <v>108</v>
      </c>
      <c r="T110" s="23" t="str">
        <f t="shared" si="17"/>
        <v>¯</v>
      </c>
      <c r="U110" s="8" t="str" cm="1">
        <f t="array" ref="U110">CharToUTF8(A110)</f>
        <v>\xC2\xAF</v>
      </c>
      <c r="W110" s="18" t="str">
        <f>$AU$6</f>
        <v>DIAG_BACK</v>
      </c>
      <c r="X110" s="24" t="str">
        <f>$AU$2</f>
        <v>EMPTY</v>
      </c>
      <c r="Y110" s="24" t="str">
        <f>$AU$5</f>
        <v>DIAG_FRONT</v>
      </c>
      <c r="Z110" s="21" t="str">
        <f>$AU$2</f>
        <v>EMPTY</v>
      </c>
      <c r="AB110" s="31" t="b">
        <f t="shared" si="18"/>
        <v>0</v>
      </c>
      <c r="AC110" s="31" t="b">
        <f t="shared" si="19"/>
        <v>0</v>
      </c>
      <c r="AD110" t="b">
        <f t="shared" si="20"/>
        <v>0</v>
      </c>
      <c r="AE110" t="b">
        <f t="shared" si="21"/>
        <v>0</v>
      </c>
      <c r="AF110" t="b">
        <f>IF($R110,W110=VLOOKUP(Z110,$AU$2:$AZ$10,3,FALSE),"")</f>
        <v>0</v>
      </c>
      <c r="AG110" t="b">
        <f>IF($R110,X110=VLOOKUP(Y110,$AU$2:$AZ$10,3,FALSE),"")</f>
        <v>0</v>
      </c>
      <c r="AH110" t="b">
        <f>IF($R110,Y110=VLOOKUP(W110,$AU$2:$AZ$10,3,FALSE),"")</f>
        <v>0</v>
      </c>
      <c r="AI110" t="b">
        <f>IF($R110,Z110=VLOOKUP(X110,$AU$2:$AZ$10,3,FALSE),"")</f>
        <v>1</v>
      </c>
      <c r="AJ110" t="b">
        <f>IF($R110,W110=VLOOKUP(W110,$AU$2:$AZ$10,4,FALSE),"")</f>
        <v>1</v>
      </c>
      <c r="AK110" t="b">
        <f>IF($R110,X110=VLOOKUP(X110,$AU$2:$AZ$10,4,FALSE),"")</f>
        <v>1</v>
      </c>
      <c r="AL110" t="b">
        <f>IF($R110,Y110=VLOOKUP(Y110,$AU$2:$AZ$10,4,FALSE),"")</f>
        <v>1</v>
      </c>
      <c r="AM110" t="b">
        <f>IF($R110,Z110=VLOOKUP(Z110,$AU$2:$AZ$10,4,FALSE),"")</f>
        <v>1</v>
      </c>
      <c r="AN110" t="b">
        <f>IF($R110,W110=VLOOKUP(W110,$AU$2:$AZ$10,5,FALSE),"")</f>
        <v>0</v>
      </c>
      <c r="AO110" t="b">
        <f>IF($R110,X110=VLOOKUP(X110,$AU$2:$AZ$10,5,FALSE),"")</f>
        <v>1</v>
      </c>
      <c r="AP110" t="b">
        <f>IF($R110,Y110=VLOOKUP(Y110,$AU$2:$AZ$10,6,FALSE),"")</f>
        <v>0</v>
      </c>
      <c r="AQ110" t="b">
        <f>IF($R110,Z110=VLOOKUP(Z110,$AU$2:$AZ$10,6,FALSE),"")</f>
        <v>1</v>
      </c>
      <c r="AR110" t="b">
        <f t="shared" si="22"/>
        <v>0</v>
      </c>
      <c r="AS110" t="b">
        <f t="shared" si="23"/>
        <v>1</v>
      </c>
      <c r="BD110" s="59" t="str">
        <f t="shared" si="24"/>
        <v xml:space="preserve">    { wxString::FromUTF8("\xC2\xAF"), &amp;AllGlyphs[109], &amp;AllGlyphs[110], &amp;AllGlyphs[107], &amp;AllGlyphs[109], &amp;AllGlyphs[110], &amp;AllGlyphs[108], Connection::DIAG_BACK, Connection::EMPTY, Connection::DIAG_FRONT, Connection::EMPTY, 0, 0, 0, 0, 0, 1 },</v>
      </c>
      <c r="BE110" s="60"/>
      <c r="BF110" s="60"/>
      <c r="BG110" s="60"/>
      <c r="BH110" s="60"/>
      <c r="BI110" s="60"/>
      <c r="BJ110" s="60"/>
      <c r="BK110" s="61"/>
      <c r="BM110" s="54" t="str">
        <f>IF($R110,"&amp;AllGlyphs[" &amp; E110 &amp; "]","")</f>
        <v>&amp;AllGlyphs[109]</v>
      </c>
      <c r="BN110" s="54" t="str">
        <f>IF($R110,"&amp;AllGlyphs[" &amp; G110 &amp; "]","")</f>
        <v>&amp;AllGlyphs[110]</v>
      </c>
      <c r="BO110" s="54" t="str">
        <f>IF($R110,"&amp;AllGlyphs[" &amp; I110 &amp; "]","")</f>
        <v>&amp;AllGlyphs[107]</v>
      </c>
      <c r="BP110" s="54" t="str">
        <f>IF($R110,"&amp;AllGlyphs[" &amp; K110 &amp; "]","")</f>
        <v>&amp;AllGlyphs[109]</v>
      </c>
      <c r="BQ110" s="54" t="str">
        <f>IF($R110,"&amp;AllGlyphs[" &amp; M110 &amp; "]","")</f>
        <v>&amp;AllGlyphs[110]</v>
      </c>
      <c r="BR110" s="54" t="str">
        <f>IF($R110,"&amp;AllGlyphs[" &amp; O110 &amp; "]","")</f>
        <v>&amp;AllGlyphs[108]</v>
      </c>
      <c r="BT110" s="58">
        <f>IF($R110,IF(AB110,1,0),"")</f>
        <v>0</v>
      </c>
      <c r="BU110" s="58">
        <f>IF($R110,IF(AC110,1,0),"")</f>
        <v>0</v>
      </c>
      <c r="BV110" s="58">
        <f>IF($R110,IF(AD110,1,0),"")</f>
        <v>0</v>
      </c>
      <c r="BW110" s="58">
        <f>IF($R110,IF(AE110,1,0),"")</f>
        <v>0</v>
      </c>
      <c r="BX110" s="58">
        <f>IF($R110,IF(AR110,1,0),"")</f>
        <v>0</v>
      </c>
      <c r="BY110" s="58">
        <f>IF($R110,IF(AS110,1,0),"")</f>
        <v>1</v>
      </c>
    </row>
    <row r="111" spans="1:77" x14ac:dyDescent="0.4">
      <c r="A111" s="7" t="s">
        <v>90</v>
      </c>
      <c r="B111" s="6" t="str">
        <f t="shared" si="15"/>
        <v>°</v>
      </c>
      <c r="C111" s="48" cm="1">
        <f t="array" ref="C111">IF($R111,INDEX($S:$S,MATCH(TRUE,EXACT(B111,$A:$A),0)),"")</f>
        <v>109</v>
      </c>
      <c r="D111" s="38" t="s">
        <v>91</v>
      </c>
      <c r="E111" s="48" cm="1">
        <f t="array" ref="E111">IF($R111,INDEX($S:$S,MATCH(TRUE,EXACT(D111,$A:$A),0)),"")</f>
        <v>110</v>
      </c>
      <c r="F111" s="38" t="s">
        <v>88</v>
      </c>
      <c r="G111" s="48" cm="1">
        <f t="array" ref="G111">IF($S111&lt;&gt;"",INDEX($S:$S,MATCH(TRUE,EXACT(F111,$A:$A),0)),"")</f>
        <v>107</v>
      </c>
      <c r="H111" s="38" t="s">
        <v>91</v>
      </c>
      <c r="I111" s="48" cm="1">
        <f t="array" ref="I111">IF($R111,INDEX($S:$S,MATCH(TRUE,EXACT(H111,$A:$A),0)),"")</f>
        <v>110</v>
      </c>
      <c r="J111" s="38" t="s">
        <v>89</v>
      </c>
      <c r="K111" s="52" cm="1">
        <f t="array" ref="K111">IF($R111,INDEX($S:$S,MATCH(TRUE,EXACT(J111,$A:$A),0)),"")</f>
        <v>108</v>
      </c>
      <c r="L111" s="38" t="str" cm="1">
        <f t="array" ref="L111">IF($R111,INDEX($T:$T,MATCH(TRUE,EXACT(H111,$D:$D),0)),"")</f>
        <v>°</v>
      </c>
      <c r="M111" s="48" cm="1">
        <f t="array" ref="M111">IF($R111,INDEX($S:$S,MATCH(TRUE,EXACT(L111,$A:$A),0)),"")</f>
        <v>109</v>
      </c>
      <c r="N111" s="38" t="str" cm="1">
        <f t="array" ref="N111">IF($R111,INDEX($T:$T,MATCH(TRUE,EXACT(J111,$D:$D),0)),"")</f>
        <v>®</v>
      </c>
      <c r="O111" s="52" cm="1">
        <f t="array" ref="O111">IF($R111,INDEX($S:$S,MATCH(TRUE,EXACT(N111,$A:$A),0)),"")</f>
        <v>107</v>
      </c>
      <c r="P111" s="23"/>
      <c r="Q111" s="33"/>
      <c r="R111" s="18" t="b">
        <f t="shared" si="16"/>
        <v>1</v>
      </c>
      <c r="S111" s="19">
        <f>IF(R111, MAX(S$2:S110)+1,"")</f>
        <v>109</v>
      </c>
      <c r="T111" s="23" t="str">
        <f t="shared" si="17"/>
        <v>°</v>
      </c>
      <c r="U111" s="8" t="str" cm="1">
        <f t="array" ref="U111">CharToUTF8(A111)</f>
        <v>\xC2\xB0</v>
      </c>
      <c r="W111" s="18" t="str">
        <f>$AU$5</f>
        <v>DIAG_FRONT</v>
      </c>
      <c r="X111" s="24" t="str">
        <f>$AU$2</f>
        <v>EMPTY</v>
      </c>
      <c r="Y111" s="24" t="str">
        <f>$AU$2</f>
        <v>EMPTY</v>
      </c>
      <c r="Z111" s="21" t="str">
        <f>$AU$6</f>
        <v>DIAG_BACK</v>
      </c>
      <c r="AB111" s="31" t="b">
        <f t="shared" si="18"/>
        <v>0</v>
      </c>
      <c r="AC111" s="31" t="b">
        <f t="shared" si="19"/>
        <v>0</v>
      </c>
      <c r="AD111" t="b">
        <f t="shared" si="20"/>
        <v>0</v>
      </c>
      <c r="AE111" t="b">
        <f t="shared" si="21"/>
        <v>0</v>
      </c>
      <c r="AF111" t="b">
        <f>IF($R111,W111=VLOOKUP(Z111,$AU$2:$AZ$10,3,FALSE),"")</f>
        <v>0</v>
      </c>
      <c r="AG111" t="b">
        <f>IF($R111,X111=VLOOKUP(Y111,$AU$2:$AZ$10,3,FALSE),"")</f>
        <v>1</v>
      </c>
      <c r="AH111" t="b">
        <f>IF($R111,Y111=VLOOKUP(W111,$AU$2:$AZ$10,3,FALSE),"")</f>
        <v>0</v>
      </c>
      <c r="AI111" t="b">
        <f>IF($R111,Z111=VLOOKUP(X111,$AU$2:$AZ$10,3,FALSE),"")</f>
        <v>0</v>
      </c>
      <c r="AJ111" t="b">
        <f>IF($R111,W111=VLOOKUP(W111,$AU$2:$AZ$10,4,FALSE),"")</f>
        <v>1</v>
      </c>
      <c r="AK111" t="b">
        <f>IF($R111,X111=VLOOKUP(X111,$AU$2:$AZ$10,4,FALSE),"")</f>
        <v>1</v>
      </c>
      <c r="AL111" t="b">
        <f>IF($R111,Y111=VLOOKUP(Y111,$AU$2:$AZ$10,4,FALSE),"")</f>
        <v>1</v>
      </c>
      <c r="AM111" t="b">
        <f>IF($R111,Z111=VLOOKUP(Z111,$AU$2:$AZ$10,4,FALSE),"")</f>
        <v>1</v>
      </c>
      <c r="AN111" t="b">
        <f>IF($R111,W111=VLOOKUP(W111,$AU$2:$AZ$10,5,FALSE),"")</f>
        <v>0</v>
      </c>
      <c r="AO111" t="b">
        <f>IF($R111,X111=VLOOKUP(X111,$AU$2:$AZ$10,5,FALSE),"")</f>
        <v>1</v>
      </c>
      <c r="AP111" t="b">
        <f>IF($R111,Y111=VLOOKUP(Y111,$AU$2:$AZ$10,6,FALSE),"")</f>
        <v>1</v>
      </c>
      <c r="AQ111" t="b">
        <f>IF($R111,Z111=VLOOKUP(Z111,$AU$2:$AZ$10,6,FALSE),"")</f>
        <v>0</v>
      </c>
      <c r="AR111" t="b">
        <f t="shared" si="22"/>
        <v>1</v>
      </c>
      <c r="AS111" t="b">
        <f t="shared" si="23"/>
        <v>0</v>
      </c>
      <c r="BD111" s="59" t="str">
        <f t="shared" si="24"/>
        <v xml:space="preserve">    { wxString::FromUTF8("\xC2\xB0"), &amp;AllGlyphs[110], &amp;AllGlyphs[107], &amp;AllGlyphs[110], &amp;AllGlyphs[108], &amp;AllGlyphs[109], &amp;AllGlyphs[107], Connection::DIAG_FRONT, Connection::EMPTY, Connection::EMPTY, Connection::DIAG_BACK, 0, 0, 0, 0, 1, 0 },</v>
      </c>
      <c r="BE111" s="60"/>
      <c r="BF111" s="60"/>
      <c r="BG111" s="60"/>
      <c r="BH111" s="60"/>
      <c r="BI111" s="60"/>
      <c r="BJ111" s="60"/>
      <c r="BK111" s="61"/>
      <c r="BM111" s="54" t="str">
        <f>IF($R111,"&amp;AllGlyphs[" &amp; E111 &amp; "]","")</f>
        <v>&amp;AllGlyphs[110]</v>
      </c>
      <c r="BN111" s="54" t="str">
        <f>IF($R111,"&amp;AllGlyphs[" &amp; G111 &amp; "]","")</f>
        <v>&amp;AllGlyphs[107]</v>
      </c>
      <c r="BO111" s="54" t="str">
        <f>IF($R111,"&amp;AllGlyphs[" &amp; I111 &amp; "]","")</f>
        <v>&amp;AllGlyphs[110]</v>
      </c>
      <c r="BP111" s="54" t="str">
        <f>IF($R111,"&amp;AllGlyphs[" &amp; K111 &amp; "]","")</f>
        <v>&amp;AllGlyphs[108]</v>
      </c>
      <c r="BQ111" s="54" t="str">
        <f>IF($R111,"&amp;AllGlyphs[" &amp; M111 &amp; "]","")</f>
        <v>&amp;AllGlyphs[109]</v>
      </c>
      <c r="BR111" s="54" t="str">
        <f>IF($R111,"&amp;AllGlyphs[" &amp; O111 &amp; "]","")</f>
        <v>&amp;AllGlyphs[107]</v>
      </c>
      <c r="BT111" s="58">
        <f>IF($R111,IF(AB111,1,0),"")</f>
        <v>0</v>
      </c>
      <c r="BU111" s="58">
        <f>IF($R111,IF(AC111,1,0),"")</f>
        <v>0</v>
      </c>
      <c r="BV111" s="58">
        <f>IF($R111,IF(AD111,1,0),"")</f>
        <v>0</v>
      </c>
      <c r="BW111" s="58">
        <f>IF($R111,IF(AE111,1,0),"")</f>
        <v>0</v>
      </c>
      <c r="BX111" s="58">
        <f>IF($R111,IF(AR111,1,0),"")</f>
        <v>1</v>
      </c>
      <c r="BY111" s="58">
        <f>IF($R111,IF(AS111,1,0),"")</f>
        <v>0</v>
      </c>
    </row>
    <row r="112" spans="1:77" x14ac:dyDescent="0.4">
      <c r="A112" s="7" t="s">
        <v>91</v>
      </c>
      <c r="B112" s="6" t="str">
        <f t="shared" si="15"/>
        <v>±</v>
      </c>
      <c r="C112" s="48" cm="1">
        <f t="array" ref="C112">IF($R112,INDEX($S:$S,MATCH(TRUE,EXACT(B112,$A:$A),0)),"")</f>
        <v>110</v>
      </c>
      <c r="D112" s="38" t="s">
        <v>88</v>
      </c>
      <c r="E112" s="48" cm="1">
        <f t="array" ref="E112">IF($R112,INDEX($S:$S,MATCH(TRUE,EXACT(D112,$A:$A),0)),"")</f>
        <v>107</v>
      </c>
      <c r="F112" s="38" t="s">
        <v>89</v>
      </c>
      <c r="G112" s="48" cm="1">
        <f t="array" ref="G112">IF($S112&lt;&gt;"",INDEX($S:$S,MATCH(TRUE,EXACT(F112,$A:$A),0)),"")</f>
        <v>108</v>
      </c>
      <c r="H112" s="38" t="s">
        <v>90</v>
      </c>
      <c r="I112" s="48" cm="1">
        <f t="array" ref="I112">IF($R112,INDEX($S:$S,MATCH(TRUE,EXACT(H112,$A:$A),0)),"")</f>
        <v>109</v>
      </c>
      <c r="J112" s="38" t="s">
        <v>88</v>
      </c>
      <c r="K112" s="52" cm="1">
        <f t="array" ref="K112">IF($R112,INDEX($S:$S,MATCH(TRUE,EXACT(J112,$A:$A),0)),"")</f>
        <v>107</v>
      </c>
      <c r="L112" s="38" t="str" cm="1">
        <f t="array" ref="L112">IF($R112,INDEX($T:$T,MATCH(TRUE,EXACT(H112,$D:$D),0)),"")</f>
        <v>¯</v>
      </c>
      <c r="M112" s="48" cm="1">
        <f t="array" ref="M112">IF($R112,INDEX($S:$S,MATCH(TRUE,EXACT(L112,$A:$A),0)),"")</f>
        <v>108</v>
      </c>
      <c r="N112" s="38" t="str" cm="1">
        <f t="array" ref="N112">IF($R112,INDEX($T:$T,MATCH(TRUE,EXACT(J112,$D:$D),0)),"")</f>
        <v>±</v>
      </c>
      <c r="O112" s="52" cm="1">
        <f t="array" ref="O112">IF($R112,INDEX($S:$S,MATCH(TRUE,EXACT(N112,$A:$A),0)),"")</f>
        <v>110</v>
      </c>
      <c r="P112" s="23"/>
      <c r="Q112" s="33"/>
      <c r="R112" s="18" t="b">
        <f t="shared" si="16"/>
        <v>1</v>
      </c>
      <c r="S112" s="19">
        <f>IF(R112, MAX(S$2:S111)+1,"")</f>
        <v>110</v>
      </c>
      <c r="T112" s="23" t="str">
        <f t="shared" si="17"/>
        <v>±</v>
      </c>
      <c r="U112" s="8" t="str" cm="1">
        <f t="array" ref="U112">CharToUTF8(A112)</f>
        <v>\xC2\xB1</v>
      </c>
      <c r="W112" s="18" t="str">
        <f>$AU$2</f>
        <v>EMPTY</v>
      </c>
      <c r="X112" s="24" t="str">
        <f>$AU$6</f>
        <v>DIAG_BACK</v>
      </c>
      <c r="Y112" s="24" t="str">
        <f>$AU$2</f>
        <v>EMPTY</v>
      </c>
      <c r="Z112" s="21" t="str">
        <f>$AU$5</f>
        <v>DIAG_FRONT</v>
      </c>
      <c r="AB112" s="31" t="b">
        <f t="shared" si="18"/>
        <v>0</v>
      </c>
      <c r="AC112" s="31" t="b">
        <f t="shared" si="19"/>
        <v>0</v>
      </c>
      <c r="AD112" t="b">
        <f t="shared" si="20"/>
        <v>0</v>
      </c>
      <c r="AE112" t="b">
        <f t="shared" si="21"/>
        <v>0</v>
      </c>
      <c r="AF112" t="b">
        <f>IF($R112,W112=VLOOKUP(Z112,$AU$2:$AZ$10,3,FALSE),"")</f>
        <v>0</v>
      </c>
      <c r="AG112" t="b">
        <f>IF($R112,X112=VLOOKUP(Y112,$AU$2:$AZ$10,3,FALSE),"")</f>
        <v>0</v>
      </c>
      <c r="AH112" t="b">
        <f>IF($R112,Y112=VLOOKUP(W112,$AU$2:$AZ$10,3,FALSE),"")</f>
        <v>1</v>
      </c>
      <c r="AI112" t="b">
        <f>IF($R112,Z112=VLOOKUP(X112,$AU$2:$AZ$10,3,FALSE),"")</f>
        <v>0</v>
      </c>
      <c r="AJ112" t="b">
        <f>IF($R112,W112=VLOOKUP(W112,$AU$2:$AZ$10,4,FALSE),"")</f>
        <v>1</v>
      </c>
      <c r="AK112" t="b">
        <f>IF($R112,X112=VLOOKUP(X112,$AU$2:$AZ$10,4,FALSE),"")</f>
        <v>1</v>
      </c>
      <c r="AL112" t="b">
        <f>IF($R112,Y112=VLOOKUP(Y112,$AU$2:$AZ$10,4,FALSE),"")</f>
        <v>1</v>
      </c>
      <c r="AM112" t="b">
        <f>IF($R112,Z112=VLOOKUP(Z112,$AU$2:$AZ$10,4,FALSE),"")</f>
        <v>1</v>
      </c>
      <c r="AN112" t="b">
        <f>IF($R112,W112=VLOOKUP(W112,$AU$2:$AZ$10,5,FALSE),"")</f>
        <v>1</v>
      </c>
      <c r="AO112" t="b">
        <f>IF($R112,X112=VLOOKUP(X112,$AU$2:$AZ$10,5,FALSE),"")</f>
        <v>0</v>
      </c>
      <c r="AP112" t="b">
        <f>IF($R112,Y112=VLOOKUP(Y112,$AU$2:$AZ$10,6,FALSE),"")</f>
        <v>1</v>
      </c>
      <c r="AQ112" t="b">
        <f>IF($R112,Z112=VLOOKUP(Z112,$AU$2:$AZ$10,6,FALSE),"")</f>
        <v>0</v>
      </c>
      <c r="AR112" t="b">
        <f t="shared" si="22"/>
        <v>0</v>
      </c>
      <c r="AS112" t="b">
        <f t="shared" si="23"/>
        <v>1</v>
      </c>
      <c r="BD112" s="59" t="str">
        <f t="shared" si="24"/>
        <v xml:space="preserve">    { wxString::FromUTF8("\xC2\xB1"), &amp;AllGlyphs[107], &amp;AllGlyphs[108], &amp;AllGlyphs[109], &amp;AllGlyphs[107], &amp;AllGlyphs[108], &amp;AllGlyphs[110], Connection::EMPTY, Connection::DIAG_BACK, Connection::EMPTY, Connection::DIAG_FRONT, 0, 0, 0, 0, 0, 1 },</v>
      </c>
      <c r="BE112" s="60"/>
      <c r="BF112" s="60"/>
      <c r="BG112" s="60"/>
      <c r="BH112" s="60"/>
      <c r="BI112" s="60"/>
      <c r="BJ112" s="60"/>
      <c r="BK112" s="61"/>
      <c r="BM112" s="54" t="str">
        <f>IF($R112,"&amp;AllGlyphs[" &amp; E112 &amp; "]","")</f>
        <v>&amp;AllGlyphs[107]</v>
      </c>
      <c r="BN112" s="54" t="str">
        <f>IF($R112,"&amp;AllGlyphs[" &amp; G112 &amp; "]","")</f>
        <v>&amp;AllGlyphs[108]</v>
      </c>
      <c r="BO112" s="54" t="str">
        <f>IF($R112,"&amp;AllGlyphs[" &amp; I112 &amp; "]","")</f>
        <v>&amp;AllGlyphs[109]</v>
      </c>
      <c r="BP112" s="54" t="str">
        <f>IF($R112,"&amp;AllGlyphs[" &amp; K112 &amp; "]","")</f>
        <v>&amp;AllGlyphs[107]</v>
      </c>
      <c r="BQ112" s="54" t="str">
        <f>IF($R112,"&amp;AllGlyphs[" &amp; M112 &amp; "]","")</f>
        <v>&amp;AllGlyphs[108]</v>
      </c>
      <c r="BR112" s="54" t="str">
        <f>IF($R112,"&amp;AllGlyphs[" &amp; O112 &amp; "]","")</f>
        <v>&amp;AllGlyphs[110]</v>
      </c>
      <c r="BT112" s="58">
        <f>IF($R112,IF(AB112,1,0),"")</f>
        <v>0</v>
      </c>
      <c r="BU112" s="58">
        <f>IF($R112,IF(AC112,1,0),"")</f>
        <v>0</v>
      </c>
      <c r="BV112" s="58">
        <f>IF($R112,IF(AD112,1,0),"")</f>
        <v>0</v>
      </c>
      <c r="BW112" s="58">
        <f>IF($R112,IF(AE112,1,0),"")</f>
        <v>0</v>
      </c>
      <c r="BX112" s="58">
        <f>IF($R112,IF(AR112,1,0),"")</f>
        <v>0</v>
      </c>
      <c r="BY112" s="58">
        <f>IF($R112,IF(AS112,1,0),"")</f>
        <v>1</v>
      </c>
    </row>
    <row r="113" spans="1:77" x14ac:dyDescent="0.4">
      <c r="A113" s="7" t="s">
        <v>92</v>
      </c>
      <c r="B113" s="6" t="str">
        <f t="shared" si="15"/>
        <v>²</v>
      </c>
      <c r="C113" s="48" cm="1">
        <f t="array" ref="C113">IF($R113,INDEX($S:$S,MATCH(TRUE,EXACT(B113,$A:$A),0)),"")</f>
        <v>111</v>
      </c>
      <c r="D113" s="38" t="s">
        <v>93</v>
      </c>
      <c r="E113" s="48" cm="1">
        <f t="array" ref="E113">IF($R113,INDEX($S:$S,MATCH(TRUE,EXACT(D113,$A:$A),0)),"")</f>
        <v>112</v>
      </c>
      <c r="F113" s="38" t="s">
        <v>94</v>
      </c>
      <c r="G113" s="48" cm="1">
        <f t="array" ref="G113">IF($S113&lt;&gt;"",INDEX($S:$S,MATCH(TRUE,EXACT(F113,$A:$A),0)),"")</f>
        <v>113</v>
      </c>
      <c r="H113" s="38" t="s">
        <v>94</v>
      </c>
      <c r="I113" s="48" cm="1">
        <f t="array" ref="I113">IF($R113,INDEX($S:$S,MATCH(TRUE,EXACT(H113,$A:$A),0)),"")</f>
        <v>113</v>
      </c>
      <c r="J113" s="38" t="s">
        <v>92</v>
      </c>
      <c r="K113" s="52" cm="1">
        <f t="array" ref="K113">IF($R113,INDEX($S:$S,MATCH(TRUE,EXACT(J113,$A:$A),0)),"")</f>
        <v>111</v>
      </c>
      <c r="L113" s="38" t="str" cm="1">
        <f t="array" ref="L113">IF($R113,INDEX($T:$T,MATCH(TRUE,EXACT(H113,$D:$D),0)),"")</f>
        <v>³</v>
      </c>
      <c r="M113" s="48" cm="1">
        <f t="array" ref="M113">IF($R113,INDEX($S:$S,MATCH(TRUE,EXACT(L113,$A:$A),0)),"")</f>
        <v>112</v>
      </c>
      <c r="N113" s="38" t="str" cm="1">
        <f t="array" ref="N113">IF($R113,INDEX($T:$T,MATCH(TRUE,EXACT(J113,$D:$D),0)),"")</f>
        <v>µ</v>
      </c>
      <c r="O113" s="52" cm="1">
        <f t="array" ref="O113">IF($R113,INDEX($S:$S,MATCH(TRUE,EXACT(N113,$A:$A),0)),"")</f>
        <v>114</v>
      </c>
      <c r="P113" s="23"/>
      <c r="Q113" s="33"/>
      <c r="R113" s="18" t="b">
        <f t="shared" si="16"/>
        <v>1</v>
      </c>
      <c r="S113" s="19">
        <f>IF(R113, MAX(S$2:S112)+1,"")</f>
        <v>111</v>
      </c>
      <c r="T113" s="23" t="str">
        <f t="shared" si="17"/>
        <v>²</v>
      </c>
      <c r="U113" s="8" t="str" cm="1">
        <f t="array" ref="U113">CharToUTF8(A113)</f>
        <v>\xC2\xB2</v>
      </c>
      <c r="W113" s="18" t="str">
        <f>$AU$4</f>
        <v>ORTHO_BOTH</v>
      </c>
      <c r="X113" s="24" t="str">
        <f>$AU$4</f>
        <v>ORTHO_BOTH</v>
      </c>
      <c r="Y113" s="24" t="str">
        <f>$AU$8</f>
        <v>ORTHO_DOWN</v>
      </c>
      <c r="Z113" s="21" t="str">
        <f>$AU$8</f>
        <v>ORTHO_DOWN</v>
      </c>
      <c r="AB113" s="31" t="b">
        <f t="shared" si="18"/>
        <v>0</v>
      </c>
      <c r="AC113" s="31" t="b">
        <f t="shared" si="19"/>
        <v>0</v>
      </c>
      <c r="AD113" t="b">
        <f t="shared" si="20"/>
        <v>0</v>
      </c>
      <c r="AE113" t="b">
        <f t="shared" si="21"/>
        <v>1</v>
      </c>
      <c r="AF113" t="b">
        <f>IF($R113,W113=VLOOKUP(Z113,$AU$2:$AZ$10,3,FALSE),"")</f>
        <v>0</v>
      </c>
      <c r="AG113" t="b">
        <f>IF($R113,X113=VLOOKUP(Y113,$AU$2:$AZ$10,3,FALSE),"")</f>
        <v>0</v>
      </c>
      <c r="AH113" t="b">
        <f>IF($R113,Y113=VLOOKUP(W113,$AU$2:$AZ$10,3,FALSE),"")</f>
        <v>0</v>
      </c>
      <c r="AI113" t="b">
        <f>IF($R113,Z113=VLOOKUP(X113,$AU$2:$AZ$10,3,FALSE),"")</f>
        <v>0</v>
      </c>
      <c r="AJ113" t="b">
        <f>IF($R113,W113=VLOOKUP(W113,$AU$2:$AZ$10,4,FALSE),"")</f>
        <v>1</v>
      </c>
      <c r="AK113" t="b">
        <f>IF($R113,X113=VLOOKUP(X113,$AU$2:$AZ$10,4,FALSE),"")</f>
        <v>1</v>
      </c>
      <c r="AL113" t="b">
        <f>IF($R113,Y113=VLOOKUP(Y113,$AU$2:$AZ$10,4,FALSE),"")</f>
        <v>0</v>
      </c>
      <c r="AM113" t="b">
        <f>IF($R113,Z113=VLOOKUP(Z113,$AU$2:$AZ$10,4,FALSE),"")</f>
        <v>0</v>
      </c>
      <c r="AN113" t="b">
        <f>IF($R113,W113=VLOOKUP(W113,$AU$2:$AZ$10,5,FALSE),"")</f>
        <v>1</v>
      </c>
      <c r="AO113" t="b">
        <f>IF($R113,X113=VLOOKUP(X113,$AU$2:$AZ$10,5,FALSE),"")</f>
        <v>1</v>
      </c>
      <c r="AP113" t="b">
        <f>IF($R113,Y113=VLOOKUP(Y113,$AU$2:$AZ$10,6,FALSE),"")</f>
        <v>1</v>
      </c>
      <c r="AQ113" t="b">
        <f>IF($R113,Z113=VLOOKUP(Z113,$AU$2:$AZ$10,6,FALSE),"")</f>
        <v>1</v>
      </c>
      <c r="AR113" t="b">
        <f t="shared" si="22"/>
        <v>0</v>
      </c>
      <c r="AS113" t="b">
        <f t="shared" si="23"/>
        <v>0</v>
      </c>
      <c r="BD113" s="59" t="str">
        <f t="shared" si="24"/>
        <v xml:space="preserve">    { wxString::FromUTF8("\xC2\xB2"), &amp;AllGlyphs[112], &amp;AllGlyphs[113], &amp;AllGlyphs[113], &amp;AllGlyphs[111], &amp;AllGlyphs[112], &amp;AllGlyphs[114], Connection::ORTHO_BOTH, Connection::ORTHO_BOTH, Connection::ORTHO_DOWN, Connection::ORTHO_DOWN, 0, 0, 0, 1, 0, 0 },</v>
      </c>
      <c r="BE113" s="60"/>
      <c r="BF113" s="60"/>
      <c r="BG113" s="60"/>
      <c r="BH113" s="60"/>
      <c r="BI113" s="60"/>
      <c r="BJ113" s="60"/>
      <c r="BK113" s="61"/>
      <c r="BM113" s="54" t="str">
        <f>IF($R113,"&amp;AllGlyphs[" &amp; E113 &amp; "]","")</f>
        <v>&amp;AllGlyphs[112]</v>
      </c>
      <c r="BN113" s="54" t="str">
        <f>IF($R113,"&amp;AllGlyphs[" &amp; G113 &amp; "]","")</f>
        <v>&amp;AllGlyphs[113]</v>
      </c>
      <c r="BO113" s="54" t="str">
        <f>IF($R113,"&amp;AllGlyphs[" &amp; I113 &amp; "]","")</f>
        <v>&amp;AllGlyphs[113]</v>
      </c>
      <c r="BP113" s="54" t="str">
        <f>IF($R113,"&amp;AllGlyphs[" &amp; K113 &amp; "]","")</f>
        <v>&amp;AllGlyphs[111]</v>
      </c>
      <c r="BQ113" s="54" t="str">
        <f>IF($R113,"&amp;AllGlyphs[" &amp; M113 &amp; "]","")</f>
        <v>&amp;AllGlyphs[112]</v>
      </c>
      <c r="BR113" s="54" t="str">
        <f>IF($R113,"&amp;AllGlyphs[" &amp; O113 &amp; "]","")</f>
        <v>&amp;AllGlyphs[114]</v>
      </c>
      <c r="BT113" s="58">
        <f>IF($R113,IF(AB113,1,0),"")</f>
        <v>0</v>
      </c>
      <c r="BU113" s="58">
        <f>IF($R113,IF(AC113,1,0),"")</f>
        <v>0</v>
      </c>
      <c r="BV113" s="58">
        <f>IF($R113,IF(AD113,1,0),"")</f>
        <v>0</v>
      </c>
      <c r="BW113" s="58">
        <f>IF($R113,IF(AE113,1,0),"")</f>
        <v>1</v>
      </c>
      <c r="BX113" s="58">
        <f>IF($R113,IF(AR113,1,0),"")</f>
        <v>0</v>
      </c>
      <c r="BY113" s="58">
        <f>IF($R113,IF(AS113,1,0),"")</f>
        <v>0</v>
      </c>
    </row>
    <row r="114" spans="1:77" ht="31.5" customHeight="1" x14ac:dyDescent="0.4">
      <c r="A114" s="7" t="s">
        <v>93</v>
      </c>
      <c r="B114" s="6" t="str">
        <f t="shared" si="15"/>
        <v>³</v>
      </c>
      <c r="C114" s="48" cm="1">
        <f t="array" ref="C114">IF($R114,INDEX($S:$S,MATCH(TRUE,EXACT(B114,$A:$A),0)),"")</f>
        <v>112</v>
      </c>
      <c r="D114" s="38" t="s">
        <v>94</v>
      </c>
      <c r="E114" s="48" cm="1">
        <f t="array" ref="E114">IF($R114,INDEX($S:$S,MATCH(TRUE,EXACT(D114,$A:$A),0)),"")</f>
        <v>113</v>
      </c>
      <c r="F114" s="38" t="s">
        <v>95</v>
      </c>
      <c r="G114" s="48" cm="1">
        <f t="array" ref="G114">IF($S114&lt;&gt;"",INDEX($S:$S,MATCH(TRUE,EXACT(F114,$A:$A),0)),"")</f>
        <v>114</v>
      </c>
      <c r="H114" s="38" t="s">
        <v>93</v>
      </c>
      <c r="I114" s="48" cm="1">
        <f t="array" ref="I114">IF($R114,INDEX($S:$S,MATCH(TRUE,EXACT(H114,$A:$A),0)),"")</f>
        <v>112</v>
      </c>
      <c r="J114" s="38" t="s">
        <v>95</v>
      </c>
      <c r="K114" s="52" cm="1">
        <f t="array" ref="K114">IF($R114,INDEX($S:$S,MATCH(TRUE,EXACT(J114,$A:$A),0)),"")</f>
        <v>114</v>
      </c>
      <c r="L114" s="38" t="str" cm="1">
        <f t="array" ref="L114">IF($R114,INDEX($T:$T,MATCH(TRUE,EXACT(H114,$D:$D),0)),"")</f>
        <v>²</v>
      </c>
      <c r="M114" s="48" cm="1">
        <f t="array" ref="M114">IF($R114,INDEX($S:$S,MATCH(TRUE,EXACT(L114,$A:$A),0)),"")</f>
        <v>111</v>
      </c>
      <c r="N114" s="38" t="str" cm="1">
        <f t="array" ref="N114">IF($R114,INDEX($T:$T,MATCH(TRUE,EXACT(J114,$D:$D),0)),"")</f>
        <v>´</v>
      </c>
      <c r="O114" s="52" cm="1">
        <f t="array" ref="O114">IF($R114,INDEX($S:$S,MATCH(TRUE,EXACT(N114,$A:$A),0)),"")</f>
        <v>113</v>
      </c>
      <c r="P114" s="23"/>
      <c r="Q114" s="33"/>
      <c r="R114" s="18" t="b">
        <f t="shared" si="16"/>
        <v>1</v>
      </c>
      <c r="S114" s="19">
        <f>IF(R114, MAX(S$2:S113)+1,"")</f>
        <v>112</v>
      </c>
      <c r="T114" s="23" t="str">
        <f t="shared" si="17"/>
        <v>³</v>
      </c>
      <c r="U114" s="8" t="str" cm="1">
        <f t="array" ref="U114">CharToUTF8(A114)</f>
        <v>\xC2\xB3</v>
      </c>
      <c r="W114" s="18" t="str">
        <f>$AU$9</f>
        <v>ORTHO_LEFT</v>
      </c>
      <c r="X114" s="24" t="str">
        <f>$AU$9</f>
        <v>ORTHO_LEFT</v>
      </c>
      <c r="Y114" s="24" t="str">
        <f>$AU$4</f>
        <v>ORTHO_BOTH</v>
      </c>
      <c r="Z114" s="21" t="str">
        <f>$AU$4</f>
        <v>ORTHO_BOTH</v>
      </c>
      <c r="AB114" s="31" t="b">
        <f t="shared" si="18"/>
        <v>0</v>
      </c>
      <c r="AC114" s="31" t="b">
        <f t="shared" si="19"/>
        <v>0</v>
      </c>
      <c r="AD114" t="b">
        <f t="shared" si="20"/>
        <v>1</v>
      </c>
      <c r="AE114" t="b">
        <f t="shared" si="21"/>
        <v>0</v>
      </c>
      <c r="AF114" t="b">
        <f>IF($R114,W114=VLOOKUP(Z114,$AU$2:$AZ$10,3,FALSE),"")</f>
        <v>0</v>
      </c>
      <c r="AG114" t="b">
        <f>IF($R114,X114=VLOOKUP(Y114,$AU$2:$AZ$10,3,FALSE),"")</f>
        <v>0</v>
      </c>
      <c r="AH114" t="b">
        <f>IF($R114,Y114=VLOOKUP(W114,$AU$2:$AZ$10,3,FALSE),"")</f>
        <v>0</v>
      </c>
      <c r="AI114" t="b">
        <f>IF($R114,Z114=VLOOKUP(X114,$AU$2:$AZ$10,3,FALSE),"")</f>
        <v>0</v>
      </c>
      <c r="AJ114" t="b">
        <f>IF($R114,W114=VLOOKUP(W114,$AU$2:$AZ$10,4,FALSE),"")</f>
        <v>0</v>
      </c>
      <c r="AK114" t="b">
        <f>IF($R114,X114=VLOOKUP(X114,$AU$2:$AZ$10,4,FALSE),"")</f>
        <v>0</v>
      </c>
      <c r="AL114" t="b">
        <f>IF($R114,Y114=VLOOKUP(Y114,$AU$2:$AZ$10,4,FALSE),"")</f>
        <v>1</v>
      </c>
      <c r="AM114" t="b">
        <f>IF($R114,Z114=VLOOKUP(Z114,$AU$2:$AZ$10,4,FALSE),"")</f>
        <v>1</v>
      </c>
      <c r="AN114" t="b">
        <f>IF($R114,W114=VLOOKUP(W114,$AU$2:$AZ$10,5,FALSE),"")</f>
        <v>1</v>
      </c>
      <c r="AO114" t="b">
        <f>IF($R114,X114=VLOOKUP(X114,$AU$2:$AZ$10,5,FALSE),"")</f>
        <v>1</v>
      </c>
      <c r="AP114" t="b">
        <f>IF($R114,Y114=VLOOKUP(Y114,$AU$2:$AZ$10,6,FALSE),"")</f>
        <v>1</v>
      </c>
      <c r="AQ114" t="b">
        <f>IF($R114,Z114=VLOOKUP(Z114,$AU$2:$AZ$10,6,FALSE),"")</f>
        <v>1</v>
      </c>
      <c r="AR114" t="b">
        <f t="shared" si="22"/>
        <v>0</v>
      </c>
      <c r="AS114" t="b">
        <f t="shared" si="23"/>
        <v>0</v>
      </c>
      <c r="BD114" s="59" t="str">
        <f t="shared" si="24"/>
        <v xml:space="preserve">    { wxString::FromUTF8("\xC2\xB3"), &amp;AllGlyphs[113], &amp;AllGlyphs[114], &amp;AllGlyphs[112], &amp;AllGlyphs[114], &amp;AllGlyphs[111], &amp;AllGlyphs[113], Connection::ORTHO_LEFT, Connection::ORTHO_LEFT, Connection::ORTHO_BOTH, Connection::ORTHO_BOTH, 0, 0, 1, 0, 0, 0 },</v>
      </c>
      <c r="BE114" s="60"/>
      <c r="BF114" s="60"/>
      <c r="BG114" s="60"/>
      <c r="BH114" s="60"/>
      <c r="BI114" s="60"/>
      <c r="BJ114" s="60"/>
      <c r="BK114" s="61"/>
      <c r="BM114" s="54" t="str">
        <f>IF($R114,"&amp;AllGlyphs[" &amp; E114 &amp; "]","")</f>
        <v>&amp;AllGlyphs[113]</v>
      </c>
      <c r="BN114" s="54" t="str">
        <f>IF($R114,"&amp;AllGlyphs[" &amp; G114 &amp; "]","")</f>
        <v>&amp;AllGlyphs[114]</v>
      </c>
      <c r="BO114" s="54" t="str">
        <f>IF($R114,"&amp;AllGlyphs[" &amp; I114 &amp; "]","")</f>
        <v>&amp;AllGlyphs[112]</v>
      </c>
      <c r="BP114" s="54" t="str">
        <f>IF($R114,"&amp;AllGlyphs[" &amp; K114 &amp; "]","")</f>
        <v>&amp;AllGlyphs[114]</v>
      </c>
      <c r="BQ114" s="54" t="str">
        <f>IF($R114,"&amp;AllGlyphs[" &amp; M114 &amp; "]","")</f>
        <v>&amp;AllGlyphs[111]</v>
      </c>
      <c r="BR114" s="54" t="str">
        <f>IF($R114,"&amp;AllGlyphs[" &amp; O114 &amp; "]","")</f>
        <v>&amp;AllGlyphs[113]</v>
      </c>
      <c r="BT114" s="58">
        <f>IF($R114,IF(AB114,1,0),"")</f>
        <v>0</v>
      </c>
      <c r="BU114" s="58">
        <f>IF($R114,IF(AC114,1,0),"")</f>
        <v>0</v>
      </c>
      <c r="BV114" s="58">
        <f>IF($R114,IF(AD114,1,0),"")</f>
        <v>1</v>
      </c>
      <c r="BW114" s="58">
        <f>IF($R114,IF(AE114,1,0),"")</f>
        <v>0</v>
      </c>
      <c r="BX114" s="58">
        <f>IF($R114,IF(AR114,1,0),"")</f>
        <v>0</v>
      </c>
      <c r="BY114" s="58">
        <f>IF($R114,IF(AS114,1,0),"")</f>
        <v>0</v>
      </c>
    </row>
    <row r="115" spans="1:77" x14ac:dyDescent="0.4">
      <c r="A115" s="7" t="s">
        <v>94</v>
      </c>
      <c r="B115" s="6" t="str">
        <f t="shared" si="15"/>
        <v>´</v>
      </c>
      <c r="C115" s="48" cm="1">
        <f t="array" ref="C115">IF($R115,INDEX($S:$S,MATCH(TRUE,EXACT(B115,$A:$A),0)),"")</f>
        <v>113</v>
      </c>
      <c r="D115" s="38" t="s">
        <v>95</v>
      </c>
      <c r="E115" s="48" cm="1">
        <f t="array" ref="E115">IF($R115,INDEX($S:$S,MATCH(TRUE,EXACT(D115,$A:$A),0)),"")</f>
        <v>114</v>
      </c>
      <c r="F115" s="38" t="s">
        <v>92</v>
      </c>
      <c r="G115" s="48" cm="1">
        <f t="array" ref="G115">IF($S115&lt;&gt;"",INDEX($S:$S,MATCH(TRUE,EXACT(F115,$A:$A),0)),"")</f>
        <v>111</v>
      </c>
      <c r="H115" s="38" t="s">
        <v>92</v>
      </c>
      <c r="I115" s="48" cm="1">
        <f t="array" ref="I115">IF($R115,INDEX($S:$S,MATCH(TRUE,EXACT(H115,$A:$A),0)),"")</f>
        <v>111</v>
      </c>
      <c r="J115" s="38" t="s">
        <v>94</v>
      </c>
      <c r="K115" s="52" cm="1">
        <f t="array" ref="K115">IF($R115,INDEX($S:$S,MATCH(TRUE,EXACT(J115,$A:$A),0)),"")</f>
        <v>113</v>
      </c>
      <c r="L115" s="38" t="str" cm="1">
        <f t="array" ref="L115">IF($R115,INDEX($T:$T,MATCH(TRUE,EXACT(H115,$D:$D),0)),"")</f>
        <v>µ</v>
      </c>
      <c r="M115" s="48" cm="1">
        <f t="array" ref="M115">IF($R115,INDEX($S:$S,MATCH(TRUE,EXACT(L115,$A:$A),0)),"")</f>
        <v>114</v>
      </c>
      <c r="N115" s="38" t="str" cm="1">
        <f t="array" ref="N115">IF($R115,INDEX($T:$T,MATCH(TRUE,EXACT(J115,$D:$D),0)),"")</f>
        <v>³</v>
      </c>
      <c r="O115" s="52" cm="1">
        <f t="array" ref="O115">IF($R115,INDEX($S:$S,MATCH(TRUE,EXACT(N115,$A:$A),0)),"")</f>
        <v>112</v>
      </c>
      <c r="P115" s="23"/>
      <c r="Q115" s="33"/>
      <c r="R115" s="18" t="b">
        <f t="shared" si="16"/>
        <v>1</v>
      </c>
      <c r="S115" s="19">
        <f>IF(R115, MAX(S$2:S114)+1,"")</f>
        <v>113</v>
      </c>
      <c r="T115" s="23" t="str">
        <f t="shared" si="17"/>
        <v>´</v>
      </c>
      <c r="U115" s="8" t="str" cm="1">
        <f t="array" ref="U115">CharToUTF8(A115)</f>
        <v>\xC2\xB4</v>
      </c>
      <c r="W115" s="18" t="str">
        <f>$AU$4</f>
        <v>ORTHO_BOTH</v>
      </c>
      <c r="X115" s="24" t="str">
        <f>$AU$4</f>
        <v>ORTHO_BOTH</v>
      </c>
      <c r="Y115" s="24" t="str">
        <f>$AU$7</f>
        <v>ORTHO_UP</v>
      </c>
      <c r="Z115" s="21" t="str">
        <f>$AU$7</f>
        <v>ORTHO_UP</v>
      </c>
      <c r="AB115" s="31" t="b">
        <f t="shared" si="18"/>
        <v>0</v>
      </c>
      <c r="AC115" s="31" t="b">
        <f t="shared" si="19"/>
        <v>0</v>
      </c>
      <c r="AD115" t="b">
        <f t="shared" si="20"/>
        <v>0</v>
      </c>
      <c r="AE115" t="b">
        <f t="shared" si="21"/>
        <v>1</v>
      </c>
      <c r="AF115" t="b">
        <f>IF($R115,W115=VLOOKUP(Z115,$AU$2:$AZ$10,3,FALSE),"")</f>
        <v>0</v>
      </c>
      <c r="AG115" t="b">
        <f>IF($R115,X115=VLOOKUP(Y115,$AU$2:$AZ$10,3,FALSE),"")</f>
        <v>0</v>
      </c>
      <c r="AH115" t="b">
        <f>IF($R115,Y115=VLOOKUP(W115,$AU$2:$AZ$10,3,FALSE),"")</f>
        <v>0</v>
      </c>
      <c r="AI115" t="b">
        <f>IF($R115,Z115=VLOOKUP(X115,$AU$2:$AZ$10,3,FALSE),"")</f>
        <v>0</v>
      </c>
      <c r="AJ115" t="b">
        <f>IF($R115,W115=VLOOKUP(W115,$AU$2:$AZ$10,4,FALSE),"")</f>
        <v>1</v>
      </c>
      <c r="AK115" t="b">
        <f>IF($R115,X115=VLOOKUP(X115,$AU$2:$AZ$10,4,FALSE),"")</f>
        <v>1</v>
      </c>
      <c r="AL115" t="b">
        <f>IF($R115,Y115=VLOOKUP(Y115,$AU$2:$AZ$10,4,FALSE),"")</f>
        <v>0</v>
      </c>
      <c r="AM115" t="b">
        <f>IF($R115,Z115=VLOOKUP(Z115,$AU$2:$AZ$10,4,FALSE),"")</f>
        <v>0</v>
      </c>
      <c r="AN115" t="b">
        <f>IF($R115,W115=VLOOKUP(W115,$AU$2:$AZ$10,5,FALSE),"")</f>
        <v>1</v>
      </c>
      <c r="AO115" t="b">
        <f>IF($R115,X115=VLOOKUP(X115,$AU$2:$AZ$10,5,FALSE),"")</f>
        <v>1</v>
      </c>
      <c r="AP115" t="b">
        <f>IF($R115,Y115=VLOOKUP(Y115,$AU$2:$AZ$10,6,FALSE),"")</f>
        <v>1</v>
      </c>
      <c r="AQ115" t="b">
        <f>IF($R115,Z115=VLOOKUP(Z115,$AU$2:$AZ$10,6,FALSE),"")</f>
        <v>1</v>
      </c>
      <c r="AR115" t="b">
        <f t="shared" si="22"/>
        <v>0</v>
      </c>
      <c r="AS115" t="b">
        <f t="shared" si="23"/>
        <v>0</v>
      </c>
      <c r="BD115" s="59" t="str">
        <f t="shared" si="24"/>
        <v xml:space="preserve">    { wxString::FromUTF8("\xC2\xB4"), &amp;AllGlyphs[114], &amp;AllGlyphs[111], &amp;AllGlyphs[111], &amp;AllGlyphs[113], &amp;AllGlyphs[114], &amp;AllGlyphs[112], Connection::ORTHO_BOTH, Connection::ORTHO_BOTH, Connection::ORTHO_UP, Connection::ORTHO_UP, 0, 0, 0, 1, 0, 0 },</v>
      </c>
      <c r="BE115" s="60"/>
      <c r="BF115" s="60"/>
      <c r="BG115" s="60"/>
      <c r="BH115" s="60"/>
      <c r="BI115" s="60"/>
      <c r="BJ115" s="60"/>
      <c r="BK115" s="61"/>
      <c r="BM115" s="54" t="str">
        <f>IF($R115,"&amp;AllGlyphs[" &amp; E115 &amp; "]","")</f>
        <v>&amp;AllGlyphs[114]</v>
      </c>
      <c r="BN115" s="54" t="str">
        <f>IF($R115,"&amp;AllGlyphs[" &amp; G115 &amp; "]","")</f>
        <v>&amp;AllGlyphs[111]</v>
      </c>
      <c r="BO115" s="54" t="str">
        <f>IF($R115,"&amp;AllGlyphs[" &amp; I115 &amp; "]","")</f>
        <v>&amp;AllGlyphs[111]</v>
      </c>
      <c r="BP115" s="54" t="str">
        <f>IF($R115,"&amp;AllGlyphs[" &amp; K115 &amp; "]","")</f>
        <v>&amp;AllGlyphs[113]</v>
      </c>
      <c r="BQ115" s="54" t="str">
        <f>IF($R115,"&amp;AllGlyphs[" &amp; M115 &amp; "]","")</f>
        <v>&amp;AllGlyphs[114]</v>
      </c>
      <c r="BR115" s="54" t="str">
        <f>IF($R115,"&amp;AllGlyphs[" &amp; O115 &amp; "]","")</f>
        <v>&amp;AllGlyphs[112]</v>
      </c>
      <c r="BT115" s="58">
        <f>IF($R115,IF(AB115,1,0),"")</f>
        <v>0</v>
      </c>
      <c r="BU115" s="58">
        <f>IF($R115,IF(AC115,1,0),"")</f>
        <v>0</v>
      </c>
      <c r="BV115" s="58">
        <f>IF($R115,IF(AD115,1,0),"")</f>
        <v>0</v>
      </c>
      <c r="BW115" s="58">
        <f>IF($R115,IF(AE115,1,0),"")</f>
        <v>1</v>
      </c>
      <c r="BX115" s="58">
        <f>IF($R115,IF(AR115,1,0),"")</f>
        <v>0</v>
      </c>
      <c r="BY115" s="58">
        <f>IF($R115,IF(AS115,1,0),"")</f>
        <v>0</v>
      </c>
    </row>
    <row r="116" spans="1:77" x14ac:dyDescent="0.4">
      <c r="A116" s="7" t="s">
        <v>95</v>
      </c>
      <c r="B116" s="6" t="str">
        <f t="shared" si="15"/>
        <v>µ</v>
      </c>
      <c r="C116" s="48" cm="1">
        <f t="array" ref="C116">IF($R116,INDEX($S:$S,MATCH(TRUE,EXACT(B116,$A:$A),0)),"")</f>
        <v>114</v>
      </c>
      <c r="D116" s="38" t="s">
        <v>92</v>
      </c>
      <c r="E116" s="48" cm="1">
        <f t="array" ref="E116">IF($R116,INDEX($S:$S,MATCH(TRUE,EXACT(D116,$A:$A),0)),"")</f>
        <v>111</v>
      </c>
      <c r="F116" s="38" t="s">
        <v>93</v>
      </c>
      <c r="G116" s="48" cm="1">
        <f t="array" ref="G116">IF($S116&lt;&gt;"",INDEX($S:$S,MATCH(TRUE,EXACT(F116,$A:$A),0)),"")</f>
        <v>112</v>
      </c>
      <c r="H116" s="38" t="s">
        <v>95</v>
      </c>
      <c r="I116" s="48" cm="1">
        <f t="array" ref="I116">IF($R116,INDEX($S:$S,MATCH(TRUE,EXACT(H116,$A:$A),0)),"")</f>
        <v>114</v>
      </c>
      <c r="J116" s="38" t="s">
        <v>93</v>
      </c>
      <c r="K116" s="52" cm="1">
        <f t="array" ref="K116">IF($R116,INDEX($S:$S,MATCH(TRUE,EXACT(J116,$A:$A),0)),"")</f>
        <v>112</v>
      </c>
      <c r="L116" s="38" t="str" cm="1">
        <f t="array" ref="L116">IF($R116,INDEX($T:$T,MATCH(TRUE,EXACT(H116,$D:$D),0)),"")</f>
        <v>´</v>
      </c>
      <c r="M116" s="48" cm="1">
        <f t="array" ref="M116">IF($R116,INDEX($S:$S,MATCH(TRUE,EXACT(L116,$A:$A),0)),"")</f>
        <v>113</v>
      </c>
      <c r="N116" s="38" t="str" cm="1">
        <f t="array" ref="N116">IF($R116,INDEX($T:$T,MATCH(TRUE,EXACT(J116,$D:$D),0)),"")</f>
        <v>²</v>
      </c>
      <c r="O116" s="52" cm="1">
        <f t="array" ref="O116">IF($R116,INDEX($S:$S,MATCH(TRUE,EXACT(N116,$A:$A),0)),"")</f>
        <v>111</v>
      </c>
      <c r="P116" s="23"/>
      <c r="Q116" s="33"/>
      <c r="R116" s="18" t="b">
        <f t="shared" si="16"/>
        <v>1</v>
      </c>
      <c r="S116" s="19">
        <f>IF(R116, MAX(S$2:S115)+1,"")</f>
        <v>114</v>
      </c>
      <c r="T116" s="23" t="str">
        <f t="shared" si="17"/>
        <v>µ</v>
      </c>
      <c r="U116" s="8" t="str" cm="1">
        <f t="array" ref="U116">CharToUTF8(A116)</f>
        <v>\xC2\xB5</v>
      </c>
      <c r="W116" s="18" t="str">
        <f>$AU$10</f>
        <v>ORTHO_RIGHT</v>
      </c>
      <c r="X116" s="24" t="str">
        <f>$AU$10</f>
        <v>ORTHO_RIGHT</v>
      </c>
      <c r="Y116" s="24" t="str">
        <f>$AU$4</f>
        <v>ORTHO_BOTH</v>
      </c>
      <c r="Z116" s="21" t="str">
        <f>$AU$4</f>
        <v>ORTHO_BOTH</v>
      </c>
      <c r="AB116" s="31" t="b">
        <f t="shared" si="18"/>
        <v>0</v>
      </c>
      <c r="AC116" s="31" t="b">
        <f t="shared" si="19"/>
        <v>0</v>
      </c>
      <c r="AD116" t="b">
        <f t="shared" si="20"/>
        <v>1</v>
      </c>
      <c r="AE116" t="b">
        <f t="shared" si="21"/>
        <v>0</v>
      </c>
      <c r="AF116" t="b">
        <f>IF($R116,W116=VLOOKUP(Z116,$AU$2:$AZ$10,3,FALSE),"")</f>
        <v>0</v>
      </c>
      <c r="AG116" t="b">
        <f>IF($R116,X116=VLOOKUP(Y116,$AU$2:$AZ$10,3,FALSE),"")</f>
        <v>0</v>
      </c>
      <c r="AH116" t="b">
        <f>IF($R116,Y116=VLOOKUP(W116,$AU$2:$AZ$10,3,FALSE),"")</f>
        <v>0</v>
      </c>
      <c r="AI116" t="b">
        <f>IF($R116,Z116=VLOOKUP(X116,$AU$2:$AZ$10,3,FALSE),"")</f>
        <v>0</v>
      </c>
      <c r="AJ116" t="b">
        <f>IF($R116,W116=VLOOKUP(W116,$AU$2:$AZ$10,4,FALSE),"")</f>
        <v>0</v>
      </c>
      <c r="AK116" t="b">
        <f>IF($R116,X116=VLOOKUP(X116,$AU$2:$AZ$10,4,FALSE),"")</f>
        <v>0</v>
      </c>
      <c r="AL116" t="b">
        <f>IF($R116,Y116=VLOOKUP(Y116,$AU$2:$AZ$10,4,FALSE),"")</f>
        <v>1</v>
      </c>
      <c r="AM116" t="b">
        <f>IF($R116,Z116=VLOOKUP(Z116,$AU$2:$AZ$10,4,FALSE),"")</f>
        <v>1</v>
      </c>
      <c r="AN116" t="b">
        <f>IF($R116,W116=VLOOKUP(W116,$AU$2:$AZ$10,5,FALSE),"")</f>
        <v>1</v>
      </c>
      <c r="AO116" t="b">
        <f>IF($R116,X116=VLOOKUP(X116,$AU$2:$AZ$10,5,FALSE),"")</f>
        <v>1</v>
      </c>
      <c r="AP116" t="b">
        <f>IF($R116,Y116=VLOOKUP(Y116,$AU$2:$AZ$10,6,FALSE),"")</f>
        <v>1</v>
      </c>
      <c r="AQ116" t="b">
        <f>IF($R116,Z116=VLOOKUP(Z116,$AU$2:$AZ$10,6,FALSE),"")</f>
        <v>1</v>
      </c>
      <c r="AR116" t="b">
        <f t="shared" si="22"/>
        <v>0</v>
      </c>
      <c r="AS116" t="b">
        <f t="shared" si="23"/>
        <v>0</v>
      </c>
      <c r="BD116" s="59" t="str">
        <f t="shared" si="24"/>
        <v xml:space="preserve">    { wxString::FromUTF8("\xC2\xB5"), &amp;AllGlyphs[111], &amp;AllGlyphs[112], &amp;AllGlyphs[114], &amp;AllGlyphs[112], &amp;AllGlyphs[113], &amp;AllGlyphs[111], Connection::ORTHO_RIGHT, Connection::ORTHO_RIGHT, Connection::ORTHO_BOTH, Connection::ORTHO_BOTH, 0, 0, 1, 0, 0, 0 },</v>
      </c>
      <c r="BE116" s="60"/>
      <c r="BF116" s="60"/>
      <c r="BG116" s="60"/>
      <c r="BH116" s="60"/>
      <c r="BI116" s="60"/>
      <c r="BJ116" s="60"/>
      <c r="BK116" s="61"/>
      <c r="BM116" s="54" t="str">
        <f>IF($R116,"&amp;AllGlyphs[" &amp; E116 &amp; "]","")</f>
        <v>&amp;AllGlyphs[111]</v>
      </c>
      <c r="BN116" s="54" t="str">
        <f>IF($R116,"&amp;AllGlyphs[" &amp; G116 &amp; "]","")</f>
        <v>&amp;AllGlyphs[112]</v>
      </c>
      <c r="BO116" s="54" t="str">
        <f>IF($R116,"&amp;AllGlyphs[" &amp; I116 &amp; "]","")</f>
        <v>&amp;AllGlyphs[114]</v>
      </c>
      <c r="BP116" s="54" t="str">
        <f>IF($R116,"&amp;AllGlyphs[" &amp; K116 &amp; "]","")</f>
        <v>&amp;AllGlyphs[112]</v>
      </c>
      <c r="BQ116" s="54" t="str">
        <f>IF($R116,"&amp;AllGlyphs[" &amp; M116 &amp; "]","")</f>
        <v>&amp;AllGlyphs[113]</v>
      </c>
      <c r="BR116" s="54" t="str">
        <f>IF($R116,"&amp;AllGlyphs[" &amp; O116 &amp; "]","")</f>
        <v>&amp;AllGlyphs[111]</v>
      </c>
      <c r="BT116" s="58">
        <f>IF($R116,IF(AB116,1,0),"")</f>
        <v>0</v>
      </c>
      <c r="BU116" s="58">
        <f>IF($R116,IF(AC116,1,0),"")</f>
        <v>0</v>
      </c>
      <c r="BV116" s="58">
        <f>IF($R116,IF(AD116,1,0),"")</f>
        <v>1</v>
      </c>
      <c r="BW116" s="58">
        <f>IF($R116,IF(AE116,1,0),"")</f>
        <v>0</v>
      </c>
      <c r="BX116" s="58">
        <f>IF($R116,IF(AR116,1,0),"")</f>
        <v>0</v>
      </c>
      <c r="BY116" s="58">
        <f>IF($R116,IF(AS116,1,0),"")</f>
        <v>0</v>
      </c>
    </row>
    <row r="117" spans="1:77" x14ac:dyDescent="0.4">
      <c r="A117" s="7" t="s">
        <v>96</v>
      </c>
      <c r="B117" s="6" t="str">
        <f t="shared" si="15"/>
        <v>¶</v>
      </c>
      <c r="C117" s="48" cm="1">
        <f t="array" ref="C117">IF($R117,INDEX($S:$S,MATCH(TRUE,EXACT(B117,$A:$A),0)),"")</f>
        <v>115</v>
      </c>
      <c r="D117" s="38" t="s">
        <v>97</v>
      </c>
      <c r="E117" s="48" cm="1">
        <f t="array" ref="E117">IF($R117,INDEX($S:$S,MATCH(TRUE,EXACT(D117,$A:$A),0)),"")</f>
        <v>116</v>
      </c>
      <c r="F117" s="38" t="s">
        <v>98</v>
      </c>
      <c r="G117" s="48" cm="1">
        <f t="array" ref="G117">IF($S117&lt;&gt;"",INDEX($S:$S,MATCH(TRUE,EXACT(F117,$A:$A),0)),"")</f>
        <v>117</v>
      </c>
      <c r="H117" s="38" t="s">
        <v>97</v>
      </c>
      <c r="I117" s="48" cm="1">
        <f t="array" ref="I117">IF($R117,INDEX($S:$S,MATCH(TRUE,EXACT(H117,$A:$A),0)),"")</f>
        <v>116</v>
      </c>
      <c r="J117" s="38" t="s">
        <v>99</v>
      </c>
      <c r="K117" s="52" cm="1">
        <f t="array" ref="K117">IF($R117,INDEX($S:$S,MATCH(TRUE,EXACT(J117,$A:$A),0)),"")</f>
        <v>118</v>
      </c>
      <c r="L117" s="38" t="str" cm="1">
        <f t="array" ref="L117">IF($R117,INDEX($T:$T,MATCH(TRUE,EXACT(H117,$D:$D),0)),"")</f>
        <v>¶</v>
      </c>
      <c r="M117" s="48" cm="1">
        <f t="array" ref="M117">IF($R117,INDEX($S:$S,MATCH(TRUE,EXACT(L117,$A:$A),0)),"")</f>
        <v>115</v>
      </c>
      <c r="N117" s="38" t="str" cm="1">
        <f t="array" ref="N117">IF($R117,INDEX($T:$T,MATCH(TRUE,EXACT(J117,$D:$D),0)),"")</f>
        <v>¹</v>
      </c>
      <c r="O117" s="52" cm="1">
        <f t="array" ref="O117">IF($R117,INDEX($S:$S,MATCH(TRUE,EXACT(N117,$A:$A),0)),"")</f>
        <v>117</v>
      </c>
      <c r="P117" s="23"/>
      <c r="Q117" s="33"/>
      <c r="R117" s="18" t="b">
        <f t="shared" si="16"/>
        <v>1</v>
      </c>
      <c r="S117" s="19">
        <f>IF(R117, MAX(S$2:S116)+1,"")</f>
        <v>115</v>
      </c>
      <c r="T117" s="23" t="str">
        <f t="shared" si="17"/>
        <v>¶</v>
      </c>
      <c r="U117" s="8" t="str" cm="1">
        <f t="array" ref="U117">CharToUTF8(A117)</f>
        <v>\xC2\xB6</v>
      </c>
      <c r="W117" s="18" t="str">
        <f>$AU$9</f>
        <v>ORTHO_LEFT</v>
      </c>
      <c r="X117" s="24" t="str">
        <f>$AU$9</f>
        <v>ORTHO_LEFT</v>
      </c>
      <c r="Y117" s="24" t="str">
        <f>$AU$8</f>
        <v>ORTHO_DOWN</v>
      </c>
      <c r="Z117" s="21" t="str">
        <f>$AU$8</f>
        <v>ORTHO_DOWN</v>
      </c>
      <c r="AB117" s="31" t="b">
        <f t="shared" si="18"/>
        <v>0</v>
      </c>
      <c r="AC117" s="31" t="b">
        <f t="shared" si="19"/>
        <v>0</v>
      </c>
      <c r="AD117" t="b">
        <f t="shared" si="20"/>
        <v>0</v>
      </c>
      <c r="AE117" t="b">
        <f t="shared" si="21"/>
        <v>0</v>
      </c>
      <c r="AF117" t="b">
        <f>IF($R117,W117=VLOOKUP(Z117,$AU$2:$AZ$10,3,FALSE),"")</f>
        <v>1</v>
      </c>
      <c r="AG117" t="b">
        <f>IF($R117,X117=VLOOKUP(Y117,$AU$2:$AZ$10,3,FALSE),"")</f>
        <v>1</v>
      </c>
      <c r="AH117" t="b">
        <f>IF($R117,Y117=VLOOKUP(W117,$AU$2:$AZ$10,3,FALSE),"")</f>
        <v>0</v>
      </c>
      <c r="AI117" t="b">
        <f>IF($R117,Z117=VLOOKUP(X117,$AU$2:$AZ$10,3,FALSE),"")</f>
        <v>0</v>
      </c>
      <c r="AJ117" t="b">
        <f>IF($R117,W117=VLOOKUP(W117,$AU$2:$AZ$10,4,FALSE),"")</f>
        <v>0</v>
      </c>
      <c r="AK117" t="b">
        <f>IF($R117,X117=VLOOKUP(X117,$AU$2:$AZ$10,4,FALSE),"")</f>
        <v>0</v>
      </c>
      <c r="AL117" t="b">
        <f>IF($R117,Y117=VLOOKUP(Y117,$AU$2:$AZ$10,4,FALSE),"")</f>
        <v>0</v>
      </c>
      <c r="AM117" t="b">
        <f>IF($R117,Z117=VLOOKUP(Z117,$AU$2:$AZ$10,4,FALSE),"")</f>
        <v>0</v>
      </c>
      <c r="AN117" t="b">
        <f>IF($R117,W117=VLOOKUP(W117,$AU$2:$AZ$10,5,FALSE),"")</f>
        <v>1</v>
      </c>
      <c r="AO117" t="b">
        <f>IF($R117,X117=VLOOKUP(X117,$AU$2:$AZ$10,5,FALSE),"")</f>
        <v>1</v>
      </c>
      <c r="AP117" t="b">
        <f>IF($R117,Y117=VLOOKUP(Y117,$AU$2:$AZ$10,6,FALSE),"")</f>
        <v>1</v>
      </c>
      <c r="AQ117" t="b">
        <f>IF($R117,Z117=VLOOKUP(Z117,$AU$2:$AZ$10,6,FALSE),"")</f>
        <v>1</v>
      </c>
      <c r="AR117" t="b">
        <f t="shared" si="22"/>
        <v>1</v>
      </c>
      <c r="AS117" t="b">
        <f t="shared" si="23"/>
        <v>0</v>
      </c>
      <c r="BD117" s="59" t="str">
        <f t="shared" si="24"/>
        <v xml:space="preserve">    { wxString::FromUTF8("\xC2\xB6"), &amp;AllGlyphs[116], &amp;AllGlyphs[117], &amp;AllGlyphs[116], &amp;AllGlyphs[118], &amp;AllGlyphs[115], &amp;AllGlyphs[117], Connection::ORTHO_LEFT, Connection::ORTHO_LEFT, Connection::ORTHO_DOWN, Connection::ORTHO_DOWN, 0, 0, 0, 0, 1, 0 },</v>
      </c>
      <c r="BE117" s="60"/>
      <c r="BF117" s="60"/>
      <c r="BG117" s="60"/>
      <c r="BH117" s="60"/>
      <c r="BI117" s="60"/>
      <c r="BJ117" s="60"/>
      <c r="BK117" s="61"/>
      <c r="BM117" s="54" t="str">
        <f>IF($R117,"&amp;AllGlyphs[" &amp; E117 &amp; "]","")</f>
        <v>&amp;AllGlyphs[116]</v>
      </c>
      <c r="BN117" s="54" t="str">
        <f>IF($R117,"&amp;AllGlyphs[" &amp; G117 &amp; "]","")</f>
        <v>&amp;AllGlyphs[117]</v>
      </c>
      <c r="BO117" s="54" t="str">
        <f>IF($R117,"&amp;AllGlyphs[" &amp; I117 &amp; "]","")</f>
        <v>&amp;AllGlyphs[116]</v>
      </c>
      <c r="BP117" s="54" t="str">
        <f>IF($R117,"&amp;AllGlyphs[" &amp; K117 &amp; "]","")</f>
        <v>&amp;AllGlyphs[118]</v>
      </c>
      <c r="BQ117" s="54" t="str">
        <f>IF($R117,"&amp;AllGlyphs[" &amp; M117 &amp; "]","")</f>
        <v>&amp;AllGlyphs[115]</v>
      </c>
      <c r="BR117" s="54" t="str">
        <f>IF($R117,"&amp;AllGlyphs[" &amp; O117 &amp; "]","")</f>
        <v>&amp;AllGlyphs[117]</v>
      </c>
      <c r="BT117" s="58">
        <f>IF($R117,IF(AB117,1,0),"")</f>
        <v>0</v>
      </c>
      <c r="BU117" s="58">
        <f>IF($R117,IF(AC117,1,0),"")</f>
        <v>0</v>
      </c>
      <c r="BV117" s="58">
        <f>IF($R117,IF(AD117,1,0),"")</f>
        <v>0</v>
      </c>
      <c r="BW117" s="58">
        <f>IF($R117,IF(AE117,1,0),"")</f>
        <v>0</v>
      </c>
      <c r="BX117" s="58">
        <f>IF($R117,IF(AR117,1,0),"")</f>
        <v>1</v>
      </c>
      <c r="BY117" s="58">
        <f>IF($R117,IF(AS117,1,0),"")</f>
        <v>0</v>
      </c>
    </row>
    <row r="118" spans="1:77" x14ac:dyDescent="0.4">
      <c r="A118" s="7" t="s">
        <v>97</v>
      </c>
      <c r="B118" s="6" t="str">
        <f t="shared" si="15"/>
        <v>¸</v>
      </c>
      <c r="C118" s="48" cm="1">
        <f t="array" ref="C118">IF($R118,INDEX($S:$S,MATCH(TRUE,EXACT(B118,$A:$A),0)),"")</f>
        <v>116</v>
      </c>
      <c r="D118" s="38" t="s">
        <v>98</v>
      </c>
      <c r="E118" s="48" cm="1">
        <f t="array" ref="E118">IF($R118,INDEX($S:$S,MATCH(TRUE,EXACT(D118,$A:$A),0)),"")</f>
        <v>117</v>
      </c>
      <c r="F118" s="38" t="s">
        <v>99</v>
      </c>
      <c r="G118" s="48" cm="1">
        <f t="array" ref="G118">IF($S118&lt;&gt;"",INDEX($S:$S,MATCH(TRUE,EXACT(F118,$A:$A),0)),"")</f>
        <v>118</v>
      </c>
      <c r="H118" s="38" t="s">
        <v>96</v>
      </c>
      <c r="I118" s="48" cm="1">
        <f t="array" ref="I118">IF($R118,INDEX($S:$S,MATCH(TRUE,EXACT(H118,$A:$A),0)),"")</f>
        <v>115</v>
      </c>
      <c r="J118" s="38" t="s">
        <v>98</v>
      </c>
      <c r="K118" s="52" cm="1">
        <f t="array" ref="K118">IF($R118,INDEX($S:$S,MATCH(TRUE,EXACT(J118,$A:$A),0)),"")</f>
        <v>117</v>
      </c>
      <c r="L118" s="38" t="str" cm="1">
        <f t="array" ref="L118">IF($R118,INDEX($T:$T,MATCH(TRUE,EXACT(H118,$D:$D),0)),"")</f>
        <v>º</v>
      </c>
      <c r="M118" s="48" cm="1">
        <f t="array" ref="M118">IF($R118,INDEX($S:$S,MATCH(TRUE,EXACT(L118,$A:$A),0)),"")</f>
        <v>118</v>
      </c>
      <c r="N118" s="38" t="str" cm="1">
        <f t="array" ref="N118">IF($R118,INDEX($T:$T,MATCH(TRUE,EXACT(J118,$D:$D),0)),"")</f>
        <v>¸</v>
      </c>
      <c r="O118" s="52" cm="1">
        <f t="array" ref="O118">IF($R118,INDEX($S:$S,MATCH(TRUE,EXACT(N118,$A:$A),0)),"")</f>
        <v>116</v>
      </c>
      <c r="P118" s="23"/>
      <c r="Q118" s="33"/>
      <c r="R118" s="18" t="b">
        <f t="shared" si="16"/>
        <v>1</v>
      </c>
      <c r="S118" s="19">
        <f>IF(R118, MAX(S$2:S117)+1,"")</f>
        <v>116</v>
      </c>
      <c r="T118" s="23" t="str">
        <f t="shared" si="17"/>
        <v>¸</v>
      </c>
      <c r="U118" s="8" t="str" cm="1">
        <f t="array" ref="U118">CharToUTF8(A118)</f>
        <v>\xC2\xB8</v>
      </c>
      <c r="W118" s="18" t="str">
        <f>$AU$9</f>
        <v>ORTHO_LEFT</v>
      </c>
      <c r="X118" s="24" t="str">
        <f>$AU$9</f>
        <v>ORTHO_LEFT</v>
      </c>
      <c r="Y118" s="24" t="str">
        <f>$AU$7</f>
        <v>ORTHO_UP</v>
      </c>
      <c r="Z118" s="21" t="str">
        <f>$AU$7</f>
        <v>ORTHO_UP</v>
      </c>
      <c r="AB118" s="31" t="b">
        <f t="shared" si="18"/>
        <v>0</v>
      </c>
      <c r="AC118" s="31" t="b">
        <f t="shared" si="19"/>
        <v>0</v>
      </c>
      <c r="AD118" t="b">
        <f t="shared" si="20"/>
        <v>0</v>
      </c>
      <c r="AE118" t="b">
        <f t="shared" si="21"/>
        <v>0</v>
      </c>
      <c r="AF118" t="b">
        <f>IF($R118,W118=VLOOKUP(Z118,$AU$2:$AZ$10,3,FALSE),"")</f>
        <v>0</v>
      </c>
      <c r="AG118" t="b">
        <f>IF($R118,X118=VLOOKUP(Y118,$AU$2:$AZ$10,3,FALSE),"")</f>
        <v>0</v>
      </c>
      <c r="AH118" t="b">
        <f>IF($R118,Y118=VLOOKUP(W118,$AU$2:$AZ$10,3,FALSE),"")</f>
        <v>1</v>
      </c>
      <c r="AI118" t="b">
        <f>IF($R118,Z118=VLOOKUP(X118,$AU$2:$AZ$10,3,FALSE),"")</f>
        <v>1</v>
      </c>
      <c r="AJ118" t="b">
        <f>IF($R118,W118=VLOOKUP(W118,$AU$2:$AZ$10,4,FALSE),"")</f>
        <v>0</v>
      </c>
      <c r="AK118" t="b">
        <f>IF($R118,X118=VLOOKUP(X118,$AU$2:$AZ$10,4,FALSE),"")</f>
        <v>0</v>
      </c>
      <c r="AL118" t="b">
        <f>IF($R118,Y118=VLOOKUP(Y118,$AU$2:$AZ$10,4,FALSE),"")</f>
        <v>0</v>
      </c>
      <c r="AM118" t="b">
        <f>IF($R118,Z118=VLOOKUP(Z118,$AU$2:$AZ$10,4,FALSE),"")</f>
        <v>0</v>
      </c>
      <c r="AN118" t="b">
        <f>IF($R118,W118=VLOOKUP(W118,$AU$2:$AZ$10,5,FALSE),"")</f>
        <v>1</v>
      </c>
      <c r="AO118" t="b">
        <f>IF($R118,X118=VLOOKUP(X118,$AU$2:$AZ$10,5,FALSE),"")</f>
        <v>1</v>
      </c>
      <c r="AP118" t="b">
        <f>IF($R118,Y118=VLOOKUP(Y118,$AU$2:$AZ$10,6,FALSE),"")</f>
        <v>1</v>
      </c>
      <c r="AQ118" t="b">
        <f>IF($R118,Z118=VLOOKUP(Z118,$AU$2:$AZ$10,6,FALSE),"")</f>
        <v>1</v>
      </c>
      <c r="AR118" t="b">
        <f t="shared" si="22"/>
        <v>0</v>
      </c>
      <c r="AS118" t="b">
        <f t="shared" si="23"/>
        <v>1</v>
      </c>
      <c r="BD118" s="59" t="str">
        <f t="shared" si="24"/>
        <v xml:space="preserve">    { wxString::FromUTF8("\xC2\xB8"), &amp;AllGlyphs[117], &amp;AllGlyphs[118], &amp;AllGlyphs[115], &amp;AllGlyphs[117], &amp;AllGlyphs[118], &amp;AllGlyphs[116], Connection::ORTHO_LEFT, Connection::ORTHO_LEFT, Connection::ORTHO_UP, Connection::ORTHO_UP, 0, 0, 0, 0, 0, 1 },</v>
      </c>
      <c r="BE118" s="60"/>
      <c r="BF118" s="60"/>
      <c r="BG118" s="60"/>
      <c r="BH118" s="60"/>
      <c r="BI118" s="60"/>
      <c r="BJ118" s="60"/>
      <c r="BK118" s="61"/>
      <c r="BM118" s="54" t="str">
        <f>IF($R118,"&amp;AllGlyphs[" &amp; E118 &amp; "]","")</f>
        <v>&amp;AllGlyphs[117]</v>
      </c>
      <c r="BN118" s="54" t="str">
        <f>IF($R118,"&amp;AllGlyphs[" &amp; G118 &amp; "]","")</f>
        <v>&amp;AllGlyphs[118]</v>
      </c>
      <c r="BO118" s="54" t="str">
        <f>IF($R118,"&amp;AllGlyphs[" &amp; I118 &amp; "]","")</f>
        <v>&amp;AllGlyphs[115]</v>
      </c>
      <c r="BP118" s="54" t="str">
        <f>IF($R118,"&amp;AllGlyphs[" &amp; K118 &amp; "]","")</f>
        <v>&amp;AllGlyphs[117]</v>
      </c>
      <c r="BQ118" s="54" t="str">
        <f>IF($R118,"&amp;AllGlyphs[" &amp; M118 &amp; "]","")</f>
        <v>&amp;AllGlyphs[118]</v>
      </c>
      <c r="BR118" s="54" t="str">
        <f>IF($R118,"&amp;AllGlyphs[" &amp; O118 &amp; "]","")</f>
        <v>&amp;AllGlyphs[116]</v>
      </c>
      <c r="BT118" s="58">
        <f>IF($R118,IF(AB118,1,0),"")</f>
        <v>0</v>
      </c>
      <c r="BU118" s="58">
        <f>IF($R118,IF(AC118,1,0),"")</f>
        <v>0</v>
      </c>
      <c r="BV118" s="58">
        <f>IF($R118,IF(AD118,1,0),"")</f>
        <v>0</v>
      </c>
      <c r="BW118" s="58">
        <f>IF($R118,IF(AE118,1,0),"")</f>
        <v>0</v>
      </c>
      <c r="BX118" s="58">
        <f>IF($R118,IF(AR118,1,0),"")</f>
        <v>0</v>
      </c>
      <c r="BY118" s="58">
        <f>IF($R118,IF(AS118,1,0),"")</f>
        <v>1</v>
      </c>
    </row>
    <row r="119" spans="1:77" x14ac:dyDescent="0.4">
      <c r="A119" s="7" t="s">
        <v>98</v>
      </c>
      <c r="B119" s="6" t="str">
        <f t="shared" si="15"/>
        <v>¹</v>
      </c>
      <c r="C119" s="48" cm="1">
        <f t="array" ref="C119">IF($R119,INDEX($S:$S,MATCH(TRUE,EXACT(B119,$A:$A),0)),"")</f>
        <v>117</v>
      </c>
      <c r="D119" s="38" t="s">
        <v>99</v>
      </c>
      <c r="E119" s="48" cm="1">
        <f t="array" ref="E119">IF($R119,INDEX($S:$S,MATCH(TRUE,EXACT(D119,$A:$A),0)),"")</f>
        <v>118</v>
      </c>
      <c r="F119" s="38" t="s">
        <v>96</v>
      </c>
      <c r="G119" s="48" cm="1">
        <f t="array" ref="G119">IF($S119&lt;&gt;"",INDEX($S:$S,MATCH(TRUE,EXACT(F119,$A:$A),0)),"")</f>
        <v>115</v>
      </c>
      <c r="H119" s="38" t="s">
        <v>99</v>
      </c>
      <c r="I119" s="48" cm="1">
        <f t="array" ref="I119">IF($R119,INDEX($S:$S,MATCH(TRUE,EXACT(H119,$A:$A),0)),"")</f>
        <v>118</v>
      </c>
      <c r="J119" s="38" t="s">
        <v>97</v>
      </c>
      <c r="K119" s="52" cm="1">
        <f t="array" ref="K119">IF($R119,INDEX($S:$S,MATCH(TRUE,EXACT(J119,$A:$A),0)),"")</f>
        <v>116</v>
      </c>
      <c r="L119" s="38" t="str" cm="1">
        <f t="array" ref="L119">IF($R119,INDEX($T:$T,MATCH(TRUE,EXACT(H119,$D:$D),0)),"")</f>
        <v>¹</v>
      </c>
      <c r="M119" s="48" cm="1">
        <f t="array" ref="M119">IF($R119,INDEX($S:$S,MATCH(TRUE,EXACT(L119,$A:$A),0)),"")</f>
        <v>117</v>
      </c>
      <c r="N119" s="38" t="str" cm="1">
        <f t="array" ref="N119">IF($R119,INDEX($T:$T,MATCH(TRUE,EXACT(J119,$D:$D),0)),"")</f>
        <v>¶</v>
      </c>
      <c r="O119" s="52" cm="1">
        <f t="array" ref="O119">IF($R119,INDEX($S:$S,MATCH(TRUE,EXACT(N119,$A:$A),0)),"")</f>
        <v>115</v>
      </c>
      <c r="P119" s="23"/>
      <c r="Q119" s="33"/>
      <c r="R119" s="18" t="b">
        <f t="shared" si="16"/>
        <v>1</v>
      </c>
      <c r="S119" s="19">
        <f>IF(R119, MAX(S$2:S118)+1,"")</f>
        <v>117</v>
      </c>
      <c r="T119" s="23" t="str">
        <f t="shared" si="17"/>
        <v>¹</v>
      </c>
      <c r="U119" s="8" t="str" cm="1">
        <f t="array" ref="U119">CharToUTF8(A119)</f>
        <v>\xC2\xB9</v>
      </c>
      <c r="W119" s="18" t="str">
        <f t="shared" ref="W119:X121" si="27">$AU$10</f>
        <v>ORTHO_RIGHT</v>
      </c>
      <c r="X119" s="24" t="str">
        <f t="shared" si="27"/>
        <v>ORTHO_RIGHT</v>
      </c>
      <c r="Y119" s="24" t="str">
        <f>$AU$7</f>
        <v>ORTHO_UP</v>
      </c>
      <c r="Z119" s="21" t="str">
        <f>$AU$7</f>
        <v>ORTHO_UP</v>
      </c>
      <c r="AB119" s="31" t="b">
        <f t="shared" si="18"/>
        <v>0</v>
      </c>
      <c r="AC119" s="31" t="b">
        <f t="shared" si="19"/>
        <v>0</v>
      </c>
      <c r="AD119" t="b">
        <f t="shared" si="20"/>
        <v>0</v>
      </c>
      <c r="AE119" t="b">
        <f t="shared" si="21"/>
        <v>0</v>
      </c>
      <c r="AF119" t="b">
        <f>IF($R119,W119=VLOOKUP(Z119,$AU$2:$AZ$10,3,FALSE),"")</f>
        <v>1</v>
      </c>
      <c r="AG119" t="b">
        <f>IF($R119,X119=VLOOKUP(Y119,$AU$2:$AZ$10,3,FALSE),"")</f>
        <v>1</v>
      </c>
      <c r="AH119" t="b">
        <f>IF($R119,Y119=VLOOKUP(W119,$AU$2:$AZ$10,3,FALSE),"")</f>
        <v>0</v>
      </c>
      <c r="AI119" t="b">
        <f>IF($R119,Z119=VLOOKUP(X119,$AU$2:$AZ$10,3,FALSE),"")</f>
        <v>0</v>
      </c>
      <c r="AJ119" t="b">
        <f>IF($R119,W119=VLOOKUP(W119,$AU$2:$AZ$10,4,FALSE),"")</f>
        <v>0</v>
      </c>
      <c r="AK119" t="b">
        <f>IF($R119,X119=VLOOKUP(X119,$AU$2:$AZ$10,4,FALSE),"")</f>
        <v>0</v>
      </c>
      <c r="AL119" t="b">
        <f>IF($R119,Y119=VLOOKUP(Y119,$AU$2:$AZ$10,4,FALSE),"")</f>
        <v>0</v>
      </c>
      <c r="AM119" t="b">
        <f>IF($R119,Z119=VLOOKUP(Z119,$AU$2:$AZ$10,4,FALSE),"")</f>
        <v>0</v>
      </c>
      <c r="AN119" t="b">
        <f>IF($R119,W119=VLOOKUP(W119,$AU$2:$AZ$10,5,FALSE),"")</f>
        <v>1</v>
      </c>
      <c r="AO119" t="b">
        <f>IF($R119,X119=VLOOKUP(X119,$AU$2:$AZ$10,5,FALSE),"")</f>
        <v>1</v>
      </c>
      <c r="AP119" t="b">
        <f>IF($R119,Y119=VLOOKUP(Y119,$AU$2:$AZ$10,6,FALSE),"")</f>
        <v>1</v>
      </c>
      <c r="AQ119" t="b">
        <f>IF($R119,Z119=VLOOKUP(Z119,$AU$2:$AZ$10,6,FALSE),"")</f>
        <v>1</v>
      </c>
      <c r="AR119" t="b">
        <f t="shared" si="22"/>
        <v>1</v>
      </c>
      <c r="AS119" t="b">
        <f t="shared" si="23"/>
        <v>0</v>
      </c>
      <c r="BD119" s="59" t="str">
        <f t="shared" si="24"/>
        <v xml:space="preserve">    { wxString::FromUTF8("\xC2\xB9"), &amp;AllGlyphs[118], &amp;AllGlyphs[115], &amp;AllGlyphs[118], &amp;AllGlyphs[116], &amp;AllGlyphs[117], &amp;AllGlyphs[115], Connection::ORTHO_RIGHT, Connection::ORTHO_RIGHT, Connection::ORTHO_UP, Connection::ORTHO_UP, 0, 0, 0, 0, 1, 0 },</v>
      </c>
      <c r="BE119" s="60"/>
      <c r="BF119" s="60"/>
      <c r="BG119" s="60"/>
      <c r="BH119" s="60"/>
      <c r="BI119" s="60"/>
      <c r="BJ119" s="60"/>
      <c r="BK119" s="61"/>
      <c r="BM119" s="54" t="str">
        <f>IF($R119,"&amp;AllGlyphs[" &amp; E119 &amp; "]","")</f>
        <v>&amp;AllGlyphs[118]</v>
      </c>
      <c r="BN119" s="54" t="str">
        <f>IF($R119,"&amp;AllGlyphs[" &amp; G119 &amp; "]","")</f>
        <v>&amp;AllGlyphs[115]</v>
      </c>
      <c r="BO119" s="54" t="str">
        <f>IF($R119,"&amp;AllGlyphs[" &amp; I119 &amp; "]","")</f>
        <v>&amp;AllGlyphs[118]</v>
      </c>
      <c r="BP119" s="54" t="str">
        <f>IF($R119,"&amp;AllGlyphs[" &amp; K119 &amp; "]","")</f>
        <v>&amp;AllGlyphs[116]</v>
      </c>
      <c r="BQ119" s="54" t="str">
        <f>IF($R119,"&amp;AllGlyphs[" &amp; M119 &amp; "]","")</f>
        <v>&amp;AllGlyphs[117]</v>
      </c>
      <c r="BR119" s="54" t="str">
        <f>IF($R119,"&amp;AllGlyphs[" &amp; O119 &amp; "]","")</f>
        <v>&amp;AllGlyphs[115]</v>
      </c>
      <c r="BT119" s="58">
        <f>IF($R119,IF(AB119,1,0),"")</f>
        <v>0</v>
      </c>
      <c r="BU119" s="58">
        <f>IF($R119,IF(AC119,1,0),"")</f>
        <v>0</v>
      </c>
      <c r="BV119" s="58">
        <f>IF($R119,IF(AD119,1,0),"")</f>
        <v>0</v>
      </c>
      <c r="BW119" s="58">
        <f>IF($R119,IF(AE119,1,0),"")</f>
        <v>0</v>
      </c>
      <c r="BX119" s="58">
        <f>IF($R119,IF(AR119,1,0),"")</f>
        <v>1</v>
      </c>
      <c r="BY119" s="58">
        <f>IF($R119,IF(AS119,1,0),"")</f>
        <v>0</v>
      </c>
    </row>
    <row r="120" spans="1:77" x14ac:dyDescent="0.4">
      <c r="A120" s="7" t="s">
        <v>99</v>
      </c>
      <c r="B120" s="6" t="str">
        <f t="shared" si="15"/>
        <v>º</v>
      </c>
      <c r="C120" s="48" cm="1">
        <f t="array" ref="C120">IF($R120,INDEX($S:$S,MATCH(TRUE,EXACT(B120,$A:$A),0)),"")</f>
        <v>118</v>
      </c>
      <c r="D120" s="38" t="s">
        <v>96</v>
      </c>
      <c r="E120" s="48" cm="1">
        <f t="array" ref="E120">IF($R120,INDEX($S:$S,MATCH(TRUE,EXACT(D120,$A:$A),0)),"")</f>
        <v>115</v>
      </c>
      <c r="F120" s="38" t="s">
        <v>97</v>
      </c>
      <c r="G120" s="48" cm="1">
        <f t="array" ref="G120">IF($S120&lt;&gt;"",INDEX($S:$S,MATCH(TRUE,EXACT(F120,$A:$A),0)),"")</f>
        <v>116</v>
      </c>
      <c r="H120" s="38" t="s">
        <v>98</v>
      </c>
      <c r="I120" s="48" cm="1">
        <f t="array" ref="I120">IF($R120,INDEX($S:$S,MATCH(TRUE,EXACT(H120,$A:$A),0)),"")</f>
        <v>117</v>
      </c>
      <c r="J120" s="38" t="s">
        <v>96</v>
      </c>
      <c r="K120" s="52" cm="1">
        <f t="array" ref="K120">IF($R120,INDEX($S:$S,MATCH(TRUE,EXACT(J120,$A:$A),0)),"")</f>
        <v>115</v>
      </c>
      <c r="L120" s="38" t="str" cm="1">
        <f t="array" ref="L120">IF($R120,INDEX($T:$T,MATCH(TRUE,EXACT(H120,$D:$D),0)),"")</f>
        <v>¸</v>
      </c>
      <c r="M120" s="48" cm="1">
        <f t="array" ref="M120">IF($R120,INDEX($S:$S,MATCH(TRUE,EXACT(L120,$A:$A),0)),"")</f>
        <v>116</v>
      </c>
      <c r="N120" s="38" t="str" cm="1">
        <f t="array" ref="N120">IF($R120,INDEX($T:$T,MATCH(TRUE,EXACT(J120,$D:$D),0)),"")</f>
        <v>º</v>
      </c>
      <c r="O120" s="52" cm="1">
        <f t="array" ref="O120">IF($R120,INDEX($S:$S,MATCH(TRUE,EXACT(N120,$A:$A),0)),"")</f>
        <v>118</v>
      </c>
      <c r="P120" s="23"/>
      <c r="Q120" s="33"/>
      <c r="R120" s="18" t="b">
        <f t="shared" si="16"/>
        <v>1</v>
      </c>
      <c r="S120" s="19">
        <f>IF(R120, MAX(S$2:S119)+1,"")</f>
        <v>118</v>
      </c>
      <c r="T120" s="23" t="str">
        <f t="shared" si="17"/>
        <v>º</v>
      </c>
      <c r="U120" s="8" t="str" cm="1">
        <f t="array" ref="U120">CharToUTF8(A120)</f>
        <v>\xC2\xBA</v>
      </c>
      <c r="W120" s="18" t="str">
        <f t="shared" si="27"/>
        <v>ORTHO_RIGHT</v>
      </c>
      <c r="X120" s="24" t="str">
        <f t="shared" si="27"/>
        <v>ORTHO_RIGHT</v>
      </c>
      <c r="Y120" s="24" t="str">
        <f>$AU$8</f>
        <v>ORTHO_DOWN</v>
      </c>
      <c r="Z120" s="21" t="str">
        <f>$AU$8</f>
        <v>ORTHO_DOWN</v>
      </c>
      <c r="AB120" s="31" t="b">
        <f t="shared" si="18"/>
        <v>0</v>
      </c>
      <c r="AC120" s="31" t="b">
        <f t="shared" si="19"/>
        <v>0</v>
      </c>
      <c r="AD120" t="b">
        <f t="shared" si="20"/>
        <v>0</v>
      </c>
      <c r="AE120" t="b">
        <f t="shared" si="21"/>
        <v>0</v>
      </c>
      <c r="AF120" t="b">
        <f>IF($R120,W120=VLOOKUP(Z120,$AU$2:$AZ$10,3,FALSE),"")</f>
        <v>0</v>
      </c>
      <c r="AG120" t="b">
        <f>IF($R120,X120=VLOOKUP(Y120,$AU$2:$AZ$10,3,FALSE),"")</f>
        <v>0</v>
      </c>
      <c r="AH120" t="b">
        <f>IF($R120,Y120=VLOOKUP(W120,$AU$2:$AZ$10,3,FALSE),"")</f>
        <v>1</v>
      </c>
      <c r="AI120" t="b">
        <f>IF($R120,Z120=VLOOKUP(X120,$AU$2:$AZ$10,3,FALSE),"")</f>
        <v>1</v>
      </c>
      <c r="AJ120" t="b">
        <f>IF($R120,W120=VLOOKUP(W120,$AU$2:$AZ$10,4,FALSE),"")</f>
        <v>0</v>
      </c>
      <c r="AK120" t="b">
        <f>IF($R120,X120=VLOOKUP(X120,$AU$2:$AZ$10,4,FALSE),"")</f>
        <v>0</v>
      </c>
      <c r="AL120" t="b">
        <f>IF($R120,Y120=VLOOKUP(Y120,$AU$2:$AZ$10,4,FALSE),"")</f>
        <v>0</v>
      </c>
      <c r="AM120" t="b">
        <f>IF($R120,Z120=VLOOKUP(Z120,$AU$2:$AZ$10,4,FALSE),"")</f>
        <v>0</v>
      </c>
      <c r="AN120" t="b">
        <f>IF($R120,W120=VLOOKUP(W120,$AU$2:$AZ$10,5,FALSE),"")</f>
        <v>1</v>
      </c>
      <c r="AO120" t="b">
        <f>IF($R120,X120=VLOOKUP(X120,$AU$2:$AZ$10,5,FALSE),"")</f>
        <v>1</v>
      </c>
      <c r="AP120" t="b">
        <f>IF($R120,Y120=VLOOKUP(Y120,$AU$2:$AZ$10,6,FALSE),"")</f>
        <v>1</v>
      </c>
      <c r="AQ120" t="b">
        <f>IF($R120,Z120=VLOOKUP(Z120,$AU$2:$AZ$10,6,FALSE),"")</f>
        <v>1</v>
      </c>
      <c r="AR120" t="b">
        <f t="shared" si="22"/>
        <v>0</v>
      </c>
      <c r="AS120" t="b">
        <f t="shared" si="23"/>
        <v>1</v>
      </c>
      <c r="BD120" s="59" t="str">
        <f t="shared" si="24"/>
        <v xml:space="preserve">    { wxString::FromUTF8("\xC2\xBA"), &amp;AllGlyphs[115], &amp;AllGlyphs[116], &amp;AllGlyphs[117], &amp;AllGlyphs[115], &amp;AllGlyphs[116], &amp;AllGlyphs[118], Connection::ORTHO_RIGHT, Connection::ORTHO_RIGHT, Connection::ORTHO_DOWN, Connection::ORTHO_DOWN, 0, 0, 0, 0, 0, 1 },</v>
      </c>
      <c r="BE120" s="60"/>
      <c r="BF120" s="60"/>
      <c r="BG120" s="60"/>
      <c r="BH120" s="60"/>
      <c r="BI120" s="60"/>
      <c r="BJ120" s="60"/>
      <c r="BK120" s="61"/>
      <c r="BM120" s="54" t="str">
        <f>IF($R120,"&amp;AllGlyphs[" &amp; E120 &amp; "]","")</f>
        <v>&amp;AllGlyphs[115]</v>
      </c>
      <c r="BN120" s="54" t="str">
        <f>IF($R120,"&amp;AllGlyphs[" &amp; G120 &amp; "]","")</f>
        <v>&amp;AllGlyphs[116]</v>
      </c>
      <c r="BO120" s="54" t="str">
        <f>IF($R120,"&amp;AllGlyphs[" &amp; I120 &amp; "]","")</f>
        <v>&amp;AllGlyphs[117]</v>
      </c>
      <c r="BP120" s="54" t="str">
        <f>IF($R120,"&amp;AllGlyphs[" &amp; K120 &amp; "]","")</f>
        <v>&amp;AllGlyphs[115]</v>
      </c>
      <c r="BQ120" s="54" t="str">
        <f>IF($R120,"&amp;AllGlyphs[" &amp; M120 &amp; "]","")</f>
        <v>&amp;AllGlyphs[116]</v>
      </c>
      <c r="BR120" s="54" t="str">
        <f>IF($R120,"&amp;AllGlyphs[" &amp; O120 &amp; "]","")</f>
        <v>&amp;AllGlyphs[118]</v>
      </c>
      <c r="BT120" s="58">
        <f>IF($R120,IF(AB120,1,0),"")</f>
        <v>0</v>
      </c>
      <c r="BU120" s="58">
        <f>IF($R120,IF(AC120,1,0),"")</f>
        <v>0</v>
      </c>
      <c r="BV120" s="58">
        <f>IF($R120,IF(AD120,1,0),"")</f>
        <v>0</v>
      </c>
      <c r="BW120" s="58">
        <f>IF($R120,IF(AE120,1,0),"")</f>
        <v>0</v>
      </c>
      <c r="BX120" s="58">
        <f>IF($R120,IF(AR120,1,0),"")</f>
        <v>0</v>
      </c>
      <c r="BY120" s="58">
        <f>IF($R120,IF(AS120,1,0),"")</f>
        <v>1</v>
      </c>
    </row>
    <row r="121" spans="1:77" x14ac:dyDescent="0.4">
      <c r="A121" s="7" t="s">
        <v>100</v>
      </c>
      <c r="B121" s="6" t="str">
        <f t="shared" si="15"/>
        <v>»</v>
      </c>
      <c r="C121" s="48" cm="1">
        <f t="array" ref="C121">IF($R121,INDEX($S:$S,MATCH(TRUE,EXACT(B121,$A:$A),0)),"")</f>
        <v>119</v>
      </c>
      <c r="D121" s="38" t="s">
        <v>103</v>
      </c>
      <c r="E121" s="48" cm="1">
        <f t="array" ref="E121">IF($R121,INDEX($S:$S,MATCH(TRUE,EXACT(D121,$A:$A),0)),"")</f>
        <v>122</v>
      </c>
      <c r="F121" s="38" t="s">
        <v>101</v>
      </c>
      <c r="G121" s="48" cm="1">
        <f t="array" ref="G121">IF($S121&lt;&gt;"",INDEX($S:$S,MATCH(TRUE,EXACT(F121,$A:$A),0)),"")</f>
        <v>120</v>
      </c>
      <c r="H121" s="38" t="s">
        <v>100</v>
      </c>
      <c r="I121" s="48" cm="1">
        <f t="array" ref="I121">IF($R121,INDEX($S:$S,MATCH(TRUE,EXACT(H121,$A:$A),0)),"")</f>
        <v>119</v>
      </c>
      <c r="J121" s="38" t="s">
        <v>101</v>
      </c>
      <c r="K121" s="52" cm="1">
        <f t="array" ref="K121">IF($R121,INDEX($S:$S,MATCH(TRUE,EXACT(J121,$A:$A),0)),"")</f>
        <v>120</v>
      </c>
      <c r="L121" s="38" t="str" cm="1">
        <f t="array" ref="L121">IF($R121,INDEX($T:$T,MATCH(TRUE,EXACT(H121,$D:$D),0)),"")</f>
        <v>½</v>
      </c>
      <c r="M121" s="48" cm="1">
        <f t="array" ref="M121">IF($R121,INDEX($S:$S,MATCH(TRUE,EXACT(L121,$A:$A),0)),"")</f>
        <v>121</v>
      </c>
      <c r="N121" s="38" t="str" cm="1">
        <f t="array" ref="N121">IF($R121,INDEX($T:$T,MATCH(TRUE,EXACT(J121,$D:$D),0)),"")</f>
        <v>¾</v>
      </c>
      <c r="O121" s="52" cm="1">
        <f t="array" ref="O121">IF($R121,INDEX($S:$S,MATCH(TRUE,EXACT(N121,$A:$A),0)),"")</f>
        <v>122</v>
      </c>
      <c r="P121" s="23"/>
      <c r="Q121" s="33"/>
      <c r="R121" s="18" t="b">
        <f t="shared" si="16"/>
        <v>1</v>
      </c>
      <c r="S121" s="19">
        <f>IF(R121, MAX(S$2:S120)+1,"")</f>
        <v>119</v>
      </c>
      <c r="T121" s="23" t="str">
        <f t="shared" si="17"/>
        <v>»</v>
      </c>
      <c r="U121" s="8" t="str" cm="1">
        <f t="array" ref="U121">CharToUTF8(A121)</f>
        <v>\xC2\xBB</v>
      </c>
      <c r="W121" s="18" t="str">
        <f t="shared" si="27"/>
        <v>ORTHO_RIGHT</v>
      </c>
      <c r="X121" s="24" t="str">
        <f t="shared" si="27"/>
        <v>ORTHO_RIGHT</v>
      </c>
      <c r="Y121" s="24" t="str">
        <f>$AU$2</f>
        <v>EMPTY</v>
      </c>
      <c r="Z121" s="21" t="str">
        <f>$AU$3</f>
        <v>DIAG_BOTH</v>
      </c>
      <c r="AB121" s="31" t="b">
        <f t="shared" si="18"/>
        <v>0</v>
      </c>
      <c r="AC121" s="31" t="b">
        <f t="shared" si="19"/>
        <v>0</v>
      </c>
      <c r="AD121" t="b">
        <f t="shared" si="20"/>
        <v>1</v>
      </c>
      <c r="AE121" t="b">
        <f t="shared" si="21"/>
        <v>0</v>
      </c>
      <c r="AF121" t="b">
        <f>IF($R121,W121=VLOOKUP(Z121,$AU$2:$AZ$10,3,FALSE),"")</f>
        <v>0</v>
      </c>
      <c r="AG121" t="b">
        <f>IF($R121,X121=VLOOKUP(Y121,$AU$2:$AZ$10,3,FALSE),"")</f>
        <v>0</v>
      </c>
      <c r="AH121" t="b">
        <f>IF($R121,Y121=VLOOKUP(W121,$AU$2:$AZ$10,3,FALSE),"")</f>
        <v>0</v>
      </c>
      <c r="AI121" t="b">
        <f>IF($R121,Z121=VLOOKUP(X121,$AU$2:$AZ$10,3,FALSE),"")</f>
        <v>0</v>
      </c>
      <c r="AJ121" t="b">
        <f>IF($R121,W121=VLOOKUP(W121,$AU$2:$AZ$10,4,FALSE),"")</f>
        <v>0</v>
      </c>
      <c r="AK121" t="b">
        <f>IF($R121,X121=VLOOKUP(X121,$AU$2:$AZ$10,4,FALSE),"")</f>
        <v>0</v>
      </c>
      <c r="AL121" t="b">
        <f>IF($R121,Y121=VLOOKUP(Y121,$AU$2:$AZ$10,4,FALSE),"")</f>
        <v>1</v>
      </c>
      <c r="AM121" t="b">
        <f>IF($R121,Z121=VLOOKUP(Z121,$AU$2:$AZ$10,4,FALSE),"")</f>
        <v>1</v>
      </c>
      <c r="AN121" t="b">
        <f>IF($R121,W121=VLOOKUP(W121,$AU$2:$AZ$10,5,FALSE),"")</f>
        <v>1</v>
      </c>
      <c r="AO121" t="b">
        <f>IF($R121,X121=VLOOKUP(X121,$AU$2:$AZ$10,5,FALSE),"")</f>
        <v>1</v>
      </c>
      <c r="AP121" t="b">
        <f>IF($R121,Y121=VLOOKUP(Y121,$AU$2:$AZ$10,6,FALSE),"")</f>
        <v>1</v>
      </c>
      <c r="AQ121" t="b">
        <f>IF($R121,Z121=VLOOKUP(Z121,$AU$2:$AZ$10,6,FALSE),"")</f>
        <v>1</v>
      </c>
      <c r="AR121" t="b">
        <f t="shared" si="22"/>
        <v>0</v>
      </c>
      <c r="AS121" t="b">
        <f t="shared" si="23"/>
        <v>0</v>
      </c>
      <c r="BD121" s="59" t="str">
        <f t="shared" si="24"/>
        <v xml:space="preserve">    { wxString::FromUTF8("\xC2\xBB"), &amp;AllGlyphs[122], &amp;AllGlyphs[120], &amp;AllGlyphs[119], &amp;AllGlyphs[120], &amp;AllGlyphs[121], &amp;AllGlyphs[122], Connection::ORTHO_RIGHT, Connection::ORTHO_RIGHT, Connection::EMPTY, Connection::DIAG_BOTH, 0, 0, 1, 0, 0, 0 },</v>
      </c>
      <c r="BE121" s="60"/>
      <c r="BF121" s="60"/>
      <c r="BG121" s="60"/>
      <c r="BH121" s="60"/>
      <c r="BI121" s="60"/>
      <c r="BJ121" s="60"/>
      <c r="BK121" s="61"/>
      <c r="BM121" s="54" t="str">
        <f>IF($R121,"&amp;AllGlyphs[" &amp; E121 &amp; "]","")</f>
        <v>&amp;AllGlyphs[122]</v>
      </c>
      <c r="BN121" s="54" t="str">
        <f>IF($R121,"&amp;AllGlyphs[" &amp; G121 &amp; "]","")</f>
        <v>&amp;AllGlyphs[120]</v>
      </c>
      <c r="BO121" s="54" t="str">
        <f>IF($R121,"&amp;AllGlyphs[" &amp; I121 &amp; "]","")</f>
        <v>&amp;AllGlyphs[119]</v>
      </c>
      <c r="BP121" s="54" t="str">
        <f>IF($R121,"&amp;AllGlyphs[" &amp; K121 &amp; "]","")</f>
        <v>&amp;AllGlyphs[120]</v>
      </c>
      <c r="BQ121" s="54" t="str">
        <f>IF($R121,"&amp;AllGlyphs[" &amp; M121 &amp; "]","")</f>
        <v>&amp;AllGlyphs[121]</v>
      </c>
      <c r="BR121" s="54" t="str">
        <f>IF($R121,"&amp;AllGlyphs[" &amp; O121 &amp; "]","")</f>
        <v>&amp;AllGlyphs[122]</v>
      </c>
      <c r="BT121" s="58">
        <f>IF($R121,IF(AB121,1,0),"")</f>
        <v>0</v>
      </c>
      <c r="BU121" s="58">
        <f>IF($R121,IF(AC121,1,0),"")</f>
        <v>0</v>
      </c>
      <c r="BV121" s="58">
        <f>IF($R121,IF(AD121,1,0),"")</f>
        <v>1</v>
      </c>
      <c r="BW121" s="58">
        <f>IF($R121,IF(AE121,1,0),"")</f>
        <v>0</v>
      </c>
      <c r="BX121" s="58">
        <f>IF($R121,IF(AR121,1,0),"")</f>
        <v>0</v>
      </c>
      <c r="BY121" s="58">
        <f>IF($R121,IF(AS121,1,0),"")</f>
        <v>0</v>
      </c>
    </row>
    <row r="122" spans="1:77" x14ac:dyDescent="0.4">
      <c r="A122" s="7" t="s">
        <v>101</v>
      </c>
      <c r="B122" s="6" t="str">
        <f t="shared" si="15"/>
        <v>¼</v>
      </c>
      <c r="C122" s="48" cm="1">
        <f t="array" ref="C122">IF($R122,INDEX($S:$S,MATCH(TRUE,EXACT(B122,$A:$A),0)),"")</f>
        <v>120</v>
      </c>
      <c r="D122" s="38" t="s">
        <v>102</v>
      </c>
      <c r="E122" s="48" cm="1">
        <f t="array" ref="E122">IF($R122,INDEX($S:$S,MATCH(TRUE,EXACT(D122,$A:$A),0)),"")</f>
        <v>121</v>
      </c>
      <c r="F122" s="38" t="s">
        <v>100</v>
      </c>
      <c r="G122" s="48" cm="1">
        <f t="array" ref="G122">IF($S122&lt;&gt;"",INDEX($S:$S,MATCH(TRUE,EXACT(F122,$A:$A),0)),"")</f>
        <v>119</v>
      </c>
      <c r="H122" s="38" t="s">
        <v>101</v>
      </c>
      <c r="I122" s="48" cm="1">
        <f t="array" ref="I122">IF($R122,INDEX($S:$S,MATCH(TRUE,EXACT(H122,$A:$A),0)),"")</f>
        <v>120</v>
      </c>
      <c r="J122" s="38" t="s">
        <v>100</v>
      </c>
      <c r="K122" s="52" cm="1">
        <f t="array" ref="K122">IF($R122,INDEX($S:$S,MATCH(TRUE,EXACT(J122,$A:$A),0)),"")</f>
        <v>119</v>
      </c>
      <c r="L122" s="38" t="str" cm="1">
        <f t="array" ref="L122">IF($R122,INDEX($T:$T,MATCH(TRUE,EXACT(H122,$D:$D),0)),"")</f>
        <v>¾</v>
      </c>
      <c r="M122" s="48" cm="1">
        <f t="array" ref="M122">IF($R122,INDEX($S:$S,MATCH(TRUE,EXACT(L122,$A:$A),0)),"")</f>
        <v>122</v>
      </c>
      <c r="N122" s="38" t="str" cm="1">
        <f t="array" ref="N122">IF($R122,INDEX($T:$T,MATCH(TRUE,EXACT(J122,$D:$D),0)),"")</f>
        <v>½</v>
      </c>
      <c r="O122" s="52" cm="1">
        <f t="array" ref="O122">IF($R122,INDEX($S:$S,MATCH(TRUE,EXACT(N122,$A:$A),0)),"")</f>
        <v>121</v>
      </c>
      <c r="P122" s="23"/>
      <c r="Q122" s="33"/>
      <c r="R122" s="18" t="b">
        <f t="shared" si="16"/>
        <v>1</v>
      </c>
      <c r="S122" s="19">
        <f>IF(R122, MAX(S$2:S121)+1,"")</f>
        <v>120</v>
      </c>
      <c r="T122" s="23" t="str">
        <f t="shared" si="17"/>
        <v>¼</v>
      </c>
      <c r="U122" s="8" t="str" cm="1">
        <f t="array" ref="U122">CharToUTF8(A122)</f>
        <v>\xC2\xBC</v>
      </c>
      <c r="W122" s="18" t="str">
        <f>$AU$9</f>
        <v>ORTHO_LEFT</v>
      </c>
      <c r="X122" s="24" t="str">
        <f>$AU$9</f>
        <v>ORTHO_LEFT</v>
      </c>
      <c r="Y122" s="24" t="str">
        <f>$AU$3</f>
        <v>DIAG_BOTH</v>
      </c>
      <c r="Z122" s="21" t="str">
        <f>$AU$2</f>
        <v>EMPTY</v>
      </c>
      <c r="AB122" s="31" t="b">
        <f t="shared" si="18"/>
        <v>0</v>
      </c>
      <c r="AC122" s="31" t="b">
        <f t="shared" si="19"/>
        <v>0</v>
      </c>
      <c r="AD122" t="b">
        <f t="shared" si="20"/>
        <v>1</v>
      </c>
      <c r="AE122" t="b">
        <f t="shared" si="21"/>
        <v>0</v>
      </c>
      <c r="AF122" t="b">
        <f>IF($R122,W122=VLOOKUP(Z122,$AU$2:$AZ$10,3,FALSE),"")</f>
        <v>0</v>
      </c>
      <c r="AG122" t="b">
        <f>IF($R122,X122=VLOOKUP(Y122,$AU$2:$AZ$10,3,FALSE),"")</f>
        <v>0</v>
      </c>
      <c r="AH122" t="b">
        <f>IF($R122,Y122=VLOOKUP(W122,$AU$2:$AZ$10,3,FALSE),"")</f>
        <v>0</v>
      </c>
      <c r="AI122" t="b">
        <f>IF($R122,Z122=VLOOKUP(X122,$AU$2:$AZ$10,3,FALSE),"")</f>
        <v>0</v>
      </c>
      <c r="AJ122" t="b">
        <f>IF($R122,W122=VLOOKUP(W122,$AU$2:$AZ$10,4,FALSE),"")</f>
        <v>0</v>
      </c>
      <c r="AK122" t="b">
        <f>IF($R122,X122=VLOOKUP(X122,$AU$2:$AZ$10,4,FALSE),"")</f>
        <v>0</v>
      </c>
      <c r="AL122" t="b">
        <f>IF($R122,Y122=VLOOKUP(Y122,$AU$2:$AZ$10,4,FALSE),"")</f>
        <v>1</v>
      </c>
      <c r="AM122" t="b">
        <f>IF($R122,Z122=VLOOKUP(Z122,$AU$2:$AZ$10,4,FALSE),"")</f>
        <v>1</v>
      </c>
      <c r="AN122" t="b">
        <f>IF($R122,W122=VLOOKUP(W122,$AU$2:$AZ$10,5,FALSE),"")</f>
        <v>1</v>
      </c>
      <c r="AO122" t="b">
        <f>IF($R122,X122=VLOOKUP(X122,$AU$2:$AZ$10,5,FALSE),"")</f>
        <v>1</v>
      </c>
      <c r="AP122" t="b">
        <f>IF($R122,Y122=VLOOKUP(Y122,$AU$2:$AZ$10,6,FALSE),"")</f>
        <v>1</v>
      </c>
      <c r="AQ122" t="b">
        <f>IF($R122,Z122=VLOOKUP(Z122,$AU$2:$AZ$10,6,FALSE),"")</f>
        <v>1</v>
      </c>
      <c r="AR122" t="b">
        <f t="shared" si="22"/>
        <v>0</v>
      </c>
      <c r="AS122" t="b">
        <f t="shared" si="23"/>
        <v>0</v>
      </c>
      <c r="BD122" s="59" t="str">
        <f t="shared" si="24"/>
        <v xml:space="preserve">    { wxString::FromUTF8("\xC2\xBC"), &amp;AllGlyphs[121], &amp;AllGlyphs[119], &amp;AllGlyphs[120], &amp;AllGlyphs[119], &amp;AllGlyphs[122], &amp;AllGlyphs[121], Connection::ORTHO_LEFT, Connection::ORTHO_LEFT, Connection::DIAG_BOTH, Connection::EMPTY, 0, 0, 1, 0, 0, 0 },</v>
      </c>
      <c r="BE122" s="60"/>
      <c r="BF122" s="60"/>
      <c r="BG122" s="60"/>
      <c r="BH122" s="60"/>
      <c r="BI122" s="60"/>
      <c r="BJ122" s="60"/>
      <c r="BK122" s="61"/>
      <c r="BM122" s="54" t="str">
        <f>IF($R122,"&amp;AllGlyphs[" &amp; E122 &amp; "]","")</f>
        <v>&amp;AllGlyphs[121]</v>
      </c>
      <c r="BN122" s="54" t="str">
        <f>IF($R122,"&amp;AllGlyphs[" &amp; G122 &amp; "]","")</f>
        <v>&amp;AllGlyphs[119]</v>
      </c>
      <c r="BO122" s="54" t="str">
        <f>IF($R122,"&amp;AllGlyphs[" &amp; I122 &amp; "]","")</f>
        <v>&amp;AllGlyphs[120]</v>
      </c>
      <c r="BP122" s="54" t="str">
        <f>IF($R122,"&amp;AllGlyphs[" &amp; K122 &amp; "]","")</f>
        <v>&amp;AllGlyphs[119]</v>
      </c>
      <c r="BQ122" s="54" t="str">
        <f>IF($R122,"&amp;AllGlyphs[" &amp; M122 &amp; "]","")</f>
        <v>&amp;AllGlyphs[122]</v>
      </c>
      <c r="BR122" s="54" t="str">
        <f>IF($R122,"&amp;AllGlyphs[" &amp; O122 &amp; "]","")</f>
        <v>&amp;AllGlyphs[121]</v>
      </c>
      <c r="BT122" s="58">
        <f>IF($R122,IF(AB122,1,0),"")</f>
        <v>0</v>
      </c>
      <c r="BU122" s="58">
        <f>IF($R122,IF(AC122,1,0),"")</f>
        <v>0</v>
      </c>
      <c r="BV122" s="58">
        <f>IF($R122,IF(AD122,1,0),"")</f>
        <v>1</v>
      </c>
      <c r="BW122" s="58">
        <f>IF($R122,IF(AE122,1,0),"")</f>
        <v>0</v>
      </c>
      <c r="BX122" s="58">
        <f>IF($R122,IF(AR122,1,0),"")</f>
        <v>0</v>
      </c>
      <c r="BY122" s="58">
        <f>IF($R122,IF(AS122,1,0),"")</f>
        <v>0</v>
      </c>
    </row>
    <row r="123" spans="1:77" x14ac:dyDescent="0.4">
      <c r="A123" s="7" t="s">
        <v>102</v>
      </c>
      <c r="B123" s="6" t="str">
        <f t="shared" si="15"/>
        <v>½</v>
      </c>
      <c r="C123" s="48" cm="1">
        <f t="array" ref="C123">IF($R123,INDEX($S:$S,MATCH(TRUE,EXACT(B123,$A:$A),0)),"")</f>
        <v>121</v>
      </c>
      <c r="D123" s="38" t="s">
        <v>100</v>
      </c>
      <c r="E123" s="48" cm="1">
        <f t="array" ref="E123">IF($R123,INDEX($S:$S,MATCH(TRUE,EXACT(D123,$A:$A),0)),"")</f>
        <v>119</v>
      </c>
      <c r="F123" s="38" t="s">
        <v>103</v>
      </c>
      <c r="G123" s="48" cm="1">
        <f t="array" ref="G123">IF($S123&lt;&gt;"",INDEX($S:$S,MATCH(TRUE,EXACT(F123,$A:$A),0)),"")</f>
        <v>122</v>
      </c>
      <c r="H123" s="38" t="s">
        <v>103</v>
      </c>
      <c r="I123" s="48" cm="1">
        <f t="array" ref="I123">IF($R123,INDEX($S:$S,MATCH(TRUE,EXACT(H123,$A:$A),0)),"")</f>
        <v>122</v>
      </c>
      <c r="J123" s="38" t="s">
        <v>102</v>
      </c>
      <c r="K123" s="52" cm="1">
        <f t="array" ref="K123">IF($R123,INDEX($S:$S,MATCH(TRUE,EXACT(J123,$A:$A),0)),"")</f>
        <v>121</v>
      </c>
      <c r="L123" s="38" t="str" cm="1">
        <f t="array" ref="L123">IF($R123,INDEX($T:$T,MATCH(TRUE,EXACT(H123,$D:$D),0)),"")</f>
        <v>»</v>
      </c>
      <c r="M123" s="48" cm="1">
        <f t="array" ref="M123">IF($R123,INDEX($S:$S,MATCH(TRUE,EXACT(L123,$A:$A),0)),"")</f>
        <v>119</v>
      </c>
      <c r="N123" s="38" t="str" cm="1">
        <f t="array" ref="N123">IF($R123,INDEX($T:$T,MATCH(TRUE,EXACT(J123,$D:$D),0)),"")</f>
        <v>¼</v>
      </c>
      <c r="O123" s="52" cm="1">
        <f t="array" ref="O123">IF($R123,INDEX($S:$S,MATCH(TRUE,EXACT(N123,$A:$A),0)),"")</f>
        <v>120</v>
      </c>
      <c r="P123" s="23"/>
      <c r="Q123" s="33"/>
      <c r="R123" s="18" t="b">
        <f t="shared" si="16"/>
        <v>1</v>
      </c>
      <c r="S123" s="19">
        <f>IF(R123, MAX(S$2:S122)+1,"")</f>
        <v>121</v>
      </c>
      <c r="T123" s="23" t="str">
        <f t="shared" si="17"/>
        <v>½</v>
      </c>
      <c r="U123" s="8" t="str" cm="1">
        <f t="array" ref="U123">CharToUTF8(A123)</f>
        <v>\xC2\xBD</v>
      </c>
      <c r="W123" s="18" t="str">
        <f>$AU$3</f>
        <v>DIAG_BOTH</v>
      </c>
      <c r="X123" s="24" t="str">
        <f>$AU$2</f>
        <v>EMPTY</v>
      </c>
      <c r="Y123" s="24" t="str">
        <f>$AU$7</f>
        <v>ORTHO_UP</v>
      </c>
      <c r="Z123" s="21" t="str">
        <f>$AU$7</f>
        <v>ORTHO_UP</v>
      </c>
      <c r="AB123" s="31" t="b">
        <f t="shared" si="18"/>
        <v>0</v>
      </c>
      <c r="AC123" s="31" t="b">
        <f t="shared" si="19"/>
        <v>0</v>
      </c>
      <c r="AD123" t="b">
        <f t="shared" si="20"/>
        <v>0</v>
      </c>
      <c r="AE123" t="b">
        <f t="shared" si="21"/>
        <v>1</v>
      </c>
      <c r="AF123" t="b">
        <f>IF($R123,W123=VLOOKUP(Z123,$AU$2:$AZ$10,3,FALSE),"")</f>
        <v>0</v>
      </c>
      <c r="AG123" t="b">
        <f>IF($R123,X123=VLOOKUP(Y123,$AU$2:$AZ$10,3,FALSE),"")</f>
        <v>0</v>
      </c>
      <c r="AH123" t="b">
        <f>IF($R123,Y123=VLOOKUP(W123,$AU$2:$AZ$10,3,FALSE),"")</f>
        <v>0</v>
      </c>
      <c r="AI123" t="b">
        <f>IF($R123,Z123=VLOOKUP(X123,$AU$2:$AZ$10,3,FALSE),"")</f>
        <v>0</v>
      </c>
      <c r="AJ123" t="b">
        <f>IF($R123,W123=VLOOKUP(W123,$AU$2:$AZ$10,4,FALSE),"")</f>
        <v>1</v>
      </c>
      <c r="AK123" t="b">
        <f>IF($R123,X123=VLOOKUP(X123,$AU$2:$AZ$10,4,FALSE),"")</f>
        <v>1</v>
      </c>
      <c r="AL123" t="b">
        <f>IF($R123,Y123=VLOOKUP(Y123,$AU$2:$AZ$10,4,FALSE),"")</f>
        <v>0</v>
      </c>
      <c r="AM123" t="b">
        <f>IF($R123,Z123=VLOOKUP(Z123,$AU$2:$AZ$10,4,FALSE),"")</f>
        <v>0</v>
      </c>
      <c r="AN123" t="b">
        <f>IF($R123,W123=VLOOKUP(W123,$AU$2:$AZ$10,5,FALSE),"")</f>
        <v>1</v>
      </c>
      <c r="AO123" t="b">
        <f>IF($R123,X123=VLOOKUP(X123,$AU$2:$AZ$10,5,FALSE),"")</f>
        <v>1</v>
      </c>
      <c r="AP123" t="b">
        <f>IF($R123,Y123=VLOOKUP(Y123,$AU$2:$AZ$10,6,FALSE),"")</f>
        <v>1</v>
      </c>
      <c r="AQ123" t="b">
        <f>IF($R123,Z123=VLOOKUP(Z123,$AU$2:$AZ$10,6,FALSE),"")</f>
        <v>1</v>
      </c>
      <c r="AR123" t="b">
        <f t="shared" si="22"/>
        <v>0</v>
      </c>
      <c r="AS123" t="b">
        <f t="shared" si="23"/>
        <v>0</v>
      </c>
      <c r="BD123" s="59" t="str">
        <f t="shared" si="24"/>
        <v xml:space="preserve">    { wxString::FromUTF8("\xC2\xBD"), &amp;AllGlyphs[119], &amp;AllGlyphs[122], &amp;AllGlyphs[122], &amp;AllGlyphs[121], &amp;AllGlyphs[119], &amp;AllGlyphs[120], Connection::DIAG_BOTH, Connection::EMPTY, Connection::ORTHO_UP, Connection::ORTHO_UP, 0, 0, 0, 1, 0, 0 },</v>
      </c>
      <c r="BE123" s="60"/>
      <c r="BF123" s="60"/>
      <c r="BG123" s="60"/>
      <c r="BH123" s="60"/>
      <c r="BI123" s="60"/>
      <c r="BJ123" s="60"/>
      <c r="BK123" s="61"/>
      <c r="BM123" s="54" t="str">
        <f>IF($R123,"&amp;AllGlyphs[" &amp; E123 &amp; "]","")</f>
        <v>&amp;AllGlyphs[119]</v>
      </c>
      <c r="BN123" s="54" t="str">
        <f>IF($R123,"&amp;AllGlyphs[" &amp; G123 &amp; "]","")</f>
        <v>&amp;AllGlyphs[122]</v>
      </c>
      <c r="BO123" s="54" t="str">
        <f>IF($R123,"&amp;AllGlyphs[" &amp; I123 &amp; "]","")</f>
        <v>&amp;AllGlyphs[122]</v>
      </c>
      <c r="BP123" s="54" t="str">
        <f>IF($R123,"&amp;AllGlyphs[" &amp; K123 &amp; "]","")</f>
        <v>&amp;AllGlyphs[121]</v>
      </c>
      <c r="BQ123" s="54" t="str">
        <f>IF($R123,"&amp;AllGlyphs[" &amp; M123 &amp; "]","")</f>
        <v>&amp;AllGlyphs[119]</v>
      </c>
      <c r="BR123" s="54" t="str">
        <f>IF($R123,"&amp;AllGlyphs[" &amp; O123 &amp; "]","")</f>
        <v>&amp;AllGlyphs[120]</v>
      </c>
      <c r="BT123" s="58">
        <f>IF($R123,IF(AB123,1,0),"")</f>
        <v>0</v>
      </c>
      <c r="BU123" s="58">
        <f>IF($R123,IF(AC123,1,0),"")</f>
        <v>0</v>
      </c>
      <c r="BV123" s="58">
        <f>IF($R123,IF(AD123,1,0),"")</f>
        <v>0</v>
      </c>
      <c r="BW123" s="58">
        <f>IF($R123,IF(AE123,1,0),"")</f>
        <v>1</v>
      </c>
      <c r="BX123" s="58">
        <f>IF($R123,IF(AR123,1,0),"")</f>
        <v>0</v>
      </c>
      <c r="BY123" s="58">
        <f>IF($R123,IF(AS123,1,0),"")</f>
        <v>0</v>
      </c>
    </row>
    <row r="124" spans="1:77" x14ac:dyDescent="0.4">
      <c r="A124" s="7" t="s">
        <v>103</v>
      </c>
      <c r="B124" s="6" t="str">
        <f t="shared" si="15"/>
        <v>¾</v>
      </c>
      <c r="C124" s="48" cm="1">
        <f t="array" ref="C124">IF($R124,INDEX($S:$S,MATCH(TRUE,EXACT(B124,$A:$A),0)),"")</f>
        <v>122</v>
      </c>
      <c r="D124" s="38" t="s">
        <v>101</v>
      </c>
      <c r="E124" s="48" cm="1">
        <f t="array" ref="E124">IF($R124,INDEX($S:$S,MATCH(TRUE,EXACT(D124,$A:$A),0)),"")</f>
        <v>120</v>
      </c>
      <c r="F124" s="38" t="s">
        <v>102</v>
      </c>
      <c r="G124" s="48" cm="1">
        <f t="array" ref="G124">IF($S124&lt;&gt;"",INDEX($S:$S,MATCH(TRUE,EXACT(F124,$A:$A),0)),"")</f>
        <v>121</v>
      </c>
      <c r="H124" s="38" t="s">
        <v>102</v>
      </c>
      <c r="I124" s="48" cm="1">
        <f t="array" ref="I124">IF($R124,INDEX($S:$S,MATCH(TRUE,EXACT(H124,$A:$A),0)),"")</f>
        <v>121</v>
      </c>
      <c r="J124" s="38" t="s">
        <v>103</v>
      </c>
      <c r="K124" s="52" cm="1">
        <f t="array" ref="K124">IF($R124,INDEX($S:$S,MATCH(TRUE,EXACT(J124,$A:$A),0)),"")</f>
        <v>122</v>
      </c>
      <c r="L124" s="38" t="str" cm="1">
        <f t="array" ref="L124">IF($R124,INDEX($T:$T,MATCH(TRUE,EXACT(H124,$D:$D),0)),"")</f>
        <v>¼</v>
      </c>
      <c r="M124" s="48" cm="1">
        <f t="array" ref="M124">IF($R124,INDEX($S:$S,MATCH(TRUE,EXACT(L124,$A:$A),0)),"")</f>
        <v>120</v>
      </c>
      <c r="N124" s="38" t="str" cm="1">
        <f t="array" ref="N124">IF($R124,INDEX($T:$T,MATCH(TRUE,EXACT(J124,$D:$D),0)),"")</f>
        <v>»</v>
      </c>
      <c r="O124" s="52" cm="1">
        <f t="array" ref="O124">IF($R124,INDEX($S:$S,MATCH(TRUE,EXACT(N124,$A:$A),0)),"")</f>
        <v>119</v>
      </c>
      <c r="P124" s="23"/>
      <c r="Q124" s="33"/>
      <c r="R124" s="18" t="b">
        <f t="shared" si="16"/>
        <v>1</v>
      </c>
      <c r="S124" s="19">
        <f>IF(R124, MAX(S$2:S123)+1,"")</f>
        <v>122</v>
      </c>
      <c r="T124" s="23" t="str">
        <f t="shared" si="17"/>
        <v>¾</v>
      </c>
      <c r="U124" s="8" t="str" cm="1">
        <f t="array" ref="U124">CharToUTF8(A124)</f>
        <v>\xC2\xBE</v>
      </c>
      <c r="W124" s="18" t="str">
        <f>$AU$2</f>
        <v>EMPTY</v>
      </c>
      <c r="X124" s="24" t="str">
        <f>$AU$3</f>
        <v>DIAG_BOTH</v>
      </c>
      <c r="Y124" s="24" t="str">
        <f>$AU$8</f>
        <v>ORTHO_DOWN</v>
      </c>
      <c r="Z124" s="21" t="str">
        <f>$AU$8</f>
        <v>ORTHO_DOWN</v>
      </c>
      <c r="AB124" s="31" t="b">
        <f t="shared" si="18"/>
        <v>0</v>
      </c>
      <c r="AC124" s="31" t="b">
        <f t="shared" si="19"/>
        <v>0</v>
      </c>
      <c r="AD124" t="b">
        <f t="shared" si="20"/>
        <v>0</v>
      </c>
      <c r="AE124" t="b">
        <f t="shared" si="21"/>
        <v>1</v>
      </c>
      <c r="AF124" t="b">
        <f>IF($R124,W124=VLOOKUP(Z124,$AU$2:$AZ$10,3,FALSE),"")</f>
        <v>0</v>
      </c>
      <c r="AG124" t="b">
        <f>IF($R124,X124=VLOOKUP(Y124,$AU$2:$AZ$10,3,FALSE),"")</f>
        <v>0</v>
      </c>
      <c r="AH124" t="b">
        <f>IF($R124,Y124=VLOOKUP(W124,$AU$2:$AZ$10,3,FALSE),"")</f>
        <v>0</v>
      </c>
      <c r="AI124" t="b">
        <f>IF($R124,Z124=VLOOKUP(X124,$AU$2:$AZ$10,3,FALSE),"")</f>
        <v>0</v>
      </c>
      <c r="AJ124" t="b">
        <f>IF($R124,W124=VLOOKUP(W124,$AU$2:$AZ$10,4,FALSE),"")</f>
        <v>1</v>
      </c>
      <c r="AK124" t="b">
        <f>IF($R124,X124=VLOOKUP(X124,$AU$2:$AZ$10,4,FALSE),"")</f>
        <v>1</v>
      </c>
      <c r="AL124" t="b">
        <f>IF($R124,Y124=VLOOKUP(Y124,$AU$2:$AZ$10,4,FALSE),"")</f>
        <v>0</v>
      </c>
      <c r="AM124" t="b">
        <f>IF($R124,Z124=VLOOKUP(Z124,$AU$2:$AZ$10,4,FALSE),"")</f>
        <v>0</v>
      </c>
      <c r="AN124" t="b">
        <f>IF($R124,W124=VLOOKUP(W124,$AU$2:$AZ$10,5,FALSE),"")</f>
        <v>1</v>
      </c>
      <c r="AO124" t="b">
        <f>IF($R124,X124=VLOOKUP(X124,$AU$2:$AZ$10,5,FALSE),"")</f>
        <v>1</v>
      </c>
      <c r="AP124" t="b">
        <f>IF($R124,Y124=VLOOKUP(Y124,$AU$2:$AZ$10,6,FALSE),"")</f>
        <v>1</v>
      </c>
      <c r="AQ124" t="b">
        <f>IF($R124,Z124=VLOOKUP(Z124,$AU$2:$AZ$10,6,FALSE),"")</f>
        <v>1</v>
      </c>
      <c r="AR124" t="b">
        <f t="shared" si="22"/>
        <v>0</v>
      </c>
      <c r="AS124" t="b">
        <f t="shared" si="23"/>
        <v>0</v>
      </c>
      <c r="BD124" s="59" t="str">
        <f t="shared" si="24"/>
        <v xml:space="preserve">    { wxString::FromUTF8("\xC2\xBE"), &amp;AllGlyphs[120], &amp;AllGlyphs[121], &amp;AllGlyphs[121], &amp;AllGlyphs[122], &amp;AllGlyphs[120], &amp;AllGlyphs[119], Connection::EMPTY, Connection::DIAG_BOTH, Connection::ORTHO_DOWN, Connection::ORTHO_DOWN, 0, 0, 0, 1, 0, 0 },</v>
      </c>
      <c r="BE124" s="60"/>
      <c r="BF124" s="60"/>
      <c r="BG124" s="60"/>
      <c r="BH124" s="60"/>
      <c r="BI124" s="60"/>
      <c r="BJ124" s="60"/>
      <c r="BK124" s="61"/>
      <c r="BM124" s="54" t="str">
        <f>IF($R124,"&amp;AllGlyphs[" &amp; E124 &amp; "]","")</f>
        <v>&amp;AllGlyphs[120]</v>
      </c>
      <c r="BN124" s="54" t="str">
        <f>IF($R124,"&amp;AllGlyphs[" &amp; G124 &amp; "]","")</f>
        <v>&amp;AllGlyphs[121]</v>
      </c>
      <c r="BO124" s="54" t="str">
        <f>IF($R124,"&amp;AllGlyphs[" &amp; I124 &amp; "]","")</f>
        <v>&amp;AllGlyphs[121]</v>
      </c>
      <c r="BP124" s="54" t="str">
        <f>IF($R124,"&amp;AllGlyphs[" &amp; K124 &amp; "]","")</f>
        <v>&amp;AllGlyphs[122]</v>
      </c>
      <c r="BQ124" s="54" t="str">
        <f>IF($R124,"&amp;AllGlyphs[" &amp; M124 &amp; "]","")</f>
        <v>&amp;AllGlyphs[120]</v>
      </c>
      <c r="BR124" s="54" t="str">
        <f>IF($R124,"&amp;AllGlyphs[" &amp; O124 &amp; "]","")</f>
        <v>&amp;AllGlyphs[119]</v>
      </c>
      <c r="BT124" s="58">
        <f>IF($R124,IF(AB124,1,0),"")</f>
        <v>0</v>
      </c>
      <c r="BU124" s="58">
        <f>IF($R124,IF(AC124,1,0),"")</f>
        <v>0</v>
      </c>
      <c r="BV124" s="58">
        <f>IF($R124,IF(AD124,1,0),"")</f>
        <v>0</v>
      </c>
      <c r="BW124" s="58">
        <f>IF($R124,IF(AE124,1,0),"")</f>
        <v>1</v>
      </c>
      <c r="BX124" s="58">
        <f>IF($R124,IF(AR124,1,0),"")</f>
        <v>0</v>
      </c>
      <c r="BY124" s="58">
        <f>IF($R124,IF(AS124,1,0),"")</f>
        <v>0</v>
      </c>
    </row>
    <row r="125" spans="1:77" x14ac:dyDescent="0.4">
      <c r="A125" s="7" t="s">
        <v>104</v>
      </c>
      <c r="B125" s="6" t="str">
        <f t="shared" si="15"/>
        <v>¿</v>
      </c>
      <c r="C125" s="48" cm="1">
        <f t="array" ref="C125">IF($R125,INDEX($S:$S,MATCH(TRUE,EXACT(B125,$A:$A),0)),"")</f>
        <v>123</v>
      </c>
      <c r="D125" s="38" t="s">
        <v>107</v>
      </c>
      <c r="E125" s="48" cm="1">
        <f t="array" ref="E125">IF($R125,INDEX($S:$S,MATCH(TRUE,EXACT(D125,$A:$A),0)),"")</f>
        <v>126</v>
      </c>
      <c r="F125" s="38" t="s">
        <v>105</v>
      </c>
      <c r="G125" s="48" cm="1">
        <f t="array" ref="G125">IF($S125&lt;&gt;"",INDEX($S:$S,MATCH(TRUE,EXACT(F125,$A:$A),0)),"")</f>
        <v>124</v>
      </c>
      <c r="H125" s="38" t="s">
        <v>104</v>
      </c>
      <c r="I125" s="48" cm="1">
        <f t="array" ref="I125">IF($R125,INDEX($S:$S,MATCH(TRUE,EXACT(H125,$A:$A),0)),"")</f>
        <v>123</v>
      </c>
      <c r="J125" s="38" t="s">
        <v>105</v>
      </c>
      <c r="K125" s="52" cm="1">
        <f t="array" ref="K125">IF($R125,INDEX($S:$S,MATCH(TRUE,EXACT(J125,$A:$A),0)),"")</f>
        <v>124</v>
      </c>
      <c r="L125" s="38" t="str" cm="1">
        <f t="array" ref="L125">IF($R125,INDEX($T:$T,MATCH(TRUE,EXACT(H125,$D:$D),0)),"")</f>
        <v>Á</v>
      </c>
      <c r="M125" s="48" cm="1">
        <f t="array" ref="M125">IF($R125,INDEX($S:$S,MATCH(TRUE,EXACT(L125,$A:$A),0)),"")</f>
        <v>125</v>
      </c>
      <c r="N125" s="38" t="str" cm="1">
        <f t="array" ref="N125">IF($R125,INDEX($T:$T,MATCH(TRUE,EXACT(J125,$D:$D),0)),"")</f>
        <v>Â</v>
      </c>
      <c r="O125" s="52" cm="1">
        <f t="array" ref="O125">IF($R125,INDEX($S:$S,MATCH(TRUE,EXACT(N125,$A:$A),0)),"")</f>
        <v>126</v>
      </c>
      <c r="P125" s="23"/>
      <c r="Q125" s="33"/>
      <c r="R125" s="18" t="b">
        <f t="shared" si="16"/>
        <v>1</v>
      </c>
      <c r="S125" s="19">
        <f>IF(R125, MAX(S$2:S124)+1,"")</f>
        <v>123</v>
      </c>
      <c r="T125" s="23" t="str">
        <f t="shared" si="17"/>
        <v>¿</v>
      </c>
      <c r="U125" s="8" t="str" cm="1">
        <f t="array" ref="U125">CharToUTF8(A125)</f>
        <v>\xC2\xBF</v>
      </c>
      <c r="W125" s="18" t="str">
        <f>$AU$10</f>
        <v>ORTHO_RIGHT</v>
      </c>
      <c r="X125" s="24" t="str">
        <f>$AU$10</f>
        <v>ORTHO_RIGHT</v>
      </c>
      <c r="Y125" s="24" t="str">
        <f>$AU$2</f>
        <v>EMPTY</v>
      </c>
      <c r="Z125" s="21" t="str">
        <f>$AU$4</f>
        <v>ORTHO_BOTH</v>
      </c>
      <c r="AB125" s="31" t="b">
        <f t="shared" si="18"/>
        <v>0</v>
      </c>
      <c r="AC125" s="31" t="b">
        <f t="shared" si="19"/>
        <v>0</v>
      </c>
      <c r="AD125" t="b">
        <f t="shared" si="20"/>
        <v>1</v>
      </c>
      <c r="AE125" t="b">
        <f t="shared" si="21"/>
        <v>0</v>
      </c>
      <c r="AF125" t="b">
        <f>IF($R125,W125=VLOOKUP(Z125,$AU$2:$AZ$10,3,FALSE),"")</f>
        <v>0</v>
      </c>
      <c r="AG125" t="b">
        <f>IF($R125,X125=VLOOKUP(Y125,$AU$2:$AZ$10,3,FALSE),"")</f>
        <v>0</v>
      </c>
      <c r="AH125" t="b">
        <f>IF($R125,Y125=VLOOKUP(W125,$AU$2:$AZ$10,3,FALSE),"")</f>
        <v>0</v>
      </c>
      <c r="AI125" t="b">
        <f>IF($R125,Z125=VLOOKUP(X125,$AU$2:$AZ$10,3,FALSE),"")</f>
        <v>0</v>
      </c>
      <c r="AJ125" t="b">
        <f>IF($R125,W125=VLOOKUP(W125,$AU$2:$AZ$10,4,FALSE),"")</f>
        <v>0</v>
      </c>
      <c r="AK125" t="b">
        <f>IF($R125,X125=VLOOKUP(X125,$AU$2:$AZ$10,4,FALSE),"")</f>
        <v>0</v>
      </c>
      <c r="AL125" t="b">
        <f>IF($R125,Y125=VLOOKUP(Y125,$AU$2:$AZ$10,4,FALSE),"")</f>
        <v>1</v>
      </c>
      <c r="AM125" t="b">
        <f>IF($R125,Z125=VLOOKUP(Z125,$AU$2:$AZ$10,4,FALSE),"")</f>
        <v>1</v>
      </c>
      <c r="AN125" t="b">
        <f>IF($R125,W125=VLOOKUP(W125,$AU$2:$AZ$10,5,FALSE),"")</f>
        <v>1</v>
      </c>
      <c r="AO125" t="b">
        <f>IF($R125,X125=VLOOKUP(X125,$AU$2:$AZ$10,5,FALSE),"")</f>
        <v>1</v>
      </c>
      <c r="AP125" t="b">
        <f>IF($R125,Y125=VLOOKUP(Y125,$AU$2:$AZ$10,6,FALSE),"")</f>
        <v>1</v>
      </c>
      <c r="AQ125" t="b">
        <f>IF($R125,Z125=VLOOKUP(Z125,$AU$2:$AZ$10,6,FALSE),"")</f>
        <v>1</v>
      </c>
      <c r="AR125" t="b">
        <f t="shared" si="22"/>
        <v>0</v>
      </c>
      <c r="AS125" t="b">
        <f t="shared" si="23"/>
        <v>0</v>
      </c>
      <c r="BD125" s="59" t="str">
        <f t="shared" si="24"/>
        <v xml:space="preserve">    { wxString::FromUTF8("\xC2\xBF"), &amp;AllGlyphs[126], &amp;AllGlyphs[124], &amp;AllGlyphs[123], &amp;AllGlyphs[124], &amp;AllGlyphs[125], &amp;AllGlyphs[126], Connection::ORTHO_RIGHT, Connection::ORTHO_RIGHT, Connection::EMPTY, Connection::ORTHO_BOTH, 0, 0, 1, 0, 0, 0 },</v>
      </c>
      <c r="BE125" s="60"/>
      <c r="BF125" s="60"/>
      <c r="BG125" s="60"/>
      <c r="BH125" s="60"/>
      <c r="BI125" s="60"/>
      <c r="BJ125" s="60"/>
      <c r="BK125" s="61"/>
      <c r="BM125" s="54" t="str">
        <f>IF($R125,"&amp;AllGlyphs[" &amp; E125 &amp; "]","")</f>
        <v>&amp;AllGlyphs[126]</v>
      </c>
      <c r="BN125" s="54" t="str">
        <f>IF($R125,"&amp;AllGlyphs[" &amp; G125 &amp; "]","")</f>
        <v>&amp;AllGlyphs[124]</v>
      </c>
      <c r="BO125" s="54" t="str">
        <f>IF($R125,"&amp;AllGlyphs[" &amp; I125 &amp; "]","")</f>
        <v>&amp;AllGlyphs[123]</v>
      </c>
      <c r="BP125" s="54" t="str">
        <f>IF($R125,"&amp;AllGlyphs[" &amp; K125 &amp; "]","")</f>
        <v>&amp;AllGlyphs[124]</v>
      </c>
      <c r="BQ125" s="54" t="str">
        <f>IF($R125,"&amp;AllGlyphs[" &amp; M125 &amp; "]","")</f>
        <v>&amp;AllGlyphs[125]</v>
      </c>
      <c r="BR125" s="54" t="str">
        <f>IF($R125,"&amp;AllGlyphs[" &amp; O125 &amp; "]","")</f>
        <v>&amp;AllGlyphs[126]</v>
      </c>
      <c r="BT125" s="58">
        <f>IF($R125,IF(AB125,1,0),"")</f>
        <v>0</v>
      </c>
      <c r="BU125" s="58">
        <f>IF($R125,IF(AC125,1,0),"")</f>
        <v>0</v>
      </c>
      <c r="BV125" s="58">
        <f>IF($R125,IF(AD125,1,0),"")</f>
        <v>1</v>
      </c>
      <c r="BW125" s="58">
        <f>IF($R125,IF(AE125,1,0),"")</f>
        <v>0</v>
      </c>
      <c r="BX125" s="58">
        <f>IF($R125,IF(AR125,1,0),"")</f>
        <v>0</v>
      </c>
      <c r="BY125" s="58">
        <f>IF($R125,IF(AS125,1,0),"")</f>
        <v>0</v>
      </c>
    </row>
    <row r="126" spans="1:77" x14ac:dyDescent="0.4">
      <c r="A126" s="7" t="s">
        <v>105</v>
      </c>
      <c r="B126" s="6" t="str">
        <f t="shared" si="15"/>
        <v>À</v>
      </c>
      <c r="C126" s="48" cm="1">
        <f t="array" ref="C126">IF($R126,INDEX($S:$S,MATCH(TRUE,EXACT(B126,$A:$A),0)),"")</f>
        <v>124</v>
      </c>
      <c r="D126" s="38" t="s">
        <v>106</v>
      </c>
      <c r="E126" s="48" cm="1">
        <f t="array" ref="E126">IF($R126,INDEX($S:$S,MATCH(TRUE,EXACT(D126,$A:$A),0)),"")</f>
        <v>125</v>
      </c>
      <c r="F126" s="38" t="s">
        <v>104</v>
      </c>
      <c r="G126" s="48" cm="1">
        <f t="array" ref="G126">IF($S126&lt;&gt;"",INDEX($S:$S,MATCH(TRUE,EXACT(F126,$A:$A),0)),"")</f>
        <v>123</v>
      </c>
      <c r="H126" s="38" t="s">
        <v>105</v>
      </c>
      <c r="I126" s="48" cm="1">
        <f t="array" ref="I126">IF($R126,INDEX($S:$S,MATCH(TRUE,EXACT(H126,$A:$A),0)),"")</f>
        <v>124</v>
      </c>
      <c r="J126" s="38" t="s">
        <v>104</v>
      </c>
      <c r="K126" s="52" cm="1">
        <f t="array" ref="K126">IF($R126,INDEX($S:$S,MATCH(TRUE,EXACT(J126,$A:$A),0)),"")</f>
        <v>123</v>
      </c>
      <c r="L126" s="38" t="str" cm="1">
        <f t="array" ref="L126">IF($R126,INDEX($T:$T,MATCH(TRUE,EXACT(H126,$D:$D),0)),"")</f>
        <v>Â</v>
      </c>
      <c r="M126" s="48" cm="1">
        <f t="array" ref="M126">IF($R126,INDEX($S:$S,MATCH(TRUE,EXACT(L126,$A:$A),0)),"")</f>
        <v>126</v>
      </c>
      <c r="N126" s="38" t="str" cm="1">
        <f t="array" ref="N126">IF($R126,INDEX($T:$T,MATCH(TRUE,EXACT(J126,$D:$D),0)),"")</f>
        <v>Á</v>
      </c>
      <c r="O126" s="52" cm="1">
        <f t="array" ref="O126">IF($R126,INDEX($S:$S,MATCH(TRUE,EXACT(N126,$A:$A),0)),"")</f>
        <v>125</v>
      </c>
      <c r="P126" s="23"/>
      <c r="Q126" s="33"/>
      <c r="R126" s="18" t="b">
        <f t="shared" si="16"/>
        <v>1</v>
      </c>
      <c r="S126" s="19">
        <f>IF(R126, MAX(S$2:S125)+1,"")</f>
        <v>124</v>
      </c>
      <c r="T126" s="23" t="str">
        <f t="shared" si="17"/>
        <v>À</v>
      </c>
      <c r="U126" s="8" t="str" cm="1">
        <f t="array" ref="U126">CharToUTF8(A126)</f>
        <v>\xC3\x80</v>
      </c>
      <c r="W126" s="18" t="str">
        <f>$AU$9</f>
        <v>ORTHO_LEFT</v>
      </c>
      <c r="X126" s="24" t="str">
        <f>$AU$9</f>
        <v>ORTHO_LEFT</v>
      </c>
      <c r="Y126" s="24" t="str">
        <f>$AU$4</f>
        <v>ORTHO_BOTH</v>
      </c>
      <c r="Z126" s="21" t="str">
        <f>$AU$2</f>
        <v>EMPTY</v>
      </c>
      <c r="AB126" s="31" t="b">
        <f t="shared" si="18"/>
        <v>0</v>
      </c>
      <c r="AC126" s="31" t="b">
        <f t="shared" si="19"/>
        <v>0</v>
      </c>
      <c r="AD126" t="b">
        <f t="shared" si="20"/>
        <v>1</v>
      </c>
      <c r="AE126" t="b">
        <f t="shared" si="21"/>
        <v>0</v>
      </c>
      <c r="AF126" t="b">
        <f>IF($R126,W126=VLOOKUP(Z126,$AU$2:$AZ$10,3,FALSE),"")</f>
        <v>0</v>
      </c>
      <c r="AG126" t="b">
        <f>IF($R126,X126=VLOOKUP(Y126,$AU$2:$AZ$10,3,FALSE),"")</f>
        <v>0</v>
      </c>
      <c r="AH126" t="b">
        <f>IF($R126,Y126=VLOOKUP(W126,$AU$2:$AZ$10,3,FALSE),"")</f>
        <v>0</v>
      </c>
      <c r="AI126" t="b">
        <f>IF($R126,Z126=VLOOKUP(X126,$AU$2:$AZ$10,3,FALSE),"")</f>
        <v>0</v>
      </c>
      <c r="AJ126" t="b">
        <f>IF($R126,W126=VLOOKUP(W126,$AU$2:$AZ$10,4,FALSE),"")</f>
        <v>0</v>
      </c>
      <c r="AK126" t="b">
        <f>IF($R126,X126=VLOOKUP(X126,$AU$2:$AZ$10,4,FALSE),"")</f>
        <v>0</v>
      </c>
      <c r="AL126" t="b">
        <f>IF($R126,Y126=VLOOKUP(Y126,$AU$2:$AZ$10,4,FALSE),"")</f>
        <v>1</v>
      </c>
      <c r="AM126" t="b">
        <f>IF($R126,Z126=VLOOKUP(Z126,$AU$2:$AZ$10,4,FALSE),"")</f>
        <v>1</v>
      </c>
      <c r="AN126" t="b">
        <f>IF($R126,W126=VLOOKUP(W126,$AU$2:$AZ$10,5,FALSE),"")</f>
        <v>1</v>
      </c>
      <c r="AO126" t="b">
        <f>IF($R126,X126=VLOOKUP(X126,$AU$2:$AZ$10,5,FALSE),"")</f>
        <v>1</v>
      </c>
      <c r="AP126" t="b">
        <f>IF($R126,Y126=VLOOKUP(Y126,$AU$2:$AZ$10,6,FALSE),"")</f>
        <v>1</v>
      </c>
      <c r="AQ126" t="b">
        <f>IF($R126,Z126=VLOOKUP(Z126,$AU$2:$AZ$10,6,FALSE),"")</f>
        <v>1</v>
      </c>
      <c r="AR126" t="b">
        <f t="shared" si="22"/>
        <v>0</v>
      </c>
      <c r="AS126" t="b">
        <f t="shared" si="23"/>
        <v>0</v>
      </c>
      <c r="BD126" s="59" t="str">
        <f t="shared" si="24"/>
        <v xml:space="preserve">    { wxString::FromUTF8("\xC3\x80"), &amp;AllGlyphs[125], &amp;AllGlyphs[123], &amp;AllGlyphs[124], &amp;AllGlyphs[123], &amp;AllGlyphs[126], &amp;AllGlyphs[125], Connection::ORTHO_LEFT, Connection::ORTHO_LEFT, Connection::ORTHO_BOTH, Connection::EMPTY, 0, 0, 1, 0, 0, 0 },</v>
      </c>
      <c r="BE126" s="60"/>
      <c r="BF126" s="60"/>
      <c r="BG126" s="60"/>
      <c r="BH126" s="60"/>
      <c r="BI126" s="60"/>
      <c r="BJ126" s="60"/>
      <c r="BK126" s="61"/>
      <c r="BM126" s="54" t="str">
        <f>IF($R126,"&amp;AllGlyphs[" &amp; E126 &amp; "]","")</f>
        <v>&amp;AllGlyphs[125]</v>
      </c>
      <c r="BN126" s="54" t="str">
        <f>IF($R126,"&amp;AllGlyphs[" &amp; G126 &amp; "]","")</f>
        <v>&amp;AllGlyphs[123]</v>
      </c>
      <c r="BO126" s="54" t="str">
        <f>IF($R126,"&amp;AllGlyphs[" &amp; I126 &amp; "]","")</f>
        <v>&amp;AllGlyphs[124]</v>
      </c>
      <c r="BP126" s="54" t="str">
        <f>IF($R126,"&amp;AllGlyphs[" &amp; K126 &amp; "]","")</f>
        <v>&amp;AllGlyphs[123]</v>
      </c>
      <c r="BQ126" s="54" t="str">
        <f>IF($R126,"&amp;AllGlyphs[" &amp; M126 &amp; "]","")</f>
        <v>&amp;AllGlyphs[126]</v>
      </c>
      <c r="BR126" s="54" t="str">
        <f>IF($R126,"&amp;AllGlyphs[" &amp; O126 &amp; "]","")</f>
        <v>&amp;AllGlyphs[125]</v>
      </c>
      <c r="BT126" s="58">
        <f>IF($R126,IF(AB126,1,0),"")</f>
        <v>0</v>
      </c>
      <c r="BU126" s="58">
        <f>IF($R126,IF(AC126,1,0),"")</f>
        <v>0</v>
      </c>
      <c r="BV126" s="58">
        <f>IF($R126,IF(AD126,1,0),"")</f>
        <v>1</v>
      </c>
      <c r="BW126" s="58">
        <f>IF($R126,IF(AE126,1,0),"")</f>
        <v>0</v>
      </c>
      <c r="BX126" s="58">
        <f>IF($R126,IF(AR126,1,0),"")</f>
        <v>0</v>
      </c>
      <c r="BY126" s="58">
        <f>IF($R126,IF(AS126,1,0),"")</f>
        <v>0</v>
      </c>
    </row>
    <row r="127" spans="1:77" x14ac:dyDescent="0.4">
      <c r="A127" s="7" t="s">
        <v>106</v>
      </c>
      <c r="B127" s="6" t="str">
        <f t="shared" si="15"/>
        <v>Á</v>
      </c>
      <c r="C127" s="48" cm="1">
        <f t="array" ref="C127">IF($R127,INDEX($S:$S,MATCH(TRUE,EXACT(B127,$A:$A),0)),"")</f>
        <v>125</v>
      </c>
      <c r="D127" s="38" t="s">
        <v>104</v>
      </c>
      <c r="E127" s="48" cm="1">
        <f t="array" ref="E127">IF($R127,INDEX($S:$S,MATCH(TRUE,EXACT(D127,$A:$A),0)),"")</f>
        <v>123</v>
      </c>
      <c r="F127" s="38" t="s">
        <v>107</v>
      </c>
      <c r="G127" s="48" cm="1">
        <f t="array" ref="G127">IF($S127&lt;&gt;"",INDEX($S:$S,MATCH(TRUE,EXACT(F127,$A:$A),0)),"")</f>
        <v>126</v>
      </c>
      <c r="H127" s="38" t="s">
        <v>107</v>
      </c>
      <c r="I127" s="48" cm="1">
        <f t="array" ref="I127">IF($R127,INDEX($S:$S,MATCH(TRUE,EXACT(H127,$A:$A),0)),"")</f>
        <v>126</v>
      </c>
      <c r="J127" s="38" t="s">
        <v>106</v>
      </c>
      <c r="K127" s="52" cm="1">
        <f t="array" ref="K127">IF($R127,INDEX($S:$S,MATCH(TRUE,EXACT(J127,$A:$A),0)),"")</f>
        <v>125</v>
      </c>
      <c r="L127" s="38" t="str" cm="1">
        <f t="array" ref="L127">IF($R127,INDEX($T:$T,MATCH(TRUE,EXACT(H127,$D:$D),0)),"")</f>
        <v>¿</v>
      </c>
      <c r="M127" s="48" cm="1">
        <f t="array" ref="M127">IF($R127,INDEX($S:$S,MATCH(TRUE,EXACT(L127,$A:$A),0)),"")</f>
        <v>123</v>
      </c>
      <c r="N127" s="38" t="str" cm="1">
        <f t="array" ref="N127">IF($R127,INDEX($T:$T,MATCH(TRUE,EXACT(J127,$D:$D),0)),"")</f>
        <v>À</v>
      </c>
      <c r="O127" s="52" cm="1">
        <f t="array" ref="O127">IF($R127,INDEX($S:$S,MATCH(TRUE,EXACT(N127,$A:$A),0)),"")</f>
        <v>124</v>
      </c>
      <c r="P127" s="23"/>
      <c r="Q127" s="33"/>
      <c r="R127" s="18" t="b">
        <f t="shared" si="16"/>
        <v>1</v>
      </c>
      <c r="S127" s="19">
        <f>IF(R127, MAX(S$2:S126)+1,"")</f>
        <v>125</v>
      </c>
      <c r="T127" s="23" t="str">
        <f t="shared" si="17"/>
        <v>Á</v>
      </c>
      <c r="U127" s="8" t="str" cm="1">
        <f t="array" ref="U127">CharToUTF8(A127)</f>
        <v>\xC3\x81</v>
      </c>
      <c r="W127" s="18" t="str">
        <f>$AU$4</f>
        <v>ORTHO_BOTH</v>
      </c>
      <c r="X127" s="24" t="str">
        <f>$AU$2</f>
        <v>EMPTY</v>
      </c>
      <c r="Y127" s="24" t="str">
        <f>$AU$7</f>
        <v>ORTHO_UP</v>
      </c>
      <c r="Z127" s="21" t="str">
        <f>$AU$7</f>
        <v>ORTHO_UP</v>
      </c>
      <c r="AB127" s="31" t="b">
        <f t="shared" si="18"/>
        <v>0</v>
      </c>
      <c r="AC127" s="31" t="b">
        <f t="shared" si="19"/>
        <v>0</v>
      </c>
      <c r="AD127" t="b">
        <f t="shared" si="20"/>
        <v>0</v>
      </c>
      <c r="AE127" t="b">
        <f t="shared" si="21"/>
        <v>1</v>
      </c>
      <c r="AF127" t="b">
        <f>IF($R127,W127=VLOOKUP(Z127,$AU$2:$AZ$10,3,FALSE),"")</f>
        <v>0</v>
      </c>
      <c r="AG127" t="b">
        <f>IF($R127,X127=VLOOKUP(Y127,$AU$2:$AZ$10,3,FALSE),"")</f>
        <v>0</v>
      </c>
      <c r="AH127" t="b">
        <f>IF($R127,Y127=VLOOKUP(W127,$AU$2:$AZ$10,3,FALSE),"")</f>
        <v>0</v>
      </c>
      <c r="AI127" t="b">
        <f>IF($R127,Z127=VLOOKUP(X127,$AU$2:$AZ$10,3,FALSE),"")</f>
        <v>0</v>
      </c>
      <c r="AJ127" t="b">
        <f>IF($R127,W127=VLOOKUP(W127,$AU$2:$AZ$10,4,FALSE),"")</f>
        <v>1</v>
      </c>
      <c r="AK127" t="b">
        <f>IF($R127,X127=VLOOKUP(X127,$AU$2:$AZ$10,4,FALSE),"")</f>
        <v>1</v>
      </c>
      <c r="AL127" t="b">
        <f>IF($R127,Y127=VLOOKUP(Y127,$AU$2:$AZ$10,4,FALSE),"")</f>
        <v>0</v>
      </c>
      <c r="AM127" t="b">
        <f>IF($R127,Z127=VLOOKUP(Z127,$AU$2:$AZ$10,4,FALSE),"")</f>
        <v>0</v>
      </c>
      <c r="AN127" t="b">
        <f>IF($R127,W127=VLOOKUP(W127,$AU$2:$AZ$10,5,FALSE),"")</f>
        <v>1</v>
      </c>
      <c r="AO127" t="b">
        <f>IF($R127,X127=VLOOKUP(X127,$AU$2:$AZ$10,5,FALSE),"")</f>
        <v>1</v>
      </c>
      <c r="AP127" t="b">
        <f>IF($R127,Y127=VLOOKUP(Y127,$AU$2:$AZ$10,6,FALSE),"")</f>
        <v>1</v>
      </c>
      <c r="AQ127" t="b">
        <f>IF($R127,Z127=VLOOKUP(Z127,$AU$2:$AZ$10,6,FALSE),"")</f>
        <v>1</v>
      </c>
      <c r="AR127" t="b">
        <f t="shared" si="22"/>
        <v>0</v>
      </c>
      <c r="AS127" t="b">
        <f t="shared" si="23"/>
        <v>0</v>
      </c>
      <c r="BD127" s="59" t="str">
        <f t="shared" si="24"/>
        <v xml:space="preserve">    { wxString::FromUTF8("\xC3\x81"), &amp;AllGlyphs[123], &amp;AllGlyphs[126], &amp;AllGlyphs[126], &amp;AllGlyphs[125], &amp;AllGlyphs[123], &amp;AllGlyphs[124], Connection::ORTHO_BOTH, Connection::EMPTY, Connection::ORTHO_UP, Connection::ORTHO_UP, 0, 0, 0, 1, 0, 0 },</v>
      </c>
      <c r="BE127" s="60"/>
      <c r="BF127" s="60"/>
      <c r="BG127" s="60"/>
      <c r="BH127" s="60"/>
      <c r="BI127" s="60"/>
      <c r="BJ127" s="60"/>
      <c r="BK127" s="61"/>
      <c r="BM127" s="54" t="str">
        <f>IF($R127,"&amp;AllGlyphs[" &amp; E127 &amp; "]","")</f>
        <v>&amp;AllGlyphs[123]</v>
      </c>
      <c r="BN127" s="54" t="str">
        <f>IF($R127,"&amp;AllGlyphs[" &amp; G127 &amp; "]","")</f>
        <v>&amp;AllGlyphs[126]</v>
      </c>
      <c r="BO127" s="54" t="str">
        <f>IF($R127,"&amp;AllGlyphs[" &amp; I127 &amp; "]","")</f>
        <v>&amp;AllGlyphs[126]</v>
      </c>
      <c r="BP127" s="54" t="str">
        <f>IF($R127,"&amp;AllGlyphs[" &amp; K127 &amp; "]","")</f>
        <v>&amp;AllGlyphs[125]</v>
      </c>
      <c r="BQ127" s="54" t="str">
        <f>IF($R127,"&amp;AllGlyphs[" &amp; M127 &amp; "]","")</f>
        <v>&amp;AllGlyphs[123]</v>
      </c>
      <c r="BR127" s="54" t="str">
        <f>IF($R127,"&amp;AllGlyphs[" &amp; O127 &amp; "]","")</f>
        <v>&amp;AllGlyphs[124]</v>
      </c>
      <c r="BT127" s="58">
        <f>IF($R127,IF(AB127,1,0),"")</f>
        <v>0</v>
      </c>
      <c r="BU127" s="58">
        <f>IF($R127,IF(AC127,1,0),"")</f>
        <v>0</v>
      </c>
      <c r="BV127" s="58">
        <f>IF($R127,IF(AD127,1,0),"")</f>
        <v>0</v>
      </c>
      <c r="BW127" s="58">
        <f>IF($R127,IF(AE127,1,0),"")</f>
        <v>1</v>
      </c>
      <c r="BX127" s="58">
        <f>IF($R127,IF(AR127,1,0),"")</f>
        <v>0</v>
      </c>
      <c r="BY127" s="58">
        <f>IF($R127,IF(AS127,1,0),"")</f>
        <v>0</v>
      </c>
    </row>
    <row r="128" spans="1:77" x14ac:dyDescent="0.4">
      <c r="A128" s="7" t="s">
        <v>107</v>
      </c>
      <c r="B128" s="6" t="str">
        <f t="shared" si="15"/>
        <v>Â</v>
      </c>
      <c r="C128" s="48" cm="1">
        <f t="array" ref="C128">IF($R128,INDEX($S:$S,MATCH(TRUE,EXACT(B128,$A:$A),0)),"")</f>
        <v>126</v>
      </c>
      <c r="D128" s="38" t="s">
        <v>105</v>
      </c>
      <c r="E128" s="48" cm="1">
        <f t="array" ref="E128">IF($R128,INDEX($S:$S,MATCH(TRUE,EXACT(D128,$A:$A),0)),"")</f>
        <v>124</v>
      </c>
      <c r="F128" s="38" t="s">
        <v>106</v>
      </c>
      <c r="G128" s="48" cm="1">
        <f t="array" ref="G128">IF($S128&lt;&gt;"",INDEX($S:$S,MATCH(TRUE,EXACT(F128,$A:$A),0)),"")</f>
        <v>125</v>
      </c>
      <c r="H128" s="38" t="s">
        <v>106</v>
      </c>
      <c r="I128" s="48" cm="1">
        <f t="array" ref="I128">IF($R128,INDEX($S:$S,MATCH(TRUE,EXACT(H128,$A:$A),0)),"")</f>
        <v>125</v>
      </c>
      <c r="J128" s="38" t="s">
        <v>107</v>
      </c>
      <c r="K128" s="52" cm="1">
        <f t="array" ref="K128">IF($R128,INDEX($S:$S,MATCH(TRUE,EXACT(J128,$A:$A),0)),"")</f>
        <v>126</v>
      </c>
      <c r="L128" s="38" t="str" cm="1">
        <f t="array" ref="L128">IF($R128,INDEX($T:$T,MATCH(TRUE,EXACT(H128,$D:$D),0)),"")</f>
        <v>À</v>
      </c>
      <c r="M128" s="48" cm="1">
        <f t="array" ref="M128">IF($R128,INDEX($S:$S,MATCH(TRUE,EXACT(L128,$A:$A),0)),"")</f>
        <v>124</v>
      </c>
      <c r="N128" s="38" t="str" cm="1">
        <f t="array" ref="N128">IF($R128,INDEX($T:$T,MATCH(TRUE,EXACT(J128,$D:$D),0)),"")</f>
        <v>¿</v>
      </c>
      <c r="O128" s="52" cm="1">
        <f t="array" ref="O128">IF($R128,INDEX($S:$S,MATCH(TRUE,EXACT(N128,$A:$A),0)),"")</f>
        <v>123</v>
      </c>
      <c r="P128" s="23"/>
      <c r="Q128" s="33"/>
      <c r="R128" s="18" t="b">
        <f t="shared" si="16"/>
        <v>1</v>
      </c>
      <c r="S128" s="19">
        <f>IF(R128, MAX(S$2:S127)+1,"")</f>
        <v>126</v>
      </c>
      <c r="T128" s="23" t="str">
        <f t="shared" si="17"/>
        <v>Â</v>
      </c>
      <c r="U128" s="8" t="str" cm="1">
        <f t="array" ref="U128">CharToUTF8(A128)</f>
        <v>\xC3\x82</v>
      </c>
      <c r="W128" s="18" t="str">
        <f>$AU$2</f>
        <v>EMPTY</v>
      </c>
      <c r="X128" s="24" t="str">
        <f>$AU$4</f>
        <v>ORTHO_BOTH</v>
      </c>
      <c r="Y128" s="24" t="str">
        <f>$AU$8</f>
        <v>ORTHO_DOWN</v>
      </c>
      <c r="Z128" s="21" t="str">
        <f>$AU$8</f>
        <v>ORTHO_DOWN</v>
      </c>
      <c r="AB128" s="31" t="b">
        <f t="shared" si="18"/>
        <v>0</v>
      </c>
      <c r="AC128" s="31" t="b">
        <f t="shared" si="19"/>
        <v>0</v>
      </c>
      <c r="AD128" t="b">
        <f t="shared" si="20"/>
        <v>0</v>
      </c>
      <c r="AE128" t="b">
        <f t="shared" si="21"/>
        <v>1</v>
      </c>
      <c r="AF128" t="b">
        <f>IF($R128,W128=VLOOKUP(Z128,$AU$2:$AZ$10,3,FALSE),"")</f>
        <v>0</v>
      </c>
      <c r="AG128" t="b">
        <f>IF($R128,X128=VLOOKUP(Y128,$AU$2:$AZ$10,3,FALSE),"")</f>
        <v>0</v>
      </c>
      <c r="AH128" t="b">
        <f>IF($R128,Y128=VLOOKUP(W128,$AU$2:$AZ$10,3,FALSE),"")</f>
        <v>0</v>
      </c>
      <c r="AI128" t="b">
        <f>IF($R128,Z128=VLOOKUP(X128,$AU$2:$AZ$10,3,FALSE),"")</f>
        <v>0</v>
      </c>
      <c r="AJ128" t="b">
        <f>IF($R128,W128=VLOOKUP(W128,$AU$2:$AZ$10,4,FALSE),"")</f>
        <v>1</v>
      </c>
      <c r="AK128" t="b">
        <f>IF($R128,X128=VLOOKUP(X128,$AU$2:$AZ$10,4,FALSE),"")</f>
        <v>1</v>
      </c>
      <c r="AL128" t="b">
        <f>IF($R128,Y128=VLOOKUP(Y128,$AU$2:$AZ$10,4,FALSE),"")</f>
        <v>0</v>
      </c>
      <c r="AM128" t="b">
        <f>IF($R128,Z128=VLOOKUP(Z128,$AU$2:$AZ$10,4,FALSE),"")</f>
        <v>0</v>
      </c>
      <c r="AN128" t="b">
        <f>IF($R128,W128=VLOOKUP(W128,$AU$2:$AZ$10,5,FALSE),"")</f>
        <v>1</v>
      </c>
      <c r="AO128" t="b">
        <f>IF($R128,X128=VLOOKUP(X128,$AU$2:$AZ$10,5,FALSE),"")</f>
        <v>1</v>
      </c>
      <c r="AP128" t="b">
        <f>IF($R128,Y128=VLOOKUP(Y128,$AU$2:$AZ$10,6,FALSE),"")</f>
        <v>1</v>
      </c>
      <c r="AQ128" t="b">
        <f>IF($R128,Z128=VLOOKUP(Z128,$AU$2:$AZ$10,6,FALSE),"")</f>
        <v>1</v>
      </c>
      <c r="AR128" t="b">
        <f t="shared" si="22"/>
        <v>0</v>
      </c>
      <c r="AS128" t="b">
        <f t="shared" si="23"/>
        <v>0</v>
      </c>
      <c r="BD128" s="59" t="str">
        <f t="shared" si="24"/>
        <v xml:space="preserve">    { wxString::FromUTF8("\xC3\x82"), &amp;AllGlyphs[124], &amp;AllGlyphs[125], &amp;AllGlyphs[125], &amp;AllGlyphs[126], &amp;AllGlyphs[124], &amp;AllGlyphs[123], Connection::EMPTY, Connection::ORTHO_BOTH, Connection::ORTHO_DOWN, Connection::ORTHO_DOWN, 0, 0, 0, 1, 0, 0 },</v>
      </c>
      <c r="BE128" s="60"/>
      <c r="BF128" s="60"/>
      <c r="BG128" s="60"/>
      <c r="BH128" s="60"/>
      <c r="BI128" s="60"/>
      <c r="BJ128" s="60"/>
      <c r="BK128" s="61"/>
      <c r="BM128" s="54" t="str">
        <f>IF($R128,"&amp;AllGlyphs[" &amp; E128 &amp; "]","")</f>
        <v>&amp;AllGlyphs[124]</v>
      </c>
      <c r="BN128" s="54" t="str">
        <f>IF($R128,"&amp;AllGlyphs[" &amp; G128 &amp; "]","")</f>
        <v>&amp;AllGlyphs[125]</v>
      </c>
      <c r="BO128" s="54" t="str">
        <f>IF($R128,"&amp;AllGlyphs[" &amp; I128 &amp; "]","")</f>
        <v>&amp;AllGlyphs[125]</v>
      </c>
      <c r="BP128" s="54" t="str">
        <f>IF($R128,"&amp;AllGlyphs[" &amp; K128 &amp; "]","")</f>
        <v>&amp;AllGlyphs[126]</v>
      </c>
      <c r="BQ128" s="54" t="str">
        <f>IF($R128,"&amp;AllGlyphs[" &amp; M128 &amp; "]","")</f>
        <v>&amp;AllGlyphs[124]</v>
      </c>
      <c r="BR128" s="54" t="str">
        <f>IF($R128,"&amp;AllGlyphs[" &amp; O128 &amp; "]","")</f>
        <v>&amp;AllGlyphs[123]</v>
      </c>
      <c r="BT128" s="58">
        <f>IF($R128,IF(AB128,1,0),"")</f>
        <v>0</v>
      </c>
      <c r="BU128" s="58">
        <f>IF($R128,IF(AC128,1,0),"")</f>
        <v>0</v>
      </c>
      <c r="BV128" s="58">
        <f>IF($R128,IF(AD128,1,0),"")</f>
        <v>0</v>
      </c>
      <c r="BW128" s="58">
        <f>IF($R128,IF(AE128,1,0),"")</f>
        <v>1</v>
      </c>
      <c r="BX128" s="58">
        <f>IF($R128,IF(AR128,1,0),"")</f>
        <v>0</v>
      </c>
      <c r="BY128" s="58">
        <f>IF($R128,IF(AS128,1,0),"")</f>
        <v>0</v>
      </c>
    </row>
    <row r="129" spans="1:77" x14ac:dyDescent="0.4">
      <c r="A129" s="7" t="s">
        <v>108</v>
      </c>
      <c r="B129" s="6" t="str">
        <f t="shared" si="15"/>
        <v>Ã</v>
      </c>
      <c r="C129" s="48" cm="1">
        <f t="array" ref="C129">IF($R129,INDEX($S:$S,MATCH(TRUE,EXACT(B129,$A:$A),0)),"")</f>
        <v>127</v>
      </c>
      <c r="D129" s="38" t="s">
        <v>109</v>
      </c>
      <c r="E129" s="48" cm="1">
        <f t="array" ref="E129">IF($R129,INDEX($S:$S,MATCH(TRUE,EXACT(D129,$A:$A),0)),"")</f>
        <v>128</v>
      </c>
      <c r="F129" s="38" t="s">
        <v>110</v>
      </c>
      <c r="G129" s="48" cm="1">
        <f t="array" ref="G129">IF($S129&lt;&gt;"",INDEX($S:$S,MATCH(TRUE,EXACT(F129,$A:$A),0)),"")</f>
        <v>129</v>
      </c>
      <c r="H129" s="38" t="s">
        <v>109</v>
      </c>
      <c r="I129" s="48" cm="1">
        <f t="array" ref="I129">IF($R129,INDEX($S:$S,MATCH(TRUE,EXACT(H129,$A:$A),0)),"")</f>
        <v>128</v>
      </c>
      <c r="J129" s="38" t="s">
        <v>111</v>
      </c>
      <c r="K129" s="52" cm="1">
        <f t="array" ref="K129">IF($R129,INDEX($S:$S,MATCH(TRUE,EXACT(J129,$A:$A),0)),"")</f>
        <v>130</v>
      </c>
      <c r="L129" s="38" t="str" cm="1">
        <f t="array" ref="L129">IF($R129,INDEX($T:$T,MATCH(TRUE,EXACT(H129,$D:$D),0)),"")</f>
        <v>Ã</v>
      </c>
      <c r="M129" s="48" cm="1">
        <f t="array" ref="M129">IF($R129,INDEX($S:$S,MATCH(TRUE,EXACT(L129,$A:$A),0)),"")</f>
        <v>127</v>
      </c>
      <c r="N129" s="38" t="str" cm="1">
        <f t="array" ref="N129">IF($R129,INDEX($T:$T,MATCH(TRUE,EXACT(J129,$D:$D),0)),"")</f>
        <v>Å</v>
      </c>
      <c r="O129" s="52" cm="1">
        <f t="array" ref="O129">IF($R129,INDEX($S:$S,MATCH(TRUE,EXACT(N129,$A:$A),0)),"")</f>
        <v>129</v>
      </c>
      <c r="P129" s="23"/>
      <c r="Q129" s="33"/>
      <c r="R129" s="18" t="b">
        <f t="shared" si="16"/>
        <v>1</v>
      </c>
      <c r="S129" s="19">
        <f>IF(R129, MAX(S$2:S128)+1,"")</f>
        <v>127</v>
      </c>
      <c r="T129" s="23" t="str">
        <f t="shared" si="17"/>
        <v>Ã</v>
      </c>
      <c r="U129" s="8" t="str" cm="1">
        <f t="array" ref="U129">CharToUTF8(A129)</f>
        <v>\xC3\x83</v>
      </c>
      <c r="W129" s="18" t="str">
        <f>$AU$2</f>
        <v>EMPTY</v>
      </c>
      <c r="X129" s="24" t="str">
        <f>$AU$9</f>
        <v>ORTHO_LEFT</v>
      </c>
      <c r="Y129" s="24" t="str">
        <f>$AU$8</f>
        <v>ORTHO_DOWN</v>
      </c>
      <c r="Z129" s="21" t="str">
        <f>$AU$2</f>
        <v>EMPTY</v>
      </c>
      <c r="AB129" s="31" t="b">
        <f t="shared" si="18"/>
        <v>0</v>
      </c>
      <c r="AC129" s="31" t="b">
        <f t="shared" si="19"/>
        <v>0</v>
      </c>
      <c r="AD129" t="b">
        <f t="shared" si="20"/>
        <v>0</v>
      </c>
      <c r="AE129" t="b">
        <f t="shared" si="21"/>
        <v>0</v>
      </c>
      <c r="AF129" t="b">
        <f>IF($R129,W129=VLOOKUP(Z129,$AU$2:$AZ$10,3,FALSE),"")</f>
        <v>1</v>
      </c>
      <c r="AG129" t="b">
        <f>IF($R129,X129=VLOOKUP(Y129,$AU$2:$AZ$10,3,FALSE),"")</f>
        <v>1</v>
      </c>
      <c r="AH129" t="b">
        <f>IF($R129,Y129=VLOOKUP(W129,$AU$2:$AZ$10,3,FALSE),"")</f>
        <v>0</v>
      </c>
      <c r="AI129" t="b">
        <f>IF($R129,Z129=VLOOKUP(X129,$AU$2:$AZ$10,3,FALSE),"")</f>
        <v>0</v>
      </c>
      <c r="AJ129" t="b">
        <f>IF($R129,W129=VLOOKUP(W129,$AU$2:$AZ$10,4,FALSE),"")</f>
        <v>1</v>
      </c>
      <c r="AK129" t="b">
        <f>IF($R129,X129=VLOOKUP(X129,$AU$2:$AZ$10,4,FALSE),"")</f>
        <v>0</v>
      </c>
      <c r="AL129" t="b">
        <f>IF($R129,Y129=VLOOKUP(Y129,$AU$2:$AZ$10,4,FALSE),"")</f>
        <v>0</v>
      </c>
      <c r="AM129" t="b">
        <f>IF($R129,Z129=VLOOKUP(Z129,$AU$2:$AZ$10,4,FALSE),"")</f>
        <v>1</v>
      </c>
      <c r="AN129" t="b">
        <f>IF($R129,W129=VLOOKUP(W129,$AU$2:$AZ$10,5,FALSE),"")</f>
        <v>1</v>
      </c>
      <c r="AO129" t="b">
        <f>IF($R129,X129=VLOOKUP(X129,$AU$2:$AZ$10,5,FALSE),"")</f>
        <v>1</v>
      </c>
      <c r="AP129" t="b">
        <f>IF($R129,Y129=VLOOKUP(Y129,$AU$2:$AZ$10,6,FALSE),"")</f>
        <v>1</v>
      </c>
      <c r="AQ129" t="b">
        <f>IF($R129,Z129=VLOOKUP(Z129,$AU$2:$AZ$10,6,FALSE),"")</f>
        <v>1</v>
      </c>
      <c r="AR129" t="b">
        <f t="shared" si="22"/>
        <v>1</v>
      </c>
      <c r="AS129" t="b">
        <f t="shared" si="23"/>
        <v>0</v>
      </c>
      <c r="BD129" s="59" t="str">
        <f t="shared" si="24"/>
        <v xml:space="preserve">    { wxString::FromUTF8("\xC3\x83"), &amp;AllGlyphs[128], &amp;AllGlyphs[129], &amp;AllGlyphs[128], &amp;AllGlyphs[130], &amp;AllGlyphs[127], &amp;AllGlyphs[129], Connection::EMPTY, Connection::ORTHO_LEFT, Connection::ORTHO_DOWN, Connection::EMPTY, 0, 0, 0, 0, 1, 0 },</v>
      </c>
      <c r="BE129" s="60"/>
      <c r="BF129" s="60"/>
      <c r="BG129" s="60"/>
      <c r="BH129" s="60"/>
      <c r="BI129" s="60"/>
      <c r="BJ129" s="60"/>
      <c r="BK129" s="61"/>
      <c r="BM129" s="54" t="str">
        <f>IF($R129,"&amp;AllGlyphs[" &amp; E129 &amp; "]","")</f>
        <v>&amp;AllGlyphs[128]</v>
      </c>
      <c r="BN129" s="54" t="str">
        <f>IF($R129,"&amp;AllGlyphs[" &amp; G129 &amp; "]","")</f>
        <v>&amp;AllGlyphs[129]</v>
      </c>
      <c r="BO129" s="54" t="str">
        <f>IF($R129,"&amp;AllGlyphs[" &amp; I129 &amp; "]","")</f>
        <v>&amp;AllGlyphs[128]</v>
      </c>
      <c r="BP129" s="54" t="str">
        <f>IF($R129,"&amp;AllGlyphs[" &amp; K129 &amp; "]","")</f>
        <v>&amp;AllGlyphs[130]</v>
      </c>
      <c r="BQ129" s="54" t="str">
        <f>IF($R129,"&amp;AllGlyphs[" &amp; M129 &amp; "]","")</f>
        <v>&amp;AllGlyphs[127]</v>
      </c>
      <c r="BR129" s="54" t="str">
        <f>IF($R129,"&amp;AllGlyphs[" &amp; O129 &amp; "]","")</f>
        <v>&amp;AllGlyphs[129]</v>
      </c>
      <c r="BT129" s="58">
        <f>IF($R129,IF(AB129,1,0),"")</f>
        <v>0</v>
      </c>
      <c r="BU129" s="58">
        <f>IF($R129,IF(AC129,1,0),"")</f>
        <v>0</v>
      </c>
      <c r="BV129" s="58">
        <f>IF($R129,IF(AD129,1,0),"")</f>
        <v>0</v>
      </c>
      <c r="BW129" s="58">
        <f>IF($R129,IF(AE129,1,0),"")</f>
        <v>0</v>
      </c>
      <c r="BX129" s="58">
        <f>IF($R129,IF(AR129,1,0),"")</f>
        <v>1</v>
      </c>
      <c r="BY129" s="58">
        <f>IF($R129,IF(AS129,1,0),"")</f>
        <v>0</v>
      </c>
    </row>
    <row r="130" spans="1:77" x14ac:dyDescent="0.4">
      <c r="A130" s="7" t="s">
        <v>109</v>
      </c>
      <c r="B130" s="6" t="str">
        <f t="shared" ref="B130:B193" si="28">A130</f>
        <v>Ä</v>
      </c>
      <c r="C130" s="48" cm="1">
        <f t="array" ref="C130">IF($R130,INDEX($S:$S,MATCH(TRUE,EXACT(B130,$A:$A),0)),"")</f>
        <v>128</v>
      </c>
      <c r="D130" s="38" t="s">
        <v>110</v>
      </c>
      <c r="E130" s="48" cm="1">
        <f t="array" ref="E130">IF($R130,INDEX($S:$S,MATCH(TRUE,EXACT(D130,$A:$A),0)),"")</f>
        <v>129</v>
      </c>
      <c r="F130" s="38" t="s">
        <v>111</v>
      </c>
      <c r="G130" s="48" cm="1">
        <f t="array" ref="G130">IF($S130&lt;&gt;"",INDEX($S:$S,MATCH(TRUE,EXACT(F130,$A:$A),0)),"")</f>
        <v>130</v>
      </c>
      <c r="H130" s="38" t="s">
        <v>108</v>
      </c>
      <c r="I130" s="48" cm="1">
        <f t="array" ref="I130">IF($R130,INDEX($S:$S,MATCH(TRUE,EXACT(H130,$A:$A),0)),"")</f>
        <v>127</v>
      </c>
      <c r="J130" s="38" t="s">
        <v>110</v>
      </c>
      <c r="K130" s="52" cm="1">
        <f t="array" ref="K130">IF($R130,INDEX($S:$S,MATCH(TRUE,EXACT(J130,$A:$A),0)),"")</f>
        <v>129</v>
      </c>
      <c r="L130" s="38" t="str" cm="1">
        <f t="array" ref="L130">IF($R130,INDEX($T:$T,MATCH(TRUE,EXACT(H130,$D:$D),0)),"")</f>
        <v>Æ</v>
      </c>
      <c r="M130" s="48" cm="1">
        <f t="array" ref="M130">IF($R130,INDEX($S:$S,MATCH(TRUE,EXACT(L130,$A:$A),0)),"")</f>
        <v>130</v>
      </c>
      <c r="N130" s="38" t="str" cm="1">
        <f t="array" ref="N130">IF($R130,INDEX($T:$T,MATCH(TRUE,EXACT(J130,$D:$D),0)),"")</f>
        <v>Ä</v>
      </c>
      <c r="O130" s="52" cm="1">
        <f t="array" ref="O130">IF($R130,INDEX($S:$S,MATCH(TRUE,EXACT(N130,$A:$A),0)),"")</f>
        <v>128</v>
      </c>
      <c r="P130" s="23"/>
      <c r="Q130" s="33"/>
      <c r="R130" s="18" t="b">
        <f t="shared" ref="R130:R193" si="29">AND(B130&lt;&gt;"", D130&lt;&gt;"", F130&lt;&gt;"", J130&lt;&gt;"", H130&lt;&gt;"")</f>
        <v>1</v>
      </c>
      <c r="S130" s="19">
        <f>IF(R130, MAX(S$2:S129)+1,"")</f>
        <v>128</v>
      </c>
      <c r="T130" s="23" t="str">
        <f t="shared" ref="T130:T193" si="30">A130</f>
        <v>Ä</v>
      </c>
      <c r="U130" s="8" t="str" cm="1">
        <f t="array" ref="U130">CharToUTF8(A130)</f>
        <v>\xC3\x84</v>
      </c>
      <c r="W130" s="18" t="str">
        <f>$AU$9</f>
        <v>ORTHO_LEFT</v>
      </c>
      <c r="X130" s="24" t="str">
        <f>$AU$2</f>
        <v>EMPTY</v>
      </c>
      <c r="Y130" s="24" t="str">
        <f>$AU$7</f>
        <v>ORTHO_UP</v>
      </c>
      <c r="Z130" s="21" t="str">
        <f>$AU$2</f>
        <v>EMPTY</v>
      </c>
      <c r="AB130" s="31" t="b">
        <f t="shared" ref="AB130:AB193" si="31">IF($R130,C130=E130,"")</f>
        <v>0</v>
      </c>
      <c r="AC130" s="31" t="b">
        <f t="shared" ref="AC130:AC193" si="32">IF($R130,C130=G130,"")</f>
        <v>0</v>
      </c>
      <c r="AD130" t="b">
        <f t="shared" ref="AD130:AD193" si="33">IF($R130,C130=I130,"")</f>
        <v>0</v>
      </c>
      <c r="AE130" t="b">
        <f t="shared" ref="AE130:AE193" si="34">IF($R130,C130=K130,"")</f>
        <v>0</v>
      </c>
      <c r="AF130" t="b">
        <f>IF($R130,W130=VLOOKUP(Z130,$AU$2:$AZ$10,3,FALSE),"")</f>
        <v>0</v>
      </c>
      <c r="AG130" t="b">
        <f>IF($R130,X130=VLOOKUP(Y130,$AU$2:$AZ$10,3,FALSE),"")</f>
        <v>0</v>
      </c>
      <c r="AH130" t="b">
        <f>IF($R130,Y130=VLOOKUP(W130,$AU$2:$AZ$10,3,FALSE),"")</f>
        <v>1</v>
      </c>
      <c r="AI130" t="b">
        <f>IF($R130,Z130=VLOOKUP(X130,$AU$2:$AZ$10,3,FALSE),"")</f>
        <v>1</v>
      </c>
      <c r="AJ130" t="b">
        <f>IF($R130,W130=VLOOKUP(W130,$AU$2:$AZ$10,4,FALSE),"")</f>
        <v>0</v>
      </c>
      <c r="AK130" t="b">
        <f>IF($R130,X130=VLOOKUP(X130,$AU$2:$AZ$10,4,FALSE),"")</f>
        <v>1</v>
      </c>
      <c r="AL130" t="b">
        <f>IF($R130,Y130=VLOOKUP(Y130,$AU$2:$AZ$10,4,FALSE),"")</f>
        <v>0</v>
      </c>
      <c r="AM130" t="b">
        <f>IF($R130,Z130=VLOOKUP(Z130,$AU$2:$AZ$10,4,FALSE),"")</f>
        <v>1</v>
      </c>
      <c r="AN130" t="b">
        <f>IF($R130,W130=VLOOKUP(W130,$AU$2:$AZ$10,5,FALSE),"")</f>
        <v>1</v>
      </c>
      <c r="AO130" t="b">
        <f>IF($R130,X130=VLOOKUP(X130,$AU$2:$AZ$10,5,FALSE),"")</f>
        <v>1</v>
      </c>
      <c r="AP130" t="b">
        <f>IF($R130,Y130=VLOOKUP(Y130,$AU$2:$AZ$10,6,FALSE),"")</f>
        <v>1</v>
      </c>
      <c r="AQ130" t="b">
        <f>IF($R130,Z130=VLOOKUP(Z130,$AU$2:$AZ$10,6,FALSE),"")</f>
        <v>1</v>
      </c>
      <c r="AR130" t="b">
        <f t="shared" si="22"/>
        <v>0</v>
      </c>
      <c r="AS130" t="b">
        <f t="shared" si="23"/>
        <v>1</v>
      </c>
      <c r="BD130" s="59" t="str">
        <f t="shared" si="24"/>
        <v xml:space="preserve">    { wxString::FromUTF8("\xC3\x84"), &amp;AllGlyphs[129], &amp;AllGlyphs[130], &amp;AllGlyphs[127], &amp;AllGlyphs[129], &amp;AllGlyphs[130], &amp;AllGlyphs[128], Connection::ORTHO_LEFT, Connection::EMPTY, Connection::ORTHO_UP, Connection::EMPTY, 0, 0, 0, 0, 0, 1 },</v>
      </c>
      <c r="BE130" s="60"/>
      <c r="BF130" s="60"/>
      <c r="BG130" s="60"/>
      <c r="BH130" s="60"/>
      <c r="BI130" s="60"/>
      <c r="BJ130" s="60"/>
      <c r="BK130" s="61"/>
      <c r="BM130" s="54" t="str">
        <f>IF($R130,"&amp;AllGlyphs[" &amp; E130 &amp; "]","")</f>
        <v>&amp;AllGlyphs[129]</v>
      </c>
      <c r="BN130" s="54" t="str">
        <f>IF($R130,"&amp;AllGlyphs[" &amp; G130 &amp; "]","")</f>
        <v>&amp;AllGlyphs[130]</v>
      </c>
      <c r="BO130" s="54" t="str">
        <f>IF($R130,"&amp;AllGlyphs[" &amp; I130 &amp; "]","")</f>
        <v>&amp;AllGlyphs[127]</v>
      </c>
      <c r="BP130" s="54" t="str">
        <f>IF($R130,"&amp;AllGlyphs[" &amp; K130 &amp; "]","")</f>
        <v>&amp;AllGlyphs[129]</v>
      </c>
      <c r="BQ130" s="54" t="str">
        <f>IF($R130,"&amp;AllGlyphs[" &amp; M130 &amp; "]","")</f>
        <v>&amp;AllGlyphs[130]</v>
      </c>
      <c r="BR130" s="54" t="str">
        <f>IF($R130,"&amp;AllGlyphs[" &amp; O130 &amp; "]","")</f>
        <v>&amp;AllGlyphs[128]</v>
      </c>
      <c r="BT130" s="58">
        <f>IF($R130,IF(AB130,1,0),"")</f>
        <v>0</v>
      </c>
      <c r="BU130" s="58">
        <f>IF($R130,IF(AC130,1,0),"")</f>
        <v>0</v>
      </c>
      <c r="BV130" s="58">
        <f>IF($R130,IF(AD130,1,0),"")</f>
        <v>0</v>
      </c>
      <c r="BW130" s="58">
        <f>IF($R130,IF(AE130,1,0),"")</f>
        <v>0</v>
      </c>
      <c r="BX130" s="58">
        <f>IF($R130,IF(AR130,1,0),"")</f>
        <v>0</v>
      </c>
      <c r="BY130" s="58">
        <f>IF($R130,IF(AS130,1,0),"")</f>
        <v>1</v>
      </c>
    </row>
    <row r="131" spans="1:77" x14ac:dyDescent="0.4">
      <c r="A131" s="7" t="s">
        <v>110</v>
      </c>
      <c r="B131" s="6" t="str">
        <f t="shared" si="28"/>
        <v>Å</v>
      </c>
      <c r="C131" s="48" cm="1">
        <f t="array" ref="C131">IF($R131,INDEX($S:$S,MATCH(TRUE,EXACT(B131,$A:$A),0)),"")</f>
        <v>129</v>
      </c>
      <c r="D131" s="38" t="s">
        <v>111</v>
      </c>
      <c r="E131" s="48" cm="1">
        <f t="array" ref="E131">IF($R131,INDEX($S:$S,MATCH(TRUE,EXACT(D131,$A:$A),0)),"")</f>
        <v>130</v>
      </c>
      <c r="F131" s="38" t="s">
        <v>108</v>
      </c>
      <c r="G131" s="48" cm="1">
        <f t="array" ref="G131">IF($S131&lt;&gt;"",INDEX($S:$S,MATCH(TRUE,EXACT(F131,$A:$A),0)),"")</f>
        <v>127</v>
      </c>
      <c r="H131" s="38" t="s">
        <v>111</v>
      </c>
      <c r="I131" s="48" cm="1">
        <f t="array" ref="I131">IF($R131,INDEX($S:$S,MATCH(TRUE,EXACT(H131,$A:$A),0)),"")</f>
        <v>130</v>
      </c>
      <c r="J131" s="38" t="s">
        <v>109</v>
      </c>
      <c r="K131" s="52" cm="1">
        <f t="array" ref="K131">IF($R131,INDEX($S:$S,MATCH(TRUE,EXACT(J131,$A:$A),0)),"")</f>
        <v>128</v>
      </c>
      <c r="L131" s="38" t="str" cm="1">
        <f t="array" ref="L131">IF($R131,INDEX($T:$T,MATCH(TRUE,EXACT(H131,$D:$D),0)),"")</f>
        <v>Å</v>
      </c>
      <c r="M131" s="48" cm="1">
        <f t="array" ref="M131">IF($R131,INDEX($S:$S,MATCH(TRUE,EXACT(L131,$A:$A),0)),"")</f>
        <v>129</v>
      </c>
      <c r="N131" s="38" t="str" cm="1">
        <f t="array" ref="N131">IF($R131,INDEX($T:$T,MATCH(TRUE,EXACT(J131,$D:$D),0)),"")</f>
        <v>Ã</v>
      </c>
      <c r="O131" s="52" cm="1">
        <f t="array" ref="O131">IF($R131,INDEX($S:$S,MATCH(TRUE,EXACT(N131,$A:$A),0)),"")</f>
        <v>127</v>
      </c>
      <c r="P131" s="23"/>
      <c r="Q131" s="33"/>
      <c r="R131" s="18" t="b">
        <f t="shared" si="29"/>
        <v>1</v>
      </c>
      <c r="S131" s="19">
        <f>IF(R131, MAX(S$2:S130)+1,"")</f>
        <v>129</v>
      </c>
      <c r="T131" s="23" t="str">
        <f t="shared" si="30"/>
        <v>Å</v>
      </c>
      <c r="U131" s="8" t="str" cm="1">
        <f t="array" ref="U131">CharToUTF8(A131)</f>
        <v>\xC3\x85</v>
      </c>
      <c r="W131" s="18" t="str">
        <f>$AU$10</f>
        <v>ORTHO_RIGHT</v>
      </c>
      <c r="X131" s="24" t="str">
        <f>$AU$2</f>
        <v>EMPTY</v>
      </c>
      <c r="Y131" s="24" t="str">
        <f>$AU$2</f>
        <v>EMPTY</v>
      </c>
      <c r="Z131" s="21" t="str">
        <f>$AU$7</f>
        <v>ORTHO_UP</v>
      </c>
      <c r="AB131" s="31" t="b">
        <f t="shared" si="31"/>
        <v>0</v>
      </c>
      <c r="AC131" s="31" t="b">
        <f t="shared" si="32"/>
        <v>0</v>
      </c>
      <c r="AD131" t="b">
        <f t="shared" si="33"/>
        <v>0</v>
      </c>
      <c r="AE131" t="b">
        <f t="shared" si="34"/>
        <v>0</v>
      </c>
      <c r="AF131" t="b">
        <f>IF($R131,W131=VLOOKUP(Z131,$AU$2:$AZ$10,3,FALSE),"")</f>
        <v>1</v>
      </c>
      <c r="AG131" t="b">
        <f>IF($R131,X131=VLOOKUP(Y131,$AU$2:$AZ$10,3,FALSE),"")</f>
        <v>1</v>
      </c>
      <c r="AH131" t="b">
        <f>IF($R131,Y131=VLOOKUP(W131,$AU$2:$AZ$10,3,FALSE),"")</f>
        <v>0</v>
      </c>
      <c r="AI131" t="b">
        <f>IF($R131,Z131=VLOOKUP(X131,$AU$2:$AZ$10,3,FALSE),"")</f>
        <v>0</v>
      </c>
      <c r="AJ131" t="b">
        <f>IF($R131,W131=VLOOKUP(W131,$AU$2:$AZ$10,4,FALSE),"")</f>
        <v>0</v>
      </c>
      <c r="AK131" t="b">
        <f>IF($R131,X131=VLOOKUP(X131,$AU$2:$AZ$10,4,FALSE),"")</f>
        <v>1</v>
      </c>
      <c r="AL131" t="b">
        <f>IF($R131,Y131=VLOOKUP(Y131,$AU$2:$AZ$10,4,FALSE),"")</f>
        <v>1</v>
      </c>
      <c r="AM131" t="b">
        <f>IF($R131,Z131=VLOOKUP(Z131,$AU$2:$AZ$10,4,FALSE),"")</f>
        <v>0</v>
      </c>
      <c r="AN131" t="b">
        <f>IF($R131,W131=VLOOKUP(W131,$AU$2:$AZ$10,5,FALSE),"")</f>
        <v>1</v>
      </c>
      <c r="AO131" t="b">
        <f>IF($R131,X131=VLOOKUP(X131,$AU$2:$AZ$10,5,FALSE),"")</f>
        <v>1</v>
      </c>
      <c r="AP131" t="b">
        <f>IF($R131,Y131=VLOOKUP(Y131,$AU$2:$AZ$10,6,FALSE),"")</f>
        <v>1</v>
      </c>
      <c r="AQ131" t="b">
        <f>IF($R131,Z131=VLOOKUP(Z131,$AU$2:$AZ$10,6,FALSE),"")</f>
        <v>1</v>
      </c>
      <c r="AR131" t="b">
        <f t="shared" ref="AR131:AR194" si="35">IF($R131,C131=M131,"")</f>
        <v>1</v>
      </c>
      <c r="AS131" t="b">
        <f t="shared" ref="AS131:AS194" si="36">IF($R131,C131=O131,"")</f>
        <v>0</v>
      </c>
      <c r="BD131" s="59" t="str">
        <f t="shared" ref="BD131:BD194" si="37">IF($R131,"    { wxString::FromUTF8(""" &amp; $U131 &amp; """), " &amp; _xlfn.TEXTJOIN(", ", TRUE, BM131:BR131) &amp; ", " &amp; $AU$1 &amp; _xlfn.TEXTJOIN(", " &amp; $AU$1, TRUE, $W131:$Z131) &amp; ", " &amp; _xlfn.TEXTJOIN(", ", TRUE, BT131:BY131) &amp; " },","")</f>
        <v xml:space="preserve">    { wxString::FromUTF8("\xC3\x85"), &amp;AllGlyphs[130], &amp;AllGlyphs[127], &amp;AllGlyphs[130], &amp;AllGlyphs[128], &amp;AllGlyphs[129], &amp;AllGlyphs[127], Connection::ORTHO_RIGHT, Connection::EMPTY, Connection::EMPTY, Connection::ORTHO_UP, 0, 0, 0, 0, 1, 0 },</v>
      </c>
      <c r="BE131" s="60"/>
      <c r="BF131" s="60"/>
      <c r="BG131" s="60"/>
      <c r="BH131" s="60"/>
      <c r="BI131" s="60"/>
      <c r="BJ131" s="60"/>
      <c r="BK131" s="61"/>
      <c r="BM131" s="54" t="str">
        <f>IF($R131,"&amp;AllGlyphs[" &amp; E131 &amp; "]","")</f>
        <v>&amp;AllGlyphs[130]</v>
      </c>
      <c r="BN131" s="54" t="str">
        <f>IF($R131,"&amp;AllGlyphs[" &amp; G131 &amp; "]","")</f>
        <v>&amp;AllGlyphs[127]</v>
      </c>
      <c r="BO131" s="54" t="str">
        <f>IF($R131,"&amp;AllGlyphs[" &amp; I131 &amp; "]","")</f>
        <v>&amp;AllGlyphs[130]</v>
      </c>
      <c r="BP131" s="54" t="str">
        <f>IF($R131,"&amp;AllGlyphs[" &amp; K131 &amp; "]","")</f>
        <v>&amp;AllGlyphs[128]</v>
      </c>
      <c r="BQ131" s="54" t="str">
        <f>IF($R131,"&amp;AllGlyphs[" &amp; M131 &amp; "]","")</f>
        <v>&amp;AllGlyphs[129]</v>
      </c>
      <c r="BR131" s="54" t="str">
        <f>IF($R131,"&amp;AllGlyphs[" &amp; O131 &amp; "]","")</f>
        <v>&amp;AllGlyphs[127]</v>
      </c>
      <c r="BT131" s="58">
        <f>IF($R131,IF(AB131,1,0),"")</f>
        <v>0</v>
      </c>
      <c r="BU131" s="58">
        <f>IF($R131,IF(AC131,1,0),"")</f>
        <v>0</v>
      </c>
      <c r="BV131" s="58">
        <f>IF($R131,IF(AD131,1,0),"")</f>
        <v>0</v>
      </c>
      <c r="BW131" s="58">
        <f>IF($R131,IF(AE131,1,0),"")</f>
        <v>0</v>
      </c>
      <c r="BX131" s="58">
        <f>IF($R131,IF(AR131,1,0),"")</f>
        <v>1</v>
      </c>
      <c r="BY131" s="58">
        <f>IF($R131,IF(AS131,1,0),"")</f>
        <v>0</v>
      </c>
    </row>
    <row r="132" spans="1:77" x14ac:dyDescent="0.4">
      <c r="A132" s="7" t="s">
        <v>111</v>
      </c>
      <c r="B132" s="6" t="str">
        <f t="shared" si="28"/>
        <v>Æ</v>
      </c>
      <c r="C132" s="48" cm="1">
        <f t="array" ref="C132">IF($R132,INDEX($S:$S,MATCH(TRUE,EXACT(B132,$A:$A),0)),"")</f>
        <v>130</v>
      </c>
      <c r="D132" s="38" t="s">
        <v>108</v>
      </c>
      <c r="E132" s="48" cm="1">
        <f t="array" ref="E132">IF($R132,INDEX($S:$S,MATCH(TRUE,EXACT(D132,$A:$A),0)),"")</f>
        <v>127</v>
      </c>
      <c r="F132" s="38" t="s">
        <v>109</v>
      </c>
      <c r="G132" s="48" cm="1">
        <f t="array" ref="G132">IF($S132&lt;&gt;"",INDEX($S:$S,MATCH(TRUE,EXACT(F132,$A:$A),0)),"")</f>
        <v>128</v>
      </c>
      <c r="H132" s="38" t="s">
        <v>110</v>
      </c>
      <c r="I132" s="48" cm="1">
        <f t="array" ref="I132">IF($R132,INDEX($S:$S,MATCH(TRUE,EXACT(H132,$A:$A),0)),"")</f>
        <v>129</v>
      </c>
      <c r="J132" s="38" t="s">
        <v>108</v>
      </c>
      <c r="K132" s="52" cm="1">
        <f t="array" ref="K132">IF($R132,INDEX($S:$S,MATCH(TRUE,EXACT(J132,$A:$A),0)),"")</f>
        <v>127</v>
      </c>
      <c r="L132" s="38" t="str" cm="1">
        <f t="array" ref="L132">IF($R132,INDEX($T:$T,MATCH(TRUE,EXACT(H132,$D:$D),0)),"")</f>
        <v>Ä</v>
      </c>
      <c r="M132" s="48" cm="1">
        <f t="array" ref="M132">IF($R132,INDEX($S:$S,MATCH(TRUE,EXACT(L132,$A:$A),0)),"")</f>
        <v>128</v>
      </c>
      <c r="N132" s="38" t="str" cm="1">
        <f t="array" ref="N132">IF($R132,INDEX($T:$T,MATCH(TRUE,EXACT(J132,$D:$D),0)),"")</f>
        <v>Æ</v>
      </c>
      <c r="O132" s="52" cm="1">
        <f t="array" ref="O132">IF($R132,INDEX($S:$S,MATCH(TRUE,EXACT(N132,$A:$A),0)),"")</f>
        <v>130</v>
      </c>
      <c r="P132" s="23"/>
      <c r="Q132" s="33"/>
      <c r="R132" s="18" t="b">
        <f t="shared" si="29"/>
        <v>1</v>
      </c>
      <c r="S132" s="19">
        <f>IF(R132, MAX(S$2:S131)+1,"")</f>
        <v>130</v>
      </c>
      <c r="T132" s="23" t="str">
        <f t="shared" si="30"/>
        <v>Æ</v>
      </c>
      <c r="U132" s="8" t="str" cm="1">
        <f t="array" ref="U132">CharToUTF8(A132)</f>
        <v>\xC3\x86</v>
      </c>
      <c r="W132" s="18" t="str">
        <f>$AU$2</f>
        <v>EMPTY</v>
      </c>
      <c r="X132" s="24" t="str">
        <f>$AU$10</f>
        <v>ORTHO_RIGHT</v>
      </c>
      <c r="Y132" s="24" t="str">
        <f>$AU$2</f>
        <v>EMPTY</v>
      </c>
      <c r="Z132" s="21" t="str">
        <f>$AU$8</f>
        <v>ORTHO_DOWN</v>
      </c>
      <c r="AB132" s="31" t="b">
        <f t="shared" si="31"/>
        <v>0</v>
      </c>
      <c r="AC132" s="31" t="b">
        <f t="shared" si="32"/>
        <v>0</v>
      </c>
      <c r="AD132" t="b">
        <f t="shared" si="33"/>
        <v>0</v>
      </c>
      <c r="AE132" t="b">
        <f t="shared" si="34"/>
        <v>0</v>
      </c>
      <c r="AF132" t="b">
        <f>IF($R132,W132=VLOOKUP(Z132,$AU$2:$AZ$10,3,FALSE),"")</f>
        <v>0</v>
      </c>
      <c r="AG132" t="b">
        <f>IF($R132,X132=VLOOKUP(Y132,$AU$2:$AZ$10,3,FALSE),"")</f>
        <v>0</v>
      </c>
      <c r="AH132" t="b">
        <f>IF($R132,Y132=VLOOKUP(W132,$AU$2:$AZ$10,3,FALSE),"")</f>
        <v>1</v>
      </c>
      <c r="AI132" t="b">
        <f>IF($R132,Z132=VLOOKUP(X132,$AU$2:$AZ$10,3,FALSE),"")</f>
        <v>1</v>
      </c>
      <c r="AJ132" t="b">
        <f>IF($R132,W132=VLOOKUP(W132,$AU$2:$AZ$10,4,FALSE),"")</f>
        <v>1</v>
      </c>
      <c r="AK132" t="b">
        <f>IF($R132,X132=VLOOKUP(X132,$AU$2:$AZ$10,4,FALSE),"")</f>
        <v>0</v>
      </c>
      <c r="AL132" t="b">
        <f>IF($R132,Y132=VLOOKUP(Y132,$AU$2:$AZ$10,4,FALSE),"")</f>
        <v>1</v>
      </c>
      <c r="AM132" t="b">
        <f>IF($R132,Z132=VLOOKUP(Z132,$AU$2:$AZ$10,4,FALSE),"")</f>
        <v>0</v>
      </c>
      <c r="AN132" t="b">
        <f>IF($R132,W132=VLOOKUP(W132,$AU$2:$AZ$10,5,FALSE),"")</f>
        <v>1</v>
      </c>
      <c r="AO132" t="b">
        <f>IF($R132,X132=VLOOKUP(X132,$AU$2:$AZ$10,5,FALSE),"")</f>
        <v>1</v>
      </c>
      <c r="AP132" t="b">
        <f>IF($R132,Y132=VLOOKUP(Y132,$AU$2:$AZ$10,6,FALSE),"")</f>
        <v>1</v>
      </c>
      <c r="AQ132" t="b">
        <f>IF($R132,Z132=VLOOKUP(Z132,$AU$2:$AZ$10,6,FALSE),"")</f>
        <v>1</v>
      </c>
      <c r="AR132" t="b">
        <f t="shared" si="35"/>
        <v>0</v>
      </c>
      <c r="AS132" t="b">
        <f t="shared" si="36"/>
        <v>1</v>
      </c>
      <c r="BD132" s="59" t="str">
        <f t="shared" si="37"/>
        <v xml:space="preserve">    { wxString::FromUTF8("\xC3\x86"), &amp;AllGlyphs[127], &amp;AllGlyphs[128], &amp;AllGlyphs[129], &amp;AllGlyphs[127], &amp;AllGlyphs[128], &amp;AllGlyphs[130], Connection::EMPTY, Connection::ORTHO_RIGHT, Connection::EMPTY, Connection::ORTHO_DOWN, 0, 0, 0, 0, 0, 1 },</v>
      </c>
      <c r="BE132" s="60"/>
      <c r="BF132" s="60"/>
      <c r="BG132" s="60"/>
      <c r="BH132" s="60"/>
      <c r="BI132" s="60"/>
      <c r="BJ132" s="60"/>
      <c r="BK132" s="61"/>
      <c r="BM132" s="54" t="str">
        <f>IF($R132,"&amp;AllGlyphs[" &amp; E132 &amp; "]","")</f>
        <v>&amp;AllGlyphs[127]</v>
      </c>
      <c r="BN132" s="54" t="str">
        <f>IF($R132,"&amp;AllGlyphs[" &amp; G132 &amp; "]","")</f>
        <v>&amp;AllGlyphs[128]</v>
      </c>
      <c r="BO132" s="54" t="str">
        <f>IF($R132,"&amp;AllGlyphs[" &amp; I132 &amp; "]","")</f>
        <v>&amp;AllGlyphs[129]</v>
      </c>
      <c r="BP132" s="54" t="str">
        <f>IF($R132,"&amp;AllGlyphs[" &amp; K132 &amp; "]","")</f>
        <v>&amp;AllGlyphs[127]</v>
      </c>
      <c r="BQ132" s="54" t="str">
        <f>IF($R132,"&amp;AllGlyphs[" &amp; M132 &amp; "]","")</f>
        <v>&amp;AllGlyphs[128]</v>
      </c>
      <c r="BR132" s="54" t="str">
        <f>IF($R132,"&amp;AllGlyphs[" &amp; O132 &amp; "]","")</f>
        <v>&amp;AllGlyphs[130]</v>
      </c>
      <c r="BT132" s="58">
        <f>IF($R132,IF(AB132,1,0),"")</f>
        <v>0</v>
      </c>
      <c r="BU132" s="58">
        <f>IF($R132,IF(AC132,1,0),"")</f>
        <v>0</v>
      </c>
      <c r="BV132" s="58">
        <f>IF($R132,IF(AD132,1,0),"")</f>
        <v>0</v>
      </c>
      <c r="BW132" s="58">
        <f>IF($R132,IF(AE132,1,0),"")</f>
        <v>0</v>
      </c>
      <c r="BX132" s="58">
        <f>IF($R132,IF(AR132,1,0),"")</f>
        <v>0</v>
      </c>
      <c r="BY132" s="58">
        <f>IF($R132,IF(AS132,1,0),"")</f>
        <v>1</v>
      </c>
    </row>
    <row r="133" spans="1:77" x14ac:dyDescent="0.4">
      <c r="A133" s="7" t="s">
        <v>112</v>
      </c>
      <c r="B133" s="6" t="str">
        <f t="shared" si="28"/>
        <v>Ç</v>
      </c>
      <c r="C133" s="48" cm="1">
        <f t="array" ref="C133">IF($R133,INDEX($S:$S,MATCH(TRUE,EXACT(B133,$A:$A),0)),"")</f>
        <v>131</v>
      </c>
      <c r="D133" s="38" t="s">
        <v>115</v>
      </c>
      <c r="E133" s="48" cm="1">
        <f t="array" ref="E133">IF($R133,INDEX($S:$S,MATCH(TRUE,EXACT(D133,$A:$A),0)),"")</f>
        <v>134</v>
      </c>
      <c r="F133" s="38" t="s">
        <v>113</v>
      </c>
      <c r="G133" s="48" cm="1">
        <f t="array" ref="G133">IF($S133&lt;&gt;"",INDEX($S:$S,MATCH(TRUE,EXACT(F133,$A:$A),0)),"")</f>
        <v>132</v>
      </c>
      <c r="H133" s="38" t="s">
        <v>113</v>
      </c>
      <c r="I133" s="48" cm="1">
        <f t="array" ref="I133">IF($R133,INDEX($S:$S,MATCH(TRUE,EXACT(H133,$A:$A),0)),"")</f>
        <v>132</v>
      </c>
      <c r="J133" s="38" t="s">
        <v>112</v>
      </c>
      <c r="K133" s="52" cm="1">
        <f t="array" ref="K133">IF($R133,INDEX($S:$S,MATCH(TRUE,EXACT(J133,$A:$A),0)),"")</f>
        <v>131</v>
      </c>
      <c r="L133" s="38" t="str" cm="1">
        <f t="array" ref="L133">IF($R133,INDEX($T:$T,MATCH(TRUE,EXACT(H133,$D:$D),0)),"")</f>
        <v>Ê</v>
      </c>
      <c r="M133" s="48" cm="1">
        <f t="array" ref="M133">IF($R133,INDEX($S:$S,MATCH(TRUE,EXACT(L133,$A:$A),0)),"")</f>
        <v>134</v>
      </c>
      <c r="N133" s="38" t="str" cm="1">
        <f t="array" ref="N133">IF($R133,INDEX($T:$T,MATCH(TRUE,EXACT(J133,$D:$D),0)),"")</f>
        <v>É</v>
      </c>
      <c r="O133" s="52" cm="1">
        <f t="array" ref="O133">IF($R133,INDEX($S:$S,MATCH(TRUE,EXACT(N133,$A:$A),0)),"")</f>
        <v>133</v>
      </c>
      <c r="P133" s="23"/>
      <c r="Q133" s="33"/>
      <c r="R133" s="18" t="b">
        <f t="shared" si="29"/>
        <v>1</v>
      </c>
      <c r="S133" s="19">
        <f>IF(R133, MAX(S$2:S132)+1,"")</f>
        <v>131</v>
      </c>
      <c r="T133" s="23" t="str">
        <f t="shared" si="30"/>
        <v>Ç</v>
      </c>
      <c r="U133" s="8" t="str" cm="1">
        <f t="array" ref="U133">CharToUTF8(A133)</f>
        <v>\xC3\x87</v>
      </c>
      <c r="W133" s="18" t="str">
        <f>$AU$4</f>
        <v>ORTHO_BOTH</v>
      </c>
      <c r="X133" s="24" t="str">
        <f>$AU$2</f>
        <v>EMPTY</v>
      </c>
      <c r="Y133" s="24" t="str">
        <f>$AU$2</f>
        <v>EMPTY</v>
      </c>
      <c r="Z133" s="21" t="str">
        <f>$AU$2</f>
        <v>EMPTY</v>
      </c>
      <c r="AB133" s="31" t="b">
        <f t="shared" si="31"/>
        <v>0</v>
      </c>
      <c r="AC133" s="31" t="b">
        <f t="shared" si="32"/>
        <v>0</v>
      </c>
      <c r="AD133" t="b">
        <f t="shared" si="33"/>
        <v>0</v>
      </c>
      <c r="AE133" t="b">
        <f t="shared" si="34"/>
        <v>1</v>
      </c>
      <c r="AF133" t="b">
        <f>IF($R133,W133=VLOOKUP(Z133,$AU$2:$AZ$10,3,FALSE),"")</f>
        <v>0</v>
      </c>
      <c r="AG133" t="b">
        <f>IF($R133,X133=VLOOKUP(Y133,$AU$2:$AZ$10,3,FALSE),"")</f>
        <v>1</v>
      </c>
      <c r="AH133" t="b">
        <f>IF($R133,Y133=VLOOKUP(W133,$AU$2:$AZ$10,3,FALSE),"")</f>
        <v>0</v>
      </c>
      <c r="AI133" t="b">
        <f>IF($R133,Z133=VLOOKUP(X133,$AU$2:$AZ$10,3,FALSE),"")</f>
        <v>1</v>
      </c>
      <c r="AJ133" t="b">
        <f>IF($R133,W133=VLOOKUP(W133,$AU$2:$AZ$10,4,FALSE),"")</f>
        <v>1</v>
      </c>
      <c r="AK133" t="b">
        <f>IF($R133,X133=VLOOKUP(X133,$AU$2:$AZ$10,4,FALSE),"")</f>
        <v>1</v>
      </c>
      <c r="AL133" t="b">
        <f>IF($R133,Y133=VLOOKUP(Y133,$AU$2:$AZ$10,4,FALSE),"")</f>
        <v>1</v>
      </c>
      <c r="AM133" t="b">
        <f>IF($R133,Z133=VLOOKUP(Z133,$AU$2:$AZ$10,4,FALSE),"")</f>
        <v>1</v>
      </c>
      <c r="AN133" t="b">
        <f>IF($R133,W133=VLOOKUP(W133,$AU$2:$AZ$10,5,FALSE),"")</f>
        <v>1</v>
      </c>
      <c r="AO133" t="b">
        <f>IF($R133,X133=VLOOKUP(X133,$AU$2:$AZ$10,5,FALSE),"")</f>
        <v>1</v>
      </c>
      <c r="AP133" t="b">
        <f>IF($R133,Y133=VLOOKUP(Y133,$AU$2:$AZ$10,6,FALSE),"")</f>
        <v>1</v>
      </c>
      <c r="AQ133" t="b">
        <f>IF($R133,Z133=VLOOKUP(Z133,$AU$2:$AZ$10,6,FALSE),"")</f>
        <v>1</v>
      </c>
      <c r="AR133" t="b">
        <f t="shared" si="35"/>
        <v>0</v>
      </c>
      <c r="AS133" t="b">
        <f t="shared" si="36"/>
        <v>0</v>
      </c>
      <c r="BD133" s="59" t="str">
        <f t="shared" si="37"/>
        <v xml:space="preserve">    { wxString::FromUTF8("\xC3\x87"), &amp;AllGlyphs[134], &amp;AllGlyphs[132], &amp;AllGlyphs[132], &amp;AllGlyphs[131], &amp;AllGlyphs[134], &amp;AllGlyphs[133], Connection::ORTHO_BOTH, Connection::EMPTY, Connection::EMPTY, Connection::EMPTY, 0, 0, 0, 1, 0, 0 },</v>
      </c>
      <c r="BE133" s="60"/>
      <c r="BF133" s="60"/>
      <c r="BG133" s="60"/>
      <c r="BH133" s="60"/>
      <c r="BI133" s="60"/>
      <c r="BJ133" s="60"/>
      <c r="BK133" s="61"/>
      <c r="BM133" s="54" t="str">
        <f>IF($R133,"&amp;AllGlyphs[" &amp; E133 &amp; "]","")</f>
        <v>&amp;AllGlyphs[134]</v>
      </c>
      <c r="BN133" s="54" t="str">
        <f>IF($R133,"&amp;AllGlyphs[" &amp; G133 &amp; "]","")</f>
        <v>&amp;AllGlyphs[132]</v>
      </c>
      <c r="BO133" s="54" t="str">
        <f>IF($R133,"&amp;AllGlyphs[" &amp; I133 &amp; "]","")</f>
        <v>&amp;AllGlyphs[132]</v>
      </c>
      <c r="BP133" s="54" t="str">
        <f>IF($R133,"&amp;AllGlyphs[" &amp; K133 &amp; "]","")</f>
        <v>&amp;AllGlyphs[131]</v>
      </c>
      <c r="BQ133" s="54" t="str">
        <f>IF($R133,"&amp;AllGlyphs[" &amp; M133 &amp; "]","")</f>
        <v>&amp;AllGlyphs[134]</v>
      </c>
      <c r="BR133" s="54" t="str">
        <f>IF($R133,"&amp;AllGlyphs[" &amp; O133 &amp; "]","")</f>
        <v>&amp;AllGlyphs[133]</v>
      </c>
      <c r="BT133" s="58">
        <f>IF($R133,IF(AB133,1,0),"")</f>
        <v>0</v>
      </c>
      <c r="BU133" s="58">
        <f>IF($R133,IF(AC133,1,0),"")</f>
        <v>0</v>
      </c>
      <c r="BV133" s="58">
        <f>IF($R133,IF(AD133,1,0),"")</f>
        <v>0</v>
      </c>
      <c r="BW133" s="58">
        <f>IF($R133,IF(AE133,1,0),"")</f>
        <v>1</v>
      </c>
      <c r="BX133" s="58">
        <f>IF($R133,IF(AR133,1,0),"")</f>
        <v>0</v>
      </c>
      <c r="BY133" s="58">
        <f>IF($R133,IF(AS133,1,0),"")</f>
        <v>0</v>
      </c>
    </row>
    <row r="134" spans="1:77" x14ac:dyDescent="0.4">
      <c r="A134" s="7" t="s">
        <v>113</v>
      </c>
      <c r="B134" s="6" t="str">
        <f t="shared" si="28"/>
        <v>È</v>
      </c>
      <c r="C134" s="48" cm="1">
        <f t="array" ref="C134">IF($R134,INDEX($S:$S,MATCH(TRUE,EXACT(B134,$A:$A),0)),"")</f>
        <v>132</v>
      </c>
      <c r="D134" s="38" t="s">
        <v>114</v>
      </c>
      <c r="E134" s="48" cm="1">
        <f t="array" ref="E134">IF($R134,INDEX($S:$S,MATCH(TRUE,EXACT(D134,$A:$A),0)),"")</f>
        <v>133</v>
      </c>
      <c r="F134" s="38" t="s">
        <v>112</v>
      </c>
      <c r="G134" s="48" cm="1">
        <f t="array" ref="G134">IF($S134&lt;&gt;"",INDEX($S:$S,MATCH(TRUE,EXACT(F134,$A:$A),0)),"")</f>
        <v>131</v>
      </c>
      <c r="H134" s="38" t="s">
        <v>112</v>
      </c>
      <c r="I134" s="48" cm="1">
        <f t="array" ref="I134">IF($R134,INDEX($S:$S,MATCH(TRUE,EXACT(H134,$A:$A),0)),"")</f>
        <v>131</v>
      </c>
      <c r="J134" s="38" t="s">
        <v>113</v>
      </c>
      <c r="K134" s="52" cm="1">
        <f t="array" ref="K134">IF($R134,INDEX($S:$S,MATCH(TRUE,EXACT(J134,$A:$A),0)),"")</f>
        <v>132</v>
      </c>
      <c r="L134" s="38" t="str" cm="1">
        <f t="array" ref="L134">IF($R134,INDEX($T:$T,MATCH(TRUE,EXACT(H134,$D:$D),0)),"")</f>
        <v>É</v>
      </c>
      <c r="M134" s="48" cm="1">
        <f t="array" ref="M134">IF($R134,INDEX($S:$S,MATCH(TRUE,EXACT(L134,$A:$A),0)),"")</f>
        <v>133</v>
      </c>
      <c r="N134" s="38" t="str" cm="1">
        <f t="array" ref="N134">IF($R134,INDEX($T:$T,MATCH(TRUE,EXACT(J134,$D:$D),0)),"")</f>
        <v>Ê</v>
      </c>
      <c r="O134" s="52" cm="1">
        <f t="array" ref="O134">IF($R134,INDEX($S:$S,MATCH(TRUE,EXACT(N134,$A:$A),0)),"")</f>
        <v>134</v>
      </c>
      <c r="P134" s="23"/>
      <c r="Q134" s="33"/>
      <c r="R134" s="18" t="b">
        <f t="shared" si="29"/>
        <v>1</v>
      </c>
      <c r="S134" s="19">
        <f>IF(R134, MAX(S$2:S133)+1,"")</f>
        <v>132</v>
      </c>
      <c r="T134" s="23" t="str">
        <f t="shared" si="30"/>
        <v>È</v>
      </c>
      <c r="U134" s="8" t="str" cm="1">
        <f t="array" ref="U134">CharToUTF8(A134)</f>
        <v>\xC3\x88</v>
      </c>
      <c r="W134" s="18" t="str">
        <f>$AU$2</f>
        <v>EMPTY</v>
      </c>
      <c r="X134" s="24" t="str">
        <f>$AU$4</f>
        <v>ORTHO_BOTH</v>
      </c>
      <c r="Y134" s="24" t="str">
        <f>$AU$2</f>
        <v>EMPTY</v>
      </c>
      <c r="Z134" s="21" t="str">
        <f>$AU$2</f>
        <v>EMPTY</v>
      </c>
      <c r="AB134" s="31" t="b">
        <f t="shared" si="31"/>
        <v>0</v>
      </c>
      <c r="AC134" s="31" t="b">
        <f t="shared" si="32"/>
        <v>0</v>
      </c>
      <c r="AD134" t="b">
        <f t="shared" si="33"/>
        <v>0</v>
      </c>
      <c r="AE134" t="b">
        <f t="shared" si="34"/>
        <v>1</v>
      </c>
      <c r="AF134" t="b">
        <f>IF($R134,W134=VLOOKUP(Z134,$AU$2:$AZ$10,3,FALSE),"")</f>
        <v>1</v>
      </c>
      <c r="AG134" t="b">
        <f>IF($R134,X134=VLOOKUP(Y134,$AU$2:$AZ$10,3,FALSE),"")</f>
        <v>0</v>
      </c>
      <c r="AH134" t="b">
        <f>IF($R134,Y134=VLOOKUP(W134,$AU$2:$AZ$10,3,FALSE),"")</f>
        <v>1</v>
      </c>
      <c r="AI134" t="b">
        <f>IF($R134,Z134=VLOOKUP(X134,$AU$2:$AZ$10,3,FALSE),"")</f>
        <v>0</v>
      </c>
      <c r="AJ134" t="b">
        <f>IF($R134,W134=VLOOKUP(W134,$AU$2:$AZ$10,4,FALSE),"")</f>
        <v>1</v>
      </c>
      <c r="AK134" t="b">
        <f>IF($R134,X134=VLOOKUP(X134,$AU$2:$AZ$10,4,FALSE),"")</f>
        <v>1</v>
      </c>
      <c r="AL134" t="b">
        <f>IF($R134,Y134=VLOOKUP(Y134,$AU$2:$AZ$10,4,FALSE),"")</f>
        <v>1</v>
      </c>
      <c r="AM134" t="b">
        <f>IF($R134,Z134=VLOOKUP(Z134,$AU$2:$AZ$10,4,FALSE),"")</f>
        <v>1</v>
      </c>
      <c r="AN134" t="b">
        <f>IF($R134,W134=VLOOKUP(W134,$AU$2:$AZ$10,5,FALSE),"")</f>
        <v>1</v>
      </c>
      <c r="AO134" t="b">
        <f>IF($R134,X134=VLOOKUP(X134,$AU$2:$AZ$10,5,FALSE),"")</f>
        <v>1</v>
      </c>
      <c r="AP134" t="b">
        <f>IF($R134,Y134=VLOOKUP(Y134,$AU$2:$AZ$10,6,FALSE),"")</f>
        <v>1</v>
      </c>
      <c r="AQ134" t="b">
        <f>IF($R134,Z134=VLOOKUP(Z134,$AU$2:$AZ$10,6,FALSE),"")</f>
        <v>1</v>
      </c>
      <c r="AR134" t="b">
        <f t="shared" si="35"/>
        <v>0</v>
      </c>
      <c r="AS134" t="b">
        <f t="shared" si="36"/>
        <v>0</v>
      </c>
      <c r="BD134" s="59" t="str">
        <f t="shared" si="37"/>
        <v xml:space="preserve">    { wxString::FromUTF8("\xC3\x88"), &amp;AllGlyphs[133], &amp;AllGlyphs[131], &amp;AllGlyphs[131], &amp;AllGlyphs[132], &amp;AllGlyphs[133], &amp;AllGlyphs[134], Connection::EMPTY, Connection::ORTHO_BOTH, Connection::EMPTY, Connection::EMPTY, 0, 0, 0, 1, 0, 0 },</v>
      </c>
      <c r="BE134" s="60"/>
      <c r="BF134" s="60"/>
      <c r="BG134" s="60"/>
      <c r="BH134" s="60"/>
      <c r="BI134" s="60"/>
      <c r="BJ134" s="60"/>
      <c r="BK134" s="61"/>
      <c r="BM134" s="54" t="str">
        <f>IF($R134,"&amp;AllGlyphs[" &amp; E134 &amp; "]","")</f>
        <v>&amp;AllGlyphs[133]</v>
      </c>
      <c r="BN134" s="54" t="str">
        <f>IF($R134,"&amp;AllGlyphs[" &amp; G134 &amp; "]","")</f>
        <v>&amp;AllGlyphs[131]</v>
      </c>
      <c r="BO134" s="54" t="str">
        <f>IF($R134,"&amp;AllGlyphs[" &amp; I134 &amp; "]","")</f>
        <v>&amp;AllGlyphs[131]</v>
      </c>
      <c r="BP134" s="54" t="str">
        <f>IF($R134,"&amp;AllGlyphs[" &amp; K134 &amp; "]","")</f>
        <v>&amp;AllGlyphs[132]</v>
      </c>
      <c r="BQ134" s="54" t="str">
        <f>IF($R134,"&amp;AllGlyphs[" &amp; M134 &amp; "]","")</f>
        <v>&amp;AllGlyphs[133]</v>
      </c>
      <c r="BR134" s="54" t="str">
        <f>IF($R134,"&amp;AllGlyphs[" &amp; O134 &amp; "]","")</f>
        <v>&amp;AllGlyphs[134]</v>
      </c>
      <c r="BT134" s="58">
        <f>IF($R134,IF(AB134,1,0),"")</f>
        <v>0</v>
      </c>
      <c r="BU134" s="58">
        <f>IF($R134,IF(AC134,1,0),"")</f>
        <v>0</v>
      </c>
      <c r="BV134" s="58">
        <f>IF($R134,IF(AD134,1,0),"")</f>
        <v>0</v>
      </c>
      <c r="BW134" s="58">
        <f>IF($R134,IF(AE134,1,0),"")</f>
        <v>1</v>
      </c>
      <c r="BX134" s="58">
        <f>IF($R134,IF(AR134,1,0),"")</f>
        <v>0</v>
      </c>
      <c r="BY134" s="58">
        <f>IF($R134,IF(AS134,1,0),"")</f>
        <v>0</v>
      </c>
    </row>
    <row r="135" spans="1:77" x14ac:dyDescent="0.4">
      <c r="A135" s="7" t="s">
        <v>114</v>
      </c>
      <c r="B135" s="6" t="str">
        <f t="shared" si="28"/>
        <v>É</v>
      </c>
      <c r="C135" s="48" cm="1">
        <f t="array" ref="C135">IF($R135,INDEX($S:$S,MATCH(TRUE,EXACT(B135,$A:$A),0)),"")</f>
        <v>133</v>
      </c>
      <c r="D135" s="38" t="s">
        <v>112</v>
      </c>
      <c r="E135" s="48" cm="1">
        <f t="array" ref="E135">IF($R135,INDEX($S:$S,MATCH(TRUE,EXACT(D135,$A:$A),0)),"")</f>
        <v>131</v>
      </c>
      <c r="F135" s="38" t="s">
        <v>115</v>
      </c>
      <c r="G135" s="48" cm="1">
        <f t="array" ref="G135">IF($S135&lt;&gt;"",INDEX($S:$S,MATCH(TRUE,EXACT(F135,$A:$A),0)),"")</f>
        <v>134</v>
      </c>
      <c r="H135" s="38" t="s">
        <v>114</v>
      </c>
      <c r="I135" s="48" cm="1">
        <f t="array" ref="I135">IF($R135,INDEX($S:$S,MATCH(TRUE,EXACT(H135,$A:$A),0)),"")</f>
        <v>133</v>
      </c>
      <c r="J135" s="38" t="s">
        <v>115</v>
      </c>
      <c r="K135" s="52" cm="1">
        <f t="array" ref="K135">IF($R135,INDEX($S:$S,MATCH(TRUE,EXACT(J135,$A:$A),0)),"")</f>
        <v>134</v>
      </c>
      <c r="L135" s="38" t="str" cm="1">
        <f t="array" ref="L135">IF($R135,INDEX($T:$T,MATCH(TRUE,EXACT(H135,$D:$D),0)),"")</f>
        <v>È</v>
      </c>
      <c r="M135" s="48" cm="1">
        <f t="array" ref="M135">IF($R135,INDEX($S:$S,MATCH(TRUE,EXACT(L135,$A:$A),0)),"")</f>
        <v>132</v>
      </c>
      <c r="N135" s="38" t="str" cm="1">
        <f t="array" ref="N135">IF($R135,INDEX($T:$T,MATCH(TRUE,EXACT(J135,$D:$D),0)),"")</f>
        <v>Ç</v>
      </c>
      <c r="O135" s="52" cm="1">
        <f t="array" ref="O135">IF($R135,INDEX($S:$S,MATCH(TRUE,EXACT(N135,$A:$A),0)),"")</f>
        <v>131</v>
      </c>
      <c r="P135" s="23"/>
      <c r="Q135" s="33"/>
      <c r="R135" s="18" t="b">
        <f t="shared" si="29"/>
        <v>1</v>
      </c>
      <c r="S135" s="19">
        <f>IF(R135, MAX(S$2:S134)+1,"")</f>
        <v>133</v>
      </c>
      <c r="T135" s="23" t="str">
        <f t="shared" si="30"/>
        <v>É</v>
      </c>
      <c r="U135" s="8" t="str" cm="1">
        <f t="array" ref="U135">CharToUTF8(A135)</f>
        <v>\xC3\x89</v>
      </c>
      <c r="W135" s="18" t="str">
        <f>$AU$2</f>
        <v>EMPTY</v>
      </c>
      <c r="X135" s="24" t="str">
        <f>$AU$2</f>
        <v>EMPTY</v>
      </c>
      <c r="Y135" s="24" t="str">
        <f>$AU$4</f>
        <v>ORTHO_BOTH</v>
      </c>
      <c r="Z135" s="21" t="str">
        <f>$AU$2</f>
        <v>EMPTY</v>
      </c>
      <c r="AB135" s="31" t="b">
        <f t="shared" si="31"/>
        <v>0</v>
      </c>
      <c r="AC135" s="31" t="b">
        <f t="shared" si="32"/>
        <v>0</v>
      </c>
      <c r="AD135" t="b">
        <f t="shared" si="33"/>
        <v>1</v>
      </c>
      <c r="AE135" t="b">
        <f t="shared" si="34"/>
        <v>0</v>
      </c>
      <c r="AF135" t="b">
        <f>IF($R135,W135=VLOOKUP(Z135,$AU$2:$AZ$10,3,FALSE),"")</f>
        <v>1</v>
      </c>
      <c r="AG135" t="b">
        <f>IF($R135,X135=VLOOKUP(Y135,$AU$2:$AZ$10,3,FALSE),"")</f>
        <v>0</v>
      </c>
      <c r="AH135" t="b">
        <f>IF($R135,Y135=VLOOKUP(W135,$AU$2:$AZ$10,3,FALSE),"")</f>
        <v>0</v>
      </c>
      <c r="AI135" t="b">
        <f>IF($R135,Z135=VLOOKUP(X135,$AU$2:$AZ$10,3,FALSE),"")</f>
        <v>1</v>
      </c>
      <c r="AJ135" t="b">
        <f>IF($R135,W135=VLOOKUP(W135,$AU$2:$AZ$10,4,FALSE),"")</f>
        <v>1</v>
      </c>
      <c r="AK135" t="b">
        <f>IF($R135,X135=VLOOKUP(X135,$AU$2:$AZ$10,4,FALSE),"")</f>
        <v>1</v>
      </c>
      <c r="AL135" t="b">
        <f>IF($R135,Y135=VLOOKUP(Y135,$AU$2:$AZ$10,4,FALSE),"")</f>
        <v>1</v>
      </c>
      <c r="AM135" t="b">
        <f>IF($R135,Z135=VLOOKUP(Z135,$AU$2:$AZ$10,4,FALSE),"")</f>
        <v>1</v>
      </c>
      <c r="AN135" t="b">
        <f>IF($R135,W135=VLOOKUP(W135,$AU$2:$AZ$10,5,FALSE),"")</f>
        <v>1</v>
      </c>
      <c r="AO135" t="b">
        <f>IF($R135,X135=VLOOKUP(X135,$AU$2:$AZ$10,5,FALSE),"")</f>
        <v>1</v>
      </c>
      <c r="AP135" t="b">
        <f>IF($R135,Y135=VLOOKUP(Y135,$AU$2:$AZ$10,6,FALSE),"")</f>
        <v>1</v>
      </c>
      <c r="AQ135" t="b">
        <f>IF($R135,Z135=VLOOKUP(Z135,$AU$2:$AZ$10,6,FALSE),"")</f>
        <v>1</v>
      </c>
      <c r="AR135" t="b">
        <f t="shared" si="35"/>
        <v>0</v>
      </c>
      <c r="AS135" t="b">
        <f t="shared" si="36"/>
        <v>0</v>
      </c>
      <c r="BD135" s="59" t="str">
        <f t="shared" si="37"/>
        <v xml:space="preserve">    { wxString::FromUTF8("\xC3\x89"), &amp;AllGlyphs[131], &amp;AllGlyphs[134], &amp;AllGlyphs[133], &amp;AllGlyphs[134], &amp;AllGlyphs[132], &amp;AllGlyphs[131], Connection::EMPTY, Connection::EMPTY, Connection::ORTHO_BOTH, Connection::EMPTY, 0, 0, 1, 0, 0, 0 },</v>
      </c>
      <c r="BE135" s="60"/>
      <c r="BF135" s="60"/>
      <c r="BG135" s="60"/>
      <c r="BH135" s="60"/>
      <c r="BI135" s="60"/>
      <c r="BJ135" s="60"/>
      <c r="BK135" s="61"/>
      <c r="BM135" s="54" t="str">
        <f>IF($R135,"&amp;AllGlyphs[" &amp; E135 &amp; "]","")</f>
        <v>&amp;AllGlyphs[131]</v>
      </c>
      <c r="BN135" s="54" t="str">
        <f>IF($R135,"&amp;AllGlyphs[" &amp; G135 &amp; "]","")</f>
        <v>&amp;AllGlyphs[134]</v>
      </c>
      <c r="BO135" s="54" t="str">
        <f>IF($R135,"&amp;AllGlyphs[" &amp; I135 &amp; "]","")</f>
        <v>&amp;AllGlyphs[133]</v>
      </c>
      <c r="BP135" s="54" t="str">
        <f>IF($R135,"&amp;AllGlyphs[" &amp; K135 &amp; "]","")</f>
        <v>&amp;AllGlyphs[134]</v>
      </c>
      <c r="BQ135" s="54" t="str">
        <f>IF($R135,"&amp;AllGlyphs[" &amp; M135 &amp; "]","")</f>
        <v>&amp;AllGlyphs[132]</v>
      </c>
      <c r="BR135" s="54" t="str">
        <f>IF($R135,"&amp;AllGlyphs[" &amp; O135 &amp; "]","")</f>
        <v>&amp;AllGlyphs[131]</v>
      </c>
      <c r="BT135" s="58">
        <f>IF($R135,IF(AB135,1,0),"")</f>
        <v>0</v>
      </c>
      <c r="BU135" s="58">
        <f>IF($R135,IF(AC135,1,0),"")</f>
        <v>0</v>
      </c>
      <c r="BV135" s="58">
        <f>IF($R135,IF(AD135,1,0),"")</f>
        <v>1</v>
      </c>
      <c r="BW135" s="58">
        <f>IF($R135,IF(AE135,1,0),"")</f>
        <v>0</v>
      </c>
      <c r="BX135" s="58">
        <f>IF($R135,IF(AR135,1,0),"")</f>
        <v>0</v>
      </c>
      <c r="BY135" s="58">
        <f>IF($R135,IF(AS135,1,0),"")</f>
        <v>0</v>
      </c>
    </row>
    <row r="136" spans="1:77" x14ac:dyDescent="0.4">
      <c r="A136" s="7" t="s">
        <v>115</v>
      </c>
      <c r="B136" s="6" t="str">
        <f t="shared" si="28"/>
        <v>Ê</v>
      </c>
      <c r="C136" s="48" cm="1">
        <f t="array" ref="C136">IF($R136,INDEX($S:$S,MATCH(TRUE,EXACT(B136,$A:$A),0)),"")</f>
        <v>134</v>
      </c>
      <c r="D136" s="38" t="s">
        <v>113</v>
      </c>
      <c r="E136" s="48" cm="1">
        <f t="array" ref="E136">IF($R136,INDEX($S:$S,MATCH(TRUE,EXACT(D136,$A:$A),0)),"")</f>
        <v>132</v>
      </c>
      <c r="F136" s="38" t="s">
        <v>114</v>
      </c>
      <c r="G136" s="48" cm="1">
        <f t="array" ref="G136">IF($S136&lt;&gt;"",INDEX($S:$S,MATCH(TRUE,EXACT(F136,$A:$A),0)),"")</f>
        <v>133</v>
      </c>
      <c r="H136" s="38" t="s">
        <v>115</v>
      </c>
      <c r="I136" s="48" cm="1">
        <f t="array" ref="I136">IF($R136,INDEX($S:$S,MATCH(TRUE,EXACT(H136,$A:$A),0)),"")</f>
        <v>134</v>
      </c>
      <c r="J136" s="38" t="s">
        <v>114</v>
      </c>
      <c r="K136" s="52" cm="1">
        <f t="array" ref="K136">IF($R136,INDEX($S:$S,MATCH(TRUE,EXACT(J136,$A:$A),0)),"")</f>
        <v>133</v>
      </c>
      <c r="L136" s="38" t="str" cm="1">
        <f t="array" ref="L136">IF($R136,INDEX($T:$T,MATCH(TRUE,EXACT(H136,$D:$D),0)),"")</f>
        <v>Ç</v>
      </c>
      <c r="M136" s="48" cm="1">
        <f t="array" ref="M136">IF($R136,INDEX($S:$S,MATCH(TRUE,EXACT(L136,$A:$A),0)),"")</f>
        <v>131</v>
      </c>
      <c r="N136" s="38" t="str" cm="1">
        <f t="array" ref="N136">IF($R136,INDEX($T:$T,MATCH(TRUE,EXACT(J136,$D:$D),0)),"")</f>
        <v>È</v>
      </c>
      <c r="O136" s="52" cm="1">
        <f t="array" ref="O136">IF($R136,INDEX($S:$S,MATCH(TRUE,EXACT(N136,$A:$A),0)),"")</f>
        <v>132</v>
      </c>
      <c r="P136" s="23"/>
      <c r="Q136" s="33"/>
      <c r="R136" s="18" t="b">
        <f t="shared" si="29"/>
        <v>1</v>
      </c>
      <c r="S136" s="19">
        <f>IF(R136, MAX(S$2:S135)+1,"")</f>
        <v>134</v>
      </c>
      <c r="T136" s="23" t="str">
        <f t="shared" si="30"/>
        <v>Ê</v>
      </c>
      <c r="U136" s="8" t="str" cm="1">
        <f t="array" ref="U136">CharToUTF8(A136)</f>
        <v>\xC3\x8A</v>
      </c>
      <c r="W136" s="18" t="str">
        <f>$AU$2</f>
        <v>EMPTY</v>
      </c>
      <c r="X136" s="24" t="str">
        <f>$AU$2</f>
        <v>EMPTY</v>
      </c>
      <c r="Y136" s="24" t="str">
        <f>$AU$2</f>
        <v>EMPTY</v>
      </c>
      <c r="Z136" s="21" t="str">
        <f>$AU$4</f>
        <v>ORTHO_BOTH</v>
      </c>
      <c r="AB136" s="31" t="b">
        <f t="shared" si="31"/>
        <v>0</v>
      </c>
      <c r="AC136" s="31" t="b">
        <f t="shared" si="32"/>
        <v>0</v>
      </c>
      <c r="AD136" t="b">
        <f t="shared" si="33"/>
        <v>1</v>
      </c>
      <c r="AE136" t="b">
        <f t="shared" si="34"/>
        <v>0</v>
      </c>
      <c r="AF136" t="b">
        <f>IF($R136,W136=VLOOKUP(Z136,$AU$2:$AZ$10,3,FALSE),"")</f>
        <v>0</v>
      </c>
      <c r="AG136" t="b">
        <f>IF($R136,X136=VLOOKUP(Y136,$AU$2:$AZ$10,3,FALSE),"")</f>
        <v>1</v>
      </c>
      <c r="AH136" t="b">
        <f>IF($R136,Y136=VLOOKUP(W136,$AU$2:$AZ$10,3,FALSE),"")</f>
        <v>1</v>
      </c>
      <c r="AI136" t="b">
        <f>IF($R136,Z136=VLOOKUP(X136,$AU$2:$AZ$10,3,FALSE),"")</f>
        <v>0</v>
      </c>
      <c r="AJ136" t="b">
        <f>IF($R136,W136=VLOOKUP(W136,$AU$2:$AZ$10,4,FALSE),"")</f>
        <v>1</v>
      </c>
      <c r="AK136" t="b">
        <f>IF($R136,X136=VLOOKUP(X136,$AU$2:$AZ$10,4,FALSE),"")</f>
        <v>1</v>
      </c>
      <c r="AL136" t="b">
        <f>IF($R136,Y136=VLOOKUP(Y136,$AU$2:$AZ$10,4,FALSE),"")</f>
        <v>1</v>
      </c>
      <c r="AM136" t="b">
        <f>IF($R136,Z136=VLOOKUP(Z136,$AU$2:$AZ$10,4,FALSE),"")</f>
        <v>1</v>
      </c>
      <c r="AN136" t="b">
        <f>IF($R136,W136=VLOOKUP(W136,$AU$2:$AZ$10,5,FALSE),"")</f>
        <v>1</v>
      </c>
      <c r="AO136" t="b">
        <f>IF($R136,X136=VLOOKUP(X136,$AU$2:$AZ$10,5,FALSE),"")</f>
        <v>1</v>
      </c>
      <c r="AP136" t="b">
        <f>IF($R136,Y136=VLOOKUP(Y136,$AU$2:$AZ$10,6,FALSE),"")</f>
        <v>1</v>
      </c>
      <c r="AQ136" t="b">
        <f>IF($R136,Z136=VLOOKUP(Z136,$AU$2:$AZ$10,6,FALSE),"")</f>
        <v>1</v>
      </c>
      <c r="AR136" t="b">
        <f t="shared" si="35"/>
        <v>0</v>
      </c>
      <c r="AS136" t="b">
        <f t="shared" si="36"/>
        <v>0</v>
      </c>
      <c r="BD136" s="59" t="str">
        <f t="shared" si="37"/>
        <v xml:space="preserve">    { wxString::FromUTF8("\xC3\x8A"), &amp;AllGlyphs[132], &amp;AllGlyphs[133], &amp;AllGlyphs[134], &amp;AllGlyphs[133], &amp;AllGlyphs[131], &amp;AllGlyphs[132], Connection::EMPTY, Connection::EMPTY, Connection::EMPTY, Connection::ORTHO_BOTH, 0, 0, 1, 0, 0, 0 },</v>
      </c>
      <c r="BE136" s="60"/>
      <c r="BF136" s="60"/>
      <c r="BG136" s="60"/>
      <c r="BH136" s="60"/>
      <c r="BI136" s="60"/>
      <c r="BJ136" s="60"/>
      <c r="BK136" s="61"/>
      <c r="BM136" s="54" t="str">
        <f>IF($R136,"&amp;AllGlyphs[" &amp; E136 &amp; "]","")</f>
        <v>&amp;AllGlyphs[132]</v>
      </c>
      <c r="BN136" s="54" t="str">
        <f>IF($R136,"&amp;AllGlyphs[" &amp; G136 &amp; "]","")</f>
        <v>&amp;AllGlyphs[133]</v>
      </c>
      <c r="BO136" s="54" t="str">
        <f>IF($R136,"&amp;AllGlyphs[" &amp; I136 &amp; "]","")</f>
        <v>&amp;AllGlyphs[134]</v>
      </c>
      <c r="BP136" s="54" t="str">
        <f>IF($R136,"&amp;AllGlyphs[" &amp; K136 &amp; "]","")</f>
        <v>&amp;AllGlyphs[133]</v>
      </c>
      <c r="BQ136" s="54" t="str">
        <f>IF($R136,"&amp;AllGlyphs[" &amp; M136 &amp; "]","")</f>
        <v>&amp;AllGlyphs[131]</v>
      </c>
      <c r="BR136" s="54" t="str">
        <f>IF($R136,"&amp;AllGlyphs[" &amp; O136 &amp; "]","")</f>
        <v>&amp;AllGlyphs[132]</v>
      </c>
      <c r="BT136" s="58">
        <f>IF($R136,IF(AB136,1,0),"")</f>
        <v>0</v>
      </c>
      <c r="BU136" s="58">
        <f>IF($R136,IF(AC136,1,0),"")</f>
        <v>0</v>
      </c>
      <c r="BV136" s="58">
        <f>IF($R136,IF(AD136,1,0),"")</f>
        <v>1</v>
      </c>
      <c r="BW136" s="58">
        <f>IF($R136,IF(AE136,1,0),"")</f>
        <v>0</v>
      </c>
      <c r="BX136" s="58">
        <f>IF($R136,IF(AR136,1,0),"")</f>
        <v>0</v>
      </c>
      <c r="BY136" s="58">
        <f>IF($R136,IF(AS136,1,0),"")</f>
        <v>0</v>
      </c>
    </row>
    <row r="137" spans="1:77" x14ac:dyDescent="0.4">
      <c r="A137" s="7" t="s">
        <v>116</v>
      </c>
      <c r="B137" s="6" t="str">
        <f t="shared" si="28"/>
        <v>Ë</v>
      </c>
      <c r="C137" s="48" cm="1">
        <f t="array" ref="C137">IF($R137,INDEX($S:$S,MATCH(TRUE,EXACT(B137,$A:$A),0)),"")</f>
        <v>135</v>
      </c>
      <c r="D137" s="38" t="s">
        <v>117</v>
      </c>
      <c r="E137" s="48" cm="1">
        <f t="array" ref="E137">IF($R137,INDEX($S:$S,MATCH(TRUE,EXACT(D137,$A:$A),0)),"")</f>
        <v>136</v>
      </c>
      <c r="F137" s="38" t="s">
        <v>119</v>
      </c>
      <c r="G137" s="48" cm="1">
        <f t="array" ref="G137">IF($S137&lt;&gt;"",INDEX($S:$S,MATCH(TRUE,EXACT(F137,$A:$A),0)),"")</f>
        <v>138</v>
      </c>
      <c r="H137" s="38" t="s">
        <v>118</v>
      </c>
      <c r="I137" s="48" cm="1">
        <f t="array" ref="I137">IF($R137,INDEX($S:$S,MATCH(TRUE,EXACT(H137,$A:$A),0)),"")</f>
        <v>137</v>
      </c>
      <c r="J137" s="38" t="s">
        <v>117</v>
      </c>
      <c r="K137" s="52" cm="1">
        <f t="array" ref="K137">IF($R137,INDEX($S:$S,MATCH(TRUE,EXACT(J137,$A:$A),0)),"")</f>
        <v>136</v>
      </c>
      <c r="L137" s="38" t="str" cm="1">
        <f t="array" ref="L137">IF($R137,INDEX($T:$T,MATCH(TRUE,EXACT(H137,$D:$D),0)),"")</f>
        <v>Î</v>
      </c>
      <c r="M137" s="48" cm="1">
        <f t="array" ref="M137">IF($R137,INDEX($S:$S,MATCH(TRUE,EXACT(L137,$A:$A),0)),"")</f>
        <v>138</v>
      </c>
      <c r="N137" s="38" t="str" cm="1">
        <f t="array" ref="N137">IF($R137,INDEX($T:$T,MATCH(TRUE,EXACT(J137,$D:$D),0)),"")</f>
        <v>Ë</v>
      </c>
      <c r="O137" s="52" cm="1">
        <f t="array" ref="O137">IF($R137,INDEX($S:$S,MATCH(TRUE,EXACT(N137,$A:$A),0)),"")</f>
        <v>135</v>
      </c>
      <c r="P137" s="23"/>
      <c r="Q137" s="33"/>
      <c r="R137" s="18" t="b">
        <f t="shared" si="29"/>
        <v>1</v>
      </c>
      <c r="S137" s="19">
        <f>IF(R137, MAX(S$2:S136)+1,"")</f>
        <v>135</v>
      </c>
      <c r="T137" s="23" t="str">
        <f t="shared" si="30"/>
        <v>Ë</v>
      </c>
      <c r="U137" s="8" t="str" cm="1">
        <f t="array" ref="U137">CharToUTF8(A137)</f>
        <v>\xC3\x8B</v>
      </c>
      <c r="W137" s="18" t="str">
        <f>$AU$2</f>
        <v>EMPTY</v>
      </c>
      <c r="X137" s="24" t="str">
        <f>$AU$9</f>
        <v>ORTHO_LEFT</v>
      </c>
      <c r="Y137" s="24" t="str">
        <f>$AU$2</f>
        <v>EMPTY</v>
      </c>
      <c r="Z137" s="21" t="str">
        <f>$AU$7</f>
        <v>ORTHO_UP</v>
      </c>
      <c r="AB137" s="31" t="b">
        <f t="shared" si="31"/>
        <v>0</v>
      </c>
      <c r="AC137" s="31" t="b">
        <f t="shared" si="32"/>
        <v>0</v>
      </c>
      <c r="AD137" t="b">
        <f t="shared" si="33"/>
        <v>0</v>
      </c>
      <c r="AE137" t="b">
        <f t="shared" si="34"/>
        <v>0</v>
      </c>
      <c r="AF137" t="b">
        <f>IF($R137,W137=VLOOKUP(Z137,$AU$2:$AZ$10,3,FALSE),"")</f>
        <v>0</v>
      </c>
      <c r="AG137" t="b">
        <f>IF($R137,X137=VLOOKUP(Y137,$AU$2:$AZ$10,3,FALSE),"")</f>
        <v>0</v>
      </c>
      <c r="AH137" t="b">
        <f>IF($R137,Y137=VLOOKUP(W137,$AU$2:$AZ$10,3,FALSE),"")</f>
        <v>1</v>
      </c>
      <c r="AI137" t="b">
        <f>IF($R137,Z137=VLOOKUP(X137,$AU$2:$AZ$10,3,FALSE),"")</f>
        <v>1</v>
      </c>
      <c r="AJ137" t="b">
        <f>IF($R137,W137=VLOOKUP(W137,$AU$2:$AZ$10,4,FALSE),"")</f>
        <v>1</v>
      </c>
      <c r="AK137" t="b">
        <f>IF($R137,X137=VLOOKUP(X137,$AU$2:$AZ$10,4,FALSE),"")</f>
        <v>0</v>
      </c>
      <c r="AL137" t="b">
        <f>IF($R137,Y137=VLOOKUP(Y137,$AU$2:$AZ$10,4,FALSE),"")</f>
        <v>1</v>
      </c>
      <c r="AM137" t="b">
        <f>IF($R137,Z137=VLOOKUP(Z137,$AU$2:$AZ$10,4,FALSE),"")</f>
        <v>0</v>
      </c>
      <c r="AN137" t="b">
        <f>IF($R137,W137=VLOOKUP(W137,$AU$2:$AZ$10,5,FALSE),"")</f>
        <v>1</v>
      </c>
      <c r="AO137" t="b">
        <f>IF($R137,X137=VLOOKUP(X137,$AU$2:$AZ$10,5,FALSE),"")</f>
        <v>1</v>
      </c>
      <c r="AP137" t="b">
        <f>IF($R137,Y137=VLOOKUP(Y137,$AU$2:$AZ$10,6,FALSE),"")</f>
        <v>1</v>
      </c>
      <c r="AQ137" t="b">
        <f>IF($R137,Z137=VLOOKUP(Z137,$AU$2:$AZ$10,6,FALSE),"")</f>
        <v>1</v>
      </c>
      <c r="AR137" t="b">
        <f t="shared" si="35"/>
        <v>0</v>
      </c>
      <c r="AS137" t="b">
        <f t="shared" si="36"/>
        <v>1</v>
      </c>
      <c r="BD137" s="59" t="str">
        <f t="shared" si="37"/>
        <v xml:space="preserve">    { wxString::FromUTF8("\xC3\x8B"), &amp;AllGlyphs[136], &amp;AllGlyphs[138], &amp;AllGlyphs[137], &amp;AllGlyphs[136], &amp;AllGlyphs[138], &amp;AllGlyphs[135], Connection::EMPTY, Connection::ORTHO_LEFT, Connection::EMPTY, Connection::ORTHO_UP, 0, 0, 0, 0, 0, 1 },</v>
      </c>
      <c r="BE137" s="60"/>
      <c r="BF137" s="60"/>
      <c r="BG137" s="60"/>
      <c r="BH137" s="60"/>
      <c r="BI137" s="60"/>
      <c r="BJ137" s="60"/>
      <c r="BK137" s="61"/>
      <c r="BM137" s="54" t="str">
        <f>IF($R137,"&amp;AllGlyphs[" &amp; E137 &amp; "]","")</f>
        <v>&amp;AllGlyphs[136]</v>
      </c>
      <c r="BN137" s="54" t="str">
        <f>IF($R137,"&amp;AllGlyphs[" &amp; G137 &amp; "]","")</f>
        <v>&amp;AllGlyphs[138]</v>
      </c>
      <c r="BO137" s="54" t="str">
        <f>IF($R137,"&amp;AllGlyphs[" &amp; I137 &amp; "]","")</f>
        <v>&amp;AllGlyphs[137]</v>
      </c>
      <c r="BP137" s="54" t="str">
        <f>IF($R137,"&amp;AllGlyphs[" &amp; K137 &amp; "]","")</f>
        <v>&amp;AllGlyphs[136]</v>
      </c>
      <c r="BQ137" s="54" t="str">
        <f>IF($R137,"&amp;AllGlyphs[" &amp; M137 &amp; "]","")</f>
        <v>&amp;AllGlyphs[138]</v>
      </c>
      <c r="BR137" s="54" t="str">
        <f>IF($R137,"&amp;AllGlyphs[" &amp; O137 &amp; "]","")</f>
        <v>&amp;AllGlyphs[135]</v>
      </c>
      <c r="BT137" s="58">
        <f>IF($R137,IF(AB137,1,0),"")</f>
        <v>0</v>
      </c>
      <c r="BU137" s="58">
        <f>IF($R137,IF(AC137,1,0),"")</f>
        <v>0</v>
      </c>
      <c r="BV137" s="58">
        <f>IF($R137,IF(AD137,1,0),"")</f>
        <v>0</v>
      </c>
      <c r="BW137" s="58">
        <f>IF($R137,IF(AE137,1,0),"")</f>
        <v>0</v>
      </c>
      <c r="BX137" s="58">
        <f>IF($R137,IF(AR137,1,0),"")</f>
        <v>0</v>
      </c>
      <c r="BY137" s="58">
        <f>IF($R137,IF(AS137,1,0),"")</f>
        <v>1</v>
      </c>
    </row>
    <row r="138" spans="1:77" x14ac:dyDescent="0.4">
      <c r="A138" s="7" t="s">
        <v>117</v>
      </c>
      <c r="B138" s="6" t="str">
        <f t="shared" si="28"/>
        <v>Ì</v>
      </c>
      <c r="C138" s="48" cm="1">
        <f t="array" ref="C138">IF($R138,INDEX($S:$S,MATCH(TRUE,EXACT(B138,$A:$A),0)),"")</f>
        <v>136</v>
      </c>
      <c r="D138" s="38" t="s">
        <v>119</v>
      </c>
      <c r="E138" s="48" cm="1">
        <f t="array" ref="E138">IF($R138,INDEX($S:$S,MATCH(TRUE,EXACT(D138,$A:$A),0)),"")</f>
        <v>138</v>
      </c>
      <c r="F138" s="38" t="s">
        <v>118</v>
      </c>
      <c r="G138" s="48" cm="1">
        <f t="array" ref="G138">IF($S138&lt;&gt;"",INDEX($S:$S,MATCH(TRUE,EXACT(F138,$A:$A),0)),"")</f>
        <v>137</v>
      </c>
      <c r="H138" s="38" t="s">
        <v>119</v>
      </c>
      <c r="I138" s="48" cm="1">
        <f t="array" ref="I138">IF($R138,INDEX($S:$S,MATCH(TRUE,EXACT(H138,$A:$A),0)),"")</f>
        <v>138</v>
      </c>
      <c r="J138" s="38" t="s">
        <v>116</v>
      </c>
      <c r="K138" s="52" cm="1">
        <f t="array" ref="K138">IF($R138,INDEX($S:$S,MATCH(TRUE,EXACT(J138,$A:$A),0)),"")</f>
        <v>135</v>
      </c>
      <c r="L138" s="38" t="str" cm="1">
        <f t="array" ref="L138">IF($R138,INDEX($T:$T,MATCH(TRUE,EXACT(H138,$D:$D),0)),"")</f>
        <v>Ì</v>
      </c>
      <c r="M138" s="48" cm="1">
        <f t="array" ref="M138">IF($R138,INDEX($S:$S,MATCH(TRUE,EXACT(L138,$A:$A),0)),"")</f>
        <v>136</v>
      </c>
      <c r="N138" s="38" t="str" cm="1">
        <f t="array" ref="N138">IF($R138,INDEX($T:$T,MATCH(TRUE,EXACT(J138,$D:$D),0)),"")</f>
        <v>Í</v>
      </c>
      <c r="O138" s="52" cm="1">
        <f t="array" ref="O138">IF($R138,INDEX($S:$S,MATCH(TRUE,EXACT(N138,$A:$A),0)),"")</f>
        <v>137</v>
      </c>
      <c r="P138" s="23"/>
      <c r="Q138" s="33"/>
      <c r="R138" s="18" t="b">
        <f t="shared" si="29"/>
        <v>1</v>
      </c>
      <c r="S138" s="19">
        <f>IF(R138, MAX(S$2:S137)+1,"")</f>
        <v>136</v>
      </c>
      <c r="T138" s="23" t="str">
        <f t="shared" si="30"/>
        <v>Ì</v>
      </c>
      <c r="U138" s="8" t="str" cm="1">
        <f t="array" ref="U138">CharToUTF8(A138)</f>
        <v>\xC3\x8C</v>
      </c>
      <c r="W138" s="18" t="str">
        <f>$AU$2</f>
        <v>EMPTY</v>
      </c>
      <c r="X138" s="24" t="str">
        <f>$AU$10</f>
        <v>ORTHO_RIGHT</v>
      </c>
      <c r="Y138" s="24" t="str">
        <f>$AU$7</f>
        <v>ORTHO_UP</v>
      </c>
      <c r="Z138" s="21" t="str">
        <f>$AU$2</f>
        <v>EMPTY</v>
      </c>
      <c r="AB138" s="31" t="b">
        <f t="shared" si="31"/>
        <v>0</v>
      </c>
      <c r="AC138" s="31" t="b">
        <f t="shared" si="32"/>
        <v>0</v>
      </c>
      <c r="AD138" t="b">
        <f t="shared" si="33"/>
        <v>0</v>
      </c>
      <c r="AE138" t="b">
        <f t="shared" si="34"/>
        <v>0</v>
      </c>
      <c r="AF138" t="b">
        <f>IF($R138,W138=VLOOKUP(Z138,$AU$2:$AZ$10,3,FALSE),"")</f>
        <v>1</v>
      </c>
      <c r="AG138" t="b">
        <f>IF($R138,X138=VLOOKUP(Y138,$AU$2:$AZ$10,3,FALSE),"")</f>
        <v>1</v>
      </c>
      <c r="AH138" t="b">
        <f>IF($R138,Y138=VLOOKUP(W138,$AU$2:$AZ$10,3,FALSE),"")</f>
        <v>0</v>
      </c>
      <c r="AI138" t="b">
        <f>IF($R138,Z138=VLOOKUP(X138,$AU$2:$AZ$10,3,FALSE),"")</f>
        <v>0</v>
      </c>
      <c r="AJ138" t="b">
        <f>IF($R138,W138=VLOOKUP(W138,$AU$2:$AZ$10,4,FALSE),"")</f>
        <v>1</v>
      </c>
      <c r="AK138" t="b">
        <f>IF($R138,X138=VLOOKUP(X138,$AU$2:$AZ$10,4,FALSE),"")</f>
        <v>0</v>
      </c>
      <c r="AL138" t="b">
        <f>IF($R138,Y138=VLOOKUP(Y138,$AU$2:$AZ$10,4,FALSE),"")</f>
        <v>0</v>
      </c>
      <c r="AM138" t="b">
        <f>IF($R138,Z138=VLOOKUP(Z138,$AU$2:$AZ$10,4,FALSE),"")</f>
        <v>1</v>
      </c>
      <c r="AN138" t="b">
        <f>IF($R138,W138=VLOOKUP(W138,$AU$2:$AZ$10,5,FALSE),"")</f>
        <v>1</v>
      </c>
      <c r="AO138" t="b">
        <f>IF($R138,X138=VLOOKUP(X138,$AU$2:$AZ$10,5,FALSE),"")</f>
        <v>1</v>
      </c>
      <c r="AP138" t="b">
        <f>IF($R138,Y138=VLOOKUP(Y138,$AU$2:$AZ$10,6,FALSE),"")</f>
        <v>1</v>
      </c>
      <c r="AQ138" t="b">
        <f>IF($R138,Z138=VLOOKUP(Z138,$AU$2:$AZ$10,6,FALSE),"")</f>
        <v>1</v>
      </c>
      <c r="AR138" t="b">
        <f t="shared" si="35"/>
        <v>1</v>
      </c>
      <c r="AS138" t="b">
        <f t="shared" si="36"/>
        <v>0</v>
      </c>
      <c r="BD138" s="59" t="str">
        <f t="shared" si="37"/>
        <v xml:space="preserve">    { wxString::FromUTF8("\xC3\x8C"), &amp;AllGlyphs[138], &amp;AllGlyphs[137], &amp;AllGlyphs[138], &amp;AllGlyphs[135], &amp;AllGlyphs[136], &amp;AllGlyphs[137], Connection::EMPTY, Connection::ORTHO_RIGHT, Connection::ORTHO_UP, Connection::EMPTY, 0, 0, 0, 0, 1, 0 },</v>
      </c>
      <c r="BE138" s="60"/>
      <c r="BF138" s="60"/>
      <c r="BG138" s="60"/>
      <c r="BH138" s="60"/>
      <c r="BI138" s="60"/>
      <c r="BJ138" s="60"/>
      <c r="BK138" s="61"/>
      <c r="BM138" s="54" t="str">
        <f>IF($R138,"&amp;AllGlyphs[" &amp; E138 &amp; "]","")</f>
        <v>&amp;AllGlyphs[138]</v>
      </c>
      <c r="BN138" s="54" t="str">
        <f>IF($R138,"&amp;AllGlyphs[" &amp; G138 &amp; "]","")</f>
        <v>&amp;AllGlyphs[137]</v>
      </c>
      <c r="BO138" s="54" t="str">
        <f>IF($R138,"&amp;AllGlyphs[" &amp; I138 &amp; "]","")</f>
        <v>&amp;AllGlyphs[138]</v>
      </c>
      <c r="BP138" s="54" t="str">
        <f>IF($R138,"&amp;AllGlyphs[" &amp; K138 &amp; "]","")</f>
        <v>&amp;AllGlyphs[135]</v>
      </c>
      <c r="BQ138" s="54" t="str">
        <f>IF($R138,"&amp;AllGlyphs[" &amp; M138 &amp; "]","")</f>
        <v>&amp;AllGlyphs[136]</v>
      </c>
      <c r="BR138" s="54" t="str">
        <f>IF($R138,"&amp;AllGlyphs[" &amp; O138 &amp; "]","")</f>
        <v>&amp;AllGlyphs[137]</v>
      </c>
      <c r="BT138" s="58">
        <f>IF($R138,IF(AB138,1,0),"")</f>
        <v>0</v>
      </c>
      <c r="BU138" s="58">
        <f>IF($R138,IF(AC138,1,0),"")</f>
        <v>0</v>
      </c>
      <c r="BV138" s="58">
        <f>IF($R138,IF(AD138,1,0),"")</f>
        <v>0</v>
      </c>
      <c r="BW138" s="58">
        <f>IF($R138,IF(AE138,1,0),"")</f>
        <v>0</v>
      </c>
      <c r="BX138" s="58">
        <f>IF($R138,IF(AR138,1,0),"")</f>
        <v>1</v>
      </c>
      <c r="BY138" s="58">
        <f>IF($R138,IF(AS138,1,0),"")</f>
        <v>0</v>
      </c>
    </row>
    <row r="139" spans="1:77" x14ac:dyDescent="0.4">
      <c r="A139" s="7" t="s">
        <v>118</v>
      </c>
      <c r="B139" s="6" t="str">
        <f t="shared" si="28"/>
        <v>Í</v>
      </c>
      <c r="C139" s="48" cm="1">
        <f t="array" ref="C139">IF($R139,INDEX($S:$S,MATCH(TRUE,EXACT(B139,$A:$A),0)),"")</f>
        <v>137</v>
      </c>
      <c r="D139" s="38" t="s">
        <v>116</v>
      </c>
      <c r="E139" s="48" cm="1">
        <f t="array" ref="E139">IF($R139,INDEX($S:$S,MATCH(TRUE,EXACT(D139,$A:$A),0)),"")</f>
        <v>135</v>
      </c>
      <c r="F139" s="38" t="s">
        <v>117</v>
      </c>
      <c r="G139" s="48" cm="1">
        <f t="array" ref="G139">IF($S139&lt;&gt;"",INDEX($S:$S,MATCH(TRUE,EXACT(F139,$A:$A),0)),"")</f>
        <v>136</v>
      </c>
      <c r="H139" s="38" t="s">
        <v>116</v>
      </c>
      <c r="I139" s="48" cm="1">
        <f t="array" ref="I139">IF($R139,INDEX($S:$S,MATCH(TRUE,EXACT(H139,$A:$A),0)),"")</f>
        <v>135</v>
      </c>
      <c r="J139" s="38" t="s">
        <v>119</v>
      </c>
      <c r="K139" s="52" cm="1">
        <f t="array" ref="K139">IF($R139,INDEX($S:$S,MATCH(TRUE,EXACT(J139,$A:$A),0)),"")</f>
        <v>138</v>
      </c>
      <c r="L139" s="38" t="str" cm="1">
        <f t="array" ref="L139">IF($R139,INDEX($T:$T,MATCH(TRUE,EXACT(H139,$D:$D),0)),"")</f>
        <v>Í</v>
      </c>
      <c r="M139" s="48" cm="1">
        <f t="array" ref="M139">IF($R139,INDEX($S:$S,MATCH(TRUE,EXACT(L139,$A:$A),0)),"")</f>
        <v>137</v>
      </c>
      <c r="N139" s="38" t="str" cm="1">
        <f t="array" ref="N139">IF($R139,INDEX($T:$T,MATCH(TRUE,EXACT(J139,$D:$D),0)),"")</f>
        <v>Ì</v>
      </c>
      <c r="O139" s="52" cm="1">
        <f t="array" ref="O139">IF($R139,INDEX($S:$S,MATCH(TRUE,EXACT(N139,$A:$A),0)),"")</f>
        <v>136</v>
      </c>
      <c r="P139" s="23"/>
      <c r="Q139" s="33"/>
      <c r="R139" s="18" t="b">
        <f t="shared" si="29"/>
        <v>1</v>
      </c>
      <c r="S139" s="19">
        <f>IF(R139, MAX(S$2:S138)+1,"")</f>
        <v>137</v>
      </c>
      <c r="T139" s="23" t="str">
        <f t="shared" si="30"/>
        <v>Í</v>
      </c>
      <c r="U139" s="8" t="str" cm="1">
        <f t="array" ref="U139">CharToUTF8(A139)</f>
        <v>\xC3\x8D</v>
      </c>
      <c r="W139" s="18" t="str">
        <f>$AU$9</f>
        <v>ORTHO_LEFT</v>
      </c>
      <c r="X139" s="24" t="str">
        <f>$AU$2</f>
        <v>EMPTY</v>
      </c>
      <c r="Y139" s="24" t="str">
        <f>$AU$2</f>
        <v>EMPTY</v>
      </c>
      <c r="Z139" s="21" t="str">
        <f>$AU$8</f>
        <v>ORTHO_DOWN</v>
      </c>
      <c r="AB139" s="31" t="b">
        <f t="shared" si="31"/>
        <v>0</v>
      </c>
      <c r="AC139" s="31" t="b">
        <f t="shared" si="32"/>
        <v>0</v>
      </c>
      <c r="AD139" t="b">
        <f t="shared" si="33"/>
        <v>0</v>
      </c>
      <c r="AE139" t="b">
        <f t="shared" si="34"/>
        <v>0</v>
      </c>
      <c r="AF139" t="b">
        <f>IF($R139,W139=VLOOKUP(Z139,$AU$2:$AZ$10,3,FALSE),"")</f>
        <v>1</v>
      </c>
      <c r="AG139" t="b">
        <f>IF($R139,X139=VLOOKUP(Y139,$AU$2:$AZ$10,3,FALSE),"")</f>
        <v>1</v>
      </c>
      <c r="AH139" t="b">
        <f>IF($R139,Y139=VLOOKUP(W139,$AU$2:$AZ$10,3,FALSE),"")</f>
        <v>0</v>
      </c>
      <c r="AI139" t="b">
        <f>IF($R139,Z139=VLOOKUP(X139,$AU$2:$AZ$10,3,FALSE),"")</f>
        <v>0</v>
      </c>
      <c r="AJ139" t="b">
        <f>IF($R139,W139=VLOOKUP(W139,$AU$2:$AZ$10,4,FALSE),"")</f>
        <v>0</v>
      </c>
      <c r="AK139" t="b">
        <f>IF($R139,X139=VLOOKUP(X139,$AU$2:$AZ$10,4,FALSE),"")</f>
        <v>1</v>
      </c>
      <c r="AL139" t="b">
        <f>IF($R139,Y139=VLOOKUP(Y139,$AU$2:$AZ$10,4,FALSE),"")</f>
        <v>1</v>
      </c>
      <c r="AM139" t="b">
        <f>IF($R139,Z139=VLOOKUP(Z139,$AU$2:$AZ$10,4,FALSE),"")</f>
        <v>0</v>
      </c>
      <c r="AN139" t="b">
        <f>IF($R139,W139=VLOOKUP(W139,$AU$2:$AZ$10,5,FALSE),"")</f>
        <v>1</v>
      </c>
      <c r="AO139" t="b">
        <f>IF($R139,X139=VLOOKUP(X139,$AU$2:$AZ$10,5,FALSE),"")</f>
        <v>1</v>
      </c>
      <c r="AP139" t="b">
        <f>IF($R139,Y139=VLOOKUP(Y139,$AU$2:$AZ$10,6,FALSE),"")</f>
        <v>1</v>
      </c>
      <c r="AQ139" t="b">
        <f>IF($R139,Z139=VLOOKUP(Z139,$AU$2:$AZ$10,6,FALSE),"")</f>
        <v>1</v>
      </c>
      <c r="AR139" t="b">
        <f t="shared" si="35"/>
        <v>1</v>
      </c>
      <c r="AS139" t="b">
        <f t="shared" si="36"/>
        <v>0</v>
      </c>
      <c r="BD139" s="59" t="str">
        <f t="shared" si="37"/>
        <v xml:space="preserve">    { wxString::FromUTF8("\xC3\x8D"), &amp;AllGlyphs[135], &amp;AllGlyphs[136], &amp;AllGlyphs[135], &amp;AllGlyphs[138], &amp;AllGlyphs[137], &amp;AllGlyphs[136], Connection::ORTHO_LEFT, Connection::EMPTY, Connection::EMPTY, Connection::ORTHO_DOWN, 0, 0, 0, 0, 1, 0 },</v>
      </c>
      <c r="BE139" s="60"/>
      <c r="BF139" s="60"/>
      <c r="BG139" s="60"/>
      <c r="BH139" s="60"/>
      <c r="BI139" s="60"/>
      <c r="BJ139" s="60"/>
      <c r="BK139" s="61"/>
      <c r="BM139" s="54" t="str">
        <f>IF($R139,"&amp;AllGlyphs[" &amp; E139 &amp; "]","")</f>
        <v>&amp;AllGlyphs[135]</v>
      </c>
      <c r="BN139" s="54" t="str">
        <f>IF($R139,"&amp;AllGlyphs[" &amp; G139 &amp; "]","")</f>
        <v>&amp;AllGlyphs[136]</v>
      </c>
      <c r="BO139" s="54" t="str">
        <f>IF($R139,"&amp;AllGlyphs[" &amp; I139 &amp; "]","")</f>
        <v>&amp;AllGlyphs[135]</v>
      </c>
      <c r="BP139" s="54" t="str">
        <f>IF($R139,"&amp;AllGlyphs[" &amp; K139 &amp; "]","")</f>
        <v>&amp;AllGlyphs[138]</v>
      </c>
      <c r="BQ139" s="54" t="str">
        <f>IF($R139,"&amp;AllGlyphs[" &amp; M139 &amp; "]","")</f>
        <v>&amp;AllGlyphs[137]</v>
      </c>
      <c r="BR139" s="54" t="str">
        <f>IF($R139,"&amp;AllGlyphs[" &amp; O139 &amp; "]","")</f>
        <v>&amp;AllGlyphs[136]</v>
      </c>
      <c r="BT139" s="58">
        <f>IF($R139,IF(AB139,1,0),"")</f>
        <v>0</v>
      </c>
      <c r="BU139" s="58">
        <f>IF($R139,IF(AC139,1,0),"")</f>
        <v>0</v>
      </c>
      <c r="BV139" s="58">
        <f>IF($R139,IF(AD139,1,0),"")</f>
        <v>0</v>
      </c>
      <c r="BW139" s="58">
        <f>IF($R139,IF(AE139,1,0),"")</f>
        <v>0</v>
      </c>
      <c r="BX139" s="58">
        <f>IF($R139,IF(AR139,1,0),"")</f>
        <v>1</v>
      </c>
      <c r="BY139" s="58">
        <f>IF($R139,IF(AS139,1,0),"")</f>
        <v>0</v>
      </c>
    </row>
    <row r="140" spans="1:77" x14ac:dyDescent="0.4">
      <c r="A140" s="7" t="s">
        <v>119</v>
      </c>
      <c r="B140" s="6" t="str">
        <f t="shared" si="28"/>
        <v>Î</v>
      </c>
      <c r="C140" s="48" cm="1">
        <f t="array" ref="C140">IF($R140,INDEX($S:$S,MATCH(TRUE,EXACT(B140,$A:$A),0)),"")</f>
        <v>138</v>
      </c>
      <c r="D140" s="38" t="s">
        <v>118</v>
      </c>
      <c r="E140" s="48" cm="1">
        <f t="array" ref="E140">IF($R140,INDEX($S:$S,MATCH(TRUE,EXACT(D140,$A:$A),0)),"")</f>
        <v>137</v>
      </c>
      <c r="F140" s="38" t="s">
        <v>116</v>
      </c>
      <c r="G140" s="48" cm="1">
        <f t="array" ref="G140">IF($S140&lt;&gt;"",INDEX($S:$S,MATCH(TRUE,EXACT(F140,$A:$A),0)),"")</f>
        <v>135</v>
      </c>
      <c r="H140" s="38" t="s">
        <v>117</v>
      </c>
      <c r="I140" s="48" cm="1">
        <f t="array" ref="I140">IF($R140,INDEX($S:$S,MATCH(TRUE,EXACT(H140,$A:$A),0)),"")</f>
        <v>136</v>
      </c>
      <c r="J140" s="38" t="s">
        <v>118</v>
      </c>
      <c r="K140" s="52" cm="1">
        <f t="array" ref="K140">IF($R140,INDEX($S:$S,MATCH(TRUE,EXACT(J140,$A:$A),0)),"")</f>
        <v>137</v>
      </c>
      <c r="L140" s="38" t="str" cm="1">
        <f t="array" ref="L140">IF($R140,INDEX($T:$T,MATCH(TRUE,EXACT(H140,$D:$D),0)),"")</f>
        <v>Ë</v>
      </c>
      <c r="M140" s="48" cm="1">
        <f t="array" ref="M140">IF($R140,INDEX($S:$S,MATCH(TRUE,EXACT(L140,$A:$A),0)),"")</f>
        <v>135</v>
      </c>
      <c r="N140" s="38" t="str" cm="1">
        <f t="array" ref="N140">IF($R140,INDEX($T:$T,MATCH(TRUE,EXACT(J140,$D:$D),0)),"")</f>
        <v>Î</v>
      </c>
      <c r="O140" s="52" cm="1">
        <f t="array" ref="O140">IF($R140,INDEX($S:$S,MATCH(TRUE,EXACT(N140,$A:$A),0)),"")</f>
        <v>138</v>
      </c>
      <c r="P140" s="23"/>
      <c r="Q140" s="33"/>
      <c r="R140" s="18" t="b">
        <f t="shared" si="29"/>
        <v>1</v>
      </c>
      <c r="S140" s="19">
        <f>IF(R140, MAX(S$2:S139)+1,"")</f>
        <v>138</v>
      </c>
      <c r="T140" s="23" t="str">
        <f t="shared" si="30"/>
        <v>Î</v>
      </c>
      <c r="U140" s="8" t="str" cm="1">
        <f t="array" ref="U140">CharToUTF8(A140)</f>
        <v>\xC3\x8E</v>
      </c>
      <c r="W140" s="18" t="str">
        <f>$AU$10</f>
        <v>ORTHO_RIGHT</v>
      </c>
      <c r="X140" s="24" t="str">
        <f>$AU$2</f>
        <v>EMPTY</v>
      </c>
      <c r="Y140" s="24" t="str">
        <f>$AU$8</f>
        <v>ORTHO_DOWN</v>
      </c>
      <c r="Z140" s="21" t="str">
        <f>$AU$2</f>
        <v>EMPTY</v>
      </c>
      <c r="AB140" s="31" t="b">
        <f t="shared" si="31"/>
        <v>0</v>
      </c>
      <c r="AC140" s="31" t="b">
        <f t="shared" si="32"/>
        <v>0</v>
      </c>
      <c r="AD140" t="b">
        <f t="shared" si="33"/>
        <v>0</v>
      </c>
      <c r="AE140" t="b">
        <f t="shared" si="34"/>
        <v>0</v>
      </c>
      <c r="AF140" t="b">
        <f>IF($R140,W140=VLOOKUP(Z140,$AU$2:$AZ$10,3,FALSE),"")</f>
        <v>0</v>
      </c>
      <c r="AG140" t="b">
        <f>IF($R140,X140=VLOOKUP(Y140,$AU$2:$AZ$10,3,FALSE),"")</f>
        <v>0</v>
      </c>
      <c r="AH140" t="b">
        <f>IF($R140,Y140=VLOOKUP(W140,$AU$2:$AZ$10,3,FALSE),"")</f>
        <v>1</v>
      </c>
      <c r="AI140" t="b">
        <f>IF($R140,Z140=VLOOKUP(X140,$AU$2:$AZ$10,3,FALSE),"")</f>
        <v>1</v>
      </c>
      <c r="AJ140" t="b">
        <f>IF($R140,W140=VLOOKUP(W140,$AU$2:$AZ$10,4,FALSE),"")</f>
        <v>0</v>
      </c>
      <c r="AK140" t="b">
        <f>IF($R140,X140=VLOOKUP(X140,$AU$2:$AZ$10,4,FALSE),"")</f>
        <v>1</v>
      </c>
      <c r="AL140" t="b">
        <f>IF($R140,Y140=VLOOKUP(Y140,$AU$2:$AZ$10,4,FALSE),"")</f>
        <v>0</v>
      </c>
      <c r="AM140" t="b">
        <f>IF($R140,Z140=VLOOKUP(Z140,$AU$2:$AZ$10,4,FALSE),"")</f>
        <v>1</v>
      </c>
      <c r="AN140" t="b">
        <f>IF($R140,W140=VLOOKUP(W140,$AU$2:$AZ$10,5,FALSE),"")</f>
        <v>1</v>
      </c>
      <c r="AO140" t="b">
        <f>IF($R140,X140=VLOOKUP(X140,$AU$2:$AZ$10,5,FALSE),"")</f>
        <v>1</v>
      </c>
      <c r="AP140" t="b">
        <f>IF($R140,Y140=VLOOKUP(Y140,$AU$2:$AZ$10,6,FALSE),"")</f>
        <v>1</v>
      </c>
      <c r="AQ140" t="b">
        <f>IF($R140,Z140=VLOOKUP(Z140,$AU$2:$AZ$10,6,FALSE),"")</f>
        <v>1</v>
      </c>
      <c r="AR140" t="b">
        <f t="shared" si="35"/>
        <v>0</v>
      </c>
      <c r="AS140" t="b">
        <f t="shared" si="36"/>
        <v>1</v>
      </c>
      <c r="BD140" s="59" t="str">
        <f t="shared" si="37"/>
        <v xml:space="preserve">    { wxString::FromUTF8("\xC3\x8E"), &amp;AllGlyphs[137], &amp;AllGlyphs[135], &amp;AllGlyphs[136], &amp;AllGlyphs[137], &amp;AllGlyphs[135], &amp;AllGlyphs[138], Connection::ORTHO_RIGHT, Connection::EMPTY, Connection::ORTHO_DOWN, Connection::EMPTY, 0, 0, 0, 0, 0, 1 },</v>
      </c>
      <c r="BE140" s="60"/>
      <c r="BF140" s="60"/>
      <c r="BG140" s="60"/>
      <c r="BH140" s="60"/>
      <c r="BI140" s="60"/>
      <c r="BJ140" s="60"/>
      <c r="BK140" s="61"/>
      <c r="BM140" s="54" t="str">
        <f>IF($R140,"&amp;AllGlyphs[" &amp; E140 &amp; "]","")</f>
        <v>&amp;AllGlyphs[137]</v>
      </c>
      <c r="BN140" s="54" t="str">
        <f>IF($R140,"&amp;AllGlyphs[" &amp; G140 &amp; "]","")</f>
        <v>&amp;AllGlyphs[135]</v>
      </c>
      <c r="BO140" s="54" t="str">
        <f>IF($R140,"&amp;AllGlyphs[" &amp; I140 &amp; "]","")</f>
        <v>&amp;AllGlyphs[136]</v>
      </c>
      <c r="BP140" s="54" t="str">
        <f>IF($R140,"&amp;AllGlyphs[" &amp; K140 &amp; "]","")</f>
        <v>&amp;AllGlyphs[137]</v>
      </c>
      <c r="BQ140" s="54" t="str">
        <f>IF($R140,"&amp;AllGlyphs[" &amp; M140 &amp; "]","")</f>
        <v>&amp;AllGlyphs[135]</v>
      </c>
      <c r="BR140" s="54" t="str">
        <f>IF($R140,"&amp;AllGlyphs[" &amp; O140 &amp; "]","")</f>
        <v>&amp;AllGlyphs[138]</v>
      </c>
      <c r="BT140" s="58">
        <f>IF($R140,IF(AB140,1,0),"")</f>
        <v>0</v>
      </c>
      <c r="BU140" s="58">
        <f>IF($R140,IF(AC140,1,0),"")</f>
        <v>0</v>
      </c>
      <c r="BV140" s="58">
        <f>IF($R140,IF(AD140,1,0),"")</f>
        <v>0</v>
      </c>
      <c r="BW140" s="58">
        <f>IF($R140,IF(AE140,1,0),"")</f>
        <v>0</v>
      </c>
      <c r="BX140" s="58">
        <f>IF($R140,IF(AR140,1,0),"")</f>
        <v>0</v>
      </c>
      <c r="BY140" s="58">
        <f>IF($R140,IF(AS140,1,0),"")</f>
        <v>1</v>
      </c>
    </row>
    <row r="141" spans="1:77" x14ac:dyDescent="0.4">
      <c r="A141" s="7" t="s">
        <v>120</v>
      </c>
      <c r="B141" s="6" t="str">
        <f t="shared" si="28"/>
        <v>Ï</v>
      </c>
      <c r="C141" s="48" cm="1">
        <f t="array" ref="C141">IF($R141,INDEX($S:$S,MATCH(TRUE,EXACT(B141,$A:$A),0)),"")</f>
        <v>139</v>
      </c>
      <c r="D141" s="38" t="s">
        <v>121</v>
      </c>
      <c r="E141" s="48" cm="1">
        <f t="array" ref="E141">IF($R141,INDEX($S:$S,MATCH(TRUE,EXACT(D141,$A:$A),0)),"")</f>
        <v>140</v>
      </c>
      <c r="F141" s="38" t="s">
        <v>123</v>
      </c>
      <c r="G141" s="48" cm="1">
        <f t="array" ref="G141">IF($S141&lt;&gt;"",INDEX($S:$S,MATCH(TRUE,EXACT(F141,$A:$A),0)),"")</f>
        <v>142</v>
      </c>
      <c r="H141" s="38" t="s">
        <v>122</v>
      </c>
      <c r="I141" s="48" cm="1">
        <f t="array" ref="I141">IF($R141,INDEX($S:$S,MATCH(TRUE,EXACT(H141,$A:$A),0)),"")</f>
        <v>141</v>
      </c>
      <c r="J141" s="38" t="s">
        <v>121</v>
      </c>
      <c r="K141" s="52" cm="1">
        <f t="array" ref="K141">IF($R141,INDEX($S:$S,MATCH(TRUE,EXACT(J141,$A:$A),0)),"")</f>
        <v>140</v>
      </c>
      <c r="L141" s="38" t="str" cm="1">
        <f t="array" ref="L141">IF($R141,INDEX($T:$T,MATCH(TRUE,EXACT(H141,$D:$D),0)),"")</f>
        <v>Ò</v>
      </c>
      <c r="M141" s="48" cm="1">
        <f t="array" ref="M141">IF($R141,INDEX($S:$S,MATCH(TRUE,EXACT(L141,$A:$A),0)),"")</f>
        <v>142</v>
      </c>
      <c r="N141" s="38" t="str" cm="1">
        <f t="array" ref="N141">IF($R141,INDEX($T:$T,MATCH(TRUE,EXACT(J141,$D:$D),0)),"")</f>
        <v>Ï</v>
      </c>
      <c r="O141" s="52" cm="1">
        <f t="array" ref="O141">IF($R141,INDEX($S:$S,MATCH(TRUE,EXACT(N141,$A:$A),0)),"")</f>
        <v>139</v>
      </c>
      <c r="P141" s="23"/>
      <c r="Q141" s="33"/>
      <c r="R141" s="18" t="b">
        <f t="shared" si="29"/>
        <v>1</v>
      </c>
      <c r="S141" s="19">
        <f>IF(R141, MAX(S$2:S140)+1,"")</f>
        <v>139</v>
      </c>
      <c r="T141" s="23" t="str">
        <f t="shared" si="30"/>
        <v>Ï</v>
      </c>
      <c r="U141" s="8" t="str" cm="1">
        <f t="array" ref="U141">CharToUTF8(A141)</f>
        <v>\xC3\x8F</v>
      </c>
      <c r="W141" s="18" t="str">
        <f>$AU$2</f>
        <v>EMPTY</v>
      </c>
      <c r="X141" s="24" t="str">
        <f>$AU$10</f>
        <v>ORTHO_RIGHT</v>
      </c>
      <c r="Y141" s="24" t="str">
        <f>$AU$2</f>
        <v>EMPTY</v>
      </c>
      <c r="Z141" s="21" t="str">
        <f>$AU$8</f>
        <v>ORTHO_DOWN</v>
      </c>
      <c r="AB141" s="31" t="b">
        <f t="shared" si="31"/>
        <v>0</v>
      </c>
      <c r="AC141" s="31" t="b">
        <f t="shared" si="32"/>
        <v>0</v>
      </c>
      <c r="AD141" t="b">
        <f t="shared" si="33"/>
        <v>0</v>
      </c>
      <c r="AE141" t="b">
        <f t="shared" si="34"/>
        <v>0</v>
      </c>
      <c r="AF141" t="b">
        <f>IF($R141,W141=VLOOKUP(Z141,$AU$2:$AZ$10,3,FALSE),"")</f>
        <v>0</v>
      </c>
      <c r="AG141" t="b">
        <f>IF($R141,X141=VLOOKUP(Y141,$AU$2:$AZ$10,3,FALSE),"")</f>
        <v>0</v>
      </c>
      <c r="AH141" t="b">
        <f>IF($R141,Y141=VLOOKUP(W141,$AU$2:$AZ$10,3,FALSE),"")</f>
        <v>1</v>
      </c>
      <c r="AI141" t="b">
        <f>IF($R141,Z141=VLOOKUP(X141,$AU$2:$AZ$10,3,FALSE),"")</f>
        <v>1</v>
      </c>
      <c r="AJ141" t="b">
        <f>IF($R141,W141=VLOOKUP(W141,$AU$2:$AZ$10,4,FALSE),"")</f>
        <v>1</v>
      </c>
      <c r="AK141" t="b">
        <f>IF($R141,X141=VLOOKUP(X141,$AU$2:$AZ$10,4,FALSE),"")</f>
        <v>0</v>
      </c>
      <c r="AL141" t="b">
        <f>IF($R141,Y141=VLOOKUP(Y141,$AU$2:$AZ$10,4,FALSE),"")</f>
        <v>1</v>
      </c>
      <c r="AM141" t="b">
        <f>IF($R141,Z141=VLOOKUP(Z141,$AU$2:$AZ$10,4,FALSE),"")</f>
        <v>0</v>
      </c>
      <c r="AN141" t="b">
        <f>IF($R141,W141=VLOOKUP(W141,$AU$2:$AZ$10,5,FALSE),"")</f>
        <v>1</v>
      </c>
      <c r="AO141" t="b">
        <f>IF($R141,X141=VLOOKUP(X141,$AU$2:$AZ$10,5,FALSE),"")</f>
        <v>1</v>
      </c>
      <c r="AP141" t="b">
        <f>IF($R141,Y141=VLOOKUP(Y141,$AU$2:$AZ$10,6,FALSE),"")</f>
        <v>1</v>
      </c>
      <c r="AQ141" t="b">
        <f>IF($R141,Z141=VLOOKUP(Z141,$AU$2:$AZ$10,6,FALSE),"")</f>
        <v>1</v>
      </c>
      <c r="AR141" t="b">
        <f t="shared" si="35"/>
        <v>0</v>
      </c>
      <c r="AS141" t="b">
        <f t="shared" si="36"/>
        <v>1</v>
      </c>
      <c r="BD141" s="59" t="str">
        <f t="shared" si="37"/>
        <v xml:space="preserve">    { wxString::FromUTF8("\xC3\x8F"), &amp;AllGlyphs[140], &amp;AllGlyphs[142], &amp;AllGlyphs[141], &amp;AllGlyphs[140], &amp;AllGlyphs[142], &amp;AllGlyphs[139], Connection::EMPTY, Connection::ORTHO_RIGHT, Connection::EMPTY, Connection::ORTHO_DOWN, 0, 0, 0, 0, 0, 1 },</v>
      </c>
      <c r="BE141" s="60"/>
      <c r="BF141" s="60"/>
      <c r="BG141" s="60"/>
      <c r="BH141" s="60"/>
      <c r="BI141" s="60"/>
      <c r="BJ141" s="60"/>
      <c r="BK141" s="61"/>
      <c r="BM141" s="54" t="str">
        <f>IF($R141,"&amp;AllGlyphs[" &amp; E141 &amp; "]","")</f>
        <v>&amp;AllGlyphs[140]</v>
      </c>
      <c r="BN141" s="54" t="str">
        <f>IF($R141,"&amp;AllGlyphs[" &amp; G141 &amp; "]","")</f>
        <v>&amp;AllGlyphs[142]</v>
      </c>
      <c r="BO141" s="54" t="str">
        <f>IF($R141,"&amp;AllGlyphs[" &amp; I141 &amp; "]","")</f>
        <v>&amp;AllGlyphs[141]</v>
      </c>
      <c r="BP141" s="54" t="str">
        <f>IF($R141,"&amp;AllGlyphs[" &amp; K141 &amp; "]","")</f>
        <v>&amp;AllGlyphs[140]</v>
      </c>
      <c r="BQ141" s="54" t="str">
        <f>IF($R141,"&amp;AllGlyphs[" &amp; M141 &amp; "]","")</f>
        <v>&amp;AllGlyphs[142]</v>
      </c>
      <c r="BR141" s="54" t="str">
        <f>IF($R141,"&amp;AllGlyphs[" &amp; O141 &amp; "]","")</f>
        <v>&amp;AllGlyphs[139]</v>
      </c>
      <c r="BT141" s="58">
        <f>IF($R141,IF(AB141,1,0),"")</f>
        <v>0</v>
      </c>
      <c r="BU141" s="58">
        <f>IF($R141,IF(AC141,1,0),"")</f>
        <v>0</v>
      </c>
      <c r="BV141" s="58">
        <f>IF($R141,IF(AD141,1,0),"")</f>
        <v>0</v>
      </c>
      <c r="BW141" s="58">
        <f>IF($R141,IF(AE141,1,0),"")</f>
        <v>0</v>
      </c>
      <c r="BX141" s="58">
        <f>IF($R141,IF(AR141,1,0),"")</f>
        <v>0</v>
      </c>
      <c r="BY141" s="58">
        <f>IF($R141,IF(AS141,1,0),"")</f>
        <v>1</v>
      </c>
    </row>
    <row r="142" spans="1:77" x14ac:dyDescent="0.4">
      <c r="A142" s="7" t="s">
        <v>121</v>
      </c>
      <c r="B142" s="6" t="str">
        <f t="shared" si="28"/>
        <v>Ð</v>
      </c>
      <c r="C142" s="48" cm="1">
        <f t="array" ref="C142">IF($R142,INDEX($S:$S,MATCH(TRUE,EXACT(B142,$A:$A),0)),"")</f>
        <v>140</v>
      </c>
      <c r="D142" s="38" t="s">
        <v>123</v>
      </c>
      <c r="E142" s="48" cm="1">
        <f t="array" ref="E142">IF($R142,INDEX($S:$S,MATCH(TRUE,EXACT(D142,$A:$A),0)),"")</f>
        <v>142</v>
      </c>
      <c r="F142" s="38" t="s">
        <v>122</v>
      </c>
      <c r="G142" s="48" cm="1">
        <f t="array" ref="G142">IF($S142&lt;&gt;"",INDEX($S:$S,MATCH(TRUE,EXACT(F142,$A:$A),0)),"")</f>
        <v>141</v>
      </c>
      <c r="H142" s="38" t="s">
        <v>123</v>
      </c>
      <c r="I142" s="48" cm="1">
        <f t="array" ref="I142">IF($R142,INDEX($S:$S,MATCH(TRUE,EXACT(H142,$A:$A),0)),"")</f>
        <v>142</v>
      </c>
      <c r="J142" s="38" t="s">
        <v>120</v>
      </c>
      <c r="K142" s="52" cm="1">
        <f t="array" ref="K142">IF($R142,INDEX($S:$S,MATCH(TRUE,EXACT(J142,$A:$A),0)),"")</f>
        <v>139</v>
      </c>
      <c r="L142" s="38" t="str" cm="1">
        <f t="array" ref="L142">IF($R142,INDEX($T:$T,MATCH(TRUE,EXACT(H142,$D:$D),0)),"")</f>
        <v>Ð</v>
      </c>
      <c r="M142" s="48" cm="1">
        <f t="array" ref="M142">IF($R142,INDEX($S:$S,MATCH(TRUE,EXACT(L142,$A:$A),0)),"")</f>
        <v>140</v>
      </c>
      <c r="N142" s="38" t="str" cm="1">
        <f t="array" ref="N142">IF($R142,INDEX($T:$T,MATCH(TRUE,EXACT(J142,$D:$D),0)),"")</f>
        <v>Ñ</v>
      </c>
      <c r="O142" s="52" cm="1">
        <f t="array" ref="O142">IF($R142,INDEX($S:$S,MATCH(TRUE,EXACT(N142,$A:$A),0)),"")</f>
        <v>141</v>
      </c>
      <c r="P142" s="23"/>
      <c r="Q142" s="33"/>
      <c r="R142" s="18" t="b">
        <f t="shared" si="29"/>
        <v>1</v>
      </c>
      <c r="S142" s="19">
        <f>IF(R142, MAX(S$2:S141)+1,"")</f>
        <v>140</v>
      </c>
      <c r="T142" s="23" t="str">
        <f t="shared" si="30"/>
        <v>Ð</v>
      </c>
      <c r="U142" s="8" t="str" cm="1">
        <f t="array" ref="U142">CharToUTF8(A142)</f>
        <v>\xC3\x90</v>
      </c>
      <c r="W142" s="18" t="str">
        <f>$AU$2</f>
        <v>EMPTY</v>
      </c>
      <c r="X142" s="24" t="str">
        <f>$AU$9</f>
        <v>ORTHO_LEFT</v>
      </c>
      <c r="Y142" s="24" t="str">
        <f>$AU$8</f>
        <v>ORTHO_DOWN</v>
      </c>
      <c r="Z142" s="21" t="str">
        <f>$AU$2</f>
        <v>EMPTY</v>
      </c>
      <c r="AB142" s="31" t="b">
        <f t="shared" si="31"/>
        <v>0</v>
      </c>
      <c r="AC142" s="31" t="b">
        <f t="shared" si="32"/>
        <v>0</v>
      </c>
      <c r="AD142" t="b">
        <f t="shared" si="33"/>
        <v>0</v>
      </c>
      <c r="AE142" t="b">
        <f t="shared" si="34"/>
        <v>0</v>
      </c>
      <c r="AF142" t="b">
        <f>IF($R142,W142=VLOOKUP(Z142,$AU$2:$AZ$10,3,FALSE),"")</f>
        <v>1</v>
      </c>
      <c r="AG142" t="b">
        <f>IF($R142,X142=VLOOKUP(Y142,$AU$2:$AZ$10,3,FALSE),"")</f>
        <v>1</v>
      </c>
      <c r="AH142" t="b">
        <f>IF($R142,Y142=VLOOKUP(W142,$AU$2:$AZ$10,3,FALSE),"")</f>
        <v>0</v>
      </c>
      <c r="AI142" t="b">
        <f>IF($R142,Z142=VLOOKUP(X142,$AU$2:$AZ$10,3,FALSE),"")</f>
        <v>0</v>
      </c>
      <c r="AJ142" t="b">
        <f>IF($R142,W142=VLOOKUP(W142,$AU$2:$AZ$10,4,FALSE),"")</f>
        <v>1</v>
      </c>
      <c r="AK142" t="b">
        <f>IF($R142,X142=VLOOKUP(X142,$AU$2:$AZ$10,4,FALSE),"")</f>
        <v>0</v>
      </c>
      <c r="AL142" t="b">
        <f>IF($R142,Y142=VLOOKUP(Y142,$AU$2:$AZ$10,4,FALSE),"")</f>
        <v>0</v>
      </c>
      <c r="AM142" t="b">
        <f>IF($R142,Z142=VLOOKUP(Z142,$AU$2:$AZ$10,4,FALSE),"")</f>
        <v>1</v>
      </c>
      <c r="AN142" t="b">
        <f>IF($R142,W142=VLOOKUP(W142,$AU$2:$AZ$10,5,FALSE),"")</f>
        <v>1</v>
      </c>
      <c r="AO142" t="b">
        <f>IF($R142,X142=VLOOKUP(X142,$AU$2:$AZ$10,5,FALSE),"")</f>
        <v>1</v>
      </c>
      <c r="AP142" t="b">
        <f>IF($R142,Y142=VLOOKUP(Y142,$AU$2:$AZ$10,6,FALSE),"")</f>
        <v>1</v>
      </c>
      <c r="AQ142" t="b">
        <f>IF($R142,Z142=VLOOKUP(Z142,$AU$2:$AZ$10,6,FALSE),"")</f>
        <v>1</v>
      </c>
      <c r="AR142" t="b">
        <f t="shared" si="35"/>
        <v>1</v>
      </c>
      <c r="AS142" t="b">
        <f t="shared" si="36"/>
        <v>0</v>
      </c>
      <c r="BD142" s="59" t="str">
        <f t="shared" si="37"/>
        <v xml:space="preserve">    { wxString::FromUTF8("\xC3\x90"), &amp;AllGlyphs[142], &amp;AllGlyphs[141], &amp;AllGlyphs[142], &amp;AllGlyphs[139], &amp;AllGlyphs[140], &amp;AllGlyphs[141], Connection::EMPTY, Connection::ORTHO_LEFT, Connection::ORTHO_DOWN, Connection::EMPTY, 0, 0, 0, 0, 1, 0 },</v>
      </c>
      <c r="BE142" s="60"/>
      <c r="BF142" s="60"/>
      <c r="BG142" s="60"/>
      <c r="BH142" s="60"/>
      <c r="BI142" s="60"/>
      <c r="BJ142" s="60"/>
      <c r="BK142" s="61"/>
      <c r="BM142" s="54" t="str">
        <f>IF($R142,"&amp;AllGlyphs[" &amp; E142 &amp; "]","")</f>
        <v>&amp;AllGlyphs[142]</v>
      </c>
      <c r="BN142" s="54" t="str">
        <f>IF($R142,"&amp;AllGlyphs[" &amp; G142 &amp; "]","")</f>
        <v>&amp;AllGlyphs[141]</v>
      </c>
      <c r="BO142" s="54" t="str">
        <f>IF($R142,"&amp;AllGlyphs[" &amp; I142 &amp; "]","")</f>
        <v>&amp;AllGlyphs[142]</v>
      </c>
      <c r="BP142" s="54" t="str">
        <f>IF($R142,"&amp;AllGlyphs[" &amp; K142 &amp; "]","")</f>
        <v>&amp;AllGlyphs[139]</v>
      </c>
      <c r="BQ142" s="54" t="str">
        <f>IF($R142,"&amp;AllGlyphs[" &amp; M142 &amp; "]","")</f>
        <v>&amp;AllGlyphs[140]</v>
      </c>
      <c r="BR142" s="54" t="str">
        <f>IF($R142,"&amp;AllGlyphs[" &amp; O142 &amp; "]","")</f>
        <v>&amp;AllGlyphs[141]</v>
      </c>
      <c r="BT142" s="58">
        <f>IF($R142,IF(AB142,1,0),"")</f>
        <v>0</v>
      </c>
      <c r="BU142" s="58">
        <f>IF($R142,IF(AC142,1,0),"")</f>
        <v>0</v>
      </c>
      <c r="BV142" s="58">
        <f>IF($R142,IF(AD142,1,0),"")</f>
        <v>0</v>
      </c>
      <c r="BW142" s="58">
        <f>IF($R142,IF(AE142,1,0),"")</f>
        <v>0</v>
      </c>
      <c r="BX142" s="58">
        <f>IF($R142,IF(AR142,1,0),"")</f>
        <v>1</v>
      </c>
      <c r="BY142" s="58">
        <f>IF($R142,IF(AS142,1,0),"")</f>
        <v>0</v>
      </c>
    </row>
    <row r="143" spans="1:77" x14ac:dyDescent="0.4">
      <c r="A143" s="7" t="s">
        <v>122</v>
      </c>
      <c r="B143" s="6" t="str">
        <f t="shared" si="28"/>
        <v>Ñ</v>
      </c>
      <c r="C143" s="48" cm="1">
        <f t="array" ref="C143">IF($R143,INDEX($S:$S,MATCH(TRUE,EXACT(B143,$A:$A),0)),"")</f>
        <v>141</v>
      </c>
      <c r="D143" s="38" t="s">
        <v>120</v>
      </c>
      <c r="E143" s="48" cm="1">
        <f t="array" ref="E143">IF($R143,INDEX($S:$S,MATCH(TRUE,EXACT(D143,$A:$A),0)),"")</f>
        <v>139</v>
      </c>
      <c r="F143" s="38" t="s">
        <v>121</v>
      </c>
      <c r="G143" s="48" cm="1">
        <f t="array" ref="G143">IF($S143&lt;&gt;"",INDEX($S:$S,MATCH(TRUE,EXACT(F143,$A:$A),0)),"")</f>
        <v>140</v>
      </c>
      <c r="H143" s="38" t="s">
        <v>120</v>
      </c>
      <c r="I143" s="48" cm="1">
        <f t="array" ref="I143">IF($R143,INDEX($S:$S,MATCH(TRUE,EXACT(H143,$A:$A),0)),"")</f>
        <v>139</v>
      </c>
      <c r="J143" s="38" t="s">
        <v>123</v>
      </c>
      <c r="K143" s="52" cm="1">
        <f t="array" ref="K143">IF($R143,INDEX($S:$S,MATCH(TRUE,EXACT(J143,$A:$A),0)),"")</f>
        <v>142</v>
      </c>
      <c r="L143" s="38" t="str" cm="1">
        <f t="array" ref="L143">IF($R143,INDEX($T:$T,MATCH(TRUE,EXACT(H143,$D:$D),0)),"")</f>
        <v>Ñ</v>
      </c>
      <c r="M143" s="48" cm="1">
        <f t="array" ref="M143">IF($R143,INDEX($S:$S,MATCH(TRUE,EXACT(L143,$A:$A),0)),"")</f>
        <v>141</v>
      </c>
      <c r="N143" s="38" t="str" cm="1">
        <f t="array" ref="N143">IF($R143,INDEX($T:$T,MATCH(TRUE,EXACT(J143,$D:$D),0)),"")</f>
        <v>Ð</v>
      </c>
      <c r="O143" s="52" cm="1">
        <f t="array" ref="O143">IF($R143,INDEX($S:$S,MATCH(TRUE,EXACT(N143,$A:$A),0)),"")</f>
        <v>140</v>
      </c>
      <c r="P143" s="23"/>
      <c r="Q143" s="33"/>
      <c r="R143" s="18" t="b">
        <f t="shared" si="29"/>
        <v>1</v>
      </c>
      <c r="S143" s="19">
        <f>IF(R143, MAX(S$2:S142)+1,"")</f>
        <v>141</v>
      </c>
      <c r="T143" s="23" t="str">
        <f t="shared" si="30"/>
        <v>Ñ</v>
      </c>
      <c r="U143" s="8" t="str" cm="1">
        <f t="array" ref="U143">CharToUTF8(A143)</f>
        <v>\xC3\x91</v>
      </c>
      <c r="W143" s="18" t="str">
        <f>$AU$10</f>
        <v>ORTHO_RIGHT</v>
      </c>
      <c r="X143" s="24" t="str">
        <f>$AU$2</f>
        <v>EMPTY</v>
      </c>
      <c r="Y143" s="24" t="str">
        <f>$AU$2</f>
        <v>EMPTY</v>
      </c>
      <c r="Z143" s="21" t="str">
        <f>$AU$7</f>
        <v>ORTHO_UP</v>
      </c>
      <c r="AB143" s="31" t="b">
        <f t="shared" si="31"/>
        <v>0</v>
      </c>
      <c r="AC143" s="31" t="b">
        <f t="shared" si="32"/>
        <v>0</v>
      </c>
      <c r="AD143" t="b">
        <f t="shared" si="33"/>
        <v>0</v>
      </c>
      <c r="AE143" t="b">
        <f t="shared" si="34"/>
        <v>0</v>
      </c>
      <c r="AF143" t="b">
        <f>IF($R143,W143=VLOOKUP(Z143,$AU$2:$AZ$10,3,FALSE),"")</f>
        <v>1</v>
      </c>
      <c r="AG143" t="b">
        <f>IF($R143,X143=VLOOKUP(Y143,$AU$2:$AZ$10,3,FALSE),"")</f>
        <v>1</v>
      </c>
      <c r="AH143" t="b">
        <f>IF($R143,Y143=VLOOKUP(W143,$AU$2:$AZ$10,3,FALSE),"")</f>
        <v>0</v>
      </c>
      <c r="AI143" t="b">
        <f>IF($R143,Z143=VLOOKUP(X143,$AU$2:$AZ$10,3,FALSE),"")</f>
        <v>0</v>
      </c>
      <c r="AJ143" t="b">
        <f>IF($R143,W143=VLOOKUP(W143,$AU$2:$AZ$10,4,FALSE),"")</f>
        <v>0</v>
      </c>
      <c r="AK143" t="b">
        <f>IF($R143,X143=VLOOKUP(X143,$AU$2:$AZ$10,4,FALSE),"")</f>
        <v>1</v>
      </c>
      <c r="AL143" t="b">
        <f>IF($R143,Y143=VLOOKUP(Y143,$AU$2:$AZ$10,4,FALSE),"")</f>
        <v>1</v>
      </c>
      <c r="AM143" t="b">
        <f>IF($R143,Z143=VLOOKUP(Z143,$AU$2:$AZ$10,4,FALSE),"")</f>
        <v>0</v>
      </c>
      <c r="AN143" t="b">
        <f>IF($R143,W143=VLOOKUP(W143,$AU$2:$AZ$10,5,FALSE),"")</f>
        <v>1</v>
      </c>
      <c r="AO143" t="b">
        <f>IF($R143,X143=VLOOKUP(X143,$AU$2:$AZ$10,5,FALSE),"")</f>
        <v>1</v>
      </c>
      <c r="AP143" t="b">
        <f>IF($R143,Y143=VLOOKUP(Y143,$AU$2:$AZ$10,6,FALSE),"")</f>
        <v>1</v>
      </c>
      <c r="AQ143" t="b">
        <f>IF($R143,Z143=VLOOKUP(Z143,$AU$2:$AZ$10,6,FALSE),"")</f>
        <v>1</v>
      </c>
      <c r="AR143" t="b">
        <f t="shared" si="35"/>
        <v>1</v>
      </c>
      <c r="AS143" t="b">
        <f t="shared" si="36"/>
        <v>0</v>
      </c>
      <c r="BD143" s="59" t="str">
        <f t="shared" si="37"/>
        <v xml:space="preserve">    { wxString::FromUTF8("\xC3\x91"), &amp;AllGlyphs[139], &amp;AllGlyphs[140], &amp;AllGlyphs[139], &amp;AllGlyphs[142], &amp;AllGlyphs[141], &amp;AllGlyphs[140], Connection::ORTHO_RIGHT, Connection::EMPTY, Connection::EMPTY, Connection::ORTHO_UP, 0, 0, 0, 0, 1, 0 },</v>
      </c>
      <c r="BE143" s="60"/>
      <c r="BF143" s="60"/>
      <c r="BG143" s="60"/>
      <c r="BH143" s="60"/>
      <c r="BI143" s="60"/>
      <c r="BJ143" s="60"/>
      <c r="BK143" s="61"/>
      <c r="BM143" s="54" t="str">
        <f>IF($R143,"&amp;AllGlyphs[" &amp; E143 &amp; "]","")</f>
        <v>&amp;AllGlyphs[139]</v>
      </c>
      <c r="BN143" s="54" t="str">
        <f>IF($R143,"&amp;AllGlyphs[" &amp; G143 &amp; "]","")</f>
        <v>&amp;AllGlyphs[140]</v>
      </c>
      <c r="BO143" s="54" t="str">
        <f>IF($R143,"&amp;AllGlyphs[" &amp; I143 &amp; "]","")</f>
        <v>&amp;AllGlyphs[139]</v>
      </c>
      <c r="BP143" s="54" t="str">
        <f>IF($R143,"&amp;AllGlyphs[" &amp; K143 &amp; "]","")</f>
        <v>&amp;AllGlyphs[142]</v>
      </c>
      <c r="BQ143" s="54" t="str">
        <f>IF($R143,"&amp;AllGlyphs[" &amp; M143 &amp; "]","")</f>
        <v>&amp;AllGlyphs[141]</v>
      </c>
      <c r="BR143" s="54" t="str">
        <f>IF($R143,"&amp;AllGlyphs[" &amp; O143 &amp; "]","")</f>
        <v>&amp;AllGlyphs[140]</v>
      </c>
      <c r="BT143" s="58">
        <f>IF($R143,IF(AB143,1,0),"")</f>
        <v>0</v>
      </c>
      <c r="BU143" s="58">
        <f>IF($R143,IF(AC143,1,0),"")</f>
        <v>0</v>
      </c>
      <c r="BV143" s="58">
        <f>IF($R143,IF(AD143,1,0),"")</f>
        <v>0</v>
      </c>
      <c r="BW143" s="58">
        <f>IF($R143,IF(AE143,1,0),"")</f>
        <v>0</v>
      </c>
      <c r="BX143" s="58">
        <f>IF($R143,IF(AR143,1,0),"")</f>
        <v>1</v>
      </c>
      <c r="BY143" s="58">
        <f>IF($R143,IF(AS143,1,0),"")</f>
        <v>0</v>
      </c>
    </row>
    <row r="144" spans="1:77" x14ac:dyDescent="0.4">
      <c r="A144" s="7" t="s">
        <v>123</v>
      </c>
      <c r="B144" s="6" t="str">
        <f t="shared" si="28"/>
        <v>Ò</v>
      </c>
      <c r="C144" s="48" cm="1">
        <f t="array" ref="C144">IF($R144,INDEX($S:$S,MATCH(TRUE,EXACT(B144,$A:$A),0)),"")</f>
        <v>142</v>
      </c>
      <c r="D144" s="38" t="s">
        <v>122</v>
      </c>
      <c r="E144" s="48" cm="1">
        <f t="array" ref="E144">IF($R144,INDEX($S:$S,MATCH(TRUE,EXACT(D144,$A:$A),0)),"")</f>
        <v>141</v>
      </c>
      <c r="F144" s="38" t="s">
        <v>120</v>
      </c>
      <c r="G144" s="48" cm="1">
        <f t="array" ref="G144">IF($S144&lt;&gt;"",INDEX($S:$S,MATCH(TRUE,EXACT(F144,$A:$A),0)),"")</f>
        <v>139</v>
      </c>
      <c r="H144" s="38" t="s">
        <v>121</v>
      </c>
      <c r="I144" s="48" cm="1">
        <f t="array" ref="I144">IF($R144,INDEX($S:$S,MATCH(TRUE,EXACT(H144,$A:$A),0)),"")</f>
        <v>140</v>
      </c>
      <c r="J144" s="38" t="s">
        <v>122</v>
      </c>
      <c r="K144" s="52" cm="1">
        <f t="array" ref="K144">IF($R144,INDEX($S:$S,MATCH(TRUE,EXACT(J144,$A:$A),0)),"")</f>
        <v>141</v>
      </c>
      <c r="L144" s="38" t="str" cm="1">
        <f t="array" ref="L144">IF($R144,INDEX($T:$T,MATCH(TRUE,EXACT(H144,$D:$D),0)),"")</f>
        <v>Ï</v>
      </c>
      <c r="M144" s="48" cm="1">
        <f t="array" ref="M144">IF($R144,INDEX($S:$S,MATCH(TRUE,EXACT(L144,$A:$A),0)),"")</f>
        <v>139</v>
      </c>
      <c r="N144" s="38" t="str" cm="1">
        <f t="array" ref="N144">IF($R144,INDEX($T:$T,MATCH(TRUE,EXACT(J144,$D:$D),0)),"")</f>
        <v>Ò</v>
      </c>
      <c r="O144" s="52" cm="1">
        <f t="array" ref="O144">IF($R144,INDEX($S:$S,MATCH(TRUE,EXACT(N144,$A:$A),0)),"")</f>
        <v>142</v>
      </c>
      <c r="P144" s="23"/>
      <c r="Q144" s="33"/>
      <c r="R144" s="18" t="b">
        <f t="shared" si="29"/>
        <v>1</v>
      </c>
      <c r="S144" s="19">
        <f>IF(R144, MAX(S$2:S143)+1,"")</f>
        <v>142</v>
      </c>
      <c r="T144" s="23" t="str">
        <f t="shared" si="30"/>
        <v>Ò</v>
      </c>
      <c r="U144" s="8" t="str" cm="1">
        <f t="array" ref="U144">CharToUTF8(A144)</f>
        <v>\xC3\x92</v>
      </c>
      <c r="W144" s="18" t="str">
        <f>$AU$9</f>
        <v>ORTHO_LEFT</v>
      </c>
      <c r="X144" s="24" t="str">
        <f>$AU$2</f>
        <v>EMPTY</v>
      </c>
      <c r="Y144" s="24" t="str">
        <f>$AU$7</f>
        <v>ORTHO_UP</v>
      </c>
      <c r="Z144" s="21" t="str">
        <f>$AU$2</f>
        <v>EMPTY</v>
      </c>
      <c r="AB144" s="31" t="b">
        <f t="shared" si="31"/>
        <v>0</v>
      </c>
      <c r="AC144" s="31" t="b">
        <f t="shared" si="32"/>
        <v>0</v>
      </c>
      <c r="AD144" t="b">
        <f t="shared" si="33"/>
        <v>0</v>
      </c>
      <c r="AE144" t="b">
        <f t="shared" si="34"/>
        <v>0</v>
      </c>
      <c r="AF144" t="b">
        <f>IF($R144,W144=VLOOKUP(Z144,$AU$2:$AZ$10,3,FALSE),"")</f>
        <v>0</v>
      </c>
      <c r="AG144" t="b">
        <f>IF($R144,X144=VLOOKUP(Y144,$AU$2:$AZ$10,3,FALSE),"")</f>
        <v>0</v>
      </c>
      <c r="AH144" t="b">
        <f>IF($R144,Y144=VLOOKUP(W144,$AU$2:$AZ$10,3,FALSE),"")</f>
        <v>1</v>
      </c>
      <c r="AI144" t="b">
        <f>IF($R144,Z144=VLOOKUP(X144,$AU$2:$AZ$10,3,FALSE),"")</f>
        <v>1</v>
      </c>
      <c r="AJ144" t="b">
        <f>IF($R144,W144=VLOOKUP(W144,$AU$2:$AZ$10,4,FALSE),"")</f>
        <v>0</v>
      </c>
      <c r="AK144" t="b">
        <f>IF($R144,X144=VLOOKUP(X144,$AU$2:$AZ$10,4,FALSE),"")</f>
        <v>1</v>
      </c>
      <c r="AL144" t="b">
        <f>IF($R144,Y144=VLOOKUP(Y144,$AU$2:$AZ$10,4,FALSE),"")</f>
        <v>0</v>
      </c>
      <c r="AM144" t="b">
        <f>IF($R144,Z144=VLOOKUP(Z144,$AU$2:$AZ$10,4,FALSE),"")</f>
        <v>1</v>
      </c>
      <c r="AN144" t="b">
        <f>IF($R144,W144=VLOOKUP(W144,$AU$2:$AZ$10,5,FALSE),"")</f>
        <v>1</v>
      </c>
      <c r="AO144" t="b">
        <f>IF($R144,X144=VLOOKUP(X144,$AU$2:$AZ$10,5,FALSE),"")</f>
        <v>1</v>
      </c>
      <c r="AP144" t="b">
        <f>IF($R144,Y144=VLOOKUP(Y144,$AU$2:$AZ$10,6,FALSE),"")</f>
        <v>1</v>
      </c>
      <c r="AQ144" t="b">
        <f>IF($R144,Z144=VLOOKUP(Z144,$AU$2:$AZ$10,6,FALSE),"")</f>
        <v>1</v>
      </c>
      <c r="AR144" t="b">
        <f t="shared" si="35"/>
        <v>0</v>
      </c>
      <c r="AS144" t="b">
        <f t="shared" si="36"/>
        <v>1</v>
      </c>
      <c r="BD144" s="59" t="str">
        <f t="shared" si="37"/>
        <v xml:space="preserve">    { wxString::FromUTF8("\xC3\x92"), &amp;AllGlyphs[141], &amp;AllGlyphs[139], &amp;AllGlyphs[140], &amp;AllGlyphs[141], &amp;AllGlyphs[139], &amp;AllGlyphs[142], Connection::ORTHO_LEFT, Connection::EMPTY, Connection::ORTHO_UP, Connection::EMPTY, 0, 0, 0, 0, 0, 1 },</v>
      </c>
      <c r="BE144" s="60"/>
      <c r="BF144" s="60"/>
      <c r="BG144" s="60"/>
      <c r="BH144" s="60"/>
      <c r="BI144" s="60"/>
      <c r="BJ144" s="60"/>
      <c r="BK144" s="61"/>
      <c r="BM144" s="54" t="str">
        <f>IF($R144,"&amp;AllGlyphs[" &amp; E144 &amp; "]","")</f>
        <v>&amp;AllGlyphs[141]</v>
      </c>
      <c r="BN144" s="54" t="str">
        <f>IF($R144,"&amp;AllGlyphs[" &amp; G144 &amp; "]","")</f>
        <v>&amp;AllGlyphs[139]</v>
      </c>
      <c r="BO144" s="54" t="str">
        <f>IF($R144,"&amp;AllGlyphs[" &amp; I144 &amp; "]","")</f>
        <v>&amp;AllGlyphs[140]</v>
      </c>
      <c r="BP144" s="54" t="str">
        <f>IF($R144,"&amp;AllGlyphs[" &amp; K144 &amp; "]","")</f>
        <v>&amp;AllGlyphs[141]</v>
      </c>
      <c r="BQ144" s="54" t="str">
        <f>IF($R144,"&amp;AllGlyphs[" &amp; M144 &amp; "]","")</f>
        <v>&amp;AllGlyphs[139]</v>
      </c>
      <c r="BR144" s="54" t="str">
        <f>IF($R144,"&amp;AllGlyphs[" &amp; O144 &amp; "]","")</f>
        <v>&amp;AllGlyphs[142]</v>
      </c>
      <c r="BT144" s="58">
        <f>IF($R144,IF(AB144,1,0),"")</f>
        <v>0</v>
      </c>
      <c r="BU144" s="58">
        <f>IF($R144,IF(AC144,1,0),"")</f>
        <v>0</v>
      </c>
      <c r="BV144" s="58">
        <f>IF($R144,IF(AD144,1,0),"")</f>
        <v>0</v>
      </c>
      <c r="BW144" s="58">
        <f>IF($R144,IF(AE144,1,0),"")</f>
        <v>0</v>
      </c>
      <c r="BX144" s="58">
        <f>IF($R144,IF(AR144,1,0),"")</f>
        <v>0</v>
      </c>
      <c r="BY144" s="58">
        <f>IF($R144,IF(AS144,1,0),"")</f>
        <v>1</v>
      </c>
    </row>
    <row r="145" spans="1:77" x14ac:dyDescent="0.4">
      <c r="A145" s="7" t="s">
        <v>124</v>
      </c>
      <c r="B145" s="6" t="str">
        <f t="shared" si="28"/>
        <v>Ó</v>
      </c>
      <c r="C145" s="48" cm="1">
        <f t="array" ref="C145">IF($R145,INDEX($S:$S,MATCH(TRUE,EXACT(B145,$A:$A),0)),"")</f>
        <v>143</v>
      </c>
      <c r="D145" s="38" t="s">
        <v>126</v>
      </c>
      <c r="E145" s="48" cm="1">
        <f t="array" ref="E145">IF($R145,INDEX($S:$S,MATCH(TRUE,EXACT(D145,$A:$A),0)),"")</f>
        <v>145</v>
      </c>
      <c r="F145" s="38" t="s">
        <v>124</v>
      </c>
      <c r="G145" s="48" cm="1">
        <f t="array" ref="G145">IF($S145&lt;&gt;"",INDEX($S:$S,MATCH(TRUE,EXACT(F145,$A:$A),0)),"")</f>
        <v>143</v>
      </c>
      <c r="H145" s="38" t="s">
        <v>125</v>
      </c>
      <c r="I145" s="48" cm="1">
        <f t="array" ref="I145">IF($R145,INDEX($S:$S,MATCH(TRUE,EXACT(H145,$A:$A),0)),"")</f>
        <v>144</v>
      </c>
      <c r="J145" s="38" t="s">
        <v>125</v>
      </c>
      <c r="K145" s="52" cm="1">
        <f t="array" ref="K145">IF($R145,INDEX($S:$S,MATCH(TRUE,EXACT(J145,$A:$A),0)),"")</f>
        <v>144</v>
      </c>
      <c r="L145" s="38" t="str" cm="1">
        <f t="array" ref="L145">IF($R145,INDEX($T:$T,MATCH(TRUE,EXACT(H145,$D:$D),0)),"")</f>
        <v>Ö</v>
      </c>
      <c r="M145" s="48" cm="1">
        <f t="array" ref="M145">IF($R145,INDEX($S:$S,MATCH(TRUE,EXACT(L145,$A:$A),0)),"")</f>
        <v>146</v>
      </c>
      <c r="N145" s="38" t="str" cm="1">
        <f t="array" ref="N145">IF($R145,INDEX($T:$T,MATCH(TRUE,EXACT(J145,$D:$D),0)),"")</f>
        <v>Ö</v>
      </c>
      <c r="O145" s="52" cm="1">
        <f t="array" ref="O145">IF($R145,INDEX($S:$S,MATCH(TRUE,EXACT(N145,$A:$A),0)),"")</f>
        <v>146</v>
      </c>
      <c r="P145" s="23"/>
      <c r="Q145" s="33"/>
      <c r="R145" s="18" t="b">
        <f t="shared" si="29"/>
        <v>1</v>
      </c>
      <c r="S145" s="19">
        <f>IF(R145, MAX(S$2:S144)+1,"")</f>
        <v>143</v>
      </c>
      <c r="T145" s="23" t="str">
        <f t="shared" si="30"/>
        <v>Ó</v>
      </c>
      <c r="U145" s="8" t="str" cm="1">
        <f t="array" ref="U145">CharToUTF8(A145)</f>
        <v>\xC3\x93</v>
      </c>
      <c r="W145" s="18" t="str">
        <f>$AU$9</f>
        <v>ORTHO_LEFT</v>
      </c>
      <c r="X145" s="24" t="str">
        <f>$AU$10</f>
        <v>ORTHO_RIGHT</v>
      </c>
      <c r="Y145" s="24" t="str">
        <f>$AU$2</f>
        <v>EMPTY</v>
      </c>
      <c r="Z145" s="21" t="str">
        <f>$AU$2</f>
        <v>EMPTY</v>
      </c>
      <c r="AB145" s="31" t="b">
        <f t="shared" si="31"/>
        <v>0</v>
      </c>
      <c r="AC145" s="31" t="b">
        <f t="shared" si="32"/>
        <v>1</v>
      </c>
      <c r="AD145" t="b">
        <f t="shared" si="33"/>
        <v>0</v>
      </c>
      <c r="AE145" t="b">
        <f t="shared" si="34"/>
        <v>0</v>
      </c>
      <c r="AF145" t="b">
        <f>IF($R145,W145=VLOOKUP(Z145,$AU$2:$AZ$10,3,FALSE),"")</f>
        <v>0</v>
      </c>
      <c r="AG145" t="b">
        <f>IF($R145,X145=VLOOKUP(Y145,$AU$2:$AZ$10,3,FALSE),"")</f>
        <v>0</v>
      </c>
      <c r="AH145" t="b">
        <f>IF($R145,Y145=VLOOKUP(W145,$AU$2:$AZ$10,3,FALSE),"")</f>
        <v>0</v>
      </c>
      <c r="AI145" t="b">
        <f>IF($R145,Z145=VLOOKUP(X145,$AU$2:$AZ$10,3,FALSE),"")</f>
        <v>0</v>
      </c>
      <c r="AJ145" t="b">
        <f>IF($R145,W145=VLOOKUP(W145,$AU$2:$AZ$10,4,FALSE),"")</f>
        <v>0</v>
      </c>
      <c r="AK145" t="b">
        <f>IF($R145,X145=VLOOKUP(X145,$AU$2:$AZ$10,4,FALSE),"")</f>
        <v>0</v>
      </c>
      <c r="AL145" t="b">
        <f>IF($R145,Y145=VLOOKUP(Y145,$AU$2:$AZ$10,4,FALSE),"")</f>
        <v>1</v>
      </c>
      <c r="AM145" t="b">
        <f>IF($R145,Z145=VLOOKUP(Z145,$AU$2:$AZ$10,4,FALSE),"")</f>
        <v>1</v>
      </c>
      <c r="AN145" t="b">
        <f>IF($R145,W145=VLOOKUP(W145,$AU$2:$AZ$10,5,FALSE),"")</f>
        <v>1</v>
      </c>
      <c r="AO145" t="b">
        <f>IF($R145,X145=VLOOKUP(X145,$AU$2:$AZ$10,5,FALSE),"")</f>
        <v>1</v>
      </c>
      <c r="AP145" t="b">
        <f>IF($R145,Y145=VLOOKUP(Y145,$AU$2:$AZ$10,6,FALSE),"")</f>
        <v>1</v>
      </c>
      <c r="AQ145" t="b">
        <f>IF($R145,Z145=VLOOKUP(Z145,$AU$2:$AZ$10,6,FALSE),"")</f>
        <v>1</v>
      </c>
      <c r="AR145" t="b">
        <f t="shared" si="35"/>
        <v>0</v>
      </c>
      <c r="AS145" t="b">
        <f t="shared" si="36"/>
        <v>0</v>
      </c>
      <c r="BD145" s="59" t="str">
        <f t="shared" si="37"/>
        <v xml:space="preserve">    { wxString::FromUTF8("\xC3\x93"), &amp;AllGlyphs[145], &amp;AllGlyphs[143], &amp;AllGlyphs[144], &amp;AllGlyphs[144], &amp;AllGlyphs[146], &amp;AllGlyphs[146], Connection::ORTHO_LEFT, Connection::ORTHO_RIGHT, Connection::EMPTY, Connection::EMPTY, 0, 1, 0, 0, 0, 0 },</v>
      </c>
      <c r="BE145" s="60"/>
      <c r="BF145" s="60"/>
      <c r="BG145" s="60"/>
      <c r="BH145" s="60"/>
      <c r="BI145" s="60"/>
      <c r="BJ145" s="60"/>
      <c r="BK145" s="61"/>
      <c r="BM145" s="54" t="str">
        <f>IF($R145,"&amp;AllGlyphs[" &amp; E145 &amp; "]","")</f>
        <v>&amp;AllGlyphs[145]</v>
      </c>
      <c r="BN145" s="54" t="str">
        <f>IF($R145,"&amp;AllGlyphs[" &amp; G145 &amp; "]","")</f>
        <v>&amp;AllGlyphs[143]</v>
      </c>
      <c r="BO145" s="54" t="str">
        <f>IF($R145,"&amp;AllGlyphs[" &amp; I145 &amp; "]","")</f>
        <v>&amp;AllGlyphs[144]</v>
      </c>
      <c r="BP145" s="54" t="str">
        <f>IF($R145,"&amp;AllGlyphs[" &amp; K145 &amp; "]","")</f>
        <v>&amp;AllGlyphs[144]</v>
      </c>
      <c r="BQ145" s="54" t="str">
        <f>IF($R145,"&amp;AllGlyphs[" &amp; M145 &amp; "]","")</f>
        <v>&amp;AllGlyphs[146]</v>
      </c>
      <c r="BR145" s="54" t="str">
        <f>IF($R145,"&amp;AllGlyphs[" &amp; O145 &amp; "]","")</f>
        <v>&amp;AllGlyphs[146]</v>
      </c>
      <c r="BT145" s="58">
        <f>IF($R145,IF(AB145,1,0),"")</f>
        <v>0</v>
      </c>
      <c r="BU145" s="58">
        <f>IF($R145,IF(AC145,1,0),"")</f>
        <v>1</v>
      </c>
      <c r="BV145" s="58">
        <f>IF($R145,IF(AD145,1,0),"")</f>
        <v>0</v>
      </c>
      <c r="BW145" s="58">
        <f>IF($R145,IF(AE145,1,0),"")</f>
        <v>0</v>
      </c>
      <c r="BX145" s="58">
        <f>IF($R145,IF(AR145,1,0),"")</f>
        <v>0</v>
      </c>
      <c r="BY145" s="58">
        <f>IF($R145,IF(AS145,1,0),"")</f>
        <v>0</v>
      </c>
    </row>
    <row r="146" spans="1:77" x14ac:dyDescent="0.4">
      <c r="A146" s="7" t="s">
        <v>125</v>
      </c>
      <c r="B146" s="6" t="str">
        <f t="shared" si="28"/>
        <v>Ô</v>
      </c>
      <c r="C146" s="48" cm="1">
        <f t="array" ref="C146">IF($R146,INDEX($S:$S,MATCH(TRUE,EXACT(B146,$A:$A),0)),"")</f>
        <v>144</v>
      </c>
      <c r="D146" s="38" t="s">
        <v>127</v>
      </c>
      <c r="E146" s="48" cm="1">
        <f t="array" ref="E146">IF($R146,INDEX($S:$S,MATCH(TRUE,EXACT(D146,$A:$A),0)),"")</f>
        <v>146</v>
      </c>
      <c r="F146" s="38" t="s">
        <v>125</v>
      </c>
      <c r="G146" s="48" cm="1">
        <f t="array" ref="G146">IF($S146&lt;&gt;"",INDEX($S:$S,MATCH(TRUE,EXACT(F146,$A:$A),0)),"")</f>
        <v>144</v>
      </c>
      <c r="H146" s="38" t="s">
        <v>124</v>
      </c>
      <c r="I146" s="48" cm="1">
        <f t="array" ref="I146">IF($R146,INDEX($S:$S,MATCH(TRUE,EXACT(H146,$A:$A),0)),"")</f>
        <v>143</v>
      </c>
      <c r="J146" s="38" t="s">
        <v>124</v>
      </c>
      <c r="K146" s="52" cm="1">
        <f t="array" ref="K146">IF($R146,INDEX($S:$S,MATCH(TRUE,EXACT(J146,$A:$A),0)),"")</f>
        <v>143</v>
      </c>
      <c r="L146" s="38" t="str" cm="1">
        <f t="array" ref="L146">IF($R146,INDEX($T:$T,MATCH(TRUE,EXACT(H146,$D:$D),0)),"")</f>
        <v>Õ</v>
      </c>
      <c r="M146" s="48" cm="1">
        <f t="array" ref="M146">IF($R146,INDEX($S:$S,MATCH(TRUE,EXACT(L146,$A:$A),0)),"")</f>
        <v>145</v>
      </c>
      <c r="N146" s="38" t="str" cm="1">
        <f t="array" ref="N146">IF($R146,INDEX($T:$T,MATCH(TRUE,EXACT(J146,$D:$D),0)),"")</f>
        <v>Õ</v>
      </c>
      <c r="O146" s="52" cm="1">
        <f t="array" ref="O146">IF($R146,INDEX($S:$S,MATCH(TRUE,EXACT(N146,$A:$A),0)),"")</f>
        <v>145</v>
      </c>
      <c r="P146" s="23"/>
      <c r="Q146" s="33"/>
      <c r="R146" s="18" t="b">
        <f t="shared" si="29"/>
        <v>1</v>
      </c>
      <c r="S146" s="19">
        <f>IF(R146, MAX(S$2:S145)+1,"")</f>
        <v>144</v>
      </c>
      <c r="T146" s="23" t="str">
        <f t="shared" si="30"/>
        <v>Ô</v>
      </c>
      <c r="U146" s="8" t="str" cm="1">
        <f t="array" ref="U146">CharToUTF8(A146)</f>
        <v>\xC3\x94</v>
      </c>
      <c r="W146" s="18" t="str">
        <f>$AU$10</f>
        <v>ORTHO_RIGHT</v>
      </c>
      <c r="X146" s="24" t="str">
        <f>$AU$9</f>
        <v>ORTHO_LEFT</v>
      </c>
      <c r="Y146" s="24" t="str">
        <f>$AU$2</f>
        <v>EMPTY</v>
      </c>
      <c r="Z146" s="21" t="str">
        <f>$AU$2</f>
        <v>EMPTY</v>
      </c>
      <c r="AB146" s="31" t="b">
        <f t="shared" si="31"/>
        <v>0</v>
      </c>
      <c r="AC146" s="31" t="b">
        <f t="shared" si="32"/>
        <v>1</v>
      </c>
      <c r="AD146" t="b">
        <f t="shared" si="33"/>
        <v>0</v>
      </c>
      <c r="AE146" t="b">
        <f t="shared" si="34"/>
        <v>0</v>
      </c>
      <c r="AF146" t="b">
        <f>IF($R146,W146=VLOOKUP(Z146,$AU$2:$AZ$10,3,FALSE),"")</f>
        <v>0</v>
      </c>
      <c r="AG146" t="b">
        <f>IF($R146,X146=VLOOKUP(Y146,$AU$2:$AZ$10,3,FALSE),"")</f>
        <v>0</v>
      </c>
      <c r="AH146" t="b">
        <f>IF($R146,Y146=VLOOKUP(W146,$AU$2:$AZ$10,3,FALSE),"")</f>
        <v>0</v>
      </c>
      <c r="AI146" t="b">
        <f>IF($R146,Z146=VLOOKUP(X146,$AU$2:$AZ$10,3,FALSE),"")</f>
        <v>0</v>
      </c>
      <c r="AJ146" t="b">
        <f>IF($R146,W146=VLOOKUP(W146,$AU$2:$AZ$10,4,FALSE),"")</f>
        <v>0</v>
      </c>
      <c r="AK146" t="b">
        <f>IF($R146,X146=VLOOKUP(X146,$AU$2:$AZ$10,4,FALSE),"")</f>
        <v>0</v>
      </c>
      <c r="AL146" t="b">
        <f>IF($R146,Y146=VLOOKUP(Y146,$AU$2:$AZ$10,4,FALSE),"")</f>
        <v>1</v>
      </c>
      <c r="AM146" t="b">
        <f>IF($R146,Z146=VLOOKUP(Z146,$AU$2:$AZ$10,4,FALSE),"")</f>
        <v>1</v>
      </c>
      <c r="AN146" t="b">
        <f>IF($R146,W146=VLOOKUP(W146,$AU$2:$AZ$10,5,FALSE),"")</f>
        <v>1</v>
      </c>
      <c r="AO146" t="b">
        <f>IF($R146,X146=VLOOKUP(X146,$AU$2:$AZ$10,5,FALSE),"")</f>
        <v>1</v>
      </c>
      <c r="AP146" t="b">
        <f>IF($R146,Y146=VLOOKUP(Y146,$AU$2:$AZ$10,6,FALSE),"")</f>
        <v>1</v>
      </c>
      <c r="AQ146" t="b">
        <f>IF($R146,Z146=VLOOKUP(Z146,$AU$2:$AZ$10,6,FALSE),"")</f>
        <v>1</v>
      </c>
      <c r="AR146" t="b">
        <f t="shared" si="35"/>
        <v>0</v>
      </c>
      <c r="AS146" t="b">
        <f t="shared" si="36"/>
        <v>0</v>
      </c>
      <c r="BD146" s="59" t="str">
        <f t="shared" si="37"/>
        <v xml:space="preserve">    { wxString::FromUTF8("\xC3\x94"), &amp;AllGlyphs[146], &amp;AllGlyphs[144], &amp;AllGlyphs[143], &amp;AllGlyphs[143], &amp;AllGlyphs[145], &amp;AllGlyphs[145], Connection::ORTHO_RIGHT, Connection::ORTHO_LEFT, Connection::EMPTY, Connection::EMPTY, 0, 1, 0, 0, 0, 0 },</v>
      </c>
      <c r="BE146" s="60"/>
      <c r="BF146" s="60"/>
      <c r="BG146" s="60"/>
      <c r="BH146" s="60"/>
      <c r="BI146" s="60"/>
      <c r="BJ146" s="60"/>
      <c r="BK146" s="61"/>
      <c r="BM146" s="54" t="str">
        <f>IF($R146,"&amp;AllGlyphs[" &amp; E146 &amp; "]","")</f>
        <v>&amp;AllGlyphs[146]</v>
      </c>
      <c r="BN146" s="54" t="str">
        <f>IF($R146,"&amp;AllGlyphs[" &amp; G146 &amp; "]","")</f>
        <v>&amp;AllGlyphs[144]</v>
      </c>
      <c r="BO146" s="54" t="str">
        <f>IF($R146,"&amp;AllGlyphs[" &amp; I146 &amp; "]","")</f>
        <v>&amp;AllGlyphs[143]</v>
      </c>
      <c r="BP146" s="54" t="str">
        <f>IF($R146,"&amp;AllGlyphs[" &amp; K146 &amp; "]","")</f>
        <v>&amp;AllGlyphs[143]</v>
      </c>
      <c r="BQ146" s="54" t="str">
        <f>IF($R146,"&amp;AllGlyphs[" &amp; M146 &amp; "]","")</f>
        <v>&amp;AllGlyphs[145]</v>
      </c>
      <c r="BR146" s="54" t="str">
        <f>IF($R146,"&amp;AllGlyphs[" &amp; O146 &amp; "]","")</f>
        <v>&amp;AllGlyphs[145]</v>
      </c>
      <c r="BT146" s="58">
        <f>IF($R146,IF(AB146,1,0),"")</f>
        <v>0</v>
      </c>
      <c r="BU146" s="58">
        <f>IF($R146,IF(AC146,1,0),"")</f>
        <v>1</v>
      </c>
      <c r="BV146" s="58">
        <f>IF($R146,IF(AD146,1,0),"")</f>
        <v>0</v>
      </c>
      <c r="BW146" s="58">
        <f>IF($R146,IF(AE146,1,0),"")</f>
        <v>0</v>
      </c>
      <c r="BX146" s="58">
        <f>IF($R146,IF(AR146,1,0),"")</f>
        <v>0</v>
      </c>
      <c r="BY146" s="58">
        <f>IF($R146,IF(AS146,1,0),"")</f>
        <v>0</v>
      </c>
    </row>
    <row r="147" spans="1:77" x14ac:dyDescent="0.4">
      <c r="A147" s="7" t="s">
        <v>126</v>
      </c>
      <c r="B147" s="6" t="str">
        <f t="shared" si="28"/>
        <v>Õ</v>
      </c>
      <c r="C147" s="48" cm="1">
        <f t="array" ref="C147">IF($R147,INDEX($S:$S,MATCH(TRUE,EXACT(B147,$A:$A),0)),"")</f>
        <v>145</v>
      </c>
      <c r="D147" s="38" t="s">
        <v>124</v>
      </c>
      <c r="E147" s="48" cm="1">
        <f t="array" ref="E147">IF($R147,INDEX($S:$S,MATCH(TRUE,EXACT(D147,$A:$A),0)),"")</f>
        <v>143</v>
      </c>
      <c r="F147" s="38" t="s">
        <v>126</v>
      </c>
      <c r="G147" s="48" cm="1">
        <f t="array" ref="G147">IF($S147&lt;&gt;"",INDEX($S:$S,MATCH(TRUE,EXACT(F147,$A:$A),0)),"")</f>
        <v>145</v>
      </c>
      <c r="H147" s="38" t="s">
        <v>127</v>
      </c>
      <c r="I147" s="48" cm="1">
        <f t="array" ref="I147">IF($R147,INDEX($S:$S,MATCH(TRUE,EXACT(H147,$A:$A),0)),"")</f>
        <v>146</v>
      </c>
      <c r="J147" s="38" t="s">
        <v>127</v>
      </c>
      <c r="K147" s="52" cm="1">
        <f t="array" ref="K147">IF($R147,INDEX($S:$S,MATCH(TRUE,EXACT(J147,$A:$A),0)),"")</f>
        <v>146</v>
      </c>
      <c r="L147" s="38" t="str" cm="1">
        <f t="array" ref="L147">IF($R147,INDEX($T:$T,MATCH(TRUE,EXACT(H147,$D:$D),0)),"")</f>
        <v>Ô</v>
      </c>
      <c r="M147" s="48" cm="1">
        <f t="array" ref="M147">IF($R147,INDEX($S:$S,MATCH(TRUE,EXACT(L147,$A:$A),0)),"")</f>
        <v>144</v>
      </c>
      <c r="N147" s="38" t="str" cm="1">
        <f t="array" ref="N147">IF($R147,INDEX($T:$T,MATCH(TRUE,EXACT(J147,$D:$D),0)),"")</f>
        <v>Ô</v>
      </c>
      <c r="O147" s="52" cm="1">
        <f t="array" ref="O147">IF($R147,INDEX($S:$S,MATCH(TRUE,EXACT(N147,$A:$A),0)),"")</f>
        <v>144</v>
      </c>
      <c r="P147" s="23"/>
      <c r="Q147" s="33"/>
      <c r="R147" s="18" t="b">
        <f t="shared" si="29"/>
        <v>1</v>
      </c>
      <c r="S147" s="19">
        <f>IF(R147, MAX(S$2:S146)+1,"")</f>
        <v>145</v>
      </c>
      <c r="T147" s="23" t="str">
        <f t="shared" si="30"/>
        <v>Õ</v>
      </c>
      <c r="U147" s="8" t="str" cm="1">
        <f t="array" ref="U147">CharToUTF8(A147)</f>
        <v>\xC3\x95</v>
      </c>
      <c r="W147" s="18" t="str">
        <f>$AU$2</f>
        <v>EMPTY</v>
      </c>
      <c r="X147" s="24" t="str">
        <f>$AU$2</f>
        <v>EMPTY</v>
      </c>
      <c r="Y147" s="24" t="str">
        <f>$AU$8</f>
        <v>ORTHO_DOWN</v>
      </c>
      <c r="Z147" s="21" t="str">
        <f>$AU$7</f>
        <v>ORTHO_UP</v>
      </c>
      <c r="AB147" s="31" t="b">
        <f t="shared" si="31"/>
        <v>0</v>
      </c>
      <c r="AC147" s="31" t="b">
        <f t="shared" si="32"/>
        <v>1</v>
      </c>
      <c r="AD147" t="b">
        <f t="shared" si="33"/>
        <v>0</v>
      </c>
      <c r="AE147" t="b">
        <f t="shared" si="34"/>
        <v>0</v>
      </c>
      <c r="AF147" t="b">
        <f>IF($R147,W147=VLOOKUP(Z147,$AU$2:$AZ$10,3,FALSE),"")</f>
        <v>0</v>
      </c>
      <c r="AG147" t="b">
        <f>IF($R147,X147=VLOOKUP(Y147,$AU$2:$AZ$10,3,FALSE),"")</f>
        <v>0</v>
      </c>
      <c r="AH147" t="b">
        <f>IF($R147,Y147=VLOOKUP(W147,$AU$2:$AZ$10,3,FALSE),"")</f>
        <v>0</v>
      </c>
      <c r="AI147" t="b">
        <f>IF($R147,Z147=VLOOKUP(X147,$AU$2:$AZ$10,3,FALSE),"")</f>
        <v>0</v>
      </c>
      <c r="AJ147" t="b">
        <f>IF($R147,W147=VLOOKUP(W147,$AU$2:$AZ$10,4,FALSE),"")</f>
        <v>1</v>
      </c>
      <c r="AK147" t="b">
        <f>IF($R147,X147=VLOOKUP(X147,$AU$2:$AZ$10,4,FALSE),"")</f>
        <v>1</v>
      </c>
      <c r="AL147" t="b">
        <f>IF($R147,Y147=VLOOKUP(Y147,$AU$2:$AZ$10,4,FALSE),"")</f>
        <v>0</v>
      </c>
      <c r="AM147" t="b">
        <f>IF($R147,Z147=VLOOKUP(Z147,$AU$2:$AZ$10,4,FALSE),"")</f>
        <v>0</v>
      </c>
      <c r="AN147" t="b">
        <f>IF($R147,W147=VLOOKUP(W147,$AU$2:$AZ$10,5,FALSE),"")</f>
        <v>1</v>
      </c>
      <c r="AO147" t="b">
        <f>IF($R147,X147=VLOOKUP(X147,$AU$2:$AZ$10,5,FALSE),"")</f>
        <v>1</v>
      </c>
      <c r="AP147" t="b">
        <f>IF($R147,Y147=VLOOKUP(Y147,$AU$2:$AZ$10,6,FALSE),"")</f>
        <v>1</v>
      </c>
      <c r="AQ147" t="b">
        <f>IF($R147,Z147=VLOOKUP(Z147,$AU$2:$AZ$10,6,FALSE),"")</f>
        <v>1</v>
      </c>
      <c r="AR147" t="b">
        <f t="shared" si="35"/>
        <v>0</v>
      </c>
      <c r="AS147" t="b">
        <f t="shared" si="36"/>
        <v>0</v>
      </c>
      <c r="BD147" s="59" t="str">
        <f t="shared" si="37"/>
        <v xml:space="preserve">    { wxString::FromUTF8("\xC3\x95"), &amp;AllGlyphs[143], &amp;AllGlyphs[145], &amp;AllGlyphs[146], &amp;AllGlyphs[146], &amp;AllGlyphs[144], &amp;AllGlyphs[144], Connection::EMPTY, Connection::EMPTY, Connection::ORTHO_DOWN, Connection::ORTHO_UP, 0, 1, 0, 0, 0, 0 },</v>
      </c>
      <c r="BE147" s="60"/>
      <c r="BF147" s="60"/>
      <c r="BG147" s="60"/>
      <c r="BH147" s="60"/>
      <c r="BI147" s="60"/>
      <c r="BJ147" s="60"/>
      <c r="BK147" s="61"/>
      <c r="BM147" s="54" t="str">
        <f>IF($R147,"&amp;AllGlyphs[" &amp; E147 &amp; "]","")</f>
        <v>&amp;AllGlyphs[143]</v>
      </c>
      <c r="BN147" s="54" t="str">
        <f>IF($R147,"&amp;AllGlyphs[" &amp; G147 &amp; "]","")</f>
        <v>&amp;AllGlyphs[145]</v>
      </c>
      <c r="BO147" s="54" t="str">
        <f>IF($R147,"&amp;AllGlyphs[" &amp; I147 &amp; "]","")</f>
        <v>&amp;AllGlyphs[146]</v>
      </c>
      <c r="BP147" s="54" t="str">
        <f>IF($R147,"&amp;AllGlyphs[" &amp; K147 &amp; "]","")</f>
        <v>&amp;AllGlyphs[146]</v>
      </c>
      <c r="BQ147" s="54" t="str">
        <f>IF($R147,"&amp;AllGlyphs[" &amp; M147 &amp; "]","")</f>
        <v>&amp;AllGlyphs[144]</v>
      </c>
      <c r="BR147" s="54" t="str">
        <f>IF($R147,"&amp;AllGlyphs[" &amp; O147 &amp; "]","")</f>
        <v>&amp;AllGlyphs[144]</v>
      </c>
      <c r="BT147" s="58">
        <f>IF($R147,IF(AB147,1,0),"")</f>
        <v>0</v>
      </c>
      <c r="BU147" s="58">
        <f>IF($R147,IF(AC147,1,0),"")</f>
        <v>1</v>
      </c>
      <c r="BV147" s="58">
        <f>IF($R147,IF(AD147,1,0),"")</f>
        <v>0</v>
      </c>
      <c r="BW147" s="58">
        <f>IF($R147,IF(AE147,1,0),"")</f>
        <v>0</v>
      </c>
      <c r="BX147" s="58">
        <f>IF($R147,IF(AR147,1,0),"")</f>
        <v>0</v>
      </c>
      <c r="BY147" s="58">
        <f>IF($R147,IF(AS147,1,0),"")</f>
        <v>0</v>
      </c>
    </row>
    <row r="148" spans="1:77" x14ac:dyDescent="0.4">
      <c r="A148" s="7" t="s">
        <v>127</v>
      </c>
      <c r="B148" s="6" t="str">
        <f t="shared" si="28"/>
        <v>Ö</v>
      </c>
      <c r="C148" s="48" cm="1">
        <f t="array" ref="C148">IF($R148,INDEX($S:$S,MATCH(TRUE,EXACT(B148,$A:$A),0)),"")</f>
        <v>146</v>
      </c>
      <c r="D148" s="38" t="s">
        <v>125</v>
      </c>
      <c r="E148" s="48" cm="1">
        <f t="array" ref="E148">IF($R148,INDEX($S:$S,MATCH(TRUE,EXACT(D148,$A:$A),0)),"")</f>
        <v>144</v>
      </c>
      <c r="F148" s="38" t="s">
        <v>127</v>
      </c>
      <c r="G148" s="48" cm="1">
        <f t="array" ref="G148">IF($S148&lt;&gt;"",INDEX($S:$S,MATCH(TRUE,EXACT(F148,$A:$A),0)),"")</f>
        <v>146</v>
      </c>
      <c r="H148" s="38" t="s">
        <v>126</v>
      </c>
      <c r="I148" s="48" cm="1">
        <f t="array" ref="I148">IF($R148,INDEX($S:$S,MATCH(TRUE,EXACT(H148,$A:$A),0)),"")</f>
        <v>145</v>
      </c>
      <c r="J148" s="38" t="s">
        <v>126</v>
      </c>
      <c r="K148" s="52" cm="1">
        <f t="array" ref="K148">IF($R148,INDEX($S:$S,MATCH(TRUE,EXACT(J148,$A:$A),0)),"")</f>
        <v>145</v>
      </c>
      <c r="L148" s="38" t="str" cm="1">
        <f t="array" ref="L148">IF($R148,INDEX($T:$T,MATCH(TRUE,EXACT(H148,$D:$D),0)),"")</f>
        <v>Ó</v>
      </c>
      <c r="M148" s="48" cm="1">
        <f t="array" ref="M148">IF($R148,INDEX($S:$S,MATCH(TRUE,EXACT(L148,$A:$A),0)),"")</f>
        <v>143</v>
      </c>
      <c r="N148" s="38" t="str" cm="1">
        <f t="array" ref="N148">IF($R148,INDEX($T:$T,MATCH(TRUE,EXACT(J148,$D:$D),0)),"")</f>
        <v>Ó</v>
      </c>
      <c r="O148" s="52" cm="1">
        <f t="array" ref="O148">IF($R148,INDEX($S:$S,MATCH(TRUE,EXACT(N148,$A:$A),0)),"")</f>
        <v>143</v>
      </c>
      <c r="P148" s="23"/>
      <c r="Q148" s="33"/>
      <c r="R148" s="18" t="b">
        <f t="shared" si="29"/>
        <v>1</v>
      </c>
      <c r="S148" s="19">
        <f>IF(R148, MAX(S$2:S147)+1,"")</f>
        <v>146</v>
      </c>
      <c r="T148" s="23" t="str">
        <f t="shared" si="30"/>
        <v>Ö</v>
      </c>
      <c r="U148" s="8" t="str" cm="1">
        <f t="array" ref="U148">CharToUTF8(A148)</f>
        <v>\xC3\x96</v>
      </c>
      <c r="W148" s="18" t="str">
        <f>$AU$2</f>
        <v>EMPTY</v>
      </c>
      <c r="X148" s="24" t="str">
        <f>$AU$2</f>
        <v>EMPTY</v>
      </c>
      <c r="Y148" s="24" t="str">
        <f>$AU$7</f>
        <v>ORTHO_UP</v>
      </c>
      <c r="Z148" s="21" t="str">
        <f>$AU$8</f>
        <v>ORTHO_DOWN</v>
      </c>
      <c r="AB148" s="31" t="b">
        <f t="shared" si="31"/>
        <v>0</v>
      </c>
      <c r="AC148" s="31" t="b">
        <f t="shared" si="32"/>
        <v>1</v>
      </c>
      <c r="AD148" t="b">
        <f t="shared" si="33"/>
        <v>0</v>
      </c>
      <c r="AE148" t="b">
        <f t="shared" si="34"/>
        <v>0</v>
      </c>
      <c r="AF148" t="b">
        <f>IF($R148,W148=VLOOKUP(Z148,$AU$2:$AZ$10,3,FALSE),"")</f>
        <v>0</v>
      </c>
      <c r="AG148" t="b">
        <f>IF($R148,X148=VLOOKUP(Y148,$AU$2:$AZ$10,3,FALSE),"")</f>
        <v>0</v>
      </c>
      <c r="AH148" t="b">
        <f>IF($R148,Y148=VLOOKUP(W148,$AU$2:$AZ$10,3,FALSE),"")</f>
        <v>0</v>
      </c>
      <c r="AI148" t="b">
        <f>IF($R148,Z148=VLOOKUP(X148,$AU$2:$AZ$10,3,FALSE),"")</f>
        <v>0</v>
      </c>
      <c r="AJ148" t="b">
        <f>IF($R148,W148=VLOOKUP(W148,$AU$2:$AZ$10,4,FALSE),"")</f>
        <v>1</v>
      </c>
      <c r="AK148" t="b">
        <f>IF($R148,X148=VLOOKUP(X148,$AU$2:$AZ$10,4,FALSE),"")</f>
        <v>1</v>
      </c>
      <c r="AL148" t="b">
        <f>IF($R148,Y148=VLOOKUP(Y148,$AU$2:$AZ$10,4,FALSE),"")</f>
        <v>0</v>
      </c>
      <c r="AM148" t="b">
        <f>IF($R148,Z148=VLOOKUP(Z148,$AU$2:$AZ$10,4,FALSE),"")</f>
        <v>0</v>
      </c>
      <c r="AN148" t="b">
        <f>IF($R148,W148=VLOOKUP(W148,$AU$2:$AZ$10,5,FALSE),"")</f>
        <v>1</v>
      </c>
      <c r="AO148" t="b">
        <f>IF($R148,X148=VLOOKUP(X148,$AU$2:$AZ$10,5,FALSE),"")</f>
        <v>1</v>
      </c>
      <c r="AP148" t="b">
        <f>IF($R148,Y148=VLOOKUP(Y148,$AU$2:$AZ$10,6,FALSE),"")</f>
        <v>1</v>
      </c>
      <c r="AQ148" t="b">
        <f>IF($R148,Z148=VLOOKUP(Z148,$AU$2:$AZ$10,6,FALSE),"")</f>
        <v>1</v>
      </c>
      <c r="AR148" t="b">
        <f t="shared" si="35"/>
        <v>0</v>
      </c>
      <c r="AS148" t="b">
        <f t="shared" si="36"/>
        <v>0</v>
      </c>
      <c r="BD148" s="59" t="str">
        <f t="shared" si="37"/>
        <v xml:space="preserve">    { wxString::FromUTF8("\xC3\x96"), &amp;AllGlyphs[144], &amp;AllGlyphs[146], &amp;AllGlyphs[145], &amp;AllGlyphs[145], &amp;AllGlyphs[143], &amp;AllGlyphs[143], Connection::EMPTY, Connection::EMPTY, Connection::ORTHO_UP, Connection::ORTHO_DOWN, 0, 1, 0, 0, 0, 0 },</v>
      </c>
      <c r="BE148" s="60"/>
      <c r="BF148" s="60"/>
      <c r="BG148" s="60"/>
      <c r="BH148" s="60"/>
      <c r="BI148" s="60"/>
      <c r="BJ148" s="60"/>
      <c r="BK148" s="61"/>
      <c r="BM148" s="54" t="str">
        <f>IF($R148,"&amp;AllGlyphs[" &amp; E148 &amp; "]","")</f>
        <v>&amp;AllGlyphs[144]</v>
      </c>
      <c r="BN148" s="54" t="str">
        <f>IF($R148,"&amp;AllGlyphs[" &amp; G148 &amp; "]","")</f>
        <v>&amp;AllGlyphs[146]</v>
      </c>
      <c r="BO148" s="54" t="str">
        <f>IF($R148,"&amp;AllGlyphs[" &amp; I148 &amp; "]","")</f>
        <v>&amp;AllGlyphs[145]</v>
      </c>
      <c r="BP148" s="54" t="str">
        <f>IF($R148,"&amp;AllGlyphs[" &amp; K148 &amp; "]","")</f>
        <v>&amp;AllGlyphs[145]</v>
      </c>
      <c r="BQ148" s="54" t="str">
        <f>IF($R148,"&amp;AllGlyphs[" &amp; M148 &amp; "]","")</f>
        <v>&amp;AllGlyphs[143]</v>
      </c>
      <c r="BR148" s="54" t="str">
        <f>IF($R148,"&amp;AllGlyphs[" &amp; O148 &amp; "]","")</f>
        <v>&amp;AllGlyphs[143]</v>
      </c>
      <c r="BT148" s="58">
        <f>IF($R148,IF(AB148,1,0),"")</f>
        <v>0</v>
      </c>
      <c r="BU148" s="58">
        <f>IF($R148,IF(AC148,1,0),"")</f>
        <v>1</v>
      </c>
      <c r="BV148" s="58">
        <f>IF($R148,IF(AD148,1,0),"")</f>
        <v>0</v>
      </c>
      <c r="BW148" s="58">
        <f>IF($R148,IF(AE148,1,0),"")</f>
        <v>0</v>
      </c>
      <c r="BX148" s="58">
        <f>IF($R148,IF(AR148,1,0),"")</f>
        <v>0</v>
      </c>
      <c r="BY148" s="58">
        <f>IF($R148,IF(AS148,1,0),"")</f>
        <v>0</v>
      </c>
    </row>
    <row r="149" spans="1:77" x14ac:dyDescent="0.4">
      <c r="A149" s="7" t="s">
        <v>128</v>
      </c>
      <c r="B149" s="6" t="str">
        <f t="shared" si="28"/>
        <v>×</v>
      </c>
      <c r="C149" s="48" cm="1">
        <f t="array" ref="C149">IF($R149,INDEX($S:$S,MATCH(TRUE,EXACT(B149,$A:$A),0)),"")</f>
        <v>147</v>
      </c>
      <c r="D149" s="38" t="s">
        <v>129</v>
      </c>
      <c r="E149" s="48" cm="1">
        <f t="array" ref="E149">IF($R149,INDEX($S:$S,MATCH(TRUE,EXACT(D149,$A:$A),0)),"")</f>
        <v>148</v>
      </c>
      <c r="F149" s="38" t="s">
        <v>130</v>
      </c>
      <c r="G149" s="48" cm="1">
        <f t="array" ref="G149">IF($S149&lt;&gt;"",INDEX($S:$S,MATCH(TRUE,EXACT(F149,$A:$A),0)),"")</f>
        <v>149</v>
      </c>
      <c r="H149" s="38" t="s">
        <v>130</v>
      </c>
      <c r="I149" s="48" cm="1">
        <f t="array" ref="I149">IF($R149,INDEX($S:$S,MATCH(TRUE,EXACT(H149,$A:$A),0)),"")</f>
        <v>149</v>
      </c>
      <c r="J149" s="38" t="s">
        <v>128</v>
      </c>
      <c r="K149" s="52" cm="1">
        <f t="array" ref="K149">IF($R149,INDEX($S:$S,MATCH(TRUE,EXACT(J149,$A:$A),0)),"")</f>
        <v>147</v>
      </c>
      <c r="L149" s="38" t="str" cm="1">
        <f t="array" ref="L149">IF($R149,INDEX($T:$T,MATCH(TRUE,EXACT(H149,$D:$D),0)),"")</f>
        <v>Ø</v>
      </c>
      <c r="M149" s="48" cm="1">
        <f t="array" ref="M149">IF($R149,INDEX($S:$S,MATCH(TRUE,EXACT(L149,$A:$A),0)),"")</f>
        <v>148</v>
      </c>
      <c r="N149" s="38" t="str" cm="1">
        <f t="array" ref="N149">IF($R149,INDEX($T:$T,MATCH(TRUE,EXACT(J149,$D:$D),0)),"")</f>
        <v>Ú</v>
      </c>
      <c r="O149" s="52" cm="1">
        <f t="array" ref="O149">IF($R149,INDEX($S:$S,MATCH(TRUE,EXACT(N149,$A:$A),0)),"")</f>
        <v>150</v>
      </c>
      <c r="P149" s="23"/>
      <c r="Q149" s="33"/>
      <c r="R149" s="18" t="b">
        <f t="shared" si="29"/>
        <v>1</v>
      </c>
      <c r="S149" s="19">
        <f>IF(R149, MAX(S$2:S148)+1,"")</f>
        <v>147</v>
      </c>
      <c r="T149" s="23" t="str">
        <f t="shared" si="30"/>
        <v>×</v>
      </c>
      <c r="U149" s="8" t="str" cm="1">
        <f t="array" ref="U149">CharToUTF8(A149)</f>
        <v>\xC3\x97</v>
      </c>
      <c r="W149" s="18" t="str">
        <f>$AU$2</f>
        <v>EMPTY</v>
      </c>
      <c r="X149" s="24" t="str">
        <f>$AU$4</f>
        <v>ORTHO_BOTH</v>
      </c>
      <c r="Y149" s="24" t="str">
        <f>$AU$4</f>
        <v>ORTHO_BOTH</v>
      </c>
      <c r="Z149" s="21" t="str">
        <f>$AU$4</f>
        <v>ORTHO_BOTH</v>
      </c>
      <c r="AB149" s="31" t="b">
        <f t="shared" si="31"/>
        <v>0</v>
      </c>
      <c r="AC149" s="31" t="b">
        <f t="shared" si="32"/>
        <v>0</v>
      </c>
      <c r="AD149" t="b">
        <f t="shared" si="33"/>
        <v>0</v>
      </c>
      <c r="AE149" t="b">
        <f t="shared" si="34"/>
        <v>1</v>
      </c>
      <c r="AF149" t="b">
        <f>IF($R149,W149=VLOOKUP(Z149,$AU$2:$AZ$10,3,FALSE),"")</f>
        <v>0</v>
      </c>
      <c r="AG149" t="b">
        <f>IF($R149,X149=VLOOKUP(Y149,$AU$2:$AZ$10,3,FALSE),"")</f>
        <v>1</v>
      </c>
      <c r="AH149" t="b">
        <f>IF($R149,Y149=VLOOKUP(W149,$AU$2:$AZ$10,3,FALSE),"")</f>
        <v>0</v>
      </c>
      <c r="AI149" t="b">
        <f>IF($R149,Z149=VLOOKUP(X149,$AU$2:$AZ$10,3,FALSE),"")</f>
        <v>1</v>
      </c>
      <c r="AJ149" t="b">
        <f>IF($R149,W149=VLOOKUP(W149,$AU$2:$AZ$10,4,FALSE),"")</f>
        <v>1</v>
      </c>
      <c r="AK149" t="b">
        <f>IF($R149,X149=VLOOKUP(X149,$AU$2:$AZ$10,4,FALSE),"")</f>
        <v>1</v>
      </c>
      <c r="AL149" t="b">
        <f>IF($R149,Y149=VLOOKUP(Y149,$AU$2:$AZ$10,4,FALSE),"")</f>
        <v>1</v>
      </c>
      <c r="AM149" t="b">
        <f>IF($R149,Z149=VLOOKUP(Z149,$AU$2:$AZ$10,4,FALSE),"")</f>
        <v>1</v>
      </c>
      <c r="AN149" t="b">
        <f>IF($R149,W149=VLOOKUP(W149,$AU$2:$AZ$10,5,FALSE),"")</f>
        <v>1</v>
      </c>
      <c r="AO149" t="b">
        <f>IF($R149,X149=VLOOKUP(X149,$AU$2:$AZ$10,5,FALSE),"")</f>
        <v>1</v>
      </c>
      <c r="AP149" t="b">
        <f>IF($R149,Y149=VLOOKUP(Y149,$AU$2:$AZ$10,6,FALSE),"")</f>
        <v>1</v>
      </c>
      <c r="AQ149" t="b">
        <f>IF($R149,Z149=VLOOKUP(Z149,$AU$2:$AZ$10,6,FALSE),"")</f>
        <v>1</v>
      </c>
      <c r="AR149" t="b">
        <f t="shared" si="35"/>
        <v>0</v>
      </c>
      <c r="AS149" t="b">
        <f t="shared" si="36"/>
        <v>0</v>
      </c>
      <c r="BD149" s="59" t="str">
        <f t="shared" si="37"/>
        <v xml:space="preserve">    { wxString::FromUTF8("\xC3\x97"), &amp;AllGlyphs[148], &amp;AllGlyphs[149], &amp;AllGlyphs[149], &amp;AllGlyphs[147], &amp;AllGlyphs[148], &amp;AllGlyphs[150], Connection::EMPTY, Connection::ORTHO_BOTH, Connection::ORTHO_BOTH, Connection::ORTHO_BOTH, 0, 0, 0, 1, 0, 0 },</v>
      </c>
      <c r="BE149" s="60"/>
      <c r="BF149" s="60"/>
      <c r="BG149" s="60"/>
      <c r="BH149" s="60"/>
      <c r="BI149" s="60"/>
      <c r="BJ149" s="60"/>
      <c r="BK149" s="61"/>
      <c r="BM149" s="54" t="str">
        <f>IF($R149,"&amp;AllGlyphs[" &amp; E149 &amp; "]","")</f>
        <v>&amp;AllGlyphs[148]</v>
      </c>
      <c r="BN149" s="54" t="str">
        <f>IF($R149,"&amp;AllGlyphs[" &amp; G149 &amp; "]","")</f>
        <v>&amp;AllGlyphs[149]</v>
      </c>
      <c r="BO149" s="54" t="str">
        <f>IF($R149,"&amp;AllGlyphs[" &amp; I149 &amp; "]","")</f>
        <v>&amp;AllGlyphs[149]</v>
      </c>
      <c r="BP149" s="54" t="str">
        <f>IF($R149,"&amp;AllGlyphs[" &amp; K149 &amp; "]","")</f>
        <v>&amp;AllGlyphs[147]</v>
      </c>
      <c r="BQ149" s="54" t="str">
        <f>IF($R149,"&amp;AllGlyphs[" &amp; M149 &amp; "]","")</f>
        <v>&amp;AllGlyphs[148]</v>
      </c>
      <c r="BR149" s="54" t="str">
        <f>IF($R149,"&amp;AllGlyphs[" &amp; O149 &amp; "]","")</f>
        <v>&amp;AllGlyphs[150]</v>
      </c>
      <c r="BT149" s="58">
        <f>IF($R149,IF(AB149,1,0),"")</f>
        <v>0</v>
      </c>
      <c r="BU149" s="58">
        <f>IF($R149,IF(AC149,1,0),"")</f>
        <v>0</v>
      </c>
      <c r="BV149" s="58">
        <f>IF($R149,IF(AD149,1,0),"")</f>
        <v>0</v>
      </c>
      <c r="BW149" s="58">
        <f>IF($R149,IF(AE149,1,0),"")</f>
        <v>1</v>
      </c>
      <c r="BX149" s="58">
        <f>IF($R149,IF(AR149,1,0),"")</f>
        <v>0</v>
      </c>
      <c r="BY149" s="58">
        <f>IF($R149,IF(AS149,1,0),"")</f>
        <v>0</v>
      </c>
    </row>
    <row r="150" spans="1:77" x14ac:dyDescent="0.4">
      <c r="A150" s="7" t="s">
        <v>129</v>
      </c>
      <c r="B150" s="6" t="str">
        <f t="shared" si="28"/>
        <v>Ø</v>
      </c>
      <c r="C150" s="48" cm="1">
        <f t="array" ref="C150">IF($R150,INDEX($S:$S,MATCH(TRUE,EXACT(B150,$A:$A),0)),"")</f>
        <v>148</v>
      </c>
      <c r="D150" s="38" t="s">
        <v>130</v>
      </c>
      <c r="E150" s="48" cm="1">
        <f t="array" ref="E150">IF($R150,INDEX($S:$S,MATCH(TRUE,EXACT(D150,$A:$A),0)),"")</f>
        <v>149</v>
      </c>
      <c r="F150" s="38" t="s">
        <v>131</v>
      </c>
      <c r="G150" s="48" cm="1">
        <f t="array" ref="G150">IF($S150&lt;&gt;"",INDEX($S:$S,MATCH(TRUE,EXACT(F150,$A:$A),0)),"")</f>
        <v>150</v>
      </c>
      <c r="H150" s="38" t="s">
        <v>129</v>
      </c>
      <c r="I150" s="48" cm="1">
        <f t="array" ref="I150">IF($R150,INDEX($S:$S,MATCH(TRUE,EXACT(H150,$A:$A),0)),"")</f>
        <v>148</v>
      </c>
      <c r="J150" s="38" t="s">
        <v>131</v>
      </c>
      <c r="K150" s="52" cm="1">
        <f t="array" ref="K150">IF($R150,INDEX($S:$S,MATCH(TRUE,EXACT(J150,$A:$A),0)),"")</f>
        <v>150</v>
      </c>
      <c r="L150" s="38" t="str" cm="1">
        <f t="array" ref="L150">IF($R150,INDEX($T:$T,MATCH(TRUE,EXACT(H150,$D:$D),0)),"")</f>
        <v>×</v>
      </c>
      <c r="M150" s="48" cm="1">
        <f t="array" ref="M150">IF($R150,INDEX($S:$S,MATCH(TRUE,EXACT(L150,$A:$A),0)),"")</f>
        <v>147</v>
      </c>
      <c r="N150" s="38" t="str" cm="1">
        <f t="array" ref="N150">IF($R150,INDEX($T:$T,MATCH(TRUE,EXACT(J150,$D:$D),0)),"")</f>
        <v>Ù</v>
      </c>
      <c r="O150" s="52" cm="1">
        <f t="array" ref="O150">IF($R150,INDEX($S:$S,MATCH(TRUE,EXACT(N150,$A:$A),0)),"")</f>
        <v>149</v>
      </c>
      <c r="P150" s="23"/>
      <c r="Q150" s="33"/>
      <c r="R150" s="18" t="b">
        <f t="shared" si="29"/>
        <v>1</v>
      </c>
      <c r="S150" s="19">
        <f>IF(R150, MAX(S$2:S149)+1,"")</f>
        <v>148</v>
      </c>
      <c r="T150" s="23" t="str">
        <f t="shared" si="30"/>
        <v>Ø</v>
      </c>
      <c r="U150" s="8" t="str" cm="1">
        <f t="array" ref="U150">CharToUTF8(A150)</f>
        <v>\xC3\x98</v>
      </c>
      <c r="W150" s="18" t="str">
        <f>$AU$4</f>
        <v>ORTHO_BOTH</v>
      </c>
      <c r="X150" s="24" t="str">
        <f>$AU$4</f>
        <v>ORTHO_BOTH</v>
      </c>
      <c r="Y150" s="24" t="str">
        <f>$AU$4</f>
        <v>ORTHO_BOTH</v>
      </c>
      <c r="Z150" s="21" t="str">
        <f>$AU$2</f>
        <v>EMPTY</v>
      </c>
      <c r="AB150" s="31" t="b">
        <f t="shared" si="31"/>
        <v>0</v>
      </c>
      <c r="AC150" s="31" t="b">
        <f t="shared" si="32"/>
        <v>0</v>
      </c>
      <c r="AD150" t="b">
        <f t="shared" si="33"/>
        <v>1</v>
      </c>
      <c r="AE150" t="b">
        <f t="shared" si="34"/>
        <v>0</v>
      </c>
      <c r="AF150" t="b">
        <f>IF($R150,W150=VLOOKUP(Z150,$AU$2:$AZ$10,3,FALSE),"")</f>
        <v>0</v>
      </c>
      <c r="AG150" t="b">
        <f>IF($R150,X150=VLOOKUP(Y150,$AU$2:$AZ$10,3,FALSE),"")</f>
        <v>1</v>
      </c>
      <c r="AH150" t="b">
        <f>IF($R150,Y150=VLOOKUP(W150,$AU$2:$AZ$10,3,FALSE),"")</f>
        <v>1</v>
      </c>
      <c r="AI150" t="b">
        <f>IF($R150,Z150=VLOOKUP(X150,$AU$2:$AZ$10,3,FALSE),"")</f>
        <v>0</v>
      </c>
      <c r="AJ150" t="b">
        <f>IF($R150,W150=VLOOKUP(W150,$AU$2:$AZ$10,4,FALSE),"")</f>
        <v>1</v>
      </c>
      <c r="AK150" t="b">
        <f>IF($R150,X150=VLOOKUP(X150,$AU$2:$AZ$10,4,FALSE),"")</f>
        <v>1</v>
      </c>
      <c r="AL150" t="b">
        <f>IF($R150,Y150=VLOOKUP(Y150,$AU$2:$AZ$10,4,FALSE),"")</f>
        <v>1</v>
      </c>
      <c r="AM150" t="b">
        <f>IF($R150,Z150=VLOOKUP(Z150,$AU$2:$AZ$10,4,FALSE),"")</f>
        <v>1</v>
      </c>
      <c r="AN150" t="b">
        <f>IF($R150,W150=VLOOKUP(W150,$AU$2:$AZ$10,5,FALSE),"")</f>
        <v>1</v>
      </c>
      <c r="AO150" t="b">
        <f>IF($R150,X150=VLOOKUP(X150,$AU$2:$AZ$10,5,FALSE),"")</f>
        <v>1</v>
      </c>
      <c r="AP150" t="b">
        <f>IF($R150,Y150=VLOOKUP(Y150,$AU$2:$AZ$10,6,FALSE),"")</f>
        <v>1</v>
      </c>
      <c r="AQ150" t="b">
        <f>IF($R150,Z150=VLOOKUP(Z150,$AU$2:$AZ$10,6,FALSE),"")</f>
        <v>1</v>
      </c>
      <c r="AR150" t="b">
        <f t="shared" si="35"/>
        <v>0</v>
      </c>
      <c r="AS150" t="b">
        <f t="shared" si="36"/>
        <v>0</v>
      </c>
      <c r="BD150" s="59" t="str">
        <f t="shared" si="37"/>
        <v xml:space="preserve">    { wxString::FromUTF8("\xC3\x98"), &amp;AllGlyphs[149], &amp;AllGlyphs[150], &amp;AllGlyphs[148], &amp;AllGlyphs[150], &amp;AllGlyphs[147], &amp;AllGlyphs[149], Connection::ORTHO_BOTH, Connection::ORTHO_BOTH, Connection::ORTHO_BOTH, Connection::EMPTY, 0, 0, 1, 0, 0, 0 },</v>
      </c>
      <c r="BE150" s="60"/>
      <c r="BF150" s="60"/>
      <c r="BG150" s="60"/>
      <c r="BH150" s="60"/>
      <c r="BI150" s="60"/>
      <c r="BJ150" s="60"/>
      <c r="BK150" s="61"/>
      <c r="BM150" s="54" t="str">
        <f>IF($R150,"&amp;AllGlyphs[" &amp; E150 &amp; "]","")</f>
        <v>&amp;AllGlyphs[149]</v>
      </c>
      <c r="BN150" s="54" t="str">
        <f>IF($R150,"&amp;AllGlyphs[" &amp; G150 &amp; "]","")</f>
        <v>&amp;AllGlyphs[150]</v>
      </c>
      <c r="BO150" s="54" t="str">
        <f>IF($R150,"&amp;AllGlyphs[" &amp; I150 &amp; "]","")</f>
        <v>&amp;AllGlyphs[148]</v>
      </c>
      <c r="BP150" s="54" t="str">
        <f>IF($R150,"&amp;AllGlyphs[" &amp; K150 &amp; "]","")</f>
        <v>&amp;AllGlyphs[150]</v>
      </c>
      <c r="BQ150" s="54" t="str">
        <f>IF($R150,"&amp;AllGlyphs[" &amp; M150 &amp; "]","")</f>
        <v>&amp;AllGlyphs[147]</v>
      </c>
      <c r="BR150" s="54" t="str">
        <f>IF($R150,"&amp;AllGlyphs[" &amp; O150 &amp; "]","")</f>
        <v>&amp;AllGlyphs[149]</v>
      </c>
      <c r="BT150" s="58">
        <f>IF($R150,IF(AB150,1,0),"")</f>
        <v>0</v>
      </c>
      <c r="BU150" s="58">
        <f>IF($R150,IF(AC150,1,0),"")</f>
        <v>0</v>
      </c>
      <c r="BV150" s="58">
        <f>IF($R150,IF(AD150,1,0),"")</f>
        <v>1</v>
      </c>
      <c r="BW150" s="58">
        <f>IF($R150,IF(AE150,1,0),"")</f>
        <v>0</v>
      </c>
      <c r="BX150" s="58">
        <f>IF($R150,IF(AR150,1,0),"")</f>
        <v>0</v>
      </c>
      <c r="BY150" s="58">
        <f>IF($R150,IF(AS150,1,0),"")</f>
        <v>0</v>
      </c>
    </row>
    <row r="151" spans="1:77" x14ac:dyDescent="0.4">
      <c r="A151" s="7" t="s">
        <v>130</v>
      </c>
      <c r="B151" s="6" t="str">
        <f t="shared" si="28"/>
        <v>Ù</v>
      </c>
      <c r="C151" s="48" cm="1">
        <f t="array" ref="C151">IF($R151,INDEX($S:$S,MATCH(TRUE,EXACT(B151,$A:$A),0)),"")</f>
        <v>149</v>
      </c>
      <c r="D151" s="38" t="s">
        <v>131</v>
      </c>
      <c r="E151" s="48" cm="1">
        <f t="array" ref="E151">IF($R151,INDEX($S:$S,MATCH(TRUE,EXACT(D151,$A:$A),0)),"")</f>
        <v>150</v>
      </c>
      <c r="F151" s="38" t="s">
        <v>128</v>
      </c>
      <c r="G151" s="48" cm="1">
        <f t="array" ref="G151">IF($S151&lt;&gt;"",INDEX($S:$S,MATCH(TRUE,EXACT(F151,$A:$A),0)),"")</f>
        <v>147</v>
      </c>
      <c r="H151" s="38" t="s">
        <v>128</v>
      </c>
      <c r="I151" s="48" cm="1">
        <f t="array" ref="I151">IF($R151,INDEX($S:$S,MATCH(TRUE,EXACT(H151,$A:$A),0)),"")</f>
        <v>147</v>
      </c>
      <c r="J151" s="38" t="s">
        <v>130</v>
      </c>
      <c r="K151" s="52" cm="1">
        <f t="array" ref="K151">IF($R151,INDEX($S:$S,MATCH(TRUE,EXACT(J151,$A:$A),0)),"")</f>
        <v>149</v>
      </c>
      <c r="L151" s="38" t="str" cm="1">
        <f t="array" ref="L151">IF($R151,INDEX($T:$T,MATCH(TRUE,EXACT(H151,$D:$D),0)),"")</f>
        <v>Ú</v>
      </c>
      <c r="M151" s="48" cm="1">
        <f t="array" ref="M151">IF($R151,INDEX($S:$S,MATCH(TRUE,EXACT(L151,$A:$A),0)),"")</f>
        <v>150</v>
      </c>
      <c r="N151" s="38" t="str" cm="1">
        <f t="array" ref="N151">IF($R151,INDEX($T:$T,MATCH(TRUE,EXACT(J151,$D:$D),0)),"")</f>
        <v>Ø</v>
      </c>
      <c r="O151" s="52" cm="1">
        <f t="array" ref="O151">IF($R151,INDEX($S:$S,MATCH(TRUE,EXACT(N151,$A:$A),0)),"")</f>
        <v>148</v>
      </c>
      <c r="P151" s="23"/>
      <c r="Q151" s="33"/>
      <c r="R151" s="18" t="b">
        <f t="shared" si="29"/>
        <v>1</v>
      </c>
      <c r="S151" s="19">
        <f>IF(R151, MAX(S$2:S150)+1,"")</f>
        <v>149</v>
      </c>
      <c r="T151" s="23" t="str">
        <f t="shared" si="30"/>
        <v>Ù</v>
      </c>
      <c r="U151" s="8" t="str" cm="1">
        <f t="array" ref="U151">CharToUTF8(A151)</f>
        <v>\xC3\x99</v>
      </c>
      <c r="W151" s="18" t="str">
        <f>$AU$4</f>
        <v>ORTHO_BOTH</v>
      </c>
      <c r="X151" s="24" t="str">
        <f>$AU$2</f>
        <v>EMPTY</v>
      </c>
      <c r="Y151" s="24" t="str">
        <f>$AU$4</f>
        <v>ORTHO_BOTH</v>
      </c>
      <c r="Z151" s="21" t="str">
        <f>$AU$4</f>
        <v>ORTHO_BOTH</v>
      </c>
      <c r="AB151" s="31" t="b">
        <f t="shared" si="31"/>
        <v>0</v>
      </c>
      <c r="AC151" s="31" t="b">
        <f t="shared" si="32"/>
        <v>0</v>
      </c>
      <c r="AD151" t="b">
        <f t="shared" si="33"/>
        <v>0</v>
      </c>
      <c r="AE151" t="b">
        <f t="shared" si="34"/>
        <v>1</v>
      </c>
      <c r="AF151" t="b">
        <f>IF($R151,W151=VLOOKUP(Z151,$AU$2:$AZ$10,3,FALSE),"")</f>
        <v>1</v>
      </c>
      <c r="AG151" t="b">
        <f>IF($R151,X151=VLOOKUP(Y151,$AU$2:$AZ$10,3,FALSE),"")</f>
        <v>0</v>
      </c>
      <c r="AH151" t="b">
        <f>IF($R151,Y151=VLOOKUP(W151,$AU$2:$AZ$10,3,FALSE),"")</f>
        <v>1</v>
      </c>
      <c r="AI151" t="b">
        <f>IF($R151,Z151=VLOOKUP(X151,$AU$2:$AZ$10,3,FALSE),"")</f>
        <v>0</v>
      </c>
      <c r="AJ151" t="b">
        <f>IF($R151,W151=VLOOKUP(W151,$AU$2:$AZ$10,4,FALSE),"")</f>
        <v>1</v>
      </c>
      <c r="AK151" t="b">
        <f>IF($R151,X151=VLOOKUP(X151,$AU$2:$AZ$10,4,FALSE),"")</f>
        <v>1</v>
      </c>
      <c r="AL151" t="b">
        <f>IF($R151,Y151=VLOOKUP(Y151,$AU$2:$AZ$10,4,FALSE),"")</f>
        <v>1</v>
      </c>
      <c r="AM151" t="b">
        <f>IF($R151,Z151=VLOOKUP(Z151,$AU$2:$AZ$10,4,FALSE),"")</f>
        <v>1</v>
      </c>
      <c r="AN151" t="b">
        <f>IF($R151,W151=VLOOKUP(W151,$AU$2:$AZ$10,5,FALSE),"")</f>
        <v>1</v>
      </c>
      <c r="AO151" t="b">
        <f>IF($R151,X151=VLOOKUP(X151,$AU$2:$AZ$10,5,FALSE),"")</f>
        <v>1</v>
      </c>
      <c r="AP151" t="b">
        <f>IF($R151,Y151=VLOOKUP(Y151,$AU$2:$AZ$10,6,FALSE),"")</f>
        <v>1</v>
      </c>
      <c r="AQ151" t="b">
        <f>IF($R151,Z151=VLOOKUP(Z151,$AU$2:$AZ$10,6,FALSE),"")</f>
        <v>1</v>
      </c>
      <c r="AR151" t="b">
        <f t="shared" si="35"/>
        <v>0</v>
      </c>
      <c r="AS151" t="b">
        <f t="shared" si="36"/>
        <v>0</v>
      </c>
      <c r="BD151" s="59" t="str">
        <f t="shared" si="37"/>
        <v xml:space="preserve">    { wxString::FromUTF8("\xC3\x99"), &amp;AllGlyphs[150], &amp;AllGlyphs[147], &amp;AllGlyphs[147], &amp;AllGlyphs[149], &amp;AllGlyphs[150], &amp;AllGlyphs[148], Connection::ORTHO_BOTH, Connection::EMPTY, Connection::ORTHO_BOTH, Connection::ORTHO_BOTH, 0, 0, 0, 1, 0, 0 },</v>
      </c>
      <c r="BE151" s="60"/>
      <c r="BF151" s="60"/>
      <c r="BG151" s="60"/>
      <c r="BH151" s="60"/>
      <c r="BI151" s="60"/>
      <c r="BJ151" s="60"/>
      <c r="BK151" s="61"/>
      <c r="BM151" s="54" t="str">
        <f>IF($R151,"&amp;AllGlyphs[" &amp; E151 &amp; "]","")</f>
        <v>&amp;AllGlyphs[150]</v>
      </c>
      <c r="BN151" s="54" t="str">
        <f>IF($R151,"&amp;AllGlyphs[" &amp; G151 &amp; "]","")</f>
        <v>&amp;AllGlyphs[147]</v>
      </c>
      <c r="BO151" s="54" t="str">
        <f>IF($R151,"&amp;AllGlyphs[" &amp; I151 &amp; "]","")</f>
        <v>&amp;AllGlyphs[147]</v>
      </c>
      <c r="BP151" s="54" t="str">
        <f>IF($R151,"&amp;AllGlyphs[" &amp; K151 &amp; "]","")</f>
        <v>&amp;AllGlyphs[149]</v>
      </c>
      <c r="BQ151" s="54" t="str">
        <f>IF($R151,"&amp;AllGlyphs[" &amp; M151 &amp; "]","")</f>
        <v>&amp;AllGlyphs[150]</v>
      </c>
      <c r="BR151" s="54" t="str">
        <f>IF($R151,"&amp;AllGlyphs[" &amp; O151 &amp; "]","")</f>
        <v>&amp;AllGlyphs[148]</v>
      </c>
      <c r="BT151" s="58">
        <f>IF($R151,IF(AB151,1,0),"")</f>
        <v>0</v>
      </c>
      <c r="BU151" s="58">
        <f>IF($R151,IF(AC151,1,0),"")</f>
        <v>0</v>
      </c>
      <c r="BV151" s="58">
        <f>IF($R151,IF(AD151,1,0),"")</f>
        <v>0</v>
      </c>
      <c r="BW151" s="58">
        <f>IF($R151,IF(AE151,1,0),"")</f>
        <v>1</v>
      </c>
      <c r="BX151" s="58">
        <f>IF($R151,IF(AR151,1,0),"")</f>
        <v>0</v>
      </c>
      <c r="BY151" s="58">
        <f>IF($R151,IF(AS151,1,0),"")</f>
        <v>0</v>
      </c>
    </row>
    <row r="152" spans="1:77" x14ac:dyDescent="0.4">
      <c r="A152" s="7" t="s">
        <v>131</v>
      </c>
      <c r="B152" s="6" t="str">
        <f t="shared" si="28"/>
        <v>Ú</v>
      </c>
      <c r="C152" s="48" cm="1">
        <f t="array" ref="C152">IF($R152,INDEX($S:$S,MATCH(TRUE,EXACT(B152,$A:$A),0)),"")</f>
        <v>150</v>
      </c>
      <c r="D152" s="38" t="s">
        <v>128</v>
      </c>
      <c r="E152" s="48" cm="1">
        <f t="array" ref="E152">IF($R152,INDEX($S:$S,MATCH(TRUE,EXACT(D152,$A:$A),0)),"")</f>
        <v>147</v>
      </c>
      <c r="F152" s="38" t="s">
        <v>129</v>
      </c>
      <c r="G152" s="48" cm="1">
        <f t="array" ref="G152">IF($S152&lt;&gt;"",INDEX($S:$S,MATCH(TRUE,EXACT(F152,$A:$A),0)),"")</f>
        <v>148</v>
      </c>
      <c r="H152" s="38" t="s">
        <v>131</v>
      </c>
      <c r="I152" s="48" cm="1">
        <f t="array" ref="I152">IF($R152,INDEX($S:$S,MATCH(TRUE,EXACT(H152,$A:$A),0)),"")</f>
        <v>150</v>
      </c>
      <c r="J152" s="38" t="s">
        <v>129</v>
      </c>
      <c r="K152" s="52" cm="1">
        <f t="array" ref="K152">IF($R152,INDEX($S:$S,MATCH(TRUE,EXACT(J152,$A:$A),0)),"")</f>
        <v>148</v>
      </c>
      <c r="L152" s="38" t="str" cm="1">
        <f t="array" ref="L152">IF($R152,INDEX($T:$T,MATCH(TRUE,EXACT(H152,$D:$D),0)),"")</f>
        <v>Ù</v>
      </c>
      <c r="M152" s="48" cm="1">
        <f t="array" ref="M152">IF($R152,INDEX($S:$S,MATCH(TRUE,EXACT(L152,$A:$A),0)),"")</f>
        <v>149</v>
      </c>
      <c r="N152" s="38" t="str" cm="1">
        <f t="array" ref="N152">IF($R152,INDEX($T:$T,MATCH(TRUE,EXACT(J152,$D:$D),0)),"")</f>
        <v>×</v>
      </c>
      <c r="O152" s="52" cm="1">
        <f t="array" ref="O152">IF($R152,INDEX($S:$S,MATCH(TRUE,EXACT(N152,$A:$A),0)),"")</f>
        <v>147</v>
      </c>
      <c r="P152" s="23"/>
      <c r="Q152" s="33"/>
      <c r="R152" s="18" t="b">
        <f t="shared" si="29"/>
        <v>1</v>
      </c>
      <c r="S152" s="19">
        <f>IF(R152, MAX(S$2:S151)+1,"")</f>
        <v>150</v>
      </c>
      <c r="T152" s="23" t="str">
        <f t="shared" si="30"/>
        <v>Ú</v>
      </c>
      <c r="U152" s="8" t="str" cm="1">
        <f t="array" ref="U152">CharToUTF8(A152)</f>
        <v>\xC3\x9A</v>
      </c>
      <c r="W152" s="18" t="str">
        <f>$AU$4</f>
        <v>ORTHO_BOTH</v>
      </c>
      <c r="X152" s="24" t="str">
        <f>$AU$4</f>
        <v>ORTHO_BOTH</v>
      </c>
      <c r="Y152" s="24" t="str">
        <f>$AU$2</f>
        <v>EMPTY</v>
      </c>
      <c r="Z152" s="21" t="str">
        <f>$AU$4</f>
        <v>ORTHO_BOTH</v>
      </c>
      <c r="AB152" s="31" t="b">
        <f t="shared" si="31"/>
        <v>0</v>
      </c>
      <c r="AC152" s="31" t="b">
        <f t="shared" si="32"/>
        <v>0</v>
      </c>
      <c r="AD152" t="b">
        <f t="shared" si="33"/>
        <v>1</v>
      </c>
      <c r="AE152" t="b">
        <f t="shared" si="34"/>
        <v>0</v>
      </c>
      <c r="AF152" t="b">
        <f>IF($R152,W152=VLOOKUP(Z152,$AU$2:$AZ$10,3,FALSE),"")</f>
        <v>1</v>
      </c>
      <c r="AG152" t="b">
        <f>IF($R152,X152=VLOOKUP(Y152,$AU$2:$AZ$10,3,FALSE),"")</f>
        <v>0</v>
      </c>
      <c r="AH152" t="b">
        <f>IF($R152,Y152=VLOOKUP(W152,$AU$2:$AZ$10,3,FALSE),"")</f>
        <v>0</v>
      </c>
      <c r="AI152" t="b">
        <f>IF($R152,Z152=VLOOKUP(X152,$AU$2:$AZ$10,3,FALSE),"")</f>
        <v>1</v>
      </c>
      <c r="AJ152" t="b">
        <f>IF($R152,W152=VLOOKUP(W152,$AU$2:$AZ$10,4,FALSE),"")</f>
        <v>1</v>
      </c>
      <c r="AK152" t="b">
        <f>IF($R152,X152=VLOOKUP(X152,$AU$2:$AZ$10,4,FALSE),"")</f>
        <v>1</v>
      </c>
      <c r="AL152" t="b">
        <f>IF($R152,Y152=VLOOKUP(Y152,$AU$2:$AZ$10,4,FALSE),"")</f>
        <v>1</v>
      </c>
      <c r="AM152" t="b">
        <f>IF($R152,Z152=VLOOKUP(Z152,$AU$2:$AZ$10,4,FALSE),"")</f>
        <v>1</v>
      </c>
      <c r="AN152" t="b">
        <f>IF($R152,W152=VLOOKUP(W152,$AU$2:$AZ$10,5,FALSE),"")</f>
        <v>1</v>
      </c>
      <c r="AO152" t="b">
        <f>IF($R152,X152=VLOOKUP(X152,$AU$2:$AZ$10,5,FALSE),"")</f>
        <v>1</v>
      </c>
      <c r="AP152" t="b">
        <f>IF($R152,Y152=VLOOKUP(Y152,$AU$2:$AZ$10,6,FALSE),"")</f>
        <v>1</v>
      </c>
      <c r="AQ152" t="b">
        <f>IF($R152,Z152=VLOOKUP(Z152,$AU$2:$AZ$10,6,FALSE),"")</f>
        <v>1</v>
      </c>
      <c r="AR152" t="b">
        <f t="shared" si="35"/>
        <v>0</v>
      </c>
      <c r="AS152" t="b">
        <f t="shared" si="36"/>
        <v>0</v>
      </c>
      <c r="BD152" s="59" t="str">
        <f t="shared" si="37"/>
        <v xml:space="preserve">    { wxString::FromUTF8("\xC3\x9A"), &amp;AllGlyphs[147], &amp;AllGlyphs[148], &amp;AllGlyphs[150], &amp;AllGlyphs[148], &amp;AllGlyphs[149], &amp;AllGlyphs[147], Connection::ORTHO_BOTH, Connection::ORTHO_BOTH, Connection::EMPTY, Connection::ORTHO_BOTH, 0, 0, 1, 0, 0, 0 },</v>
      </c>
      <c r="BE152" s="60"/>
      <c r="BF152" s="60"/>
      <c r="BG152" s="60"/>
      <c r="BH152" s="60"/>
      <c r="BI152" s="60"/>
      <c r="BJ152" s="60"/>
      <c r="BK152" s="61"/>
      <c r="BM152" s="54" t="str">
        <f>IF($R152,"&amp;AllGlyphs[" &amp; E152 &amp; "]","")</f>
        <v>&amp;AllGlyphs[147]</v>
      </c>
      <c r="BN152" s="54" t="str">
        <f>IF($R152,"&amp;AllGlyphs[" &amp; G152 &amp; "]","")</f>
        <v>&amp;AllGlyphs[148]</v>
      </c>
      <c r="BO152" s="54" t="str">
        <f>IF($R152,"&amp;AllGlyphs[" &amp; I152 &amp; "]","")</f>
        <v>&amp;AllGlyphs[150]</v>
      </c>
      <c r="BP152" s="54" t="str">
        <f>IF($R152,"&amp;AllGlyphs[" &amp; K152 &amp; "]","")</f>
        <v>&amp;AllGlyphs[148]</v>
      </c>
      <c r="BQ152" s="54" t="str">
        <f>IF($R152,"&amp;AllGlyphs[" &amp; M152 &amp; "]","")</f>
        <v>&amp;AllGlyphs[149]</v>
      </c>
      <c r="BR152" s="54" t="str">
        <f>IF($R152,"&amp;AllGlyphs[" &amp; O152 &amp; "]","")</f>
        <v>&amp;AllGlyphs[147]</v>
      </c>
      <c r="BT152" s="58">
        <f>IF($R152,IF(AB152,1,0),"")</f>
        <v>0</v>
      </c>
      <c r="BU152" s="58">
        <f>IF($R152,IF(AC152,1,0),"")</f>
        <v>0</v>
      </c>
      <c r="BV152" s="58">
        <f>IF($R152,IF(AD152,1,0),"")</f>
        <v>1</v>
      </c>
      <c r="BW152" s="58">
        <f>IF($R152,IF(AE152,1,0),"")</f>
        <v>0</v>
      </c>
      <c r="BX152" s="58">
        <f>IF($R152,IF(AR152,1,0),"")</f>
        <v>0</v>
      </c>
      <c r="BY152" s="58">
        <f>IF($R152,IF(AS152,1,0),"")</f>
        <v>0</v>
      </c>
    </row>
    <row r="153" spans="1:77" x14ac:dyDescent="0.4">
      <c r="A153" s="7" t="s">
        <v>132</v>
      </c>
      <c r="B153" s="6" t="str">
        <f t="shared" si="28"/>
        <v>Û</v>
      </c>
      <c r="C153" s="48" cm="1">
        <f t="array" ref="C153">IF($R153,INDEX($S:$S,MATCH(TRUE,EXACT(B153,$A:$A),0)),"")</f>
        <v>151</v>
      </c>
      <c r="D153" s="38" t="s">
        <v>133</v>
      </c>
      <c r="E153" s="48" cm="1">
        <f t="array" ref="E153">IF($R153,INDEX($S:$S,MATCH(TRUE,EXACT(D153,$A:$A),0)),"")</f>
        <v>152</v>
      </c>
      <c r="F153" s="38" t="s">
        <v>134</v>
      </c>
      <c r="G153" s="48" cm="1">
        <f t="array" ref="G153">IF($S153&lt;&gt;"",INDEX($S:$S,MATCH(TRUE,EXACT(F153,$A:$A),0)),"")</f>
        <v>153</v>
      </c>
      <c r="H153" s="38" t="s">
        <v>134</v>
      </c>
      <c r="I153" s="48" cm="1">
        <f t="array" ref="I153">IF($R153,INDEX($S:$S,MATCH(TRUE,EXACT(H153,$A:$A),0)),"")</f>
        <v>153</v>
      </c>
      <c r="J153" s="38" t="s">
        <v>132</v>
      </c>
      <c r="K153" s="52" cm="1">
        <f t="array" ref="K153">IF($R153,INDEX($S:$S,MATCH(TRUE,EXACT(J153,$A:$A),0)),"")</f>
        <v>151</v>
      </c>
      <c r="L153" s="38" t="str" cm="1">
        <f t="array" ref="L153">IF($R153,INDEX($T:$T,MATCH(TRUE,EXACT(H153,$D:$D),0)),"")</f>
        <v>Ü</v>
      </c>
      <c r="M153" s="48" cm="1">
        <f t="array" ref="M153">IF($R153,INDEX($S:$S,MATCH(TRUE,EXACT(L153,$A:$A),0)),"")</f>
        <v>152</v>
      </c>
      <c r="N153" s="38" t="str" cm="1">
        <f t="array" ref="N153">IF($R153,INDEX($T:$T,MATCH(TRUE,EXACT(J153,$D:$D),0)),"")</f>
        <v>Þ</v>
      </c>
      <c r="O153" s="52" cm="1">
        <f t="array" ref="O153">IF($R153,INDEX($S:$S,MATCH(TRUE,EXACT(N153,$A:$A),0)),"")</f>
        <v>154</v>
      </c>
      <c r="P153" s="23"/>
      <c r="Q153" s="33"/>
      <c r="R153" s="18" t="b">
        <f t="shared" si="29"/>
        <v>1</v>
      </c>
      <c r="S153" s="19">
        <f>IF(R153, MAX(S$2:S152)+1,"")</f>
        <v>151</v>
      </c>
      <c r="T153" s="23" t="str">
        <f t="shared" si="30"/>
        <v>Û</v>
      </c>
      <c r="U153" s="8" t="str" cm="1">
        <f t="array" ref="U153">CharToUTF8(A153)</f>
        <v>\xC3\x9B</v>
      </c>
      <c r="W153" s="18" t="str">
        <f>$AU$2</f>
        <v>EMPTY</v>
      </c>
      <c r="X153" s="24" t="str">
        <f>$AU$4</f>
        <v>ORTHO_BOTH</v>
      </c>
      <c r="Y153" s="24" t="str">
        <f>$AU$4</f>
        <v>ORTHO_BOTH</v>
      </c>
      <c r="Z153" s="21" t="str">
        <f>$AU$4</f>
        <v>ORTHO_BOTH</v>
      </c>
      <c r="AB153" s="31" t="b">
        <f t="shared" si="31"/>
        <v>0</v>
      </c>
      <c r="AC153" s="31" t="b">
        <f t="shared" si="32"/>
        <v>0</v>
      </c>
      <c r="AD153" t="b">
        <f t="shared" si="33"/>
        <v>0</v>
      </c>
      <c r="AE153" t="b">
        <f t="shared" si="34"/>
        <v>1</v>
      </c>
      <c r="AF153" t="b">
        <f>IF($R153,W153=VLOOKUP(Z153,$AU$2:$AZ$10,3,FALSE),"")</f>
        <v>0</v>
      </c>
      <c r="AG153" t="b">
        <f>IF($R153,X153=VLOOKUP(Y153,$AU$2:$AZ$10,3,FALSE),"")</f>
        <v>1</v>
      </c>
      <c r="AH153" t="b">
        <f>IF($R153,Y153=VLOOKUP(W153,$AU$2:$AZ$10,3,FALSE),"")</f>
        <v>0</v>
      </c>
      <c r="AI153" t="b">
        <f>IF($R153,Z153=VLOOKUP(X153,$AU$2:$AZ$10,3,FALSE),"")</f>
        <v>1</v>
      </c>
      <c r="AJ153" t="b">
        <f>IF($R153,W153=VLOOKUP(W153,$AU$2:$AZ$10,4,FALSE),"")</f>
        <v>1</v>
      </c>
      <c r="AK153" t="b">
        <f>IF($R153,X153=VLOOKUP(X153,$AU$2:$AZ$10,4,FALSE),"")</f>
        <v>1</v>
      </c>
      <c r="AL153" t="b">
        <f>IF($R153,Y153=VLOOKUP(Y153,$AU$2:$AZ$10,4,FALSE),"")</f>
        <v>1</v>
      </c>
      <c r="AM153" t="b">
        <f>IF($R153,Z153=VLOOKUP(Z153,$AU$2:$AZ$10,4,FALSE),"")</f>
        <v>1</v>
      </c>
      <c r="AN153" t="b">
        <f>IF($R153,W153=VLOOKUP(W153,$AU$2:$AZ$10,5,FALSE),"")</f>
        <v>1</v>
      </c>
      <c r="AO153" t="b">
        <f>IF($R153,X153=VLOOKUP(X153,$AU$2:$AZ$10,5,FALSE),"")</f>
        <v>1</v>
      </c>
      <c r="AP153" t="b">
        <f>IF($R153,Y153=VLOOKUP(Y153,$AU$2:$AZ$10,6,FALSE),"")</f>
        <v>1</v>
      </c>
      <c r="AQ153" t="b">
        <f>IF($R153,Z153=VLOOKUP(Z153,$AU$2:$AZ$10,6,FALSE),"")</f>
        <v>1</v>
      </c>
      <c r="AR153" t="b">
        <f t="shared" si="35"/>
        <v>0</v>
      </c>
      <c r="AS153" t="b">
        <f t="shared" si="36"/>
        <v>0</v>
      </c>
      <c r="BD153" s="59" t="str">
        <f t="shared" si="37"/>
        <v xml:space="preserve">    { wxString::FromUTF8("\xC3\x9B"), &amp;AllGlyphs[152], &amp;AllGlyphs[153], &amp;AllGlyphs[153], &amp;AllGlyphs[151], &amp;AllGlyphs[152], &amp;AllGlyphs[154], Connection::EMPTY, Connection::ORTHO_BOTH, Connection::ORTHO_BOTH, Connection::ORTHO_BOTH, 0, 0, 0, 1, 0, 0 },</v>
      </c>
      <c r="BE153" s="60"/>
      <c r="BF153" s="60"/>
      <c r="BG153" s="60"/>
      <c r="BH153" s="60"/>
      <c r="BI153" s="60"/>
      <c r="BJ153" s="60"/>
      <c r="BK153" s="61"/>
      <c r="BM153" s="54" t="str">
        <f>IF($R153,"&amp;AllGlyphs[" &amp; E153 &amp; "]","")</f>
        <v>&amp;AllGlyphs[152]</v>
      </c>
      <c r="BN153" s="54" t="str">
        <f>IF($R153,"&amp;AllGlyphs[" &amp; G153 &amp; "]","")</f>
        <v>&amp;AllGlyphs[153]</v>
      </c>
      <c r="BO153" s="54" t="str">
        <f>IF($R153,"&amp;AllGlyphs[" &amp; I153 &amp; "]","")</f>
        <v>&amp;AllGlyphs[153]</v>
      </c>
      <c r="BP153" s="54" t="str">
        <f>IF($R153,"&amp;AllGlyphs[" &amp; K153 &amp; "]","")</f>
        <v>&amp;AllGlyphs[151]</v>
      </c>
      <c r="BQ153" s="54" t="str">
        <f>IF($R153,"&amp;AllGlyphs[" &amp; M153 &amp; "]","")</f>
        <v>&amp;AllGlyphs[152]</v>
      </c>
      <c r="BR153" s="54" t="str">
        <f>IF($R153,"&amp;AllGlyphs[" &amp; O153 &amp; "]","")</f>
        <v>&amp;AllGlyphs[154]</v>
      </c>
      <c r="BT153" s="58">
        <f>IF($R153,IF(AB153,1,0),"")</f>
        <v>0</v>
      </c>
      <c r="BU153" s="58">
        <f>IF($R153,IF(AC153,1,0),"")</f>
        <v>0</v>
      </c>
      <c r="BV153" s="58">
        <f>IF($R153,IF(AD153,1,0),"")</f>
        <v>0</v>
      </c>
      <c r="BW153" s="58">
        <f>IF($R153,IF(AE153,1,0),"")</f>
        <v>1</v>
      </c>
      <c r="BX153" s="58">
        <f>IF($R153,IF(AR153,1,0),"")</f>
        <v>0</v>
      </c>
      <c r="BY153" s="58">
        <f>IF($R153,IF(AS153,1,0),"")</f>
        <v>0</v>
      </c>
    </row>
    <row r="154" spans="1:77" x14ac:dyDescent="0.4">
      <c r="A154" s="7" t="s">
        <v>133</v>
      </c>
      <c r="B154" s="6" t="str">
        <f t="shared" si="28"/>
        <v>Ü</v>
      </c>
      <c r="C154" s="48" cm="1">
        <f t="array" ref="C154">IF($R154,INDEX($S:$S,MATCH(TRUE,EXACT(B154,$A:$A),0)),"")</f>
        <v>152</v>
      </c>
      <c r="D154" s="38" t="s">
        <v>134</v>
      </c>
      <c r="E154" s="48" cm="1">
        <f t="array" ref="E154">IF($R154,INDEX($S:$S,MATCH(TRUE,EXACT(D154,$A:$A),0)),"")</f>
        <v>153</v>
      </c>
      <c r="F154" s="38" t="s">
        <v>135</v>
      </c>
      <c r="G154" s="48" cm="1">
        <f t="array" ref="G154">IF($S154&lt;&gt;"",INDEX($S:$S,MATCH(TRUE,EXACT(F154,$A:$A),0)),"")</f>
        <v>154</v>
      </c>
      <c r="H154" s="38" t="s">
        <v>133</v>
      </c>
      <c r="I154" s="48" cm="1">
        <f t="array" ref="I154">IF($R154,INDEX($S:$S,MATCH(TRUE,EXACT(H154,$A:$A),0)),"")</f>
        <v>152</v>
      </c>
      <c r="J154" s="38" t="s">
        <v>135</v>
      </c>
      <c r="K154" s="52" cm="1">
        <f t="array" ref="K154">IF($R154,INDEX($S:$S,MATCH(TRUE,EXACT(J154,$A:$A),0)),"")</f>
        <v>154</v>
      </c>
      <c r="L154" s="38" t="str" cm="1">
        <f t="array" ref="L154">IF($R154,INDEX($T:$T,MATCH(TRUE,EXACT(H154,$D:$D),0)),"")</f>
        <v>Û</v>
      </c>
      <c r="M154" s="48" cm="1">
        <f t="array" ref="M154">IF($R154,INDEX($S:$S,MATCH(TRUE,EXACT(L154,$A:$A),0)),"")</f>
        <v>151</v>
      </c>
      <c r="N154" s="38" t="str" cm="1">
        <f t="array" ref="N154">IF($R154,INDEX($T:$T,MATCH(TRUE,EXACT(J154,$D:$D),0)),"")</f>
        <v>Ý</v>
      </c>
      <c r="O154" s="52" cm="1">
        <f t="array" ref="O154">IF($R154,INDEX($S:$S,MATCH(TRUE,EXACT(N154,$A:$A),0)),"")</f>
        <v>153</v>
      </c>
      <c r="P154" s="23"/>
      <c r="Q154" s="33"/>
      <c r="R154" s="18" t="b">
        <f t="shared" si="29"/>
        <v>1</v>
      </c>
      <c r="S154" s="19">
        <f>IF(R154, MAX(S$2:S153)+1,"")</f>
        <v>152</v>
      </c>
      <c r="T154" s="23" t="str">
        <f t="shared" si="30"/>
        <v>Ü</v>
      </c>
      <c r="U154" s="8" t="str" cm="1">
        <f t="array" ref="U154">CharToUTF8(A154)</f>
        <v>\xC3\x9C</v>
      </c>
      <c r="W154" s="18" t="str">
        <f>$AU$4</f>
        <v>ORTHO_BOTH</v>
      </c>
      <c r="X154" s="24" t="str">
        <f>$AU$4</f>
        <v>ORTHO_BOTH</v>
      </c>
      <c r="Y154" s="24" t="str">
        <f>$AU$4</f>
        <v>ORTHO_BOTH</v>
      </c>
      <c r="Z154" s="21" t="str">
        <f>$AU$2</f>
        <v>EMPTY</v>
      </c>
      <c r="AB154" s="31" t="b">
        <f t="shared" si="31"/>
        <v>0</v>
      </c>
      <c r="AC154" s="31" t="b">
        <f t="shared" si="32"/>
        <v>0</v>
      </c>
      <c r="AD154" t="b">
        <f t="shared" si="33"/>
        <v>1</v>
      </c>
      <c r="AE154" t="b">
        <f t="shared" si="34"/>
        <v>0</v>
      </c>
      <c r="AF154" t="b">
        <f>IF($R154,W154=VLOOKUP(Z154,$AU$2:$AZ$10,3,FALSE),"")</f>
        <v>0</v>
      </c>
      <c r="AG154" t="b">
        <f>IF($R154,X154=VLOOKUP(Y154,$AU$2:$AZ$10,3,FALSE),"")</f>
        <v>1</v>
      </c>
      <c r="AH154" t="b">
        <f>IF($R154,Y154=VLOOKUP(W154,$AU$2:$AZ$10,3,FALSE),"")</f>
        <v>1</v>
      </c>
      <c r="AI154" t="b">
        <f>IF($R154,Z154=VLOOKUP(X154,$AU$2:$AZ$10,3,FALSE),"")</f>
        <v>0</v>
      </c>
      <c r="AJ154" t="b">
        <f>IF($R154,W154=VLOOKUP(W154,$AU$2:$AZ$10,4,FALSE),"")</f>
        <v>1</v>
      </c>
      <c r="AK154" t="b">
        <f>IF($R154,X154=VLOOKUP(X154,$AU$2:$AZ$10,4,FALSE),"")</f>
        <v>1</v>
      </c>
      <c r="AL154" t="b">
        <f>IF($R154,Y154=VLOOKUP(Y154,$AU$2:$AZ$10,4,FALSE),"")</f>
        <v>1</v>
      </c>
      <c r="AM154" t="b">
        <f>IF($R154,Z154=VLOOKUP(Z154,$AU$2:$AZ$10,4,FALSE),"")</f>
        <v>1</v>
      </c>
      <c r="AN154" t="b">
        <f>IF($R154,W154=VLOOKUP(W154,$AU$2:$AZ$10,5,FALSE),"")</f>
        <v>1</v>
      </c>
      <c r="AO154" t="b">
        <f>IF($R154,X154=VLOOKUP(X154,$AU$2:$AZ$10,5,FALSE),"")</f>
        <v>1</v>
      </c>
      <c r="AP154" t="b">
        <f>IF($R154,Y154=VLOOKUP(Y154,$AU$2:$AZ$10,6,FALSE),"")</f>
        <v>1</v>
      </c>
      <c r="AQ154" t="b">
        <f>IF($R154,Z154=VLOOKUP(Z154,$AU$2:$AZ$10,6,FALSE),"")</f>
        <v>1</v>
      </c>
      <c r="AR154" t="b">
        <f t="shared" si="35"/>
        <v>0</v>
      </c>
      <c r="AS154" t="b">
        <f t="shared" si="36"/>
        <v>0</v>
      </c>
      <c r="BD154" s="59" t="str">
        <f t="shared" si="37"/>
        <v xml:space="preserve">    { wxString::FromUTF8("\xC3\x9C"), &amp;AllGlyphs[153], &amp;AllGlyphs[154], &amp;AllGlyphs[152], &amp;AllGlyphs[154], &amp;AllGlyphs[151], &amp;AllGlyphs[153], Connection::ORTHO_BOTH, Connection::ORTHO_BOTH, Connection::ORTHO_BOTH, Connection::EMPTY, 0, 0, 1, 0, 0, 0 },</v>
      </c>
      <c r="BE154" s="60"/>
      <c r="BF154" s="60"/>
      <c r="BG154" s="60"/>
      <c r="BH154" s="60"/>
      <c r="BI154" s="60"/>
      <c r="BJ154" s="60"/>
      <c r="BK154" s="61"/>
      <c r="BM154" s="54" t="str">
        <f>IF($R154,"&amp;AllGlyphs[" &amp; E154 &amp; "]","")</f>
        <v>&amp;AllGlyphs[153]</v>
      </c>
      <c r="BN154" s="54" t="str">
        <f>IF($R154,"&amp;AllGlyphs[" &amp; G154 &amp; "]","")</f>
        <v>&amp;AllGlyphs[154]</v>
      </c>
      <c r="BO154" s="54" t="str">
        <f>IF($R154,"&amp;AllGlyphs[" &amp; I154 &amp; "]","")</f>
        <v>&amp;AllGlyphs[152]</v>
      </c>
      <c r="BP154" s="54" t="str">
        <f>IF($R154,"&amp;AllGlyphs[" &amp; K154 &amp; "]","")</f>
        <v>&amp;AllGlyphs[154]</v>
      </c>
      <c r="BQ154" s="54" t="str">
        <f>IF($R154,"&amp;AllGlyphs[" &amp; M154 &amp; "]","")</f>
        <v>&amp;AllGlyphs[151]</v>
      </c>
      <c r="BR154" s="54" t="str">
        <f>IF($R154,"&amp;AllGlyphs[" &amp; O154 &amp; "]","")</f>
        <v>&amp;AllGlyphs[153]</v>
      </c>
      <c r="BT154" s="58">
        <f>IF($R154,IF(AB154,1,0),"")</f>
        <v>0</v>
      </c>
      <c r="BU154" s="58">
        <f>IF($R154,IF(AC154,1,0),"")</f>
        <v>0</v>
      </c>
      <c r="BV154" s="58">
        <f>IF($R154,IF(AD154,1,0),"")</f>
        <v>1</v>
      </c>
      <c r="BW154" s="58">
        <f>IF($R154,IF(AE154,1,0),"")</f>
        <v>0</v>
      </c>
      <c r="BX154" s="58">
        <f>IF($R154,IF(AR154,1,0),"")</f>
        <v>0</v>
      </c>
      <c r="BY154" s="58">
        <f>IF($R154,IF(AS154,1,0),"")</f>
        <v>0</v>
      </c>
    </row>
    <row r="155" spans="1:77" x14ac:dyDescent="0.4">
      <c r="A155" s="7" t="s">
        <v>134</v>
      </c>
      <c r="B155" s="6" t="str">
        <f t="shared" si="28"/>
        <v>Ý</v>
      </c>
      <c r="C155" s="48" cm="1">
        <f t="array" ref="C155">IF($R155,INDEX($S:$S,MATCH(TRUE,EXACT(B155,$A:$A),0)),"")</f>
        <v>153</v>
      </c>
      <c r="D155" s="38" t="s">
        <v>135</v>
      </c>
      <c r="E155" s="48" cm="1">
        <f t="array" ref="E155">IF($R155,INDEX($S:$S,MATCH(TRUE,EXACT(D155,$A:$A),0)),"")</f>
        <v>154</v>
      </c>
      <c r="F155" s="38" t="s">
        <v>132</v>
      </c>
      <c r="G155" s="48" cm="1">
        <f t="array" ref="G155">IF($S155&lt;&gt;"",INDEX($S:$S,MATCH(TRUE,EXACT(F155,$A:$A),0)),"")</f>
        <v>151</v>
      </c>
      <c r="H155" s="38" t="s">
        <v>132</v>
      </c>
      <c r="I155" s="48" cm="1">
        <f t="array" ref="I155">IF($R155,INDEX($S:$S,MATCH(TRUE,EXACT(H155,$A:$A),0)),"")</f>
        <v>151</v>
      </c>
      <c r="J155" s="38" t="s">
        <v>134</v>
      </c>
      <c r="K155" s="52" cm="1">
        <f t="array" ref="K155">IF($R155,INDEX($S:$S,MATCH(TRUE,EXACT(J155,$A:$A),0)),"")</f>
        <v>153</v>
      </c>
      <c r="L155" s="38" t="str" cm="1">
        <f t="array" ref="L155">IF($R155,INDEX($T:$T,MATCH(TRUE,EXACT(H155,$D:$D),0)),"")</f>
        <v>Þ</v>
      </c>
      <c r="M155" s="48" cm="1">
        <f t="array" ref="M155">IF($R155,INDEX($S:$S,MATCH(TRUE,EXACT(L155,$A:$A),0)),"")</f>
        <v>154</v>
      </c>
      <c r="N155" s="38" t="str" cm="1">
        <f t="array" ref="N155">IF($R155,INDEX($T:$T,MATCH(TRUE,EXACT(J155,$D:$D),0)),"")</f>
        <v>Ü</v>
      </c>
      <c r="O155" s="52" cm="1">
        <f t="array" ref="O155">IF($R155,INDEX($S:$S,MATCH(TRUE,EXACT(N155,$A:$A),0)),"")</f>
        <v>152</v>
      </c>
      <c r="P155" s="23"/>
      <c r="Q155" s="33"/>
      <c r="R155" s="18" t="b">
        <f t="shared" si="29"/>
        <v>1</v>
      </c>
      <c r="S155" s="19">
        <f>IF(R155, MAX(S$2:S154)+1,"")</f>
        <v>153</v>
      </c>
      <c r="T155" s="23" t="str">
        <f t="shared" si="30"/>
        <v>Ý</v>
      </c>
      <c r="U155" s="8" t="str" cm="1">
        <f t="array" ref="U155">CharToUTF8(A155)</f>
        <v>\xC3\x9D</v>
      </c>
      <c r="W155" s="18" t="str">
        <f>$AU$4</f>
        <v>ORTHO_BOTH</v>
      </c>
      <c r="X155" s="24" t="str">
        <f>$AU$2</f>
        <v>EMPTY</v>
      </c>
      <c r="Y155" s="24" t="str">
        <f>$AU$4</f>
        <v>ORTHO_BOTH</v>
      </c>
      <c r="Z155" s="21" t="str">
        <f>$AU$4</f>
        <v>ORTHO_BOTH</v>
      </c>
      <c r="AB155" s="31" t="b">
        <f t="shared" si="31"/>
        <v>0</v>
      </c>
      <c r="AC155" s="31" t="b">
        <f t="shared" si="32"/>
        <v>0</v>
      </c>
      <c r="AD155" t="b">
        <f t="shared" si="33"/>
        <v>0</v>
      </c>
      <c r="AE155" t="b">
        <f t="shared" si="34"/>
        <v>1</v>
      </c>
      <c r="AF155" t="b">
        <f>IF($R155,W155=VLOOKUP(Z155,$AU$2:$AZ$10,3,FALSE),"")</f>
        <v>1</v>
      </c>
      <c r="AG155" t="b">
        <f>IF($R155,X155=VLOOKUP(Y155,$AU$2:$AZ$10,3,FALSE),"")</f>
        <v>0</v>
      </c>
      <c r="AH155" t="b">
        <f>IF($R155,Y155=VLOOKUP(W155,$AU$2:$AZ$10,3,FALSE),"")</f>
        <v>1</v>
      </c>
      <c r="AI155" t="b">
        <f>IF($R155,Z155=VLOOKUP(X155,$AU$2:$AZ$10,3,FALSE),"")</f>
        <v>0</v>
      </c>
      <c r="AJ155" t="b">
        <f>IF($R155,W155=VLOOKUP(W155,$AU$2:$AZ$10,4,FALSE),"")</f>
        <v>1</v>
      </c>
      <c r="AK155" t="b">
        <f>IF($R155,X155=VLOOKUP(X155,$AU$2:$AZ$10,4,FALSE),"")</f>
        <v>1</v>
      </c>
      <c r="AL155" t="b">
        <f>IF($R155,Y155=VLOOKUP(Y155,$AU$2:$AZ$10,4,FALSE),"")</f>
        <v>1</v>
      </c>
      <c r="AM155" t="b">
        <f>IF($R155,Z155=VLOOKUP(Z155,$AU$2:$AZ$10,4,FALSE),"")</f>
        <v>1</v>
      </c>
      <c r="AN155" t="b">
        <f>IF($R155,W155=VLOOKUP(W155,$AU$2:$AZ$10,5,FALSE),"")</f>
        <v>1</v>
      </c>
      <c r="AO155" t="b">
        <f>IF($R155,X155=VLOOKUP(X155,$AU$2:$AZ$10,5,FALSE),"")</f>
        <v>1</v>
      </c>
      <c r="AP155" t="b">
        <f>IF($R155,Y155=VLOOKUP(Y155,$AU$2:$AZ$10,6,FALSE),"")</f>
        <v>1</v>
      </c>
      <c r="AQ155" t="b">
        <f>IF($R155,Z155=VLOOKUP(Z155,$AU$2:$AZ$10,6,FALSE),"")</f>
        <v>1</v>
      </c>
      <c r="AR155" t="b">
        <f t="shared" si="35"/>
        <v>0</v>
      </c>
      <c r="AS155" t="b">
        <f t="shared" si="36"/>
        <v>0</v>
      </c>
      <c r="BD155" s="59" t="str">
        <f t="shared" si="37"/>
        <v xml:space="preserve">    { wxString::FromUTF8("\xC3\x9D"), &amp;AllGlyphs[154], &amp;AllGlyphs[151], &amp;AllGlyphs[151], &amp;AllGlyphs[153], &amp;AllGlyphs[154], &amp;AllGlyphs[152], Connection::ORTHO_BOTH, Connection::EMPTY, Connection::ORTHO_BOTH, Connection::ORTHO_BOTH, 0, 0, 0, 1, 0, 0 },</v>
      </c>
      <c r="BE155" s="60"/>
      <c r="BF155" s="60"/>
      <c r="BG155" s="60"/>
      <c r="BH155" s="60"/>
      <c r="BI155" s="60"/>
      <c r="BJ155" s="60"/>
      <c r="BK155" s="61"/>
      <c r="BM155" s="54" t="str">
        <f>IF($R155,"&amp;AllGlyphs[" &amp; E155 &amp; "]","")</f>
        <v>&amp;AllGlyphs[154]</v>
      </c>
      <c r="BN155" s="54" t="str">
        <f>IF($R155,"&amp;AllGlyphs[" &amp; G155 &amp; "]","")</f>
        <v>&amp;AllGlyphs[151]</v>
      </c>
      <c r="BO155" s="54" t="str">
        <f>IF($R155,"&amp;AllGlyphs[" &amp; I155 &amp; "]","")</f>
        <v>&amp;AllGlyphs[151]</v>
      </c>
      <c r="BP155" s="54" t="str">
        <f>IF($R155,"&amp;AllGlyphs[" &amp; K155 &amp; "]","")</f>
        <v>&amp;AllGlyphs[153]</v>
      </c>
      <c r="BQ155" s="54" t="str">
        <f>IF($R155,"&amp;AllGlyphs[" &amp; M155 &amp; "]","")</f>
        <v>&amp;AllGlyphs[154]</v>
      </c>
      <c r="BR155" s="54" t="str">
        <f>IF($R155,"&amp;AllGlyphs[" &amp; O155 &amp; "]","")</f>
        <v>&amp;AllGlyphs[152]</v>
      </c>
      <c r="BT155" s="58">
        <f>IF($R155,IF(AB155,1,0),"")</f>
        <v>0</v>
      </c>
      <c r="BU155" s="58">
        <f>IF($R155,IF(AC155,1,0),"")</f>
        <v>0</v>
      </c>
      <c r="BV155" s="58">
        <f>IF($R155,IF(AD155,1,0),"")</f>
        <v>0</v>
      </c>
      <c r="BW155" s="58">
        <f>IF($R155,IF(AE155,1,0),"")</f>
        <v>1</v>
      </c>
      <c r="BX155" s="58">
        <f>IF($R155,IF(AR155,1,0),"")</f>
        <v>0</v>
      </c>
      <c r="BY155" s="58">
        <f>IF($R155,IF(AS155,1,0),"")</f>
        <v>0</v>
      </c>
    </row>
    <row r="156" spans="1:77" x14ac:dyDescent="0.4">
      <c r="A156" s="7" t="s">
        <v>135</v>
      </c>
      <c r="B156" s="6" t="str">
        <f t="shared" si="28"/>
        <v>Þ</v>
      </c>
      <c r="C156" s="48" cm="1">
        <f t="array" ref="C156">IF($R156,INDEX($S:$S,MATCH(TRUE,EXACT(B156,$A:$A),0)),"")</f>
        <v>154</v>
      </c>
      <c r="D156" s="38" t="s">
        <v>132</v>
      </c>
      <c r="E156" s="48" cm="1">
        <f t="array" ref="E156">IF($R156,INDEX($S:$S,MATCH(TRUE,EXACT(D156,$A:$A),0)),"")</f>
        <v>151</v>
      </c>
      <c r="F156" s="38" t="s">
        <v>133</v>
      </c>
      <c r="G156" s="48" cm="1">
        <f t="array" ref="G156">IF($S156&lt;&gt;"",INDEX($S:$S,MATCH(TRUE,EXACT(F156,$A:$A),0)),"")</f>
        <v>152</v>
      </c>
      <c r="H156" s="38" t="s">
        <v>135</v>
      </c>
      <c r="I156" s="48" cm="1">
        <f t="array" ref="I156">IF($R156,INDEX($S:$S,MATCH(TRUE,EXACT(H156,$A:$A),0)),"")</f>
        <v>154</v>
      </c>
      <c r="J156" s="38" t="s">
        <v>133</v>
      </c>
      <c r="K156" s="52" cm="1">
        <f t="array" ref="K156">IF($R156,INDEX($S:$S,MATCH(TRUE,EXACT(J156,$A:$A),0)),"")</f>
        <v>152</v>
      </c>
      <c r="L156" s="38" t="str" cm="1">
        <f t="array" ref="L156">IF($R156,INDEX($T:$T,MATCH(TRUE,EXACT(H156,$D:$D),0)),"")</f>
        <v>Ý</v>
      </c>
      <c r="M156" s="48" cm="1">
        <f t="array" ref="M156">IF($R156,INDEX($S:$S,MATCH(TRUE,EXACT(L156,$A:$A),0)),"")</f>
        <v>153</v>
      </c>
      <c r="N156" s="38" t="str" cm="1">
        <f t="array" ref="N156">IF($R156,INDEX($T:$T,MATCH(TRUE,EXACT(J156,$D:$D),0)),"")</f>
        <v>Û</v>
      </c>
      <c r="O156" s="52" cm="1">
        <f t="array" ref="O156">IF($R156,INDEX($S:$S,MATCH(TRUE,EXACT(N156,$A:$A),0)),"")</f>
        <v>151</v>
      </c>
      <c r="P156" s="23"/>
      <c r="Q156" s="33"/>
      <c r="R156" s="18" t="b">
        <f t="shared" si="29"/>
        <v>1</v>
      </c>
      <c r="S156" s="19">
        <f>IF(R156, MAX(S$2:S155)+1,"")</f>
        <v>154</v>
      </c>
      <c r="T156" s="23" t="str">
        <f t="shared" si="30"/>
        <v>Þ</v>
      </c>
      <c r="U156" s="8" t="str" cm="1">
        <f t="array" ref="U156">CharToUTF8(A156)</f>
        <v>\xC3\x9E</v>
      </c>
      <c r="W156" s="18" t="str">
        <f>$AU$4</f>
        <v>ORTHO_BOTH</v>
      </c>
      <c r="X156" s="24" t="str">
        <f>$AU$4</f>
        <v>ORTHO_BOTH</v>
      </c>
      <c r="Y156" s="24" t="str">
        <f>$AU$2</f>
        <v>EMPTY</v>
      </c>
      <c r="Z156" s="21" t="str">
        <f>$AU$4</f>
        <v>ORTHO_BOTH</v>
      </c>
      <c r="AB156" s="31" t="b">
        <f t="shared" si="31"/>
        <v>0</v>
      </c>
      <c r="AC156" s="31" t="b">
        <f t="shared" si="32"/>
        <v>0</v>
      </c>
      <c r="AD156" t="b">
        <f t="shared" si="33"/>
        <v>1</v>
      </c>
      <c r="AE156" t="b">
        <f t="shared" si="34"/>
        <v>0</v>
      </c>
      <c r="AF156" t="b">
        <f>IF($R156,W156=VLOOKUP(Z156,$AU$2:$AZ$10,3,FALSE),"")</f>
        <v>1</v>
      </c>
      <c r="AG156" t="b">
        <f>IF($R156,X156=VLOOKUP(Y156,$AU$2:$AZ$10,3,FALSE),"")</f>
        <v>0</v>
      </c>
      <c r="AH156" t="b">
        <f>IF($R156,Y156=VLOOKUP(W156,$AU$2:$AZ$10,3,FALSE),"")</f>
        <v>0</v>
      </c>
      <c r="AI156" t="b">
        <f>IF($R156,Z156=VLOOKUP(X156,$AU$2:$AZ$10,3,FALSE),"")</f>
        <v>1</v>
      </c>
      <c r="AJ156" t="b">
        <f>IF($R156,W156=VLOOKUP(W156,$AU$2:$AZ$10,4,FALSE),"")</f>
        <v>1</v>
      </c>
      <c r="AK156" t="b">
        <f>IF($R156,X156=VLOOKUP(X156,$AU$2:$AZ$10,4,FALSE),"")</f>
        <v>1</v>
      </c>
      <c r="AL156" t="b">
        <f>IF($R156,Y156=VLOOKUP(Y156,$AU$2:$AZ$10,4,FALSE),"")</f>
        <v>1</v>
      </c>
      <c r="AM156" t="b">
        <f>IF($R156,Z156=VLOOKUP(Z156,$AU$2:$AZ$10,4,FALSE),"")</f>
        <v>1</v>
      </c>
      <c r="AN156" t="b">
        <f>IF($R156,W156=VLOOKUP(W156,$AU$2:$AZ$10,5,FALSE),"")</f>
        <v>1</v>
      </c>
      <c r="AO156" t="b">
        <f>IF($R156,X156=VLOOKUP(X156,$AU$2:$AZ$10,5,FALSE),"")</f>
        <v>1</v>
      </c>
      <c r="AP156" t="b">
        <f>IF($R156,Y156=VLOOKUP(Y156,$AU$2:$AZ$10,6,FALSE),"")</f>
        <v>1</v>
      </c>
      <c r="AQ156" t="b">
        <f>IF($R156,Z156=VLOOKUP(Z156,$AU$2:$AZ$10,6,FALSE),"")</f>
        <v>1</v>
      </c>
      <c r="AR156" t="b">
        <f t="shared" si="35"/>
        <v>0</v>
      </c>
      <c r="AS156" t="b">
        <f t="shared" si="36"/>
        <v>0</v>
      </c>
      <c r="BD156" s="59" t="str">
        <f t="shared" si="37"/>
        <v xml:space="preserve">    { wxString::FromUTF8("\xC3\x9E"), &amp;AllGlyphs[151], &amp;AllGlyphs[152], &amp;AllGlyphs[154], &amp;AllGlyphs[152], &amp;AllGlyphs[153], &amp;AllGlyphs[151], Connection::ORTHO_BOTH, Connection::ORTHO_BOTH, Connection::EMPTY, Connection::ORTHO_BOTH, 0, 0, 1, 0, 0, 0 },</v>
      </c>
      <c r="BE156" s="60"/>
      <c r="BF156" s="60"/>
      <c r="BG156" s="60"/>
      <c r="BH156" s="60"/>
      <c r="BI156" s="60"/>
      <c r="BJ156" s="60"/>
      <c r="BK156" s="61"/>
      <c r="BM156" s="54" t="str">
        <f>IF($R156,"&amp;AllGlyphs[" &amp; E156 &amp; "]","")</f>
        <v>&amp;AllGlyphs[151]</v>
      </c>
      <c r="BN156" s="54" t="str">
        <f>IF($R156,"&amp;AllGlyphs[" &amp; G156 &amp; "]","")</f>
        <v>&amp;AllGlyphs[152]</v>
      </c>
      <c r="BO156" s="54" t="str">
        <f>IF($R156,"&amp;AllGlyphs[" &amp; I156 &amp; "]","")</f>
        <v>&amp;AllGlyphs[154]</v>
      </c>
      <c r="BP156" s="54" t="str">
        <f>IF($R156,"&amp;AllGlyphs[" &amp; K156 &amp; "]","")</f>
        <v>&amp;AllGlyphs[152]</v>
      </c>
      <c r="BQ156" s="54" t="str">
        <f>IF($R156,"&amp;AllGlyphs[" &amp; M156 &amp; "]","")</f>
        <v>&amp;AllGlyphs[153]</v>
      </c>
      <c r="BR156" s="54" t="str">
        <f>IF($R156,"&amp;AllGlyphs[" &amp; O156 &amp; "]","")</f>
        <v>&amp;AllGlyphs[151]</v>
      </c>
      <c r="BT156" s="58">
        <f>IF($R156,IF(AB156,1,0),"")</f>
        <v>0</v>
      </c>
      <c r="BU156" s="58">
        <f>IF($R156,IF(AC156,1,0),"")</f>
        <v>0</v>
      </c>
      <c r="BV156" s="58">
        <f>IF($R156,IF(AD156,1,0),"")</f>
        <v>1</v>
      </c>
      <c r="BW156" s="58">
        <f>IF($R156,IF(AE156,1,0),"")</f>
        <v>0</v>
      </c>
      <c r="BX156" s="58">
        <f>IF($R156,IF(AR156,1,0),"")</f>
        <v>0</v>
      </c>
      <c r="BY156" s="58">
        <f>IF($R156,IF(AS156,1,0),"")</f>
        <v>0</v>
      </c>
    </row>
    <row r="157" spans="1:77" x14ac:dyDescent="0.4">
      <c r="A157" s="7" t="s">
        <v>136</v>
      </c>
      <c r="B157" s="6" t="str">
        <f t="shared" si="28"/>
        <v>ß</v>
      </c>
      <c r="C157" s="48" cm="1">
        <f t="array" ref="C157">IF($R157,INDEX($S:$S,MATCH(TRUE,EXACT(B157,$A:$A),0)),"")</f>
        <v>155</v>
      </c>
      <c r="D157" s="38" t="s">
        <v>136</v>
      </c>
      <c r="E157" s="48" cm="1">
        <f t="array" ref="E157">IF($R157,INDEX($S:$S,MATCH(TRUE,EXACT(D157,$A:$A),0)),"")</f>
        <v>155</v>
      </c>
      <c r="F157" s="38" t="s">
        <v>136</v>
      </c>
      <c r="G157" s="48" cm="1">
        <f t="array" ref="G157">IF($S157&lt;&gt;"",INDEX($S:$S,MATCH(TRUE,EXACT(F157,$A:$A),0)),"")</f>
        <v>155</v>
      </c>
      <c r="H157" s="38" t="s">
        <v>136</v>
      </c>
      <c r="I157" s="48" cm="1">
        <f t="array" ref="I157">IF($R157,INDEX($S:$S,MATCH(TRUE,EXACT(H157,$A:$A),0)),"")</f>
        <v>155</v>
      </c>
      <c r="J157" s="38" t="s">
        <v>136</v>
      </c>
      <c r="K157" s="52" cm="1">
        <f t="array" ref="K157">IF($R157,INDEX($S:$S,MATCH(TRUE,EXACT(J157,$A:$A),0)),"")</f>
        <v>155</v>
      </c>
      <c r="L157" s="38" t="str" cm="1">
        <f t="array" ref="L157">IF($R157,INDEX($T:$T,MATCH(TRUE,EXACT(H157,$D:$D),0)),"")</f>
        <v>ß</v>
      </c>
      <c r="M157" s="48" cm="1">
        <f t="array" ref="M157">IF($R157,INDEX($S:$S,MATCH(TRUE,EXACT(L157,$A:$A),0)),"")</f>
        <v>155</v>
      </c>
      <c r="N157" s="38" t="str" cm="1">
        <f t="array" ref="N157">IF($R157,INDEX($T:$T,MATCH(TRUE,EXACT(J157,$D:$D),0)),"")</f>
        <v>ß</v>
      </c>
      <c r="O157" s="52" cm="1">
        <f t="array" ref="O157">IF($R157,INDEX($S:$S,MATCH(TRUE,EXACT(N157,$A:$A),0)),"")</f>
        <v>155</v>
      </c>
      <c r="P157" s="23"/>
      <c r="Q157" s="33"/>
      <c r="R157" s="18" t="b">
        <f t="shared" si="29"/>
        <v>1</v>
      </c>
      <c r="S157" s="19">
        <f>IF(R157, MAX(S$2:S156)+1,"")</f>
        <v>155</v>
      </c>
      <c r="T157" s="23" t="str">
        <f t="shared" si="30"/>
        <v>ß</v>
      </c>
      <c r="U157" s="8" t="str" cm="1">
        <f t="array" ref="U157">CharToUTF8(A157)</f>
        <v>\xC3\x9F</v>
      </c>
      <c r="W157" s="18" t="str">
        <f>$AU$4</f>
        <v>ORTHO_BOTH</v>
      </c>
      <c r="X157" s="24" t="str">
        <f>$AU$4</f>
        <v>ORTHO_BOTH</v>
      </c>
      <c r="Y157" s="24" t="str">
        <f>$AU$4</f>
        <v>ORTHO_BOTH</v>
      </c>
      <c r="Z157" s="21" t="str">
        <f>$AU$4</f>
        <v>ORTHO_BOTH</v>
      </c>
      <c r="AB157" s="31" t="b">
        <f t="shared" si="31"/>
        <v>1</v>
      </c>
      <c r="AC157" s="31" t="b">
        <f t="shared" si="32"/>
        <v>1</v>
      </c>
      <c r="AD157" t="b">
        <f t="shared" si="33"/>
        <v>1</v>
      </c>
      <c r="AE157" t="b">
        <f t="shared" si="34"/>
        <v>1</v>
      </c>
      <c r="AF157" t="b">
        <f>IF($R157,W157=VLOOKUP(Z157,$AU$2:$AZ$10,3,FALSE),"")</f>
        <v>1</v>
      </c>
      <c r="AG157" t="b">
        <f>IF($R157,X157=VLOOKUP(Y157,$AU$2:$AZ$10,3,FALSE),"")</f>
        <v>1</v>
      </c>
      <c r="AH157" t="b">
        <f>IF($R157,Y157=VLOOKUP(W157,$AU$2:$AZ$10,3,FALSE),"")</f>
        <v>1</v>
      </c>
      <c r="AI157" t="b">
        <f>IF($R157,Z157=VLOOKUP(X157,$AU$2:$AZ$10,3,FALSE),"")</f>
        <v>1</v>
      </c>
      <c r="AJ157" t="b">
        <f>IF($R157,W157=VLOOKUP(W157,$AU$2:$AZ$10,4,FALSE),"")</f>
        <v>1</v>
      </c>
      <c r="AK157" t="b">
        <f>IF($R157,X157=VLOOKUP(X157,$AU$2:$AZ$10,4,FALSE),"")</f>
        <v>1</v>
      </c>
      <c r="AL157" t="b">
        <f>IF($R157,Y157=VLOOKUP(Y157,$AU$2:$AZ$10,4,FALSE),"")</f>
        <v>1</v>
      </c>
      <c r="AM157" t="b">
        <f>IF($R157,Z157=VLOOKUP(Z157,$AU$2:$AZ$10,4,FALSE),"")</f>
        <v>1</v>
      </c>
      <c r="AN157" t="b">
        <f>IF($R157,W157=VLOOKUP(W157,$AU$2:$AZ$10,5,FALSE),"")</f>
        <v>1</v>
      </c>
      <c r="AO157" t="b">
        <f>IF($R157,X157=VLOOKUP(X157,$AU$2:$AZ$10,5,FALSE),"")</f>
        <v>1</v>
      </c>
      <c r="AP157" t="b">
        <f>IF($R157,Y157=VLOOKUP(Y157,$AU$2:$AZ$10,6,FALSE),"")</f>
        <v>1</v>
      </c>
      <c r="AQ157" t="b">
        <f>IF($R157,Z157=VLOOKUP(Z157,$AU$2:$AZ$10,6,FALSE),"")</f>
        <v>1</v>
      </c>
      <c r="AR157" t="b">
        <f t="shared" si="35"/>
        <v>1</v>
      </c>
      <c r="AS157" t="b">
        <f t="shared" si="36"/>
        <v>1</v>
      </c>
      <c r="BD157" s="59" t="str">
        <f t="shared" si="37"/>
        <v xml:space="preserve">    { wxString::FromUTF8("\xC3\x9F"), &amp;AllGlyphs[155], &amp;AllGlyphs[155], &amp;AllGlyphs[155], &amp;AllGlyphs[155], &amp;AllGlyphs[155], &amp;AllGlyphs[155], Connection::ORTHO_BOTH, Connection::ORTHO_BOTH, Connection::ORTHO_BOTH, Connection::ORTHO_BOTH, 1, 1, 1, 1, 1, 1 },</v>
      </c>
      <c r="BE157" s="60"/>
      <c r="BF157" s="60"/>
      <c r="BG157" s="60"/>
      <c r="BH157" s="60"/>
      <c r="BI157" s="60"/>
      <c r="BJ157" s="60"/>
      <c r="BK157" s="61"/>
      <c r="BM157" s="54" t="str">
        <f>IF($R157,"&amp;AllGlyphs[" &amp; E157 &amp; "]","")</f>
        <v>&amp;AllGlyphs[155]</v>
      </c>
      <c r="BN157" s="54" t="str">
        <f>IF($R157,"&amp;AllGlyphs[" &amp; G157 &amp; "]","")</f>
        <v>&amp;AllGlyphs[155]</v>
      </c>
      <c r="BO157" s="54" t="str">
        <f>IF($R157,"&amp;AllGlyphs[" &amp; I157 &amp; "]","")</f>
        <v>&amp;AllGlyphs[155]</v>
      </c>
      <c r="BP157" s="54" t="str">
        <f>IF($R157,"&amp;AllGlyphs[" &amp; K157 &amp; "]","")</f>
        <v>&amp;AllGlyphs[155]</v>
      </c>
      <c r="BQ157" s="54" t="str">
        <f>IF($R157,"&amp;AllGlyphs[" &amp; M157 &amp; "]","")</f>
        <v>&amp;AllGlyphs[155]</v>
      </c>
      <c r="BR157" s="54" t="str">
        <f>IF($R157,"&amp;AllGlyphs[" &amp; O157 &amp; "]","")</f>
        <v>&amp;AllGlyphs[155]</v>
      </c>
      <c r="BT157" s="58">
        <f>IF($R157,IF(AB157,1,0),"")</f>
        <v>1</v>
      </c>
      <c r="BU157" s="58">
        <f>IF($R157,IF(AC157,1,0),"")</f>
        <v>1</v>
      </c>
      <c r="BV157" s="58">
        <f>IF($R157,IF(AD157,1,0),"")</f>
        <v>1</v>
      </c>
      <c r="BW157" s="58">
        <f>IF($R157,IF(AE157,1,0),"")</f>
        <v>1</v>
      </c>
      <c r="BX157" s="58">
        <f>IF($R157,IF(AR157,1,0),"")</f>
        <v>1</v>
      </c>
      <c r="BY157" s="58">
        <f>IF($R157,IF(AS157,1,0),"")</f>
        <v>1</v>
      </c>
    </row>
    <row r="158" spans="1:77" x14ac:dyDescent="0.4">
      <c r="A158" s="7" t="s">
        <v>137</v>
      </c>
      <c r="B158" s="6" t="str">
        <f t="shared" si="28"/>
        <v>à</v>
      </c>
      <c r="C158" s="48" cm="1">
        <f t="array" ref="C158">IF($R158,INDEX($S:$S,MATCH(TRUE,EXACT(B158,$A:$A),0)),"")</f>
        <v>156</v>
      </c>
      <c r="D158" s="38" t="s">
        <v>138</v>
      </c>
      <c r="E158" s="48" cm="1">
        <f t="array" ref="E158">IF($R158,INDEX($S:$S,MATCH(TRUE,EXACT(D158,$A:$A),0)),"")</f>
        <v>157</v>
      </c>
      <c r="F158" s="40" t="s">
        <v>139</v>
      </c>
      <c r="G158" s="48" cm="1">
        <f t="array" ref="G158">IF($S158&lt;&gt;"",INDEX($S:$S,MATCH(TRUE,EXACT(F158,$A:$A),0)),"")</f>
        <v>158</v>
      </c>
      <c r="H158" s="38" t="s">
        <v>140</v>
      </c>
      <c r="I158" s="48" cm="1">
        <f t="array" ref="I158">IF($R158,INDEX($S:$S,MATCH(TRUE,EXACT(H158,$A:$A),0)),"")</f>
        <v>159</v>
      </c>
      <c r="J158" s="38" t="s">
        <v>138</v>
      </c>
      <c r="K158" s="52" cm="1">
        <f t="array" ref="K158">IF($R158,INDEX($S:$S,MATCH(TRUE,EXACT(J158,$A:$A),0)),"")</f>
        <v>157</v>
      </c>
      <c r="L158" s="38" t="str" cm="1">
        <f t="array" ref="L158">IF($R158,INDEX($T:$T,MATCH(TRUE,EXACT(H158,$D:$D),0)),"")</f>
        <v>â</v>
      </c>
      <c r="M158" s="48" cm="1">
        <f t="array" ref="M158">IF($R158,INDEX($S:$S,MATCH(TRUE,EXACT(L158,$A:$A),0)),"")</f>
        <v>158</v>
      </c>
      <c r="N158" s="38" t="str" cm="1">
        <f t="array" ref="N158">IF($R158,INDEX($T:$T,MATCH(TRUE,EXACT(J158,$D:$D),0)),"")</f>
        <v>à</v>
      </c>
      <c r="O158" s="52" cm="1">
        <f t="array" ref="O158">IF($R158,INDEX($S:$S,MATCH(TRUE,EXACT(N158,$A:$A),0)),"")</f>
        <v>156</v>
      </c>
      <c r="P158" s="23"/>
      <c r="Q158" s="33"/>
      <c r="R158" s="18" t="b">
        <f t="shared" si="29"/>
        <v>1</v>
      </c>
      <c r="S158" s="19">
        <f>IF(R158, MAX(S$2:S157)+1,"")</f>
        <v>156</v>
      </c>
      <c r="T158" s="23" t="str">
        <f t="shared" si="30"/>
        <v>à</v>
      </c>
      <c r="U158" s="8" t="str" cm="1">
        <f t="array" ref="U158">CharToUTF8(A158)</f>
        <v>\xC3\xA0</v>
      </c>
      <c r="W158" s="18" t="str">
        <f>$AU$10</f>
        <v>ORTHO_RIGHT</v>
      </c>
      <c r="X158" s="24" t="str">
        <f>$AU$4</f>
        <v>ORTHO_BOTH</v>
      </c>
      <c r="Y158" s="24" t="str">
        <f>$AU$8</f>
        <v>ORTHO_DOWN</v>
      </c>
      <c r="Z158" s="21" t="str">
        <f>$AU$4</f>
        <v>ORTHO_BOTH</v>
      </c>
      <c r="AB158" s="31" t="b">
        <f t="shared" si="31"/>
        <v>0</v>
      </c>
      <c r="AC158" s="31" t="b">
        <f t="shared" si="32"/>
        <v>0</v>
      </c>
      <c r="AD158" t="b">
        <f t="shared" si="33"/>
        <v>0</v>
      </c>
      <c r="AE158" t="b">
        <f t="shared" si="34"/>
        <v>0</v>
      </c>
      <c r="AF158" t="b">
        <f>IF($R158,W158=VLOOKUP(Z158,$AU$2:$AZ$10,3,FALSE),"")</f>
        <v>0</v>
      </c>
      <c r="AG158" t="b">
        <f>IF($R158,X158=VLOOKUP(Y158,$AU$2:$AZ$10,3,FALSE),"")</f>
        <v>0</v>
      </c>
      <c r="AH158" t="b">
        <f>IF($R158,Y158=VLOOKUP(W158,$AU$2:$AZ$10,3,FALSE),"")</f>
        <v>1</v>
      </c>
      <c r="AI158" t="b">
        <f>IF($R158,Z158=VLOOKUP(X158,$AU$2:$AZ$10,3,FALSE),"")</f>
        <v>1</v>
      </c>
      <c r="AJ158" t="b">
        <f>IF($R158,W158=VLOOKUP(W158,$AU$2:$AZ$10,4,FALSE),"")</f>
        <v>0</v>
      </c>
      <c r="AK158" t="b">
        <f>IF($R158,X158=VLOOKUP(X158,$AU$2:$AZ$10,4,FALSE),"")</f>
        <v>1</v>
      </c>
      <c r="AL158" t="b">
        <f>IF($R158,Y158=VLOOKUP(Y158,$AU$2:$AZ$10,4,FALSE),"")</f>
        <v>0</v>
      </c>
      <c r="AM158" t="b">
        <f>IF($R158,Z158=VLOOKUP(Z158,$AU$2:$AZ$10,4,FALSE),"")</f>
        <v>1</v>
      </c>
      <c r="AN158" t="b">
        <f>IF($R158,W158=VLOOKUP(W158,$AU$2:$AZ$10,5,FALSE),"")</f>
        <v>1</v>
      </c>
      <c r="AO158" t="b">
        <f>IF($R158,X158=VLOOKUP(X158,$AU$2:$AZ$10,5,FALSE),"")</f>
        <v>1</v>
      </c>
      <c r="AP158" t="b">
        <f>IF($R158,Y158=VLOOKUP(Y158,$AU$2:$AZ$10,6,FALSE),"")</f>
        <v>1</v>
      </c>
      <c r="AQ158" t="b">
        <f>IF($R158,Z158=VLOOKUP(Z158,$AU$2:$AZ$10,6,FALSE),"")</f>
        <v>1</v>
      </c>
      <c r="AR158" t="b">
        <f t="shared" si="35"/>
        <v>0</v>
      </c>
      <c r="AS158" t="b">
        <f t="shared" si="36"/>
        <v>1</v>
      </c>
      <c r="BD158" s="59" t="str">
        <f t="shared" si="37"/>
        <v xml:space="preserve">    { wxString::FromUTF8("\xC3\xA0"), &amp;AllGlyphs[157], &amp;AllGlyphs[158], &amp;AllGlyphs[159], &amp;AllGlyphs[157], &amp;AllGlyphs[158], &amp;AllGlyphs[156], Connection::ORTHO_RIGHT, Connection::ORTHO_BOTH, Connection::ORTHO_DOWN, Connection::ORTHO_BOTH, 0, 0, 0, 0, 0, 1 },</v>
      </c>
      <c r="BE158" s="60"/>
      <c r="BF158" s="60"/>
      <c r="BG158" s="60"/>
      <c r="BH158" s="60"/>
      <c r="BI158" s="60"/>
      <c r="BJ158" s="60"/>
      <c r="BK158" s="61"/>
      <c r="BM158" s="54" t="str">
        <f>IF($R158,"&amp;AllGlyphs[" &amp; E158 &amp; "]","")</f>
        <v>&amp;AllGlyphs[157]</v>
      </c>
      <c r="BN158" s="54" t="str">
        <f>IF($R158,"&amp;AllGlyphs[" &amp; G158 &amp; "]","")</f>
        <v>&amp;AllGlyphs[158]</v>
      </c>
      <c r="BO158" s="54" t="str">
        <f>IF($R158,"&amp;AllGlyphs[" &amp; I158 &amp; "]","")</f>
        <v>&amp;AllGlyphs[159]</v>
      </c>
      <c r="BP158" s="54" t="str">
        <f>IF($R158,"&amp;AllGlyphs[" &amp; K158 &amp; "]","")</f>
        <v>&amp;AllGlyphs[157]</v>
      </c>
      <c r="BQ158" s="54" t="str">
        <f>IF($R158,"&amp;AllGlyphs[" &amp; M158 &amp; "]","")</f>
        <v>&amp;AllGlyphs[158]</v>
      </c>
      <c r="BR158" s="54" t="str">
        <f>IF($R158,"&amp;AllGlyphs[" &amp; O158 &amp; "]","")</f>
        <v>&amp;AllGlyphs[156]</v>
      </c>
      <c r="BT158" s="58">
        <f>IF($R158,IF(AB158,1,0),"")</f>
        <v>0</v>
      </c>
      <c r="BU158" s="58">
        <f>IF($R158,IF(AC158,1,0),"")</f>
        <v>0</v>
      </c>
      <c r="BV158" s="58">
        <f>IF($R158,IF(AD158,1,0),"")</f>
        <v>0</v>
      </c>
      <c r="BW158" s="58">
        <f>IF($R158,IF(AE158,1,0),"")</f>
        <v>0</v>
      </c>
      <c r="BX158" s="58">
        <f>IF($R158,IF(AR158,1,0),"")</f>
        <v>0</v>
      </c>
      <c r="BY158" s="58">
        <f>IF($R158,IF(AS158,1,0),"")</f>
        <v>1</v>
      </c>
    </row>
    <row r="159" spans="1:77" x14ac:dyDescent="0.4">
      <c r="A159" s="7" t="s">
        <v>138</v>
      </c>
      <c r="B159" s="6" t="str">
        <f t="shared" si="28"/>
        <v>á</v>
      </c>
      <c r="C159" s="48" cm="1">
        <f t="array" ref="C159">IF($R159,INDEX($S:$S,MATCH(TRUE,EXACT(B159,$A:$A),0)),"")</f>
        <v>157</v>
      </c>
      <c r="D159" s="38" t="s">
        <v>139</v>
      </c>
      <c r="E159" s="48" cm="1">
        <f t="array" ref="E159">IF($R159,INDEX($S:$S,MATCH(TRUE,EXACT(D159,$A:$A),0)),"")</f>
        <v>158</v>
      </c>
      <c r="F159" s="38" t="s">
        <v>140</v>
      </c>
      <c r="G159" s="48" cm="1">
        <f t="array" ref="G159">IF($S159&lt;&gt;"",INDEX($S:$S,MATCH(TRUE,EXACT(F159,$A:$A),0)),"")</f>
        <v>159</v>
      </c>
      <c r="H159" s="38" t="s">
        <v>139</v>
      </c>
      <c r="I159" s="48" cm="1">
        <f t="array" ref="I159">IF($R159,INDEX($S:$S,MATCH(TRUE,EXACT(H159,$A:$A),0)),"")</f>
        <v>158</v>
      </c>
      <c r="J159" s="38" t="s">
        <v>137</v>
      </c>
      <c r="K159" s="52" cm="1">
        <f t="array" ref="K159">IF($R159,INDEX($S:$S,MATCH(TRUE,EXACT(J159,$A:$A),0)),"")</f>
        <v>156</v>
      </c>
      <c r="L159" s="38" t="str" cm="1">
        <f t="array" ref="L159">IF($R159,INDEX($T:$T,MATCH(TRUE,EXACT(H159,$D:$D),0)),"")</f>
        <v>á</v>
      </c>
      <c r="M159" s="48" cm="1">
        <f t="array" ref="M159">IF($R159,INDEX($S:$S,MATCH(TRUE,EXACT(L159,$A:$A),0)),"")</f>
        <v>157</v>
      </c>
      <c r="N159" s="38" t="str" cm="1">
        <f t="array" ref="N159">IF($R159,INDEX($T:$T,MATCH(TRUE,EXACT(J159,$D:$D),0)),"")</f>
        <v>ã</v>
      </c>
      <c r="O159" s="52" cm="1">
        <f t="array" ref="O159">IF($R159,INDEX($S:$S,MATCH(TRUE,EXACT(N159,$A:$A),0)),"")</f>
        <v>159</v>
      </c>
      <c r="P159" s="23"/>
      <c r="Q159" s="33"/>
      <c r="R159" s="18" t="b">
        <f t="shared" si="29"/>
        <v>1</v>
      </c>
      <c r="S159" s="19">
        <f>IF(R159, MAX(S$2:S158)+1,"")</f>
        <v>157</v>
      </c>
      <c r="T159" s="23" t="str">
        <f t="shared" si="30"/>
        <v>á</v>
      </c>
      <c r="U159" s="8" t="str" cm="1">
        <f t="array" ref="U159">CharToUTF8(A159)</f>
        <v>\xC3\xA1</v>
      </c>
      <c r="W159" s="18" t="str">
        <f>$AU$9</f>
        <v>ORTHO_LEFT</v>
      </c>
      <c r="X159" s="24" t="str">
        <f>$AU$4</f>
        <v>ORTHO_BOTH</v>
      </c>
      <c r="Y159" s="24" t="str">
        <f>$AU$4</f>
        <v>ORTHO_BOTH</v>
      </c>
      <c r="Z159" s="21" t="str">
        <f>$AU$8</f>
        <v>ORTHO_DOWN</v>
      </c>
      <c r="AB159" s="31" t="b">
        <f t="shared" si="31"/>
        <v>0</v>
      </c>
      <c r="AC159" s="31" t="b">
        <f t="shared" si="32"/>
        <v>0</v>
      </c>
      <c r="AD159" t="b">
        <f t="shared" si="33"/>
        <v>0</v>
      </c>
      <c r="AE159" t="b">
        <f t="shared" si="34"/>
        <v>0</v>
      </c>
      <c r="AF159" t="b">
        <f>IF($R159,W159=VLOOKUP(Z159,$AU$2:$AZ$10,3,FALSE),"")</f>
        <v>1</v>
      </c>
      <c r="AG159" t="b">
        <f>IF($R159,X159=VLOOKUP(Y159,$AU$2:$AZ$10,3,FALSE),"")</f>
        <v>1</v>
      </c>
      <c r="AH159" t="b">
        <f>IF($R159,Y159=VLOOKUP(W159,$AU$2:$AZ$10,3,FALSE),"")</f>
        <v>0</v>
      </c>
      <c r="AI159" t="b">
        <f>IF($R159,Z159=VLOOKUP(X159,$AU$2:$AZ$10,3,FALSE),"")</f>
        <v>0</v>
      </c>
      <c r="AJ159" t="b">
        <f>IF($R159,W159=VLOOKUP(W159,$AU$2:$AZ$10,4,FALSE),"")</f>
        <v>0</v>
      </c>
      <c r="AK159" t="b">
        <f>IF($R159,X159=VLOOKUP(X159,$AU$2:$AZ$10,4,FALSE),"")</f>
        <v>1</v>
      </c>
      <c r="AL159" t="b">
        <f>IF($R159,Y159=VLOOKUP(Y159,$AU$2:$AZ$10,4,FALSE),"")</f>
        <v>1</v>
      </c>
      <c r="AM159" t="b">
        <f>IF($R159,Z159=VLOOKUP(Z159,$AU$2:$AZ$10,4,FALSE),"")</f>
        <v>0</v>
      </c>
      <c r="AN159" t="b">
        <f>IF($R159,W159=VLOOKUP(W159,$AU$2:$AZ$10,5,FALSE),"")</f>
        <v>1</v>
      </c>
      <c r="AO159" t="b">
        <f>IF($R159,X159=VLOOKUP(X159,$AU$2:$AZ$10,5,FALSE),"")</f>
        <v>1</v>
      </c>
      <c r="AP159" t="b">
        <f>IF($R159,Y159=VLOOKUP(Y159,$AU$2:$AZ$10,6,FALSE),"")</f>
        <v>1</v>
      </c>
      <c r="AQ159" t="b">
        <f>IF($R159,Z159=VLOOKUP(Z159,$AU$2:$AZ$10,6,FALSE),"")</f>
        <v>1</v>
      </c>
      <c r="AR159" t="b">
        <f t="shared" si="35"/>
        <v>1</v>
      </c>
      <c r="AS159" t="b">
        <f t="shared" si="36"/>
        <v>0</v>
      </c>
      <c r="BD159" s="59" t="str">
        <f t="shared" si="37"/>
        <v xml:space="preserve">    { wxString::FromUTF8("\xC3\xA1"), &amp;AllGlyphs[158], &amp;AllGlyphs[159], &amp;AllGlyphs[158], &amp;AllGlyphs[156], &amp;AllGlyphs[157], &amp;AllGlyphs[159], Connection::ORTHO_LEFT, Connection::ORTHO_BOTH, Connection::ORTHO_BOTH, Connection::ORTHO_DOWN, 0, 0, 0, 0, 1, 0 },</v>
      </c>
      <c r="BE159" s="60"/>
      <c r="BF159" s="60"/>
      <c r="BG159" s="60"/>
      <c r="BH159" s="60"/>
      <c r="BI159" s="60"/>
      <c r="BJ159" s="60"/>
      <c r="BK159" s="61"/>
      <c r="BM159" s="54" t="str">
        <f>IF($R159,"&amp;AllGlyphs[" &amp; E159 &amp; "]","")</f>
        <v>&amp;AllGlyphs[158]</v>
      </c>
      <c r="BN159" s="54" t="str">
        <f>IF($R159,"&amp;AllGlyphs[" &amp; G159 &amp; "]","")</f>
        <v>&amp;AllGlyphs[159]</v>
      </c>
      <c r="BO159" s="54" t="str">
        <f>IF($R159,"&amp;AllGlyphs[" &amp; I159 &amp; "]","")</f>
        <v>&amp;AllGlyphs[158]</v>
      </c>
      <c r="BP159" s="54" t="str">
        <f>IF($R159,"&amp;AllGlyphs[" &amp; K159 &amp; "]","")</f>
        <v>&amp;AllGlyphs[156]</v>
      </c>
      <c r="BQ159" s="54" t="str">
        <f>IF($R159,"&amp;AllGlyphs[" &amp; M159 &amp; "]","")</f>
        <v>&amp;AllGlyphs[157]</v>
      </c>
      <c r="BR159" s="54" t="str">
        <f>IF($R159,"&amp;AllGlyphs[" &amp; O159 &amp; "]","")</f>
        <v>&amp;AllGlyphs[159]</v>
      </c>
      <c r="BT159" s="58">
        <f>IF($R159,IF(AB159,1,0),"")</f>
        <v>0</v>
      </c>
      <c r="BU159" s="58">
        <f>IF($R159,IF(AC159,1,0),"")</f>
        <v>0</v>
      </c>
      <c r="BV159" s="58">
        <f>IF($R159,IF(AD159,1,0),"")</f>
        <v>0</v>
      </c>
      <c r="BW159" s="58">
        <f>IF($R159,IF(AE159,1,0),"")</f>
        <v>0</v>
      </c>
      <c r="BX159" s="58">
        <f>IF($R159,IF(AR159,1,0),"")</f>
        <v>1</v>
      </c>
      <c r="BY159" s="58">
        <f>IF($R159,IF(AS159,1,0),"")</f>
        <v>0</v>
      </c>
    </row>
    <row r="160" spans="1:77" x14ac:dyDescent="0.4">
      <c r="A160" s="7" t="s">
        <v>139</v>
      </c>
      <c r="B160" s="6" t="str">
        <f t="shared" si="28"/>
        <v>â</v>
      </c>
      <c r="C160" s="48" cm="1">
        <f t="array" ref="C160">IF($R160,INDEX($S:$S,MATCH(TRUE,EXACT(B160,$A:$A),0)),"")</f>
        <v>158</v>
      </c>
      <c r="D160" s="38" t="s">
        <v>140</v>
      </c>
      <c r="E160" s="48" cm="1">
        <f t="array" ref="E160">IF($R160,INDEX($S:$S,MATCH(TRUE,EXACT(D160,$A:$A),0)),"")</f>
        <v>159</v>
      </c>
      <c r="F160" s="38" t="s">
        <v>137</v>
      </c>
      <c r="G160" s="48" cm="1">
        <f t="array" ref="G160">IF($S160&lt;&gt;"",INDEX($S:$S,MATCH(TRUE,EXACT(F160,$A:$A),0)),"")</f>
        <v>156</v>
      </c>
      <c r="H160" s="38" t="s">
        <v>138</v>
      </c>
      <c r="I160" s="48" cm="1">
        <f t="array" ref="I160">IF($R160,INDEX($S:$S,MATCH(TRUE,EXACT(H160,$A:$A),0)),"")</f>
        <v>157</v>
      </c>
      <c r="J160" s="38" t="s">
        <v>140</v>
      </c>
      <c r="K160" s="52" cm="1">
        <f t="array" ref="K160">IF($R160,INDEX($S:$S,MATCH(TRUE,EXACT(J160,$A:$A),0)),"")</f>
        <v>159</v>
      </c>
      <c r="L160" s="38" t="str" cm="1">
        <f t="array" ref="L160">IF($R160,INDEX($T:$T,MATCH(TRUE,EXACT(H160,$D:$D),0)),"")</f>
        <v>à</v>
      </c>
      <c r="M160" s="48" cm="1">
        <f t="array" ref="M160">IF($R160,INDEX($S:$S,MATCH(TRUE,EXACT(L160,$A:$A),0)),"")</f>
        <v>156</v>
      </c>
      <c r="N160" s="38" t="str" cm="1">
        <f t="array" ref="N160">IF($R160,INDEX($T:$T,MATCH(TRUE,EXACT(J160,$D:$D),0)),"")</f>
        <v>â</v>
      </c>
      <c r="O160" s="52" cm="1">
        <f t="array" ref="O160">IF($R160,INDEX($S:$S,MATCH(TRUE,EXACT(N160,$A:$A),0)),"")</f>
        <v>158</v>
      </c>
      <c r="P160" s="23"/>
      <c r="Q160" s="33"/>
      <c r="R160" s="18" t="b">
        <f t="shared" si="29"/>
        <v>1</v>
      </c>
      <c r="S160" s="19">
        <f>IF(R160, MAX(S$2:S159)+1,"")</f>
        <v>158</v>
      </c>
      <c r="T160" s="23" t="str">
        <f t="shared" si="30"/>
        <v>â</v>
      </c>
      <c r="U160" s="8" t="str" cm="1">
        <f t="array" ref="U160">CharToUTF8(A160)</f>
        <v>\xC3\xA2</v>
      </c>
      <c r="W160" s="18" t="str">
        <f>$AU$4</f>
        <v>ORTHO_BOTH</v>
      </c>
      <c r="X160" s="24" t="str">
        <f>$AU$9</f>
        <v>ORTHO_LEFT</v>
      </c>
      <c r="Y160" s="24" t="str">
        <f>$AU$4</f>
        <v>ORTHO_BOTH</v>
      </c>
      <c r="Z160" s="21" t="str">
        <f>$AU$7</f>
        <v>ORTHO_UP</v>
      </c>
      <c r="AB160" s="31" t="b">
        <f t="shared" si="31"/>
        <v>0</v>
      </c>
      <c r="AC160" s="31" t="b">
        <f t="shared" si="32"/>
        <v>0</v>
      </c>
      <c r="AD160" t="b">
        <f t="shared" si="33"/>
        <v>0</v>
      </c>
      <c r="AE160" t="b">
        <f t="shared" si="34"/>
        <v>0</v>
      </c>
      <c r="AF160" t="b">
        <f>IF($R160,W160=VLOOKUP(Z160,$AU$2:$AZ$10,3,FALSE),"")</f>
        <v>0</v>
      </c>
      <c r="AG160" t="b">
        <f>IF($R160,X160=VLOOKUP(Y160,$AU$2:$AZ$10,3,FALSE),"")</f>
        <v>0</v>
      </c>
      <c r="AH160" t="b">
        <f>IF($R160,Y160=VLOOKUP(W160,$AU$2:$AZ$10,3,FALSE),"")</f>
        <v>1</v>
      </c>
      <c r="AI160" t="b">
        <f>IF($R160,Z160=VLOOKUP(X160,$AU$2:$AZ$10,3,FALSE),"")</f>
        <v>1</v>
      </c>
      <c r="AJ160" t="b">
        <f>IF($R160,W160=VLOOKUP(W160,$AU$2:$AZ$10,4,FALSE),"")</f>
        <v>1</v>
      </c>
      <c r="AK160" t="b">
        <f>IF($R160,X160=VLOOKUP(X160,$AU$2:$AZ$10,4,FALSE),"")</f>
        <v>0</v>
      </c>
      <c r="AL160" t="b">
        <f>IF($R160,Y160=VLOOKUP(Y160,$AU$2:$AZ$10,4,FALSE),"")</f>
        <v>1</v>
      </c>
      <c r="AM160" t="b">
        <f>IF($R160,Z160=VLOOKUP(Z160,$AU$2:$AZ$10,4,FALSE),"")</f>
        <v>0</v>
      </c>
      <c r="AN160" t="b">
        <f>IF($R160,W160=VLOOKUP(W160,$AU$2:$AZ$10,5,FALSE),"")</f>
        <v>1</v>
      </c>
      <c r="AO160" t="b">
        <f>IF($R160,X160=VLOOKUP(X160,$AU$2:$AZ$10,5,FALSE),"")</f>
        <v>1</v>
      </c>
      <c r="AP160" t="b">
        <f>IF($R160,Y160=VLOOKUP(Y160,$AU$2:$AZ$10,6,FALSE),"")</f>
        <v>1</v>
      </c>
      <c r="AQ160" t="b">
        <f>IF($R160,Z160=VLOOKUP(Z160,$AU$2:$AZ$10,6,FALSE),"")</f>
        <v>1</v>
      </c>
      <c r="AR160" t="b">
        <f t="shared" si="35"/>
        <v>0</v>
      </c>
      <c r="AS160" t="b">
        <f t="shared" si="36"/>
        <v>1</v>
      </c>
      <c r="BD160" s="59" t="str">
        <f t="shared" si="37"/>
        <v xml:space="preserve">    { wxString::FromUTF8("\xC3\xA2"), &amp;AllGlyphs[159], &amp;AllGlyphs[156], &amp;AllGlyphs[157], &amp;AllGlyphs[159], &amp;AllGlyphs[156], &amp;AllGlyphs[158], Connection::ORTHO_BOTH, Connection::ORTHO_LEFT, Connection::ORTHO_BOTH, Connection::ORTHO_UP, 0, 0, 0, 0, 0, 1 },</v>
      </c>
      <c r="BE160" s="60"/>
      <c r="BF160" s="60"/>
      <c r="BG160" s="60"/>
      <c r="BH160" s="60"/>
      <c r="BI160" s="60"/>
      <c r="BJ160" s="60"/>
      <c r="BK160" s="61"/>
      <c r="BM160" s="54" t="str">
        <f>IF($R160,"&amp;AllGlyphs[" &amp; E160 &amp; "]","")</f>
        <v>&amp;AllGlyphs[159]</v>
      </c>
      <c r="BN160" s="54" t="str">
        <f>IF($R160,"&amp;AllGlyphs[" &amp; G160 &amp; "]","")</f>
        <v>&amp;AllGlyphs[156]</v>
      </c>
      <c r="BO160" s="54" t="str">
        <f>IF($R160,"&amp;AllGlyphs[" &amp; I160 &amp; "]","")</f>
        <v>&amp;AllGlyphs[157]</v>
      </c>
      <c r="BP160" s="54" t="str">
        <f>IF($R160,"&amp;AllGlyphs[" &amp; K160 &amp; "]","")</f>
        <v>&amp;AllGlyphs[159]</v>
      </c>
      <c r="BQ160" s="54" t="str">
        <f>IF($R160,"&amp;AllGlyphs[" &amp; M160 &amp; "]","")</f>
        <v>&amp;AllGlyphs[156]</v>
      </c>
      <c r="BR160" s="54" t="str">
        <f>IF($R160,"&amp;AllGlyphs[" &amp; O160 &amp; "]","")</f>
        <v>&amp;AllGlyphs[158]</v>
      </c>
      <c r="BT160" s="58">
        <f>IF($R160,IF(AB160,1,0),"")</f>
        <v>0</v>
      </c>
      <c r="BU160" s="58">
        <f>IF($R160,IF(AC160,1,0),"")</f>
        <v>0</v>
      </c>
      <c r="BV160" s="58">
        <f>IF($R160,IF(AD160,1,0),"")</f>
        <v>0</v>
      </c>
      <c r="BW160" s="58">
        <f>IF($R160,IF(AE160,1,0),"")</f>
        <v>0</v>
      </c>
      <c r="BX160" s="58">
        <f>IF($R160,IF(AR160,1,0),"")</f>
        <v>0</v>
      </c>
      <c r="BY160" s="58">
        <f>IF($R160,IF(AS160,1,0),"")</f>
        <v>1</v>
      </c>
    </row>
    <row r="161" spans="1:77" s="14" customFormat="1" x14ac:dyDescent="0.4">
      <c r="A161" s="7" t="s">
        <v>140</v>
      </c>
      <c r="B161" s="13" t="str">
        <f t="shared" si="28"/>
        <v>ã</v>
      </c>
      <c r="C161" s="48" cm="1">
        <f t="array" ref="C161">IF($R161,INDEX($S:$S,MATCH(TRUE,EXACT(B161,$A:$A),0)),"")</f>
        <v>159</v>
      </c>
      <c r="D161" s="40" t="s">
        <v>137</v>
      </c>
      <c r="E161" s="48" cm="1">
        <f t="array" ref="E161">IF($R161,INDEX($S:$S,MATCH(TRUE,EXACT(D161,$A:$A),0)),"")</f>
        <v>156</v>
      </c>
      <c r="F161" s="38" t="s">
        <v>138</v>
      </c>
      <c r="G161" s="48" cm="1">
        <f t="array" ref="G161">IF($S161&lt;&gt;"",INDEX($S:$S,MATCH(TRUE,EXACT(F161,$A:$A),0)),"")</f>
        <v>157</v>
      </c>
      <c r="H161" s="40" t="s">
        <v>137</v>
      </c>
      <c r="I161" s="48" cm="1">
        <f t="array" ref="I161">IF($R161,INDEX($S:$S,MATCH(TRUE,EXACT(H161,$A:$A),0)),"")</f>
        <v>156</v>
      </c>
      <c r="J161" s="40" t="s">
        <v>139</v>
      </c>
      <c r="K161" s="52" cm="1">
        <f t="array" ref="K161">IF($R161,INDEX($S:$S,MATCH(TRUE,EXACT(J161,$A:$A),0)),"")</f>
        <v>158</v>
      </c>
      <c r="L161" s="38" t="str" cm="1">
        <f t="array" ref="L161">IF($R161,INDEX($T:$T,MATCH(TRUE,EXACT(H161,$D:$D),0)),"")</f>
        <v>ã</v>
      </c>
      <c r="M161" s="48" cm="1">
        <f t="array" ref="M161">IF($R161,INDEX($S:$S,MATCH(TRUE,EXACT(L161,$A:$A),0)),"")</f>
        <v>159</v>
      </c>
      <c r="N161" s="38" t="str" cm="1">
        <f t="array" ref="N161">IF($R161,INDEX($T:$T,MATCH(TRUE,EXACT(J161,$D:$D),0)),"")</f>
        <v>á</v>
      </c>
      <c r="O161" s="52" cm="1">
        <f t="array" ref="O161">IF($R161,INDEX($S:$S,MATCH(TRUE,EXACT(N161,$A:$A),0)),"")</f>
        <v>157</v>
      </c>
      <c r="P161" s="47"/>
      <c r="Q161" s="35"/>
      <c r="R161" s="18" t="b">
        <f t="shared" si="29"/>
        <v>1</v>
      </c>
      <c r="S161" s="19">
        <f>IF(R161, MAX(S$2:S160)+1,"")</f>
        <v>159</v>
      </c>
      <c r="T161" s="23" t="str">
        <f t="shared" si="30"/>
        <v>ã</v>
      </c>
      <c r="U161" s="8" t="str" cm="1">
        <f t="array" ref="U161">CharToUTF8(A161)</f>
        <v>\xC3\xA3</v>
      </c>
      <c r="V161" s="22"/>
      <c r="W161" s="30" t="str">
        <f>$AU$4</f>
        <v>ORTHO_BOTH</v>
      </c>
      <c r="X161" s="24" t="str">
        <f>$AU$10</f>
        <v>ORTHO_RIGHT</v>
      </c>
      <c r="Y161" s="31" t="str">
        <f>$AU$7</f>
        <v>ORTHO_UP</v>
      </c>
      <c r="Z161" s="32" t="str">
        <f>$AU$4</f>
        <v>ORTHO_BOTH</v>
      </c>
      <c r="AA161"/>
      <c r="AB161" s="31" t="b">
        <f t="shared" si="31"/>
        <v>0</v>
      </c>
      <c r="AC161" s="31" t="b">
        <f t="shared" si="32"/>
        <v>0</v>
      </c>
      <c r="AD161" t="b">
        <f t="shared" si="33"/>
        <v>0</v>
      </c>
      <c r="AE161" t="b">
        <f t="shared" si="34"/>
        <v>0</v>
      </c>
      <c r="AF161" t="b">
        <f>IF($R161,W161=VLOOKUP(Z161,$AU$2:$AZ$10,3,FALSE),"")</f>
        <v>1</v>
      </c>
      <c r="AG161" t="b">
        <f>IF($R161,X161=VLOOKUP(Y161,$AU$2:$AZ$10,3,FALSE),"")</f>
        <v>1</v>
      </c>
      <c r="AH161" t="b">
        <f>IF($R161,Y161=VLOOKUP(W161,$AU$2:$AZ$10,3,FALSE),"")</f>
        <v>0</v>
      </c>
      <c r="AI161" t="b">
        <f>IF($R161,Z161=VLOOKUP(X161,$AU$2:$AZ$10,3,FALSE),"")</f>
        <v>0</v>
      </c>
      <c r="AJ161" t="b">
        <f>IF($R161,W161=VLOOKUP(W161,$AU$2:$AZ$10,4,FALSE),"")</f>
        <v>1</v>
      </c>
      <c r="AK161" t="b">
        <f>IF($R161,X161=VLOOKUP(X161,$AU$2:$AZ$10,4,FALSE),"")</f>
        <v>0</v>
      </c>
      <c r="AL161" t="b">
        <f>IF($R161,Y161=VLOOKUP(Y161,$AU$2:$AZ$10,4,FALSE),"")</f>
        <v>0</v>
      </c>
      <c r="AM161" t="b">
        <f>IF($R161,Z161=VLOOKUP(Z161,$AU$2:$AZ$10,4,FALSE),"")</f>
        <v>1</v>
      </c>
      <c r="AN161" t="b">
        <f>IF($R161,W161=VLOOKUP(W161,$AU$2:$AZ$10,5,FALSE),"")</f>
        <v>1</v>
      </c>
      <c r="AO161" t="b">
        <f>IF($R161,X161=VLOOKUP(X161,$AU$2:$AZ$10,5,FALSE),"")</f>
        <v>1</v>
      </c>
      <c r="AP161" t="b">
        <f>IF($R161,Y161=VLOOKUP(Y161,$AU$2:$AZ$10,6,FALSE),"")</f>
        <v>1</v>
      </c>
      <c r="AQ161" t="b">
        <f>IF($R161,Z161=VLOOKUP(Z161,$AU$2:$AZ$10,6,FALSE),"")</f>
        <v>1</v>
      </c>
      <c r="AR161" t="b">
        <f t="shared" si="35"/>
        <v>1</v>
      </c>
      <c r="AS161" t="b">
        <f t="shared" si="36"/>
        <v>0</v>
      </c>
      <c r="AT161"/>
      <c r="BD161" s="59" t="str">
        <f t="shared" si="37"/>
        <v xml:space="preserve">    { wxString::FromUTF8("\xC3\xA3"), &amp;AllGlyphs[156], &amp;AllGlyphs[157], &amp;AllGlyphs[156], &amp;AllGlyphs[158], &amp;AllGlyphs[159], &amp;AllGlyphs[157], Connection::ORTHO_BOTH, Connection::ORTHO_RIGHT, Connection::ORTHO_UP, Connection::ORTHO_BOTH, 0, 0, 0, 0, 1, 0 },</v>
      </c>
      <c r="BE161" s="60"/>
      <c r="BF161" s="60"/>
      <c r="BG161" s="60"/>
      <c r="BH161" s="60"/>
      <c r="BI161" s="60"/>
      <c r="BJ161" s="60"/>
      <c r="BK161" s="61"/>
      <c r="BM161" s="54" t="str">
        <f>IF($R161,"&amp;AllGlyphs[" &amp; E161 &amp; "]","")</f>
        <v>&amp;AllGlyphs[156]</v>
      </c>
      <c r="BN161" s="54" t="str">
        <f>IF($R161,"&amp;AllGlyphs[" &amp; G161 &amp; "]","")</f>
        <v>&amp;AllGlyphs[157]</v>
      </c>
      <c r="BO161" s="54" t="str">
        <f>IF($R161,"&amp;AllGlyphs[" &amp; I161 &amp; "]","")</f>
        <v>&amp;AllGlyphs[156]</v>
      </c>
      <c r="BP161" s="54" t="str">
        <f>IF($R161,"&amp;AllGlyphs[" &amp; K161 &amp; "]","")</f>
        <v>&amp;AllGlyphs[158]</v>
      </c>
      <c r="BQ161" s="54" t="str">
        <f>IF($R161,"&amp;AllGlyphs[" &amp; M161 &amp; "]","")</f>
        <v>&amp;AllGlyphs[159]</v>
      </c>
      <c r="BR161" s="54" t="str">
        <f>IF($R161,"&amp;AllGlyphs[" &amp; O161 &amp; "]","")</f>
        <v>&amp;AllGlyphs[157]</v>
      </c>
      <c r="BT161" s="58">
        <f>IF($R161,IF(AB161,1,0),"")</f>
        <v>0</v>
      </c>
      <c r="BU161" s="58">
        <f>IF($R161,IF(AC161,1,0),"")</f>
        <v>0</v>
      </c>
      <c r="BV161" s="58">
        <f>IF($R161,IF(AD161,1,0),"")</f>
        <v>0</v>
      </c>
      <c r="BW161" s="58">
        <f>IF($R161,IF(AE161,1,0),"")</f>
        <v>0</v>
      </c>
      <c r="BX161" s="58">
        <f>IF($R161,IF(AR161,1,0),"")</f>
        <v>1</v>
      </c>
      <c r="BY161" s="58">
        <f>IF($R161,IF(AS161,1,0),"")</f>
        <v>0</v>
      </c>
    </row>
    <row r="162" spans="1:77" s="14" customFormat="1" x14ac:dyDescent="0.4">
      <c r="A162" s="7" t="s">
        <v>141</v>
      </c>
      <c r="B162" s="13" t="str">
        <f t="shared" si="28"/>
        <v>ä</v>
      </c>
      <c r="C162" s="48" t="str" cm="1">
        <f t="array" ref="C162">IF($R162,INDEX($S:$S,MATCH(TRUE,EXACT(B162,$A:$A),0)),"")</f>
        <v/>
      </c>
      <c r="D162" s="40"/>
      <c r="E162" s="48" t="str" cm="1">
        <f t="array" ref="E162">IF($R162,INDEX($S:$S,MATCH(TRUE,EXACT(D162,$A:$A),0)),"")</f>
        <v/>
      </c>
      <c r="F162" s="40" t="s">
        <v>144</v>
      </c>
      <c r="G162" s="48" t="str" cm="1">
        <f t="array" ref="G162">IF($S162&lt;&gt;"",INDEX($S:$S,MATCH(TRUE,EXACT(F162,$A:$A),0)),"")</f>
        <v/>
      </c>
      <c r="H162" s="40" t="s">
        <v>143</v>
      </c>
      <c r="I162" s="48" t="str" cm="1">
        <f t="array" ref="I162">IF($R162,INDEX($S:$S,MATCH(TRUE,EXACT(H162,$A:$A),0)),"")</f>
        <v/>
      </c>
      <c r="J162" s="40" t="s">
        <v>142</v>
      </c>
      <c r="K162" s="52" t="str" cm="1">
        <f t="array" ref="K162">IF($R162,INDEX($S:$S,MATCH(TRUE,EXACT(J162,$A:$A),0)),"")</f>
        <v/>
      </c>
      <c r="L162" s="38" t="str" cm="1">
        <f t="array" ref="L162">IF($R162,INDEX($T:$T,MATCH(TRUE,EXACT(H162,$D:$D),0)),"")</f>
        <v/>
      </c>
      <c r="M162" s="48" t="str" cm="1">
        <f t="array" ref="M162">IF($R162,INDEX($S:$S,MATCH(TRUE,EXACT(L162,$A:$A),0)),"")</f>
        <v/>
      </c>
      <c r="N162" s="38" t="str" cm="1">
        <f t="array" ref="N162">IF($R162,INDEX($T:$T,MATCH(TRUE,EXACT(J162,$D:$D),0)),"")</f>
        <v/>
      </c>
      <c r="O162" s="52" t="str" cm="1">
        <f t="array" ref="O162">IF($R162,INDEX($S:$S,MATCH(TRUE,EXACT(N162,$A:$A),0)),"")</f>
        <v/>
      </c>
      <c r="P162" s="47"/>
      <c r="Q162" s="35"/>
      <c r="R162" s="18" t="b">
        <f t="shared" si="29"/>
        <v>0</v>
      </c>
      <c r="S162" s="19" t="str">
        <f>IF(R162, MAX(S$2:S161)+1,"")</f>
        <v/>
      </c>
      <c r="T162" s="23" t="str">
        <f t="shared" si="30"/>
        <v>ä</v>
      </c>
      <c r="U162" s="8" t="str" cm="1">
        <f t="array" ref="U162">CharToUTF8(A162)</f>
        <v>\xC3\xA4</v>
      </c>
      <c r="V162" s="22"/>
      <c r="W162" s="30">
        <v>10</v>
      </c>
      <c r="X162" s="31" t="str">
        <f>$AU$3</f>
        <v>DIAG_BOTH</v>
      </c>
      <c r="Y162" s="31" t="str">
        <f>$AU$2</f>
        <v>EMPTY</v>
      </c>
      <c r="Z162" s="32" t="str">
        <f>$AU$3</f>
        <v>DIAG_BOTH</v>
      </c>
      <c r="AA162"/>
      <c r="AB162" s="31" t="str">
        <f t="shared" si="31"/>
        <v/>
      </c>
      <c r="AC162" s="31" t="str">
        <f t="shared" si="32"/>
        <v/>
      </c>
      <c r="AD162" t="str">
        <f t="shared" si="33"/>
        <v/>
      </c>
      <c r="AE162" t="str">
        <f t="shared" si="34"/>
        <v/>
      </c>
      <c r="AF162" t="str">
        <f>IF($R162,W162=VLOOKUP(Z162,$AU$2:$AZ$10,3,FALSE),"")</f>
        <v/>
      </c>
      <c r="AG162" t="str">
        <f>IF($R162,X162=VLOOKUP(Y162,$AU$2:$AZ$10,3,FALSE),"")</f>
        <v/>
      </c>
      <c r="AH162" t="str">
        <f>IF($R162,Y162=VLOOKUP(W162,$AU$2:$AZ$10,3,FALSE),"")</f>
        <v/>
      </c>
      <c r="AI162" t="str">
        <f>IF($R162,Z162=VLOOKUP(X162,$AU$2:$AZ$10,3,FALSE),"")</f>
        <v/>
      </c>
      <c r="AJ162" t="str">
        <f>IF($R162,W162=VLOOKUP(W162,$AU$2:$AZ$10,4,FALSE),"")</f>
        <v/>
      </c>
      <c r="AK162" t="str">
        <f>IF($R162,X162=VLOOKUP(X162,$AU$2:$AZ$10,4,FALSE),"")</f>
        <v/>
      </c>
      <c r="AL162" t="str">
        <f>IF($R162,Y162=VLOOKUP(Y162,$AU$2:$AZ$10,4,FALSE),"")</f>
        <v/>
      </c>
      <c r="AM162" t="str">
        <f>IF($R162,Z162=VLOOKUP(Z162,$AU$2:$AZ$10,4,FALSE),"")</f>
        <v/>
      </c>
      <c r="AN162" t="str">
        <f>IF($R162,W162=VLOOKUP(W162,$AU$2:$AZ$10,5,FALSE),"")</f>
        <v/>
      </c>
      <c r="AO162" t="str">
        <f>IF($R162,X162=VLOOKUP(X162,$AU$2:$AZ$10,5,FALSE),"")</f>
        <v/>
      </c>
      <c r="AP162" t="str">
        <f>IF($R162,Y162=VLOOKUP(Y162,$AU$2:$AZ$10,6,FALSE),"")</f>
        <v/>
      </c>
      <c r="AQ162" t="str">
        <f>IF($R162,Z162=VLOOKUP(Z162,$AU$2:$AZ$10,6,FALSE),"")</f>
        <v/>
      </c>
      <c r="AR162" t="str">
        <f t="shared" si="35"/>
        <v/>
      </c>
      <c r="AS162" t="str">
        <f t="shared" si="36"/>
        <v/>
      </c>
      <c r="AT162"/>
      <c r="BD162" s="59" t="str">
        <f t="shared" si="37"/>
        <v/>
      </c>
      <c r="BE162" s="60"/>
      <c r="BF162" s="60"/>
      <c r="BG162" s="60"/>
      <c r="BH162" s="60"/>
      <c r="BI162" s="60"/>
      <c r="BJ162" s="60"/>
      <c r="BK162" s="61"/>
      <c r="BM162" s="54" t="str">
        <f>IF($R162,"&amp;AllGlyphs[" &amp; E162 &amp; "]","")</f>
        <v/>
      </c>
      <c r="BN162" s="54" t="str">
        <f>IF($R162,"&amp;AllGlyphs[" &amp; G162 &amp; "]","")</f>
        <v/>
      </c>
      <c r="BO162" s="54" t="str">
        <f>IF($R162,"&amp;AllGlyphs[" &amp; I162 &amp; "]","")</f>
        <v/>
      </c>
      <c r="BP162" s="54" t="str">
        <f>IF($R162,"&amp;AllGlyphs[" &amp; K162 &amp; "]","")</f>
        <v/>
      </c>
      <c r="BQ162" s="54" t="str">
        <f>IF($R162,"&amp;AllGlyphs[" &amp; M162 &amp; "]","")</f>
        <v/>
      </c>
      <c r="BR162" s="54" t="str">
        <f>IF($R162,"&amp;AllGlyphs[" &amp; O162 &amp; "]","")</f>
        <v/>
      </c>
      <c r="BT162" s="58" t="str">
        <f>IF($R162,IF(AB162,1,0),"")</f>
        <v/>
      </c>
      <c r="BU162" s="58" t="str">
        <f>IF($R162,IF(AC162,1,0),"")</f>
        <v/>
      </c>
      <c r="BV162" s="58" t="str">
        <f>IF($R162,IF(AD162,1,0),"")</f>
        <v/>
      </c>
      <c r="BW162" s="58" t="str">
        <f>IF($R162,IF(AE162,1,0),"")</f>
        <v/>
      </c>
      <c r="BX162" s="58" t="str">
        <f>IF($R162,IF(AR162,1,0),"")</f>
        <v/>
      </c>
      <c r="BY162" s="58" t="str">
        <f>IF($R162,IF(AS162,1,0),"")</f>
        <v/>
      </c>
    </row>
    <row r="163" spans="1:77" s="14" customFormat="1" x14ac:dyDescent="0.4">
      <c r="A163" s="7" t="s">
        <v>142</v>
      </c>
      <c r="B163" s="13" t="str">
        <f t="shared" si="28"/>
        <v>å</v>
      </c>
      <c r="C163" s="48" t="str" cm="1">
        <f t="array" ref="C163">IF($R163,INDEX($S:$S,MATCH(TRUE,EXACT(B163,$A:$A),0)),"")</f>
        <v/>
      </c>
      <c r="D163" s="40"/>
      <c r="E163" s="48" t="str" cm="1">
        <f t="array" ref="E163">IF($R163,INDEX($S:$S,MATCH(TRUE,EXACT(D163,$A:$A),0)),"")</f>
        <v/>
      </c>
      <c r="F163" s="40" t="s">
        <v>143</v>
      </c>
      <c r="G163" s="48" t="str" cm="1">
        <f t="array" ref="G163">IF($S163&lt;&gt;"",INDEX($S:$S,MATCH(TRUE,EXACT(F163,$A:$A),0)),"")</f>
        <v/>
      </c>
      <c r="H163" s="40" t="s">
        <v>144</v>
      </c>
      <c r="I163" s="48" t="str" cm="1">
        <f t="array" ref="I163">IF($R163,INDEX($S:$S,MATCH(TRUE,EXACT(H163,$A:$A),0)),"")</f>
        <v/>
      </c>
      <c r="J163" s="40" t="s">
        <v>141</v>
      </c>
      <c r="K163" s="52" t="str" cm="1">
        <f t="array" ref="K163">IF($R163,INDEX($S:$S,MATCH(TRUE,EXACT(J163,$A:$A),0)),"")</f>
        <v/>
      </c>
      <c r="L163" s="38" t="str" cm="1">
        <f t="array" ref="L163">IF($R163,INDEX($T:$T,MATCH(TRUE,EXACT(H163,$D:$D),0)),"")</f>
        <v/>
      </c>
      <c r="M163" s="48" t="str" cm="1">
        <f t="array" ref="M163">IF($R163,INDEX($S:$S,MATCH(TRUE,EXACT(L163,$A:$A),0)),"")</f>
        <v/>
      </c>
      <c r="N163" s="38" t="str" cm="1">
        <f t="array" ref="N163">IF($R163,INDEX($T:$T,MATCH(TRUE,EXACT(J163,$D:$D),0)),"")</f>
        <v/>
      </c>
      <c r="O163" s="52" t="str" cm="1">
        <f t="array" ref="O163">IF($R163,INDEX($S:$S,MATCH(TRUE,EXACT(N163,$A:$A),0)),"")</f>
        <v/>
      </c>
      <c r="P163" s="47"/>
      <c r="Q163" s="35"/>
      <c r="R163" s="18" t="b">
        <f t="shared" si="29"/>
        <v>0</v>
      </c>
      <c r="S163" s="19" t="str">
        <f>IF(R163, MAX(S$2:S162)+1,"")</f>
        <v/>
      </c>
      <c r="T163" s="23" t="str">
        <f t="shared" si="30"/>
        <v>å</v>
      </c>
      <c r="U163" s="8" t="str" cm="1">
        <f t="array" ref="U163">CharToUTF8(A163)</f>
        <v>\xC3\xA5</v>
      </c>
      <c r="V163" s="22"/>
      <c r="W163" s="30">
        <v>10</v>
      </c>
      <c r="X163" s="31" t="str">
        <f>$AU$3</f>
        <v>DIAG_BOTH</v>
      </c>
      <c r="Y163" s="31" t="str">
        <f>$AU$3</f>
        <v>DIAG_BOTH</v>
      </c>
      <c r="Z163" s="32" t="str">
        <f>$AU$2</f>
        <v>EMPTY</v>
      </c>
      <c r="AA163"/>
      <c r="AB163" s="31" t="str">
        <f t="shared" si="31"/>
        <v/>
      </c>
      <c r="AC163" s="31" t="str">
        <f t="shared" si="32"/>
        <v/>
      </c>
      <c r="AD163" t="str">
        <f t="shared" si="33"/>
        <v/>
      </c>
      <c r="AE163" t="str">
        <f t="shared" si="34"/>
        <v/>
      </c>
      <c r="AF163" t="str">
        <f>IF($R163,W163=VLOOKUP(Z163,$AU$2:$AZ$10,3,FALSE),"")</f>
        <v/>
      </c>
      <c r="AG163" t="str">
        <f>IF($R163,X163=VLOOKUP(Y163,$AU$2:$AZ$10,3,FALSE),"")</f>
        <v/>
      </c>
      <c r="AH163" t="str">
        <f>IF($R163,Y163=VLOOKUP(W163,$AU$2:$AZ$10,3,FALSE),"")</f>
        <v/>
      </c>
      <c r="AI163" t="str">
        <f>IF($R163,Z163=VLOOKUP(X163,$AU$2:$AZ$10,3,FALSE),"")</f>
        <v/>
      </c>
      <c r="AJ163" t="str">
        <f>IF($R163,W163=VLOOKUP(W163,$AU$2:$AZ$10,4,FALSE),"")</f>
        <v/>
      </c>
      <c r="AK163" t="str">
        <f>IF($R163,X163=VLOOKUP(X163,$AU$2:$AZ$10,4,FALSE),"")</f>
        <v/>
      </c>
      <c r="AL163" t="str">
        <f>IF($R163,Y163=VLOOKUP(Y163,$AU$2:$AZ$10,4,FALSE),"")</f>
        <v/>
      </c>
      <c r="AM163" t="str">
        <f>IF($R163,Z163=VLOOKUP(Z163,$AU$2:$AZ$10,4,FALSE),"")</f>
        <v/>
      </c>
      <c r="AN163" t="str">
        <f>IF($R163,W163=VLOOKUP(W163,$AU$2:$AZ$10,5,FALSE),"")</f>
        <v/>
      </c>
      <c r="AO163" t="str">
        <f>IF($R163,X163=VLOOKUP(X163,$AU$2:$AZ$10,5,FALSE),"")</f>
        <v/>
      </c>
      <c r="AP163" t="str">
        <f>IF($R163,Y163=VLOOKUP(Y163,$AU$2:$AZ$10,6,FALSE),"")</f>
        <v/>
      </c>
      <c r="AQ163" t="str">
        <f>IF($R163,Z163=VLOOKUP(Z163,$AU$2:$AZ$10,6,FALSE),"")</f>
        <v/>
      </c>
      <c r="AR163" t="str">
        <f t="shared" si="35"/>
        <v/>
      </c>
      <c r="AS163" t="str">
        <f t="shared" si="36"/>
        <v/>
      </c>
      <c r="AT163"/>
      <c r="AU163"/>
      <c r="AV163"/>
      <c r="AW163"/>
      <c r="AX163"/>
      <c r="AY163"/>
      <c r="AZ163"/>
      <c r="BA163"/>
      <c r="BB163"/>
      <c r="BD163" s="59" t="str">
        <f t="shared" si="37"/>
        <v/>
      </c>
      <c r="BE163" s="60"/>
      <c r="BF163" s="60"/>
      <c r="BG163" s="60"/>
      <c r="BH163" s="60"/>
      <c r="BI163" s="60"/>
      <c r="BJ163" s="60"/>
      <c r="BK163" s="61"/>
      <c r="BM163" s="54" t="str">
        <f>IF($R163,"&amp;AllGlyphs[" &amp; E163 &amp; "]","")</f>
        <v/>
      </c>
      <c r="BN163" s="54" t="str">
        <f>IF($R163,"&amp;AllGlyphs[" &amp; G163 &amp; "]","")</f>
        <v/>
      </c>
      <c r="BO163" s="54" t="str">
        <f>IF($R163,"&amp;AllGlyphs[" &amp; I163 &amp; "]","")</f>
        <v/>
      </c>
      <c r="BP163" s="54" t="str">
        <f>IF($R163,"&amp;AllGlyphs[" &amp; K163 &amp; "]","")</f>
        <v/>
      </c>
      <c r="BQ163" s="54" t="str">
        <f>IF($R163,"&amp;AllGlyphs[" &amp; M163 &amp; "]","")</f>
        <v/>
      </c>
      <c r="BR163" s="54" t="str">
        <f>IF($R163,"&amp;AllGlyphs[" &amp; O163 &amp; "]","")</f>
        <v/>
      </c>
      <c r="BT163" s="58" t="str">
        <f>IF($R163,IF(AB163,1,0),"")</f>
        <v/>
      </c>
      <c r="BU163" s="58" t="str">
        <f>IF($R163,IF(AC163,1,0),"")</f>
        <v/>
      </c>
      <c r="BV163" s="58" t="str">
        <f>IF($R163,IF(AD163,1,0),"")</f>
        <v/>
      </c>
      <c r="BW163" s="58" t="str">
        <f>IF($R163,IF(AE163,1,0),"")</f>
        <v/>
      </c>
      <c r="BX163" s="58" t="str">
        <f>IF($R163,IF(AR163,1,0),"")</f>
        <v/>
      </c>
      <c r="BY163" s="58" t="str">
        <f>IF($R163,IF(AS163,1,0),"")</f>
        <v/>
      </c>
    </row>
    <row r="164" spans="1:77" s="14" customFormat="1" x14ac:dyDescent="0.4">
      <c r="A164" s="7" t="s">
        <v>143</v>
      </c>
      <c r="B164" s="13" t="str">
        <f t="shared" si="28"/>
        <v>ç</v>
      </c>
      <c r="C164" s="48" t="str" cm="1">
        <f t="array" ref="C164">IF($R164,INDEX($S:$S,MATCH(TRUE,EXACT(B164,$A:$A),0)),"")</f>
        <v/>
      </c>
      <c r="D164" s="40"/>
      <c r="E164" s="48" t="str" cm="1">
        <f t="array" ref="E164">IF($R164,INDEX($S:$S,MATCH(TRUE,EXACT(D164,$A:$A),0)),"")</f>
        <v/>
      </c>
      <c r="F164" s="40" t="s">
        <v>142</v>
      </c>
      <c r="G164" s="48" t="str" cm="1">
        <f t="array" ref="G164">IF($S164&lt;&gt;"",INDEX($S:$S,MATCH(TRUE,EXACT(F164,$A:$A),0)),"")</f>
        <v/>
      </c>
      <c r="H164" s="40" t="s">
        <v>141</v>
      </c>
      <c r="I164" s="48" t="str" cm="1">
        <f t="array" ref="I164">IF($R164,INDEX($S:$S,MATCH(TRUE,EXACT(H164,$A:$A),0)),"")</f>
        <v/>
      </c>
      <c r="J164" s="40" t="s">
        <v>144</v>
      </c>
      <c r="K164" s="52" t="str" cm="1">
        <f t="array" ref="K164">IF($R164,INDEX($S:$S,MATCH(TRUE,EXACT(J164,$A:$A),0)),"")</f>
        <v/>
      </c>
      <c r="L164" s="38" t="str" cm="1">
        <f t="array" ref="L164">IF($R164,INDEX($T:$T,MATCH(TRUE,EXACT(H164,$D:$D),0)),"")</f>
        <v/>
      </c>
      <c r="M164" s="48" t="str" cm="1">
        <f t="array" ref="M164">IF($R164,INDEX($S:$S,MATCH(TRUE,EXACT(L164,$A:$A),0)),"")</f>
        <v/>
      </c>
      <c r="N164" s="38" t="str" cm="1">
        <f t="array" ref="N164">IF($R164,INDEX($T:$T,MATCH(TRUE,EXACT(J164,$D:$D),0)),"")</f>
        <v/>
      </c>
      <c r="O164" s="52" t="str" cm="1">
        <f t="array" ref="O164">IF($R164,INDEX($S:$S,MATCH(TRUE,EXACT(N164,$A:$A),0)),"")</f>
        <v/>
      </c>
      <c r="P164" s="47"/>
      <c r="Q164" s="35"/>
      <c r="R164" s="18" t="b">
        <f t="shared" si="29"/>
        <v>0</v>
      </c>
      <c r="S164" s="19" t="str">
        <f>IF(R164, MAX(S$2:S163)+1,"")</f>
        <v/>
      </c>
      <c r="T164" s="23" t="str">
        <f t="shared" si="30"/>
        <v>ç</v>
      </c>
      <c r="U164" s="8" t="str" cm="1">
        <f t="array" ref="U164">CharToUTF8(A164)</f>
        <v>\xC3\xA7</v>
      </c>
      <c r="V164" s="22"/>
      <c r="W164" s="30" t="str">
        <f>$AU$3</f>
        <v>DIAG_BOTH</v>
      </c>
      <c r="X164" s="31">
        <v>10</v>
      </c>
      <c r="Y164" s="31" t="str">
        <f>$AU$2</f>
        <v>EMPTY</v>
      </c>
      <c r="Z164" s="32" t="str">
        <f>$AU$3</f>
        <v>DIAG_BOTH</v>
      </c>
      <c r="AA164"/>
      <c r="AB164" s="31" t="str">
        <f t="shared" si="31"/>
        <v/>
      </c>
      <c r="AC164" s="31" t="str">
        <f t="shared" si="32"/>
        <v/>
      </c>
      <c r="AD164" t="str">
        <f t="shared" si="33"/>
        <v/>
      </c>
      <c r="AE164" t="str">
        <f t="shared" si="34"/>
        <v/>
      </c>
      <c r="AF164" t="str">
        <f>IF($R164,W164=VLOOKUP(Z164,$AU$2:$AZ$10,3,FALSE),"")</f>
        <v/>
      </c>
      <c r="AG164" t="str">
        <f>IF($R164,X164=VLOOKUP(Y164,$AU$2:$AZ$10,3,FALSE),"")</f>
        <v/>
      </c>
      <c r="AH164" t="str">
        <f>IF($R164,Y164=VLOOKUP(W164,$AU$2:$AZ$10,3,FALSE),"")</f>
        <v/>
      </c>
      <c r="AI164" t="str">
        <f>IF($R164,Z164=VLOOKUP(X164,$AU$2:$AZ$10,3,FALSE),"")</f>
        <v/>
      </c>
      <c r="AJ164" t="str">
        <f>IF($R164,W164=VLOOKUP(W164,$AU$2:$AZ$10,4,FALSE),"")</f>
        <v/>
      </c>
      <c r="AK164" t="str">
        <f>IF($R164,X164=VLOOKUP(X164,$AU$2:$AZ$10,4,FALSE),"")</f>
        <v/>
      </c>
      <c r="AL164" t="str">
        <f>IF($R164,Y164=VLOOKUP(Y164,$AU$2:$AZ$10,4,FALSE),"")</f>
        <v/>
      </c>
      <c r="AM164" t="str">
        <f>IF($R164,Z164=VLOOKUP(Z164,$AU$2:$AZ$10,4,FALSE),"")</f>
        <v/>
      </c>
      <c r="AN164" t="str">
        <f>IF($R164,W164=VLOOKUP(W164,$AU$2:$AZ$10,5,FALSE),"")</f>
        <v/>
      </c>
      <c r="AO164" t="str">
        <f>IF($R164,X164=VLOOKUP(X164,$AU$2:$AZ$10,5,FALSE),"")</f>
        <v/>
      </c>
      <c r="AP164" t="str">
        <f>IF($R164,Y164=VLOOKUP(Y164,$AU$2:$AZ$10,6,FALSE),"")</f>
        <v/>
      </c>
      <c r="AQ164" t="str">
        <f>IF($R164,Z164=VLOOKUP(Z164,$AU$2:$AZ$10,6,FALSE),"")</f>
        <v/>
      </c>
      <c r="AR164" t="str">
        <f t="shared" si="35"/>
        <v/>
      </c>
      <c r="AS164" t="str">
        <f t="shared" si="36"/>
        <v/>
      </c>
      <c r="AT164"/>
      <c r="AU164"/>
      <c r="AV164"/>
      <c r="AW164"/>
      <c r="AX164"/>
      <c r="AY164"/>
      <c r="AZ164"/>
      <c r="BA164"/>
      <c r="BB164"/>
      <c r="BD164" s="59" t="str">
        <f t="shared" si="37"/>
        <v/>
      </c>
      <c r="BE164" s="60"/>
      <c r="BF164" s="60"/>
      <c r="BG164" s="60"/>
      <c r="BH164" s="60"/>
      <c r="BI164" s="60"/>
      <c r="BJ164" s="60"/>
      <c r="BK164" s="61"/>
      <c r="BM164" s="54" t="str">
        <f>IF($R164,"&amp;AllGlyphs[" &amp; E164 &amp; "]","")</f>
        <v/>
      </c>
      <c r="BN164" s="54" t="str">
        <f>IF($R164,"&amp;AllGlyphs[" &amp; G164 &amp; "]","")</f>
        <v/>
      </c>
      <c r="BO164" s="54" t="str">
        <f>IF($R164,"&amp;AllGlyphs[" &amp; I164 &amp; "]","")</f>
        <v/>
      </c>
      <c r="BP164" s="54" t="str">
        <f>IF($R164,"&amp;AllGlyphs[" &amp; K164 &amp; "]","")</f>
        <v/>
      </c>
      <c r="BQ164" s="54" t="str">
        <f>IF($R164,"&amp;AllGlyphs[" &amp; M164 &amp; "]","")</f>
        <v/>
      </c>
      <c r="BR164" s="54" t="str">
        <f>IF($R164,"&amp;AllGlyphs[" &amp; O164 &amp; "]","")</f>
        <v/>
      </c>
      <c r="BT164" s="58" t="str">
        <f>IF($R164,IF(AB164,1,0),"")</f>
        <v/>
      </c>
      <c r="BU164" s="58" t="str">
        <f>IF($R164,IF(AC164,1,0),"")</f>
        <v/>
      </c>
      <c r="BV164" s="58" t="str">
        <f>IF($R164,IF(AD164,1,0),"")</f>
        <v/>
      </c>
      <c r="BW164" s="58" t="str">
        <f>IF($R164,IF(AE164,1,0),"")</f>
        <v/>
      </c>
      <c r="BX164" s="58" t="str">
        <f>IF($R164,IF(AR164,1,0),"")</f>
        <v/>
      </c>
      <c r="BY164" s="58" t="str">
        <f>IF($R164,IF(AS164,1,0),"")</f>
        <v/>
      </c>
    </row>
    <row r="165" spans="1:77" s="14" customFormat="1" x14ac:dyDescent="0.4">
      <c r="A165" s="7" t="s">
        <v>144</v>
      </c>
      <c r="B165" s="13" t="str">
        <f t="shared" si="28"/>
        <v>è</v>
      </c>
      <c r="C165" s="48" t="str" cm="1">
        <f t="array" ref="C165">IF($R165,INDEX($S:$S,MATCH(TRUE,EXACT(B165,$A:$A),0)),"")</f>
        <v/>
      </c>
      <c r="D165" s="40"/>
      <c r="E165" s="48" t="str" cm="1">
        <f t="array" ref="E165">IF($R165,INDEX($S:$S,MATCH(TRUE,EXACT(D165,$A:$A),0)),"")</f>
        <v/>
      </c>
      <c r="F165" s="40" t="s">
        <v>141</v>
      </c>
      <c r="G165" s="48" t="str" cm="1">
        <f t="array" ref="G165">IF($S165&lt;&gt;"",INDEX($S:$S,MATCH(TRUE,EXACT(F165,$A:$A),0)),"")</f>
        <v/>
      </c>
      <c r="H165" s="40" t="s">
        <v>142</v>
      </c>
      <c r="I165" s="48" t="str" cm="1">
        <f t="array" ref="I165">IF($R165,INDEX($S:$S,MATCH(TRUE,EXACT(H165,$A:$A),0)),"")</f>
        <v/>
      </c>
      <c r="J165" s="40" t="s">
        <v>143</v>
      </c>
      <c r="K165" s="52" t="str" cm="1">
        <f t="array" ref="K165">IF($R165,INDEX($S:$S,MATCH(TRUE,EXACT(J165,$A:$A),0)),"")</f>
        <v/>
      </c>
      <c r="L165" s="38" t="str" cm="1">
        <f t="array" ref="L165">IF($R165,INDEX($T:$T,MATCH(TRUE,EXACT(H165,$D:$D),0)),"")</f>
        <v/>
      </c>
      <c r="M165" s="48" t="str" cm="1">
        <f t="array" ref="M165">IF($R165,INDEX($S:$S,MATCH(TRUE,EXACT(L165,$A:$A),0)),"")</f>
        <v/>
      </c>
      <c r="N165" s="38" t="str" cm="1">
        <f t="array" ref="N165">IF($R165,INDEX($T:$T,MATCH(TRUE,EXACT(J165,$D:$D),0)),"")</f>
        <v/>
      </c>
      <c r="O165" s="52" t="str" cm="1">
        <f t="array" ref="O165">IF($R165,INDEX($S:$S,MATCH(TRUE,EXACT(N165,$A:$A),0)),"")</f>
        <v/>
      </c>
      <c r="P165" s="47"/>
      <c r="Q165" s="35"/>
      <c r="R165" s="18" t="b">
        <f t="shared" si="29"/>
        <v>0</v>
      </c>
      <c r="S165" s="19" t="str">
        <f>IF(R165, MAX(S$2:S164)+1,"")</f>
        <v/>
      </c>
      <c r="T165" s="23" t="str">
        <f t="shared" si="30"/>
        <v>è</v>
      </c>
      <c r="U165" s="8" t="str" cm="1">
        <f t="array" ref="U165">CharToUTF8(A165)</f>
        <v>\xC3\xA8</v>
      </c>
      <c r="V165" s="22"/>
      <c r="W165" s="30" t="str">
        <f>$AU$3</f>
        <v>DIAG_BOTH</v>
      </c>
      <c r="X165" s="31">
        <v>10</v>
      </c>
      <c r="Y165" s="31" t="str">
        <f>$AU$3</f>
        <v>DIAG_BOTH</v>
      </c>
      <c r="Z165" s="32" t="str">
        <f>$AU$2</f>
        <v>EMPTY</v>
      </c>
      <c r="AA165"/>
      <c r="AB165" s="31" t="str">
        <f t="shared" si="31"/>
        <v/>
      </c>
      <c r="AC165" s="31" t="str">
        <f t="shared" si="32"/>
        <v/>
      </c>
      <c r="AD165" t="str">
        <f t="shared" si="33"/>
        <v/>
      </c>
      <c r="AE165" t="str">
        <f t="shared" si="34"/>
        <v/>
      </c>
      <c r="AF165" t="str">
        <f>IF($R165,W165=VLOOKUP(Z165,$AU$2:$AZ$10,3,FALSE),"")</f>
        <v/>
      </c>
      <c r="AG165" t="str">
        <f>IF($R165,X165=VLOOKUP(Y165,$AU$2:$AZ$10,3,FALSE),"")</f>
        <v/>
      </c>
      <c r="AH165" t="str">
        <f>IF($R165,Y165=VLOOKUP(W165,$AU$2:$AZ$10,3,FALSE),"")</f>
        <v/>
      </c>
      <c r="AI165" t="str">
        <f>IF($R165,Z165=VLOOKUP(X165,$AU$2:$AZ$10,3,FALSE),"")</f>
        <v/>
      </c>
      <c r="AJ165" t="str">
        <f>IF($R165,W165=VLOOKUP(W165,$AU$2:$AZ$10,4,FALSE),"")</f>
        <v/>
      </c>
      <c r="AK165" t="str">
        <f>IF($R165,X165=VLOOKUP(X165,$AU$2:$AZ$10,4,FALSE),"")</f>
        <v/>
      </c>
      <c r="AL165" t="str">
        <f>IF($R165,Y165=VLOOKUP(Y165,$AU$2:$AZ$10,4,FALSE),"")</f>
        <v/>
      </c>
      <c r="AM165" t="str">
        <f>IF($R165,Z165=VLOOKUP(Z165,$AU$2:$AZ$10,4,FALSE),"")</f>
        <v/>
      </c>
      <c r="AN165" t="str">
        <f>IF($R165,W165=VLOOKUP(W165,$AU$2:$AZ$10,5,FALSE),"")</f>
        <v/>
      </c>
      <c r="AO165" t="str">
        <f>IF($R165,X165=VLOOKUP(X165,$AU$2:$AZ$10,5,FALSE),"")</f>
        <v/>
      </c>
      <c r="AP165" t="str">
        <f>IF($R165,Y165=VLOOKUP(Y165,$AU$2:$AZ$10,6,FALSE),"")</f>
        <v/>
      </c>
      <c r="AQ165" t="str">
        <f>IF($R165,Z165=VLOOKUP(Z165,$AU$2:$AZ$10,6,FALSE),"")</f>
        <v/>
      </c>
      <c r="AR165" t="str">
        <f t="shared" si="35"/>
        <v/>
      </c>
      <c r="AS165" t="str">
        <f t="shared" si="36"/>
        <v/>
      </c>
      <c r="AT165"/>
      <c r="AU165"/>
      <c r="AV165"/>
      <c r="AW165"/>
      <c r="AX165"/>
      <c r="AY165"/>
      <c r="AZ165"/>
      <c r="BA165"/>
      <c r="BB165"/>
      <c r="BD165" s="59" t="str">
        <f t="shared" si="37"/>
        <v/>
      </c>
      <c r="BE165" s="60"/>
      <c r="BF165" s="60"/>
      <c r="BG165" s="60"/>
      <c r="BH165" s="60"/>
      <c r="BI165" s="60"/>
      <c r="BJ165" s="60"/>
      <c r="BK165" s="61"/>
      <c r="BM165" s="54" t="str">
        <f>IF($R165,"&amp;AllGlyphs[" &amp; E165 &amp; "]","")</f>
        <v/>
      </c>
      <c r="BN165" s="54" t="str">
        <f>IF($R165,"&amp;AllGlyphs[" &amp; G165 &amp; "]","")</f>
        <v/>
      </c>
      <c r="BO165" s="54" t="str">
        <f>IF($R165,"&amp;AllGlyphs[" &amp; I165 &amp; "]","")</f>
        <v/>
      </c>
      <c r="BP165" s="54" t="str">
        <f>IF($R165,"&amp;AllGlyphs[" &amp; K165 &amp; "]","")</f>
        <v/>
      </c>
      <c r="BQ165" s="54" t="str">
        <f>IF($R165,"&amp;AllGlyphs[" &amp; M165 &amp; "]","")</f>
        <v/>
      </c>
      <c r="BR165" s="54" t="str">
        <f>IF($R165,"&amp;AllGlyphs[" &amp; O165 &amp; "]","")</f>
        <v/>
      </c>
      <c r="BT165" s="58" t="str">
        <f>IF($R165,IF(AB165,1,0),"")</f>
        <v/>
      </c>
      <c r="BU165" s="58" t="str">
        <f>IF($R165,IF(AC165,1,0),"")</f>
        <v/>
      </c>
      <c r="BV165" s="58" t="str">
        <f>IF($R165,IF(AD165,1,0),"")</f>
        <v/>
      </c>
      <c r="BW165" s="58" t="str">
        <f>IF($R165,IF(AE165,1,0),"")</f>
        <v/>
      </c>
      <c r="BX165" s="58" t="str">
        <f>IF($R165,IF(AR165,1,0),"")</f>
        <v/>
      </c>
      <c r="BY165" s="58" t="str">
        <f>IF($R165,IF(AS165,1,0),"")</f>
        <v/>
      </c>
    </row>
    <row r="166" spans="1:77" s="14" customFormat="1" x14ac:dyDescent="0.4">
      <c r="A166" s="7" t="s">
        <v>161</v>
      </c>
      <c r="B166" s="13" t="str">
        <f t="shared" si="28"/>
        <v>é</v>
      </c>
      <c r="C166" s="48" t="str" cm="1">
        <f t="array" ref="C166">IF($R166,INDEX($S:$S,MATCH(TRUE,EXACT(B166,$A:$A),0)),"")</f>
        <v/>
      </c>
      <c r="D166" s="40"/>
      <c r="E166" s="48" t="str" cm="1">
        <f t="array" ref="E166">IF($R166,INDEX($S:$S,MATCH(TRUE,EXACT(D166,$A:$A),0)),"")</f>
        <v/>
      </c>
      <c r="F166" s="40" t="s">
        <v>162</v>
      </c>
      <c r="G166" s="48" t="str" cm="1">
        <f t="array" ref="G166">IF($S166&lt;&gt;"",INDEX($S:$S,MATCH(TRUE,EXACT(F166,$A:$A),0)),"")</f>
        <v/>
      </c>
      <c r="H166" s="40" t="s">
        <v>162</v>
      </c>
      <c r="I166" s="48" t="str" cm="1">
        <f t="array" ref="I166">IF($R166,INDEX($S:$S,MATCH(TRUE,EXACT(H166,$A:$A),0)),"")</f>
        <v/>
      </c>
      <c r="J166" s="40" t="s">
        <v>161</v>
      </c>
      <c r="K166" s="52" t="str" cm="1">
        <f t="array" ref="K166">IF($R166,INDEX($S:$S,MATCH(TRUE,EXACT(J166,$A:$A),0)),"")</f>
        <v/>
      </c>
      <c r="L166" s="38" t="str" cm="1">
        <f t="array" ref="L166">IF($R166,INDEX($T:$T,MATCH(TRUE,EXACT(H166,$D:$D),0)),"")</f>
        <v/>
      </c>
      <c r="M166" s="48" t="str" cm="1">
        <f t="array" ref="M166">IF($R166,INDEX($S:$S,MATCH(TRUE,EXACT(L166,$A:$A),0)),"")</f>
        <v/>
      </c>
      <c r="N166" s="38" t="str" cm="1">
        <f t="array" ref="N166">IF($R166,INDEX($T:$T,MATCH(TRUE,EXACT(J166,$D:$D),0)),"")</f>
        <v/>
      </c>
      <c r="O166" s="52" t="str" cm="1">
        <f t="array" ref="O166">IF($R166,INDEX($S:$S,MATCH(TRUE,EXACT(N166,$A:$A),0)),"")</f>
        <v/>
      </c>
      <c r="P166" s="47"/>
      <c r="Q166" s="35"/>
      <c r="R166" s="18" t="b">
        <f t="shared" si="29"/>
        <v>0</v>
      </c>
      <c r="S166" s="19" t="str">
        <f>IF(R166, MAX(S$2:S165)+1,"")</f>
        <v/>
      </c>
      <c r="T166" s="23" t="str">
        <f t="shared" si="30"/>
        <v>é</v>
      </c>
      <c r="U166" s="8" t="str" cm="1">
        <f t="array" ref="U166">CharToUTF8(A166)</f>
        <v>\xC3\xA9</v>
      </c>
      <c r="V166" s="22"/>
      <c r="W166" s="30" t="str">
        <f>$AU$2</f>
        <v>EMPTY</v>
      </c>
      <c r="X166" s="31">
        <v>10</v>
      </c>
      <c r="Y166" s="31" t="str">
        <f>$AU$2</f>
        <v>EMPTY</v>
      </c>
      <c r="Z166" s="32" t="str">
        <f>$AU$2</f>
        <v>EMPTY</v>
      </c>
      <c r="AA166"/>
      <c r="AB166" s="31" t="str">
        <f t="shared" si="31"/>
        <v/>
      </c>
      <c r="AC166" s="31" t="str">
        <f t="shared" si="32"/>
        <v/>
      </c>
      <c r="AD166" t="str">
        <f t="shared" si="33"/>
        <v/>
      </c>
      <c r="AE166" t="str">
        <f t="shared" si="34"/>
        <v/>
      </c>
      <c r="AF166" t="str">
        <f>IF($R166,W166=VLOOKUP(Z166,$AU$2:$AZ$10,3,FALSE),"")</f>
        <v/>
      </c>
      <c r="AG166" t="str">
        <f>IF($R166,X166=VLOOKUP(Y166,$AU$2:$AZ$10,3,FALSE),"")</f>
        <v/>
      </c>
      <c r="AH166" t="str">
        <f>IF($R166,Y166=VLOOKUP(W166,$AU$2:$AZ$10,3,FALSE),"")</f>
        <v/>
      </c>
      <c r="AI166" t="str">
        <f>IF($R166,Z166=VLOOKUP(X166,$AU$2:$AZ$10,3,FALSE),"")</f>
        <v/>
      </c>
      <c r="AJ166" t="str">
        <f>IF($R166,W166=VLOOKUP(W166,$AU$2:$AZ$10,4,FALSE),"")</f>
        <v/>
      </c>
      <c r="AK166" t="str">
        <f>IF($R166,X166=VLOOKUP(X166,$AU$2:$AZ$10,4,FALSE),"")</f>
        <v/>
      </c>
      <c r="AL166" t="str">
        <f>IF($R166,Y166=VLOOKUP(Y166,$AU$2:$AZ$10,4,FALSE),"")</f>
        <v/>
      </c>
      <c r="AM166" t="str">
        <f>IF($R166,Z166=VLOOKUP(Z166,$AU$2:$AZ$10,4,FALSE),"")</f>
        <v/>
      </c>
      <c r="AN166" t="str">
        <f>IF($R166,W166=VLOOKUP(W166,$AU$2:$AZ$10,5,FALSE),"")</f>
        <v/>
      </c>
      <c r="AO166" t="str">
        <f>IF($R166,X166=VLOOKUP(X166,$AU$2:$AZ$10,5,FALSE),"")</f>
        <v/>
      </c>
      <c r="AP166" t="str">
        <f>IF($R166,Y166=VLOOKUP(Y166,$AU$2:$AZ$10,6,FALSE),"")</f>
        <v/>
      </c>
      <c r="AQ166" t="str">
        <f>IF($R166,Z166=VLOOKUP(Z166,$AU$2:$AZ$10,6,FALSE),"")</f>
        <v/>
      </c>
      <c r="AR166" t="str">
        <f t="shared" si="35"/>
        <v/>
      </c>
      <c r="AS166" t="str">
        <f t="shared" si="36"/>
        <v/>
      </c>
      <c r="AT166"/>
      <c r="AU166"/>
      <c r="AV166"/>
      <c r="AW166"/>
      <c r="AX166"/>
      <c r="AY166"/>
      <c r="AZ166"/>
      <c r="BA166"/>
      <c r="BB166"/>
      <c r="BD166" s="59" t="str">
        <f t="shared" si="37"/>
        <v/>
      </c>
      <c r="BE166" s="60"/>
      <c r="BF166" s="60"/>
      <c r="BG166" s="60"/>
      <c r="BH166" s="60"/>
      <c r="BI166" s="60"/>
      <c r="BJ166" s="60"/>
      <c r="BK166" s="61"/>
      <c r="BM166" s="54" t="str">
        <f>IF($R166,"&amp;AllGlyphs[" &amp; E166 &amp; "]","")</f>
        <v/>
      </c>
      <c r="BN166" s="54" t="str">
        <f>IF($R166,"&amp;AllGlyphs[" &amp; G166 &amp; "]","")</f>
        <v/>
      </c>
      <c r="BO166" s="54" t="str">
        <f>IF($R166,"&amp;AllGlyphs[" &amp; I166 &amp; "]","")</f>
        <v/>
      </c>
      <c r="BP166" s="54" t="str">
        <f>IF($R166,"&amp;AllGlyphs[" &amp; K166 &amp; "]","")</f>
        <v/>
      </c>
      <c r="BQ166" s="54" t="str">
        <f>IF($R166,"&amp;AllGlyphs[" &amp; M166 &amp; "]","")</f>
        <v/>
      </c>
      <c r="BR166" s="54" t="str">
        <f>IF($R166,"&amp;AllGlyphs[" &amp; O166 &amp; "]","")</f>
        <v/>
      </c>
      <c r="BT166" s="58" t="str">
        <f>IF($R166,IF(AB166,1,0),"")</f>
        <v/>
      </c>
      <c r="BU166" s="58" t="str">
        <f>IF($R166,IF(AC166,1,0),"")</f>
        <v/>
      </c>
      <c r="BV166" s="58" t="str">
        <f>IF($R166,IF(AD166,1,0),"")</f>
        <v/>
      </c>
      <c r="BW166" s="58" t="str">
        <f>IF($R166,IF(AE166,1,0),"")</f>
        <v/>
      </c>
      <c r="BX166" s="58" t="str">
        <f>IF($R166,IF(AR166,1,0),"")</f>
        <v/>
      </c>
      <c r="BY166" s="58" t="str">
        <f>IF($R166,IF(AS166,1,0),"")</f>
        <v/>
      </c>
    </row>
    <row r="167" spans="1:77" s="14" customFormat="1" x14ac:dyDescent="0.4">
      <c r="A167" s="7" t="s">
        <v>162</v>
      </c>
      <c r="B167" s="13" t="str">
        <f t="shared" si="28"/>
        <v>ê</v>
      </c>
      <c r="C167" s="48" t="str" cm="1">
        <f t="array" ref="C167">IF($R167,INDEX($S:$S,MATCH(TRUE,EXACT(B167,$A:$A),0)),"")</f>
        <v/>
      </c>
      <c r="D167" s="40"/>
      <c r="E167" s="48" t="str" cm="1">
        <f t="array" ref="E167">IF($R167,INDEX($S:$S,MATCH(TRUE,EXACT(D167,$A:$A),0)),"")</f>
        <v/>
      </c>
      <c r="F167" s="40" t="s">
        <v>161</v>
      </c>
      <c r="G167" s="48" t="str" cm="1">
        <f t="array" ref="G167">IF($S167&lt;&gt;"",INDEX($S:$S,MATCH(TRUE,EXACT(F167,$A:$A),0)),"")</f>
        <v/>
      </c>
      <c r="H167" s="40" t="s">
        <v>161</v>
      </c>
      <c r="I167" s="48" t="str" cm="1">
        <f t="array" ref="I167">IF($R167,INDEX($S:$S,MATCH(TRUE,EXACT(H167,$A:$A),0)),"")</f>
        <v/>
      </c>
      <c r="J167" s="40" t="s">
        <v>162</v>
      </c>
      <c r="K167" s="52" t="str" cm="1">
        <f t="array" ref="K167">IF($R167,INDEX($S:$S,MATCH(TRUE,EXACT(J167,$A:$A),0)),"")</f>
        <v/>
      </c>
      <c r="L167" s="38" t="str" cm="1">
        <f t="array" ref="L167">IF($R167,INDEX($T:$T,MATCH(TRUE,EXACT(H167,$D:$D),0)),"")</f>
        <v/>
      </c>
      <c r="M167" s="48" t="str" cm="1">
        <f t="array" ref="M167">IF($R167,INDEX($S:$S,MATCH(TRUE,EXACT(L167,$A:$A),0)),"")</f>
        <v/>
      </c>
      <c r="N167" s="38" t="str" cm="1">
        <f t="array" ref="N167">IF($R167,INDEX($T:$T,MATCH(TRUE,EXACT(J167,$D:$D),0)),"")</f>
        <v/>
      </c>
      <c r="O167" s="52" t="str" cm="1">
        <f t="array" ref="O167">IF($R167,INDEX($S:$S,MATCH(TRUE,EXACT(N167,$A:$A),0)),"")</f>
        <v/>
      </c>
      <c r="P167" s="47"/>
      <c r="Q167" s="35"/>
      <c r="R167" s="18" t="b">
        <f t="shared" si="29"/>
        <v>0</v>
      </c>
      <c r="S167" s="19" t="str">
        <f>IF(R167, MAX(S$2:S166)+1,"")</f>
        <v/>
      </c>
      <c r="T167" s="23" t="str">
        <f t="shared" si="30"/>
        <v>ê</v>
      </c>
      <c r="U167" s="8" t="str" cm="1">
        <f t="array" ref="U167">CharToUTF8(A167)</f>
        <v>\xC3\xAA</v>
      </c>
      <c r="V167" s="22"/>
      <c r="W167" s="30">
        <v>10</v>
      </c>
      <c r="X167" s="31" t="str">
        <f>$AU$2</f>
        <v>EMPTY</v>
      </c>
      <c r="Y167" s="31" t="str">
        <f>$AU$2</f>
        <v>EMPTY</v>
      </c>
      <c r="Z167" s="32" t="str">
        <f>$AU$2</f>
        <v>EMPTY</v>
      </c>
      <c r="AA167"/>
      <c r="AB167" s="31" t="str">
        <f t="shared" si="31"/>
        <v/>
      </c>
      <c r="AC167" s="31" t="str">
        <f t="shared" si="32"/>
        <v/>
      </c>
      <c r="AD167" t="str">
        <f t="shared" si="33"/>
        <v/>
      </c>
      <c r="AE167" t="str">
        <f t="shared" si="34"/>
        <v/>
      </c>
      <c r="AF167" t="str">
        <f>IF($R167,W167=VLOOKUP(Z167,$AU$2:$AZ$10,3,FALSE),"")</f>
        <v/>
      </c>
      <c r="AG167" t="str">
        <f>IF($R167,X167=VLOOKUP(Y167,$AU$2:$AZ$10,3,FALSE),"")</f>
        <v/>
      </c>
      <c r="AH167" t="str">
        <f>IF($R167,Y167=VLOOKUP(W167,$AU$2:$AZ$10,3,FALSE),"")</f>
        <v/>
      </c>
      <c r="AI167" t="str">
        <f>IF($R167,Z167=VLOOKUP(X167,$AU$2:$AZ$10,3,FALSE),"")</f>
        <v/>
      </c>
      <c r="AJ167" t="str">
        <f>IF($R167,W167=VLOOKUP(W167,$AU$2:$AZ$10,4,FALSE),"")</f>
        <v/>
      </c>
      <c r="AK167" t="str">
        <f>IF($R167,X167=VLOOKUP(X167,$AU$2:$AZ$10,4,FALSE),"")</f>
        <v/>
      </c>
      <c r="AL167" t="str">
        <f>IF($R167,Y167=VLOOKUP(Y167,$AU$2:$AZ$10,4,FALSE),"")</f>
        <v/>
      </c>
      <c r="AM167" t="str">
        <f>IF($R167,Z167=VLOOKUP(Z167,$AU$2:$AZ$10,4,FALSE),"")</f>
        <v/>
      </c>
      <c r="AN167" t="str">
        <f>IF($R167,W167=VLOOKUP(W167,$AU$2:$AZ$10,5,FALSE),"")</f>
        <v/>
      </c>
      <c r="AO167" t="str">
        <f>IF($R167,X167=VLOOKUP(X167,$AU$2:$AZ$10,5,FALSE),"")</f>
        <v/>
      </c>
      <c r="AP167" t="str">
        <f>IF($R167,Y167=VLOOKUP(Y167,$AU$2:$AZ$10,6,FALSE),"")</f>
        <v/>
      </c>
      <c r="AQ167" t="str">
        <f>IF($R167,Z167=VLOOKUP(Z167,$AU$2:$AZ$10,6,FALSE),"")</f>
        <v/>
      </c>
      <c r="AR167" t="str">
        <f t="shared" si="35"/>
        <v/>
      </c>
      <c r="AS167" t="str">
        <f t="shared" si="36"/>
        <v/>
      </c>
      <c r="AT167"/>
      <c r="AU167"/>
      <c r="AV167"/>
      <c r="AW167"/>
      <c r="AX167"/>
      <c r="AY167"/>
      <c r="AZ167"/>
      <c r="BA167"/>
      <c r="BB167"/>
      <c r="BD167" s="59" t="str">
        <f t="shared" si="37"/>
        <v/>
      </c>
      <c r="BE167" s="60"/>
      <c r="BF167" s="60"/>
      <c r="BG167" s="60"/>
      <c r="BH167" s="60"/>
      <c r="BI167" s="60"/>
      <c r="BJ167" s="60"/>
      <c r="BK167" s="61"/>
      <c r="BM167" s="54" t="str">
        <f>IF($R167,"&amp;AllGlyphs[" &amp; E167 &amp; "]","")</f>
        <v/>
      </c>
      <c r="BN167" s="54" t="str">
        <f>IF($R167,"&amp;AllGlyphs[" &amp; G167 &amp; "]","")</f>
        <v/>
      </c>
      <c r="BO167" s="54" t="str">
        <f>IF($R167,"&amp;AllGlyphs[" &amp; I167 &amp; "]","")</f>
        <v/>
      </c>
      <c r="BP167" s="54" t="str">
        <f>IF($R167,"&amp;AllGlyphs[" &amp; K167 &amp; "]","")</f>
        <v/>
      </c>
      <c r="BQ167" s="54" t="str">
        <f>IF($R167,"&amp;AllGlyphs[" &amp; M167 &amp; "]","")</f>
        <v/>
      </c>
      <c r="BR167" s="54" t="str">
        <f>IF($R167,"&amp;AllGlyphs[" &amp; O167 &amp; "]","")</f>
        <v/>
      </c>
      <c r="BT167" s="58" t="str">
        <f>IF($R167,IF(AB167,1,0),"")</f>
        <v/>
      </c>
      <c r="BU167" s="58" t="str">
        <f>IF($R167,IF(AC167,1,0),"")</f>
        <v/>
      </c>
      <c r="BV167" s="58" t="str">
        <f>IF($R167,IF(AD167,1,0),"")</f>
        <v/>
      </c>
      <c r="BW167" s="58" t="str">
        <f>IF($R167,IF(AE167,1,0),"")</f>
        <v/>
      </c>
      <c r="BX167" s="58" t="str">
        <f>IF($R167,IF(AR167,1,0),"")</f>
        <v/>
      </c>
      <c r="BY167" s="58" t="str">
        <f>IF($R167,IF(AS167,1,0),"")</f>
        <v/>
      </c>
    </row>
    <row r="168" spans="1:77" s="14" customFormat="1" x14ac:dyDescent="0.4">
      <c r="A168" s="7" t="s">
        <v>163</v>
      </c>
      <c r="B168" s="13" t="str">
        <f t="shared" si="28"/>
        <v>ë</v>
      </c>
      <c r="C168" s="48" t="str" cm="1">
        <f t="array" ref="C168">IF($R168,INDEX($S:$S,MATCH(TRUE,EXACT(B168,$A:$A),0)),"")</f>
        <v/>
      </c>
      <c r="D168" s="40"/>
      <c r="E168" s="48" t="str" cm="1">
        <f t="array" ref="E168">IF($R168,INDEX($S:$S,MATCH(TRUE,EXACT(D168,$A:$A),0)),"")</f>
        <v/>
      </c>
      <c r="F168" s="40" t="s">
        <v>163</v>
      </c>
      <c r="G168" s="48" t="str" cm="1">
        <f t="array" ref="G168">IF($S168&lt;&gt;"",INDEX($S:$S,MATCH(TRUE,EXACT(F168,$A:$A),0)),"")</f>
        <v/>
      </c>
      <c r="H168" s="40" t="s">
        <v>163</v>
      </c>
      <c r="I168" s="48" t="str" cm="1">
        <f t="array" ref="I168">IF($R168,INDEX($S:$S,MATCH(TRUE,EXACT(H168,$A:$A),0)),"")</f>
        <v/>
      </c>
      <c r="J168" s="40" t="s">
        <v>163</v>
      </c>
      <c r="K168" s="52" t="str" cm="1">
        <f t="array" ref="K168">IF($R168,INDEX($S:$S,MATCH(TRUE,EXACT(J168,$A:$A),0)),"")</f>
        <v/>
      </c>
      <c r="L168" s="38" t="str" cm="1">
        <f t="array" ref="L168">IF($R168,INDEX($T:$T,MATCH(TRUE,EXACT(H168,$D:$D),0)),"")</f>
        <v/>
      </c>
      <c r="M168" s="48" t="str" cm="1">
        <f t="array" ref="M168">IF($R168,INDEX($S:$S,MATCH(TRUE,EXACT(L168,$A:$A),0)),"")</f>
        <v/>
      </c>
      <c r="N168" s="38" t="str" cm="1">
        <f t="array" ref="N168">IF($R168,INDEX($T:$T,MATCH(TRUE,EXACT(J168,$D:$D),0)),"")</f>
        <v/>
      </c>
      <c r="O168" s="52" t="str" cm="1">
        <f t="array" ref="O168">IF($R168,INDEX($S:$S,MATCH(TRUE,EXACT(N168,$A:$A),0)),"")</f>
        <v/>
      </c>
      <c r="P168" s="47"/>
      <c r="Q168" s="35"/>
      <c r="R168" s="18" t="b">
        <f t="shared" si="29"/>
        <v>0</v>
      </c>
      <c r="S168" s="19" t="str">
        <f>IF(R168, MAX(S$2:S167)+1,"")</f>
        <v/>
      </c>
      <c r="T168" s="23" t="str">
        <f t="shared" si="30"/>
        <v>ë</v>
      </c>
      <c r="U168" s="8" t="str" cm="1">
        <f t="array" ref="U168">CharToUTF8(A168)</f>
        <v>\xC3\xAB</v>
      </c>
      <c r="V168" s="22"/>
      <c r="W168" s="30">
        <v>10</v>
      </c>
      <c r="X168" s="31">
        <v>10</v>
      </c>
      <c r="Y168" s="31" t="str">
        <f>$AU$2</f>
        <v>EMPTY</v>
      </c>
      <c r="Z168" s="32" t="str">
        <f>$AU$2</f>
        <v>EMPTY</v>
      </c>
      <c r="AA168"/>
      <c r="AB168" s="31" t="str">
        <f t="shared" si="31"/>
        <v/>
      </c>
      <c r="AC168" s="31" t="str">
        <f t="shared" si="32"/>
        <v/>
      </c>
      <c r="AD168" t="str">
        <f t="shared" si="33"/>
        <v/>
      </c>
      <c r="AE168" t="str">
        <f t="shared" si="34"/>
        <v/>
      </c>
      <c r="AF168" t="str">
        <f>IF($R168,W168=VLOOKUP(Z168,$AU$2:$AZ$10,3,FALSE),"")</f>
        <v/>
      </c>
      <c r="AG168" t="str">
        <f>IF($R168,X168=VLOOKUP(Y168,$AU$2:$AZ$10,3,FALSE),"")</f>
        <v/>
      </c>
      <c r="AH168" t="str">
        <f>IF($R168,Y168=VLOOKUP(W168,$AU$2:$AZ$10,3,FALSE),"")</f>
        <v/>
      </c>
      <c r="AI168" t="str">
        <f>IF($R168,Z168=VLOOKUP(X168,$AU$2:$AZ$10,3,FALSE),"")</f>
        <v/>
      </c>
      <c r="AJ168" t="str">
        <f>IF($R168,W168=VLOOKUP(W168,$AU$2:$AZ$10,4,FALSE),"")</f>
        <v/>
      </c>
      <c r="AK168" t="str">
        <f>IF($R168,X168=VLOOKUP(X168,$AU$2:$AZ$10,4,FALSE),"")</f>
        <v/>
      </c>
      <c r="AL168" t="str">
        <f>IF($R168,Y168=VLOOKUP(Y168,$AU$2:$AZ$10,4,FALSE),"")</f>
        <v/>
      </c>
      <c r="AM168" t="str">
        <f>IF($R168,Z168=VLOOKUP(Z168,$AU$2:$AZ$10,4,FALSE),"")</f>
        <v/>
      </c>
      <c r="AN168" t="str">
        <f>IF($R168,W168=VLOOKUP(W168,$AU$2:$AZ$10,5,FALSE),"")</f>
        <v/>
      </c>
      <c r="AO168" t="str">
        <f>IF($R168,X168=VLOOKUP(X168,$AU$2:$AZ$10,5,FALSE),"")</f>
        <v/>
      </c>
      <c r="AP168" t="str">
        <f>IF($R168,Y168=VLOOKUP(Y168,$AU$2:$AZ$10,6,FALSE),"")</f>
        <v/>
      </c>
      <c r="AQ168" t="str">
        <f>IF($R168,Z168=VLOOKUP(Z168,$AU$2:$AZ$10,6,FALSE),"")</f>
        <v/>
      </c>
      <c r="AR168" t="str">
        <f t="shared" si="35"/>
        <v/>
      </c>
      <c r="AS168" t="str">
        <f t="shared" si="36"/>
        <v/>
      </c>
      <c r="AT168"/>
      <c r="AU168"/>
      <c r="AV168"/>
      <c r="AW168"/>
      <c r="AX168"/>
      <c r="AY168"/>
      <c r="AZ168"/>
      <c r="BA168"/>
      <c r="BB168"/>
      <c r="BD168" s="59" t="str">
        <f t="shared" si="37"/>
        <v/>
      </c>
      <c r="BE168" s="60"/>
      <c r="BF168" s="60"/>
      <c r="BG168" s="60"/>
      <c r="BH168" s="60"/>
      <c r="BI168" s="60"/>
      <c r="BJ168" s="60"/>
      <c r="BK168" s="61"/>
      <c r="BM168" s="54" t="str">
        <f>IF($R168,"&amp;AllGlyphs[" &amp; E168 &amp; "]","")</f>
        <v/>
      </c>
      <c r="BN168" s="54" t="str">
        <f>IF($R168,"&amp;AllGlyphs[" &amp; G168 &amp; "]","")</f>
        <v/>
      </c>
      <c r="BO168" s="54" t="str">
        <f>IF($R168,"&amp;AllGlyphs[" &amp; I168 &amp; "]","")</f>
        <v/>
      </c>
      <c r="BP168" s="54" t="str">
        <f>IF($R168,"&amp;AllGlyphs[" &amp; K168 &amp; "]","")</f>
        <v/>
      </c>
      <c r="BQ168" s="54" t="str">
        <f>IF($R168,"&amp;AllGlyphs[" &amp; M168 &amp; "]","")</f>
        <v/>
      </c>
      <c r="BR168" s="54" t="str">
        <f>IF($R168,"&amp;AllGlyphs[" &amp; O168 &amp; "]","")</f>
        <v/>
      </c>
      <c r="BT168" s="58" t="str">
        <f>IF($R168,IF(AB168,1,0),"")</f>
        <v/>
      </c>
      <c r="BU168" s="58" t="str">
        <f>IF($R168,IF(AC168,1,0),"")</f>
        <v/>
      </c>
      <c r="BV168" s="58" t="str">
        <f>IF($R168,IF(AD168,1,0),"")</f>
        <v/>
      </c>
      <c r="BW168" s="58" t="str">
        <f>IF($R168,IF(AE168,1,0),"")</f>
        <v/>
      </c>
      <c r="BX168" s="58" t="str">
        <f>IF($R168,IF(AR168,1,0),"")</f>
        <v/>
      </c>
      <c r="BY168" s="58" t="str">
        <f>IF($R168,IF(AS168,1,0),"")</f>
        <v/>
      </c>
    </row>
    <row r="169" spans="1:77" s="14" customFormat="1" x14ac:dyDescent="0.4">
      <c r="A169" s="7" t="s">
        <v>145</v>
      </c>
      <c r="B169" s="13" t="str">
        <f t="shared" si="28"/>
        <v>ì</v>
      </c>
      <c r="C169" s="48" t="str" cm="1">
        <f t="array" ref="C169">IF($R169,INDEX($S:$S,MATCH(TRUE,EXACT(B169,$A:$A),0)),"")</f>
        <v/>
      </c>
      <c r="D169" s="40"/>
      <c r="E169" s="48" t="str" cm="1">
        <f t="array" ref="E169">IF($R169,INDEX($S:$S,MATCH(TRUE,EXACT(D169,$A:$A),0)),"")</f>
        <v/>
      </c>
      <c r="F169" s="40" t="s">
        <v>148</v>
      </c>
      <c r="G169" s="48" t="str" cm="1">
        <f t="array" ref="G169">IF($S169&lt;&gt;"",INDEX($S:$S,MATCH(TRUE,EXACT(F169,$A:$A),0)),"")</f>
        <v/>
      </c>
      <c r="H169" s="40" t="s">
        <v>147</v>
      </c>
      <c r="I169" s="48" t="str" cm="1">
        <f t="array" ref="I169">IF($R169,INDEX($S:$S,MATCH(TRUE,EXACT(H169,$A:$A),0)),"")</f>
        <v/>
      </c>
      <c r="J169" s="40" t="s">
        <v>146</v>
      </c>
      <c r="K169" s="52" t="str" cm="1">
        <f t="array" ref="K169">IF($R169,INDEX($S:$S,MATCH(TRUE,EXACT(J169,$A:$A),0)),"")</f>
        <v/>
      </c>
      <c r="L169" s="38" t="str" cm="1">
        <f t="array" ref="L169">IF($R169,INDEX($T:$T,MATCH(TRUE,EXACT(H169,$D:$D),0)),"")</f>
        <v/>
      </c>
      <c r="M169" s="48" t="str" cm="1">
        <f t="array" ref="M169">IF($R169,INDEX($S:$S,MATCH(TRUE,EXACT(L169,$A:$A),0)),"")</f>
        <v/>
      </c>
      <c r="N169" s="38" t="str" cm="1">
        <f t="array" ref="N169">IF($R169,INDEX($T:$T,MATCH(TRUE,EXACT(J169,$D:$D),0)),"")</f>
        <v/>
      </c>
      <c r="O169" s="52" t="str" cm="1">
        <f t="array" ref="O169">IF($R169,INDEX($S:$S,MATCH(TRUE,EXACT(N169,$A:$A),0)),"")</f>
        <v/>
      </c>
      <c r="P169" s="47"/>
      <c r="Q169" s="35"/>
      <c r="R169" s="18" t="b">
        <f t="shared" si="29"/>
        <v>0</v>
      </c>
      <c r="S169" s="19" t="str">
        <f>IF(R169, MAX(S$2:S168)+1,"")</f>
        <v/>
      </c>
      <c r="T169" s="23" t="str">
        <f t="shared" si="30"/>
        <v>ì</v>
      </c>
      <c r="U169" s="8" t="str" cm="1">
        <f t="array" ref="U169">CharToUTF8(A169)</f>
        <v>\xC3\xAC</v>
      </c>
      <c r="V169" s="22"/>
      <c r="W169" s="30" t="str">
        <f>$AU$2</f>
        <v>EMPTY</v>
      </c>
      <c r="X169" s="31" t="str">
        <f>$AU$3</f>
        <v>DIAG_BOTH</v>
      </c>
      <c r="Y169" s="31">
        <v>9</v>
      </c>
      <c r="Z169" s="32" t="str">
        <f>$AU$3</f>
        <v>DIAG_BOTH</v>
      </c>
      <c r="AA169"/>
      <c r="AB169" s="31" t="str">
        <f t="shared" si="31"/>
        <v/>
      </c>
      <c r="AC169" s="31" t="str">
        <f t="shared" si="32"/>
        <v/>
      </c>
      <c r="AD169" t="str">
        <f t="shared" si="33"/>
        <v/>
      </c>
      <c r="AE169" t="str">
        <f t="shared" si="34"/>
        <v/>
      </c>
      <c r="AF169" t="str">
        <f>IF($R169,W169=VLOOKUP(Z169,$AU$2:$AZ$10,3,FALSE),"")</f>
        <v/>
      </c>
      <c r="AG169" t="str">
        <f>IF($R169,X169=VLOOKUP(Y169,$AU$2:$AZ$10,3,FALSE),"")</f>
        <v/>
      </c>
      <c r="AH169" t="str">
        <f>IF($R169,Y169=VLOOKUP(W169,$AU$2:$AZ$10,3,FALSE),"")</f>
        <v/>
      </c>
      <c r="AI169" t="str">
        <f>IF($R169,Z169=VLOOKUP(X169,$AU$2:$AZ$10,3,FALSE),"")</f>
        <v/>
      </c>
      <c r="AJ169" t="str">
        <f>IF($R169,W169=VLOOKUP(W169,$AU$2:$AZ$10,4,FALSE),"")</f>
        <v/>
      </c>
      <c r="AK169" t="str">
        <f>IF($R169,X169=VLOOKUP(X169,$AU$2:$AZ$10,4,FALSE),"")</f>
        <v/>
      </c>
      <c r="AL169" t="str">
        <f>IF($R169,Y169=VLOOKUP(Y169,$AU$2:$AZ$10,4,FALSE),"")</f>
        <v/>
      </c>
      <c r="AM169" t="str">
        <f>IF($R169,Z169=VLOOKUP(Z169,$AU$2:$AZ$10,4,FALSE),"")</f>
        <v/>
      </c>
      <c r="AN169" t="str">
        <f>IF($R169,W169=VLOOKUP(W169,$AU$2:$AZ$10,5,FALSE),"")</f>
        <v/>
      </c>
      <c r="AO169" t="str">
        <f>IF($R169,X169=VLOOKUP(X169,$AU$2:$AZ$10,5,FALSE),"")</f>
        <v/>
      </c>
      <c r="AP169" t="str">
        <f>IF($R169,Y169=VLOOKUP(Y169,$AU$2:$AZ$10,6,FALSE),"")</f>
        <v/>
      </c>
      <c r="AQ169" t="str">
        <f>IF($R169,Z169=VLOOKUP(Z169,$AU$2:$AZ$10,6,FALSE),"")</f>
        <v/>
      </c>
      <c r="AR169" t="str">
        <f t="shared" si="35"/>
        <v/>
      </c>
      <c r="AS169" t="str">
        <f t="shared" si="36"/>
        <v/>
      </c>
      <c r="AT169"/>
      <c r="AU169"/>
      <c r="AV169"/>
      <c r="AW169"/>
      <c r="AX169"/>
      <c r="AY169"/>
      <c r="AZ169"/>
      <c r="BA169"/>
      <c r="BB169"/>
      <c r="BD169" s="59" t="str">
        <f t="shared" si="37"/>
        <v/>
      </c>
      <c r="BE169" s="60"/>
      <c r="BF169" s="60"/>
      <c r="BG169" s="60"/>
      <c r="BH169" s="60"/>
      <c r="BI169" s="60"/>
      <c r="BJ169" s="60"/>
      <c r="BK169" s="61"/>
      <c r="BM169" s="54" t="str">
        <f>IF($R169,"&amp;AllGlyphs[" &amp; E169 &amp; "]","")</f>
        <v/>
      </c>
      <c r="BN169" s="54" t="str">
        <f>IF($R169,"&amp;AllGlyphs[" &amp; G169 &amp; "]","")</f>
        <v/>
      </c>
      <c r="BO169" s="54" t="str">
        <f>IF($R169,"&amp;AllGlyphs[" &amp; I169 &amp; "]","")</f>
        <v/>
      </c>
      <c r="BP169" s="54" t="str">
        <f>IF($R169,"&amp;AllGlyphs[" &amp; K169 &amp; "]","")</f>
        <v/>
      </c>
      <c r="BQ169" s="54" t="str">
        <f>IF($R169,"&amp;AllGlyphs[" &amp; M169 &amp; "]","")</f>
        <v/>
      </c>
      <c r="BR169" s="54" t="str">
        <f>IF($R169,"&amp;AllGlyphs[" &amp; O169 &amp; "]","")</f>
        <v/>
      </c>
      <c r="BT169" s="58" t="str">
        <f>IF($R169,IF(AB169,1,0),"")</f>
        <v/>
      </c>
      <c r="BU169" s="58" t="str">
        <f>IF($R169,IF(AC169,1,0),"")</f>
        <v/>
      </c>
      <c r="BV169" s="58" t="str">
        <f>IF($R169,IF(AD169,1,0),"")</f>
        <v/>
      </c>
      <c r="BW169" s="58" t="str">
        <f>IF($R169,IF(AE169,1,0),"")</f>
        <v/>
      </c>
      <c r="BX169" s="58" t="str">
        <f>IF($R169,IF(AR169,1,0),"")</f>
        <v/>
      </c>
      <c r="BY169" s="58" t="str">
        <f>IF($R169,IF(AS169,1,0),"")</f>
        <v/>
      </c>
    </row>
    <row r="170" spans="1:77" s="14" customFormat="1" x14ac:dyDescent="0.4">
      <c r="A170" s="7" t="s">
        <v>146</v>
      </c>
      <c r="B170" s="13" t="str">
        <f t="shared" si="28"/>
        <v>í</v>
      </c>
      <c r="C170" s="48" t="str" cm="1">
        <f t="array" ref="C170">IF($R170,INDEX($S:$S,MATCH(TRUE,EXACT(B170,$A:$A),0)),"")</f>
        <v/>
      </c>
      <c r="D170" s="40"/>
      <c r="E170" s="48" t="str" cm="1">
        <f t="array" ref="E170">IF($R170,INDEX($S:$S,MATCH(TRUE,EXACT(D170,$A:$A),0)),"")</f>
        <v/>
      </c>
      <c r="F170" s="40" t="s">
        <v>147</v>
      </c>
      <c r="G170" s="48" t="str" cm="1">
        <f t="array" ref="G170">IF($S170&lt;&gt;"",INDEX($S:$S,MATCH(TRUE,EXACT(F170,$A:$A),0)),"")</f>
        <v/>
      </c>
      <c r="H170" s="40" t="s">
        <v>148</v>
      </c>
      <c r="I170" s="48" t="str" cm="1">
        <f t="array" ref="I170">IF($R170,INDEX($S:$S,MATCH(TRUE,EXACT(H170,$A:$A),0)),"")</f>
        <v/>
      </c>
      <c r="J170" s="40" t="s">
        <v>145</v>
      </c>
      <c r="K170" s="52" t="str" cm="1">
        <f t="array" ref="K170">IF($R170,INDEX($S:$S,MATCH(TRUE,EXACT(J170,$A:$A),0)),"")</f>
        <v/>
      </c>
      <c r="L170" s="38" t="str" cm="1">
        <f t="array" ref="L170">IF($R170,INDEX($T:$T,MATCH(TRUE,EXACT(H170,$D:$D),0)),"")</f>
        <v/>
      </c>
      <c r="M170" s="48" t="str" cm="1">
        <f t="array" ref="M170">IF($R170,INDEX($S:$S,MATCH(TRUE,EXACT(L170,$A:$A),0)),"")</f>
        <v/>
      </c>
      <c r="N170" s="38" t="str" cm="1">
        <f t="array" ref="N170">IF($R170,INDEX($T:$T,MATCH(TRUE,EXACT(J170,$D:$D),0)),"")</f>
        <v/>
      </c>
      <c r="O170" s="52" t="str" cm="1">
        <f t="array" ref="O170">IF($R170,INDEX($S:$S,MATCH(TRUE,EXACT(N170,$A:$A),0)),"")</f>
        <v/>
      </c>
      <c r="P170" s="47"/>
      <c r="Q170" s="35"/>
      <c r="R170" s="18" t="b">
        <f t="shared" si="29"/>
        <v>0</v>
      </c>
      <c r="S170" s="19" t="str">
        <f>IF(R170, MAX(S$2:S169)+1,"")</f>
        <v/>
      </c>
      <c r="T170" s="23" t="str">
        <f t="shared" si="30"/>
        <v>í</v>
      </c>
      <c r="U170" s="8" t="str" cm="1">
        <f t="array" ref="U170">CharToUTF8(A170)</f>
        <v>\xC3\xAD</v>
      </c>
      <c r="V170" s="22"/>
      <c r="W170" s="30" t="str">
        <f>$AU$2</f>
        <v>EMPTY</v>
      </c>
      <c r="X170" s="31" t="str">
        <f>$AU$3</f>
        <v>DIAG_BOTH</v>
      </c>
      <c r="Y170" s="31" t="str">
        <f>$AU$3</f>
        <v>DIAG_BOTH</v>
      </c>
      <c r="Z170" s="32">
        <v>9</v>
      </c>
      <c r="AA170"/>
      <c r="AB170" s="31" t="str">
        <f t="shared" si="31"/>
        <v/>
      </c>
      <c r="AC170" s="31" t="str">
        <f t="shared" si="32"/>
        <v/>
      </c>
      <c r="AD170" t="str">
        <f t="shared" si="33"/>
        <v/>
      </c>
      <c r="AE170" t="str">
        <f t="shared" si="34"/>
        <v/>
      </c>
      <c r="AF170" t="str">
        <f>IF($R170,W170=VLOOKUP(Z170,$AU$2:$AZ$10,3,FALSE),"")</f>
        <v/>
      </c>
      <c r="AG170" t="str">
        <f>IF($R170,X170=VLOOKUP(Y170,$AU$2:$AZ$10,3,FALSE),"")</f>
        <v/>
      </c>
      <c r="AH170" t="str">
        <f>IF($R170,Y170=VLOOKUP(W170,$AU$2:$AZ$10,3,FALSE),"")</f>
        <v/>
      </c>
      <c r="AI170" t="str">
        <f>IF($R170,Z170=VLOOKUP(X170,$AU$2:$AZ$10,3,FALSE),"")</f>
        <v/>
      </c>
      <c r="AJ170" t="str">
        <f>IF($R170,W170=VLOOKUP(W170,$AU$2:$AZ$10,4,FALSE),"")</f>
        <v/>
      </c>
      <c r="AK170" t="str">
        <f>IF($R170,X170=VLOOKUP(X170,$AU$2:$AZ$10,4,FALSE),"")</f>
        <v/>
      </c>
      <c r="AL170" t="str">
        <f>IF($R170,Y170=VLOOKUP(Y170,$AU$2:$AZ$10,4,FALSE),"")</f>
        <v/>
      </c>
      <c r="AM170" t="str">
        <f>IF($R170,Z170=VLOOKUP(Z170,$AU$2:$AZ$10,4,FALSE),"")</f>
        <v/>
      </c>
      <c r="AN170" t="str">
        <f>IF($R170,W170=VLOOKUP(W170,$AU$2:$AZ$10,5,FALSE),"")</f>
        <v/>
      </c>
      <c r="AO170" t="str">
        <f>IF($R170,X170=VLOOKUP(X170,$AU$2:$AZ$10,5,FALSE),"")</f>
        <v/>
      </c>
      <c r="AP170" t="str">
        <f>IF($R170,Y170=VLOOKUP(Y170,$AU$2:$AZ$10,6,FALSE),"")</f>
        <v/>
      </c>
      <c r="AQ170" t="str">
        <f>IF($R170,Z170=VLOOKUP(Z170,$AU$2:$AZ$10,6,FALSE),"")</f>
        <v/>
      </c>
      <c r="AR170" t="str">
        <f t="shared" si="35"/>
        <v/>
      </c>
      <c r="AS170" t="str">
        <f t="shared" si="36"/>
        <v/>
      </c>
      <c r="AT170"/>
      <c r="AU170"/>
      <c r="AV170"/>
      <c r="AW170"/>
      <c r="AX170"/>
      <c r="AY170"/>
      <c r="AZ170"/>
      <c r="BA170"/>
      <c r="BB170"/>
      <c r="BD170" s="59" t="str">
        <f t="shared" si="37"/>
        <v/>
      </c>
      <c r="BE170" s="60"/>
      <c r="BF170" s="60"/>
      <c r="BG170" s="60"/>
      <c r="BH170" s="60"/>
      <c r="BI170" s="60"/>
      <c r="BJ170" s="60"/>
      <c r="BK170" s="61"/>
      <c r="BM170" s="54" t="str">
        <f>IF($R170,"&amp;AllGlyphs[" &amp; E170 &amp; "]","")</f>
        <v/>
      </c>
      <c r="BN170" s="54" t="str">
        <f>IF($R170,"&amp;AllGlyphs[" &amp; G170 &amp; "]","")</f>
        <v/>
      </c>
      <c r="BO170" s="54" t="str">
        <f>IF($R170,"&amp;AllGlyphs[" &amp; I170 &amp; "]","")</f>
        <v/>
      </c>
      <c r="BP170" s="54" t="str">
        <f>IF($R170,"&amp;AllGlyphs[" &amp; K170 &amp; "]","")</f>
        <v/>
      </c>
      <c r="BQ170" s="54" t="str">
        <f>IF($R170,"&amp;AllGlyphs[" &amp; M170 &amp; "]","")</f>
        <v/>
      </c>
      <c r="BR170" s="54" t="str">
        <f>IF($R170,"&amp;AllGlyphs[" &amp; O170 &amp; "]","")</f>
        <v/>
      </c>
      <c r="BT170" s="58" t="str">
        <f>IF($R170,IF(AB170,1,0),"")</f>
        <v/>
      </c>
      <c r="BU170" s="58" t="str">
        <f>IF($R170,IF(AC170,1,0),"")</f>
        <v/>
      </c>
      <c r="BV170" s="58" t="str">
        <f>IF($R170,IF(AD170,1,0),"")</f>
        <v/>
      </c>
      <c r="BW170" s="58" t="str">
        <f>IF($R170,IF(AE170,1,0),"")</f>
        <v/>
      </c>
      <c r="BX170" s="58" t="str">
        <f>IF($R170,IF(AR170,1,0),"")</f>
        <v/>
      </c>
      <c r="BY170" s="58" t="str">
        <f>IF($R170,IF(AS170,1,0),"")</f>
        <v/>
      </c>
    </row>
    <row r="171" spans="1:77" s="14" customFormat="1" x14ac:dyDescent="0.4">
      <c r="A171" s="7" t="s">
        <v>147</v>
      </c>
      <c r="B171" s="13" t="str">
        <f t="shared" si="28"/>
        <v>î</v>
      </c>
      <c r="C171" s="48" t="str" cm="1">
        <f t="array" ref="C171">IF($R171,INDEX($S:$S,MATCH(TRUE,EXACT(B171,$A:$A),0)),"")</f>
        <v/>
      </c>
      <c r="D171" s="40"/>
      <c r="E171" s="48" t="str" cm="1">
        <f t="array" ref="E171">IF($R171,INDEX($S:$S,MATCH(TRUE,EXACT(D171,$A:$A),0)),"")</f>
        <v/>
      </c>
      <c r="F171" s="40" t="s">
        <v>146</v>
      </c>
      <c r="G171" s="48" t="str" cm="1">
        <f t="array" ref="G171">IF($S171&lt;&gt;"",INDEX($S:$S,MATCH(TRUE,EXACT(F171,$A:$A),0)),"")</f>
        <v/>
      </c>
      <c r="H171" s="40" t="s">
        <v>145</v>
      </c>
      <c r="I171" s="48" t="str" cm="1">
        <f t="array" ref="I171">IF($R171,INDEX($S:$S,MATCH(TRUE,EXACT(H171,$A:$A),0)),"")</f>
        <v/>
      </c>
      <c r="J171" s="40" t="s">
        <v>148</v>
      </c>
      <c r="K171" s="52" t="str" cm="1">
        <f t="array" ref="K171">IF($R171,INDEX($S:$S,MATCH(TRUE,EXACT(J171,$A:$A),0)),"")</f>
        <v/>
      </c>
      <c r="L171" s="38" t="str" cm="1">
        <f t="array" ref="L171">IF($R171,INDEX($T:$T,MATCH(TRUE,EXACT(H171,$D:$D),0)),"")</f>
        <v/>
      </c>
      <c r="M171" s="48" t="str" cm="1">
        <f t="array" ref="M171">IF($R171,INDEX($S:$S,MATCH(TRUE,EXACT(L171,$A:$A),0)),"")</f>
        <v/>
      </c>
      <c r="N171" s="38" t="str" cm="1">
        <f t="array" ref="N171">IF($R171,INDEX($T:$T,MATCH(TRUE,EXACT(J171,$D:$D),0)),"")</f>
        <v/>
      </c>
      <c r="O171" s="52" t="str" cm="1">
        <f t="array" ref="O171">IF($R171,INDEX($S:$S,MATCH(TRUE,EXACT(N171,$A:$A),0)),"")</f>
        <v/>
      </c>
      <c r="P171" s="47"/>
      <c r="Q171" s="35"/>
      <c r="R171" s="18" t="b">
        <f t="shared" si="29"/>
        <v>0</v>
      </c>
      <c r="S171" s="19" t="str">
        <f>IF(R171, MAX(S$2:S170)+1,"")</f>
        <v/>
      </c>
      <c r="T171" s="23" t="str">
        <f t="shared" si="30"/>
        <v>î</v>
      </c>
      <c r="U171" s="8" t="str" cm="1">
        <f t="array" ref="U171">CharToUTF8(A171)</f>
        <v>\xC3\xAE</v>
      </c>
      <c r="V171" s="22"/>
      <c r="W171" s="30" t="str">
        <f>$AU$3</f>
        <v>DIAG_BOTH</v>
      </c>
      <c r="X171" s="31" t="str">
        <f>$AU$2</f>
        <v>EMPTY</v>
      </c>
      <c r="Y171" s="31">
        <v>9</v>
      </c>
      <c r="Z171" s="32" t="str">
        <f>$AU$3</f>
        <v>DIAG_BOTH</v>
      </c>
      <c r="AA171"/>
      <c r="AB171" s="31" t="str">
        <f t="shared" si="31"/>
        <v/>
      </c>
      <c r="AC171" s="31" t="str">
        <f t="shared" si="32"/>
        <v/>
      </c>
      <c r="AD171" t="str">
        <f t="shared" si="33"/>
        <v/>
      </c>
      <c r="AE171" t="str">
        <f t="shared" si="34"/>
        <v/>
      </c>
      <c r="AF171" t="str">
        <f>IF($R171,W171=VLOOKUP(Z171,$AU$2:$AZ$10,3,FALSE),"")</f>
        <v/>
      </c>
      <c r="AG171" t="str">
        <f>IF($R171,X171=VLOOKUP(Y171,$AU$2:$AZ$10,3,FALSE),"")</f>
        <v/>
      </c>
      <c r="AH171" t="str">
        <f>IF($R171,Y171=VLOOKUP(W171,$AU$2:$AZ$10,3,FALSE),"")</f>
        <v/>
      </c>
      <c r="AI171" t="str">
        <f>IF($R171,Z171=VLOOKUP(X171,$AU$2:$AZ$10,3,FALSE),"")</f>
        <v/>
      </c>
      <c r="AJ171" t="str">
        <f>IF($R171,W171=VLOOKUP(W171,$AU$2:$AZ$10,4,FALSE),"")</f>
        <v/>
      </c>
      <c r="AK171" t="str">
        <f>IF($R171,X171=VLOOKUP(X171,$AU$2:$AZ$10,4,FALSE),"")</f>
        <v/>
      </c>
      <c r="AL171" t="str">
        <f>IF($R171,Y171=VLOOKUP(Y171,$AU$2:$AZ$10,4,FALSE),"")</f>
        <v/>
      </c>
      <c r="AM171" t="str">
        <f>IF($R171,Z171=VLOOKUP(Z171,$AU$2:$AZ$10,4,FALSE),"")</f>
        <v/>
      </c>
      <c r="AN171" t="str">
        <f>IF($R171,W171=VLOOKUP(W171,$AU$2:$AZ$10,5,FALSE),"")</f>
        <v/>
      </c>
      <c r="AO171" t="str">
        <f>IF($R171,X171=VLOOKUP(X171,$AU$2:$AZ$10,5,FALSE),"")</f>
        <v/>
      </c>
      <c r="AP171" t="str">
        <f>IF($R171,Y171=VLOOKUP(Y171,$AU$2:$AZ$10,6,FALSE),"")</f>
        <v/>
      </c>
      <c r="AQ171" t="str">
        <f>IF($R171,Z171=VLOOKUP(Z171,$AU$2:$AZ$10,6,FALSE),"")</f>
        <v/>
      </c>
      <c r="AR171" t="str">
        <f t="shared" si="35"/>
        <v/>
      </c>
      <c r="AS171" t="str">
        <f t="shared" si="36"/>
        <v/>
      </c>
      <c r="AT171"/>
      <c r="AU171"/>
      <c r="AV171"/>
      <c r="AW171"/>
      <c r="AX171"/>
      <c r="AY171"/>
      <c r="AZ171"/>
      <c r="BA171"/>
      <c r="BB171"/>
      <c r="BD171" s="59" t="str">
        <f t="shared" si="37"/>
        <v/>
      </c>
      <c r="BE171" s="60"/>
      <c r="BF171" s="60"/>
      <c r="BG171" s="60"/>
      <c r="BH171" s="60"/>
      <c r="BI171" s="60"/>
      <c r="BJ171" s="60"/>
      <c r="BK171" s="61"/>
      <c r="BM171" s="54" t="str">
        <f>IF($R171,"&amp;AllGlyphs[" &amp; E171 &amp; "]","")</f>
        <v/>
      </c>
      <c r="BN171" s="54" t="str">
        <f>IF($R171,"&amp;AllGlyphs[" &amp; G171 &amp; "]","")</f>
        <v/>
      </c>
      <c r="BO171" s="54" t="str">
        <f>IF($R171,"&amp;AllGlyphs[" &amp; I171 &amp; "]","")</f>
        <v/>
      </c>
      <c r="BP171" s="54" t="str">
        <f>IF($R171,"&amp;AllGlyphs[" &amp; K171 &amp; "]","")</f>
        <v/>
      </c>
      <c r="BQ171" s="54" t="str">
        <f>IF($R171,"&amp;AllGlyphs[" &amp; M171 &amp; "]","")</f>
        <v/>
      </c>
      <c r="BR171" s="54" t="str">
        <f>IF($R171,"&amp;AllGlyphs[" &amp; O171 &amp; "]","")</f>
        <v/>
      </c>
      <c r="BT171" s="58" t="str">
        <f>IF($R171,IF(AB171,1,0),"")</f>
        <v/>
      </c>
      <c r="BU171" s="58" t="str">
        <f>IF($R171,IF(AC171,1,0),"")</f>
        <v/>
      </c>
      <c r="BV171" s="58" t="str">
        <f>IF($R171,IF(AD171,1,0),"")</f>
        <v/>
      </c>
      <c r="BW171" s="58" t="str">
        <f>IF($R171,IF(AE171,1,0),"")</f>
        <v/>
      </c>
      <c r="BX171" s="58" t="str">
        <f>IF($R171,IF(AR171,1,0),"")</f>
        <v/>
      </c>
      <c r="BY171" s="58" t="str">
        <f>IF($R171,IF(AS171,1,0),"")</f>
        <v/>
      </c>
    </row>
    <row r="172" spans="1:77" s="14" customFormat="1" x14ac:dyDescent="0.4">
      <c r="A172" s="7" t="s">
        <v>148</v>
      </c>
      <c r="B172" s="13" t="str">
        <f t="shared" si="28"/>
        <v>ï</v>
      </c>
      <c r="C172" s="48" t="str" cm="1">
        <f t="array" ref="C172">IF($R172,INDEX($S:$S,MATCH(TRUE,EXACT(B172,$A:$A),0)),"")</f>
        <v/>
      </c>
      <c r="D172" s="40"/>
      <c r="E172" s="48" t="str" cm="1">
        <f t="array" ref="E172">IF($R172,INDEX($S:$S,MATCH(TRUE,EXACT(D172,$A:$A),0)),"")</f>
        <v/>
      </c>
      <c r="F172" s="40" t="s">
        <v>145</v>
      </c>
      <c r="G172" s="48" t="str" cm="1">
        <f t="array" ref="G172">IF($S172&lt;&gt;"",INDEX($S:$S,MATCH(TRUE,EXACT(F172,$A:$A),0)),"")</f>
        <v/>
      </c>
      <c r="H172" s="40" t="s">
        <v>146</v>
      </c>
      <c r="I172" s="48" t="str" cm="1">
        <f t="array" ref="I172">IF($R172,INDEX($S:$S,MATCH(TRUE,EXACT(H172,$A:$A),0)),"")</f>
        <v/>
      </c>
      <c r="J172" s="40" t="s">
        <v>147</v>
      </c>
      <c r="K172" s="52" t="str" cm="1">
        <f t="array" ref="K172">IF($R172,INDEX($S:$S,MATCH(TRUE,EXACT(J172,$A:$A),0)),"")</f>
        <v/>
      </c>
      <c r="L172" s="38" t="str" cm="1">
        <f t="array" ref="L172">IF($R172,INDEX($T:$T,MATCH(TRUE,EXACT(H172,$D:$D),0)),"")</f>
        <v/>
      </c>
      <c r="M172" s="48" t="str" cm="1">
        <f t="array" ref="M172">IF($R172,INDEX($S:$S,MATCH(TRUE,EXACT(L172,$A:$A),0)),"")</f>
        <v/>
      </c>
      <c r="N172" s="38" t="str" cm="1">
        <f t="array" ref="N172">IF($R172,INDEX($T:$T,MATCH(TRUE,EXACT(J172,$D:$D),0)),"")</f>
        <v/>
      </c>
      <c r="O172" s="52" t="str" cm="1">
        <f t="array" ref="O172">IF($R172,INDEX($S:$S,MATCH(TRUE,EXACT(N172,$A:$A),0)),"")</f>
        <v/>
      </c>
      <c r="P172" s="47"/>
      <c r="Q172" s="35"/>
      <c r="R172" s="18" t="b">
        <f t="shared" si="29"/>
        <v>0</v>
      </c>
      <c r="S172" s="19" t="str">
        <f>IF(R172, MAX(S$2:S171)+1,"")</f>
        <v/>
      </c>
      <c r="T172" s="23" t="str">
        <f t="shared" si="30"/>
        <v>ï</v>
      </c>
      <c r="U172" s="8" t="str" cm="1">
        <f t="array" ref="U172">CharToUTF8(A172)</f>
        <v>\xC3\xAF</v>
      </c>
      <c r="V172" s="22"/>
      <c r="W172" s="30" t="str">
        <f>$AU$3</f>
        <v>DIAG_BOTH</v>
      </c>
      <c r="X172" s="31" t="str">
        <f>$AU$2</f>
        <v>EMPTY</v>
      </c>
      <c r="Y172" s="31" t="str">
        <f>$AU$3</f>
        <v>DIAG_BOTH</v>
      </c>
      <c r="Z172" s="32">
        <v>9</v>
      </c>
      <c r="AA172"/>
      <c r="AB172" s="31" t="str">
        <f t="shared" si="31"/>
        <v/>
      </c>
      <c r="AC172" s="31" t="str">
        <f t="shared" si="32"/>
        <v/>
      </c>
      <c r="AD172" t="str">
        <f t="shared" si="33"/>
        <v/>
      </c>
      <c r="AE172" t="str">
        <f t="shared" si="34"/>
        <v/>
      </c>
      <c r="AF172" t="str">
        <f>IF($R172,W172=VLOOKUP(Z172,$AU$2:$AZ$10,3,FALSE),"")</f>
        <v/>
      </c>
      <c r="AG172" t="str">
        <f>IF($R172,X172=VLOOKUP(Y172,$AU$2:$AZ$10,3,FALSE),"")</f>
        <v/>
      </c>
      <c r="AH172" t="str">
        <f>IF($R172,Y172=VLOOKUP(W172,$AU$2:$AZ$10,3,FALSE),"")</f>
        <v/>
      </c>
      <c r="AI172" t="str">
        <f>IF($R172,Z172=VLOOKUP(X172,$AU$2:$AZ$10,3,FALSE),"")</f>
        <v/>
      </c>
      <c r="AJ172" t="str">
        <f>IF($R172,W172=VLOOKUP(W172,$AU$2:$AZ$10,4,FALSE),"")</f>
        <v/>
      </c>
      <c r="AK172" t="str">
        <f>IF($R172,X172=VLOOKUP(X172,$AU$2:$AZ$10,4,FALSE),"")</f>
        <v/>
      </c>
      <c r="AL172" t="str">
        <f>IF($R172,Y172=VLOOKUP(Y172,$AU$2:$AZ$10,4,FALSE),"")</f>
        <v/>
      </c>
      <c r="AM172" t="str">
        <f>IF($R172,Z172=VLOOKUP(Z172,$AU$2:$AZ$10,4,FALSE),"")</f>
        <v/>
      </c>
      <c r="AN172" t="str">
        <f>IF($R172,W172=VLOOKUP(W172,$AU$2:$AZ$10,5,FALSE),"")</f>
        <v/>
      </c>
      <c r="AO172" t="str">
        <f>IF($R172,X172=VLOOKUP(X172,$AU$2:$AZ$10,5,FALSE),"")</f>
        <v/>
      </c>
      <c r="AP172" t="str">
        <f>IF($R172,Y172=VLOOKUP(Y172,$AU$2:$AZ$10,6,FALSE),"")</f>
        <v/>
      </c>
      <c r="AQ172" t="str">
        <f>IF($R172,Z172=VLOOKUP(Z172,$AU$2:$AZ$10,6,FALSE),"")</f>
        <v/>
      </c>
      <c r="AR172" t="str">
        <f t="shared" si="35"/>
        <v/>
      </c>
      <c r="AS172" t="str">
        <f t="shared" si="36"/>
        <v/>
      </c>
      <c r="AT172"/>
      <c r="AU172"/>
      <c r="AV172"/>
      <c r="AW172"/>
      <c r="AX172"/>
      <c r="AY172"/>
      <c r="AZ172"/>
      <c r="BA172"/>
      <c r="BB172"/>
      <c r="BD172" s="59" t="str">
        <f t="shared" si="37"/>
        <v/>
      </c>
      <c r="BE172" s="60"/>
      <c r="BF172" s="60"/>
      <c r="BG172" s="60"/>
      <c r="BH172" s="60"/>
      <c r="BI172" s="60"/>
      <c r="BJ172" s="60"/>
      <c r="BK172" s="61"/>
      <c r="BM172" s="54" t="str">
        <f>IF($R172,"&amp;AllGlyphs[" &amp; E172 &amp; "]","")</f>
        <v/>
      </c>
      <c r="BN172" s="54" t="str">
        <f>IF($R172,"&amp;AllGlyphs[" &amp; G172 &amp; "]","")</f>
        <v/>
      </c>
      <c r="BO172" s="54" t="str">
        <f>IF($R172,"&amp;AllGlyphs[" &amp; I172 &amp; "]","")</f>
        <v/>
      </c>
      <c r="BP172" s="54" t="str">
        <f>IF($R172,"&amp;AllGlyphs[" &amp; K172 &amp; "]","")</f>
        <v/>
      </c>
      <c r="BQ172" s="54" t="str">
        <f>IF($R172,"&amp;AllGlyphs[" &amp; M172 &amp; "]","")</f>
        <v/>
      </c>
      <c r="BR172" s="54" t="str">
        <f>IF($R172,"&amp;AllGlyphs[" &amp; O172 &amp; "]","")</f>
        <v/>
      </c>
      <c r="BT172" s="58" t="str">
        <f>IF($R172,IF(AB172,1,0),"")</f>
        <v/>
      </c>
      <c r="BU172" s="58" t="str">
        <f>IF($R172,IF(AC172,1,0),"")</f>
        <v/>
      </c>
      <c r="BV172" s="58" t="str">
        <f>IF($R172,IF(AD172,1,0),"")</f>
        <v/>
      </c>
      <c r="BW172" s="58" t="str">
        <f>IF($R172,IF(AE172,1,0),"")</f>
        <v/>
      </c>
      <c r="BX172" s="58" t="str">
        <f>IF($R172,IF(AR172,1,0),"")</f>
        <v/>
      </c>
      <c r="BY172" s="58" t="str">
        <f>IF($R172,IF(AS172,1,0),"")</f>
        <v/>
      </c>
    </row>
    <row r="173" spans="1:77" x14ac:dyDescent="0.4">
      <c r="A173" s="7" t="s">
        <v>149</v>
      </c>
      <c r="B173" s="13" t="str">
        <f t="shared" si="28"/>
        <v>ð</v>
      </c>
      <c r="C173" s="48" cm="1">
        <f t="array" ref="C173">IF($R173,INDEX($S:$S,MATCH(TRUE,EXACT(B173,$A:$A),0)),"")</f>
        <v>160</v>
      </c>
      <c r="D173" s="40" t="s">
        <v>152</v>
      </c>
      <c r="E173" s="48" cm="1">
        <f t="array" ref="E173">IF($R173,INDEX($S:$S,MATCH(TRUE,EXACT(D173,$A:$A),0)),"")</f>
        <v>163</v>
      </c>
      <c r="F173" s="40" t="s">
        <v>150</v>
      </c>
      <c r="G173" s="48" cm="1">
        <f t="array" ref="G173">IF($S173&lt;&gt;"",INDEX($S:$S,MATCH(TRUE,EXACT(F173,$A:$A),0)),"")</f>
        <v>161</v>
      </c>
      <c r="H173" s="40" t="s">
        <v>150</v>
      </c>
      <c r="I173" s="48" cm="1">
        <f t="array" ref="I173">IF($R173,INDEX($S:$S,MATCH(TRUE,EXACT(H173,$A:$A),0)),"")</f>
        <v>161</v>
      </c>
      <c r="J173" s="40" t="s">
        <v>149</v>
      </c>
      <c r="K173" s="52" cm="1">
        <f t="array" ref="K173">IF($R173,INDEX($S:$S,MATCH(TRUE,EXACT(J173,$A:$A),0)),"")</f>
        <v>160</v>
      </c>
      <c r="L173" s="38" t="str" cm="1">
        <f t="array" ref="L173">IF($R173,INDEX($T:$T,MATCH(TRUE,EXACT(H173,$D:$D),0)),"")</f>
        <v>ó</v>
      </c>
      <c r="M173" s="48" cm="1">
        <f t="array" ref="M173">IF($R173,INDEX($S:$S,MATCH(TRUE,EXACT(L173,$A:$A),0)),"")</f>
        <v>163</v>
      </c>
      <c r="N173" s="38" t="str" cm="1">
        <f t="array" ref="N173">IF($R173,INDEX($T:$T,MATCH(TRUE,EXACT(J173,$D:$D),0)),"")</f>
        <v>ò</v>
      </c>
      <c r="O173" s="52" cm="1">
        <f t="array" ref="O173">IF($R173,INDEX($S:$S,MATCH(TRUE,EXACT(N173,$A:$A),0)),"")</f>
        <v>162</v>
      </c>
      <c r="P173" s="47"/>
      <c r="Q173" s="35"/>
      <c r="R173" s="18" t="b">
        <f t="shared" si="29"/>
        <v>1</v>
      </c>
      <c r="S173" s="19">
        <f>IF(R173, MAX(S$2:S172)+1,"")</f>
        <v>160</v>
      </c>
      <c r="T173" s="23" t="str">
        <f t="shared" si="30"/>
        <v>ð</v>
      </c>
      <c r="U173" s="8" t="str" cm="1">
        <f t="array" ref="U173">CharToUTF8(A173)</f>
        <v>\xC3\xB0</v>
      </c>
      <c r="W173" s="18" t="str">
        <f>$AU$2</f>
        <v>EMPTY</v>
      </c>
      <c r="X173" s="24" t="str">
        <f>$AU$2</f>
        <v>EMPTY</v>
      </c>
      <c r="Y173" s="24" t="str">
        <f>$AU$5</f>
        <v>DIAG_FRONT</v>
      </c>
      <c r="Z173" s="21" t="str">
        <f>$AU$6</f>
        <v>DIAG_BACK</v>
      </c>
      <c r="AB173" s="31" t="b">
        <f t="shared" si="31"/>
        <v>0</v>
      </c>
      <c r="AC173" s="31" t="b">
        <f t="shared" si="32"/>
        <v>0</v>
      </c>
      <c r="AD173" t="b">
        <f t="shared" si="33"/>
        <v>0</v>
      </c>
      <c r="AE173" t="b">
        <f t="shared" si="34"/>
        <v>1</v>
      </c>
      <c r="AF173" t="b">
        <f>IF($R173,W173=VLOOKUP(Z173,$AU$2:$AZ$10,3,FALSE),"")</f>
        <v>0</v>
      </c>
      <c r="AG173" t="b">
        <f>IF($R173,X173=VLOOKUP(Y173,$AU$2:$AZ$10,3,FALSE),"")</f>
        <v>0</v>
      </c>
      <c r="AH173" t="b">
        <f>IF($R173,Y173=VLOOKUP(W173,$AU$2:$AZ$10,3,FALSE),"")</f>
        <v>0</v>
      </c>
      <c r="AI173" t="b">
        <f>IF($R173,Z173=VLOOKUP(X173,$AU$2:$AZ$10,3,FALSE),"")</f>
        <v>0</v>
      </c>
      <c r="AJ173" t="b">
        <f>IF($R173,W173=VLOOKUP(W173,$AU$2:$AZ$10,4,FALSE),"")</f>
        <v>1</v>
      </c>
      <c r="AK173" t="b">
        <f>IF($R173,X173=VLOOKUP(X173,$AU$2:$AZ$10,4,FALSE),"")</f>
        <v>1</v>
      </c>
      <c r="AL173" t="b">
        <f>IF($R173,Y173=VLOOKUP(Y173,$AU$2:$AZ$10,4,FALSE),"")</f>
        <v>1</v>
      </c>
      <c r="AM173" t="b">
        <f>IF($R173,Z173=VLOOKUP(Z173,$AU$2:$AZ$10,4,FALSE),"")</f>
        <v>1</v>
      </c>
      <c r="AN173" t="b">
        <f>IF($R173,W173=VLOOKUP(W173,$AU$2:$AZ$10,5,FALSE),"")</f>
        <v>1</v>
      </c>
      <c r="AO173" t="b">
        <f>IF($R173,X173=VLOOKUP(X173,$AU$2:$AZ$10,5,FALSE),"")</f>
        <v>1</v>
      </c>
      <c r="AP173" t="b">
        <f>IF($R173,Y173=VLOOKUP(Y173,$AU$2:$AZ$10,6,FALSE),"")</f>
        <v>0</v>
      </c>
      <c r="AQ173" t="b">
        <f>IF($R173,Z173=VLOOKUP(Z173,$AU$2:$AZ$10,6,FALSE),"")</f>
        <v>0</v>
      </c>
      <c r="AR173" t="b">
        <f t="shared" si="35"/>
        <v>0</v>
      </c>
      <c r="AS173" t="b">
        <f t="shared" si="36"/>
        <v>0</v>
      </c>
      <c r="BD173" s="59" t="str">
        <f t="shared" si="37"/>
        <v xml:space="preserve">    { wxString::FromUTF8("\xC3\xB0"), &amp;AllGlyphs[163], &amp;AllGlyphs[161], &amp;AllGlyphs[161], &amp;AllGlyphs[160], &amp;AllGlyphs[163], &amp;AllGlyphs[162], Connection::EMPTY, Connection::EMPTY, Connection::DIAG_FRONT, Connection::DIAG_BACK, 0, 0, 0, 1, 0, 0 },</v>
      </c>
      <c r="BE173" s="60"/>
      <c r="BF173" s="60"/>
      <c r="BG173" s="60"/>
      <c r="BH173" s="60"/>
      <c r="BI173" s="60"/>
      <c r="BJ173" s="60"/>
      <c r="BK173" s="61"/>
      <c r="BM173" s="54" t="str">
        <f>IF($R173,"&amp;AllGlyphs[" &amp; E173 &amp; "]","")</f>
        <v>&amp;AllGlyphs[163]</v>
      </c>
      <c r="BN173" s="54" t="str">
        <f>IF($R173,"&amp;AllGlyphs[" &amp; G173 &amp; "]","")</f>
        <v>&amp;AllGlyphs[161]</v>
      </c>
      <c r="BO173" s="54" t="str">
        <f>IF($R173,"&amp;AllGlyphs[" &amp; I173 &amp; "]","")</f>
        <v>&amp;AllGlyphs[161]</v>
      </c>
      <c r="BP173" s="54" t="str">
        <f>IF($R173,"&amp;AllGlyphs[" &amp; K173 &amp; "]","")</f>
        <v>&amp;AllGlyphs[160]</v>
      </c>
      <c r="BQ173" s="54" t="str">
        <f>IF($R173,"&amp;AllGlyphs[" &amp; M173 &amp; "]","")</f>
        <v>&amp;AllGlyphs[163]</v>
      </c>
      <c r="BR173" s="54" t="str">
        <f>IF($R173,"&amp;AllGlyphs[" &amp; O173 &amp; "]","")</f>
        <v>&amp;AllGlyphs[162]</v>
      </c>
      <c r="BT173" s="58">
        <f>IF($R173,IF(AB173,1,0),"")</f>
        <v>0</v>
      </c>
      <c r="BU173" s="58">
        <f>IF($R173,IF(AC173,1,0),"")</f>
        <v>0</v>
      </c>
      <c r="BV173" s="58">
        <f>IF($R173,IF(AD173,1,0),"")</f>
        <v>0</v>
      </c>
      <c r="BW173" s="58">
        <f>IF($R173,IF(AE173,1,0),"")</f>
        <v>1</v>
      </c>
      <c r="BX173" s="58">
        <f>IF($R173,IF(AR173,1,0),"")</f>
        <v>0</v>
      </c>
      <c r="BY173" s="58">
        <f>IF($R173,IF(AS173,1,0),"")</f>
        <v>0</v>
      </c>
    </row>
    <row r="174" spans="1:77" x14ac:dyDescent="0.4">
      <c r="A174" s="7" t="s">
        <v>150</v>
      </c>
      <c r="B174" s="6" t="str">
        <f t="shared" si="28"/>
        <v>ñ</v>
      </c>
      <c r="C174" s="48" cm="1">
        <f t="array" ref="C174">IF($R174,INDEX($S:$S,MATCH(TRUE,EXACT(B174,$A:$A),0)),"")</f>
        <v>161</v>
      </c>
      <c r="D174" s="38" t="s">
        <v>151</v>
      </c>
      <c r="E174" s="48" cm="1">
        <f t="array" ref="E174">IF($R174,INDEX($S:$S,MATCH(TRUE,EXACT(D174,$A:$A),0)),"")</f>
        <v>162</v>
      </c>
      <c r="F174" s="38" t="s">
        <v>149</v>
      </c>
      <c r="G174" s="48" cm="1">
        <f t="array" ref="G174">IF($S174&lt;&gt;"",INDEX($S:$S,MATCH(TRUE,EXACT(F174,$A:$A),0)),"")</f>
        <v>160</v>
      </c>
      <c r="H174" s="38" t="s">
        <v>149</v>
      </c>
      <c r="I174" s="48" cm="1">
        <f t="array" ref="I174">IF($R174,INDEX($S:$S,MATCH(TRUE,EXACT(H174,$A:$A),0)),"")</f>
        <v>160</v>
      </c>
      <c r="J174" s="38" t="s">
        <v>150</v>
      </c>
      <c r="K174" s="52" cm="1">
        <f t="array" ref="K174">IF($R174,INDEX($S:$S,MATCH(TRUE,EXACT(J174,$A:$A),0)),"")</f>
        <v>161</v>
      </c>
      <c r="L174" s="38" t="str" cm="1">
        <f t="array" ref="L174">IF($R174,INDEX($T:$T,MATCH(TRUE,EXACT(H174,$D:$D),0)),"")</f>
        <v>ò</v>
      </c>
      <c r="M174" s="48" cm="1">
        <f t="array" ref="M174">IF($R174,INDEX($S:$S,MATCH(TRUE,EXACT(L174,$A:$A),0)),"")</f>
        <v>162</v>
      </c>
      <c r="N174" s="38" t="str" cm="1">
        <f t="array" ref="N174">IF($R174,INDEX($T:$T,MATCH(TRUE,EXACT(J174,$D:$D),0)),"")</f>
        <v>ó</v>
      </c>
      <c r="O174" s="52" cm="1">
        <f t="array" ref="O174">IF($R174,INDEX($S:$S,MATCH(TRUE,EXACT(N174,$A:$A),0)),"")</f>
        <v>163</v>
      </c>
      <c r="P174" s="23"/>
      <c r="Q174" s="33"/>
      <c r="R174" s="18" t="b">
        <f t="shared" si="29"/>
        <v>1</v>
      </c>
      <c r="S174" s="19">
        <f>IF(R174, MAX(S$2:S173)+1,"")</f>
        <v>161</v>
      </c>
      <c r="T174" s="23" t="str">
        <f t="shared" si="30"/>
        <v>ñ</v>
      </c>
      <c r="U174" s="8" t="str" cm="1">
        <f t="array" ref="U174">CharToUTF8(A174)</f>
        <v>\xC3\xB1</v>
      </c>
      <c r="W174" s="18" t="str">
        <f>$AU$2</f>
        <v>EMPTY</v>
      </c>
      <c r="X174" s="24" t="str">
        <f>$AU$2</f>
        <v>EMPTY</v>
      </c>
      <c r="Y174" s="24" t="str">
        <f>$AU$6</f>
        <v>DIAG_BACK</v>
      </c>
      <c r="Z174" s="21" t="str">
        <f>$AU$5</f>
        <v>DIAG_FRONT</v>
      </c>
      <c r="AB174" s="31" t="b">
        <f t="shared" si="31"/>
        <v>0</v>
      </c>
      <c r="AC174" s="31" t="b">
        <f t="shared" si="32"/>
        <v>0</v>
      </c>
      <c r="AD174" t="b">
        <f t="shared" si="33"/>
        <v>0</v>
      </c>
      <c r="AE174" t="b">
        <f t="shared" si="34"/>
        <v>1</v>
      </c>
      <c r="AF174" t="b">
        <f>IF($R174,W174=VLOOKUP(Z174,$AU$2:$AZ$10,3,FALSE),"")</f>
        <v>0</v>
      </c>
      <c r="AG174" t="b">
        <f>IF($R174,X174=VLOOKUP(Y174,$AU$2:$AZ$10,3,FALSE),"")</f>
        <v>0</v>
      </c>
      <c r="AH174" t="b">
        <f>IF($R174,Y174=VLOOKUP(W174,$AU$2:$AZ$10,3,FALSE),"")</f>
        <v>0</v>
      </c>
      <c r="AI174" t="b">
        <f>IF($R174,Z174=VLOOKUP(X174,$AU$2:$AZ$10,3,FALSE),"")</f>
        <v>0</v>
      </c>
      <c r="AJ174" t="b">
        <f>IF($R174,W174=VLOOKUP(W174,$AU$2:$AZ$10,4,FALSE),"")</f>
        <v>1</v>
      </c>
      <c r="AK174" t="b">
        <f>IF($R174,X174=VLOOKUP(X174,$AU$2:$AZ$10,4,FALSE),"")</f>
        <v>1</v>
      </c>
      <c r="AL174" t="b">
        <f>IF($R174,Y174=VLOOKUP(Y174,$AU$2:$AZ$10,4,FALSE),"")</f>
        <v>1</v>
      </c>
      <c r="AM174" t="b">
        <f>IF($R174,Z174=VLOOKUP(Z174,$AU$2:$AZ$10,4,FALSE),"")</f>
        <v>1</v>
      </c>
      <c r="AN174" t="b">
        <f>IF($R174,W174=VLOOKUP(W174,$AU$2:$AZ$10,5,FALSE),"")</f>
        <v>1</v>
      </c>
      <c r="AO174" t="b">
        <f>IF($R174,X174=VLOOKUP(X174,$AU$2:$AZ$10,5,FALSE),"")</f>
        <v>1</v>
      </c>
      <c r="AP174" t="b">
        <f>IF($R174,Y174=VLOOKUP(Y174,$AU$2:$AZ$10,6,FALSE),"")</f>
        <v>0</v>
      </c>
      <c r="AQ174" t="b">
        <f>IF($R174,Z174=VLOOKUP(Z174,$AU$2:$AZ$10,6,FALSE),"")</f>
        <v>0</v>
      </c>
      <c r="AR174" t="b">
        <f t="shared" si="35"/>
        <v>0</v>
      </c>
      <c r="AS174" t="b">
        <f t="shared" si="36"/>
        <v>0</v>
      </c>
      <c r="BD174" s="59" t="str">
        <f t="shared" si="37"/>
        <v xml:space="preserve">    { wxString::FromUTF8("\xC3\xB1"), &amp;AllGlyphs[162], &amp;AllGlyphs[160], &amp;AllGlyphs[160], &amp;AllGlyphs[161], &amp;AllGlyphs[162], &amp;AllGlyphs[163], Connection::EMPTY, Connection::EMPTY, Connection::DIAG_BACK, Connection::DIAG_FRONT, 0, 0, 0, 1, 0, 0 },</v>
      </c>
      <c r="BE174" s="60"/>
      <c r="BF174" s="60"/>
      <c r="BG174" s="60"/>
      <c r="BH174" s="60"/>
      <c r="BI174" s="60"/>
      <c r="BJ174" s="60"/>
      <c r="BK174" s="61"/>
      <c r="BM174" s="54" t="str">
        <f>IF($R174,"&amp;AllGlyphs[" &amp; E174 &amp; "]","")</f>
        <v>&amp;AllGlyphs[162]</v>
      </c>
      <c r="BN174" s="54" t="str">
        <f>IF($R174,"&amp;AllGlyphs[" &amp; G174 &amp; "]","")</f>
        <v>&amp;AllGlyphs[160]</v>
      </c>
      <c r="BO174" s="54" t="str">
        <f>IF($R174,"&amp;AllGlyphs[" &amp; I174 &amp; "]","")</f>
        <v>&amp;AllGlyphs[160]</v>
      </c>
      <c r="BP174" s="54" t="str">
        <f>IF($R174,"&amp;AllGlyphs[" &amp; K174 &amp; "]","")</f>
        <v>&amp;AllGlyphs[161]</v>
      </c>
      <c r="BQ174" s="54" t="str">
        <f>IF($R174,"&amp;AllGlyphs[" &amp; M174 &amp; "]","")</f>
        <v>&amp;AllGlyphs[162]</v>
      </c>
      <c r="BR174" s="54" t="str">
        <f>IF($R174,"&amp;AllGlyphs[" &amp; O174 &amp; "]","")</f>
        <v>&amp;AllGlyphs[163]</v>
      </c>
      <c r="BT174" s="58">
        <f>IF($R174,IF(AB174,1,0),"")</f>
        <v>0</v>
      </c>
      <c r="BU174" s="58">
        <f>IF($R174,IF(AC174,1,0),"")</f>
        <v>0</v>
      </c>
      <c r="BV174" s="58">
        <f>IF($R174,IF(AD174,1,0),"")</f>
        <v>0</v>
      </c>
      <c r="BW174" s="58">
        <f>IF($R174,IF(AE174,1,0),"")</f>
        <v>1</v>
      </c>
      <c r="BX174" s="58">
        <f>IF($R174,IF(AR174,1,0),"")</f>
        <v>0</v>
      </c>
      <c r="BY174" s="58">
        <f>IF($R174,IF(AS174,1,0),"")</f>
        <v>0</v>
      </c>
    </row>
    <row r="175" spans="1:77" x14ac:dyDescent="0.4">
      <c r="A175" s="7" t="s">
        <v>151</v>
      </c>
      <c r="B175" s="6" t="str">
        <f t="shared" si="28"/>
        <v>ò</v>
      </c>
      <c r="C175" s="48" cm="1">
        <f t="array" ref="C175">IF($R175,INDEX($S:$S,MATCH(TRUE,EXACT(B175,$A:$A),0)),"")</f>
        <v>162</v>
      </c>
      <c r="D175" s="38" t="s">
        <v>149</v>
      </c>
      <c r="E175" s="48" cm="1">
        <f t="array" ref="E175">IF($R175,INDEX($S:$S,MATCH(TRUE,EXACT(D175,$A:$A),0)),"")</f>
        <v>160</v>
      </c>
      <c r="F175" s="38" t="s">
        <v>152</v>
      </c>
      <c r="G175" s="48" cm="1">
        <f t="array" ref="G175">IF($S175&lt;&gt;"",INDEX($S:$S,MATCH(TRUE,EXACT(F175,$A:$A),0)),"")</f>
        <v>163</v>
      </c>
      <c r="H175" s="38" t="s">
        <v>151</v>
      </c>
      <c r="I175" s="48" cm="1">
        <f t="array" ref="I175">IF($R175,INDEX($S:$S,MATCH(TRUE,EXACT(H175,$A:$A),0)),"")</f>
        <v>162</v>
      </c>
      <c r="J175" s="38" t="s">
        <v>152</v>
      </c>
      <c r="K175" s="52" cm="1">
        <f t="array" ref="K175">IF($R175,INDEX($S:$S,MATCH(TRUE,EXACT(J175,$A:$A),0)),"")</f>
        <v>163</v>
      </c>
      <c r="L175" s="38" t="str" cm="1">
        <f t="array" ref="L175">IF($R175,INDEX($T:$T,MATCH(TRUE,EXACT(H175,$D:$D),0)),"")</f>
        <v>ñ</v>
      </c>
      <c r="M175" s="48" cm="1">
        <f t="array" ref="M175">IF($R175,INDEX($S:$S,MATCH(TRUE,EXACT(L175,$A:$A),0)),"")</f>
        <v>161</v>
      </c>
      <c r="N175" s="38" t="str" cm="1">
        <f t="array" ref="N175">IF($R175,INDEX($T:$T,MATCH(TRUE,EXACT(J175,$D:$D),0)),"")</f>
        <v>ð</v>
      </c>
      <c r="O175" s="52" cm="1">
        <f t="array" ref="O175">IF($R175,INDEX($S:$S,MATCH(TRUE,EXACT(N175,$A:$A),0)),"")</f>
        <v>160</v>
      </c>
      <c r="P175" s="23"/>
      <c r="Q175" s="33"/>
      <c r="R175" s="18" t="b">
        <f t="shared" si="29"/>
        <v>1</v>
      </c>
      <c r="S175" s="19">
        <f>IF(R175, MAX(S$2:S174)+1,"")</f>
        <v>162</v>
      </c>
      <c r="T175" s="23" t="str">
        <f t="shared" si="30"/>
        <v>ò</v>
      </c>
      <c r="U175" s="8" t="str" cm="1">
        <f t="array" ref="U175">CharToUTF8(A175)</f>
        <v>\xC3\xB2</v>
      </c>
      <c r="W175" s="18" t="str">
        <f>$AU$6</f>
        <v>DIAG_BACK</v>
      </c>
      <c r="X175" s="24" t="str">
        <f>$AU$5</f>
        <v>DIAG_FRONT</v>
      </c>
      <c r="Y175" s="24" t="str">
        <f>$AU$2</f>
        <v>EMPTY</v>
      </c>
      <c r="Z175" s="21" t="str">
        <f>$AU$2</f>
        <v>EMPTY</v>
      </c>
      <c r="AB175" s="31" t="b">
        <f t="shared" si="31"/>
        <v>0</v>
      </c>
      <c r="AC175" s="31" t="b">
        <f t="shared" si="32"/>
        <v>0</v>
      </c>
      <c r="AD175" t="b">
        <f t="shared" si="33"/>
        <v>1</v>
      </c>
      <c r="AE175" t="b">
        <f t="shared" si="34"/>
        <v>0</v>
      </c>
      <c r="AF175" t="b">
        <f>IF($R175,W175=VLOOKUP(Z175,$AU$2:$AZ$10,3,FALSE),"")</f>
        <v>0</v>
      </c>
      <c r="AG175" t="b">
        <f>IF($R175,X175=VLOOKUP(Y175,$AU$2:$AZ$10,3,FALSE),"")</f>
        <v>0</v>
      </c>
      <c r="AH175" t="b">
        <f>IF($R175,Y175=VLOOKUP(W175,$AU$2:$AZ$10,3,FALSE),"")</f>
        <v>0</v>
      </c>
      <c r="AI175" t="b">
        <f>IF($R175,Z175=VLOOKUP(X175,$AU$2:$AZ$10,3,FALSE),"")</f>
        <v>0</v>
      </c>
      <c r="AJ175" t="b">
        <f>IF($R175,W175=VLOOKUP(W175,$AU$2:$AZ$10,4,FALSE),"")</f>
        <v>1</v>
      </c>
      <c r="AK175" t="b">
        <f>IF($R175,X175=VLOOKUP(X175,$AU$2:$AZ$10,4,FALSE),"")</f>
        <v>1</v>
      </c>
      <c r="AL175" t="b">
        <f>IF($R175,Y175=VLOOKUP(Y175,$AU$2:$AZ$10,4,FALSE),"")</f>
        <v>1</v>
      </c>
      <c r="AM175" t="b">
        <f>IF($R175,Z175=VLOOKUP(Z175,$AU$2:$AZ$10,4,FALSE),"")</f>
        <v>1</v>
      </c>
      <c r="AN175" t="b">
        <f>IF($R175,W175=VLOOKUP(W175,$AU$2:$AZ$10,5,FALSE),"")</f>
        <v>0</v>
      </c>
      <c r="AO175" t="b">
        <f>IF($R175,X175=VLOOKUP(X175,$AU$2:$AZ$10,5,FALSE),"")</f>
        <v>0</v>
      </c>
      <c r="AP175" t="b">
        <f>IF($R175,Y175=VLOOKUP(Y175,$AU$2:$AZ$10,6,FALSE),"")</f>
        <v>1</v>
      </c>
      <c r="AQ175" t="b">
        <f>IF($R175,Z175=VLOOKUP(Z175,$AU$2:$AZ$10,6,FALSE),"")</f>
        <v>1</v>
      </c>
      <c r="AR175" t="b">
        <f t="shared" si="35"/>
        <v>0</v>
      </c>
      <c r="AS175" t="b">
        <f t="shared" si="36"/>
        <v>0</v>
      </c>
      <c r="BD175" s="59" t="str">
        <f t="shared" si="37"/>
        <v xml:space="preserve">    { wxString::FromUTF8("\xC3\xB2"), &amp;AllGlyphs[160], &amp;AllGlyphs[163], &amp;AllGlyphs[162], &amp;AllGlyphs[163], &amp;AllGlyphs[161], &amp;AllGlyphs[160], Connection::DIAG_BACK, Connection::DIAG_FRONT, Connection::EMPTY, Connection::EMPTY, 0, 0, 1, 0, 0, 0 },</v>
      </c>
      <c r="BE175" s="60"/>
      <c r="BF175" s="60"/>
      <c r="BG175" s="60"/>
      <c r="BH175" s="60"/>
      <c r="BI175" s="60"/>
      <c r="BJ175" s="60"/>
      <c r="BK175" s="61"/>
      <c r="BM175" s="54" t="str">
        <f>IF($R175,"&amp;AllGlyphs[" &amp; E175 &amp; "]","")</f>
        <v>&amp;AllGlyphs[160]</v>
      </c>
      <c r="BN175" s="54" t="str">
        <f>IF($R175,"&amp;AllGlyphs[" &amp; G175 &amp; "]","")</f>
        <v>&amp;AllGlyphs[163]</v>
      </c>
      <c r="BO175" s="54" t="str">
        <f>IF($R175,"&amp;AllGlyphs[" &amp; I175 &amp; "]","")</f>
        <v>&amp;AllGlyphs[162]</v>
      </c>
      <c r="BP175" s="54" t="str">
        <f>IF($R175,"&amp;AllGlyphs[" &amp; K175 &amp; "]","")</f>
        <v>&amp;AllGlyphs[163]</v>
      </c>
      <c r="BQ175" s="54" t="str">
        <f>IF($R175,"&amp;AllGlyphs[" &amp; M175 &amp; "]","")</f>
        <v>&amp;AllGlyphs[161]</v>
      </c>
      <c r="BR175" s="54" t="str">
        <f>IF($R175,"&amp;AllGlyphs[" &amp; O175 &amp; "]","")</f>
        <v>&amp;AllGlyphs[160]</v>
      </c>
      <c r="BT175" s="58">
        <f>IF($R175,IF(AB175,1,0),"")</f>
        <v>0</v>
      </c>
      <c r="BU175" s="58">
        <f>IF($R175,IF(AC175,1,0),"")</f>
        <v>0</v>
      </c>
      <c r="BV175" s="58">
        <f>IF($R175,IF(AD175,1,0),"")</f>
        <v>1</v>
      </c>
      <c r="BW175" s="58">
        <f>IF($R175,IF(AE175,1,0),"")</f>
        <v>0</v>
      </c>
      <c r="BX175" s="58">
        <f>IF($R175,IF(AR175,1,0),"")</f>
        <v>0</v>
      </c>
      <c r="BY175" s="58">
        <f>IF($R175,IF(AS175,1,0),"")</f>
        <v>0</v>
      </c>
    </row>
    <row r="176" spans="1:77" x14ac:dyDescent="0.4">
      <c r="A176" s="7" t="s">
        <v>152</v>
      </c>
      <c r="B176" s="6" t="str">
        <f t="shared" si="28"/>
        <v>ó</v>
      </c>
      <c r="C176" s="48" cm="1">
        <f t="array" ref="C176">IF($R176,INDEX($S:$S,MATCH(TRUE,EXACT(B176,$A:$A),0)),"")</f>
        <v>163</v>
      </c>
      <c r="D176" s="38" t="s">
        <v>150</v>
      </c>
      <c r="E176" s="48" cm="1">
        <f t="array" ref="E176">IF($R176,INDEX($S:$S,MATCH(TRUE,EXACT(D176,$A:$A),0)),"")</f>
        <v>161</v>
      </c>
      <c r="F176" s="38" t="s">
        <v>151</v>
      </c>
      <c r="G176" s="48" cm="1">
        <f t="array" ref="G176">IF($S176&lt;&gt;"",INDEX($S:$S,MATCH(TRUE,EXACT(F176,$A:$A),0)),"")</f>
        <v>162</v>
      </c>
      <c r="H176" s="38" t="s">
        <v>152</v>
      </c>
      <c r="I176" s="48" cm="1">
        <f t="array" ref="I176">IF($R176,INDEX($S:$S,MATCH(TRUE,EXACT(H176,$A:$A),0)),"")</f>
        <v>163</v>
      </c>
      <c r="J176" s="38" t="s">
        <v>151</v>
      </c>
      <c r="K176" s="52" cm="1">
        <f t="array" ref="K176">IF($R176,INDEX($S:$S,MATCH(TRUE,EXACT(J176,$A:$A),0)),"")</f>
        <v>162</v>
      </c>
      <c r="L176" s="38" t="str" cm="1">
        <f t="array" ref="L176">IF($R176,INDEX($T:$T,MATCH(TRUE,EXACT(H176,$D:$D),0)),"")</f>
        <v>ð</v>
      </c>
      <c r="M176" s="48" cm="1">
        <f t="array" ref="M176">IF($R176,INDEX($S:$S,MATCH(TRUE,EXACT(L176,$A:$A),0)),"")</f>
        <v>160</v>
      </c>
      <c r="N176" s="38" t="str" cm="1">
        <f t="array" ref="N176">IF($R176,INDEX($T:$T,MATCH(TRUE,EXACT(J176,$D:$D),0)),"")</f>
        <v>ñ</v>
      </c>
      <c r="O176" s="52" cm="1">
        <f t="array" ref="O176">IF($R176,INDEX($S:$S,MATCH(TRUE,EXACT(N176,$A:$A),0)),"")</f>
        <v>161</v>
      </c>
      <c r="P176" s="23"/>
      <c r="Q176" s="33"/>
      <c r="R176" s="18" t="b">
        <f t="shared" si="29"/>
        <v>1</v>
      </c>
      <c r="S176" s="19">
        <f>IF(R176, MAX(S$2:S175)+1,"")</f>
        <v>163</v>
      </c>
      <c r="T176" s="23" t="str">
        <f t="shared" si="30"/>
        <v>ó</v>
      </c>
      <c r="U176" s="8" t="str" cm="1">
        <f t="array" ref="U176">CharToUTF8(A176)</f>
        <v>\xC3\xB3</v>
      </c>
      <c r="W176" s="18" t="str">
        <f>$AU$5</f>
        <v>DIAG_FRONT</v>
      </c>
      <c r="X176" s="24" t="str">
        <f>$AU$6</f>
        <v>DIAG_BACK</v>
      </c>
      <c r="Y176" s="24" t="str">
        <f>$AU$2</f>
        <v>EMPTY</v>
      </c>
      <c r="Z176" s="21" t="str">
        <f>$AU$2</f>
        <v>EMPTY</v>
      </c>
      <c r="AB176" s="31" t="b">
        <f t="shared" si="31"/>
        <v>0</v>
      </c>
      <c r="AC176" s="31" t="b">
        <f t="shared" si="32"/>
        <v>0</v>
      </c>
      <c r="AD176" t="b">
        <f t="shared" si="33"/>
        <v>1</v>
      </c>
      <c r="AE176" t="b">
        <f t="shared" si="34"/>
        <v>0</v>
      </c>
      <c r="AF176" t="b">
        <f>IF($R176,W176=VLOOKUP(Z176,$AU$2:$AZ$10,3,FALSE),"")</f>
        <v>0</v>
      </c>
      <c r="AG176" t="b">
        <f>IF($R176,X176=VLOOKUP(Y176,$AU$2:$AZ$10,3,FALSE),"")</f>
        <v>0</v>
      </c>
      <c r="AH176" t="b">
        <f>IF($R176,Y176=VLOOKUP(W176,$AU$2:$AZ$10,3,FALSE),"")</f>
        <v>0</v>
      </c>
      <c r="AI176" t="b">
        <f>IF($R176,Z176=VLOOKUP(X176,$AU$2:$AZ$10,3,FALSE),"")</f>
        <v>0</v>
      </c>
      <c r="AJ176" t="b">
        <f>IF($R176,W176=VLOOKUP(W176,$AU$2:$AZ$10,4,FALSE),"")</f>
        <v>1</v>
      </c>
      <c r="AK176" t="b">
        <f>IF($R176,X176=VLOOKUP(X176,$AU$2:$AZ$10,4,FALSE),"")</f>
        <v>1</v>
      </c>
      <c r="AL176" t="b">
        <f>IF($R176,Y176=VLOOKUP(Y176,$AU$2:$AZ$10,4,FALSE),"")</f>
        <v>1</v>
      </c>
      <c r="AM176" t="b">
        <f>IF($R176,Z176=VLOOKUP(Z176,$AU$2:$AZ$10,4,FALSE),"")</f>
        <v>1</v>
      </c>
      <c r="AN176" t="b">
        <f>IF($R176,W176=VLOOKUP(W176,$AU$2:$AZ$10,5,FALSE),"")</f>
        <v>0</v>
      </c>
      <c r="AO176" t="b">
        <f>IF($R176,X176=VLOOKUP(X176,$AU$2:$AZ$10,5,FALSE),"")</f>
        <v>0</v>
      </c>
      <c r="AP176" t="b">
        <f>IF($R176,Y176=VLOOKUP(Y176,$AU$2:$AZ$10,6,FALSE),"")</f>
        <v>1</v>
      </c>
      <c r="AQ176" t="b">
        <f>IF($R176,Z176=VLOOKUP(Z176,$AU$2:$AZ$10,6,FALSE),"")</f>
        <v>1</v>
      </c>
      <c r="AR176" t="b">
        <f t="shared" si="35"/>
        <v>0</v>
      </c>
      <c r="AS176" t="b">
        <f t="shared" si="36"/>
        <v>0</v>
      </c>
      <c r="BD176" s="59" t="str">
        <f t="shared" si="37"/>
        <v xml:space="preserve">    { wxString::FromUTF8("\xC3\xB3"), &amp;AllGlyphs[161], &amp;AllGlyphs[162], &amp;AllGlyphs[163], &amp;AllGlyphs[162], &amp;AllGlyphs[160], &amp;AllGlyphs[161], Connection::DIAG_FRONT, Connection::DIAG_BACK, Connection::EMPTY, Connection::EMPTY, 0, 0, 1, 0, 0, 0 },</v>
      </c>
      <c r="BE176" s="60"/>
      <c r="BF176" s="60"/>
      <c r="BG176" s="60"/>
      <c r="BH176" s="60"/>
      <c r="BI176" s="60"/>
      <c r="BJ176" s="60"/>
      <c r="BK176" s="61"/>
      <c r="BM176" s="54" t="str">
        <f>IF($R176,"&amp;AllGlyphs[" &amp; E176 &amp; "]","")</f>
        <v>&amp;AllGlyphs[161]</v>
      </c>
      <c r="BN176" s="54" t="str">
        <f>IF($R176,"&amp;AllGlyphs[" &amp; G176 &amp; "]","")</f>
        <v>&amp;AllGlyphs[162]</v>
      </c>
      <c r="BO176" s="54" t="str">
        <f>IF($R176,"&amp;AllGlyphs[" &amp; I176 &amp; "]","")</f>
        <v>&amp;AllGlyphs[163]</v>
      </c>
      <c r="BP176" s="54" t="str">
        <f>IF($R176,"&amp;AllGlyphs[" &amp; K176 &amp; "]","")</f>
        <v>&amp;AllGlyphs[162]</v>
      </c>
      <c r="BQ176" s="54" t="str">
        <f>IF($R176,"&amp;AllGlyphs[" &amp; M176 &amp; "]","")</f>
        <v>&amp;AllGlyphs[160]</v>
      </c>
      <c r="BR176" s="54" t="str">
        <f>IF($R176,"&amp;AllGlyphs[" &amp; O176 &amp; "]","")</f>
        <v>&amp;AllGlyphs[161]</v>
      </c>
      <c r="BT176" s="58">
        <f>IF($R176,IF(AB176,1,0),"")</f>
        <v>0</v>
      </c>
      <c r="BU176" s="58">
        <f>IF($R176,IF(AC176,1,0),"")</f>
        <v>0</v>
      </c>
      <c r="BV176" s="58">
        <f>IF($R176,IF(AD176,1,0),"")</f>
        <v>1</v>
      </c>
      <c r="BW176" s="58">
        <f>IF($R176,IF(AE176,1,0),"")</f>
        <v>0</v>
      </c>
      <c r="BX176" s="58">
        <f>IF($R176,IF(AR176,1,0),"")</f>
        <v>0</v>
      </c>
      <c r="BY176" s="58">
        <f>IF($R176,IF(AS176,1,0),"")</f>
        <v>0</v>
      </c>
    </row>
    <row r="177" spans="1:77" ht="32.25" customHeight="1" x14ac:dyDescent="0.4">
      <c r="A177" s="7" t="s">
        <v>153</v>
      </c>
      <c r="B177" s="6" t="str">
        <f t="shared" si="28"/>
        <v>ô</v>
      </c>
      <c r="C177" s="48" cm="1">
        <f t="array" ref="C177">IF($R177,INDEX($S:$S,MATCH(TRUE,EXACT(B177,$A:$A),0)),"")</f>
        <v>164</v>
      </c>
      <c r="D177" s="38" t="s">
        <v>164</v>
      </c>
      <c r="E177" s="48" cm="1">
        <f t="array" ref="E177">IF($R177,INDEX($S:$S,MATCH(TRUE,EXACT(D177,$A:$A),0)),"")</f>
        <v>169</v>
      </c>
      <c r="F177" s="38" t="s">
        <v>156</v>
      </c>
      <c r="G177" s="48" cm="1">
        <f t="array" ref="G177">IF($S177&lt;&gt;"",INDEX($S:$S,MATCH(TRUE,EXACT(F177,$A:$A),0)),"")</f>
        <v>167</v>
      </c>
      <c r="H177" s="38" t="s">
        <v>155</v>
      </c>
      <c r="I177" s="48" cm="1">
        <f t="array" ref="I177">IF($R177,INDEX($S:$S,MATCH(TRUE,EXACT(H177,$A:$A),0)),"")</f>
        <v>166</v>
      </c>
      <c r="J177" s="38" t="s">
        <v>154</v>
      </c>
      <c r="K177" s="52" cm="1">
        <f t="array" ref="K177">IF($R177,INDEX($S:$S,MATCH(TRUE,EXACT(J177,$A:$A),0)),"")</f>
        <v>165</v>
      </c>
      <c r="L177" s="38" t="str" cm="1">
        <f t="array" ref="L177">IF($R177,INDEX($T:$T,MATCH(TRUE,EXACT(H177,$D:$D),0)),"")</f>
        <v>ü</v>
      </c>
      <c r="M177" s="48" cm="1">
        <f t="array" ref="M177">IF($R177,INDEX($S:$S,MATCH(TRUE,EXACT(L177,$A:$A),0)),"")</f>
        <v>171</v>
      </c>
      <c r="N177" s="38" t="str" cm="1">
        <f t="array" ref="N177">IF($R177,INDEX($T:$T,MATCH(TRUE,EXACT(J177,$D:$D),0)),"")</f>
        <v>ø</v>
      </c>
      <c r="O177" s="52" cm="1">
        <f t="array" ref="O177">IF($R177,INDEX($S:$S,MATCH(TRUE,EXACT(N177,$A:$A),0)),"")</f>
        <v>168</v>
      </c>
      <c r="P177" s="23"/>
      <c r="Q177" s="33"/>
      <c r="R177" s="18" t="b">
        <f t="shared" si="29"/>
        <v>1</v>
      </c>
      <c r="S177" s="19">
        <f>IF(R177, MAX(S$2:S176)+1,"")</f>
        <v>164</v>
      </c>
      <c r="T177" s="23" t="str">
        <f t="shared" si="30"/>
        <v>ô</v>
      </c>
      <c r="U177" s="8" t="str" cm="1">
        <f t="array" ref="U177">CharToUTF8(A177)</f>
        <v>\xC3\xB4</v>
      </c>
      <c r="W177" s="18" t="str">
        <f>$AU$2</f>
        <v>EMPTY</v>
      </c>
      <c r="X177" s="24" t="str">
        <f>$AU$3</f>
        <v>DIAG_BOTH</v>
      </c>
      <c r="Y177" s="24" t="str">
        <f>$AU$2</f>
        <v>EMPTY</v>
      </c>
      <c r="Z177" s="21" t="str">
        <f>$AU$4</f>
        <v>ORTHO_BOTH</v>
      </c>
      <c r="AB177" s="31" t="b">
        <f t="shared" si="31"/>
        <v>0</v>
      </c>
      <c r="AC177" s="31" t="b">
        <f t="shared" si="32"/>
        <v>0</v>
      </c>
      <c r="AD177" t="b">
        <f t="shared" si="33"/>
        <v>0</v>
      </c>
      <c r="AE177" t="b">
        <f t="shared" si="34"/>
        <v>0</v>
      </c>
      <c r="AF177" t="b">
        <f>IF($R177,W177=VLOOKUP(Z177,$AU$2:$AZ$10,3,FALSE),"")</f>
        <v>0</v>
      </c>
      <c r="AG177" t="b">
        <f>IF($R177,X177=VLOOKUP(Y177,$AU$2:$AZ$10,3,FALSE),"")</f>
        <v>0</v>
      </c>
      <c r="AH177" t="b">
        <f>IF($R177,Y177=VLOOKUP(W177,$AU$2:$AZ$10,3,FALSE),"")</f>
        <v>1</v>
      </c>
      <c r="AI177" t="b">
        <f>IF($R177,Z177=VLOOKUP(X177,$AU$2:$AZ$10,3,FALSE),"")</f>
        <v>0</v>
      </c>
      <c r="AJ177" t="b">
        <f>IF($R177,W177=VLOOKUP(W177,$AU$2:$AZ$10,4,FALSE),"")</f>
        <v>1</v>
      </c>
      <c r="AK177" t="b">
        <f>IF($R177,X177=VLOOKUP(X177,$AU$2:$AZ$10,4,FALSE),"")</f>
        <v>1</v>
      </c>
      <c r="AL177" t="b">
        <f>IF($R177,Y177=VLOOKUP(Y177,$AU$2:$AZ$10,4,FALSE),"")</f>
        <v>1</v>
      </c>
      <c r="AM177" t="b">
        <f>IF($R177,Z177=VLOOKUP(Z177,$AU$2:$AZ$10,4,FALSE),"")</f>
        <v>1</v>
      </c>
      <c r="AN177" t="b">
        <f>IF($R177,W177=VLOOKUP(W177,$AU$2:$AZ$10,5,FALSE),"")</f>
        <v>1</v>
      </c>
      <c r="AO177" t="b">
        <f>IF($R177,X177=VLOOKUP(X177,$AU$2:$AZ$10,5,FALSE),"")</f>
        <v>1</v>
      </c>
      <c r="AP177" t="b">
        <f>IF($R177,Y177=VLOOKUP(Y177,$AU$2:$AZ$10,6,FALSE),"")</f>
        <v>1</v>
      </c>
      <c r="AQ177" t="b">
        <f>IF($R177,Z177=VLOOKUP(Z177,$AU$2:$AZ$10,6,FALSE),"")</f>
        <v>1</v>
      </c>
      <c r="AR177" t="b">
        <f t="shared" si="35"/>
        <v>0</v>
      </c>
      <c r="AS177" t="b">
        <f t="shared" si="36"/>
        <v>0</v>
      </c>
      <c r="BD177" s="59" t="str">
        <f t="shared" si="37"/>
        <v xml:space="preserve">    { wxString::FromUTF8("\xC3\xB4"), &amp;AllGlyphs[169], &amp;AllGlyphs[167], &amp;AllGlyphs[166], &amp;AllGlyphs[165], &amp;AllGlyphs[171], &amp;AllGlyphs[168], Connection::EMPTY, Connection::DIAG_BOTH, Connection::EMPTY, Connection::ORTHO_BOTH, 0, 0, 0, 0, 0, 0 },</v>
      </c>
      <c r="BE177" s="60"/>
      <c r="BF177" s="60"/>
      <c r="BG177" s="60"/>
      <c r="BH177" s="60"/>
      <c r="BI177" s="60"/>
      <c r="BJ177" s="60"/>
      <c r="BK177" s="61"/>
      <c r="BM177" s="54" t="str">
        <f>IF($R177,"&amp;AllGlyphs[" &amp; E177 &amp; "]","")</f>
        <v>&amp;AllGlyphs[169]</v>
      </c>
      <c r="BN177" s="54" t="str">
        <f>IF($R177,"&amp;AllGlyphs[" &amp; G177 &amp; "]","")</f>
        <v>&amp;AllGlyphs[167]</v>
      </c>
      <c r="BO177" s="54" t="str">
        <f>IF($R177,"&amp;AllGlyphs[" &amp; I177 &amp; "]","")</f>
        <v>&amp;AllGlyphs[166]</v>
      </c>
      <c r="BP177" s="54" t="str">
        <f>IF($R177,"&amp;AllGlyphs[" &amp; K177 &amp; "]","")</f>
        <v>&amp;AllGlyphs[165]</v>
      </c>
      <c r="BQ177" s="54" t="str">
        <f>IF($R177,"&amp;AllGlyphs[" &amp; M177 &amp; "]","")</f>
        <v>&amp;AllGlyphs[171]</v>
      </c>
      <c r="BR177" s="54" t="str">
        <f>IF($R177,"&amp;AllGlyphs[" &amp; O177 &amp; "]","")</f>
        <v>&amp;AllGlyphs[168]</v>
      </c>
      <c r="BT177" s="58">
        <f>IF($R177,IF(AB177,1,0),"")</f>
        <v>0</v>
      </c>
      <c r="BU177" s="58">
        <f>IF($R177,IF(AC177,1,0),"")</f>
        <v>0</v>
      </c>
      <c r="BV177" s="58">
        <f>IF($R177,IF(AD177,1,0),"")</f>
        <v>0</v>
      </c>
      <c r="BW177" s="58">
        <f>IF($R177,IF(AE177,1,0),"")</f>
        <v>0</v>
      </c>
      <c r="BX177" s="58">
        <f>IF($R177,IF(AR177,1,0),"")</f>
        <v>0</v>
      </c>
      <c r="BY177" s="58">
        <f>IF($R177,IF(AS177,1,0),"")</f>
        <v>0</v>
      </c>
    </row>
    <row r="178" spans="1:77" ht="34.5" customHeight="1" x14ac:dyDescent="0.4">
      <c r="A178" s="7" t="s">
        <v>154</v>
      </c>
      <c r="B178" s="6" t="str">
        <f t="shared" si="28"/>
        <v>õ</v>
      </c>
      <c r="C178" s="48" cm="1">
        <f t="array" ref="C178">IF($R178,INDEX($S:$S,MATCH(TRUE,EXACT(B178,$A:$A),0)),"")</f>
        <v>165</v>
      </c>
      <c r="D178" s="38" t="s">
        <v>159</v>
      </c>
      <c r="E178" s="48" cm="1">
        <f t="array" ref="E178">IF($R178,INDEX($S:$S,MATCH(TRUE,EXACT(D178,$A:$A),0)),"")</f>
        <v>171</v>
      </c>
      <c r="F178" s="38" t="s">
        <v>155</v>
      </c>
      <c r="G178" s="48" cm="1">
        <f t="array" ref="G178">IF($S178&lt;&gt;"",INDEX($S:$S,MATCH(TRUE,EXACT(F178,$A:$A),0)),"")</f>
        <v>166</v>
      </c>
      <c r="H178" s="38" t="s">
        <v>156</v>
      </c>
      <c r="I178" s="48" cm="1">
        <f t="array" ref="I178">IF($R178,INDEX($S:$S,MATCH(TRUE,EXACT(H178,$A:$A),0)),"")</f>
        <v>167</v>
      </c>
      <c r="J178" s="38" t="s">
        <v>153</v>
      </c>
      <c r="K178" s="52" cm="1">
        <f t="array" ref="K178">IF($R178,INDEX($S:$S,MATCH(TRUE,EXACT(J178,$A:$A),0)),"")</f>
        <v>164</v>
      </c>
      <c r="L178" s="38" t="str" cm="1">
        <f t="array" ref="L178">IF($R178,INDEX($T:$T,MATCH(TRUE,EXACT(H178,$D:$D),0)),"")</f>
        <v>ù</v>
      </c>
      <c r="M178" s="48" cm="1">
        <f t="array" ref="M178">IF($R178,INDEX($S:$S,MATCH(TRUE,EXACT(L178,$A:$A),0)),"")</f>
        <v>169</v>
      </c>
      <c r="N178" s="38" t="str" cm="1">
        <f t="array" ref="N178">IF($R178,INDEX($T:$T,MATCH(TRUE,EXACT(J178,$D:$D),0)),"")</f>
        <v>û</v>
      </c>
      <c r="O178" s="52" cm="1">
        <f t="array" ref="O178">IF($R178,INDEX($S:$S,MATCH(TRUE,EXACT(N178,$A:$A),0)),"")</f>
        <v>170</v>
      </c>
      <c r="P178" s="23"/>
      <c r="Q178" s="33"/>
      <c r="R178" s="18" t="b">
        <f t="shared" si="29"/>
        <v>1</v>
      </c>
      <c r="S178" s="19">
        <f>IF(R178, MAX(S$2:S177)+1,"")</f>
        <v>165</v>
      </c>
      <c r="T178" s="23" t="str">
        <f t="shared" si="30"/>
        <v>õ</v>
      </c>
      <c r="U178" s="8" t="str" cm="1">
        <f t="array" ref="U178">CharToUTF8(A178)</f>
        <v>\xC3\xB5</v>
      </c>
      <c r="W178" s="18" t="str">
        <f>$AU$2</f>
        <v>EMPTY</v>
      </c>
      <c r="X178" s="24" t="str">
        <f>$AU$3</f>
        <v>DIAG_BOTH</v>
      </c>
      <c r="Y178" s="24" t="str">
        <f>$AU$4</f>
        <v>ORTHO_BOTH</v>
      </c>
      <c r="Z178" s="21" t="str">
        <f>$AU$2</f>
        <v>EMPTY</v>
      </c>
      <c r="AB178" s="31" t="b">
        <f t="shared" si="31"/>
        <v>0</v>
      </c>
      <c r="AC178" s="31" t="b">
        <f t="shared" si="32"/>
        <v>0</v>
      </c>
      <c r="AD178" t="b">
        <f t="shared" si="33"/>
        <v>0</v>
      </c>
      <c r="AE178" t="b">
        <f t="shared" si="34"/>
        <v>0</v>
      </c>
      <c r="AF178" t="b">
        <f>IF($R178,W178=VLOOKUP(Z178,$AU$2:$AZ$10,3,FALSE),"")</f>
        <v>1</v>
      </c>
      <c r="AG178" t="b">
        <f>IF($R178,X178=VLOOKUP(Y178,$AU$2:$AZ$10,3,FALSE),"")</f>
        <v>0</v>
      </c>
      <c r="AH178" t="b">
        <f>IF($R178,Y178=VLOOKUP(W178,$AU$2:$AZ$10,3,FALSE),"")</f>
        <v>0</v>
      </c>
      <c r="AI178" t="b">
        <f>IF($R178,Z178=VLOOKUP(X178,$AU$2:$AZ$10,3,FALSE),"")</f>
        <v>0</v>
      </c>
      <c r="AJ178" t="b">
        <f>IF($R178,W178=VLOOKUP(W178,$AU$2:$AZ$10,4,FALSE),"")</f>
        <v>1</v>
      </c>
      <c r="AK178" t="b">
        <f>IF($R178,X178=VLOOKUP(X178,$AU$2:$AZ$10,4,FALSE),"")</f>
        <v>1</v>
      </c>
      <c r="AL178" t="b">
        <f>IF($R178,Y178=VLOOKUP(Y178,$AU$2:$AZ$10,4,FALSE),"")</f>
        <v>1</v>
      </c>
      <c r="AM178" t="b">
        <f>IF($R178,Z178=VLOOKUP(Z178,$AU$2:$AZ$10,4,FALSE),"")</f>
        <v>1</v>
      </c>
      <c r="AN178" t="b">
        <f>IF($R178,W178=VLOOKUP(W178,$AU$2:$AZ$10,5,FALSE),"")</f>
        <v>1</v>
      </c>
      <c r="AO178" t="b">
        <f>IF($R178,X178=VLOOKUP(X178,$AU$2:$AZ$10,5,FALSE),"")</f>
        <v>1</v>
      </c>
      <c r="AP178" t="b">
        <f>IF($R178,Y178=VLOOKUP(Y178,$AU$2:$AZ$10,6,FALSE),"")</f>
        <v>1</v>
      </c>
      <c r="AQ178" t="b">
        <f>IF($R178,Z178=VLOOKUP(Z178,$AU$2:$AZ$10,6,FALSE),"")</f>
        <v>1</v>
      </c>
      <c r="AR178" t="b">
        <f t="shared" si="35"/>
        <v>0</v>
      </c>
      <c r="AS178" t="b">
        <f t="shared" si="36"/>
        <v>0</v>
      </c>
      <c r="BD178" s="59" t="str">
        <f t="shared" si="37"/>
        <v xml:space="preserve">    { wxString::FromUTF8("\xC3\xB5"), &amp;AllGlyphs[171], &amp;AllGlyphs[166], &amp;AllGlyphs[167], &amp;AllGlyphs[164], &amp;AllGlyphs[169], &amp;AllGlyphs[170], Connection::EMPTY, Connection::DIAG_BOTH, Connection::ORTHO_BOTH, Connection::EMPTY, 0, 0, 0, 0, 0, 0 },</v>
      </c>
      <c r="BE178" s="60"/>
      <c r="BF178" s="60"/>
      <c r="BG178" s="60"/>
      <c r="BH178" s="60"/>
      <c r="BI178" s="60"/>
      <c r="BJ178" s="60"/>
      <c r="BK178" s="61"/>
      <c r="BM178" s="54" t="str">
        <f>IF($R178,"&amp;AllGlyphs[" &amp; E178 &amp; "]","")</f>
        <v>&amp;AllGlyphs[171]</v>
      </c>
      <c r="BN178" s="54" t="str">
        <f>IF($R178,"&amp;AllGlyphs[" &amp; G178 &amp; "]","")</f>
        <v>&amp;AllGlyphs[166]</v>
      </c>
      <c r="BO178" s="54" t="str">
        <f>IF($R178,"&amp;AllGlyphs[" &amp; I178 &amp; "]","")</f>
        <v>&amp;AllGlyphs[167]</v>
      </c>
      <c r="BP178" s="54" t="str">
        <f>IF($R178,"&amp;AllGlyphs[" &amp; K178 &amp; "]","")</f>
        <v>&amp;AllGlyphs[164]</v>
      </c>
      <c r="BQ178" s="54" t="str">
        <f>IF($R178,"&amp;AllGlyphs[" &amp; M178 &amp; "]","")</f>
        <v>&amp;AllGlyphs[169]</v>
      </c>
      <c r="BR178" s="54" t="str">
        <f>IF($R178,"&amp;AllGlyphs[" &amp; O178 &amp; "]","")</f>
        <v>&amp;AllGlyphs[170]</v>
      </c>
      <c r="BT178" s="58">
        <f>IF($R178,IF(AB178,1,0),"")</f>
        <v>0</v>
      </c>
      <c r="BU178" s="58">
        <f>IF($R178,IF(AC178,1,0),"")</f>
        <v>0</v>
      </c>
      <c r="BV178" s="58">
        <f>IF($R178,IF(AD178,1,0),"")</f>
        <v>0</v>
      </c>
      <c r="BW178" s="58">
        <f>IF($R178,IF(AE178,1,0),"")</f>
        <v>0</v>
      </c>
      <c r="BX178" s="58">
        <f>IF($R178,IF(AR178,1,0),"")</f>
        <v>0</v>
      </c>
      <c r="BY178" s="58">
        <f>IF($R178,IF(AS178,1,0),"")</f>
        <v>0</v>
      </c>
    </row>
    <row r="179" spans="1:77" x14ac:dyDescent="0.4">
      <c r="A179" s="7" t="s">
        <v>155</v>
      </c>
      <c r="B179" s="6" t="str">
        <f t="shared" si="28"/>
        <v>ö</v>
      </c>
      <c r="C179" s="48" cm="1">
        <f t="array" ref="C179">IF($R179,INDEX($S:$S,MATCH(TRUE,EXACT(B179,$A:$A),0)),"")</f>
        <v>166</v>
      </c>
      <c r="D179" s="38" t="s">
        <v>157</v>
      </c>
      <c r="E179" s="48" cm="1">
        <f t="array" ref="E179">IF($R179,INDEX($S:$S,MATCH(TRUE,EXACT(D179,$A:$A),0)),"")</f>
        <v>168</v>
      </c>
      <c r="F179" s="38" t="s">
        <v>154</v>
      </c>
      <c r="G179" s="48" cm="1">
        <f t="array" ref="G179">IF($S179&lt;&gt;"",INDEX($S:$S,MATCH(TRUE,EXACT(F179,$A:$A),0)),"")</f>
        <v>165</v>
      </c>
      <c r="H179" s="38" t="s">
        <v>153</v>
      </c>
      <c r="I179" s="48" cm="1">
        <f t="array" ref="I179">IF($R179,INDEX($S:$S,MATCH(TRUE,EXACT(H179,$A:$A),0)),"")</f>
        <v>164</v>
      </c>
      <c r="J179" s="38" t="s">
        <v>156</v>
      </c>
      <c r="K179" s="52" cm="1">
        <f t="array" ref="K179">IF($R179,INDEX($S:$S,MATCH(TRUE,EXACT(J179,$A:$A),0)),"")</f>
        <v>167</v>
      </c>
      <c r="L179" s="38" t="str" cm="1">
        <f t="array" ref="L179">IF($R179,INDEX($T:$T,MATCH(TRUE,EXACT(H179,$D:$D),0)),"")</f>
        <v>û</v>
      </c>
      <c r="M179" s="48" cm="1">
        <f t="array" ref="M179">IF($R179,INDEX($S:$S,MATCH(TRUE,EXACT(L179,$A:$A),0)),"")</f>
        <v>170</v>
      </c>
      <c r="N179" s="38" t="str" cm="1">
        <f t="array" ref="N179">IF($R179,INDEX($T:$T,MATCH(TRUE,EXACT(J179,$D:$D),0)),"")</f>
        <v>ù</v>
      </c>
      <c r="O179" s="52" cm="1">
        <f t="array" ref="O179">IF($R179,INDEX($S:$S,MATCH(TRUE,EXACT(N179,$A:$A),0)),"")</f>
        <v>169</v>
      </c>
      <c r="P179" s="23"/>
      <c r="Q179" s="33"/>
      <c r="R179" s="18" t="b">
        <f t="shared" si="29"/>
        <v>1</v>
      </c>
      <c r="S179" s="19">
        <f>IF(R179, MAX(S$2:S178)+1,"")</f>
        <v>166</v>
      </c>
      <c r="T179" s="23" t="str">
        <f t="shared" si="30"/>
        <v>ö</v>
      </c>
      <c r="U179" s="8" t="str" cm="1">
        <f t="array" ref="U179">CharToUTF8(A179)</f>
        <v>\xC3\xB6</v>
      </c>
      <c r="W179" s="18" t="str">
        <f>$AU$3</f>
        <v>DIAG_BOTH</v>
      </c>
      <c r="X179" s="24" t="str">
        <f>$AU$2</f>
        <v>EMPTY</v>
      </c>
      <c r="Y179" s="24" t="str">
        <f>$AU$2</f>
        <v>EMPTY</v>
      </c>
      <c r="Z179" s="21" t="str">
        <f>$AU$4</f>
        <v>ORTHO_BOTH</v>
      </c>
      <c r="AB179" s="31" t="b">
        <f t="shared" si="31"/>
        <v>0</v>
      </c>
      <c r="AC179" s="31" t="b">
        <f t="shared" si="32"/>
        <v>0</v>
      </c>
      <c r="AD179" t="b">
        <f t="shared" si="33"/>
        <v>0</v>
      </c>
      <c r="AE179" t="b">
        <f t="shared" si="34"/>
        <v>0</v>
      </c>
      <c r="AF179" t="b">
        <f>IF($R179,W179=VLOOKUP(Z179,$AU$2:$AZ$10,3,FALSE),"")</f>
        <v>0</v>
      </c>
      <c r="AG179" t="b">
        <f>IF($R179,X179=VLOOKUP(Y179,$AU$2:$AZ$10,3,FALSE),"")</f>
        <v>1</v>
      </c>
      <c r="AH179" t="b">
        <f>IF($R179,Y179=VLOOKUP(W179,$AU$2:$AZ$10,3,FALSE),"")</f>
        <v>0</v>
      </c>
      <c r="AI179" t="b">
        <f>IF($R179,Z179=VLOOKUP(X179,$AU$2:$AZ$10,3,FALSE),"")</f>
        <v>0</v>
      </c>
      <c r="AJ179" t="b">
        <f>IF($R179,W179=VLOOKUP(W179,$AU$2:$AZ$10,4,FALSE),"")</f>
        <v>1</v>
      </c>
      <c r="AK179" t="b">
        <f>IF($R179,X179=VLOOKUP(X179,$AU$2:$AZ$10,4,FALSE),"")</f>
        <v>1</v>
      </c>
      <c r="AL179" t="b">
        <f>IF($R179,Y179=VLOOKUP(Y179,$AU$2:$AZ$10,4,FALSE),"")</f>
        <v>1</v>
      </c>
      <c r="AM179" t="b">
        <f>IF($R179,Z179=VLOOKUP(Z179,$AU$2:$AZ$10,4,FALSE),"")</f>
        <v>1</v>
      </c>
      <c r="AN179" t="b">
        <f>IF($R179,W179=VLOOKUP(W179,$AU$2:$AZ$10,5,FALSE),"")</f>
        <v>1</v>
      </c>
      <c r="AO179" t="b">
        <f>IF($R179,X179=VLOOKUP(X179,$AU$2:$AZ$10,5,FALSE),"")</f>
        <v>1</v>
      </c>
      <c r="AP179" t="b">
        <f>IF($R179,Y179=VLOOKUP(Y179,$AU$2:$AZ$10,6,FALSE),"")</f>
        <v>1</v>
      </c>
      <c r="AQ179" t="b">
        <f>IF($R179,Z179=VLOOKUP(Z179,$AU$2:$AZ$10,6,FALSE),"")</f>
        <v>1</v>
      </c>
      <c r="AR179" t="b">
        <f t="shared" si="35"/>
        <v>0</v>
      </c>
      <c r="AS179" t="b">
        <f t="shared" si="36"/>
        <v>0</v>
      </c>
      <c r="BD179" s="59" t="str">
        <f t="shared" si="37"/>
        <v xml:space="preserve">    { wxString::FromUTF8("\xC3\xB6"), &amp;AllGlyphs[168], &amp;AllGlyphs[165], &amp;AllGlyphs[164], &amp;AllGlyphs[167], &amp;AllGlyphs[170], &amp;AllGlyphs[169], Connection::DIAG_BOTH, Connection::EMPTY, Connection::EMPTY, Connection::ORTHO_BOTH, 0, 0, 0, 0, 0, 0 },</v>
      </c>
      <c r="BE179" s="60"/>
      <c r="BF179" s="60"/>
      <c r="BG179" s="60"/>
      <c r="BH179" s="60"/>
      <c r="BI179" s="60"/>
      <c r="BJ179" s="60"/>
      <c r="BK179" s="61"/>
      <c r="BM179" s="54" t="str">
        <f>IF($R179,"&amp;AllGlyphs[" &amp; E179 &amp; "]","")</f>
        <v>&amp;AllGlyphs[168]</v>
      </c>
      <c r="BN179" s="54" t="str">
        <f>IF($R179,"&amp;AllGlyphs[" &amp; G179 &amp; "]","")</f>
        <v>&amp;AllGlyphs[165]</v>
      </c>
      <c r="BO179" s="54" t="str">
        <f>IF($R179,"&amp;AllGlyphs[" &amp; I179 &amp; "]","")</f>
        <v>&amp;AllGlyphs[164]</v>
      </c>
      <c r="BP179" s="54" t="str">
        <f>IF($R179,"&amp;AllGlyphs[" &amp; K179 &amp; "]","")</f>
        <v>&amp;AllGlyphs[167]</v>
      </c>
      <c r="BQ179" s="54" t="str">
        <f>IF($R179,"&amp;AllGlyphs[" &amp; M179 &amp; "]","")</f>
        <v>&amp;AllGlyphs[170]</v>
      </c>
      <c r="BR179" s="54" t="str">
        <f>IF($R179,"&amp;AllGlyphs[" &amp; O179 &amp; "]","")</f>
        <v>&amp;AllGlyphs[169]</v>
      </c>
      <c r="BT179" s="58">
        <f>IF($R179,IF(AB179,1,0),"")</f>
        <v>0</v>
      </c>
      <c r="BU179" s="58">
        <f>IF($R179,IF(AC179,1,0),"")</f>
        <v>0</v>
      </c>
      <c r="BV179" s="58">
        <f>IF($R179,IF(AD179,1,0),"")</f>
        <v>0</v>
      </c>
      <c r="BW179" s="58">
        <f>IF($R179,IF(AE179,1,0),"")</f>
        <v>0</v>
      </c>
      <c r="BX179" s="58">
        <f>IF($R179,IF(AR179,1,0),"")</f>
        <v>0</v>
      </c>
      <c r="BY179" s="58">
        <f>IF($R179,IF(AS179,1,0),"")</f>
        <v>0</v>
      </c>
    </row>
    <row r="180" spans="1:77" x14ac:dyDescent="0.4">
      <c r="A180" s="7" t="s">
        <v>156</v>
      </c>
      <c r="B180" s="6" t="str">
        <f t="shared" si="28"/>
        <v>÷</v>
      </c>
      <c r="C180" s="48" cm="1">
        <f t="array" ref="C180">IF($R180,INDEX($S:$S,MATCH(TRUE,EXACT(B180,$A:$A),0)),"")</f>
        <v>167</v>
      </c>
      <c r="D180" s="38" t="s">
        <v>158</v>
      </c>
      <c r="E180" s="48" cm="1">
        <f t="array" ref="E180">IF($R180,INDEX($S:$S,MATCH(TRUE,EXACT(D180,$A:$A),0)),"")</f>
        <v>170</v>
      </c>
      <c r="F180" s="38" t="s">
        <v>153</v>
      </c>
      <c r="G180" s="48" cm="1">
        <f t="array" ref="G180">IF($S180&lt;&gt;"",INDEX($S:$S,MATCH(TRUE,EXACT(F180,$A:$A),0)),"")</f>
        <v>164</v>
      </c>
      <c r="H180" s="38" t="s">
        <v>154</v>
      </c>
      <c r="I180" s="48" cm="1">
        <f t="array" ref="I180">IF($R180,INDEX($S:$S,MATCH(TRUE,EXACT(H180,$A:$A),0)),"")</f>
        <v>165</v>
      </c>
      <c r="J180" s="38" t="s">
        <v>155</v>
      </c>
      <c r="K180" s="52" cm="1">
        <f t="array" ref="K180">IF($R180,INDEX($S:$S,MATCH(TRUE,EXACT(J180,$A:$A),0)),"")</f>
        <v>166</v>
      </c>
      <c r="L180" s="38" t="str" cm="1">
        <f t="array" ref="L180">IF($R180,INDEX($T:$T,MATCH(TRUE,EXACT(H180,$D:$D),0)),"")</f>
        <v>ø</v>
      </c>
      <c r="M180" s="48" cm="1">
        <f t="array" ref="M180">IF($R180,INDEX($S:$S,MATCH(TRUE,EXACT(L180,$A:$A),0)),"")</f>
        <v>168</v>
      </c>
      <c r="N180" s="38" t="str" cm="1">
        <f t="array" ref="N180">IF($R180,INDEX($T:$T,MATCH(TRUE,EXACT(J180,$D:$D),0)),"")</f>
        <v>ü</v>
      </c>
      <c r="O180" s="52" cm="1">
        <f t="array" ref="O180">IF($R180,INDEX($S:$S,MATCH(TRUE,EXACT(N180,$A:$A),0)),"")</f>
        <v>171</v>
      </c>
      <c r="P180" s="23"/>
      <c r="Q180" s="33"/>
      <c r="R180" s="18" t="b">
        <f t="shared" si="29"/>
        <v>1</v>
      </c>
      <c r="S180" s="19">
        <f>IF(R180, MAX(S$2:S179)+1,"")</f>
        <v>167</v>
      </c>
      <c r="T180" s="23" t="str">
        <f t="shared" si="30"/>
        <v>÷</v>
      </c>
      <c r="U180" s="8" t="str" cm="1">
        <f t="array" ref="U180">CharToUTF8(A180)</f>
        <v>\xC3\xB7</v>
      </c>
      <c r="W180" s="18" t="str">
        <f>$AU$3</f>
        <v>DIAG_BOTH</v>
      </c>
      <c r="X180" s="24" t="str">
        <f>$AU$2</f>
        <v>EMPTY</v>
      </c>
      <c r="Y180" s="24" t="str">
        <f>$AU$4</f>
        <v>ORTHO_BOTH</v>
      </c>
      <c r="Z180" s="21" t="str">
        <f>$AU$2</f>
        <v>EMPTY</v>
      </c>
      <c r="AB180" s="31" t="b">
        <f t="shared" si="31"/>
        <v>0</v>
      </c>
      <c r="AC180" s="31" t="b">
        <f t="shared" si="32"/>
        <v>0</v>
      </c>
      <c r="AD180" t="b">
        <f t="shared" si="33"/>
        <v>0</v>
      </c>
      <c r="AE180" t="b">
        <f t="shared" si="34"/>
        <v>0</v>
      </c>
      <c r="AF180" t="b">
        <f>IF($R180,W180=VLOOKUP(Z180,$AU$2:$AZ$10,3,FALSE),"")</f>
        <v>0</v>
      </c>
      <c r="AG180" t="b">
        <f>IF($R180,X180=VLOOKUP(Y180,$AU$2:$AZ$10,3,FALSE),"")</f>
        <v>0</v>
      </c>
      <c r="AH180" t="b">
        <f>IF($R180,Y180=VLOOKUP(W180,$AU$2:$AZ$10,3,FALSE),"")</f>
        <v>0</v>
      </c>
      <c r="AI180" t="b">
        <f>IF($R180,Z180=VLOOKUP(X180,$AU$2:$AZ$10,3,FALSE),"")</f>
        <v>1</v>
      </c>
      <c r="AJ180" t="b">
        <f>IF($R180,W180=VLOOKUP(W180,$AU$2:$AZ$10,4,FALSE),"")</f>
        <v>1</v>
      </c>
      <c r="AK180" t="b">
        <f>IF($R180,X180=VLOOKUP(X180,$AU$2:$AZ$10,4,FALSE),"")</f>
        <v>1</v>
      </c>
      <c r="AL180" t="b">
        <f>IF($R180,Y180=VLOOKUP(Y180,$AU$2:$AZ$10,4,FALSE),"")</f>
        <v>1</v>
      </c>
      <c r="AM180" t="b">
        <f>IF($R180,Z180=VLOOKUP(Z180,$AU$2:$AZ$10,4,FALSE),"")</f>
        <v>1</v>
      </c>
      <c r="AN180" t="b">
        <f>IF($R180,W180=VLOOKUP(W180,$AU$2:$AZ$10,5,FALSE),"")</f>
        <v>1</v>
      </c>
      <c r="AO180" t="b">
        <f>IF($R180,X180=VLOOKUP(X180,$AU$2:$AZ$10,5,FALSE),"")</f>
        <v>1</v>
      </c>
      <c r="AP180" t="b">
        <f>IF($R180,Y180=VLOOKUP(Y180,$AU$2:$AZ$10,6,FALSE),"")</f>
        <v>1</v>
      </c>
      <c r="AQ180" t="b">
        <f>IF($R180,Z180=VLOOKUP(Z180,$AU$2:$AZ$10,6,FALSE),"")</f>
        <v>1</v>
      </c>
      <c r="AR180" t="b">
        <f t="shared" si="35"/>
        <v>0</v>
      </c>
      <c r="AS180" t="b">
        <f t="shared" si="36"/>
        <v>0</v>
      </c>
      <c r="BD180" s="59" t="str">
        <f t="shared" si="37"/>
        <v xml:space="preserve">    { wxString::FromUTF8("\xC3\xB7"), &amp;AllGlyphs[170], &amp;AllGlyphs[164], &amp;AllGlyphs[165], &amp;AllGlyphs[166], &amp;AllGlyphs[168], &amp;AllGlyphs[171], Connection::DIAG_BOTH, Connection::EMPTY, Connection::ORTHO_BOTH, Connection::EMPTY, 0, 0, 0, 0, 0, 0 },</v>
      </c>
      <c r="BE180" s="60"/>
      <c r="BF180" s="60"/>
      <c r="BG180" s="60"/>
      <c r="BH180" s="60"/>
      <c r="BI180" s="60"/>
      <c r="BJ180" s="60"/>
      <c r="BK180" s="61"/>
      <c r="BM180" s="54" t="str">
        <f>IF($R180,"&amp;AllGlyphs[" &amp; E180 &amp; "]","")</f>
        <v>&amp;AllGlyphs[170]</v>
      </c>
      <c r="BN180" s="54" t="str">
        <f>IF($R180,"&amp;AllGlyphs[" &amp; G180 &amp; "]","")</f>
        <v>&amp;AllGlyphs[164]</v>
      </c>
      <c r="BO180" s="54" t="str">
        <f>IF($R180,"&amp;AllGlyphs[" &amp; I180 &amp; "]","")</f>
        <v>&amp;AllGlyphs[165]</v>
      </c>
      <c r="BP180" s="54" t="str">
        <f>IF($R180,"&amp;AllGlyphs[" &amp; K180 &amp; "]","")</f>
        <v>&amp;AllGlyphs[166]</v>
      </c>
      <c r="BQ180" s="54" t="str">
        <f>IF($R180,"&amp;AllGlyphs[" &amp; M180 &amp; "]","")</f>
        <v>&amp;AllGlyphs[168]</v>
      </c>
      <c r="BR180" s="54" t="str">
        <f>IF($R180,"&amp;AllGlyphs[" &amp; O180 &amp; "]","")</f>
        <v>&amp;AllGlyphs[171]</v>
      </c>
      <c r="BT180" s="58">
        <f>IF($R180,IF(AB180,1,0),"")</f>
        <v>0</v>
      </c>
      <c r="BU180" s="58">
        <f>IF($R180,IF(AC180,1,0),"")</f>
        <v>0</v>
      </c>
      <c r="BV180" s="58">
        <f>IF($R180,IF(AD180,1,0),"")</f>
        <v>0</v>
      </c>
      <c r="BW180" s="58">
        <f>IF($R180,IF(AE180,1,0),"")</f>
        <v>0</v>
      </c>
      <c r="BX180" s="58">
        <f>IF($R180,IF(AR180,1,0),"")</f>
        <v>0</v>
      </c>
      <c r="BY180" s="58">
        <f>IF($R180,IF(AS180,1,0),"")</f>
        <v>0</v>
      </c>
    </row>
    <row r="181" spans="1:77" x14ac:dyDescent="0.4">
      <c r="A181" s="7" t="s">
        <v>157</v>
      </c>
      <c r="B181" s="6" t="str">
        <f t="shared" si="28"/>
        <v>ø</v>
      </c>
      <c r="C181" s="48" cm="1">
        <f t="array" ref="C181">IF($R181,INDEX($S:$S,MATCH(TRUE,EXACT(B181,$A:$A),0)),"")</f>
        <v>168</v>
      </c>
      <c r="D181" s="38" t="s">
        <v>154</v>
      </c>
      <c r="E181" s="48" cm="1">
        <f t="array" ref="E181">IF($R181,INDEX($S:$S,MATCH(TRUE,EXACT(D181,$A:$A),0)),"")</f>
        <v>165</v>
      </c>
      <c r="F181" s="38" t="s">
        <v>159</v>
      </c>
      <c r="G181" s="48" cm="1">
        <f t="array" ref="G181">IF($S181&lt;&gt;"",INDEX($S:$S,MATCH(TRUE,EXACT(F181,$A:$A),0)),"")</f>
        <v>171</v>
      </c>
      <c r="H181" s="38" t="s">
        <v>158</v>
      </c>
      <c r="I181" s="48" cm="1">
        <f t="array" ref="I181">IF($R181,INDEX($S:$S,MATCH(TRUE,EXACT(H181,$A:$A),0)),"")</f>
        <v>170</v>
      </c>
      <c r="J181" s="38" t="s">
        <v>164</v>
      </c>
      <c r="K181" s="52" cm="1">
        <f t="array" ref="K181">IF($R181,INDEX($S:$S,MATCH(TRUE,EXACT(J181,$A:$A),0)),"")</f>
        <v>169</v>
      </c>
      <c r="L181" s="38" t="str" cm="1">
        <f t="array" ref="L181">IF($R181,INDEX($T:$T,MATCH(TRUE,EXACT(H181,$D:$D),0)),"")</f>
        <v>÷</v>
      </c>
      <c r="M181" s="48" cm="1">
        <f t="array" ref="M181">IF($R181,INDEX($S:$S,MATCH(TRUE,EXACT(L181,$A:$A),0)),"")</f>
        <v>167</v>
      </c>
      <c r="N181" s="38" t="str" cm="1">
        <f t="array" ref="N181">IF($R181,INDEX($T:$T,MATCH(TRUE,EXACT(J181,$D:$D),0)),"")</f>
        <v>ô</v>
      </c>
      <c r="O181" s="52" cm="1">
        <f t="array" ref="O181">IF($R181,INDEX($S:$S,MATCH(TRUE,EXACT(N181,$A:$A),0)),"")</f>
        <v>164</v>
      </c>
      <c r="P181" s="23"/>
      <c r="Q181" s="33"/>
      <c r="R181" s="18" t="b">
        <f t="shared" si="29"/>
        <v>1</v>
      </c>
      <c r="S181" s="19">
        <f>IF(R181, MAX(S$2:S180)+1,"")</f>
        <v>168</v>
      </c>
      <c r="T181" s="23" t="str">
        <f t="shared" si="30"/>
        <v>ø</v>
      </c>
      <c r="U181" s="8" t="str" cm="1">
        <f t="array" ref="U181">CharToUTF8(A181)</f>
        <v>\xC3\xB8</v>
      </c>
      <c r="W181" s="18" t="str">
        <f>$AU$2</f>
        <v>EMPTY</v>
      </c>
      <c r="X181" s="24" t="str">
        <f>$AU$4</f>
        <v>ORTHO_BOTH</v>
      </c>
      <c r="Y181" s="24" t="str">
        <f>$AU$2</f>
        <v>EMPTY</v>
      </c>
      <c r="Z181" s="21" t="str">
        <f>$AU$3</f>
        <v>DIAG_BOTH</v>
      </c>
      <c r="AB181" s="31" t="b">
        <f t="shared" si="31"/>
        <v>0</v>
      </c>
      <c r="AC181" s="31" t="b">
        <f t="shared" si="32"/>
        <v>0</v>
      </c>
      <c r="AD181" t="b">
        <f t="shared" si="33"/>
        <v>0</v>
      </c>
      <c r="AE181" t="b">
        <f t="shared" si="34"/>
        <v>0</v>
      </c>
      <c r="AF181" t="b">
        <f>IF($R181,W181=VLOOKUP(Z181,$AU$2:$AZ$10,3,FALSE),"")</f>
        <v>0</v>
      </c>
      <c r="AG181" t="b">
        <f>IF($R181,X181=VLOOKUP(Y181,$AU$2:$AZ$10,3,FALSE),"")</f>
        <v>0</v>
      </c>
      <c r="AH181" t="b">
        <f>IF($R181,Y181=VLOOKUP(W181,$AU$2:$AZ$10,3,FALSE),"")</f>
        <v>1</v>
      </c>
      <c r="AI181" t="b">
        <f>IF($R181,Z181=VLOOKUP(X181,$AU$2:$AZ$10,3,FALSE),"")</f>
        <v>0</v>
      </c>
      <c r="AJ181" t="b">
        <f>IF($R181,W181=VLOOKUP(W181,$AU$2:$AZ$10,4,FALSE),"")</f>
        <v>1</v>
      </c>
      <c r="AK181" t="b">
        <f>IF($R181,X181=VLOOKUP(X181,$AU$2:$AZ$10,4,FALSE),"")</f>
        <v>1</v>
      </c>
      <c r="AL181" t="b">
        <f>IF($R181,Y181=VLOOKUP(Y181,$AU$2:$AZ$10,4,FALSE),"")</f>
        <v>1</v>
      </c>
      <c r="AM181" t="b">
        <f>IF($R181,Z181=VLOOKUP(Z181,$AU$2:$AZ$10,4,FALSE),"")</f>
        <v>1</v>
      </c>
      <c r="AN181" t="b">
        <f>IF($R181,W181=VLOOKUP(W181,$AU$2:$AZ$10,5,FALSE),"")</f>
        <v>1</v>
      </c>
      <c r="AO181" t="b">
        <f>IF($R181,X181=VLOOKUP(X181,$AU$2:$AZ$10,5,FALSE),"")</f>
        <v>1</v>
      </c>
      <c r="AP181" t="b">
        <f>IF($R181,Y181=VLOOKUP(Y181,$AU$2:$AZ$10,6,FALSE),"")</f>
        <v>1</v>
      </c>
      <c r="AQ181" t="b">
        <f>IF($R181,Z181=VLOOKUP(Z181,$AU$2:$AZ$10,6,FALSE),"")</f>
        <v>1</v>
      </c>
      <c r="AR181" t="b">
        <f t="shared" si="35"/>
        <v>0</v>
      </c>
      <c r="AS181" t="b">
        <f t="shared" si="36"/>
        <v>0</v>
      </c>
      <c r="BD181" s="59" t="str">
        <f t="shared" si="37"/>
        <v xml:space="preserve">    { wxString::FromUTF8("\xC3\xB8"), &amp;AllGlyphs[165], &amp;AllGlyphs[171], &amp;AllGlyphs[170], &amp;AllGlyphs[169], &amp;AllGlyphs[167], &amp;AllGlyphs[164], Connection::EMPTY, Connection::ORTHO_BOTH, Connection::EMPTY, Connection::DIAG_BOTH, 0, 0, 0, 0, 0, 0 },</v>
      </c>
      <c r="BE181" s="60"/>
      <c r="BF181" s="60"/>
      <c r="BG181" s="60"/>
      <c r="BH181" s="60"/>
      <c r="BI181" s="60"/>
      <c r="BJ181" s="60"/>
      <c r="BK181" s="61"/>
      <c r="BM181" s="54" t="str">
        <f>IF($R181,"&amp;AllGlyphs[" &amp; E181 &amp; "]","")</f>
        <v>&amp;AllGlyphs[165]</v>
      </c>
      <c r="BN181" s="54" t="str">
        <f>IF($R181,"&amp;AllGlyphs[" &amp; G181 &amp; "]","")</f>
        <v>&amp;AllGlyphs[171]</v>
      </c>
      <c r="BO181" s="54" t="str">
        <f>IF($R181,"&amp;AllGlyphs[" &amp; I181 &amp; "]","")</f>
        <v>&amp;AllGlyphs[170]</v>
      </c>
      <c r="BP181" s="54" t="str">
        <f>IF($R181,"&amp;AllGlyphs[" &amp; K181 &amp; "]","")</f>
        <v>&amp;AllGlyphs[169]</v>
      </c>
      <c r="BQ181" s="54" t="str">
        <f>IF($R181,"&amp;AllGlyphs[" &amp; M181 &amp; "]","")</f>
        <v>&amp;AllGlyphs[167]</v>
      </c>
      <c r="BR181" s="54" t="str">
        <f>IF($R181,"&amp;AllGlyphs[" &amp; O181 &amp; "]","")</f>
        <v>&amp;AllGlyphs[164]</v>
      </c>
      <c r="BT181" s="58">
        <f>IF($R181,IF(AB181,1,0),"")</f>
        <v>0</v>
      </c>
      <c r="BU181" s="58">
        <f>IF($R181,IF(AC181,1,0),"")</f>
        <v>0</v>
      </c>
      <c r="BV181" s="58">
        <f>IF($R181,IF(AD181,1,0),"")</f>
        <v>0</v>
      </c>
      <c r="BW181" s="58">
        <f>IF($R181,IF(AE181,1,0),"")</f>
        <v>0</v>
      </c>
      <c r="BX181" s="58">
        <f>IF($R181,IF(AR181,1,0),"")</f>
        <v>0</v>
      </c>
      <c r="BY181" s="58">
        <f>IF($R181,IF(AS181,1,0),"")</f>
        <v>0</v>
      </c>
    </row>
    <row r="182" spans="1:77" x14ac:dyDescent="0.4">
      <c r="A182" s="7" t="s">
        <v>164</v>
      </c>
      <c r="B182" s="6" t="str">
        <f t="shared" si="28"/>
        <v>ù</v>
      </c>
      <c r="C182" s="48" cm="1">
        <f t="array" ref="C182">IF($R182,INDEX($S:$S,MATCH(TRUE,EXACT(B182,$A:$A),0)),"")</f>
        <v>169</v>
      </c>
      <c r="D182" s="38" t="s">
        <v>156</v>
      </c>
      <c r="E182" s="48" cm="1">
        <f t="array" ref="E182">IF($R182,INDEX($S:$S,MATCH(TRUE,EXACT(D182,$A:$A),0)),"")</f>
        <v>167</v>
      </c>
      <c r="F182" s="38" t="s">
        <v>158</v>
      </c>
      <c r="G182" s="48" cm="1">
        <f t="array" ref="G182">IF($S182&lt;&gt;"",INDEX($S:$S,MATCH(TRUE,EXACT(F182,$A:$A),0)),"")</f>
        <v>170</v>
      </c>
      <c r="H182" s="38" t="s">
        <v>159</v>
      </c>
      <c r="I182" s="48" cm="1">
        <f t="array" ref="I182">IF($R182,INDEX($S:$S,MATCH(TRUE,EXACT(H182,$A:$A),0)),"")</f>
        <v>171</v>
      </c>
      <c r="J182" s="38" t="s">
        <v>157</v>
      </c>
      <c r="K182" s="52" cm="1">
        <f t="array" ref="K182">IF($R182,INDEX($S:$S,MATCH(TRUE,EXACT(J182,$A:$A),0)),"")</f>
        <v>168</v>
      </c>
      <c r="L182" s="38" t="str" cm="1">
        <f t="array" ref="L182">IF($R182,INDEX($T:$T,MATCH(TRUE,EXACT(H182,$D:$D),0)),"")</f>
        <v>õ</v>
      </c>
      <c r="M182" s="48" cm="1">
        <f t="array" ref="M182">IF($R182,INDEX($S:$S,MATCH(TRUE,EXACT(L182,$A:$A),0)),"")</f>
        <v>165</v>
      </c>
      <c r="N182" s="38" t="str" cm="1">
        <f t="array" ref="N182">IF($R182,INDEX($T:$T,MATCH(TRUE,EXACT(J182,$D:$D),0)),"")</f>
        <v>ö</v>
      </c>
      <c r="O182" s="52" cm="1">
        <f t="array" ref="O182">IF($R182,INDEX($S:$S,MATCH(TRUE,EXACT(N182,$A:$A),0)),"")</f>
        <v>166</v>
      </c>
      <c r="P182" s="23"/>
      <c r="Q182" s="33"/>
      <c r="R182" s="18" t="b">
        <f t="shared" si="29"/>
        <v>1</v>
      </c>
      <c r="S182" s="19">
        <f>IF(R182, MAX(S$2:S181)+1,"")</f>
        <v>169</v>
      </c>
      <c r="T182" s="23" t="str">
        <f t="shared" si="30"/>
        <v>ù</v>
      </c>
      <c r="U182" s="8" t="str" cm="1">
        <f t="array" ref="U182">CharToUTF8(A182)</f>
        <v>\xC3\xB9</v>
      </c>
      <c r="W182" s="18" t="str">
        <f>$AU$2</f>
        <v>EMPTY</v>
      </c>
      <c r="X182" s="24" t="str">
        <f>$AU$4</f>
        <v>ORTHO_BOTH</v>
      </c>
      <c r="Y182" s="24" t="str">
        <f>$AU$3</f>
        <v>DIAG_BOTH</v>
      </c>
      <c r="Z182" s="21" t="str">
        <f>$AU$2</f>
        <v>EMPTY</v>
      </c>
      <c r="AB182" s="31" t="b">
        <f t="shared" si="31"/>
        <v>0</v>
      </c>
      <c r="AC182" s="31" t="b">
        <f t="shared" si="32"/>
        <v>0</v>
      </c>
      <c r="AD182" t="b">
        <f t="shared" si="33"/>
        <v>0</v>
      </c>
      <c r="AE182" t="b">
        <f t="shared" si="34"/>
        <v>0</v>
      </c>
      <c r="AF182" t="b">
        <f>IF($R182,W182=VLOOKUP(Z182,$AU$2:$AZ$10,3,FALSE),"")</f>
        <v>1</v>
      </c>
      <c r="AG182" t="b">
        <f>IF($R182,X182=VLOOKUP(Y182,$AU$2:$AZ$10,3,FALSE),"")</f>
        <v>0</v>
      </c>
      <c r="AH182" t="b">
        <f>IF($R182,Y182=VLOOKUP(W182,$AU$2:$AZ$10,3,FALSE),"")</f>
        <v>0</v>
      </c>
      <c r="AI182" t="b">
        <f>IF($R182,Z182=VLOOKUP(X182,$AU$2:$AZ$10,3,FALSE),"")</f>
        <v>0</v>
      </c>
      <c r="AJ182" t="b">
        <f>IF($R182,W182=VLOOKUP(W182,$AU$2:$AZ$10,4,FALSE),"")</f>
        <v>1</v>
      </c>
      <c r="AK182" t="b">
        <f>IF($R182,X182=VLOOKUP(X182,$AU$2:$AZ$10,4,FALSE),"")</f>
        <v>1</v>
      </c>
      <c r="AL182" t="b">
        <f>IF($R182,Y182=VLOOKUP(Y182,$AU$2:$AZ$10,4,FALSE),"")</f>
        <v>1</v>
      </c>
      <c r="AM182" t="b">
        <f>IF($R182,Z182=VLOOKUP(Z182,$AU$2:$AZ$10,4,FALSE),"")</f>
        <v>1</v>
      </c>
      <c r="AN182" t="b">
        <f>IF($R182,W182=VLOOKUP(W182,$AU$2:$AZ$10,5,FALSE),"")</f>
        <v>1</v>
      </c>
      <c r="AO182" t="b">
        <f>IF($R182,X182=VLOOKUP(X182,$AU$2:$AZ$10,5,FALSE),"")</f>
        <v>1</v>
      </c>
      <c r="AP182" t="b">
        <f>IF($R182,Y182=VLOOKUP(Y182,$AU$2:$AZ$10,6,FALSE),"")</f>
        <v>1</v>
      </c>
      <c r="AQ182" t="b">
        <f>IF($R182,Z182=VLOOKUP(Z182,$AU$2:$AZ$10,6,FALSE),"")</f>
        <v>1</v>
      </c>
      <c r="AR182" t="b">
        <f t="shared" si="35"/>
        <v>0</v>
      </c>
      <c r="AS182" t="b">
        <f t="shared" si="36"/>
        <v>0</v>
      </c>
      <c r="BD182" s="59" t="str">
        <f t="shared" si="37"/>
        <v xml:space="preserve">    { wxString::FromUTF8("\xC3\xB9"), &amp;AllGlyphs[167], &amp;AllGlyphs[170], &amp;AllGlyphs[171], &amp;AllGlyphs[168], &amp;AllGlyphs[165], &amp;AllGlyphs[166], Connection::EMPTY, Connection::ORTHO_BOTH, Connection::DIAG_BOTH, Connection::EMPTY, 0, 0, 0, 0, 0, 0 },</v>
      </c>
      <c r="BE182" s="60"/>
      <c r="BF182" s="60"/>
      <c r="BG182" s="60"/>
      <c r="BH182" s="60"/>
      <c r="BI182" s="60"/>
      <c r="BJ182" s="60"/>
      <c r="BK182" s="61"/>
      <c r="BM182" s="54" t="str">
        <f>IF($R182,"&amp;AllGlyphs[" &amp; E182 &amp; "]","")</f>
        <v>&amp;AllGlyphs[167]</v>
      </c>
      <c r="BN182" s="54" t="str">
        <f>IF($R182,"&amp;AllGlyphs[" &amp; G182 &amp; "]","")</f>
        <v>&amp;AllGlyphs[170]</v>
      </c>
      <c r="BO182" s="54" t="str">
        <f>IF($R182,"&amp;AllGlyphs[" &amp; I182 &amp; "]","")</f>
        <v>&amp;AllGlyphs[171]</v>
      </c>
      <c r="BP182" s="54" t="str">
        <f>IF($R182,"&amp;AllGlyphs[" &amp; K182 &amp; "]","")</f>
        <v>&amp;AllGlyphs[168]</v>
      </c>
      <c r="BQ182" s="54" t="str">
        <f>IF($R182,"&amp;AllGlyphs[" &amp; M182 &amp; "]","")</f>
        <v>&amp;AllGlyphs[165]</v>
      </c>
      <c r="BR182" s="54" t="str">
        <f>IF($R182,"&amp;AllGlyphs[" &amp; O182 &amp; "]","")</f>
        <v>&amp;AllGlyphs[166]</v>
      </c>
      <c r="BT182" s="58">
        <f>IF($R182,IF(AB182,1,0),"")</f>
        <v>0</v>
      </c>
      <c r="BU182" s="58">
        <f>IF($R182,IF(AC182,1,0),"")</f>
        <v>0</v>
      </c>
      <c r="BV182" s="58">
        <f>IF($R182,IF(AD182,1,0),"")</f>
        <v>0</v>
      </c>
      <c r="BW182" s="58">
        <f>IF($R182,IF(AE182,1,0),"")</f>
        <v>0</v>
      </c>
      <c r="BX182" s="58">
        <f>IF($R182,IF(AR182,1,0),"")</f>
        <v>0</v>
      </c>
      <c r="BY182" s="58">
        <f>IF($R182,IF(AS182,1,0),"")</f>
        <v>0</v>
      </c>
    </row>
    <row r="183" spans="1:77" x14ac:dyDescent="0.4">
      <c r="A183" s="7" t="s">
        <v>158</v>
      </c>
      <c r="B183" s="6" t="str">
        <f t="shared" si="28"/>
        <v>û</v>
      </c>
      <c r="C183" s="48" cm="1">
        <f t="array" ref="C183">IF($R183,INDEX($S:$S,MATCH(TRUE,EXACT(B183,$A:$A),0)),"")</f>
        <v>170</v>
      </c>
      <c r="D183" s="38" t="s">
        <v>153</v>
      </c>
      <c r="E183" s="48" cm="1">
        <f t="array" ref="E183">IF($R183,INDEX($S:$S,MATCH(TRUE,EXACT(D183,$A:$A),0)),"")</f>
        <v>164</v>
      </c>
      <c r="F183" s="38" t="s">
        <v>164</v>
      </c>
      <c r="G183" s="48" cm="1">
        <f t="array" ref="G183">IF($S183&lt;&gt;"",INDEX($S:$S,MATCH(TRUE,EXACT(F183,$A:$A),0)),"")</f>
        <v>169</v>
      </c>
      <c r="H183" s="38" t="s">
        <v>157</v>
      </c>
      <c r="I183" s="48" cm="1">
        <f t="array" ref="I183">IF($R183,INDEX($S:$S,MATCH(TRUE,EXACT(H183,$A:$A),0)),"")</f>
        <v>168</v>
      </c>
      <c r="J183" s="38" t="s">
        <v>159</v>
      </c>
      <c r="K183" s="52" cm="1">
        <f t="array" ref="K183">IF($R183,INDEX($S:$S,MATCH(TRUE,EXACT(J183,$A:$A),0)),"")</f>
        <v>171</v>
      </c>
      <c r="L183" s="38" t="str" cm="1">
        <f t="array" ref="L183">IF($R183,INDEX($T:$T,MATCH(TRUE,EXACT(H183,$D:$D),0)),"")</f>
        <v>ö</v>
      </c>
      <c r="M183" s="48" cm="1">
        <f t="array" ref="M183">IF($R183,INDEX($S:$S,MATCH(TRUE,EXACT(L183,$A:$A),0)),"")</f>
        <v>166</v>
      </c>
      <c r="N183" s="38" t="str" cm="1">
        <f t="array" ref="N183">IF($R183,INDEX($T:$T,MATCH(TRUE,EXACT(J183,$D:$D),0)),"")</f>
        <v>õ</v>
      </c>
      <c r="O183" s="52" cm="1">
        <f t="array" ref="O183">IF($R183,INDEX($S:$S,MATCH(TRUE,EXACT(N183,$A:$A),0)),"")</f>
        <v>165</v>
      </c>
      <c r="P183" s="23"/>
      <c r="Q183" s="33"/>
      <c r="R183" s="18" t="b">
        <f t="shared" si="29"/>
        <v>1</v>
      </c>
      <c r="S183" s="19">
        <f>IF(R183, MAX(S$2:S182)+1,"")</f>
        <v>170</v>
      </c>
      <c r="T183" s="23" t="str">
        <f t="shared" si="30"/>
        <v>û</v>
      </c>
      <c r="U183" s="8" t="str" cm="1">
        <f t="array" ref="U183">CharToUTF8(A183)</f>
        <v>\xC3\xBB</v>
      </c>
      <c r="W183" s="18" t="str">
        <f>$AU$4</f>
        <v>ORTHO_BOTH</v>
      </c>
      <c r="X183" s="24" t="str">
        <f>$AU$2</f>
        <v>EMPTY</v>
      </c>
      <c r="Y183" s="24" t="str">
        <f>$AU$2</f>
        <v>EMPTY</v>
      </c>
      <c r="Z183" s="21" t="str">
        <f>$AU$3</f>
        <v>DIAG_BOTH</v>
      </c>
      <c r="AB183" s="31" t="b">
        <f t="shared" si="31"/>
        <v>0</v>
      </c>
      <c r="AC183" s="31" t="b">
        <f t="shared" si="32"/>
        <v>0</v>
      </c>
      <c r="AD183" t="b">
        <f t="shared" si="33"/>
        <v>0</v>
      </c>
      <c r="AE183" t="b">
        <f t="shared" si="34"/>
        <v>0</v>
      </c>
      <c r="AF183" t="b">
        <f>IF($R183,W183=VLOOKUP(Z183,$AU$2:$AZ$10,3,FALSE),"")</f>
        <v>0</v>
      </c>
      <c r="AG183" t="b">
        <f>IF($R183,X183=VLOOKUP(Y183,$AU$2:$AZ$10,3,FALSE),"")</f>
        <v>1</v>
      </c>
      <c r="AH183" t="b">
        <f>IF($R183,Y183=VLOOKUP(W183,$AU$2:$AZ$10,3,FALSE),"")</f>
        <v>0</v>
      </c>
      <c r="AI183" t="b">
        <f>IF($R183,Z183=VLOOKUP(X183,$AU$2:$AZ$10,3,FALSE),"")</f>
        <v>0</v>
      </c>
      <c r="AJ183" t="b">
        <f>IF($R183,W183=VLOOKUP(W183,$AU$2:$AZ$10,4,FALSE),"")</f>
        <v>1</v>
      </c>
      <c r="AK183" t="b">
        <f>IF($R183,X183=VLOOKUP(X183,$AU$2:$AZ$10,4,FALSE),"")</f>
        <v>1</v>
      </c>
      <c r="AL183" t="b">
        <f>IF($R183,Y183=VLOOKUP(Y183,$AU$2:$AZ$10,4,FALSE),"")</f>
        <v>1</v>
      </c>
      <c r="AM183" t="b">
        <f>IF($R183,Z183=VLOOKUP(Z183,$AU$2:$AZ$10,4,FALSE),"")</f>
        <v>1</v>
      </c>
      <c r="AN183" t="b">
        <f>IF($R183,W183=VLOOKUP(W183,$AU$2:$AZ$10,5,FALSE),"")</f>
        <v>1</v>
      </c>
      <c r="AO183" t="b">
        <f>IF($R183,X183=VLOOKUP(X183,$AU$2:$AZ$10,5,FALSE),"")</f>
        <v>1</v>
      </c>
      <c r="AP183" t="b">
        <f>IF($R183,Y183=VLOOKUP(Y183,$AU$2:$AZ$10,6,FALSE),"")</f>
        <v>1</v>
      </c>
      <c r="AQ183" t="b">
        <f>IF($R183,Z183=VLOOKUP(Z183,$AU$2:$AZ$10,6,FALSE),"")</f>
        <v>1</v>
      </c>
      <c r="AR183" t="b">
        <f t="shared" si="35"/>
        <v>0</v>
      </c>
      <c r="AS183" t="b">
        <f t="shared" si="36"/>
        <v>0</v>
      </c>
      <c r="BD183" s="59" t="str">
        <f t="shared" si="37"/>
        <v xml:space="preserve">    { wxString::FromUTF8("\xC3\xBB"), &amp;AllGlyphs[164], &amp;AllGlyphs[169], &amp;AllGlyphs[168], &amp;AllGlyphs[171], &amp;AllGlyphs[166], &amp;AllGlyphs[165], Connection::ORTHO_BOTH, Connection::EMPTY, Connection::EMPTY, Connection::DIAG_BOTH, 0, 0, 0, 0, 0, 0 },</v>
      </c>
      <c r="BE183" s="60"/>
      <c r="BF183" s="60"/>
      <c r="BG183" s="60"/>
      <c r="BH183" s="60"/>
      <c r="BI183" s="60"/>
      <c r="BJ183" s="60"/>
      <c r="BK183" s="61"/>
      <c r="BM183" s="54" t="str">
        <f>IF($R183,"&amp;AllGlyphs[" &amp; E183 &amp; "]","")</f>
        <v>&amp;AllGlyphs[164]</v>
      </c>
      <c r="BN183" s="54" t="str">
        <f>IF($R183,"&amp;AllGlyphs[" &amp; G183 &amp; "]","")</f>
        <v>&amp;AllGlyphs[169]</v>
      </c>
      <c r="BO183" s="54" t="str">
        <f>IF($R183,"&amp;AllGlyphs[" &amp; I183 &amp; "]","")</f>
        <v>&amp;AllGlyphs[168]</v>
      </c>
      <c r="BP183" s="54" t="str">
        <f>IF($R183,"&amp;AllGlyphs[" &amp; K183 &amp; "]","")</f>
        <v>&amp;AllGlyphs[171]</v>
      </c>
      <c r="BQ183" s="54" t="str">
        <f>IF($R183,"&amp;AllGlyphs[" &amp; M183 &amp; "]","")</f>
        <v>&amp;AllGlyphs[166]</v>
      </c>
      <c r="BR183" s="54" t="str">
        <f>IF($R183,"&amp;AllGlyphs[" &amp; O183 &amp; "]","")</f>
        <v>&amp;AllGlyphs[165]</v>
      </c>
      <c r="BT183" s="58">
        <f>IF($R183,IF(AB183,1,0),"")</f>
        <v>0</v>
      </c>
      <c r="BU183" s="58">
        <f>IF($R183,IF(AC183,1,0),"")</f>
        <v>0</v>
      </c>
      <c r="BV183" s="58">
        <f>IF($R183,IF(AD183,1,0),"")</f>
        <v>0</v>
      </c>
      <c r="BW183" s="58">
        <f>IF($R183,IF(AE183,1,0),"")</f>
        <v>0</v>
      </c>
      <c r="BX183" s="58">
        <f>IF($R183,IF(AR183,1,0),"")</f>
        <v>0</v>
      </c>
      <c r="BY183" s="58">
        <f>IF($R183,IF(AS183,1,0),"")</f>
        <v>0</v>
      </c>
    </row>
    <row r="184" spans="1:77" x14ac:dyDescent="0.4">
      <c r="A184" s="7" t="s">
        <v>159</v>
      </c>
      <c r="B184" s="6" t="str">
        <f t="shared" si="28"/>
        <v>ü</v>
      </c>
      <c r="C184" s="48" cm="1">
        <f t="array" ref="C184">IF($R184,INDEX($S:$S,MATCH(TRUE,EXACT(B184,$A:$A),0)),"")</f>
        <v>171</v>
      </c>
      <c r="D184" s="38" t="s">
        <v>155</v>
      </c>
      <c r="E184" s="48" cm="1">
        <f t="array" ref="E184">IF($R184,INDEX($S:$S,MATCH(TRUE,EXACT(D184,$A:$A),0)),"")</f>
        <v>166</v>
      </c>
      <c r="F184" s="38" t="s">
        <v>157</v>
      </c>
      <c r="G184" s="48" cm="1">
        <f t="array" ref="G184">IF($S184&lt;&gt;"",INDEX($S:$S,MATCH(TRUE,EXACT(F184,$A:$A),0)),"")</f>
        <v>168</v>
      </c>
      <c r="H184" s="38" t="s">
        <v>164</v>
      </c>
      <c r="I184" s="48" cm="1">
        <f t="array" ref="I184">IF($R184,INDEX($S:$S,MATCH(TRUE,EXACT(H184,$A:$A),0)),"")</f>
        <v>169</v>
      </c>
      <c r="J184" s="38" t="s">
        <v>158</v>
      </c>
      <c r="K184" s="52" cm="1">
        <f t="array" ref="K184">IF($R184,INDEX($S:$S,MATCH(TRUE,EXACT(J184,$A:$A),0)),"")</f>
        <v>170</v>
      </c>
      <c r="L184" s="38" t="str" cm="1">
        <f t="array" ref="L184">IF($R184,INDEX($T:$T,MATCH(TRUE,EXACT(H184,$D:$D),0)),"")</f>
        <v>ô</v>
      </c>
      <c r="M184" s="48" cm="1">
        <f t="array" ref="M184">IF($R184,INDEX($S:$S,MATCH(TRUE,EXACT(L184,$A:$A),0)),"")</f>
        <v>164</v>
      </c>
      <c r="N184" s="38" t="str" cm="1">
        <f t="array" ref="N184">IF($R184,INDEX($T:$T,MATCH(TRUE,EXACT(J184,$D:$D),0)),"")</f>
        <v>÷</v>
      </c>
      <c r="O184" s="52" cm="1">
        <f t="array" ref="O184">IF($R184,INDEX($S:$S,MATCH(TRUE,EXACT(N184,$A:$A),0)),"")</f>
        <v>167</v>
      </c>
      <c r="P184" s="23"/>
      <c r="Q184" s="33"/>
      <c r="R184" s="18" t="b">
        <f t="shared" si="29"/>
        <v>1</v>
      </c>
      <c r="S184" s="19">
        <f>IF(R184, MAX(S$2:S183)+1,"")</f>
        <v>171</v>
      </c>
      <c r="T184" s="23" t="str">
        <f t="shared" si="30"/>
        <v>ü</v>
      </c>
      <c r="U184" s="8" t="str" cm="1">
        <f t="array" ref="U184">CharToUTF8(A184)</f>
        <v>\xC3\xBC</v>
      </c>
      <c r="W184" s="18" t="str">
        <f>$AU$4</f>
        <v>ORTHO_BOTH</v>
      </c>
      <c r="X184" s="24" t="str">
        <f>$AU$2</f>
        <v>EMPTY</v>
      </c>
      <c r="Y184" s="24" t="str">
        <f>$AU$3</f>
        <v>DIAG_BOTH</v>
      </c>
      <c r="Z184" s="21" t="str">
        <f>$AU$2</f>
        <v>EMPTY</v>
      </c>
      <c r="AB184" s="31" t="b">
        <f t="shared" si="31"/>
        <v>0</v>
      </c>
      <c r="AC184" s="31" t="b">
        <f t="shared" si="32"/>
        <v>0</v>
      </c>
      <c r="AD184" t="b">
        <f t="shared" si="33"/>
        <v>0</v>
      </c>
      <c r="AE184" t="b">
        <f t="shared" si="34"/>
        <v>0</v>
      </c>
      <c r="AF184" t="b">
        <f>IF($R184,W184=VLOOKUP(Z184,$AU$2:$AZ$10,3,FALSE),"")</f>
        <v>0</v>
      </c>
      <c r="AG184" t="b">
        <f>IF($R184,X184=VLOOKUP(Y184,$AU$2:$AZ$10,3,FALSE),"")</f>
        <v>0</v>
      </c>
      <c r="AH184" t="b">
        <f>IF($R184,Y184=VLOOKUP(W184,$AU$2:$AZ$10,3,FALSE),"")</f>
        <v>0</v>
      </c>
      <c r="AI184" t="b">
        <f>IF($R184,Z184=VLOOKUP(X184,$AU$2:$AZ$10,3,FALSE),"")</f>
        <v>1</v>
      </c>
      <c r="AJ184" t="b">
        <f>IF($R184,W184=VLOOKUP(W184,$AU$2:$AZ$10,4,FALSE),"")</f>
        <v>1</v>
      </c>
      <c r="AK184" t="b">
        <f>IF($R184,X184=VLOOKUP(X184,$AU$2:$AZ$10,4,FALSE),"")</f>
        <v>1</v>
      </c>
      <c r="AL184" t="b">
        <f>IF($R184,Y184=VLOOKUP(Y184,$AU$2:$AZ$10,4,FALSE),"")</f>
        <v>1</v>
      </c>
      <c r="AM184" t="b">
        <f>IF($R184,Z184=VLOOKUP(Z184,$AU$2:$AZ$10,4,FALSE),"")</f>
        <v>1</v>
      </c>
      <c r="AN184" t="b">
        <f>IF($R184,W184=VLOOKUP(W184,$AU$2:$AZ$10,5,FALSE),"")</f>
        <v>1</v>
      </c>
      <c r="AO184" t="b">
        <f>IF($R184,X184=VLOOKUP(X184,$AU$2:$AZ$10,5,FALSE),"")</f>
        <v>1</v>
      </c>
      <c r="AP184" t="b">
        <f>IF($R184,Y184=VLOOKUP(Y184,$AU$2:$AZ$10,6,FALSE),"")</f>
        <v>1</v>
      </c>
      <c r="AQ184" t="b">
        <f>IF($R184,Z184=VLOOKUP(Z184,$AU$2:$AZ$10,6,FALSE),"")</f>
        <v>1</v>
      </c>
      <c r="AR184" t="b">
        <f t="shared" si="35"/>
        <v>0</v>
      </c>
      <c r="AS184" t="b">
        <f t="shared" si="36"/>
        <v>0</v>
      </c>
      <c r="BD184" s="59" t="str">
        <f t="shared" si="37"/>
        <v xml:space="preserve">    { wxString::FromUTF8("\xC3\xBC"), &amp;AllGlyphs[166], &amp;AllGlyphs[168], &amp;AllGlyphs[169], &amp;AllGlyphs[170], &amp;AllGlyphs[164], &amp;AllGlyphs[167], Connection::ORTHO_BOTH, Connection::EMPTY, Connection::DIAG_BOTH, Connection::EMPTY, 0, 0, 0, 0, 0, 0 },</v>
      </c>
      <c r="BE184" s="60"/>
      <c r="BF184" s="60"/>
      <c r="BG184" s="60"/>
      <c r="BH184" s="60"/>
      <c r="BI184" s="60"/>
      <c r="BJ184" s="60"/>
      <c r="BK184" s="61"/>
      <c r="BM184" s="54" t="str">
        <f>IF($R184,"&amp;AllGlyphs[" &amp; E184 &amp; "]","")</f>
        <v>&amp;AllGlyphs[166]</v>
      </c>
      <c r="BN184" s="54" t="str">
        <f>IF($R184,"&amp;AllGlyphs[" &amp; G184 &amp; "]","")</f>
        <v>&amp;AllGlyphs[168]</v>
      </c>
      <c r="BO184" s="54" t="str">
        <f>IF($R184,"&amp;AllGlyphs[" &amp; I184 &amp; "]","")</f>
        <v>&amp;AllGlyphs[169]</v>
      </c>
      <c r="BP184" s="54" t="str">
        <f>IF($R184,"&amp;AllGlyphs[" &amp; K184 &amp; "]","")</f>
        <v>&amp;AllGlyphs[170]</v>
      </c>
      <c r="BQ184" s="54" t="str">
        <f>IF($R184,"&amp;AllGlyphs[" &amp; M184 &amp; "]","")</f>
        <v>&amp;AllGlyphs[164]</v>
      </c>
      <c r="BR184" s="54" t="str">
        <f>IF($R184,"&amp;AllGlyphs[" &amp; O184 &amp; "]","")</f>
        <v>&amp;AllGlyphs[167]</v>
      </c>
      <c r="BT184" s="58">
        <f>IF($R184,IF(AB184,1,0),"")</f>
        <v>0</v>
      </c>
      <c r="BU184" s="58">
        <f>IF($R184,IF(AC184,1,0),"")</f>
        <v>0</v>
      </c>
      <c r="BV184" s="58">
        <f>IF($R184,IF(AD184,1,0),"")</f>
        <v>0</v>
      </c>
      <c r="BW184" s="58">
        <f>IF($R184,IF(AE184,1,0),"")</f>
        <v>0</v>
      </c>
      <c r="BX184" s="58">
        <f>IF($R184,IF(AR184,1,0),"")</f>
        <v>0</v>
      </c>
      <c r="BY184" s="58">
        <f>IF($R184,IF(AS184,1,0),"")</f>
        <v>0</v>
      </c>
    </row>
    <row r="185" spans="1:77" x14ac:dyDescent="0.4">
      <c r="A185" s="7" t="s">
        <v>179</v>
      </c>
      <c r="B185" s="6" t="str">
        <f t="shared" si="28"/>
        <v>ģ</v>
      </c>
      <c r="C185" s="48" cm="1">
        <f t="array" ref="C185">IF($R185,INDEX($S:$S,MATCH(TRUE,EXACT(B185,$A:$A),0)),"")</f>
        <v>172</v>
      </c>
      <c r="D185" s="38" t="s">
        <v>180</v>
      </c>
      <c r="E185" s="48" cm="1">
        <f t="array" ref="E185">IF($R185,INDEX($S:$S,MATCH(TRUE,EXACT(D185,$A:$A),0)),"")</f>
        <v>173</v>
      </c>
      <c r="F185" s="38" t="s">
        <v>181</v>
      </c>
      <c r="G185" s="48" cm="1">
        <f t="array" ref="G185">IF($S185&lt;&gt;"",INDEX($S:$S,MATCH(TRUE,EXACT(F185,$A:$A),0)),"")</f>
        <v>174</v>
      </c>
      <c r="H185" s="38" t="s">
        <v>185</v>
      </c>
      <c r="I185" s="48" cm="1">
        <f t="array" ref="I185">IF($R185,INDEX($S:$S,MATCH(TRUE,EXACT(H185,$A:$A),0)),"")</f>
        <v>178</v>
      </c>
      <c r="J185" s="38" t="s">
        <v>183</v>
      </c>
      <c r="K185" s="52" cm="1">
        <f t="array" ref="K185">IF($R185,INDEX($S:$S,MATCH(TRUE,EXACT(J185,$A:$A),0)),"")</f>
        <v>176</v>
      </c>
      <c r="L185" s="38" t="str" cm="1">
        <f t="array" ref="L185">IF($R185,INDEX($T:$T,MATCH(TRUE,EXACT(H185,$D:$D),0)),"")</f>
        <v>Ĩ</v>
      </c>
      <c r="M185" s="48" cm="1">
        <f t="array" ref="M185">IF($R185,INDEX($S:$S,MATCH(TRUE,EXACT(L185,$A:$A),0)),"")</f>
        <v>177</v>
      </c>
      <c r="N185" s="38" t="str" cm="1">
        <f t="array" ref="N185">IF($R185,INDEX($T:$T,MATCH(TRUE,EXACT(J185,$D:$D),0)),"")</f>
        <v>Ī</v>
      </c>
      <c r="O185" s="52" cm="1">
        <f t="array" ref="O185">IF($R185,INDEX($S:$S,MATCH(TRUE,EXACT(N185,$A:$A),0)),"")</f>
        <v>179</v>
      </c>
      <c r="P185" s="23"/>
      <c r="Q185" s="33"/>
      <c r="R185" s="18" t="b">
        <f t="shared" si="29"/>
        <v>1</v>
      </c>
      <c r="S185" s="19">
        <f>IF(R185, MAX(S$2:S184)+1,"")</f>
        <v>172</v>
      </c>
      <c r="T185" s="23" t="str">
        <f t="shared" si="30"/>
        <v>ģ</v>
      </c>
      <c r="U185" s="8" t="str" cm="1">
        <f t="array" ref="U185">CharToUTF8(A185)</f>
        <v>\xC4\xA3</v>
      </c>
      <c r="W185" s="18" t="str">
        <f>$AU$2</f>
        <v>EMPTY</v>
      </c>
      <c r="X185" s="24" t="str">
        <f>$AU$5</f>
        <v>DIAG_FRONT</v>
      </c>
      <c r="Y185" s="24" t="str">
        <f>$AU$8</f>
        <v>ORTHO_DOWN</v>
      </c>
      <c r="Z185" s="21" t="str">
        <f>$AU$2</f>
        <v>EMPTY</v>
      </c>
      <c r="AB185" s="31" t="b">
        <f t="shared" si="31"/>
        <v>0</v>
      </c>
      <c r="AC185" s="31" t="b">
        <f t="shared" si="32"/>
        <v>0</v>
      </c>
      <c r="AD185" t="b">
        <f t="shared" si="33"/>
        <v>0</v>
      </c>
      <c r="AE185" t="b">
        <f t="shared" si="34"/>
        <v>0</v>
      </c>
      <c r="AF185" t="b">
        <f>IF($R185,W185=VLOOKUP(Z185,$AU$2:$AZ$10,3,FALSE),"")</f>
        <v>1</v>
      </c>
      <c r="AG185" t="b">
        <f>IF($R185,X185=VLOOKUP(Y185,$AU$2:$AZ$10,3,FALSE),"")</f>
        <v>0</v>
      </c>
      <c r="AH185" t="b">
        <f>IF($R185,Y185=VLOOKUP(W185,$AU$2:$AZ$10,3,FALSE),"")</f>
        <v>0</v>
      </c>
      <c r="AI185" t="b">
        <f>IF($R185,Z185=VLOOKUP(X185,$AU$2:$AZ$10,3,FALSE),"")</f>
        <v>0</v>
      </c>
      <c r="AJ185" t="b">
        <f>IF($R185,W185=VLOOKUP(W185,$AU$2:$AZ$10,4,FALSE),"")</f>
        <v>1</v>
      </c>
      <c r="AK185" t="b">
        <f>IF($R185,X185=VLOOKUP(X185,$AU$2:$AZ$10,4,FALSE),"")</f>
        <v>1</v>
      </c>
      <c r="AL185" t="b">
        <f>IF($R185,Y185=VLOOKUP(Y185,$AU$2:$AZ$10,4,FALSE),"")</f>
        <v>0</v>
      </c>
      <c r="AM185" t="b">
        <f>IF($R185,Z185=VLOOKUP(Z185,$AU$2:$AZ$10,4,FALSE),"")</f>
        <v>1</v>
      </c>
      <c r="AN185" t="b">
        <f>IF($R185,W185=VLOOKUP(W185,$AU$2:$AZ$10,5,FALSE),"")</f>
        <v>1</v>
      </c>
      <c r="AO185" t="b">
        <f>IF($R185,X185=VLOOKUP(X185,$AU$2:$AZ$10,5,FALSE),"")</f>
        <v>0</v>
      </c>
      <c r="AP185" t="b">
        <f>IF($R185,Y185=VLOOKUP(Y185,$AU$2:$AZ$10,6,FALSE),"")</f>
        <v>1</v>
      </c>
      <c r="AQ185" t="b">
        <f>IF($R185,Z185=VLOOKUP(Z185,$AU$2:$AZ$10,6,FALSE),"")</f>
        <v>1</v>
      </c>
      <c r="AR185" t="b">
        <f t="shared" si="35"/>
        <v>0</v>
      </c>
      <c r="AS185" t="b">
        <f t="shared" si="36"/>
        <v>0</v>
      </c>
      <c r="BD185" s="59" t="str">
        <f t="shared" si="37"/>
        <v xml:space="preserve">    { wxString::FromUTF8("\xC4\xA3"), &amp;AllGlyphs[173], &amp;AllGlyphs[174], &amp;AllGlyphs[178], &amp;AllGlyphs[176], &amp;AllGlyphs[177], &amp;AllGlyphs[179], Connection::EMPTY, Connection::DIAG_FRONT, Connection::ORTHO_DOWN, Connection::EMPTY, 0, 0, 0, 0, 0, 0 },</v>
      </c>
      <c r="BE185" s="60"/>
      <c r="BF185" s="60"/>
      <c r="BG185" s="60"/>
      <c r="BH185" s="60"/>
      <c r="BI185" s="60"/>
      <c r="BJ185" s="60"/>
      <c r="BK185" s="61"/>
      <c r="BM185" s="54" t="str">
        <f>IF($R185,"&amp;AllGlyphs[" &amp; E185 &amp; "]","")</f>
        <v>&amp;AllGlyphs[173]</v>
      </c>
      <c r="BN185" s="54" t="str">
        <f>IF($R185,"&amp;AllGlyphs[" &amp; G185 &amp; "]","")</f>
        <v>&amp;AllGlyphs[174]</v>
      </c>
      <c r="BO185" s="54" t="str">
        <f>IF($R185,"&amp;AllGlyphs[" &amp; I185 &amp; "]","")</f>
        <v>&amp;AllGlyphs[178]</v>
      </c>
      <c r="BP185" s="54" t="str">
        <f>IF($R185,"&amp;AllGlyphs[" &amp; K185 &amp; "]","")</f>
        <v>&amp;AllGlyphs[176]</v>
      </c>
      <c r="BQ185" s="54" t="str">
        <f>IF($R185,"&amp;AllGlyphs[" &amp; M185 &amp; "]","")</f>
        <v>&amp;AllGlyphs[177]</v>
      </c>
      <c r="BR185" s="54" t="str">
        <f>IF($R185,"&amp;AllGlyphs[" &amp; O185 &amp; "]","")</f>
        <v>&amp;AllGlyphs[179]</v>
      </c>
      <c r="BT185" s="58">
        <f>IF($R185,IF(AB185,1,0),"")</f>
        <v>0</v>
      </c>
      <c r="BU185" s="58">
        <f>IF($R185,IF(AC185,1,0),"")</f>
        <v>0</v>
      </c>
      <c r="BV185" s="58">
        <f>IF($R185,IF(AD185,1,0),"")</f>
        <v>0</v>
      </c>
      <c r="BW185" s="58">
        <f>IF($R185,IF(AE185,1,0),"")</f>
        <v>0</v>
      </c>
      <c r="BX185" s="58">
        <f>IF($R185,IF(AR185,1,0),"")</f>
        <v>0</v>
      </c>
      <c r="BY185" s="58">
        <f>IF($R185,IF(AS185,1,0),"")</f>
        <v>0</v>
      </c>
    </row>
    <row r="186" spans="1:77" x14ac:dyDescent="0.4">
      <c r="A186" s="7" t="s">
        <v>180</v>
      </c>
      <c r="B186" s="6" t="str">
        <f t="shared" si="28"/>
        <v>Ĥ</v>
      </c>
      <c r="C186" s="48" cm="1">
        <f t="array" ref="C186">IF($R186,INDEX($S:$S,MATCH(TRUE,EXACT(B186,$A:$A),0)),"")</f>
        <v>173</v>
      </c>
      <c r="D186" s="38" t="s">
        <v>181</v>
      </c>
      <c r="E186" s="48" cm="1">
        <f t="array" ref="E186">IF($R186,INDEX($S:$S,MATCH(TRUE,EXACT(D186,$A:$A),0)),"")</f>
        <v>174</v>
      </c>
      <c r="F186" s="38" t="s">
        <v>182</v>
      </c>
      <c r="G186" s="48" cm="1">
        <f t="array" ref="G186">IF($S186&lt;&gt;"",INDEX($S:$S,MATCH(TRUE,EXACT(F186,$A:$A),0)),"")</f>
        <v>175</v>
      </c>
      <c r="H186" s="38" t="s">
        <v>184</v>
      </c>
      <c r="I186" s="48" cm="1">
        <f t="array" ref="I186">IF($R186,INDEX($S:$S,MATCH(TRUE,EXACT(H186,$A:$A),0)),"")</f>
        <v>177</v>
      </c>
      <c r="J186" s="38" t="s">
        <v>186</v>
      </c>
      <c r="K186" s="52" cm="1">
        <f t="array" ref="K186">IF($R186,INDEX($S:$S,MATCH(TRUE,EXACT(J186,$A:$A),0)),"")</f>
        <v>179</v>
      </c>
      <c r="L186" s="38" t="str" cm="1">
        <f t="array" ref="L186">IF($R186,INDEX($T:$T,MATCH(TRUE,EXACT(H186,$D:$D),0)),"")</f>
        <v>ħ</v>
      </c>
      <c r="M186" s="48" cm="1">
        <f t="array" ref="M186">IF($R186,INDEX($S:$S,MATCH(TRUE,EXACT(L186,$A:$A),0)),"")</f>
        <v>176</v>
      </c>
      <c r="N186" s="38" t="str" cm="1">
        <f t="array" ref="N186">IF($R186,INDEX($T:$T,MATCH(TRUE,EXACT(J186,$D:$D),0)),"")</f>
        <v>ĩ</v>
      </c>
      <c r="O186" s="52" cm="1">
        <f t="array" ref="O186">IF($R186,INDEX($S:$S,MATCH(TRUE,EXACT(N186,$A:$A),0)),"")</f>
        <v>178</v>
      </c>
      <c r="P186" s="23"/>
      <c r="Q186" s="33"/>
      <c r="R186" s="18" t="b">
        <f t="shared" si="29"/>
        <v>1</v>
      </c>
      <c r="S186" s="19">
        <f>IF(R186, MAX(S$2:S185)+1,"")</f>
        <v>173</v>
      </c>
      <c r="T186" s="23" t="str">
        <f t="shared" si="30"/>
        <v>Ĥ</v>
      </c>
      <c r="U186" s="8" t="str" cm="1">
        <f t="array" ref="U186">CharToUTF8(A186)</f>
        <v>\xC4\xA4</v>
      </c>
      <c r="W186" s="18" t="str">
        <f>$AU$9</f>
        <v>ORTHO_LEFT</v>
      </c>
      <c r="X186" s="24" t="str">
        <f>$AU$2</f>
        <v>EMPTY</v>
      </c>
      <c r="Y186" s="24" t="str">
        <f>$AU$5</f>
        <v>DIAG_FRONT</v>
      </c>
      <c r="Z186" s="21" t="str">
        <f>$AU$2</f>
        <v>EMPTY</v>
      </c>
      <c r="AB186" s="31" t="b">
        <f t="shared" si="31"/>
        <v>0</v>
      </c>
      <c r="AC186" s="31" t="b">
        <f t="shared" si="32"/>
        <v>0</v>
      </c>
      <c r="AD186" t="b">
        <f t="shared" si="33"/>
        <v>0</v>
      </c>
      <c r="AE186" t="b">
        <f t="shared" si="34"/>
        <v>0</v>
      </c>
      <c r="AF186" t="b">
        <f>IF($R186,W186=VLOOKUP(Z186,$AU$2:$AZ$10,3,FALSE),"")</f>
        <v>0</v>
      </c>
      <c r="AG186" t="b">
        <f>IF($R186,X186=VLOOKUP(Y186,$AU$2:$AZ$10,3,FALSE),"")</f>
        <v>0</v>
      </c>
      <c r="AH186" t="b">
        <f>IF($R186,Y186=VLOOKUP(W186,$AU$2:$AZ$10,3,FALSE),"")</f>
        <v>0</v>
      </c>
      <c r="AI186" t="b">
        <f>IF($R186,Z186=VLOOKUP(X186,$AU$2:$AZ$10,3,FALSE),"")</f>
        <v>1</v>
      </c>
      <c r="AJ186" t="b">
        <f>IF($R186,W186=VLOOKUP(W186,$AU$2:$AZ$10,4,FALSE),"")</f>
        <v>0</v>
      </c>
      <c r="AK186" t="b">
        <f>IF($R186,X186=VLOOKUP(X186,$AU$2:$AZ$10,4,FALSE),"")</f>
        <v>1</v>
      </c>
      <c r="AL186" t="b">
        <f>IF($R186,Y186=VLOOKUP(Y186,$AU$2:$AZ$10,4,FALSE),"")</f>
        <v>1</v>
      </c>
      <c r="AM186" t="b">
        <f>IF($R186,Z186=VLOOKUP(Z186,$AU$2:$AZ$10,4,FALSE),"")</f>
        <v>1</v>
      </c>
      <c r="AN186" t="b">
        <f>IF($R186,W186=VLOOKUP(W186,$AU$2:$AZ$10,5,FALSE),"")</f>
        <v>1</v>
      </c>
      <c r="AO186" t="b">
        <f>IF($R186,X186=VLOOKUP(X186,$AU$2:$AZ$10,5,FALSE),"")</f>
        <v>1</v>
      </c>
      <c r="AP186" t="b">
        <f>IF($R186,Y186=VLOOKUP(Y186,$AU$2:$AZ$10,6,FALSE),"")</f>
        <v>0</v>
      </c>
      <c r="AQ186" t="b">
        <f>IF($R186,Z186=VLOOKUP(Z186,$AU$2:$AZ$10,6,FALSE),"")</f>
        <v>1</v>
      </c>
      <c r="AR186" t="b">
        <f t="shared" si="35"/>
        <v>0</v>
      </c>
      <c r="AS186" t="b">
        <f t="shared" si="36"/>
        <v>0</v>
      </c>
      <c r="BD186" s="59" t="str">
        <f t="shared" si="37"/>
        <v xml:space="preserve">    { wxString::FromUTF8("\xC4\xA4"), &amp;AllGlyphs[174], &amp;AllGlyphs[175], &amp;AllGlyphs[177], &amp;AllGlyphs[179], &amp;AllGlyphs[176], &amp;AllGlyphs[178], Connection::ORTHO_LEFT, Connection::EMPTY, Connection::DIAG_FRONT, Connection::EMPTY, 0, 0, 0, 0, 0, 0 },</v>
      </c>
      <c r="BE186" s="60"/>
      <c r="BF186" s="60"/>
      <c r="BG186" s="60"/>
      <c r="BH186" s="60"/>
      <c r="BI186" s="60"/>
      <c r="BJ186" s="60"/>
      <c r="BK186" s="61"/>
      <c r="BM186" s="54" t="str">
        <f>IF($R186,"&amp;AllGlyphs[" &amp; E186 &amp; "]","")</f>
        <v>&amp;AllGlyphs[174]</v>
      </c>
      <c r="BN186" s="54" t="str">
        <f>IF($R186,"&amp;AllGlyphs[" &amp; G186 &amp; "]","")</f>
        <v>&amp;AllGlyphs[175]</v>
      </c>
      <c r="BO186" s="54" t="str">
        <f>IF($R186,"&amp;AllGlyphs[" &amp; I186 &amp; "]","")</f>
        <v>&amp;AllGlyphs[177]</v>
      </c>
      <c r="BP186" s="54" t="str">
        <f>IF($R186,"&amp;AllGlyphs[" &amp; K186 &amp; "]","")</f>
        <v>&amp;AllGlyphs[179]</v>
      </c>
      <c r="BQ186" s="54" t="str">
        <f>IF($R186,"&amp;AllGlyphs[" &amp; M186 &amp; "]","")</f>
        <v>&amp;AllGlyphs[176]</v>
      </c>
      <c r="BR186" s="54" t="str">
        <f>IF($R186,"&amp;AllGlyphs[" &amp; O186 &amp; "]","")</f>
        <v>&amp;AllGlyphs[178]</v>
      </c>
      <c r="BT186" s="58">
        <f>IF($R186,IF(AB186,1,0),"")</f>
        <v>0</v>
      </c>
      <c r="BU186" s="58">
        <f>IF($R186,IF(AC186,1,0),"")</f>
        <v>0</v>
      </c>
      <c r="BV186" s="58">
        <f>IF($R186,IF(AD186,1,0),"")</f>
        <v>0</v>
      </c>
      <c r="BW186" s="58">
        <f>IF($R186,IF(AE186,1,0),"")</f>
        <v>0</v>
      </c>
      <c r="BX186" s="58">
        <f>IF($R186,IF(AR186,1,0),"")</f>
        <v>0</v>
      </c>
      <c r="BY186" s="58">
        <f>IF($R186,IF(AS186,1,0),"")</f>
        <v>0</v>
      </c>
    </row>
    <row r="187" spans="1:77" x14ac:dyDescent="0.4">
      <c r="A187" s="7" t="s">
        <v>181</v>
      </c>
      <c r="B187" s="6" t="str">
        <f t="shared" si="28"/>
        <v>ĥ</v>
      </c>
      <c r="C187" s="48" cm="1">
        <f t="array" ref="C187">IF($R187,INDEX($S:$S,MATCH(TRUE,EXACT(B187,$A:$A),0)),"")</f>
        <v>174</v>
      </c>
      <c r="D187" s="38" t="s">
        <v>182</v>
      </c>
      <c r="E187" s="48" cm="1">
        <f t="array" ref="E187">IF($R187,INDEX($S:$S,MATCH(TRUE,EXACT(D187,$A:$A),0)),"")</f>
        <v>175</v>
      </c>
      <c r="F187" s="38" t="s">
        <v>179</v>
      </c>
      <c r="G187" s="48" cm="1">
        <f t="array" ref="G187">IF($S187&lt;&gt;"",INDEX($S:$S,MATCH(TRUE,EXACT(F187,$A:$A),0)),"")</f>
        <v>172</v>
      </c>
      <c r="H187" s="38" t="s">
        <v>183</v>
      </c>
      <c r="I187" s="48" cm="1">
        <f t="array" ref="I187">IF($R187,INDEX($S:$S,MATCH(TRUE,EXACT(H187,$A:$A),0)),"")</f>
        <v>176</v>
      </c>
      <c r="J187" s="38" t="s">
        <v>185</v>
      </c>
      <c r="K187" s="52" cm="1">
        <f t="array" ref="K187">IF($R187,INDEX($S:$S,MATCH(TRUE,EXACT(J187,$A:$A),0)),"")</f>
        <v>178</v>
      </c>
      <c r="L187" s="38" t="str" cm="1">
        <f t="array" ref="L187">IF($R187,INDEX($T:$T,MATCH(TRUE,EXACT(H187,$D:$D),0)),"")</f>
        <v>Ī</v>
      </c>
      <c r="M187" s="48" cm="1">
        <f t="array" ref="M187">IF($R187,INDEX($S:$S,MATCH(TRUE,EXACT(L187,$A:$A),0)),"")</f>
        <v>179</v>
      </c>
      <c r="N187" s="38" t="str" cm="1">
        <f t="array" ref="N187">IF($R187,INDEX($T:$T,MATCH(TRUE,EXACT(J187,$D:$D),0)),"")</f>
        <v>Ĩ</v>
      </c>
      <c r="O187" s="52" cm="1">
        <f t="array" ref="O187">IF($R187,INDEX($S:$S,MATCH(TRUE,EXACT(N187,$A:$A),0)),"")</f>
        <v>177</v>
      </c>
      <c r="P187" s="23"/>
      <c r="Q187" s="33"/>
      <c r="R187" s="18" t="b">
        <f t="shared" si="29"/>
        <v>1</v>
      </c>
      <c r="S187" s="19">
        <f>IF(R187, MAX(S$2:S186)+1,"")</f>
        <v>174</v>
      </c>
      <c r="T187" s="23" t="str">
        <f t="shared" si="30"/>
        <v>ĥ</v>
      </c>
      <c r="U187" s="8" t="str" cm="1">
        <f t="array" ref="U187">CharToUTF8(A187)</f>
        <v>\xC4\xA5</v>
      </c>
      <c r="W187" s="18" t="str">
        <f>$AU$5</f>
        <v>DIAG_FRONT</v>
      </c>
      <c r="X187" s="24" t="str">
        <f>$AU$2</f>
        <v>EMPTY</v>
      </c>
      <c r="Y187" s="24" t="str">
        <f>$AU$2</f>
        <v>EMPTY</v>
      </c>
      <c r="Z187" s="21" t="str">
        <f>$AU$7</f>
        <v>ORTHO_UP</v>
      </c>
      <c r="AB187" s="31" t="b">
        <f t="shared" si="31"/>
        <v>0</v>
      </c>
      <c r="AC187" s="31" t="b">
        <f t="shared" si="32"/>
        <v>0</v>
      </c>
      <c r="AD187" t="b">
        <f t="shared" si="33"/>
        <v>0</v>
      </c>
      <c r="AE187" t="b">
        <f t="shared" si="34"/>
        <v>0</v>
      </c>
      <c r="AF187" t="b">
        <f>IF($R187,W187=VLOOKUP(Z187,$AU$2:$AZ$10,3,FALSE),"")</f>
        <v>0</v>
      </c>
      <c r="AG187" t="b">
        <f>IF($R187,X187=VLOOKUP(Y187,$AU$2:$AZ$10,3,FALSE),"")</f>
        <v>1</v>
      </c>
      <c r="AH187" t="b">
        <f>IF($R187,Y187=VLOOKUP(W187,$AU$2:$AZ$10,3,FALSE),"")</f>
        <v>0</v>
      </c>
      <c r="AI187" t="b">
        <f>IF($R187,Z187=VLOOKUP(X187,$AU$2:$AZ$10,3,FALSE),"")</f>
        <v>0</v>
      </c>
      <c r="AJ187" t="b">
        <f>IF($R187,W187=VLOOKUP(W187,$AU$2:$AZ$10,4,FALSE),"")</f>
        <v>1</v>
      </c>
      <c r="AK187" t="b">
        <f>IF($R187,X187=VLOOKUP(X187,$AU$2:$AZ$10,4,FALSE),"")</f>
        <v>1</v>
      </c>
      <c r="AL187" t="b">
        <f>IF($R187,Y187=VLOOKUP(Y187,$AU$2:$AZ$10,4,FALSE),"")</f>
        <v>1</v>
      </c>
      <c r="AM187" t="b">
        <f>IF($R187,Z187=VLOOKUP(Z187,$AU$2:$AZ$10,4,FALSE),"")</f>
        <v>0</v>
      </c>
      <c r="AN187" t="b">
        <f>IF($R187,W187=VLOOKUP(W187,$AU$2:$AZ$10,5,FALSE),"")</f>
        <v>0</v>
      </c>
      <c r="AO187" t="b">
        <f>IF($R187,X187=VLOOKUP(X187,$AU$2:$AZ$10,5,FALSE),"")</f>
        <v>1</v>
      </c>
      <c r="AP187" t="b">
        <f>IF($R187,Y187=VLOOKUP(Y187,$AU$2:$AZ$10,6,FALSE),"")</f>
        <v>1</v>
      </c>
      <c r="AQ187" t="b">
        <f>IF($R187,Z187=VLOOKUP(Z187,$AU$2:$AZ$10,6,FALSE),"")</f>
        <v>1</v>
      </c>
      <c r="AR187" t="b">
        <f t="shared" si="35"/>
        <v>0</v>
      </c>
      <c r="AS187" t="b">
        <f t="shared" si="36"/>
        <v>0</v>
      </c>
      <c r="BD187" s="59" t="str">
        <f t="shared" si="37"/>
        <v xml:space="preserve">    { wxString::FromUTF8("\xC4\xA5"), &amp;AllGlyphs[175], &amp;AllGlyphs[172], &amp;AllGlyphs[176], &amp;AllGlyphs[178], &amp;AllGlyphs[179], &amp;AllGlyphs[177], Connection::DIAG_FRONT, Connection::EMPTY, Connection::EMPTY, Connection::ORTHO_UP, 0, 0, 0, 0, 0, 0 },</v>
      </c>
      <c r="BE187" s="60"/>
      <c r="BF187" s="60"/>
      <c r="BG187" s="60"/>
      <c r="BH187" s="60"/>
      <c r="BI187" s="60"/>
      <c r="BJ187" s="60"/>
      <c r="BK187" s="61"/>
      <c r="BM187" s="54" t="str">
        <f>IF($R187,"&amp;AllGlyphs[" &amp; E187 &amp; "]","")</f>
        <v>&amp;AllGlyphs[175]</v>
      </c>
      <c r="BN187" s="54" t="str">
        <f>IF($R187,"&amp;AllGlyphs[" &amp; G187 &amp; "]","")</f>
        <v>&amp;AllGlyphs[172]</v>
      </c>
      <c r="BO187" s="54" t="str">
        <f>IF($R187,"&amp;AllGlyphs[" &amp; I187 &amp; "]","")</f>
        <v>&amp;AllGlyphs[176]</v>
      </c>
      <c r="BP187" s="54" t="str">
        <f>IF($R187,"&amp;AllGlyphs[" &amp; K187 &amp; "]","")</f>
        <v>&amp;AllGlyphs[178]</v>
      </c>
      <c r="BQ187" s="54" t="str">
        <f>IF($R187,"&amp;AllGlyphs[" &amp; M187 &amp; "]","")</f>
        <v>&amp;AllGlyphs[179]</v>
      </c>
      <c r="BR187" s="54" t="str">
        <f>IF($R187,"&amp;AllGlyphs[" &amp; O187 &amp; "]","")</f>
        <v>&amp;AllGlyphs[177]</v>
      </c>
      <c r="BT187" s="58">
        <f>IF($R187,IF(AB187,1,0),"")</f>
        <v>0</v>
      </c>
      <c r="BU187" s="58">
        <f>IF($R187,IF(AC187,1,0),"")</f>
        <v>0</v>
      </c>
      <c r="BV187" s="58">
        <f>IF($R187,IF(AD187,1,0),"")</f>
        <v>0</v>
      </c>
      <c r="BW187" s="58">
        <f>IF($R187,IF(AE187,1,0),"")</f>
        <v>0</v>
      </c>
      <c r="BX187" s="58">
        <f>IF($R187,IF(AR187,1,0),"")</f>
        <v>0</v>
      </c>
      <c r="BY187" s="58">
        <f>IF($R187,IF(AS187,1,0),"")</f>
        <v>0</v>
      </c>
    </row>
    <row r="188" spans="1:77" x14ac:dyDescent="0.4">
      <c r="A188" s="7" t="s">
        <v>182</v>
      </c>
      <c r="B188" s="6" t="str">
        <f t="shared" si="28"/>
        <v>Ħ</v>
      </c>
      <c r="C188" s="48" cm="1">
        <f t="array" ref="C188">IF($R188,INDEX($S:$S,MATCH(TRUE,EXACT(B188,$A:$A),0)),"")</f>
        <v>175</v>
      </c>
      <c r="D188" s="38" t="s">
        <v>179</v>
      </c>
      <c r="E188" s="48" cm="1">
        <f t="array" ref="E188">IF($R188,INDEX($S:$S,MATCH(TRUE,EXACT(D188,$A:$A),0)),"")</f>
        <v>172</v>
      </c>
      <c r="F188" s="38" t="s">
        <v>180</v>
      </c>
      <c r="G188" s="48" cm="1">
        <f t="array" ref="G188">IF($S188&lt;&gt;"",INDEX($S:$S,MATCH(TRUE,EXACT(F188,$A:$A),0)),"")</f>
        <v>173</v>
      </c>
      <c r="H188" s="38" t="s">
        <v>186</v>
      </c>
      <c r="I188" s="48" cm="1">
        <f t="array" ref="I188">IF($R188,INDEX($S:$S,MATCH(TRUE,EXACT(H188,$A:$A),0)),"")</f>
        <v>179</v>
      </c>
      <c r="J188" s="38" t="s">
        <v>184</v>
      </c>
      <c r="K188" s="52" cm="1">
        <f t="array" ref="K188">IF($R188,INDEX($S:$S,MATCH(TRUE,EXACT(J188,$A:$A),0)),"")</f>
        <v>177</v>
      </c>
      <c r="L188" s="38" t="str" cm="1">
        <f t="array" ref="L188">IF($R188,INDEX($T:$T,MATCH(TRUE,EXACT(H188,$D:$D),0)),"")</f>
        <v>ĩ</v>
      </c>
      <c r="M188" s="48" cm="1">
        <f t="array" ref="M188">IF($R188,INDEX($S:$S,MATCH(TRUE,EXACT(L188,$A:$A),0)),"")</f>
        <v>178</v>
      </c>
      <c r="N188" s="38" t="str" cm="1">
        <f t="array" ref="N188">IF($R188,INDEX($T:$T,MATCH(TRUE,EXACT(J188,$D:$D),0)),"")</f>
        <v>ħ</v>
      </c>
      <c r="O188" s="52" cm="1">
        <f t="array" ref="O188">IF($R188,INDEX($S:$S,MATCH(TRUE,EXACT(N188,$A:$A),0)),"")</f>
        <v>176</v>
      </c>
      <c r="P188" s="23"/>
      <c r="Q188" s="33"/>
      <c r="R188" s="18" t="b">
        <f t="shared" si="29"/>
        <v>1</v>
      </c>
      <c r="S188" s="19">
        <f>IF(R188, MAX(S$2:S187)+1,"")</f>
        <v>175</v>
      </c>
      <c r="T188" s="23" t="str">
        <f t="shared" si="30"/>
        <v>Ħ</v>
      </c>
      <c r="U188" s="8" t="str" cm="1">
        <f t="array" ref="U188">CharToUTF8(A188)</f>
        <v>\xC4\xA6</v>
      </c>
      <c r="W188" s="18" t="str">
        <f>$AU$2</f>
        <v>EMPTY</v>
      </c>
      <c r="X188" s="24" t="str">
        <f>$AU$10</f>
        <v>ORTHO_RIGHT</v>
      </c>
      <c r="Y188" s="24" t="str">
        <f>$AU$2</f>
        <v>EMPTY</v>
      </c>
      <c r="Z188" s="21" t="str">
        <f>$AU$5</f>
        <v>DIAG_FRONT</v>
      </c>
      <c r="AB188" s="31" t="b">
        <f t="shared" si="31"/>
        <v>0</v>
      </c>
      <c r="AC188" s="31" t="b">
        <f t="shared" si="32"/>
        <v>0</v>
      </c>
      <c r="AD188" t="b">
        <f t="shared" si="33"/>
        <v>0</v>
      </c>
      <c r="AE188" t="b">
        <f t="shared" si="34"/>
        <v>0</v>
      </c>
      <c r="AF188" t="b">
        <f>IF($R188,W188=VLOOKUP(Z188,$AU$2:$AZ$10,3,FALSE),"")</f>
        <v>0</v>
      </c>
      <c r="AG188" t="b">
        <f>IF($R188,X188=VLOOKUP(Y188,$AU$2:$AZ$10,3,FALSE),"")</f>
        <v>0</v>
      </c>
      <c r="AH188" t="b">
        <f>IF($R188,Y188=VLOOKUP(W188,$AU$2:$AZ$10,3,FALSE),"")</f>
        <v>1</v>
      </c>
      <c r="AI188" t="b">
        <f>IF($R188,Z188=VLOOKUP(X188,$AU$2:$AZ$10,3,FALSE),"")</f>
        <v>0</v>
      </c>
      <c r="AJ188" t="b">
        <f>IF($R188,W188=VLOOKUP(W188,$AU$2:$AZ$10,4,FALSE),"")</f>
        <v>1</v>
      </c>
      <c r="AK188" t="b">
        <f>IF($R188,X188=VLOOKUP(X188,$AU$2:$AZ$10,4,FALSE),"")</f>
        <v>0</v>
      </c>
      <c r="AL188" t="b">
        <f>IF($R188,Y188=VLOOKUP(Y188,$AU$2:$AZ$10,4,FALSE),"")</f>
        <v>1</v>
      </c>
      <c r="AM188" t="b">
        <f>IF($R188,Z188=VLOOKUP(Z188,$AU$2:$AZ$10,4,FALSE),"")</f>
        <v>1</v>
      </c>
      <c r="AN188" t="b">
        <f>IF($R188,W188=VLOOKUP(W188,$AU$2:$AZ$10,5,FALSE),"")</f>
        <v>1</v>
      </c>
      <c r="AO188" t="b">
        <f>IF($R188,X188=VLOOKUP(X188,$AU$2:$AZ$10,5,FALSE),"")</f>
        <v>1</v>
      </c>
      <c r="AP188" t="b">
        <f>IF($R188,Y188=VLOOKUP(Y188,$AU$2:$AZ$10,6,FALSE),"")</f>
        <v>1</v>
      </c>
      <c r="AQ188" t="b">
        <f>IF($R188,Z188=VLOOKUP(Z188,$AU$2:$AZ$10,6,FALSE),"")</f>
        <v>0</v>
      </c>
      <c r="AR188" t="b">
        <f t="shared" si="35"/>
        <v>0</v>
      </c>
      <c r="AS188" t="b">
        <f t="shared" si="36"/>
        <v>0</v>
      </c>
      <c r="BD188" s="59" t="str">
        <f t="shared" si="37"/>
        <v xml:space="preserve">    { wxString::FromUTF8("\xC4\xA6"), &amp;AllGlyphs[172], &amp;AllGlyphs[173], &amp;AllGlyphs[179], &amp;AllGlyphs[177], &amp;AllGlyphs[178], &amp;AllGlyphs[176], Connection::EMPTY, Connection::ORTHO_RIGHT, Connection::EMPTY, Connection::DIAG_FRONT, 0, 0, 0, 0, 0, 0 },</v>
      </c>
      <c r="BE188" s="60"/>
      <c r="BF188" s="60"/>
      <c r="BG188" s="60"/>
      <c r="BH188" s="60"/>
      <c r="BI188" s="60"/>
      <c r="BJ188" s="60"/>
      <c r="BK188" s="61"/>
      <c r="BM188" s="54" t="str">
        <f>IF($R188,"&amp;AllGlyphs[" &amp; E188 &amp; "]","")</f>
        <v>&amp;AllGlyphs[172]</v>
      </c>
      <c r="BN188" s="54" t="str">
        <f>IF($R188,"&amp;AllGlyphs[" &amp; G188 &amp; "]","")</f>
        <v>&amp;AllGlyphs[173]</v>
      </c>
      <c r="BO188" s="54" t="str">
        <f>IF($R188,"&amp;AllGlyphs[" &amp; I188 &amp; "]","")</f>
        <v>&amp;AllGlyphs[179]</v>
      </c>
      <c r="BP188" s="54" t="str">
        <f>IF($R188,"&amp;AllGlyphs[" &amp; K188 &amp; "]","")</f>
        <v>&amp;AllGlyphs[177]</v>
      </c>
      <c r="BQ188" s="54" t="str">
        <f>IF($R188,"&amp;AllGlyphs[" &amp; M188 &amp; "]","")</f>
        <v>&amp;AllGlyphs[178]</v>
      </c>
      <c r="BR188" s="54" t="str">
        <f>IF($R188,"&amp;AllGlyphs[" &amp; O188 &amp; "]","")</f>
        <v>&amp;AllGlyphs[176]</v>
      </c>
      <c r="BT188" s="58">
        <f>IF($R188,IF(AB188,1,0),"")</f>
        <v>0</v>
      </c>
      <c r="BU188" s="58">
        <f>IF($R188,IF(AC188,1,0),"")</f>
        <v>0</v>
      </c>
      <c r="BV188" s="58">
        <f>IF($R188,IF(AD188,1,0),"")</f>
        <v>0</v>
      </c>
      <c r="BW188" s="58">
        <f>IF($R188,IF(AE188,1,0),"")</f>
        <v>0</v>
      </c>
      <c r="BX188" s="58">
        <f>IF($R188,IF(AR188,1,0),"")</f>
        <v>0</v>
      </c>
      <c r="BY188" s="58">
        <f>IF($R188,IF(AS188,1,0),"")</f>
        <v>0</v>
      </c>
    </row>
    <row r="189" spans="1:77" x14ac:dyDescent="0.4">
      <c r="A189" s="7" t="s">
        <v>183</v>
      </c>
      <c r="B189" s="6" t="str">
        <f t="shared" si="28"/>
        <v>ħ</v>
      </c>
      <c r="C189" s="48" cm="1">
        <f t="array" ref="C189">IF($R189,INDEX($S:$S,MATCH(TRUE,EXACT(B189,$A:$A),0)),"")</f>
        <v>176</v>
      </c>
      <c r="D189" s="38" t="s">
        <v>184</v>
      </c>
      <c r="E189" s="48" cm="1">
        <f t="array" ref="E189">IF($R189,INDEX($S:$S,MATCH(TRUE,EXACT(D189,$A:$A),0)),"")</f>
        <v>177</v>
      </c>
      <c r="F189" s="38" t="s">
        <v>185</v>
      </c>
      <c r="G189" s="48" cm="1">
        <f t="array" ref="G189">IF($S189&lt;&gt;"",INDEX($S:$S,MATCH(TRUE,EXACT(F189,$A:$A),0)),"")</f>
        <v>178</v>
      </c>
      <c r="H189" s="38" t="s">
        <v>181</v>
      </c>
      <c r="I189" s="48" cm="1">
        <f t="array" ref="I189">IF($R189,INDEX($S:$S,MATCH(TRUE,EXACT(H189,$A:$A),0)),"")</f>
        <v>174</v>
      </c>
      <c r="J189" s="38" t="s">
        <v>179</v>
      </c>
      <c r="K189" s="52" cm="1">
        <f t="array" ref="K189">IF($R189,INDEX($S:$S,MATCH(TRUE,EXACT(J189,$A:$A),0)),"")</f>
        <v>172</v>
      </c>
      <c r="L189" s="38" t="str" cm="1">
        <f t="array" ref="L189">IF($R189,INDEX($T:$T,MATCH(TRUE,EXACT(H189,$D:$D),0)),"")</f>
        <v>Ĥ</v>
      </c>
      <c r="M189" s="48" cm="1">
        <f t="array" ref="M189">IF($R189,INDEX($S:$S,MATCH(TRUE,EXACT(L189,$A:$A),0)),"")</f>
        <v>173</v>
      </c>
      <c r="N189" s="38" t="str" cm="1">
        <f t="array" ref="N189">IF($R189,INDEX($T:$T,MATCH(TRUE,EXACT(J189,$D:$D),0)),"")</f>
        <v>Ħ</v>
      </c>
      <c r="O189" s="52" cm="1">
        <f t="array" ref="O189">IF($R189,INDEX($S:$S,MATCH(TRUE,EXACT(N189,$A:$A),0)),"")</f>
        <v>175</v>
      </c>
      <c r="P189" s="23"/>
      <c r="Q189" s="33"/>
      <c r="R189" s="18" t="b">
        <f t="shared" si="29"/>
        <v>1</v>
      </c>
      <c r="S189" s="19">
        <f>IF(R189, MAX(S$2:S188)+1,"")</f>
        <v>176</v>
      </c>
      <c r="T189" s="23" t="str">
        <f t="shared" si="30"/>
        <v>ħ</v>
      </c>
      <c r="U189" s="8" t="str" cm="1">
        <f t="array" ref="U189">CharToUTF8(A189)</f>
        <v>\xC4\xA7</v>
      </c>
      <c r="W189" s="18" t="str">
        <f>$AU$2</f>
        <v>EMPTY</v>
      </c>
      <c r="X189" s="24" t="str">
        <f>$AU$6</f>
        <v>DIAG_BACK</v>
      </c>
      <c r="Y189" s="24" t="str">
        <f>$AU$2</f>
        <v>EMPTY</v>
      </c>
      <c r="Z189" s="21" t="str">
        <f>$AU$8</f>
        <v>ORTHO_DOWN</v>
      </c>
      <c r="AB189" s="31" t="b">
        <f t="shared" si="31"/>
        <v>0</v>
      </c>
      <c r="AC189" s="31" t="b">
        <f t="shared" si="32"/>
        <v>0</v>
      </c>
      <c r="AD189" t="b">
        <f t="shared" si="33"/>
        <v>0</v>
      </c>
      <c r="AE189" t="b">
        <f t="shared" si="34"/>
        <v>0</v>
      </c>
      <c r="AF189" t="b">
        <f>IF($R189,W189=VLOOKUP(Z189,$AU$2:$AZ$10,3,FALSE),"")</f>
        <v>0</v>
      </c>
      <c r="AG189" t="b">
        <f>IF($R189,X189=VLOOKUP(Y189,$AU$2:$AZ$10,3,FALSE),"")</f>
        <v>0</v>
      </c>
      <c r="AH189" t="b">
        <f>IF($R189,Y189=VLOOKUP(W189,$AU$2:$AZ$10,3,FALSE),"")</f>
        <v>1</v>
      </c>
      <c r="AI189" t="b">
        <f>IF($R189,Z189=VLOOKUP(X189,$AU$2:$AZ$10,3,FALSE),"")</f>
        <v>0</v>
      </c>
      <c r="AJ189" t="b">
        <f>IF($R189,W189=VLOOKUP(W189,$AU$2:$AZ$10,4,FALSE),"")</f>
        <v>1</v>
      </c>
      <c r="AK189" t="b">
        <f>IF($R189,X189=VLOOKUP(X189,$AU$2:$AZ$10,4,FALSE),"")</f>
        <v>1</v>
      </c>
      <c r="AL189" t="b">
        <f>IF($R189,Y189=VLOOKUP(Y189,$AU$2:$AZ$10,4,FALSE),"")</f>
        <v>1</v>
      </c>
      <c r="AM189" t="b">
        <f>IF($R189,Z189=VLOOKUP(Z189,$AU$2:$AZ$10,4,FALSE),"")</f>
        <v>0</v>
      </c>
      <c r="AN189" t="b">
        <f>IF($R189,W189=VLOOKUP(W189,$AU$2:$AZ$10,5,FALSE),"")</f>
        <v>1</v>
      </c>
      <c r="AO189" t="b">
        <f>IF($R189,X189=VLOOKUP(X189,$AU$2:$AZ$10,5,FALSE),"")</f>
        <v>0</v>
      </c>
      <c r="AP189" t="b">
        <f>IF($R189,Y189=VLOOKUP(Y189,$AU$2:$AZ$10,6,FALSE),"")</f>
        <v>1</v>
      </c>
      <c r="AQ189" t="b">
        <f>IF($R189,Z189=VLOOKUP(Z189,$AU$2:$AZ$10,6,FALSE),"")</f>
        <v>1</v>
      </c>
      <c r="AR189" t="b">
        <f t="shared" si="35"/>
        <v>0</v>
      </c>
      <c r="AS189" t="b">
        <f t="shared" si="36"/>
        <v>0</v>
      </c>
      <c r="BD189" s="59" t="str">
        <f t="shared" si="37"/>
        <v xml:space="preserve">    { wxString::FromUTF8("\xC4\xA7"), &amp;AllGlyphs[177], &amp;AllGlyphs[178], &amp;AllGlyphs[174], &amp;AllGlyphs[172], &amp;AllGlyphs[173], &amp;AllGlyphs[175], Connection::EMPTY, Connection::DIAG_BACK, Connection::EMPTY, Connection::ORTHO_DOWN, 0, 0, 0, 0, 0, 0 },</v>
      </c>
      <c r="BE189" s="60"/>
      <c r="BF189" s="60"/>
      <c r="BG189" s="60"/>
      <c r="BH189" s="60"/>
      <c r="BI189" s="60"/>
      <c r="BJ189" s="60"/>
      <c r="BK189" s="61"/>
      <c r="BM189" s="54" t="str">
        <f>IF($R189,"&amp;AllGlyphs[" &amp; E189 &amp; "]","")</f>
        <v>&amp;AllGlyphs[177]</v>
      </c>
      <c r="BN189" s="54" t="str">
        <f>IF($R189,"&amp;AllGlyphs[" &amp; G189 &amp; "]","")</f>
        <v>&amp;AllGlyphs[178]</v>
      </c>
      <c r="BO189" s="54" t="str">
        <f>IF($R189,"&amp;AllGlyphs[" &amp; I189 &amp; "]","")</f>
        <v>&amp;AllGlyphs[174]</v>
      </c>
      <c r="BP189" s="54" t="str">
        <f>IF($R189,"&amp;AllGlyphs[" &amp; K189 &amp; "]","")</f>
        <v>&amp;AllGlyphs[172]</v>
      </c>
      <c r="BQ189" s="54" t="str">
        <f>IF($R189,"&amp;AllGlyphs[" &amp; M189 &amp; "]","")</f>
        <v>&amp;AllGlyphs[173]</v>
      </c>
      <c r="BR189" s="54" t="str">
        <f>IF($R189,"&amp;AllGlyphs[" &amp; O189 &amp; "]","")</f>
        <v>&amp;AllGlyphs[175]</v>
      </c>
      <c r="BT189" s="58">
        <f>IF($R189,IF(AB189,1,0),"")</f>
        <v>0</v>
      </c>
      <c r="BU189" s="58">
        <f>IF($R189,IF(AC189,1,0),"")</f>
        <v>0</v>
      </c>
      <c r="BV189" s="58">
        <f>IF($R189,IF(AD189,1,0),"")</f>
        <v>0</v>
      </c>
      <c r="BW189" s="58">
        <f>IF($R189,IF(AE189,1,0),"")</f>
        <v>0</v>
      </c>
      <c r="BX189" s="58">
        <f>IF($R189,IF(AR189,1,0),"")</f>
        <v>0</v>
      </c>
      <c r="BY189" s="58">
        <f>IF($R189,IF(AS189,1,0),"")</f>
        <v>0</v>
      </c>
    </row>
    <row r="190" spans="1:77" x14ac:dyDescent="0.4">
      <c r="A190" s="7" t="s">
        <v>184</v>
      </c>
      <c r="B190" s="6" t="str">
        <f t="shared" si="28"/>
        <v>Ĩ</v>
      </c>
      <c r="C190" s="48" cm="1">
        <f t="array" ref="C190">IF($R190,INDEX($S:$S,MATCH(TRUE,EXACT(B190,$A:$A),0)),"")</f>
        <v>177</v>
      </c>
      <c r="D190" s="38" t="s">
        <v>185</v>
      </c>
      <c r="E190" s="48" cm="1">
        <f t="array" ref="E190">IF($R190,INDEX($S:$S,MATCH(TRUE,EXACT(D190,$A:$A),0)),"")</f>
        <v>178</v>
      </c>
      <c r="F190" s="38" t="s">
        <v>186</v>
      </c>
      <c r="G190" s="48" cm="1">
        <f t="array" ref="G190">IF($S190&lt;&gt;"",INDEX($S:$S,MATCH(TRUE,EXACT(F190,$A:$A),0)),"")</f>
        <v>179</v>
      </c>
      <c r="H190" s="38" t="s">
        <v>180</v>
      </c>
      <c r="I190" s="48" cm="1">
        <f t="array" ref="I190">IF($R190,INDEX($S:$S,MATCH(TRUE,EXACT(H190,$A:$A),0)),"")</f>
        <v>173</v>
      </c>
      <c r="J190" s="38" t="s">
        <v>182</v>
      </c>
      <c r="K190" s="52" cm="1">
        <f t="array" ref="K190">IF($R190,INDEX($S:$S,MATCH(TRUE,EXACT(J190,$A:$A),0)),"")</f>
        <v>175</v>
      </c>
      <c r="L190" s="38" t="str" cm="1">
        <f t="array" ref="L190">IF($R190,INDEX($T:$T,MATCH(TRUE,EXACT(H190,$D:$D),0)),"")</f>
        <v>ģ</v>
      </c>
      <c r="M190" s="48" cm="1">
        <f t="array" ref="M190">IF($R190,INDEX($S:$S,MATCH(TRUE,EXACT(L190,$A:$A),0)),"")</f>
        <v>172</v>
      </c>
      <c r="N190" s="38" t="str" cm="1">
        <f t="array" ref="N190">IF($R190,INDEX($T:$T,MATCH(TRUE,EXACT(J190,$D:$D),0)),"")</f>
        <v>ĥ</v>
      </c>
      <c r="O190" s="52" cm="1">
        <f t="array" ref="O190">IF($R190,INDEX($S:$S,MATCH(TRUE,EXACT(N190,$A:$A),0)),"")</f>
        <v>174</v>
      </c>
      <c r="P190" s="23"/>
      <c r="Q190" s="33"/>
      <c r="R190" s="18" t="b">
        <f t="shared" si="29"/>
        <v>1</v>
      </c>
      <c r="S190" s="19">
        <f>IF(R190, MAX(S$2:S189)+1,"")</f>
        <v>177</v>
      </c>
      <c r="T190" s="23" t="str">
        <f t="shared" si="30"/>
        <v>Ĩ</v>
      </c>
      <c r="U190" s="8" t="str" cm="1">
        <f t="array" ref="U190">CharToUTF8(A190)</f>
        <v>\xC4\xA8</v>
      </c>
      <c r="W190" s="18" t="str">
        <f>$AU$2</f>
        <v>EMPTY</v>
      </c>
      <c r="X190" s="24" t="str">
        <f>$AU$9</f>
        <v>ORTHO_LEFT</v>
      </c>
      <c r="Y190" s="24" t="str">
        <f>$AU$6</f>
        <v>DIAG_BACK</v>
      </c>
      <c r="Z190" s="21" t="str">
        <f>$AU$2</f>
        <v>EMPTY</v>
      </c>
      <c r="AB190" s="31" t="b">
        <f t="shared" si="31"/>
        <v>0</v>
      </c>
      <c r="AC190" s="31" t="b">
        <f t="shared" si="32"/>
        <v>0</v>
      </c>
      <c r="AD190" t="b">
        <f t="shared" si="33"/>
        <v>0</v>
      </c>
      <c r="AE190" t="b">
        <f t="shared" si="34"/>
        <v>0</v>
      </c>
      <c r="AF190" t="b">
        <f>IF($R190,W190=VLOOKUP(Z190,$AU$2:$AZ$10,3,FALSE),"")</f>
        <v>1</v>
      </c>
      <c r="AG190" t="b">
        <f>IF($R190,X190=VLOOKUP(Y190,$AU$2:$AZ$10,3,FALSE),"")</f>
        <v>0</v>
      </c>
      <c r="AH190" t="b">
        <f>IF($R190,Y190=VLOOKUP(W190,$AU$2:$AZ$10,3,FALSE),"")</f>
        <v>0</v>
      </c>
      <c r="AI190" t="b">
        <f>IF($R190,Z190=VLOOKUP(X190,$AU$2:$AZ$10,3,FALSE),"")</f>
        <v>0</v>
      </c>
      <c r="AJ190" t="b">
        <f>IF($R190,W190=VLOOKUP(W190,$AU$2:$AZ$10,4,FALSE),"")</f>
        <v>1</v>
      </c>
      <c r="AK190" t="b">
        <f>IF($R190,X190=VLOOKUP(X190,$AU$2:$AZ$10,4,FALSE),"")</f>
        <v>0</v>
      </c>
      <c r="AL190" t="b">
        <f>IF($R190,Y190=VLOOKUP(Y190,$AU$2:$AZ$10,4,FALSE),"")</f>
        <v>1</v>
      </c>
      <c r="AM190" t="b">
        <f>IF($R190,Z190=VLOOKUP(Z190,$AU$2:$AZ$10,4,FALSE),"")</f>
        <v>1</v>
      </c>
      <c r="AN190" t="b">
        <f>IF($R190,W190=VLOOKUP(W190,$AU$2:$AZ$10,5,FALSE),"")</f>
        <v>1</v>
      </c>
      <c r="AO190" t="b">
        <f>IF($R190,X190=VLOOKUP(X190,$AU$2:$AZ$10,5,FALSE),"")</f>
        <v>1</v>
      </c>
      <c r="AP190" t="b">
        <f>IF($R190,Y190=VLOOKUP(Y190,$AU$2:$AZ$10,6,FALSE),"")</f>
        <v>0</v>
      </c>
      <c r="AQ190" t="b">
        <f>IF($R190,Z190=VLOOKUP(Z190,$AU$2:$AZ$10,6,FALSE),"")</f>
        <v>1</v>
      </c>
      <c r="AR190" t="b">
        <f t="shared" si="35"/>
        <v>0</v>
      </c>
      <c r="AS190" t="b">
        <f t="shared" si="36"/>
        <v>0</v>
      </c>
      <c r="BD190" s="59" t="str">
        <f t="shared" si="37"/>
        <v xml:space="preserve">    { wxString::FromUTF8("\xC4\xA8"), &amp;AllGlyphs[178], &amp;AllGlyphs[179], &amp;AllGlyphs[173], &amp;AllGlyphs[175], &amp;AllGlyphs[172], &amp;AllGlyphs[174], Connection::EMPTY, Connection::ORTHO_LEFT, Connection::DIAG_BACK, Connection::EMPTY, 0, 0, 0, 0, 0, 0 },</v>
      </c>
      <c r="BE190" s="60"/>
      <c r="BF190" s="60"/>
      <c r="BG190" s="60"/>
      <c r="BH190" s="60"/>
      <c r="BI190" s="60"/>
      <c r="BJ190" s="60"/>
      <c r="BK190" s="61"/>
      <c r="BM190" s="54" t="str">
        <f>IF($R190,"&amp;AllGlyphs[" &amp; E190 &amp; "]","")</f>
        <v>&amp;AllGlyphs[178]</v>
      </c>
      <c r="BN190" s="54" t="str">
        <f>IF($R190,"&amp;AllGlyphs[" &amp; G190 &amp; "]","")</f>
        <v>&amp;AllGlyphs[179]</v>
      </c>
      <c r="BO190" s="54" t="str">
        <f>IF($R190,"&amp;AllGlyphs[" &amp; I190 &amp; "]","")</f>
        <v>&amp;AllGlyphs[173]</v>
      </c>
      <c r="BP190" s="54" t="str">
        <f>IF($R190,"&amp;AllGlyphs[" &amp; K190 &amp; "]","")</f>
        <v>&amp;AllGlyphs[175]</v>
      </c>
      <c r="BQ190" s="54" t="str">
        <f>IF($R190,"&amp;AllGlyphs[" &amp; M190 &amp; "]","")</f>
        <v>&amp;AllGlyphs[172]</v>
      </c>
      <c r="BR190" s="54" t="str">
        <f>IF($R190,"&amp;AllGlyphs[" &amp; O190 &amp; "]","")</f>
        <v>&amp;AllGlyphs[174]</v>
      </c>
      <c r="BT190" s="58">
        <f>IF($R190,IF(AB190,1,0),"")</f>
        <v>0</v>
      </c>
      <c r="BU190" s="58">
        <f>IF($R190,IF(AC190,1,0),"")</f>
        <v>0</v>
      </c>
      <c r="BV190" s="58">
        <f>IF($R190,IF(AD190,1,0),"")</f>
        <v>0</v>
      </c>
      <c r="BW190" s="58">
        <f>IF($R190,IF(AE190,1,0),"")</f>
        <v>0</v>
      </c>
      <c r="BX190" s="58">
        <f>IF($R190,IF(AR190,1,0),"")</f>
        <v>0</v>
      </c>
      <c r="BY190" s="58">
        <f>IF($R190,IF(AS190,1,0),"")</f>
        <v>0</v>
      </c>
    </row>
    <row r="191" spans="1:77" x14ac:dyDescent="0.4">
      <c r="A191" s="7" t="s">
        <v>185</v>
      </c>
      <c r="B191" s="6" t="str">
        <f t="shared" si="28"/>
        <v>ĩ</v>
      </c>
      <c r="C191" s="48" cm="1">
        <f t="array" ref="C191">IF($R191,INDEX($S:$S,MATCH(TRUE,EXACT(B191,$A:$A),0)),"")</f>
        <v>178</v>
      </c>
      <c r="D191" s="38" t="s">
        <v>186</v>
      </c>
      <c r="E191" s="48" cm="1">
        <f t="array" ref="E191">IF($R191,INDEX($S:$S,MATCH(TRUE,EXACT(D191,$A:$A),0)),"")</f>
        <v>179</v>
      </c>
      <c r="F191" s="38" t="s">
        <v>183</v>
      </c>
      <c r="G191" s="48" cm="1">
        <f t="array" ref="G191">IF($S191&lt;&gt;"",INDEX($S:$S,MATCH(TRUE,EXACT(F191,$A:$A),0)),"")</f>
        <v>176</v>
      </c>
      <c r="H191" s="38" t="s">
        <v>179</v>
      </c>
      <c r="I191" s="48" cm="1">
        <f t="array" ref="I191">IF($R191,INDEX($S:$S,MATCH(TRUE,EXACT(H191,$A:$A),0)),"")</f>
        <v>172</v>
      </c>
      <c r="J191" s="38" t="s">
        <v>181</v>
      </c>
      <c r="K191" s="52" cm="1">
        <f t="array" ref="K191">IF($R191,INDEX($S:$S,MATCH(TRUE,EXACT(J191,$A:$A),0)),"")</f>
        <v>174</v>
      </c>
      <c r="L191" s="38" t="str" cm="1">
        <f t="array" ref="L191">IF($R191,INDEX($T:$T,MATCH(TRUE,EXACT(H191,$D:$D),0)),"")</f>
        <v>Ħ</v>
      </c>
      <c r="M191" s="48" cm="1">
        <f t="array" ref="M191">IF($R191,INDEX($S:$S,MATCH(TRUE,EXACT(L191,$A:$A),0)),"")</f>
        <v>175</v>
      </c>
      <c r="N191" s="38" t="str" cm="1">
        <f t="array" ref="N191">IF($R191,INDEX($T:$T,MATCH(TRUE,EXACT(J191,$D:$D),0)),"")</f>
        <v>Ĥ</v>
      </c>
      <c r="O191" s="52" cm="1">
        <f t="array" ref="O191">IF($R191,INDEX($S:$S,MATCH(TRUE,EXACT(N191,$A:$A),0)),"")</f>
        <v>173</v>
      </c>
      <c r="P191" s="23"/>
      <c r="Q191" s="33"/>
      <c r="R191" s="18" t="b">
        <f t="shared" si="29"/>
        <v>1</v>
      </c>
      <c r="S191" s="19">
        <f>IF(R191, MAX(S$2:S190)+1,"")</f>
        <v>178</v>
      </c>
      <c r="T191" s="23" t="str">
        <f t="shared" si="30"/>
        <v>ĩ</v>
      </c>
      <c r="U191" s="8" t="str" cm="1">
        <f t="array" ref="U191">CharToUTF8(A191)</f>
        <v>\xC4\xA9</v>
      </c>
      <c r="W191" s="18" t="str">
        <f>$AU$6</f>
        <v>DIAG_BACK</v>
      </c>
      <c r="X191" s="24" t="str">
        <f>$AU$2</f>
        <v>EMPTY</v>
      </c>
      <c r="Y191" s="24" t="str">
        <f>$AU$7</f>
        <v>ORTHO_UP</v>
      </c>
      <c r="Z191" s="21" t="str">
        <f>$AU$2</f>
        <v>EMPTY</v>
      </c>
      <c r="AB191" s="31" t="b">
        <f t="shared" si="31"/>
        <v>0</v>
      </c>
      <c r="AC191" s="31" t="b">
        <f t="shared" si="32"/>
        <v>0</v>
      </c>
      <c r="AD191" t="b">
        <f t="shared" si="33"/>
        <v>0</v>
      </c>
      <c r="AE191" t="b">
        <f t="shared" si="34"/>
        <v>0</v>
      </c>
      <c r="AF191" t="b">
        <f>IF($R191,W191=VLOOKUP(Z191,$AU$2:$AZ$10,3,FALSE),"")</f>
        <v>0</v>
      </c>
      <c r="AG191" t="b">
        <f>IF($R191,X191=VLOOKUP(Y191,$AU$2:$AZ$10,3,FALSE),"")</f>
        <v>0</v>
      </c>
      <c r="AH191" t="b">
        <f>IF($R191,Y191=VLOOKUP(W191,$AU$2:$AZ$10,3,FALSE),"")</f>
        <v>0</v>
      </c>
      <c r="AI191" t="b">
        <f>IF($R191,Z191=VLOOKUP(X191,$AU$2:$AZ$10,3,FALSE),"")</f>
        <v>1</v>
      </c>
      <c r="AJ191" t="b">
        <f>IF($R191,W191=VLOOKUP(W191,$AU$2:$AZ$10,4,FALSE),"")</f>
        <v>1</v>
      </c>
      <c r="AK191" t="b">
        <f>IF($R191,X191=VLOOKUP(X191,$AU$2:$AZ$10,4,FALSE),"")</f>
        <v>1</v>
      </c>
      <c r="AL191" t="b">
        <f>IF($R191,Y191=VLOOKUP(Y191,$AU$2:$AZ$10,4,FALSE),"")</f>
        <v>0</v>
      </c>
      <c r="AM191" t="b">
        <f>IF($R191,Z191=VLOOKUP(Z191,$AU$2:$AZ$10,4,FALSE),"")</f>
        <v>1</v>
      </c>
      <c r="AN191" t="b">
        <f>IF($R191,W191=VLOOKUP(W191,$AU$2:$AZ$10,5,FALSE),"")</f>
        <v>0</v>
      </c>
      <c r="AO191" t="b">
        <f>IF($R191,X191=VLOOKUP(X191,$AU$2:$AZ$10,5,FALSE),"")</f>
        <v>1</v>
      </c>
      <c r="AP191" t="b">
        <f>IF($R191,Y191=VLOOKUP(Y191,$AU$2:$AZ$10,6,FALSE),"")</f>
        <v>1</v>
      </c>
      <c r="AQ191" t="b">
        <f>IF($R191,Z191=VLOOKUP(Z191,$AU$2:$AZ$10,6,FALSE),"")</f>
        <v>1</v>
      </c>
      <c r="AR191" t="b">
        <f t="shared" si="35"/>
        <v>0</v>
      </c>
      <c r="AS191" t="b">
        <f t="shared" si="36"/>
        <v>0</v>
      </c>
      <c r="BD191" s="59" t="str">
        <f t="shared" si="37"/>
        <v xml:space="preserve">    { wxString::FromUTF8("\xC4\xA9"), &amp;AllGlyphs[179], &amp;AllGlyphs[176], &amp;AllGlyphs[172], &amp;AllGlyphs[174], &amp;AllGlyphs[175], &amp;AllGlyphs[173], Connection::DIAG_BACK, Connection::EMPTY, Connection::ORTHO_UP, Connection::EMPTY, 0, 0, 0, 0, 0, 0 },</v>
      </c>
      <c r="BE191" s="60"/>
      <c r="BF191" s="60"/>
      <c r="BG191" s="60"/>
      <c r="BH191" s="60"/>
      <c r="BI191" s="60"/>
      <c r="BJ191" s="60"/>
      <c r="BK191" s="61"/>
      <c r="BM191" s="54" t="str">
        <f>IF($R191,"&amp;AllGlyphs[" &amp; E191 &amp; "]","")</f>
        <v>&amp;AllGlyphs[179]</v>
      </c>
      <c r="BN191" s="54" t="str">
        <f>IF($R191,"&amp;AllGlyphs[" &amp; G191 &amp; "]","")</f>
        <v>&amp;AllGlyphs[176]</v>
      </c>
      <c r="BO191" s="54" t="str">
        <f>IF($R191,"&amp;AllGlyphs[" &amp; I191 &amp; "]","")</f>
        <v>&amp;AllGlyphs[172]</v>
      </c>
      <c r="BP191" s="54" t="str">
        <f>IF($R191,"&amp;AllGlyphs[" &amp; K191 &amp; "]","")</f>
        <v>&amp;AllGlyphs[174]</v>
      </c>
      <c r="BQ191" s="54" t="str">
        <f>IF($R191,"&amp;AllGlyphs[" &amp; M191 &amp; "]","")</f>
        <v>&amp;AllGlyphs[175]</v>
      </c>
      <c r="BR191" s="54" t="str">
        <f>IF($R191,"&amp;AllGlyphs[" &amp; O191 &amp; "]","")</f>
        <v>&amp;AllGlyphs[173]</v>
      </c>
      <c r="BT191" s="58">
        <f>IF($R191,IF(AB191,1,0),"")</f>
        <v>0</v>
      </c>
      <c r="BU191" s="58">
        <f>IF($R191,IF(AC191,1,0),"")</f>
        <v>0</v>
      </c>
      <c r="BV191" s="58">
        <f>IF($R191,IF(AD191,1,0),"")</f>
        <v>0</v>
      </c>
      <c r="BW191" s="58">
        <f>IF($R191,IF(AE191,1,0),"")</f>
        <v>0</v>
      </c>
      <c r="BX191" s="58">
        <f>IF($R191,IF(AR191,1,0),"")</f>
        <v>0</v>
      </c>
      <c r="BY191" s="58">
        <f>IF($R191,IF(AS191,1,0),"")</f>
        <v>0</v>
      </c>
    </row>
    <row r="192" spans="1:77" x14ac:dyDescent="0.4">
      <c r="A192" s="7" t="s">
        <v>186</v>
      </c>
      <c r="B192" s="6" t="str">
        <f t="shared" si="28"/>
        <v>Ī</v>
      </c>
      <c r="C192" s="48" cm="1">
        <f t="array" ref="C192">IF($R192,INDEX($S:$S,MATCH(TRUE,EXACT(B192,$A:$A),0)),"")</f>
        <v>179</v>
      </c>
      <c r="D192" s="38" t="s">
        <v>183</v>
      </c>
      <c r="E192" s="48" cm="1">
        <f t="array" ref="E192">IF($R192,INDEX($S:$S,MATCH(TRUE,EXACT(D192,$A:$A),0)),"")</f>
        <v>176</v>
      </c>
      <c r="F192" s="38" t="s">
        <v>184</v>
      </c>
      <c r="G192" s="48" cm="1">
        <f t="array" ref="G192">IF($S192&lt;&gt;"",INDEX($S:$S,MATCH(TRUE,EXACT(F192,$A:$A),0)),"")</f>
        <v>177</v>
      </c>
      <c r="H192" s="38" t="s">
        <v>182</v>
      </c>
      <c r="I192" s="48" cm="1">
        <f t="array" ref="I192">IF($R192,INDEX($S:$S,MATCH(TRUE,EXACT(H192,$A:$A),0)),"")</f>
        <v>175</v>
      </c>
      <c r="J192" s="38" t="s">
        <v>180</v>
      </c>
      <c r="K192" s="52" cm="1">
        <f t="array" ref="K192">IF($R192,INDEX($S:$S,MATCH(TRUE,EXACT(J192,$A:$A),0)),"")</f>
        <v>173</v>
      </c>
      <c r="L192" s="38" t="str" cm="1">
        <f t="array" ref="L192">IF($R192,INDEX($T:$T,MATCH(TRUE,EXACT(H192,$D:$D),0)),"")</f>
        <v>ĥ</v>
      </c>
      <c r="M192" s="48" cm="1">
        <f t="array" ref="M192">IF($R192,INDEX($S:$S,MATCH(TRUE,EXACT(L192,$A:$A),0)),"")</f>
        <v>174</v>
      </c>
      <c r="N192" s="38" t="str" cm="1">
        <f t="array" ref="N192">IF($R192,INDEX($T:$T,MATCH(TRUE,EXACT(J192,$D:$D),0)),"")</f>
        <v>ģ</v>
      </c>
      <c r="O192" s="52" cm="1">
        <f t="array" ref="O192">IF($R192,INDEX($S:$S,MATCH(TRUE,EXACT(N192,$A:$A),0)),"")</f>
        <v>172</v>
      </c>
      <c r="P192" s="23"/>
      <c r="Q192" s="33"/>
      <c r="R192" s="18" t="b">
        <f t="shared" si="29"/>
        <v>1</v>
      </c>
      <c r="S192" s="19">
        <f>IF(R192, MAX(S$2:S191)+1,"")</f>
        <v>179</v>
      </c>
      <c r="T192" s="23" t="str">
        <f t="shared" si="30"/>
        <v>Ī</v>
      </c>
      <c r="U192" s="8" t="str" cm="1">
        <f t="array" ref="U192">CharToUTF8(A192)</f>
        <v>\xC4\xAA</v>
      </c>
      <c r="W192" s="18" t="str">
        <f>$AU$10</f>
        <v>ORTHO_RIGHT</v>
      </c>
      <c r="X192" s="24" t="str">
        <f>$AU$2</f>
        <v>EMPTY</v>
      </c>
      <c r="Y192" s="24" t="str">
        <f>$AU$2</f>
        <v>EMPTY</v>
      </c>
      <c r="Z192" s="21" t="str">
        <f>$AU$6</f>
        <v>DIAG_BACK</v>
      </c>
      <c r="AB192" s="31" t="b">
        <f t="shared" si="31"/>
        <v>0</v>
      </c>
      <c r="AC192" s="31" t="b">
        <f t="shared" si="32"/>
        <v>0</v>
      </c>
      <c r="AD192" t="b">
        <f t="shared" si="33"/>
        <v>0</v>
      </c>
      <c r="AE192" t="b">
        <f t="shared" si="34"/>
        <v>0</v>
      </c>
      <c r="AF192" t="b">
        <f>IF($R192,W192=VLOOKUP(Z192,$AU$2:$AZ$10,3,FALSE),"")</f>
        <v>0</v>
      </c>
      <c r="AG192" t="b">
        <f>IF($R192,X192=VLOOKUP(Y192,$AU$2:$AZ$10,3,FALSE),"")</f>
        <v>1</v>
      </c>
      <c r="AH192" t="b">
        <f>IF($R192,Y192=VLOOKUP(W192,$AU$2:$AZ$10,3,FALSE),"")</f>
        <v>0</v>
      </c>
      <c r="AI192" t="b">
        <f>IF($R192,Z192=VLOOKUP(X192,$AU$2:$AZ$10,3,FALSE),"")</f>
        <v>0</v>
      </c>
      <c r="AJ192" t="b">
        <f>IF($R192,W192=VLOOKUP(W192,$AU$2:$AZ$10,4,FALSE),"")</f>
        <v>0</v>
      </c>
      <c r="AK192" t="b">
        <f>IF($R192,X192=VLOOKUP(X192,$AU$2:$AZ$10,4,FALSE),"")</f>
        <v>1</v>
      </c>
      <c r="AL192" t="b">
        <f>IF($R192,Y192=VLOOKUP(Y192,$AU$2:$AZ$10,4,FALSE),"")</f>
        <v>1</v>
      </c>
      <c r="AM192" t="b">
        <f>IF($R192,Z192=VLOOKUP(Z192,$AU$2:$AZ$10,4,FALSE),"")</f>
        <v>1</v>
      </c>
      <c r="AN192" t="b">
        <f>IF($R192,W192=VLOOKUP(W192,$AU$2:$AZ$10,5,FALSE),"")</f>
        <v>1</v>
      </c>
      <c r="AO192" t="b">
        <f>IF($R192,X192=VLOOKUP(X192,$AU$2:$AZ$10,5,FALSE),"")</f>
        <v>1</v>
      </c>
      <c r="AP192" t="b">
        <f>IF($R192,Y192=VLOOKUP(Y192,$AU$2:$AZ$10,6,FALSE),"")</f>
        <v>1</v>
      </c>
      <c r="AQ192" t="b">
        <f>IF($R192,Z192=VLOOKUP(Z192,$AU$2:$AZ$10,6,FALSE),"")</f>
        <v>0</v>
      </c>
      <c r="AR192" t="b">
        <f t="shared" si="35"/>
        <v>0</v>
      </c>
      <c r="AS192" t="b">
        <f t="shared" si="36"/>
        <v>0</v>
      </c>
      <c r="BD192" s="59" t="str">
        <f t="shared" si="37"/>
        <v xml:space="preserve">    { wxString::FromUTF8("\xC4\xAA"), &amp;AllGlyphs[176], &amp;AllGlyphs[177], &amp;AllGlyphs[175], &amp;AllGlyphs[173], &amp;AllGlyphs[174], &amp;AllGlyphs[172], Connection::ORTHO_RIGHT, Connection::EMPTY, Connection::EMPTY, Connection::DIAG_BACK, 0, 0, 0, 0, 0, 0 },</v>
      </c>
      <c r="BE192" s="60"/>
      <c r="BF192" s="60"/>
      <c r="BG192" s="60"/>
      <c r="BH192" s="60"/>
      <c r="BI192" s="60"/>
      <c r="BJ192" s="60"/>
      <c r="BK192" s="61"/>
      <c r="BM192" s="54" t="str">
        <f>IF($R192,"&amp;AllGlyphs[" &amp; E192 &amp; "]","")</f>
        <v>&amp;AllGlyphs[176]</v>
      </c>
      <c r="BN192" s="54" t="str">
        <f>IF($R192,"&amp;AllGlyphs[" &amp; G192 &amp; "]","")</f>
        <v>&amp;AllGlyphs[177]</v>
      </c>
      <c r="BO192" s="54" t="str">
        <f>IF($R192,"&amp;AllGlyphs[" &amp; I192 &amp; "]","")</f>
        <v>&amp;AllGlyphs[175]</v>
      </c>
      <c r="BP192" s="54" t="str">
        <f>IF($R192,"&amp;AllGlyphs[" &amp; K192 &amp; "]","")</f>
        <v>&amp;AllGlyphs[173]</v>
      </c>
      <c r="BQ192" s="54" t="str">
        <f>IF($R192,"&amp;AllGlyphs[" &amp; M192 &amp; "]","")</f>
        <v>&amp;AllGlyphs[174]</v>
      </c>
      <c r="BR192" s="54" t="str">
        <f>IF($R192,"&amp;AllGlyphs[" &amp; O192 &amp; "]","")</f>
        <v>&amp;AllGlyphs[172]</v>
      </c>
      <c r="BT192" s="58">
        <f>IF($R192,IF(AB192,1,0),"")</f>
        <v>0</v>
      </c>
      <c r="BU192" s="58">
        <f>IF($R192,IF(AC192,1,0),"")</f>
        <v>0</v>
      </c>
      <c r="BV192" s="58">
        <f>IF($R192,IF(AD192,1,0),"")</f>
        <v>0</v>
      </c>
      <c r="BW192" s="58">
        <f>IF($R192,IF(AE192,1,0),"")</f>
        <v>0</v>
      </c>
      <c r="BX192" s="58">
        <f>IF($R192,IF(AR192,1,0),"")</f>
        <v>0</v>
      </c>
      <c r="BY192" s="58">
        <f>IF($R192,IF(AS192,1,0),"")</f>
        <v>0</v>
      </c>
    </row>
    <row r="193" spans="1:77" x14ac:dyDescent="0.4">
      <c r="A193" s="7" t="s">
        <v>187</v>
      </c>
      <c r="B193" s="6" t="str">
        <f t="shared" si="28"/>
        <v>Œ</v>
      </c>
      <c r="C193" s="48" cm="1">
        <f t="array" ref="C193">IF($R193,INDEX($S:$S,MATCH(TRUE,EXACT(B193,$A:$A),0)),"")</f>
        <v>180</v>
      </c>
      <c r="D193" s="38" t="s">
        <v>190</v>
      </c>
      <c r="E193" s="48" cm="1">
        <f t="array" ref="E193">IF($R193,INDEX($S:$S,MATCH(TRUE,EXACT(D193,$A:$A),0)),"")</f>
        <v>183</v>
      </c>
      <c r="F193" s="38" t="s">
        <v>187</v>
      </c>
      <c r="G193" s="48" cm="1">
        <f t="array" ref="G193">IF($S193&lt;&gt;"",INDEX($S:$S,MATCH(TRUE,EXACT(F193,$A:$A),0)),"")</f>
        <v>180</v>
      </c>
      <c r="H193" s="38" t="s">
        <v>187</v>
      </c>
      <c r="I193" s="48" cm="1">
        <f t="array" ref="I193">IF($R193,INDEX($S:$S,MATCH(TRUE,EXACT(H193,$A:$A),0)),"")</f>
        <v>180</v>
      </c>
      <c r="J193" s="38" t="s">
        <v>187</v>
      </c>
      <c r="K193" s="52" cm="1">
        <f t="array" ref="K193">IF($R193,INDEX($S:$S,MATCH(TRUE,EXACT(J193,$A:$A),0)),"")</f>
        <v>180</v>
      </c>
      <c r="L193" s="38" t="str" cm="1">
        <f t="array" ref="L193">IF($R193,INDEX($T:$T,MATCH(TRUE,EXACT(H193,$D:$D),0)),"")</f>
        <v>‚</v>
      </c>
      <c r="M193" s="48" cm="1">
        <f t="array" ref="M193">IF($R193,INDEX($S:$S,MATCH(TRUE,EXACT(L193,$A:$A),0)),"")</f>
        <v>183</v>
      </c>
      <c r="N193" s="38" t="str" cm="1">
        <f t="array" ref="N193">IF($R193,INDEX($T:$T,MATCH(TRUE,EXACT(J193,$D:$D),0)),"")</f>
        <v>‚</v>
      </c>
      <c r="O193" s="52" cm="1">
        <f t="array" ref="O193">IF($R193,INDEX($S:$S,MATCH(TRUE,EXACT(N193,$A:$A),0)),"")</f>
        <v>183</v>
      </c>
      <c r="P193" s="23"/>
      <c r="Q193" s="33"/>
      <c r="R193" s="18" t="b">
        <f t="shared" si="29"/>
        <v>1</v>
      </c>
      <c r="S193" s="19">
        <f>IF(R193, MAX(S$2:S192)+1,"")</f>
        <v>180</v>
      </c>
      <c r="T193" s="23" t="str">
        <f t="shared" si="30"/>
        <v>Œ</v>
      </c>
      <c r="U193" s="8" t="str" cm="1">
        <f t="array" ref="U193">CharToUTF8(A193)</f>
        <v>\xC5\x92</v>
      </c>
      <c r="W193" s="18" t="str">
        <f>$AU$2</f>
        <v>EMPTY</v>
      </c>
      <c r="X193" s="24" t="str">
        <f>$AU$2</f>
        <v>EMPTY</v>
      </c>
      <c r="Y193" s="24" t="str">
        <f>$AU$4</f>
        <v>ORTHO_BOTH</v>
      </c>
      <c r="Z193" s="21" t="str">
        <f>$AU$4</f>
        <v>ORTHO_BOTH</v>
      </c>
      <c r="AB193" s="31" t="b">
        <f t="shared" si="31"/>
        <v>0</v>
      </c>
      <c r="AC193" s="31" t="b">
        <f t="shared" si="32"/>
        <v>1</v>
      </c>
      <c r="AD193" t="b">
        <f t="shared" si="33"/>
        <v>1</v>
      </c>
      <c r="AE193" t="b">
        <f t="shared" si="34"/>
        <v>1</v>
      </c>
      <c r="AF193" t="b">
        <f>IF($R193,W193=VLOOKUP(Z193,$AU$2:$AZ$10,3,FALSE),"")</f>
        <v>0</v>
      </c>
      <c r="AG193" t="b">
        <f>IF($R193,X193=VLOOKUP(Y193,$AU$2:$AZ$10,3,FALSE),"")</f>
        <v>0</v>
      </c>
      <c r="AH193" t="b">
        <f>IF($R193,Y193=VLOOKUP(W193,$AU$2:$AZ$10,3,FALSE),"")</f>
        <v>0</v>
      </c>
      <c r="AI193" t="b">
        <f>IF($R193,Z193=VLOOKUP(X193,$AU$2:$AZ$10,3,FALSE),"")</f>
        <v>0</v>
      </c>
      <c r="AJ193" t="b">
        <f>IF($R193,W193=VLOOKUP(W193,$AU$2:$AZ$10,4,FALSE),"")</f>
        <v>1</v>
      </c>
      <c r="AK193" t="b">
        <f>IF($R193,X193=VLOOKUP(X193,$AU$2:$AZ$10,4,FALSE),"")</f>
        <v>1</v>
      </c>
      <c r="AL193" t="b">
        <f>IF($R193,Y193=VLOOKUP(Y193,$AU$2:$AZ$10,4,FALSE),"")</f>
        <v>1</v>
      </c>
      <c r="AM193" t="b">
        <f>IF($R193,Z193=VLOOKUP(Z193,$AU$2:$AZ$10,4,FALSE),"")</f>
        <v>1</v>
      </c>
      <c r="AN193" t="b">
        <f>IF($R193,W193=VLOOKUP(W193,$AU$2:$AZ$10,5,FALSE),"")</f>
        <v>1</v>
      </c>
      <c r="AO193" t="b">
        <f>IF($R193,X193=VLOOKUP(X193,$AU$2:$AZ$10,5,FALSE),"")</f>
        <v>1</v>
      </c>
      <c r="AP193" t="b">
        <f>IF($R193,Y193=VLOOKUP(Y193,$AU$2:$AZ$10,6,FALSE),"")</f>
        <v>1</v>
      </c>
      <c r="AQ193" t="b">
        <f>IF($R193,Z193=VLOOKUP(Z193,$AU$2:$AZ$10,6,FALSE),"")</f>
        <v>1</v>
      </c>
      <c r="AR193" t="b">
        <f t="shared" si="35"/>
        <v>0</v>
      </c>
      <c r="AS193" t="b">
        <f t="shared" si="36"/>
        <v>0</v>
      </c>
      <c r="BD193" s="59" t="str">
        <f t="shared" si="37"/>
        <v xml:space="preserve">    { wxString::FromUTF8("\xC5\x92"), &amp;AllGlyphs[183], &amp;AllGlyphs[180], &amp;AllGlyphs[180], &amp;AllGlyphs[180], &amp;AllGlyphs[183], &amp;AllGlyphs[183], Connection::EMPTY, Connection::EMPTY, Connection::ORTHO_BOTH, Connection::ORTHO_BOTH, 0, 1, 1, 1, 0, 0 },</v>
      </c>
      <c r="BE193" s="60"/>
      <c r="BF193" s="60"/>
      <c r="BG193" s="60"/>
      <c r="BH193" s="60"/>
      <c r="BI193" s="60"/>
      <c r="BJ193" s="60"/>
      <c r="BK193" s="61"/>
      <c r="BM193" s="54" t="str">
        <f>IF($R193,"&amp;AllGlyphs[" &amp; E193 &amp; "]","")</f>
        <v>&amp;AllGlyphs[183]</v>
      </c>
      <c r="BN193" s="54" t="str">
        <f>IF($R193,"&amp;AllGlyphs[" &amp; G193 &amp; "]","")</f>
        <v>&amp;AllGlyphs[180]</v>
      </c>
      <c r="BO193" s="54" t="str">
        <f>IF($R193,"&amp;AllGlyphs[" &amp; I193 &amp; "]","")</f>
        <v>&amp;AllGlyphs[180]</v>
      </c>
      <c r="BP193" s="54" t="str">
        <f>IF($R193,"&amp;AllGlyphs[" &amp; K193 &amp; "]","")</f>
        <v>&amp;AllGlyphs[180]</v>
      </c>
      <c r="BQ193" s="54" t="str">
        <f>IF($R193,"&amp;AllGlyphs[" &amp; M193 &amp; "]","")</f>
        <v>&amp;AllGlyphs[183]</v>
      </c>
      <c r="BR193" s="54" t="str">
        <f>IF($R193,"&amp;AllGlyphs[" &amp; O193 &amp; "]","")</f>
        <v>&amp;AllGlyphs[183]</v>
      </c>
      <c r="BT193" s="58">
        <f>IF($R193,IF(AB193,1,0),"")</f>
        <v>0</v>
      </c>
      <c r="BU193" s="58">
        <f>IF($R193,IF(AC193,1,0),"")</f>
        <v>1</v>
      </c>
      <c r="BV193" s="58">
        <f>IF($R193,IF(AD193,1,0),"")</f>
        <v>1</v>
      </c>
      <c r="BW193" s="58">
        <f>IF($R193,IF(AE193,1,0),"")</f>
        <v>1</v>
      </c>
      <c r="BX193" s="58">
        <f>IF($R193,IF(AR193,1,0),"")</f>
        <v>0</v>
      </c>
      <c r="BY193" s="58">
        <f>IF($R193,IF(AS193,1,0),"")</f>
        <v>0</v>
      </c>
    </row>
    <row r="194" spans="1:77" x14ac:dyDescent="0.4">
      <c r="A194" s="7" t="s">
        <v>188</v>
      </c>
      <c r="B194" s="6" t="str">
        <f t="shared" ref="B194:B202" si="38">A194</f>
        <v>Š</v>
      </c>
      <c r="C194" s="48" cm="1">
        <f t="array" ref="C194">IF($R194,INDEX($S:$S,MATCH(TRUE,EXACT(B194,$A:$A),0)),"")</f>
        <v>181</v>
      </c>
      <c r="D194" s="38" t="s">
        <v>189</v>
      </c>
      <c r="E194" s="48" cm="1">
        <f t="array" ref="E194">IF($R194,INDEX($S:$S,MATCH(TRUE,EXACT(D194,$A:$A),0)),"")</f>
        <v>182</v>
      </c>
      <c r="F194" s="38" t="s">
        <v>196</v>
      </c>
      <c r="G194" s="48" cm="1">
        <f t="array" ref="G194">IF($S194&lt;&gt;"",INDEX($S:$S,MATCH(TRUE,EXACT(F194,$A:$A),0)),"")</f>
        <v>189</v>
      </c>
      <c r="H194" s="38" t="s">
        <v>188</v>
      </c>
      <c r="I194" s="48" cm="1">
        <f t="array" ref="I194">IF($R194,INDEX($S:$S,MATCH(TRUE,EXACT(H194,$A:$A),0)),"")</f>
        <v>181</v>
      </c>
      <c r="J194" s="38" t="s">
        <v>196</v>
      </c>
      <c r="K194" s="52" cm="1">
        <f t="array" ref="K194">IF($R194,INDEX($S:$S,MATCH(TRUE,EXACT(J194,$A:$A),0)),"")</f>
        <v>189</v>
      </c>
      <c r="L194" s="38" t="str" cm="1">
        <f t="array" ref="L194">IF($R194,INDEX($T:$T,MATCH(TRUE,EXACT(H194,$D:$D),0)),"")</f>
        <v>‰</v>
      </c>
      <c r="M194" s="48" cm="1">
        <f t="array" ref="M194">IF($R194,INDEX($S:$S,MATCH(TRUE,EXACT(L194,$A:$A),0)),"")</f>
        <v>188</v>
      </c>
      <c r="N194" s="38" t="str" cm="1">
        <f t="array" ref="N194">IF($R194,INDEX($T:$T,MATCH(TRUE,EXACT(J194,$D:$D),0)),"")</f>
        <v>ˆ</v>
      </c>
      <c r="O194" s="52" cm="1">
        <f t="array" ref="O194">IF($R194,INDEX($S:$S,MATCH(TRUE,EXACT(N194,$A:$A),0)),"")</f>
        <v>182</v>
      </c>
      <c r="P194" s="23"/>
      <c r="Q194" s="33"/>
      <c r="R194" s="18" t="b">
        <f t="shared" ref="R194:R202" si="39">AND(B194&lt;&gt;"", D194&lt;&gt;"", F194&lt;&gt;"", J194&lt;&gt;"", H194&lt;&gt;"")</f>
        <v>1</v>
      </c>
      <c r="S194" s="19">
        <f>IF(R194, MAX(S$2:S193)+1,"")</f>
        <v>181</v>
      </c>
      <c r="T194" s="23" t="str">
        <f t="shared" ref="T194:T202" si="40">A194</f>
        <v>Š</v>
      </c>
      <c r="U194" s="8" t="str" cm="1">
        <f t="array" ref="U194">CharToUTF8(A194)</f>
        <v>\xC5\xA0</v>
      </c>
      <c r="W194" s="18" t="str">
        <f>$AU$2</f>
        <v>EMPTY</v>
      </c>
      <c r="X194" s="24" t="str">
        <f>$AU$2</f>
        <v>EMPTY</v>
      </c>
      <c r="Y194" s="24" t="str">
        <f>$AU$2</f>
        <v>EMPTY</v>
      </c>
      <c r="Z194" s="21" t="str">
        <f>$AU$3</f>
        <v>DIAG_BOTH</v>
      </c>
      <c r="AB194" s="31" t="b">
        <f t="shared" ref="AB194:AB202" si="41">IF($R194,C194=E194,"")</f>
        <v>0</v>
      </c>
      <c r="AC194" s="31" t="b">
        <f t="shared" ref="AC194:AC202" si="42">IF($R194,C194=G194,"")</f>
        <v>0</v>
      </c>
      <c r="AD194" t="b">
        <f t="shared" ref="AD194:AD202" si="43">IF($R194,C194=I194,"")</f>
        <v>1</v>
      </c>
      <c r="AE194" t="b">
        <f t="shared" ref="AE194:AE202" si="44">IF($R194,C194=K194,"")</f>
        <v>0</v>
      </c>
      <c r="AF194" t="b">
        <f>IF($R194,W194=VLOOKUP(Z194,$AU$2:$AZ$10,3,FALSE),"")</f>
        <v>0</v>
      </c>
      <c r="AG194" t="b">
        <f>IF($R194,X194=VLOOKUP(Y194,$AU$2:$AZ$10,3,FALSE),"")</f>
        <v>1</v>
      </c>
      <c r="AH194" t="b">
        <f>IF($R194,Y194=VLOOKUP(W194,$AU$2:$AZ$10,3,FALSE),"")</f>
        <v>1</v>
      </c>
      <c r="AI194" t="b">
        <f>IF($R194,Z194=VLOOKUP(X194,$AU$2:$AZ$10,3,FALSE),"")</f>
        <v>0</v>
      </c>
      <c r="AJ194" t="b">
        <f>IF($R194,W194=VLOOKUP(W194,$AU$2:$AZ$10,4,FALSE),"")</f>
        <v>1</v>
      </c>
      <c r="AK194" t="b">
        <f>IF($R194,X194=VLOOKUP(X194,$AU$2:$AZ$10,4,FALSE),"")</f>
        <v>1</v>
      </c>
      <c r="AL194" t="b">
        <f>IF($R194,Y194=VLOOKUP(Y194,$AU$2:$AZ$10,4,FALSE),"")</f>
        <v>1</v>
      </c>
      <c r="AM194" t="b">
        <f>IF($R194,Z194=VLOOKUP(Z194,$AU$2:$AZ$10,4,FALSE),"")</f>
        <v>1</v>
      </c>
      <c r="AN194" t="b">
        <f>IF($R194,W194=VLOOKUP(W194,$AU$2:$AZ$10,5,FALSE),"")</f>
        <v>1</v>
      </c>
      <c r="AO194" t="b">
        <f>IF($R194,X194=VLOOKUP(X194,$AU$2:$AZ$10,5,FALSE),"")</f>
        <v>1</v>
      </c>
      <c r="AP194" t="b">
        <f>IF($R194,Y194=VLOOKUP(Y194,$AU$2:$AZ$10,6,FALSE),"")</f>
        <v>1</v>
      </c>
      <c r="AQ194" t="b">
        <f>IF($R194,Z194=VLOOKUP(Z194,$AU$2:$AZ$10,6,FALSE),"")</f>
        <v>1</v>
      </c>
      <c r="AR194" t="b">
        <f t="shared" si="35"/>
        <v>0</v>
      </c>
      <c r="AS194" t="b">
        <f t="shared" si="36"/>
        <v>0</v>
      </c>
      <c r="BD194" s="59" t="str">
        <f t="shared" si="37"/>
        <v xml:space="preserve">    { wxString::FromUTF8("\xC5\xA0"), &amp;AllGlyphs[182], &amp;AllGlyphs[189], &amp;AllGlyphs[181], &amp;AllGlyphs[189], &amp;AllGlyphs[188], &amp;AllGlyphs[182], Connection::EMPTY, Connection::EMPTY, Connection::EMPTY, Connection::DIAG_BOTH, 0, 0, 1, 0, 0, 0 },</v>
      </c>
      <c r="BE194" s="60"/>
      <c r="BF194" s="60"/>
      <c r="BG194" s="60"/>
      <c r="BH194" s="60"/>
      <c r="BI194" s="60"/>
      <c r="BJ194" s="60"/>
      <c r="BK194" s="61"/>
      <c r="BM194" s="54" t="str">
        <f>IF($R194,"&amp;AllGlyphs[" &amp; E194 &amp; "]","")</f>
        <v>&amp;AllGlyphs[182]</v>
      </c>
      <c r="BN194" s="54" t="str">
        <f>IF($R194,"&amp;AllGlyphs[" &amp; G194 &amp; "]","")</f>
        <v>&amp;AllGlyphs[189]</v>
      </c>
      <c r="BO194" s="54" t="str">
        <f>IF($R194,"&amp;AllGlyphs[" &amp; I194 &amp; "]","")</f>
        <v>&amp;AllGlyphs[181]</v>
      </c>
      <c r="BP194" s="54" t="str">
        <f>IF($R194,"&amp;AllGlyphs[" &amp; K194 &amp; "]","")</f>
        <v>&amp;AllGlyphs[189]</v>
      </c>
      <c r="BQ194" s="54" t="str">
        <f>IF($R194,"&amp;AllGlyphs[" &amp; M194 &amp; "]","")</f>
        <v>&amp;AllGlyphs[188]</v>
      </c>
      <c r="BR194" s="54" t="str">
        <f>IF($R194,"&amp;AllGlyphs[" &amp; O194 &amp; "]","")</f>
        <v>&amp;AllGlyphs[182]</v>
      </c>
      <c r="BT194" s="58">
        <f>IF($R194,IF(AB194,1,0),"")</f>
        <v>0</v>
      </c>
      <c r="BU194" s="58">
        <f>IF($R194,IF(AC194,1,0),"")</f>
        <v>0</v>
      </c>
      <c r="BV194" s="58">
        <f>IF($R194,IF(AD194,1,0),"")</f>
        <v>1</v>
      </c>
      <c r="BW194" s="58">
        <f>IF($R194,IF(AE194,1,0),"")</f>
        <v>0</v>
      </c>
      <c r="BX194" s="58">
        <f>IF($R194,IF(AR194,1,0),"")</f>
        <v>0</v>
      </c>
      <c r="BY194" s="58">
        <f>IF($R194,IF(AS194,1,0),"")</f>
        <v>0</v>
      </c>
    </row>
    <row r="195" spans="1:77" x14ac:dyDescent="0.4">
      <c r="A195" s="7" t="s">
        <v>189</v>
      </c>
      <c r="B195" s="6" t="str">
        <f t="shared" si="38"/>
        <v>ˆ</v>
      </c>
      <c r="C195" s="48" cm="1">
        <f t="array" ref="C195">IF($R195,INDEX($S:$S,MATCH(TRUE,EXACT(B195,$A:$A),0)),"")</f>
        <v>182</v>
      </c>
      <c r="D195" s="38" t="s">
        <v>196</v>
      </c>
      <c r="E195" s="48" cm="1">
        <f t="array" ref="E195">IF($R195,INDEX($S:$S,MATCH(TRUE,EXACT(D195,$A:$A),0)),"")</f>
        <v>189</v>
      </c>
      <c r="F195" s="38" t="s">
        <v>195</v>
      </c>
      <c r="G195" s="48" cm="1">
        <f t="array" ref="G195">IF($S195&lt;&gt;"",INDEX($S:$S,MATCH(TRUE,EXACT(F195,$A:$A),0)),"")</f>
        <v>188</v>
      </c>
      <c r="H195" s="38" t="s">
        <v>195</v>
      </c>
      <c r="I195" s="48" cm="1">
        <f t="array" ref="I195">IF($R195,INDEX($S:$S,MATCH(TRUE,EXACT(H195,$A:$A),0)),"")</f>
        <v>188</v>
      </c>
      <c r="J195" s="38" t="s">
        <v>189</v>
      </c>
      <c r="K195" s="52" cm="1">
        <f t="array" ref="K195">IF($R195,INDEX($S:$S,MATCH(TRUE,EXACT(J195,$A:$A),0)),"")</f>
        <v>182</v>
      </c>
      <c r="L195" s="38" t="str" cm="1">
        <f t="array" ref="L195">IF($R195,INDEX($T:$T,MATCH(TRUE,EXACT(H195,$D:$D),0)),"")</f>
        <v>‹</v>
      </c>
      <c r="M195" s="48" cm="1">
        <f t="array" ref="M195">IF($R195,INDEX($S:$S,MATCH(TRUE,EXACT(L195,$A:$A),0)),"")</f>
        <v>189</v>
      </c>
      <c r="N195" s="38" t="str" cm="1">
        <f t="array" ref="N195">IF($R195,INDEX($T:$T,MATCH(TRUE,EXACT(J195,$D:$D),0)),"")</f>
        <v>Š</v>
      </c>
      <c r="O195" s="52" cm="1">
        <f t="array" ref="O195">IF($R195,INDEX($S:$S,MATCH(TRUE,EXACT(N195,$A:$A),0)),"")</f>
        <v>181</v>
      </c>
      <c r="P195" s="23"/>
      <c r="Q195" s="33"/>
      <c r="R195" s="18" t="b">
        <f t="shared" si="39"/>
        <v>1</v>
      </c>
      <c r="S195" s="19">
        <f>IF(R195, MAX(S$2:S194)+1,"")</f>
        <v>182</v>
      </c>
      <c r="T195" s="23" t="str">
        <f t="shared" si="40"/>
        <v>ˆ</v>
      </c>
      <c r="U195" s="8" t="str" cm="1">
        <f t="array" ref="U195">CharToUTF8(A195)</f>
        <v>\xCB\x86</v>
      </c>
      <c r="W195" s="18" t="str">
        <f>$AU$2</f>
        <v>EMPTY</v>
      </c>
      <c r="X195" s="24" t="str">
        <f>$AU$3</f>
        <v>DIAG_BOTH</v>
      </c>
      <c r="Y195" s="24" t="str">
        <f>$AU$2</f>
        <v>EMPTY</v>
      </c>
      <c r="Z195" s="21" t="str">
        <f>$AU$2</f>
        <v>EMPTY</v>
      </c>
      <c r="AB195" s="31" t="b">
        <f t="shared" si="41"/>
        <v>0</v>
      </c>
      <c r="AC195" s="31" t="b">
        <f t="shared" si="42"/>
        <v>0</v>
      </c>
      <c r="AD195" t="b">
        <f t="shared" si="43"/>
        <v>0</v>
      </c>
      <c r="AE195" t="b">
        <f t="shared" si="44"/>
        <v>1</v>
      </c>
      <c r="AF195" t="b">
        <f>IF($R195,W195=VLOOKUP(Z195,$AU$2:$AZ$10,3,FALSE),"")</f>
        <v>1</v>
      </c>
      <c r="AG195" t="b">
        <f>IF($R195,X195=VLOOKUP(Y195,$AU$2:$AZ$10,3,FALSE),"")</f>
        <v>0</v>
      </c>
      <c r="AH195" t="b">
        <f>IF($R195,Y195=VLOOKUP(W195,$AU$2:$AZ$10,3,FALSE),"")</f>
        <v>1</v>
      </c>
      <c r="AI195" t="b">
        <f>IF($R195,Z195=VLOOKUP(X195,$AU$2:$AZ$10,3,FALSE),"")</f>
        <v>0</v>
      </c>
      <c r="AJ195" t="b">
        <f>IF($R195,W195=VLOOKUP(W195,$AU$2:$AZ$10,4,FALSE),"")</f>
        <v>1</v>
      </c>
      <c r="AK195" t="b">
        <f>IF($R195,X195=VLOOKUP(X195,$AU$2:$AZ$10,4,FALSE),"")</f>
        <v>1</v>
      </c>
      <c r="AL195" t="b">
        <f>IF($R195,Y195=VLOOKUP(Y195,$AU$2:$AZ$10,4,FALSE),"")</f>
        <v>1</v>
      </c>
      <c r="AM195" t="b">
        <f>IF($R195,Z195=VLOOKUP(Z195,$AU$2:$AZ$10,4,FALSE),"")</f>
        <v>1</v>
      </c>
      <c r="AN195" t="b">
        <f>IF($R195,W195=VLOOKUP(W195,$AU$2:$AZ$10,5,FALSE),"")</f>
        <v>1</v>
      </c>
      <c r="AO195" t="b">
        <f>IF($R195,X195=VLOOKUP(X195,$AU$2:$AZ$10,5,FALSE),"")</f>
        <v>1</v>
      </c>
      <c r="AP195" t="b">
        <f>IF($R195,Y195=VLOOKUP(Y195,$AU$2:$AZ$10,6,FALSE),"")</f>
        <v>1</v>
      </c>
      <c r="AQ195" t="b">
        <f>IF($R195,Z195=VLOOKUP(Z195,$AU$2:$AZ$10,6,FALSE),"")</f>
        <v>1</v>
      </c>
      <c r="AR195" t="b">
        <f t="shared" ref="AR195:AR202" si="45">IF($R195,C195=M195,"")</f>
        <v>0</v>
      </c>
      <c r="AS195" t="b">
        <f t="shared" ref="AS195:AS202" si="46">IF($R195,C195=O195,"")</f>
        <v>0</v>
      </c>
      <c r="BD195" s="59" t="str">
        <f t="shared" ref="BD195:BD202" si="47">IF($R195,"    { wxString::FromUTF8(""" &amp; $U195 &amp; """), " &amp; _xlfn.TEXTJOIN(", ", TRUE, BM195:BR195) &amp; ", " &amp; $AU$1 &amp; _xlfn.TEXTJOIN(", " &amp; $AU$1, TRUE, $W195:$Z195) &amp; ", " &amp; _xlfn.TEXTJOIN(", ", TRUE, BT195:BY195) &amp; " },","")</f>
        <v xml:space="preserve">    { wxString::FromUTF8("\xCB\x86"), &amp;AllGlyphs[189], &amp;AllGlyphs[188], &amp;AllGlyphs[188], &amp;AllGlyphs[182], &amp;AllGlyphs[189], &amp;AllGlyphs[181], Connection::EMPTY, Connection::DIAG_BOTH, Connection::EMPTY, Connection::EMPTY, 0, 0, 0, 1, 0, 0 },</v>
      </c>
      <c r="BE195" s="60"/>
      <c r="BF195" s="60"/>
      <c r="BG195" s="60"/>
      <c r="BH195" s="60"/>
      <c r="BI195" s="60"/>
      <c r="BJ195" s="60"/>
      <c r="BK195" s="61"/>
      <c r="BM195" s="54" t="str">
        <f>IF($R195,"&amp;AllGlyphs[" &amp; E195 &amp; "]","")</f>
        <v>&amp;AllGlyphs[189]</v>
      </c>
      <c r="BN195" s="54" t="str">
        <f>IF($R195,"&amp;AllGlyphs[" &amp; G195 &amp; "]","")</f>
        <v>&amp;AllGlyphs[188]</v>
      </c>
      <c r="BO195" s="54" t="str">
        <f t="shared" ref="BO195:BO202" si="48">IF($R195,"&amp;AllGlyphs[" &amp; I195 &amp; "]","")</f>
        <v>&amp;AllGlyphs[188]</v>
      </c>
      <c r="BP195" s="54" t="str">
        <f t="shared" ref="BP195:BP202" si="49">IF($R195,"&amp;AllGlyphs[" &amp; K195 &amp; "]","")</f>
        <v>&amp;AllGlyphs[182]</v>
      </c>
      <c r="BQ195" s="54" t="str">
        <f t="shared" ref="BQ195:BQ202" si="50">IF($R195,"&amp;AllGlyphs[" &amp; M195 &amp; "]","")</f>
        <v>&amp;AllGlyphs[189]</v>
      </c>
      <c r="BR195" s="54" t="str">
        <f t="shared" ref="BR195:BR202" si="51">IF($R195,"&amp;AllGlyphs[" &amp; O195 &amp; "]","")</f>
        <v>&amp;AllGlyphs[181]</v>
      </c>
      <c r="BT195" s="58">
        <f t="shared" ref="BT195:BT202" si="52">IF($R195,IF(AB195,1,0),"")</f>
        <v>0</v>
      </c>
      <c r="BU195" s="58">
        <f t="shared" ref="BU195:BU202" si="53">IF($R195,IF(AC195,1,0),"")</f>
        <v>0</v>
      </c>
      <c r="BV195" s="58">
        <f t="shared" ref="BV195:BV202" si="54">IF($R195,IF(AD195,1,0),"")</f>
        <v>0</v>
      </c>
      <c r="BW195" s="58">
        <f t="shared" ref="BW195:BW202" si="55">IF($R195,IF(AE195,1,0),"")</f>
        <v>1</v>
      </c>
      <c r="BX195" s="58">
        <f t="shared" ref="BX195:BX202" si="56">IF($R195,IF(AR195,1,0),"")</f>
        <v>0</v>
      </c>
      <c r="BY195" s="58">
        <f t="shared" ref="BY195:BY202" si="57">IF($R195,IF(AS195,1,0),"")</f>
        <v>0</v>
      </c>
    </row>
    <row r="196" spans="1:77" x14ac:dyDescent="0.4">
      <c r="A196" s="7" t="s">
        <v>190</v>
      </c>
      <c r="B196" s="6" t="str">
        <f t="shared" si="38"/>
        <v>‚</v>
      </c>
      <c r="C196" s="48" cm="1">
        <f t="array" ref="C196">IF($R196,INDEX($S:$S,MATCH(TRUE,EXACT(B196,$A:$A),0)),"")</f>
        <v>183</v>
      </c>
      <c r="D196" s="38" t="s">
        <v>187</v>
      </c>
      <c r="E196" s="48" cm="1">
        <f t="array" ref="E196">IF($R196,INDEX($S:$S,MATCH(TRUE,EXACT(D196,$A:$A),0)),"")</f>
        <v>180</v>
      </c>
      <c r="F196" s="38" t="s">
        <v>190</v>
      </c>
      <c r="G196" s="48" cm="1">
        <f t="array" ref="G196">IF($S196&lt;&gt;"",INDEX($S:$S,MATCH(TRUE,EXACT(F196,$A:$A),0)),"")</f>
        <v>183</v>
      </c>
      <c r="H196" s="38" t="s">
        <v>190</v>
      </c>
      <c r="I196" s="48" cm="1">
        <f t="array" ref="I196">IF($R196,INDEX($S:$S,MATCH(TRUE,EXACT(H196,$A:$A),0)),"")</f>
        <v>183</v>
      </c>
      <c r="J196" s="38" t="s">
        <v>190</v>
      </c>
      <c r="K196" s="52" cm="1">
        <f t="array" ref="K196">IF($R196,INDEX($S:$S,MATCH(TRUE,EXACT(J196,$A:$A),0)),"")</f>
        <v>183</v>
      </c>
      <c r="L196" s="38" t="str" cm="1">
        <f t="array" ref="L196">IF($R196,INDEX($T:$T,MATCH(TRUE,EXACT(H196,$D:$D),0)),"")</f>
        <v>Œ</v>
      </c>
      <c r="M196" s="48" cm="1">
        <f t="array" ref="M196">IF($R196,INDEX($S:$S,MATCH(TRUE,EXACT(L196,$A:$A),0)),"")</f>
        <v>180</v>
      </c>
      <c r="N196" s="38" t="str" cm="1">
        <f t="array" ref="N196">IF($R196,INDEX($T:$T,MATCH(TRUE,EXACT(J196,$D:$D),0)),"")</f>
        <v>Œ</v>
      </c>
      <c r="O196" s="52" cm="1">
        <f t="array" ref="O196">IF($R196,INDEX($S:$S,MATCH(TRUE,EXACT(N196,$A:$A),0)),"")</f>
        <v>180</v>
      </c>
      <c r="P196" s="23"/>
      <c r="Q196" s="33"/>
      <c r="R196" s="18" t="b">
        <f t="shared" si="39"/>
        <v>1</v>
      </c>
      <c r="S196" s="19">
        <f>IF(R196, MAX(S$2:S195)+1,"")</f>
        <v>183</v>
      </c>
      <c r="T196" s="23" t="str">
        <f t="shared" si="40"/>
        <v>‚</v>
      </c>
      <c r="U196" s="8" t="str" cm="1">
        <f t="array" ref="U196">CharToUTF8(A196)</f>
        <v>\xE2\x80\x9A</v>
      </c>
      <c r="W196" s="18" t="str">
        <f>$AU$4</f>
        <v>ORTHO_BOTH</v>
      </c>
      <c r="X196" s="24" t="str">
        <f>$AU$4</f>
        <v>ORTHO_BOTH</v>
      </c>
      <c r="Y196" s="24" t="str">
        <f>$AU$2</f>
        <v>EMPTY</v>
      </c>
      <c r="Z196" s="21" t="str">
        <f>$AU$2</f>
        <v>EMPTY</v>
      </c>
      <c r="AB196" s="31" t="b">
        <f t="shared" si="41"/>
        <v>0</v>
      </c>
      <c r="AC196" s="31" t="b">
        <f t="shared" si="42"/>
        <v>1</v>
      </c>
      <c r="AD196" t="b">
        <f t="shared" si="43"/>
        <v>1</v>
      </c>
      <c r="AE196" t="b">
        <f t="shared" si="44"/>
        <v>1</v>
      </c>
      <c r="AF196" t="b">
        <f>IF($R196,W196=VLOOKUP(Z196,$AU$2:$AZ$10,3,FALSE),"")</f>
        <v>0</v>
      </c>
      <c r="AG196" t="b">
        <f>IF($R196,X196=VLOOKUP(Y196,$AU$2:$AZ$10,3,FALSE),"")</f>
        <v>0</v>
      </c>
      <c r="AH196" t="b">
        <f>IF($R196,Y196=VLOOKUP(W196,$AU$2:$AZ$10,3,FALSE),"")</f>
        <v>0</v>
      </c>
      <c r="AI196" t="b">
        <f>IF($R196,Z196=VLOOKUP(X196,$AU$2:$AZ$10,3,FALSE),"")</f>
        <v>0</v>
      </c>
      <c r="AJ196" t="b">
        <f>IF($R196,W196=VLOOKUP(W196,$AU$2:$AZ$10,4,FALSE),"")</f>
        <v>1</v>
      </c>
      <c r="AK196" t="b">
        <f>IF($R196,X196=VLOOKUP(X196,$AU$2:$AZ$10,4,FALSE),"")</f>
        <v>1</v>
      </c>
      <c r="AL196" t="b">
        <f>IF($R196,Y196=VLOOKUP(Y196,$AU$2:$AZ$10,4,FALSE),"")</f>
        <v>1</v>
      </c>
      <c r="AM196" t="b">
        <f>IF($R196,Z196=VLOOKUP(Z196,$AU$2:$AZ$10,4,FALSE),"")</f>
        <v>1</v>
      </c>
      <c r="AN196" t="b">
        <f>IF($R196,W196=VLOOKUP(W196,$AU$2:$AZ$10,5,FALSE),"")</f>
        <v>1</v>
      </c>
      <c r="AO196" t="b">
        <f>IF($R196,X196=VLOOKUP(X196,$AU$2:$AZ$10,5,FALSE),"")</f>
        <v>1</v>
      </c>
      <c r="AP196" t="b">
        <f>IF($R196,Y196=VLOOKUP(Y196,$AU$2:$AZ$10,6,FALSE),"")</f>
        <v>1</v>
      </c>
      <c r="AQ196" t="b">
        <f>IF($R196,Z196=VLOOKUP(Z196,$AU$2:$AZ$10,6,FALSE),"")</f>
        <v>1</v>
      </c>
      <c r="AR196" t="b">
        <f t="shared" si="45"/>
        <v>0</v>
      </c>
      <c r="AS196" t="b">
        <f t="shared" si="46"/>
        <v>0</v>
      </c>
      <c r="BD196" s="59" t="str">
        <f t="shared" si="47"/>
        <v xml:space="preserve">    { wxString::FromUTF8("\xE2\x80\x9A"), &amp;AllGlyphs[180], &amp;AllGlyphs[183], &amp;AllGlyphs[183], &amp;AllGlyphs[183], &amp;AllGlyphs[180], &amp;AllGlyphs[180], Connection::ORTHO_BOTH, Connection::ORTHO_BOTH, Connection::EMPTY, Connection::EMPTY, 0, 1, 1, 1, 0, 0 },</v>
      </c>
      <c r="BE196" s="60"/>
      <c r="BF196" s="60"/>
      <c r="BG196" s="60"/>
      <c r="BH196" s="60"/>
      <c r="BI196" s="60"/>
      <c r="BJ196" s="60"/>
      <c r="BK196" s="61"/>
      <c r="BM196" s="54" t="str">
        <f>IF($R196,"&amp;AllGlyphs[" &amp; E196 &amp; "]","")</f>
        <v>&amp;AllGlyphs[180]</v>
      </c>
      <c r="BN196" s="54" t="str">
        <f>IF($R196,"&amp;AllGlyphs[" &amp; G196 &amp; "]","")</f>
        <v>&amp;AllGlyphs[183]</v>
      </c>
      <c r="BO196" s="54" t="str">
        <f t="shared" si="48"/>
        <v>&amp;AllGlyphs[183]</v>
      </c>
      <c r="BP196" s="54" t="str">
        <f t="shared" si="49"/>
        <v>&amp;AllGlyphs[183]</v>
      </c>
      <c r="BQ196" s="54" t="str">
        <f t="shared" si="50"/>
        <v>&amp;AllGlyphs[180]</v>
      </c>
      <c r="BR196" s="54" t="str">
        <f t="shared" si="51"/>
        <v>&amp;AllGlyphs[180]</v>
      </c>
      <c r="BT196" s="58">
        <f t="shared" si="52"/>
        <v>0</v>
      </c>
      <c r="BU196" s="58">
        <f t="shared" si="53"/>
        <v>1</v>
      </c>
      <c r="BV196" s="58">
        <f t="shared" si="54"/>
        <v>1</v>
      </c>
      <c r="BW196" s="58">
        <f t="shared" si="55"/>
        <v>1</v>
      </c>
      <c r="BX196" s="58">
        <f t="shared" si="56"/>
        <v>0</v>
      </c>
      <c r="BY196" s="58">
        <f t="shared" si="57"/>
        <v>0</v>
      </c>
    </row>
    <row r="197" spans="1:77" x14ac:dyDescent="0.4">
      <c r="A197" s="7" t="s">
        <v>191</v>
      </c>
      <c r="B197" s="6" t="str">
        <f t="shared" si="38"/>
        <v>„</v>
      </c>
      <c r="C197" s="48" cm="1">
        <f t="array" ref="C197">IF($R197,INDEX($S:$S,MATCH(TRUE,EXACT(B197,$A:$A),0)),"")</f>
        <v>184</v>
      </c>
      <c r="D197" s="38" t="s">
        <v>194</v>
      </c>
      <c r="E197" s="48" cm="1">
        <f t="array" ref="E197">IF($R197,INDEX($S:$S,MATCH(TRUE,EXACT(D197,$A:$A),0)),"")</f>
        <v>187</v>
      </c>
      <c r="F197" s="38" t="s">
        <v>193</v>
      </c>
      <c r="G197" s="48" cm="1">
        <f t="array" ref="G197">IF($S197&lt;&gt;"",INDEX($S:$S,MATCH(TRUE,EXACT(F197,$A:$A),0)),"")</f>
        <v>186</v>
      </c>
      <c r="H197" s="38" t="s">
        <v>192</v>
      </c>
      <c r="I197" s="48" cm="1">
        <f t="array" ref="I197">IF($R197,INDEX($S:$S,MATCH(TRUE,EXACT(H197,$A:$A),0)),"")</f>
        <v>185</v>
      </c>
      <c r="J197" s="38" t="s">
        <v>194</v>
      </c>
      <c r="K197" s="52" cm="1">
        <f t="array" ref="K197">IF($R197,INDEX($S:$S,MATCH(TRUE,EXACT(J197,$A:$A),0)),"")</f>
        <v>187</v>
      </c>
      <c r="L197" s="38" t="str" cm="1">
        <f t="array" ref="L197">IF($R197,INDEX($T:$T,MATCH(TRUE,EXACT(H197,$D:$D),0)),"")</f>
        <v>‡</v>
      </c>
      <c r="M197" s="48" cm="1">
        <f t="array" ref="M197">IF($R197,INDEX($S:$S,MATCH(TRUE,EXACT(L197,$A:$A),0)),"")</f>
        <v>186</v>
      </c>
      <c r="N197" s="38" t="str" cm="1">
        <f t="array" ref="N197">IF($R197,INDEX($T:$T,MATCH(TRUE,EXACT(J197,$D:$D),0)),"")</f>
        <v>„</v>
      </c>
      <c r="O197" s="52" cm="1">
        <f t="array" ref="O197">IF($R197,INDEX($S:$S,MATCH(TRUE,EXACT(N197,$A:$A),0)),"")</f>
        <v>184</v>
      </c>
      <c r="P197" s="23"/>
      <c r="Q197" s="33"/>
      <c r="R197" s="18" t="b">
        <f t="shared" si="39"/>
        <v>1</v>
      </c>
      <c r="S197" s="19">
        <f>IF(R197, MAX(S$2:S196)+1,"")</f>
        <v>184</v>
      </c>
      <c r="T197" s="23" t="str">
        <f t="shared" si="40"/>
        <v>„</v>
      </c>
      <c r="U197" s="8" t="str" cm="1">
        <f t="array" ref="U197">CharToUTF8(A197)</f>
        <v>\xE2\x80\x9E</v>
      </c>
      <c r="W197" s="18" t="str">
        <f>$AU$2</f>
        <v>EMPTY</v>
      </c>
      <c r="X197" s="24" t="str">
        <f>$AU$3</f>
        <v>DIAG_BOTH</v>
      </c>
      <c r="Y197" s="24" t="str">
        <f>$AU$2</f>
        <v>EMPTY</v>
      </c>
      <c r="Z197" s="21" t="str">
        <f>$AU$3</f>
        <v>DIAG_BOTH</v>
      </c>
      <c r="AB197" s="31" t="b">
        <f t="shared" si="41"/>
        <v>0</v>
      </c>
      <c r="AC197" s="31" t="b">
        <f t="shared" si="42"/>
        <v>0</v>
      </c>
      <c r="AD197" t="b">
        <f t="shared" si="43"/>
        <v>0</v>
      </c>
      <c r="AE197" t="b">
        <f t="shared" si="44"/>
        <v>0</v>
      </c>
      <c r="AF197" t="b">
        <f>IF($R197,W197=VLOOKUP(Z197,$AU$2:$AZ$10,3,FALSE),"")</f>
        <v>0</v>
      </c>
      <c r="AG197" t="b">
        <f>IF($R197,X197=VLOOKUP(Y197,$AU$2:$AZ$10,3,FALSE),"")</f>
        <v>0</v>
      </c>
      <c r="AH197" t="b">
        <f>IF($R197,Y197=VLOOKUP(W197,$AU$2:$AZ$10,3,FALSE),"")</f>
        <v>1</v>
      </c>
      <c r="AI197" t="b">
        <f>IF($R197,Z197=VLOOKUP(X197,$AU$2:$AZ$10,3,FALSE),"")</f>
        <v>1</v>
      </c>
      <c r="AJ197" t="b">
        <f>IF($R197,W197=VLOOKUP(W197,$AU$2:$AZ$10,4,FALSE),"")</f>
        <v>1</v>
      </c>
      <c r="AK197" t="b">
        <f>IF($R197,X197=VLOOKUP(X197,$AU$2:$AZ$10,4,FALSE),"")</f>
        <v>1</v>
      </c>
      <c r="AL197" t="b">
        <f>IF($R197,Y197=VLOOKUP(Y197,$AU$2:$AZ$10,4,FALSE),"")</f>
        <v>1</v>
      </c>
      <c r="AM197" t="b">
        <f>IF($R197,Z197=VLOOKUP(Z197,$AU$2:$AZ$10,4,FALSE),"")</f>
        <v>1</v>
      </c>
      <c r="AN197" t="b">
        <f>IF($R197,W197=VLOOKUP(W197,$AU$2:$AZ$10,5,FALSE),"")</f>
        <v>1</v>
      </c>
      <c r="AO197" t="b">
        <f>IF($R197,X197=VLOOKUP(X197,$AU$2:$AZ$10,5,FALSE),"")</f>
        <v>1</v>
      </c>
      <c r="AP197" t="b">
        <f>IF($R197,Y197=VLOOKUP(Y197,$AU$2:$AZ$10,6,FALSE),"")</f>
        <v>1</v>
      </c>
      <c r="AQ197" t="b">
        <f>IF($R197,Z197=VLOOKUP(Z197,$AU$2:$AZ$10,6,FALSE),"")</f>
        <v>1</v>
      </c>
      <c r="AR197" t="b">
        <f t="shared" si="45"/>
        <v>0</v>
      </c>
      <c r="AS197" t="b">
        <f t="shared" si="46"/>
        <v>1</v>
      </c>
      <c r="AU197" s="1"/>
      <c r="BD197" s="59" t="str">
        <f t="shared" si="47"/>
        <v xml:space="preserve">    { wxString::FromUTF8("\xE2\x80\x9E"), &amp;AllGlyphs[187], &amp;AllGlyphs[186], &amp;AllGlyphs[185], &amp;AllGlyphs[187], &amp;AllGlyphs[186], &amp;AllGlyphs[184], Connection::EMPTY, Connection::DIAG_BOTH, Connection::EMPTY, Connection::DIAG_BOTH, 0, 0, 0, 0, 0, 1 },</v>
      </c>
      <c r="BE197" s="60"/>
      <c r="BF197" s="60"/>
      <c r="BG197" s="60"/>
      <c r="BH197" s="60"/>
      <c r="BI197" s="60"/>
      <c r="BJ197" s="60"/>
      <c r="BK197" s="61"/>
      <c r="BM197" s="54" t="str">
        <f>IF($R197,"&amp;AllGlyphs[" &amp; E197 &amp; "]","")</f>
        <v>&amp;AllGlyphs[187]</v>
      </c>
      <c r="BN197" s="54" t="str">
        <f>IF($R197,"&amp;AllGlyphs[" &amp; G197 &amp; "]","")</f>
        <v>&amp;AllGlyphs[186]</v>
      </c>
      <c r="BO197" s="54" t="str">
        <f t="shared" si="48"/>
        <v>&amp;AllGlyphs[185]</v>
      </c>
      <c r="BP197" s="54" t="str">
        <f t="shared" si="49"/>
        <v>&amp;AllGlyphs[187]</v>
      </c>
      <c r="BQ197" s="54" t="str">
        <f t="shared" si="50"/>
        <v>&amp;AllGlyphs[186]</v>
      </c>
      <c r="BR197" s="54" t="str">
        <f t="shared" si="51"/>
        <v>&amp;AllGlyphs[184]</v>
      </c>
      <c r="BT197" s="58">
        <f t="shared" si="52"/>
        <v>0</v>
      </c>
      <c r="BU197" s="58">
        <f t="shared" si="53"/>
        <v>0</v>
      </c>
      <c r="BV197" s="58">
        <f t="shared" si="54"/>
        <v>0</v>
      </c>
      <c r="BW197" s="58">
        <f t="shared" si="55"/>
        <v>0</v>
      </c>
      <c r="BX197" s="58">
        <f t="shared" si="56"/>
        <v>0</v>
      </c>
      <c r="BY197" s="58">
        <f t="shared" si="57"/>
        <v>1</v>
      </c>
    </row>
    <row r="198" spans="1:77" x14ac:dyDescent="0.4">
      <c r="A198" s="7" t="s">
        <v>192</v>
      </c>
      <c r="B198" s="6" t="str">
        <f t="shared" si="38"/>
        <v>†</v>
      </c>
      <c r="C198" s="48" cm="1">
        <f t="array" ref="C198">IF($R198,INDEX($S:$S,MATCH(TRUE,EXACT(B198,$A:$A),0)),"")</f>
        <v>185</v>
      </c>
      <c r="D198" s="38" t="s">
        <v>191</v>
      </c>
      <c r="E198" s="48" cm="1">
        <f t="array" ref="E198">IF($R198,INDEX($S:$S,MATCH(TRUE,EXACT(D198,$A:$A),0)),"")</f>
        <v>184</v>
      </c>
      <c r="F198" s="38" t="s">
        <v>194</v>
      </c>
      <c r="G198" s="48" cm="1">
        <f t="array" ref="G198">IF($S198&lt;&gt;"",INDEX($S:$S,MATCH(TRUE,EXACT(F198,$A:$A),0)),"")</f>
        <v>187</v>
      </c>
      <c r="H198" s="38" t="s">
        <v>191</v>
      </c>
      <c r="I198" s="48" cm="1">
        <f t="array" ref="I198">IF($R198,INDEX($S:$S,MATCH(TRUE,EXACT(H198,$A:$A),0)),"")</f>
        <v>184</v>
      </c>
      <c r="J198" s="38" t="s">
        <v>193</v>
      </c>
      <c r="K198" s="52" cm="1">
        <f t="array" ref="K198">IF($R198,INDEX($S:$S,MATCH(TRUE,EXACT(J198,$A:$A),0)),"")</f>
        <v>186</v>
      </c>
      <c r="L198" s="38" t="str" cm="1">
        <f t="array" ref="L198">IF($R198,INDEX($T:$T,MATCH(TRUE,EXACT(H198,$D:$D),0)),"")</f>
        <v>†</v>
      </c>
      <c r="M198" s="48" cm="1">
        <f t="array" ref="M198">IF($R198,INDEX($S:$S,MATCH(TRUE,EXACT(L198,$A:$A),0)),"")</f>
        <v>185</v>
      </c>
      <c r="N198" s="38" t="str" cm="1">
        <f t="array" ref="N198">IF($R198,INDEX($T:$T,MATCH(TRUE,EXACT(J198,$D:$D),0)),"")</f>
        <v>…</v>
      </c>
      <c r="O198" s="52" cm="1">
        <f t="array" ref="O198">IF($R198,INDEX($S:$S,MATCH(TRUE,EXACT(N198,$A:$A),0)),"")</f>
        <v>187</v>
      </c>
      <c r="P198" s="23"/>
      <c r="Q198" s="33"/>
      <c r="R198" s="18" t="b">
        <f t="shared" si="39"/>
        <v>1</v>
      </c>
      <c r="S198" s="19">
        <f>IF(R198, MAX(S$2:S197)+1,"")</f>
        <v>185</v>
      </c>
      <c r="T198" s="23" t="str">
        <f t="shared" si="40"/>
        <v>†</v>
      </c>
      <c r="U198" s="8" t="str" cm="1">
        <f t="array" ref="U198">CharToUTF8(A198)</f>
        <v>\xE2\x80\xA0</v>
      </c>
      <c r="W198" s="18" t="str">
        <f>$AU$3</f>
        <v>DIAG_BOTH</v>
      </c>
      <c r="X198" s="24" t="str">
        <f>$AU$2</f>
        <v>EMPTY</v>
      </c>
      <c r="Y198" s="24" t="str">
        <f>$AU$2</f>
        <v>EMPTY</v>
      </c>
      <c r="Z198" s="21" t="str">
        <f>$AU$3</f>
        <v>DIAG_BOTH</v>
      </c>
      <c r="AB198" s="31" t="b">
        <f t="shared" si="41"/>
        <v>0</v>
      </c>
      <c r="AC198" s="31" t="b">
        <f t="shared" si="42"/>
        <v>0</v>
      </c>
      <c r="AD198" t="b">
        <f t="shared" si="43"/>
        <v>0</v>
      </c>
      <c r="AE198" t="b">
        <f t="shared" si="44"/>
        <v>0</v>
      </c>
      <c r="AF198" t="b">
        <f>IF($R198,W198=VLOOKUP(Z198,$AU$2:$AZ$10,3,FALSE),"")</f>
        <v>1</v>
      </c>
      <c r="AG198" t="b">
        <f>IF($R198,X198=VLOOKUP(Y198,$AU$2:$AZ$10,3,FALSE),"")</f>
        <v>1</v>
      </c>
      <c r="AH198" t="b">
        <f>IF($R198,Y198=VLOOKUP(W198,$AU$2:$AZ$10,3,FALSE),"")</f>
        <v>0</v>
      </c>
      <c r="AI198" t="b">
        <f>IF($R198,Z198=VLOOKUP(X198,$AU$2:$AZ$10,3,FALSE),"")</f>
        <v>0</v>
      </c>
      <c r="AJ198" t="b">
        <f>IF($R198,W198=VLOOKUP(W198,$AU$2:$AZ$10,4,FALSE),"")</f>
        <v>1</v>
      </c>
      <c r="AK198" t="b">
        <f>IF($R198,X198=VLOOKUP(X198,$AU$2:$AZ$10,4,FALSE),"")</f>
        <v>1</v>
      </c>
      <c r="AL198" t="b">
        <f>IF($R198,Y198=VLOOKUP(Y198,$AU$2:$AZ$10,4,FALSE),"")</f>
        <v>1</v>
      </c>
      <c r="AM198" t="b">
        <f>IF($R198,Z198=VLOOKUP(Z198,$AU$2:$AZ$10,4,FALSE),"")</f>
        <v>1</v>
      </c>
      <c r="AN198" t="b">
        <f>IF($R198,W198=VLOOKUP(W198,$AU$2:$AZ$10,5,FALSE),"")</f>
        <v>1</v>
      </c>
      <c r="AO198" t="b">
        <f>IF($R198,X198=VLOOKUP(X198,$AU$2:$AZ$10,5,FALSE),"")</f>
        <v>1</v>
      </c>
      <c r="AP198" t="b">
        <f>IF($R198,Y198=VLOOKUP(Y198,$AU$2:$AZ$10,6,FALSE),"")</f>
        <v>1</v>
      </c>
      <c r="AQ198" t="b">
        <f>IF($R198,Z198=VLOOKUP(Z198,$AU$2:$AZ$10,6,FALSE),"")</f>
        <v>1</v>
      </c>
      <c r="AR198" t="b">
        <f t="shared" si="45"/>
        <v>1</v>
      </c>
      <c r="AS198" t="b">
        <f t="shared" si="46"/>
        <v>0</v>
      </c>
      <c r="AU198" s="1"/>
      <c r="BD198" s="59" t="str">
        <f t="shared" si="47"/>
        <v xml:space="preserve">    { wxString::FromUTF8("\xE2\x80\xA0"), &amp;AllGlyphs[184], &amp;AllGlyphs[187], &amp;AllGlyphs[184], &amp;AllGlyphs[186], &amp;AllGlyphs[185], &amp;AllGlyphs[187], Connection::DIAG_BOTH, Connection::EMPTY, Connection::EMPTY, Connection::DIAG_BOTH, 0, 0, 0, 0, 1, 0 },</v>
      </c>
      <c r="BE198" s="60"/>
      <c r="BF198" s="60"/>
      <c r="BG198" s="60"/>
      <c r="BH198" s="60"/>
      <c r="BI198" s="60"/>
      <c r="BJ198" s="60"/>
      <c r="BK198" s="61"/>
      <c r="BM198" s="54" t="str">
        <f>IF($R198,"&amp;AllGlyphs[" &amp; E198 &amp; "]","")</f>
        <v>&amp;AllGlyphs[184]</v>
      </c>
      <c r="BN198" s="54" t="str">
        <f>IF($R198,"&amp;AllGlyphs[" &amp; G198 &amp; "]","")</f>
        <v>&amp;AllGlyphs[187]</v>
      </c>
      <c r="BO198" s="54" t="str">
        <f t="shared" si="48"/>
        <v>&amp;AllGlyphs[184]</v>
      </c>
      <c r="BP198" s="54" t="str">
        <f t="shared" si="49"/>
        <v>&amp;AllGlyphs[186]</v>
      </c>
      <c r="BQ198" s="54" t="str">
        <f t="shared" si="50"/>
        <v>&amp;AllGlyphs[185]</v>
      </c>
      <c r="BR198" s="54" t="str">
        <f t="shared" si="51"/>
        <v>&amp;AllGlyphs[187]</v>
      </c>
      <c r="BT198" s="58">
        <f t="shared" si="52"/>
        <v>0</v>
      </c>
      <c r="BU198" s="58">
        <f t="shared" si="53"/>
        <v>0</v>
      </c>
      <c r="BV198" s="58">
        <f t="shared" si="54"/>
        <v>0</v>
      </c>
      <c r="BW198" s="58">
        <f t="shared" si="55"/>
        <v>0</v>
      </c>
      <c r="BX198" s="58">
        <f t="shared" si="56"/>
        <v>1</v>
      </c>
      <c r="BY198" s="58">
        <f t="shared" si="57"/>
        <v>0</v>
      </c>
    </row>
    <row r="199" spans="1:77" x14ac:dyDescent="0.4">
      <c r="A199" s="7" t="s">
        <v>193</v>
      </c>
      <c r="B199" s="6" t="str">
        <f t="shared" si="38"/>
        <v>‡</v>
      </c>
      <c r="C199" s="48" cm="1">
        <f t="array" ref="C199">IF($R199,INDEX($S:$S,MATCH(TRUE,EXACT(B199,$A:$A),0)),"")</f>
        <v>186</v>
      </c>
      <c r="D199" s="38" t="s">
        <v>192</v>
      </c>
      <c r="E199" s="48" cm="1">
        <f t="array" ref="E199">IF($R199,INDEX($S:$S,MATCH(TRUE,EXACT(D199,$A:$A),0)),"")</f>
        <v>185</v>
      </c>
      <c r="F199" s="38" t="s">
        <v>191</v>
      </c>
      <c r="G199" s="48" cm="1">
        <f t="array" ref="G199">IF($S199&lt;&gt;"",INDEX($S:$S,MATCH(TRUE,EXACT(F199,$A:$A),0)),"")</f>
        <v>184</v>
      </c>
      <c r="H199" s="38" t="s">
        <v>194</v>
      </c>
      <c r="I199" s="48" cm="1">
        <f t="array" ref="I199">IF($R199,INDEX($S:$S,MATCH(TRUE,EXACT(H199,$A:$A),0)),"")</f>
        <v>187</v>
      </c>
      <c r="J199" s="38" t="s">
        <v>192</v>
      </c>
      <c r="K199" s="52" cm="1">
        <f t="array" ref="K199">IF($R199,INDEX($S:$S,MATCH(TRUE,EXACT(J199,$A:$A),0)),"")</f>
        <v>185</v>
      </c>
      <c r="L199" s="38" t="str" cm="1">
        <f t="array" ref="L199">IF($R199,INDEX($T:$T,MATCH(TRUE,EXACT(H199,$D:$D),0)),"")</f>
        <v>„</v>
      </c>
      <c r="M199" s="48" cm="1">
        <f t="array" ref="M199">IF($R199,INDEX($S:$S,MATCH(TRUE,EXACT(L199,$A:$A),0)),"")</f>
        <v>184</v>
      </c>
      <c r="N199" s="38" t="str" cm="1">
        <f t="array" ref="N199">IF($R199,INDEX($T:$T,MATCH(TRUE,EXACT(J199,$D:$D),0)),"")</f>
        <v>‡</v>
      </c>
      <c r="O199" s="52" cm="1">
        <f t="array" ref="O199">IF($R199,INDEX($S:$S,MATCH(TRUE,EXACT(N199,$A:$A),0)),"")</f>
        <v>186</v>
      </c>
      <c r="P199" s="23"/>
      <c r="Q199" s="33"/>
      <c r="R199" s="18" t="b">
        <f t="shared" si="39"/>
        <v>1</v>
      </c>
      <c r="S199" s="19">
        <f>IF(R199, MAX(S$2:S198)+1,"")</f>
        <v>186</v>
      </c>
      <c r="T199" s="23" t="str">
        <f t="shared" si="40"/>
        <v>‡</v>
      </c>
      <c r="U199" s="8" t="str" cm="1">
        <f t="array" ref="U199">CharToUTF8(A199)</f>
        <v>\xE2\x80\xA1</v>
      </c>
      <c r="W199" s="18" t="str">
        <f>$AU$3</f>
        <v>DIAG_BOTH</v>
      </c>
      <c r="X199" s="24" t="str">
        <f>$AU$2</f>
        <v>EMPTY</v>
      </c>
      <c r="Y199" s="24" t="str">
        <f>$AU$3</f>
        <v>DIAG_BOTH</v>
      </c>
      <c r="Z199" s="21" t="str">
        <f>$AU$2</f>
        <v>EMPTY</v>
      </c>
      <c r="AB199" s="31" t="b">
        <f t="shared" si="41"/>
        <v>0</v>
      </c>
      <c r="AC199" s="31" t="b">
        <f t="shared" si="42"/>
        <v>0</v>
      </c>
      <c r="AD199" t="b">
        <f t="shared" si="43"/>
        <v>0</v>
      </c>
      <c r="AE199" t="b">
        <f t="shared" si="44"/>
        <v>0</v>
      </c>
      <c r="AF199" t="b">
        <f>IF($R199,W199=VLOOKUP(Z199,$AU$2:$AZ$10,3,FALSE),"")</f>
        <v>0</v>
      </c>
      <c r="AG199" t="b">
        <f>IF($R199,X199=VLOOKUP(Y199,$AU$2:$AZ$10,3,FALSE),"")</f>
        <v>0</v>
      </c>
      <c r="AH199" t="b">
        <f>IF($R199,Y199=VLOOKUP(W199,$AU$2:$AZ$10,3,FALSE),"")</f>
        <v>1</v>
      </c>
      <c r="AI199" t="b">
        <f>IF($R199,Z199=VLOOKUP(X199,$AU$2:$AZ$10,3,FALSE),"")</f>
        <v>1</v>
      </c>
      <c r="AJ199" t="b">
        <f>IF($R199,W199=VLOOKUP(W199,$AU$2:$AZ$10,4,FALSE),"")</f>
        <v>1</v>
      </c>
      <c r="AK199" t="b">
        <f>IF($R199,X199=VLOOKUP(X199,$AU$2:$AZ$10,4,FALSE),"")</f>
        <v>1</v>
      </c>
      <c r="AL199" t="b">
        <f>IF($R199,Y199=VLOOKUP(Y199,$AU$2:$AZ$10,4,FALSE),"")</f>
        <v>1</v>
      </c>
      <c r="AM199" t="b">
        <f>IF($R199,Z199=VLOOKUP(Z199,$AU$2:$AZ$10,4,FALSE),"")</f>
        <v>1</v>
      </c>
      <c r="AN199" t="b">
        <f>IF($R199,W199=VLOOKUP(W199,$AU$2:$AZ$10,5,FALSE),"")</f>
        <v>1</v>
      </c>
      <c r="AO199" t="b">
        <f>IF($R199,X199=VLOOKUP(X199,$AU$2:$AZ$10,5,FALSE),"")</f>
        <v>1</v>
      </c>
      <c r="AP199" t="b">
        <f>IF($R199,Y199=VLOOKUP(Y199,$AU$2:$AZ$10,6,FALSE),"")</f>
        <v>1</v>
      </c>
      <c r="AQ199" t="b">
        <f>IF($R199,Z199=VLOOKUP(Z199,$AU$2:$AZ$10,6,FALSE),"")</f>
        <v>1</v>
      </c>
      <c r="AR199" t="b">
        <f t="shared" si="45"/>
        <v>0</v>
      </c>
      <c r="AS199" t="b">
        <f t="shared" si="46"/>
        <v>1</v>
      </c>
      <c r="AU199" s="1"/>
      <c r="BD199" s="59" t="str">
        <f t="shared" si="47"/>
        <v xml:space="preserve">    { wxString::FromUTF8("\xE2\x80\xA1"), &amp;AllGlyphs[185], &amp;AllGlyphs[184], &amp;AllGlyphs[187], &amp;AllGlyphs[185], &amp;AllGlyphs[184], &amp;AllGlyphs[186], Connection::DIAG_BOTH, Connection::EMPTY, Connection::DIAG_BOTH, Connection::EMPTY, 0, 0, 0, 0, 0, 1 },</v>
      </c>
      <c r="BE199" s="60"/>
      <c r="BF199" s="60"/>
      <c r="BG199" s="60"/>
      <c r="BH199" s="60"/>
      <c r="BI199" s="60"/>
      <c r="BJ199" s="60"/>
      <c r="BK199" s="61"/>
      <c r="BM199" s="54" t="str">
        <f>IF($R199,"&amp;AllGlyphs[" &amp; E199 &amp; "]","")</f>
        <v>&amp;AllGlyphs[185]</v>
      </c>
      <c r="BN199" s="54" t="str">
        <f>IF($R199,"&amp;AllGlyphs[" &amp; G199 &amp; "]","")</f>
        <v>&amp;AllGlyphs[184]</v>
      </c>
      <c r="BO199" s="54" t="str">
        <f t="shared" si="48"/>
        <v>&amp;AllGlyphs[187]</v>
      </c>
      <c r="BP199" s="54" t="str">
        <f t="shared" si="49"/>
        <v>&amp;AllGlyphs[185]</v>
      </c>
      <c r="BQ199" s="54" t="str">
        <f t="shared" si="50"/>
        <v>&amp;AllGlyphs[184]</v>
      </c>
      <c r="BR199" s="54" t="str">
        <f t="shared" si="51"/>
        <v>&amp;AllGlyphs[186]</v>
      </c>
      <c r="BT199" s="58">
        <f t="shared" si="52"/>
        <v>0</v>
      </c>
      <c r="BU199" s="58">
        <f t="shared" si="53"/>
        <v>0</v>
      </c>
      <c r="BV199" s="58">
        <f t="shared" si="54"/>
        <v>0</v>
      </c>
      <c r="BW199" s="58">
        <f t="shared" si="55"/>
        <v>0</v>
      </c>
      <c r="BX199" s="58">
        <f t="shared" si="56"/>
        <v>0</v>
      </c>
      <c r="BY199" s="58">
        <f t="shared" si="57"/>
        <v>1</v>
      </c>
    </row>
    <row r="200" spans="1:77" x14ac:dyDescent="0.4">
      <c r="A200" s="7" t="s">
        <v>194</v>
      </c>
      <c r="B200" s="6" t="str">
        <f t="shared" si="38"/>
        <v>…</v>
      </c>
      <c r="C200" s="48" cm="1">
        <f t="array" ref="C200">IF($R200,INDEX($S:$S,MATCH(TRUE,EXACT(B200,$A:$A),0)),"")</f>
        <v>187</v>
      </c>
      <c r="D200" s="38" t="s">
        <v>193</v>
      </c>
      <c r="E200" s="48" cm="1">
        <f t="array" ref="E200">IF($R200,INDEX($S:$S,MATCH(TRUE,EXACT(D200,$A:$A),0)),"")</f>
        <v>186</v>
      </c>
      <c r="F200" s="38" t="s">
        <v>192</v>
      </c>
      <c r="G200" s="48" cm="1">
        <f t="array" ref="G200">IF($S200&lt;&gt;"",INDEX($S:$S,MATCH(TRUE,EXACT(F200,$A:$A),0)),"")</f>
        <v>185</v>
      </c>
      <c r="H200" s="38" t="s">
        <v>193</v>
      </c>
      <c r="I200" s="48" cm="1">
        <f t="array" ref="I200">IF($R200,INDEX($S:$S,MATCH(TRUE,EXACT(H200,$A:$A),0)),"")</f>
        <v>186</v>
      </c>
      <c r="J200" s="38" t="s">
        <v>191</v>
      </c>
      <c r="K200" s="52" cm="1">
        <f t="array" ref="K200">IF($R200,INDEX($S:$S,MATCH(TRUE,EXACT(J200,$A:$A),0)),"")</f>
        <v>184</v>
      </c>
      <c r="L200" s="38" t="str" cm="1">
        <f t="array" ref="L200">IF($R200,INDEX($T:$T,MATCH(TRUE,EXACT(H200,$D:$D),0)),"")</f>
        <v>…</v>
      </c>
      <c r="M200" s="48" cm="1">
        <f t="array" ref="M200">IF($R200,INDEX($S:$S,MATCH(TRUE,EXACT(L200,$A:$A),0)),"")</f>
        <v>187</v>
      </c>
      <c r="N200" s="38" t="str" cm="1">
        <f t="array" ref="N200">IF($R200,INDEX($T:$T,MATCH(TRUE,EXACT(J200,$D:$D),0)),"")</f>
        <v>†</v>
      </c>
      <c r="O200" s="52" cm="1">
        <f t="array" ref="O200">IF($R200,INDEX($S:$S,MATCH(TRUE,EXACT(N200,$A:$A),0)),"")</f>
        <v>185</v>
      </c>
      <c r="P200" s="23"/>
      <c r="Q200" s="33"/>
      <c r="R200" s="18" t="b">
        <f t="shared" si="39"/>
        <v>1</v>
      </c>
      <c r="S200" s="19">
        <f>IF(R200, MAX(S$2:S199)+1,"")</f>
        <v>187</v>
      </c>
      <c r="T200" s="23" t="str">
        <f t="shared" si="40"/>
        <v>…</v>
      </c>
      <c r="U200" s="8" t="str" cm="1">
        <f t="array" ref="U200">CharToUTF8(A200)</f>
        <v>\xE2\x80\xA6</v>
      </c>
      <c r="W200" s="18" t="str">
        <f>$AU$2</f>
        <v>EMPTY</v>
      </c>
      <c r="X200" s="24" t="str">
        <f>$AU$3</f>
        <v>DIAG_BOTH</v>
      </c>
      <c r="Y200" s="24" t="str">
        <f>$AU$3</f>
        <v>DIAG_BOTH</v>
      </c>
      <c r="Z200" s="21" t="str">
        <f>$AU$2</f>
        <v>EMPTY</v>
      </c>
      <c r="AB200" s="31" t="b">
        <f t="shared" si="41"/>
        <v>0</v>
      </c>
      <c r="AC200" s="31" t="b">
        <f t="shared" si="42"/>
        <v>0</v>
      </c>
      <c r="AD200" t="b">
        <f t="shared" si="43"/>
        <v>0</v>
      </c>
      <c r="AE200" t="b">
        <f t="shared" si="44"/>
        <v>0</v>
      </c>
      <c r="AF200" t="b">
        <f>IF($R200,W200=VLOOKUP(Z200,$AU$2:$AZ$10,3,FALSE),"")</f>
        <v>1</v>
      </c>
      <c r="AG200" t="b">
        <f>IF($R200,X200=VLOOKUP(Y200,$AU$2:$AZ$10,3,FALSE),"")</f>
        <v>1</v>
      </c>
      <c r="AH200" t="b">
        <f>IF($R200,Y200=VLOOKUP(W200,$AU$2:$AZ$10,3,FALSE),"")</f>
        <v>0</v>
      </c>
      <c r="AI200" t="b">
        <f>IF($R200,Z200=VLOOKUP(X200,$AU$2:$AZ$10,3,FALSE),"")</f>
        <v>0</v>
      </c>
      <c r="AJ200" t="b">
        <f>IF($R200,W200=VLOOKUP(W200,$AU$2:$AZ$10,4,FALSE),"")</f>
        <v>1</v>
      </c>
      <c r="AK200" t="b">
        <f>IF($R200,X200=VLOOKUP(X200,$AU$2:$AZ$10,4,FALSE),"")</f>
        <v>1</v>
      </c>
      <c r="AL200" t="b">
        <f>IF($R200,Y200=VLOOKUP(Y200,$AU$2:$AZ$10,4,FALSE),"")</f>
        <v>1</v>
      </c>
      <c r="AM200" t="b">
        <f>IF($R200,Z200=VLOOKUP(Z200,$AU$2:$AZ$10,4,FALSE),"")</f>
        <v>1</v>
      </c>
      <c r="AN200" t="b">
        <f>IF($R200,W200=VLOOKUP(W200,$AU$2:$AZ$10,5,FALSE),"")</f>
        <v>1</v>
      </c>
      <c r="AO200" t="b">
        <f>IF($R200,X200=VLOOKUP(X200,$AU$2:$AZ$10,5,FALSE),"")</f>
        <v>1</v>
      </c>
      <c r="AP200" t="b">
        <f>IF($R200,Y200=VLOOKUP(Y200,$AU$2:$AZ$10,6,FALSE),"")</f>
        <v>1</v>
      </c>
      <c r="AQ200" t="b">
        <f>IF($R200,Z200=VLOOKUP(Z200,$AU$2:$AZ$10,6,FALSE),"")</f>
        <v>1</v>
      </c>
      <c r="AR200" t="b">
        <f t="shared" si="45"/>
        <v>1</v>
      </c>
      <c r="AS200" t="b">
        <f t="shared" si="46"/>
        <v>0</v>
      </c>
      <c r="AU200" s="1"/>
      <c r="BD200" s="59" t="str">
        <f t="shared" si="47"/>
        <v xml:space="preserve">    { wxString::FromUTF8("\xE2\x80\xA6"), &amp;AllGlyphs[186], &amp;AllGlyphs[185], &amp;AllGlyphs[186], &amp;AllGlyphs[184], &amp;AllGlyphs[187], &amp;AllGlyphs[185], Connection::EMPTY, Connection::DIAG_BOTH, Connection::DIAG_BOTH, Connection::EMPTY, 0, 0, 0, 0, 1, 0 },</v>
      </c>
      <c r="BE200" s="60"/>
      <c r="BF200" s="60"/>
      <c r="BG200" s="60"/>
      <c r="BH200" s="60"/>
      <c r="BI200" s="60"/>
      <c r="BJ200" s="60"/>
      <c r="BK200" s="61"/>
      <c r="BM200" s="54" t="str">
        <f>IF($R200,"&amp;AllGlyphs[" &amp; E200 &amp; "]","")</f>
        <v>&amp;AllGlyphs[186]</v>
      </c>
      <c r="BN200" s="54" t="str">
        <f>IF($R200,"&amp;AllGlyphs[" &amp; G200 &amp; "]","")</f>
        <v>&amp;AllGlyphs[185]</v>
      </c>
      <c r="BO200" s="54" t="str">
        <f t="shared" si="48"/>
        <v>&amp;AllGlyphs[186]</v>
      </c>
      <c r="BP200" s="54" t="str">
        <f t="shared" si="49"/>
        <v>&amp;AllGlyphs[184]</v>
      </c>
      <c r="BQ200" s="54" t="str">
        <f t="shared" si="50"/>
        <v>&amp;AllGlyphs[187]</v>
      </c>
      <c r="BR200" s="54" t="str">
        <f t="shared" si="51"/>
        <v>&amp;AllGlyphs[185]</v>
      </c>
      <c r="BT200" s="58">
        <f t="shared" si="52"/>
        <v>0</v>
      </c>
      <c r="BU200" s="58">
        <f t="shared" si="53"/>
        <v>0</v>
      </c>
      <c r="BV200" s="58">
        <f t="shared" si="54"/>
        <v>0</v>
      </c>
      <c r="BW200" s="58">
        <f t="shared" si="55"/>
        <v>0</v>
      </c>
      <c r="BX200" s="58">
        <f t="shared" si="56"/>
        <v>1</v>
      </c>
      <c r="BY200" s="58">
        <f t="shared" si="57"/>
        <v>0</v>
      </c>
    </row>
    <row r="201" spans="1:77" x14ac:dyDescent="0.4">
      <c r="A201" s="7" t="s">
        <v>195</v>
      </c>
      <c r="B201" s="6" t="str">
        <f t="shared" si="38"/>
        <v>‰</v>
      </c>
      <c r="C201" s="48" cm="1">
        <f t="array" ref="C201">IF($R201,INDEX($S:$S,MATCH(TRUE,EXACT(B201,$A:$A),0)),"")</f>
        <v>188</v>
      </c>
      <c r="D201" s="38" t="s">
        <v>188</v>
      </c>
      <c r="E201" s="48" cm="1">
        <f t="array" ref="E201">IF($R201,INDEX($S:$S,MATCH(TRUE,EXACT(D201,$A:$A),0)),"")</f>
        <v>181</v>
      </c>
      <c r="F201" s="38" t="s">
        <v>189</v>
      </c>
      <c r="G201" s="48" cm="1">
        <f t="array" ref="G201">IF($S201&lt;&gt;"",INDEX($S:$S,MATCH(TRUE,EXACT(F201,$A:$A),0)),"")</f>
        <v>182</v>
      </c>
      <c r="H201" s="38" t="s">
        <v>189</v>
      </c>
      <c r="I201" s="48" cm="1">
        <f t="array" ref="I201">IF($R201,INDEX($S:$S,MATCH(TRUE,EXACT(H201,$A:$A),0)),"")</f>
        <v>182</v>
      </c>
      <c r="J201" s="38" t="s">
        <v>195</v>
      </c>
      <c r="K201" s="52" cm="1">
        <f t="array" ref="K201">IF($R201,INDEX($S:$S,MATCH(TRUE,EXACT(J201,$A:$A),0)),"")</f>
        <v>188</v>
      </c>
      <c r="L201" s="38" t="str" cm="1">
        <f t="array" ref="L201">IF($R201,INDEX($T:$T,MATCH(TRUE,EXACT(H201,$D:$D),0)),"")</f>
        <v>Š</v>
      </c>
      <c r="M201" s="48" cm="1">
        <f t="array" ref="M201">IF($R201,INDEX($S:$S,MATCH(TRUE,EXACT(L201,$A:$A),0)),"")</f>
        <v>181</v>
      </c>
      <c r="N201" s="38" t="str" cm="1">
        <f t="array" ref="N201">IF($R201,INDEX($T:$T,MATCH(TRUE,EXACT(J201,$D:$D),0)),"")</f>
        <v>‹</v>
      </c>
      <c r="O201" s="52" cm="1">
        <f t="array" ref="O201">IF($R201,INDEX($S:$S,MATCH(TRUE,EXACT(N201,$A:$A),0)),"")</f>
        <v>189</v>
      </c>
      <c r="P201" s="23"/>
      <c r="Q201" s="33"/>
      <c r="R201" s="18" t="b">
        <f t="shared" si="39"/>
        <v>1</v>
      </c>
      <c r="S201" s="19">
        <f>IF(R201, MAX(S$2:S200)+1,"")</f>
        <v>188</v>
      </c>
      <c r="T201" s="23" t="str">
        <f t="shared" si="40"/>
        <v>‰</v>
      </c>
      <c r="U201" s="8" t="str" cm="1">
        <f t="array" ref="U201">CharToUTF8(A201)</f>
        <v>\xE2\x80\xB0</v>
      </c>
      <c r="W201" s="18" t="str">
        <f>$AU$3</f>
        <v>DIAG_BOTH</v>
      </c>
      <c r="X201" s="24" t="str">
        <f>$AU$2</f>
        <v>EMPTY</v>
      </c>
      <c r="Y201" s="24" t="str">
        <f>$AU$2</f>
        <v>EMPTY</v>
      </c>
      <c r="Z201" s="21" t="str">
        <f>$AU$2</f>
        <v>EMPTY</v>
      </c>
      <c r="AB201" s="31" t="b">
        <f t="shared" si="41"/>
        <v>0</v>
      </c>
      <c r="AC201" s="31" t="b">
        <f t="shared" si="42"/>
        <v>0</v>
      </c>
      <c r="AD201" t="b">
        <f t="shared" si="43"/>
        <v>0</v>
      </c>
      <c r="AE201" t="b">
        <f t="shared" si="44"/>
        <v>1</v>
      </c>
      <c r="AF201" t="b">
        <f>IF($R201,W201=VLOOKUP(Z201,$AU$2:$AZ$10,3,FALSE),"")</f>
        <v>0</v>
      </c>
      <c r="AG201" t="b">
        <f>IF($R201,X201=VLOOKUP(Y201,$AU$2:$AZ$10,3,FALSE),"")</f>
        <v>1</v>
      </c>
      <c r="AH201" t="b">
        <f>IF($R201,Y201=VLOOKUP(W201,$AU$2:$AZ$10,3,FALSE),"")</f>
        <v>0</v>
      </c>
      <c r="AI201" t="b">
        <f>IF($R201,Z201=VLOOKUP(X201,$AU$2:$AZ$10,3,FALSE),"")</f>
        <v>1</v>
      </c>
      <c r="AJ201" t="b">
        <f>IF($R201,W201=VLOOKUP(W201,$AU$2:$AZ$10,4,FALSE),"")</f>
        <v>1</v>
      </c>
      <c r="AK201" t="b">
        <f>IF($R201,X201=VLOOKUP(X201,$AU$2:$AZ$10,4,FALSE),"")</f>
        <v>1</v>
      </c>
      <c r="AL201" t="b">
        <f>IF($R201,Y201=VLOOKUP(Y201,$AU$2:$AZ$10,4,FALSE),"")</f>
        <v>1</v>
      </c>
      <c r="AM201" t="b">
        <f>IF($R201,Z201=VLOOKUP(Z201,$AU$2:$AZ$10,4,FALSE),"")</f>
        <v>1</v>
      </c>
      <c r="AN201" t="b">
        <f>IF($R201,W201=VLOOKUP(W201,$AU$2:$AZ$10,5,FALSE),"")</f>
        <v>1</v>
      </c>
      <c r="AO201" t="b">
        <f>IF($R201,X201=VLOOKUP(X201,$AU$2:$AZ$10,5,FALSE),"")</f>
        <v>1</v>
      </c>
      <c r="AP201" t="b">
        <f>IF($R201,Y201=VLOOKUP(Y201,$AU$2:$AZ$10,6,FALSE),"")</f>
        <v>1</v>
      </c>
      <c r="AQ201" t="b">
        <f>IF($R201,Z201=VLOOKUP(Z201,$AU$2:$AZ$10,6,FALSE),"")</f>
        <v>1</v>
      </c>
      <c r="AR201" t="b">
        <f t="shared" si="45"/>
        <v>0</v>
      </c>
      <c r="AS201" t="b">
        <f t="shared" si="46"/>
        <v>0</v>
      </c>
      <c r="AU201" s="1"/>
      <c r="BD201" s="59" t="str">
        <f t="shared" si="47"/>
        <v xml:space="preserve">    { wxString::FromUTF8("\xE2\x80\xB0"), &amp;AllGlyphs[181], &amp;AllGlyphs[182], &amp;AllGlyphs[182], &amp;AllGlyphs[188], &amp;AllGlyphs[181], &amp;AllGlyphs[189], Connection::DIAG_BOTH, Connection::EMPTY, Connection::EMPTY, Connection::EMPTY, 0, 0, 0, 1, 0, 0 },</v>
      </c>
      <c r="BE201" s="60"/>
      <c r="BF201" s="60"/>
      <c r="BG201" s="60"/>
      <c r="BH201" s="60"/>
      <c r="BI201" s="60"/>
      <c r="BJ201" s="60"/>
      <c r="BK201" s="61"/>
      <c r="BM201" s="54" t="str">
        <f>IF($R201,"&amp;AllGlyphs[" &amp; E201 &amp; "]","")</f>
        <v>&amp;AllGlyphs[181]</v>
      </c>
      <c r="BN201" s="54" t="str">
        <f>IF($R201,"&amp;AllGlyphs[" &amp; G201 &amp; "]","")</f>
        <v>&amp;AllGlyphs[182]</v>
      </c>
      <c r="BO201" s="54" t="str">
        <f t="shared" si="48"/>
        <v>&amp;AllGlyphs[182]</v>
      </c>
      <c r="BP201" s="54" t="str">
        <f t="shared" si="49"/>
        <v>&amp;AllGlyphs[188]</v>
      </c>
      <c r="BQ201" s="54" t="str">
        <f t="shared" si="50"/>
        <v>&amp;AllGlyphs[181]</v>
      </c>
      <c r="BR201" s="54" t="str">
        <f t="shared" si="51"/>
        <v>&amp;AllGlyphs[189]</v>
      </c>
      <c r="BT201" s="58">
        <f t="shared" si="52"/>
        <v>0</v>
      </c>
      <c r="BU201" s="58">
        <f t="shared" si="53"/>
        <v>0</v>
      </c>
      <c r="BV201" s="58">
        <f t="shared" si="54"/>
        <v>0</v>
      </c>
      <c r="BW201" s="58">
        <f t="shared" si="55"/>
        <v>1</v>
      </c>
      <c r="BX201" s="58">
        <f t="shared" si="56"/>
        <v>0</v>
      </c>
      <c r="BY201" s="58">
        <f t="shared" si="57"/>
        <v>0</v>
      </c>
    </row>
    <row r="202" spans="1:77" x14ac:dyDescent="0.4">
      <c r="A202" s="7" t="s">
        <v>196</v>
      </c>
      <c r="B202" s="6" t="str">
        <f t="shared" si="38"/>
        <v>‹</v>
      </c>
      <c r="C202" s="48" cm="1">
        <f t="array" ref="C202">IF($R202,INDEX($S:$S,MATCH(TRUE,EXACT(B202,$A:$A),0)),"")</f>
        <v>189</v>
      </c>
      <c r="D202" s="38" t="s">
        <v>195</v>
      </c>
      <c r="E202" s="48" cm="1">
        <f t="array" ref="E202">IF($R202,INDEX($S:$S,MATCH(TRUE,EXACT(D202,$A:$A),0)),"")</f>
        <v>188</v>
      </c>
      <c r="F202" s="38" t="s">
        <v>188</v>
      </c>
      <c r="G202" s="48" cm="1">
        <f t="array" ref="G202">IF($S202&lt;&gt;"",INDEX($S:$S,MATCH(TRUE,EXACT(F202,$A:$A),0)),"")</f>
        <v>181</v>
      </c>
      <c r="H202" s="38" t="s">
        <v>196</v>
      </c>
      <c r="I202" s="48" cm="1">
        <f t="array" ref="I202">IF($R202,INDEX($S:$S,MATCH(TRUE,EXACT(H202,$A:$A),0)),"")</f>
        <v>189</v>
      </c>
      <c r="J202" s="38" t="s">
        <v>188</v>
      </c>
      <c r="K202" s="52" cm="1">
        <f t="array" ref="K202">IF($R202,INDEX($S:$S,MATCH(TRUE,EXACT(J202,$A:$A),0)),"")</f>
        <v>181</v>
      </c>
      <c r="L202" s="38" t="str" cm="1">
        <f t="array" ref="L202">IF($R202,INDEX($T:$T,MATCH(TRUE,EXACT(H202,$D:$D),0)),"")</f>
        <v>ˆ</v>
      </c>
      <c r="M202" s="48" cm="1">
        <f t="array" ref="M202">IF($R202,INDEX($S:$S,MATCH(TRUE,EXACT(L202,$A:$A),0)),"")</f>
        <v>182</v>
      </c>
      <c r="N202" s="38" t="str" cm="1">
        <f t="array" ref="N202">IF($R202,INDEX($T:$T,MATCH(TRUE,EXACT(J202,$D:$D),0)),"")</f>
        <v>‰</v>
      </c>
      <c r="O202" s="52" cm="1">
        <f t="array" ref="O202">IF($R202,INDEX($S:$S,MATCH(TRUE,EXACT(N202,$A:$A),0)),"")</f>
        <v>188</v>
      </c>
      <c r="P202" s="23"/>
      <c r="Q202" s="33"/>
      <c r="R202" s="18" t="b">
        <f t="shared" si="39"/>
        <v>1</v>
      </c>
      <c r="S202" s="19">
        <f>IF(R202, MAX(S$2:S201)+1,"")</f>
        <v>189</v>
      </c>
      <c r="T202" s="23" t="str">
        <f t="shared" si="40"/>
        <v>‹</v>
      </c>
      <c r="U202" s="8" t="str" cm="1">
        <f t="array" ref="U202">CharToUTF8(A202)</f>
        <v>\xE2\x80\xB9</v>
      </c>
      <c r="W202" s="18" t="str">
        <f>$AU$2</f>
        <v>EMPTY</v>
      </c>
      <c r="X202" s="24" t="str">
        <f>$AU$2</f>
        <v>EMPTY</v>
      </c>
      <c r="Y202" s="24" t="str">
        <f>$AU$3</f>
        <v>DIAG_BOTH</v>
      </c>
      <c r="Z202" s="21" t="str">
        <f>$AU$2</f>
        <v>EMPTY</v>
      </c>
      <c r="AB202" s="31" t="b">
        <f t="shared" si="41"/>
        <v>0</v>
      </c>
      <c r="AC202" s="31" t="b">
        <f t="shared" si="42"/>
        <v>0</v>
      </c>
      <c r="AD202" t="b">
        <f t="shared" si="43"/>
        <v>1</v>
      </c>
      <c r="AE202" t="b">
        <f t="shared" si="44"/>
        <v>0</v>
      </c>
      <c r="AF202" t="b">
        <f>IF($R202,W202=VLOOKUP(Z202,$AU$2:$AZ$10,3,FALSE),"")</f>
        <v>1</v>
      </c>
      <c r="AG202" t="b">
        <f>IF($R202,X202=VLOOKUP(Y202,$AU$2:$AZ$10,3,FALSE),"")</f>
        <v>0</v>
      </c>
      <c r="AH202" t="b">
        <f>IF($R202,Y202=VLOOKUP(W202,$AU$2:$AZ$10,3,FALSE),"")</f>
        <v>0</v>
      </c>
      <c r="AI202" t="b">
        <f>IF($R202,Z202=VLOOKUP(X202,$AU$2:$AZ$10,3,FALSE),"")</f>
        <v>1</v>
      </c>
      <c r="AJ202" t="b">
        <f>IF($R202,W202=VLOOKUP(W202,$AU$2:$AZ$10,4,FALSE),"")</f>
        <v>1</v>
      </c>
      <c r="AK202" t="b">
        <f>IF($R202,X202=VLOOKUP(X202,$AU$2:$AZ$10,4,FALSE),"")</f>
        <v>1</v>
      </c>
      <c r="AL202" t="b">
        <f>IF($R202,Y202=VLOOKUP(Y202,$AU$2:$AZ$10,4,FALSE),"")</f>
        <v>1</v>
      </c>
      <c r="AM202" t="b">
        <f>IF($R202,Z202=VLOOKUP(Z202,$AU$2:$AZ$10,4,FALSE),"")</f>
        <v>1</v>
      </c>
      <c r="AN202" t="b">
        <f>IF($R202,W202=VLOOKUP(W202,$AU$2:$AZ$10,5,FALSE),"")</f>
        <v>1</v>
      </c>
      <c r="AO202" t="b">
        <f>IF($R202,X202=VLOOKUP(X202,$AU$2:$AZ$10,5,FALSE),"")</f>
        <v>1</v>
      </c>
      <c r="AP202" t="b">
        <f>IF($R202,Y202=VLOOKUP(Y202,$AU$2:$AZ$10,6,FALSE),"")</f>
        <v>1</v>
      </c>
      <c r="AQ202" t="b">
        <f>IF($R202,Z202=VLOOKUP(Z202,$AU$2:$AZ$10,6,FALSE),"")</f>
        <v>1</v>
      </c>
      <c r="AR202" t="b">
        <f t="shared" si="45"/>
        <v>0</v>
      </c>
      <c r="AS202" t="b">
        <f t="shared" si="46"/>
        <v>0</v>
      </c>
      <c r="AU202" s="1"/>
      <c r="BD202" s="59" t="str">
        <f t="shared" si="47"/>
        <v xml:space="preserve">    { wxString::FromUTF8("\xE2\x80\xB9"), &amp;AllGlyphs[188], &amp;AllGlyphs[181], &amp;AllGlyphs[189], &amp;AllGlyphs[181], &amp;AllGlyphs[182], &amp;AllGlyphs[188], Connection::EMPTY, Connection::EMPTY, Connection::DIAG_BOTH, Connection::EMPTY, 0, 0, 1, 0, 0, 0 },</v>
      </c>
      <c r="BE202" s="60"/>
      <c r="BF202" s="60"/>
      <c r="BG202" s="60"/>
      <c r="BH202" s="60"/>
      <c r="BI202" s="60"/>
      <c r="BJ202" s="60"/>
      <c r="BK202" s="61"/>
      <c r="BM202" s="54" t="str">
        <f>IF($R202,"&amp;AllGlyphs[" &amp; E202 &amp; "]","")</f>
        <v>&amp;AllGlyphs[188]</v>
      </c>
      <c r="BN202" s="54" t="str">
        <f>IF($R202,"&amp;AllGlyphs[" &amp; G202 &amp; "]","")</f>
        <v>&amp;AllGlyphs[181]</v>
      </c>
      <c r="BO202" s="54" t="str">
        <f t="shared" si="48"/>
        <v>&amp;AllGlyphs[189]</v>
      </c>
      <c r="BP202" s="54" t="str">
        <f t="shared" si="49"/>
        <v>&amp;AllGlyphs[181]</v>
      </c>
      <c r="BQ202" s="54" t="str">
        <f t="shared" si="50"/>
        <v>&amp;AllGlyphs[182]</v>
      </c>
      <c r="BR202" s="54" t="str">
        <f t="shared" si="51"/>
        <v>&amp;AllGlyphs[188]</v>
      </c>
      <c r="BT202" s="58">
        <f t="shared" si="52"/>
        <v>0</v>
      </c>
      <c r="BU202" s="58">
        <f t="shared" si="53"/>
        <v>0</v>
      </c>
      <c r="BV202" s="58">
        <f t="shared" si="54"/>
        <v>1</v>
      </c>
      <c r="BW202" s="58">
        <f t="shared" si="55"/>
        <v>0</v>
      </c>
      <c r="BX202" s="58">
        <f t="shared" si="56"/>
        <v>0</v>
      </c>
      <c r="BY202" s="58">
        <f t="shared" si="57"/>
        <v>0</v>
      </c>
    </row>
    <row r="203" spans="1:77" x14ac:dyDescent="0.4">
      <c r="AU203" s="1"/>
    </row>
    <row r="204" spans="1:77" x14ac:dyDescent="0.4">
      <c r="AU204" s="1"/>
    </row>
    <row r="205" spans="1:77" x14ac:dyDescent="0.4">
      <c r="AU205" s="1"/>
    </row>
    <row r="206" spans="1:77" x14ac:dyDescent="0.4">
      <c r="AU206" s="1"/>
    </row>
  </sheetData>
  <autoFilter ref="W1:AS1" xr:uid="{B8A84113-1138-4AAD-8652-924E7801D091}"/>
  <mergeCells count="202">
    <mergeCell ref="BD34:BK34"/>
    <mergeCell ref="BD35:BK35"/>
    <mergeCell ref="BD36:BK36"/>
    <mergeCell ref="BD56:BK56"/>
    <mergeCell ref="BD37:BK37"/>
    <mergeCell ref="BD38:BK38"/>
    <mergeCell ref="BD39:BK39"/>
    <mergeCell ref="BD40:BK40"/>
    <mergeCell ref="BD41:BK41"/>
    <mergeCell ref="BD42:BK42"/>
    <mergeCell ref="BD43:BK43"/>
    <mergeCell ref="BD44:BK44"/>
    <mergeCell ref="BD45:BK45"/>
    <mergeCell ref="BD46:BK46"/>
    <mergeCell ref="BD47:BK47"/>
    <mergeCell ref="BD48:BK48"/>
    <mergeCell ref="BD49:BK49"/>
    <mergeCell ref="BD50:BK50"/>
    <mergeCell ref="BD51:BK51"/>
    <mergeCell ref="BD52:BK52"/>
    <mergeCell ref="BD53:BK53"/>
    <mergeCell ref="BD54:BK54"/>
    <mergeCell ref="BD55:BK55"/>
    <mergeCell ref="BD76:BK76"/>
    <mergeCell ref="BD57:BK57"/>
    <mergeCell ref="BD58:BK58"/>
    <mergeCell ref="BD59:BK59"/>
    <mergeCell ref="BD60:BK60"/>
    <mergeCell ref="BD61:BK61"/>
    <mergeCell ref="BD62:BK62"/>
    <mergeCell ref="BD63:BK63"/>
    <mergeCell ref="BD64:BK64"/>
    <mergeCell ref="BD65:BK65"/>
    <mergeCell ref="BD66:BK66"/>
    <mergeCell ref="BD67:BK67"/>
    <mergeCell ref="BD68:BK68"/>
    <mergeCell ref="BD69:BK69"/>
    <mergeCell ref="BD70:BK70"/>
    <mergeCell ref="BD71:BK71"/>
    <mergeCell ref="BD72:BK72"/>
    <mergeCell ref="BD73:BK73"/>
    <mergeCell ref="BD74:BK74"/>
    <mergeCell ref="BD75:BK75"/>
    <mergeCell ref="BD96:BK96"/>
    <mergeCell ref="BD77:BK77"/>
    <mergeCell ref="BD78:BK78"/>
    <mergeCell ref="BD79:BK79"/>
    <mergeCell ref="BD80:BK80"/>
    <mergeCell ref="BD81:BK81"/>
    <mergeCell ref="BD82:BK82"/>
    <mergeCell ref="BD83:BK83"/>
    <mergeCell ref="BD84:BK84"/>
    <mergeCell ref="BD85:BK85"/>
    <mergeCell ref="BD86:BK86"/>
    <mergeCell ref="BD87:BK87"/>
    <mergeCell ref="BD88:BK88"/>
    <mergeCell ref="BD89:BK89"/>
    <mergeCell ref="BD90:BK90"/>
    <mergeCell ref="BD91:BK91"/>
    <mergeCell ref="BD92:BK92"/>
    <mergeCell ref="BD93:BK93"/>
    <mergeCell ref="BD94:BK94"/>
    <mergeCell ref="BD95:BK95"/>
    <mergeCell ref="BD116:BK116"/>
    <mergeCell ref="BD97:BK97"/>
    <mergeCell ref="BD98:BK98"/>
    <mergeCell ref="BD99:BK99"/>
    <mergeCell ref="BD100:BK100"/>
    <mergeCell ref="BD101:BK101"/>
    <mergeCell ref="BD102:BK102"/>
    <mergeCell ref="BD103:BK103"/>
    <mergeCell ref="BD104:BK104"/>
    <mergeCell ref="BD105:BK105"/>
    <mergeCell ref="BD106:BK106"/>
    <mergeCell ref="BD107:BK107"/>
    <mergeCell ref="BD108:BK108"/>
    <mergeCell ref="BD109:BK109"/>
    <mergeCell ref="BD110:BK110"/>
    <mergeCell ref="BD111:BK111"/>
    <mergeCell ref="BD112:BK112"/>
    <mergeCell ref="BD113:BK113"/>
    <mergeCell ref="BD114:BK114"/>
    <mergeCell ref="BD115:BK115"/>
    <mergeCell ref="BD136:BK136"/>
    <mergeCell ref="BD117:BK117"/>
    <mergeCell ref="BD118:BK118"/>
    <mergeCell ref="BD119:BK119"/>
    <mergeCell ref="BD120:BK120"/>
    <mergeCell ref="BD121:BK121"/>
    <mergeCell ref="BD122:BK122"/>
    <mergeCell ref="BD123:BK123"/>
    <mergeCell ref="BD124:BK124"/>
    <mergeCell ref="BD125:BK125"/>
    <mergeCell ref="BD126:BK126"/>
    <mergeCell ref="BD127:BK127"/>
    <mergeCell ref="BD128:BK128"/>
    <mergeCell ref="BD129:BK129"/>
    <mergeCell ref="BD130:BK130"/>
    <mergeCell ref="BD131:BK131"/>
    <mergeCell ref="BD132:BK132"/>
    <mergeCell ref="BD133:BK133"/>
    <mergeCell ref="BD134:BK134"/>
    <mergeCell ref="BD135:BK135"/>
    <mergeCell ref="BD156:BK156"/>
    <mergeCell ref="BD137:BK137"/>
    <mergeCell ref="BD138:BK138"/>
    <mergeCell ref="BD139:BK139"/>
    <mergeCell ref="BD140:BK140"/>
    <mergeCell ref="BD141:BK141"/>
    <mergeCell ref="BD142:BK142"/>
    <mergeCell ref="BD143:BK143"/>
    <mergeCell ref="BD144:BK144"/>
    <mergeCell ref="BD145:BK145"/>
    <mergeCell ref="BD146:BK146"/>
    <mergeCell ref="BD147:BK147"/>
    <mergeCell ref="BD148:BK148"/>
    <mergeCell ref="BD149:BK149"/>
    <mergeCell ref="BD150:BK150"/>
    <mergeCell ref="BD151:BK151"/>
    <mergeCell ref="BD152:BK152"/>
    <mergeCell ref="BD153:BK153"/>
    <mergeCell ref="BD154:BK154"/>
    <mergeCell ref="BD155:BK155"/>
    <mergeCell ref="BD176:BK176"/>
    <mergeCell ref="BD177:BK177"/>
    <mergeCell ref="BD157:BK157"/>
    <mergeCell ref="BD158:BK158"/>
    <mergeCell ref="BD159:BK159"/>
    <mergeCell ref="BD160:BK160"/>
    <mergeCell ref="BD161:BK161"/>
    <mergeCell ref="BD162:BK162"/>
    <mergeCell ref="BD163:BK163"/>
    <mergeCell ref="BD164:BK164"/>
    <mergeCell ref="BD165:BK165"/>
    <mergeCell ref="BD166:BK166"/>
    <mergeCell ref="BD167:BK167"/>
    <mergeCell ref="BD168:BK168"/>
    <mergeCell ref="BD169:BK169"/>
    <mergeCell ref="BD170:BK170"/>
    <mergeCell ref="BD171:BK171"/>
    <mergeCell ref="BD172:BK172"/>
    <mergeCell ref="BD173:BK173"/>
    <mergeCell ref="BD174:BK174"/>
    <mergeCell ref="BD175:BK175"/>
    <mergeCell ref="BD27:BK27"/>
    <mergeCell ref="BD1:BK1"/>
    <mergeCell ref="BD28:BK28"/>
    <mergeCell ref="BD29:BK29"/>
    <mergeCell ref="BD30:BK30"/>
    <mergeCell ref="BD31:BK31"/>
    <mergeCell ref="BD32:BK32"/>
    <mergeCell ref="BD33:BK33"/>
    <mergeCell ref="BD19:BK19"/>
    <mergeCell ref="BD20:BK20"/>
    <mergeCell ref="BD21:BK21"/>
    <mergeCell ref="BD22:BK22"/>
    <mergeCell ref="BD23:BK23"/>
    <mergeCell ref="BD24:BK24"/>
    <mergeCell ref="BD25:BK25"/>
    <mergeCell ref="BD26:BK26"/>
    <mergeCell ref="BD178:BK178"/>
    <mergeCell ref="BD179:BK179"/>
    <mergeCell ref="BD180:BK180"/>
    <mergeCell ref="BD181:BK181"/>
    <mergeCell ref="BD182:BK182"/>
    <mergeCell ref="BD183:BK183"/>
    <mergeCell ref="BD184:BK184"/>
    <mergeCell ref="BD185:BK185"/>
    <mergeCell ref="BD186:BK186"/>
    <mergeCell ref="BD187:BK187"/>
    <mergeCell ref="BD188:BK188"/>
    <mergeCell ref="BD189:BK189"/>
    <mergeCell ref="BD190:BK190"/>
    <mergeCell ref="BD191:BK191"/>
    <mergeCell ref="BD192:BK192"/>
    <mergeCell ref="BD193:BK193"/>
    <mergeCell ref="BD194:BK194"/>
    <mergeCell ref="BD195:BK195"/>
    <mergeCell ref="BD196:BK196"/>
    <mergeCell ref="BD197:BK197"/>
    <mergeCell ref="BD198:BK198"/>
    <mergeCell ref="BD199:BK199"/>
    <mergeCell ref="BD200:BK200"/>
    <mergeCell ref="BD201:BK201"/>
    <mergeCell ref="BD202:BK202"/>
    <mergeCell ref="BD2:BK2"/>
    <mergeCell ref="BD3:BK3"/>
    <mergeCell ref="BD4:BK4"/>
    <mergeCell ref="BD5:BK5"/>
    <mergeCell ref="BD6:BK6"/>
    <mergeCell ref="BD7:BK7"/>
    <mergeCell ref="BD8:BK8"/>
    <mergeCell ref="BD9:BK9"/>
    <mergeCell ref="BD10:BK10"/>
    <mergeCell ref="BD11:BK11"/>
    <mergeCell ref="BD12:BK12"/>
    <mergeCell ref="BD13:BK13"/>
    <mergeCell ref="BD14:BK14"/>
    <mergeCell ref="BD15:BK15"/>
    <mergeCell ref="BD16:BK16"/>
    <mergeCell ref="BD17:BK17"/>
    <mergeCell ref="BD18:BK18"/>
  </mergeCells>
  <phoneticPr fontId="5" type="noConversion"/>
  <conditionalFormatting sqref="A2:K202 P2:XFD202">
    <cfRule type="expression" dxfId="3" priority="14">
      <formula>$R2=FALSE</formula>
    </cfRule>
  </conditionalFormatting>
  <conditionalFormatting sqref="M2:M202 O2:O202">
    <cfRule type="expression" dxfId="2" priority="9">
      <formula>$R2=FALSE</formula>
    </cfRule>
  </conditionalFormatting>
  <conditionalFormatting sqref="L2:L202">
    <cfRule type="expression" dxfId="1" priority="2">
      <formula>$R2=FALSE</formula>
    </cfRule>
  </conditionalFormatting>
  <conditionalFormatting sqref="N2:N202">
    <cfRule type="expression" dxfId="0" priority="1">
      <formula>$R2=FALSE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Formatted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2021-02-12T01:06:25Z</dcterms:modified>
</cp:coreProperties>
</file>