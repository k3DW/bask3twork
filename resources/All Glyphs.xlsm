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-120" yWindow="-120" windowWidth="20730" windowHeight="11160" activeTab="1"/>
  </bookViews>
  <sheets>
    <sheet name="Sheet1" sheetId="6" r:id="rId1"/>
    <sheet name="Sheet2" sheetId="7" r:id="rId2"/>
  </sheets>
  <functionGroups/>
  <definedNames>
    <definedName name="_xlnm._FilterDatabase" localSheetId="0" hidden="1">Sheet1!$M$1:$P$1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0" i="7"/>
  <c r="I40"/>
  <c r="J40"/>
  <c r="K40"/>
  <c r="H41"/>
  <c r="I41"/>
  <c r="J41"/>
  <c r="K41"/>
  <c r="H42"/>
  <c r="I42"/>
  <c r="J42"/>
  <c r="K42"/>
  <c r="H43"/>
  <c r="I43"/>
  <c r="J43"/>
  <c r="K43"/>
  <c r="H44"/>
  <c r="I44"/>
  <c r="J44"/>
  <c r="K44"/>
  <c r="H45"/>
  <c r="I45"/>
  <c r="J45"/>
  <c r="K45"/>
  <c r="H46"/>
  <c r="I46"/>
  <c r="J46"/>
  <c r="K46"/>
  <c r="H47"/>
  <c r="I47"/>
  <c r="J47"/>
  <c r="K47"/>
  <c r="H48"/>
  <c r="I48"/>
  <c r="J48"/>
  <c r="K48"/>
  <c r="H49"/>
  <c r="I49"/>
  <c r="J49"/>
  <c r="K49"/>
  <c r="H50"/>
  <c r="I50"/>
  <c r="J50"/>
  <c r="K50"/>
  <c r="H51"/>
  <c r="I51"/>
  <c r="J51"/>
  <c r="K51"/>
  <c r="H52"/>
  <c r="I52"/>
  <c r="J52"/>
  <c r="K52"/>
  <c r="H53"/>
  <c r="I53"/>
  <c r="J53"/>
  <c r="K53"/>
  <c r="H54"/>
  <c r="I54"/>
  <c r="J54"/>
  <c r="K54"/>
  <c r="H55"/>
  <c r="I55"/>
  <c r="J55"/>
  <c r="K55"/>
  <c r="H56"/>
  <c r="I56"/>
  <c r="J56"/>
  <c r="K56"/>
  <c r="H57"/>
  <c r="I57"/>
  <c r="J57"/>
  <c r="K57"/>
  <c r="H58"/>
  <c r="I58"/>
  <c r="J58"/>
  <c r="K58"/>
  <c r="H59"/>
  <c r="I59"/>
  <c r="J59"/>
  <c r="K59"/>
  <c r="H60"/>
  <c r="I60"/>
  <c r="J60"/>
  <c r="K60"/>
  <c r="H61"/>
  <c r="I61"/>
  <c r="J61"/>
  <c r="K61"/>
  <c r="H62"/>
  <c r="I62"/>
  <c r="J62"/>
  <c r="K62"/>
  <c r="H63"/>
  <c r="I63"/>
  <c r="J63"/>
  <c r="K63"/>
  <c r="H64"/>
  <c r="I64"/>
  <c r="J64"/>
  <c r="K64"/>
  <c r="H65"/>
  <c r="I65"/>
  <c r="J65"/>
  <c r="K65"/>
  <c r="H66"/>
  <c r="I66"/>
  <c r="J66"/>
  <c r="K66"/>
  <c r="H67"/>
  <c r="I67"/>
  <c r="J67"/>
  <c r="K67"/>
  <c r="H68"/>
  <c r="I68"/>
  <c r="J68"/>
  <c r="K68"/>
  <c r="H69"/>
  <c r="I69"/>
  <c r="J69"/>
  <c r="K69"/>
  <c r="H70"/>
  <c r="I70"/>
  <c r="J70"/>
  <c r="K70"/>
  <c r="H71"/>
  <c r="I71"/>
  <c r="J71"/>
  <c r="K71"/>
  <c r="H72"/>
  <c r="I72"/>
  <c r="J72"/>
  <c r="K72"/>
  <c r="H73"/>
  <c r="I73"/>
  <c r="J73"/>
  <c r="K73"/>
  <c r="H74"/>
  <c r="I74"/>
  <c r="J74"/>
  <c r="K74"/>
  <c r="H75"/>
  <c r="I75"/>
  <c r="J75"/>
  <c r="K75"/>
  <c r="H76"/>
  <c r="I76"/>
  <c r="J76"/>
  <c r="K76"/>
  <c r="H77"/>
  <c r="I77"/>
  <c r="J77"/>
  <c r="K77"/>
  <c r="H78"/>
  <c r="I78"/>
  <c r="J78"/>
  <c r="K78"/>
  <c r="H79"/>
  <c r="I79"/>
  <c r="J79"/>
  <c r="K79"/>
  <c r="H80"/>
  <c r="I80"/>
  <c r="J80"/>
  <c r="K80"/>
  <c r="H81"/>
  <c r="I81"/>
  <c r="J81"/>
  <c r="K81"/>
  <c r="H82"/>
  <c r="I82"/>
  <c r="J82"/>
  <c r="K82"/>
  <c r="H83"/>
  <c r="I83"/>
  <c r="J83"/>
  <c r="K83"/>
  <c r="H84"/>
  <c r="I84"/>
  <c r="J84"/>
  <c r="K84"/>
  <c r="H85"/>
  <c r="I85"/>
  <c r="J85"/>
  <c r="K85"/>
  <c r="H86"/>
  <c r="I86"/>
  <c r="J86"/>
  <c r="K86"/>
  <c r="H87"/>
  <c r="I87"/>
  <c r="J87"/>
  <c r="K87"/>
  <c r="H88"/>
  <c r="I88"/>
  <c r="J88"/>
  <c r="K88"/>
  <c r="H89"/>
  <c r="I89"/>
  <c r="J89"/>
  <c r="K89"/>
  <c r="H90"/>
  <c r="I90"/>
  <c r="J90"/>
  <c r="K90"/>
  <c r="H91"/>
  <c r="I91"/>
  <c r="J91"/>
  <c r="K91"/>
  <c r="H92"/>
  <c r="I92"/>
  <c r="J92"/>
  <c r="K92"/>
  <c r="H93"/>
  <c r="I93"/>
  <c r="J93"/>
  <c r="K93"/>
  <c r="H94"/>
  <c r="I94"/>
  <c r="J94"/>
  <c r="K94"/>
  <c r="H95"/>
  <c r="I95"/>
  <c r="J95"/>
  <c r="K95"/>
  <c r="H96"/>
  <c r="I96"/>
  <c r="J96"/>
  <c r="K96"/>
  <c r="H97"/>
  <c r="I97"/>
  <c r="J97"/>
  <c r="K97"/>
  <c r="H98"/>
  <c r="I98"/>
  <c r="J98"/>
  <c r="K98"/>
  <c r="H99"/>
  <c r="I99"/>
  <c r="J99"/>
  <c r="K99"/>
  <c r="H100"/>
  <c r="I100"/>
  <c r="J100"/>
  <c r="K100"/>
  <c r="H101"/>
  <c r="I101"/>
  <c r="J101"/>
  <c r="K101"/>
  <c r="H102"/>
  <c r="I102"/>
  <c r="J102"/>
  <c r="K102"/>
  <c r="H103"/>
  <c r="I103"/>
  <c r="J103"/>
  <c r="K103"/>
  <c r="H104"/>
  <c r="I104"/>
  <c r="J104"/>
  <c r="K104"/>
  <c r="H105"/>
  <c r="I105"/>
  <c r="J105"/>
  <c r="K105"/>
  <c r="H106"/>
  <c r="I106"/>
  <c r="J106"/>
  <c r="K106"/>
  <c r="H107"/>
  <c r="I107"/>
  <c r="J107"/>
  <c r="K107"/>
  <c r="H108"/>
  <c r="I108"/>
  <c r="J108"/>
  <c r="K108"/>
  <c r="H109"/>
  <c r="I109"/>
  <c r="J109"/>
  <c r="K109"/>
  <c r="H110"/>
  <c r="I110"/>
  <c r="J110"/>
  <c r="K110"/>
  <c r="H111"/>
  <c r="I111"/>
  <c r="J111"/>
  <c r="K111"/>
  <c r="H112"/>
  <c r="I112"/>
  <c r="J112"/>
  <c r="K112"/>
  <c r="H113"/>
  <c r="I113"/>
  <c r="J113"/>
  <c r="K113"/>
  <c r="H114"/>
  <c r="I114"/>
  <c r="J114"/>
  <c r="K114"/>
  <c r="H115"/>
  <c r="I115"/>
  <c r="J115"/>
  <c r="K115"/>
  <c r="H116"/>
  <c r="I116"/>
  <c r="J116"/>
  <c r="K116"/>
  <c r="H117"/>
  <c r="I117"/>
  <c r="J117"/>
  <c r="K117"/>
  <c r="H118"/>
  <c r="I118"/>
  <c r="J118"/>
  <c r="K118"/>
  <c r="H119"/>
  <c r="I119"/>
  <c r="J119"/>
  <c r="K119"/>
  <c r="H120"/>
  <c r="I120"/>
  <c r="J120"/>
  <c r="K120"/>
  <c r="H121"/>
  <c r="I121"/>
  <c r="J121"/>
  <c r="K121"/>
  <c r="H122"/>
  <c r="I122"/>
  <c r="J122"/>
  <c r="K122"/>
  <c r="H123"/>
  <c r="I123"/>
  <c r="J123"/>
  <c r="K123"/>
  <c r="H124"/>
  <c r="I124"/>
  <c r="J124"/>
  <c r="K124"/>
  <c r="H125"/>
  <c r="I125"/>
  <c r="J125"/>
  <c r="K125"/>
  <c r="H126"/>
  <c r="I126"/>
  <c r="J126"/>
  <c r="K126"/>
  <c r="H127"/>
  <c r="I127"/>
  <c r="J127"/>
  <c r="K127"/>
  <c r="H128"/>
  <c r="I128"/>
  <c r="J128"/>
  <c r="K128"/>
  <c r="H129"/>
  <c r="I129"/>
  <c r="J129"/>
  <c r="K129"/>
  <c r="H130"/>
  <c r="I130"/>
  <c r="J130"/>
  <c r="K130"/>
  <c r="H131"/>
  <c r="I131"/>
  <c r="J131"/>
  <c r="K131"/>
  <c r="H132"/>
  <c r="I132"/>
  <c r="J132"/>
  <c r="K132"/>
  <c r="H133"/>
  <c r="I133"/>
  <c r="J133"/>
  <c r="K133"/>
  <c r="H134"/>
  <c r="I134"/>
  <c r="J134"/>
  <c r="K134"/>
  <c r="H135"/>
  <c r="I135"/>
  <c r="J135"/>
  <c r="K135"/>
  <c r="H136"/>
  <c r="I136"/>
  <c r="J136"/>
  <c r="K136"/>
  <c r="H137"/>
  <c r="I137"/>
  <c r="J137"/>
  <c r="K137"/>
  <c r="H138"/>
  <c r="I138"/>
  <c r="J138"/>
  <c r="K138"/>
  <c r="H139"/>
  <c r="I139"/>
  <c r="J139"/>
  <c r="K139"/>
  <c r="H140"/>
  <c r="I140"/>
  <c r="J140"/>
  <c r="K140"/>
  <c r="H141"/>
  <c r="I141"/>
  <c r="J141"/>
  <c r="K141"/>
  <c r="H142"/>
  <c r="I142"/>
  <c r="J142"/>
  <c r="K142"/>
  <c r="H143"/>
  <c r="I143"/>
  <c r="J143"/>
  <c r="K143"/>
  <c r="H144"/>
  <c r="I144"/>
  <c r="J144"/>
  <c r="K144"/>
  <c r="H145"/>
  <c r="I145"/>
  <c r="J145"/>
  <c r="K145"/>
  <c r="H146"/>
  <c r="I146"/>
  <c r="J146"/>
  <c r="K146"/>
  <c r="H147"/>
  <c r="I147"/>
  <c r="J147"/>
  <c r="K147"/>
  <c r="H148"/>
  <c r="I148"/>
  <c r="J148"/>
  <c r="K148"/>
  <c r="H149"/>
  <c r="I149"/>
  <c r="J149"/>
  <c r="K149"/>
  <c r="H150"/>
  <c r="I150"/>
  <c r="J150"/>
  <c r="K150"/>
  <c r="H151"/>
  <c r="I151"/>
  <c r="J151"/>
  <c r="K151"/>
  <c r="H152"/>
  <c r="I152"/>
  <c r="J152"/>
  <c r="K152"/>
  <c r="H153"/>
  <c r="I153"/>
  <c r="J153"/>
  <c r="K153"/>
  <c r="H154"/>
  <c r="I154"/>
  <c r="J154"/>
  <c r="K154"/>
  <c r="H155"/>
  <c r="I155"/>
  <c r="J155"/>
  <c r="K155"/>
  <c r="H156"/>
  <c r="I156"/>
  <c r="J156"/>
  <c r="K156"/>
  <c r="H157"/>
  <c r="I157"/>
  <c r="J157"/>
  <c r="K157"/>
  <c r="H158"/>
  <c r="I158"/>
  <c r="J158"/>
  <c r="K158"/>
  <c r="H159"/>
  <c r="I159"/>
  <c r="J159"/>
  <c r="K159"/>
  <c r="H160"/>
  <c r="I160"/>
  <c r="J160"/>
  <c r="K160"/>
  <c r="H161"/>
  <c r="I161"/>
  <c r="J161"/>
  <c r="K161"/>
  <c r="H162"/>
  <c r="I162"/>
  <c r="J162"/>
  <c r="K162"/>
  <c r="H163"/>
  <c r="I163"/>
  <c r="J163"/>
  <c r="K163"/>
  <c r="H164"/>
  <c r="I164"/>
  <c r="J164"/>
  <c r="K164"/>
  <c r="H165"/>
  <c r="I165"/>
  <c r="J165"/>
  <c r="K165"/>
  <c r="H166"/>
  <c r="I166"/>
  <c r="J166"/>
  <c r="K166"/>
  <c r="H167"/>
  <c r="I167"/>
  <c r="J167"/>
  <c r="K167"/>
  <c r="H168"/>
  <c r="I168"/>
  <c r="J168"/>
  <c r="K168"/>
  <c r="H169"/>
  <c r="I169"/>
  <c r="J169"/>
  <c r="K169"/>
  <c r="H170"/>
  <c r="I170"/>
  <c r="J170"/>
  <c r="K170"/>
  <c r="H171"/>
  <c r="I171"/>
  <c r="J171"/>
  <c r="K171"/>
  <c r="H172"/>
  <c r="I172"/>
  <c r="J172"/>
  <c r="K172"/>
  <c r="H173"/>
  <c r="I173"/>
  <c r="J173"/>
  <c r="K173"/>
  <c r="H174"/>
  <c r="I174"/>
  <c r="J174"/>
  <c r="K174"/>
  <c r="H175"/>
  <c r="I175"/>
  <c r="J175"/>
  <c r="K175"/>
  <c r="H176"/>
  <c r="I176"/>
  <c r="J176"/>
  <c r="K176"/>
  <c r="H177"/>
  <c r="I177"/>
  <c r="J177"/>
  <c r="K177"/>
  <c r="H178"/>
  <c r="I178"/>
  <c r="J178"/>
  <c r="K178"/>
  <c r="H179"/>
  <c r="I179"/>
  <c r="J179"/>
  <c r="K179"/>
  <c r="H180"/>
  <c r="I180"/>
  <c r="J180"/>
  <c r="K180"/>
  <c r="H181"/>
  <c r="I181"/>
  <c r="J181"/>
  <c r="K181"/>
  <c r="H182"/>
  <c r="I182"/>
  <c r="J182"/>
  <c r="K182"/>
  <c r="H183"/>
  <c r="I183"/>
  <c r="J183"/>
  <c r="K183"/>
  <c r="H184"/>
  <c r="I184"/>
  <c r="J184"/>
  <c r="K184"/>
  <c r="H185"/>
  <c r="I185"/>
  <c r="J185"/>
  <c r="K185"/>
  <c r="H186"/>
  <c r="I186"/>
  <c r="J186"/>
  <c r="K186"/>
  <c r="H187"/>
  <c r="I187"/>
  <c r="J187"/>
  <c r="K187"/>
  <c r="H188"/>
  <c r="I188"/>
  <c r="J188"/>
  <c r="K188"/>
  <c r="H189"/>
  <c r="I189"/>
  <c r="J189"/>
  <c r="K189"/>
  <c r="H190"/>
  <c r="I190"/>
  <c r="J190"/>
  <c r="K190"/>
  <c r="H191"/>
  <c r="I191"/>
  <c r="J191"/>
  <c r="K191"/>
  <c r="H192"/>
  <c r="I192"/>
  <c r="J192"/>
  <c r="K192"/>
  <c r="H193"/>
  <c r="I193"/>
  <c r="J193"/>
  <c r="K193"/>
  <c r="H194"/>
  <c r="I194"/>
  <c r="J194"/>
  <c r="K194"/>
  <c r="H195"/>
  <c r="I195"/>
  <c r="J195"/>
  <c r="K195"/>
  <c r="H196"/>
  <c r="I196"/>
  <c r="J196"/>
  <c r="K196"/>
  <c r="H197"/>
  <c r="I197"/>
  <c r="J197"/>
  <c r="K197"/>
  <c r="H198"/>
  <c r="I198"/>
  <c r="J198"/>
  <c r="K198"/>
  <c r="H199"/>
  <c r="I199"/>
  <c r="J199"/>
  <c r="K199"/>
  <c r="H200"/>
  <c r="I200"/>
  <c r="J200"/>
  <c r="K200"/>
  <c r="H201"/>
  <c r="I201"/>
  <c r="J201"/>
  <c r="K201"/>
  <c r="H35"/>
  <c r="I35"/>
  <c r="J35"/>
  <c r="K35"/>
  <c r="H36"/>
  <c r="I36"/>
  <c r="J36"/>
  <c r="K36"/>
  <c r="H37"/>
  <c r="I37"/>
  <c r="J37"/>
  <c r="K37"/>
  <c r="H38"/>
  <c r="I38"/>
  <c r="J38"/>
  <c r="K38"/>
  <c r="H39"/>
  <c r="I39"/>
  <c r="J39"/>
  <c r="K39"/>
  <c r="H2"/>
  <c r="I2"/>
  <c r="J2"/>
  <c r="K2"/>
  <c r="H3"/>
  <c r="I3"/>
  <c r="J3"/>
  <c r="K3"/>
  <c r="H4"/>
  <c r="I4"/>
  <c r="J4"/>
  <c r="K4"/>
  <c r="H5"/>
  <c r="I5"/>
  <c r="J5"/>
  <c r="K5"/>
  <c r="H6"/>
  <c r="I6"/>
  <c r="J6"/>
  <c r="K6"/>
  <c r="H7"/>
  <c r="I7"/>
  <c r="J7"/>
  <c r="K7"/>
  <c r="H8"/>
  <c r="I8"/>
  <c r="J8"/>
  <c r="K8"/>
  <c r="H9"/>
  <c r="I9"/>
  <c r="J9"/>
  <c r="K9"/>
  <c r="H10"/>
  <c r="I10"/>
  <c r="J10"/>
  <c r="K10"/>
  <c r="H11"/>
  <c r="I11"/>
  <c r="J11"/>
  <c r="K11"/>
  <c r="H12"/>
  <c r="I12"/>
  <c r="J12"/>
  <c r="K12"/>
  <c r="H13"/>
  <c r="I13"/>
  <c r="J13"/>
  <c r="K13"/>
  <c r="H14"/>
  <c r="I14"/>
  <c r="J14"/>
  <c r="K14"/>
  <c r="H15"/>
  <c r="I15"/>
  <c r="J15"/>
  <c r="K15"/>
  <c r="H16"/>
  <c r="I16"/>
  <c r="J16"/>
  <c r="K16"/>
  <c r="H17"/>
  <c r="I17"/>
  <c r="J17"/>
  <c r="K17"/>
  <c r="H18"/>
  <c r="I18"/>
  <c r="J18"/>
  <c r="K18"/>
  <c r="H19"/>
  <c r="I19"/>
  <c r="J19"/>
  <c r="K19"/>
  <c r="H20"/>
  <c r="I20"/>
  <c r="J20"/>
  <c r="K20"/>
  <c r="H21"/>
  <c r="I21"/>
  <c r="J21"/>
  <c r="K21"/>
  <c r="H22"/>
  <c r="I22"/>
  <c r="J22"/>
  <c r="K22"/>
  <c r="H23"/>
  <c r="I23"/>
  <c r="J23"/>
  <c r="K23"/>
  <c r="H24"/>
  <c r="I24"/>
  <c r="J24"/>
  <c r="K24"/>
  <c r="H25"/>
  <c r="I25"/>
  <c r="J25"/>
  <c r="K25"/>
  <c r="H26"/>
  <c r="I26"/>
  <c r="J26"/>
  <c r="K26"/>
  <c r="H27"/>
  <c r="I27"/>
  <c r="J27"/>
  <c r="K27"/>
  <c r="H28"/>
  <c r="I28"/>
  <c r="J28"/>
  <c r="K28"/>
  <c r="H29"/>
  <c r="I29"/>
  <c r="J29"/>
  <c r="K29"/>
  <c r="H30"/>
  <c r="I30"/>
  <c r="J30"/>
  <c r="K30"/>
  <c r="H31"/>
  <c r="I31"/>
  <c r="J31"/>
  <c r="K31"/>
  <c r="H32"/>
  <c r="I32"/>
  <c r="J32"/>
  <c r="K32"/>
  <c r="H33"/>
  <c r="I33"/>
  <c r="J33"/>
  <c r="K33"/>
  <c r="H34"/>
  <c r="I34"/>
  <c r="J34"/>
  <c r="K34"/>
  <c r="I1"/>
  <c r="J1"/>
  <c r="K1"/>
  <c r="H1"/>
  <c r="A2"/>
  <c r="B2"/>
  <c r="C2"/>
  <c r="D2"/>
  <c r="E2"/>
  <c r="F2"/>
  <c r="G2"/>
  <c r="A3"/>
  <c r="B3"/>
  <c r="C3"/>
  <c r="D3"/>
  <c r="E3"/>
  <c r="F3"/>
  <c r="G3"/>
  <c r="A4"/>
  <c r="B4"/>
  <c r="C4"/>
  <c r="D4"/>
  <c r="E4"/>
  <c r="F4"/>
  <c r="G4"/>
  <c r="A5"/>
  <c r="B5"/>
  <c r="C5"/>
  <c r="D5"/>
  <c r="E5"/>
  <c r="F5"/>
  <c r="G5"/>
  <c r="A6"/>
  <c r="B6"/>
  <c r="C6"/>
  <c r="D6"/>
  <c r="E6"/>
  <c r="F6"/>
  <c r="G6"/>
  <c r="A7"/>
  <c r="B7"/>
  <c r="C7"/>
  <c r="D7"/>
  <c r="E7"/>
  <c r="F7"/>
  <c r="G7"/>
  <c r="A8"/>
  <c r="B8"/>
  <c r="C8"/>
  <c r="D8"/>
  <c r="E8"/>
  <c r="F8"/>
  <c r="G8"/>
  <c r="A9"/>
  <c r="B9"/>
  <c r="C9"/>
  <c r="D9"/>
  <c r="E9"/>
  <c r="F9"/>
  <c r="G9"/>
  <c r="A10"/>
  <c r="B10"/>
  <c r="C10"/>
  <c r="D10"/>
  <c r="E10"/>
  <c r="F10"/>
  <c r="G10"/>
  <c r="A11"/>
  <c r="B11"/>
  <c r="C11"/>
  <c r="D11"/>
  <c r="E11"/>
  <c r="F11"/>
  <c r="G11"/>
  <c r="A12"/>
  <c r="B12"/>
  <c r="C12"/>
  <c r="D12"/>
  <c r="E12"/>
  <c r="F12"/>
  <c r="G12"/>
  <c r="A13"/>
  <c r="B13"/>
  <c r="C13"/>
  <c r="D13"/>
  <c r="E13"/>
  <c r="F13"/>
  <c r="G13"/>
  <c r="A14"/>
  <c r="B14"/>
  <c r="C14"/>
  <c r="D14"/>
  <c r="E14"/>
  <c r="F14"/>
  <c r="G14"/>
  <c r="A15"/>
  <c r="B15"/>
  <c r="C15"/>
  <c r="D15"/>
  <c r="E15"/>
  <c r="F15"/>
  <c r="G15"/>
  <c r="A16"/>
  <c r="B16"/>
  <c r="C16"/>
  <c r="D16"/>
  <c r="E16"/>
  <c r="F16"/>
  <c r="G16"/>
  <c r="A17"/>
  <c r="B17"/>
  <c r="C17"/>
  <c r="D17"/>
  <c r="E17"/>
  <c r="F17"/>
  <c r="G17"/>
  <c r="A18"/>
  <c r="B18"/>
  <c r="C18"/>
  <c r="D18"/>
  <c r="E18"/>
  <c r="F18"/>
  <c r="G18"/>
  <c r="A19"/>
  <c r="B19"/>
  <c r="C19"/>
  <c r="D19"/>
  <c r="E19"/>
  <c r="F19"/>
  <c r="G19"/>
  <c r="A20"/>
  <c r="B20"/>
  <c r="C20"/>
  <c r="D20"/>
  <c r="E20"/>
  <c r="F20"/>
  <c r="G20"/>
  <c r="A21"/>
  <c r="B21"/>
  <c r="C21"/>
  <c r="D21"/>
  <c r="E21"/>
  <c r="F21"/>
  <c r="G21"/>
  <c r="A22"/>
  <c r="B22"/>
  <c r="C22"/>
  <c r="D22"/>
  <c r="E22"/>
  <c r="F22"/>
  <c r="G22"/>
  <c r="A23"/>
  <c r="B23"/>
  <c r="C23"/>
  <c r="D23"/>
  <c r="E23"/>
  <c r="F23"/>
  <c r="G23"/>
  <c r="A24"/>
  <c r="B24"/>
  <c r="C24"/>
  <c r="D24"/>
  <c r="E24"/>
  <c r="F24"/>
  <c r="G24"/>
  <c r="A25"/>
  <c r="B25"/>
  <c r="C25"/>
  <c r="D25"/>
  <c r="E25"/>
  <c r="F25"/>
  <c r="G25"/>
  <c r="A26"/>
  <c r="B26"/>
  <c r="C26"/>
  <c r="D26"/>
  <c r="E26"/>
  <c r="F26"/>
  <c r="G26"/>
  <c r="A27"/>
  <c r="B27"/>
  <c r="C27"/>
  <c r="D27"/>
  <c r="E27"/>
  <c r="F27"/>
  <c r="G27"/>
  <c r="A28"/>
  <c r="B28"/>
  <c r="C28"/>
  <c r="D28"/>
  <c r="E28"/>
  <c r="F28"/>
  <c r="G28"/>
  <c r="A29"/>
  <c r="B29"/>
  <c r="C29"/>
  <c r="D29"/>
  <c r="E29"/>
  <c r="F29"/>
  <c r="G29"/>
  <c r="A30"/>
  <c r="B30"/>
  <c r="C30"/>
  <c r="D30"/>
  <c r="E30"/>
  <c r="F30"/>
  <c r="G30"/>
  <c r="A31"/>
  <c r="B31"/>
  <c r="C31"/>
  <c r="D31"/>
  <c r="E31"/>
  <c r="F31"/>
  <c r="G31"/>
  <c r="A32"/>
  <c r="B32"/>
  <c r="C32"/>
  <c r="D32"/>
  <c r="E32"/>
  <c r="F32"/>
  <c r="G32"/>
  <c r="A33"/>
  <c r="B33"/>
  <c r="C33"/>
  <c r="D33"/>
  <c r="E33"/>
  <c r="F33"/>
  <c r="G33"/>
  <c r="A34"/>
  <c r="B34"/>
  <c r="C34"/>
  <c r="D34"/>
  <c r="E34"/>
  <c r="F34"/>
  <c r="G34"/>
  <c r="A35"/>
  <c r="B35"/>
  <c r="C35"/>
  <c r="D35"/>
  <c r="E35"/>
  <c r="F35"/>
  <c r="G35"/>
  <c r="A36"/>
  <c r="B36"/>
  <c r="C36"/>
  <c r="D36"/>
  <c r="E36"/>
  <c r="F36"/>
  <c r="G36"/>
  <c r="A37"/>
  <c r="B37"/>
  <c r="C37"/>
  <c r="D37"/>
  <c r="E37"/>
  <c r="F37"/>
  <c r="G37"/>
  <c r="A38"/>
  <c r="B38"/>
  <c r="C38"/>
  <c r="D38"/>
  <c r="E38"/>
  <c r="F38"/>
  <c r="G38"/>
  <c r="A39"/>
  <c r="B39"/>
  <c r="C39"/>
  <c r="D39"/>
  <c r="E39"/>
  <c r="F39"/>
  <c r="G39"/>
  <c r="A40"/>
  <c r="B40"/>
  <c r="C40"/>
  <c r="D40"/>
  <c r="E40"/>
  <c r="F40"/>
  <c r="G40"/>
  <c r="A41"/>
  <c r="B41"/>
  <c r="C41"/>
  <c r="D41"/>
  <c r="E41"/>
  <c r="F41"/>
  <c r="G41"/>
  <c r="A42"/>
  <c r="B42"/>
  <c r="C42"/>
  <c r="D42"/>
  <c r="E42"/>
  <c r="F42"/>
  <c r="G42"/>
  <c r="A43"/>
  <c r="B43"/>
  <c r="C43"/>
  <c r="D43"/>
  <c r="E43"/>
  <c r="F43"/>
  <c r="G43"/>
  <c r="A44"/>
  <c r="B44"/>
  <c r="C44"/>
  <c r="D44"/>
  <c r="E44"/>
  <c r="F44"/>
  <c r="G44"/>
  <c r="A45"/>
  <c r="B45"/>
  <c r="C45"/>
  <c r="D45"/>
  <c r="E45"/>
  <c r="F45"/>
  <c r="G45"/>
  <c r="A46"/>
  <c r="B46"/>
  <c r="C46"/>
  <c r="D46"/>
  <c r="E46"/>
  <c r="F46"/>
  <c r="G46"/>
  <c r="A47"/>
  <c r="B47"/>
  <c r="C47"/>
  <c r="D47"/>
  <c r="E47"/>
  <c r="F47"/>
  <c r="G47"/>
  <c r="A48"/>
  <c r="B48"/>
  <c r="C48"/>
  <c r="D48"/>
  <c r="E48"/>
  <c r="F48"/>
  <c r="G48"/>
  <c r="A49"/>
  <c r="B49"/>
  <c r="C49"/>
  <c r="D49"/>
  <c r="E49"/>
  <c r="F49"/>
  <c r="G49"/>
  <c r="A50"/>
  <c r="B50"/>
  <c r="C50"/>
  <c r="D50"/>
  <c r="E50"/>
  <c r="F50"/>
  <c r="G50"/>
  <c r="A51"/>
  <c r="B51"/>
  <c r="C51"/>
  <c r="D51"/>
  <c r="E51"/>
  <c r="F51"/>
  <c r="G51"/>
  <c r="A52"/>
  <c r="B52"/>
  <c r="C52"/>
  <c r="D52"/>
  <c r="E52"/>
  <c r="F52"/>
  <c r="G52"/>
  <c r="A53"/>
  <c r="B53"/>
  <c r="C53"/>
  <c r="D53"/>
  <c r="E53"/>
  <c r="F53"/>
  <c r="G53"/>
  <c r="A54"/>
  <c r="B54"/>
  <c r="C54"/>
  <c r="D54"/>
  <c r="E54"/>
  <c r="F54"/>
  <c r="G54"/>
  <c r="A55"/>
  <c r="B55"/>
  <c r="C55"/>
  <c r="D55"/>
  <c r="E55"/>
  <c r="F55"/>
  <c r="G55"/>
  <c r="A56"/>
  <c r="B56"/>
  <c r="C56"/>
  <c r="D56"/>
  <c r="E56"/>
  <c r="F56"/>
  <c r="G56"/>
  <c r="A57"/>
  <c r="B57"/>
  <c r="C57"/>
  <c r="D57"/>
  <c r="E57"/>
  <c r="F57"/>
  <c r="G57"/>
  <c r="A58"/>
  <c r="B58"/>
  <c r="C58"/>
  <c r="D58"/>
  <c r="E58"/>
  <c r="F58"/>
  <c r="G58"/>
  <c r="A59"/>
  <c r="B59"/>
  <c r="C59"/>
  <c r="D59"/>
  <c r="E59"/>
  <c r="F59"/>
  <c r="G59"/>
  <c r="A60"/>
  <c r="B60"/>
  <c r="C60"/>
  <c r="D60"/>
  <c r="E60"/>
  <c r="F60"/>
  <c r="G60"/>
  <c r="A61"/>
  <c r="B61"/>
  <c r="C61"/>
  <c r="D61"/>
  <c r="E61"/>
  <c r="F61"/>
  <c r="G61"/>
  <c r="A62"/>
  <c r="B62"/>
  <c r="C62"/>
  <c r="D62"/>
  <c r="E62"/>
  <c r="F62"/>
  <c r="G62"/>
  <c r="A63"/>
  <c r="B63"/>
  <c r="C63"/>
  <c r="D63"/>
  <c r="E63"/>
  <c r="F63"/>
  <c r="G63"/>
  <c r="A64"/>
  <c r="B64"/>
  <c r="C64"/>
  <c r="D64"/>
  <c r="E64"/>
  <c r="F64"/>
  <c r="G64"/>
  <c r="A65"/>
  <c r="B65"/>
  <c r="C65"/>
  <c r="D65"/>
  <c r="E65"/>
  <c r="F65"/>
  <c r="G65"/>
  <c r="A66"/>
  <c r="B66"/>
  <c r="C66"/>
  <c r="D66"/>
  <c r="E66"/>
  <c r="F66"/>
  <c r="G66"/>
  <c r="A67"/>
  <c r="B67"/>
  <c r="C67"/>
  <c r="D67"/>
  <c r="E67"/>
  <c r="F67"/>
  <c r="G67"/>
  <c r="A68"/>
  <c r="B68"/>
  <c r="C68"/>
  <c r="D68"/>
  <c r="E68"/>
  <c r="F68"/>
  <c r="G68"/>
  <c r="A69"/>
  <c r="B69"/>
  <c r="C69"/>
  <c r="D69"/>
  <c r="E69"/>
  <c r="F69"/>
  <c r="G69"/>
  <c r="A70"/>
  <c r="B70"/>
  <c r="C70"/>
  <c r="D70"/>
  <c r="E70"/>
  <c r="F70"/>
  <c r="G70"/>
  <c r="A71"/>
  <c r="B71"/>
  <c r="C71"/>
  <c r="D71"/>
  <c r="E71"/>
  <c r="F71"/>
  <c r="G71"/>
  <c r="A72"/>
  <c r="B72"/>
  <c r="C72"/>
  <c r="D72"/>
  <c r="E72"/>
  <c r="F72"/>
  <c r="G72"/>
  <c r="A73"/>
  <c r="B73"/>
  <c r="C73"/>
  <c r="D73"/>
  <c r="E73"/>
  <c r="F73"/>
  <c r="G73"/>
  <c r="A74"/>
  <c r="B74"/>
  <c r="C74"/>
  <c r="D74"/>
  <c r="E74"/>
  <c r="F74"/>
  <c r="G74"/>
  <c r="A75"/>
  <c r="B75"/>
  <c r="C75"/>
  <c r="D75"/>
  <c r="E75"/>
  <c r="F75"/>
  <c r="G75"/>
  <c r="A76"/>
  <c r="B76"/>
  <c r="C76"/>
  <c r="D76"/>
  <c r="E76"/>
  <c r="F76"/>
  <c r="G76"/>
  <c r="A77"/>
  <c r="B77"/>
  <c r="C77"/>
  <c r="D77"/>
  <c r="E77"/>
  <c r="F77"/>
  <c r="G77"/>
  <c r="A78"/>
  <c r="B78"/>
  <c r="C78"/>
  <c r="D78"/>
  <c r="E78"/>
  <c r="F78"/>
  <c r="G78"/>
  <c r="A79"/>
  <c r="B79"/>
  <c r="C79"/>
  <c r="D79"/>
  <c r="E79"/>
  <c r="F79"/>
  <c r="G79"/>
  <c r="A80"/>
  <c r="B80"/>
  <c r="C80"/>
  <c r="D80"/>
  <c r="E80"/>
  <c r="F80"/>
  <c r="G80"/>
  <c r="A81"/>
  <c r="B81"/>
  <c r="C81"/>
  <c r="D81"/>
  <c r="E81"/>
  <c r="F81"/>
  <c r="G81"/>
  <c r="A82"/>
  <c r="B82"/>
  <c r="C82"/>
  <c r="D82"/>
  <c r="E82"/>
  <c r="F82"/>
  <c r="G82"/>
  <c r="A83"/>
  <c r="B83"/>
  <c r="C83"/>
  <c r="D83"/>
  <c r="E83"/>
  <c r="F83"/>
  <c r="G83"/>
  <c r="A84"/>
  <c r="B84"/>
  <c r="C84"/>
  <c r="D84"/>
  <c r="E84"/>
  <c r="F84"/>
  <c r="G84"/>
  <c r="A85"/>
  <c r="B85"/>
  <c r="C85"/>
  <c r="D85"/>
  <c r="E85"/>
  <c r="F85"/>
  <c r="G85"/>
  <c r="A86"/>
  <c r="B86"/>
  <c r="C86"/>
  <c r="D86"/>
  <c r="E86"/>
  <c r="F86"/>
  <c r="G86"/>
  <c r="A87"/>
  <c r="B87"/>
  <c r="C87"/>
  <c r="D87"/>
  <c r="E87"/>
  <c r="F87"/>
  <c r="G87"/>
  <c r="A88"/>
  <c r="B88"/>
  <c r="C88"/>
  <c r="D88"/>
  <c r="E88"/>
  <c r="F88"/>
  <c r="G88"/>
  <c r="A89"/>
  <c r="B89"/>
  <c r="C89"/>
  <c r="D89"/>
  <c r="E89"/>
  <c r="F89"/>
  <c r="G89"/>
  <c r="A90"/>
  <c r="B90"/>
  <c r="C90"/>
  <c r="D90"/>
  <c r="E90"/>
  <c r="F90"/>
  <c r="G90"/>
  <c r="A91"/>
  <c r="B91"/>
  <c r="C91"/>
  <c r="D91"/>
  <c r="E91"/>
  <c r="F91"/>
  <c r="G91"/>
  <c r="A92"/>
  <c r="B92"/>
  <c r="C92"/>
  <c r="D92"/>
  <c r="E92"/>
  <c r="F92"/>
  <c r="G92"/>
  <c r="A93"/>
  <c r="B93"/>
  <c r="C93"/>
  <c r="D93"/>
  <c r="E93"/>
  <c r="F93"/>
  <c r="G93"/>
  <c r="A94"/>
  <c r="B94"/>
  <c r="C94"/>
  <c r="D94"/>
  <c r="E94"/>
  <c r="F94"/>
  <c r="G94"/>
  <c r="A95"/>
  <c r="B95"/>
  <c r="C95"/>
  <c r="D95"/>
  <c r="E95"/>
  <c r="F95"/>
  <c r="G95"/>
  <c r="A96"/>
  <c r="B96"/>
  <c r="C96"/>
  <c r="D96"/>
  <c r="E96"/>
  <c r="F96"/>
  <c r="G96"/>
  <c r="A97"/>
  <c r="B97"/>
  <c r="C97"/>
  <c r="D97"/>
  <c r="E97"/>
  <c r="F97"/>
  <c r="G97"/>
  <c r="A98"/>
  <c r="B98"/>
  <c r="C98"/>
  <c r="D98"/>
  <c r="E98"/>
  <c r="F98"/>
  <c r="G98"/>
  <c r="A99"/>
  <c r="B99"/>
  <c r="C99"/>
  <c r="D99"/>
  <c r="E99"/>
  <c r="F99"/>
  <c r="G99"/>
  <c r="A100"/>
  <c r="B100"/>
  <c r="C100"/>
  <c r="D100"/>
  <c r="E100"/>
  <c r="F100"/>
  <c r="G100"/>
  <c r="A101"/>
  <c r="B101"/>
  <c r="C101"/>
  <c r="D101"/>
  <c r="E101"/>
  <c r="F101"/>
  <c r="G101"/>
  <c r="A102"/>
  <c r="B102"/>
  <c r="C102"/>
  <c r="D102"/>
  <c r="E102"/>
  <c r="F102"/>
  <c r="G102"/>
  <c r="A103"/>
  <c r="B103"/>
  <c r="C103"/>
  <c r="D103"/>
  <c r="E103"/>
  <c r="F103"/>
  <c r="G103"/>
  <c r="A104"/>
  <c r="B104"/>
  <c r="C104"/>
  <c r="D104"/>
  <c r="E104"/>
  <c r="F104"/>
  <c r="G104"/>
  <c r="A105"/>
  <c r="B105"/>
  <c r="C105"/>
  <c r="D105"/>
  <c r="E105"/>
  <c r="F105"/>
  <c r="G105"/>
  <c r="A106"/>
  <c r="B106"/>
  <c r="C106"/>
  <c r="D106"/>
  <c r="E106"/>
  <c r="F106"/>
  <c r="G106"/>
  <c r="A107"/>
  <c r="B107"/>
  <c r="C107"/>
  <c r="D107"/>
  <c r="E107"/>
  <c r="F107"/>
  <c r="G107"/>
  <c r="A108"/>
  <c r="B108"/>
  <c r="C108"/>
  <c r="D108"/>
  <c r="E108"/>
  <c r="F108"/>
  <c r="G108"/>
  <c r="A109"/>
  <c r="B109"/>
  <c r="C109"/>
  <c r="D109"/>
  <c r="E109"/>
  <c r="F109"/>
  <c r="G109"/>
  <c r="A110"/>
  <c r="B110"/>
  <c r="C110"/>
  <c r="D110"/>
  <c r="E110"/>
  <c r="F110"/>
  <c r="G110"/>
  <c r="A111"/>
  <c r="B111"/>
  <c r="C111"/>
  <c r="D111"/>
  <c r="E111"/>
  <c r="F111"/>
  <c r="G111"/>
  <c r="A112"/>
  <c r="B112"/>
  <c r="C112"/>
  <c r="D112"/>
  <c r="E112"/>
  <c r="F112"/>
  <c r="G112"/>
  <c r="A113"/>
  <c r="B113"/>
  <c r="C113"/>
  <c r="D113"/>
  <c r="E113"/>
  <c r="F113"/>
  <c r="G113"/>
  <c r="A114"/>
  <c r="B114"/>
  <c r="C114"/>
  <c r="D114"/>
  <c r="E114"/>
  <c r="F114"/>
  <c r="G114"/>
  <c r="A115"/>
  <c r="B115"/>
  <c r="C115"/>
  <c r="D115"/>
  <c r="E115"/>
  <c r="F115"/>
  <c r="G115"/>
  <c r="A116"/>
  <c r="B116"/>
  <c r="C116"/>
  <c r="D116"/>
  <c r="E116"/>
  <c r="F116"/>
  <c r="G116"/>
  <c r="A117"/>
  <c r="B117"/>
  <c r="C117"/>
  <c r="D117"/>
  <c r="E117"/>
  <c r="F117"/>
  <c r="G117"/>
  <c r="A118"/>
  <c r="B118"/>
  <c r="C118"/>
  <c r="D118"/>
  <c r="E118"/>
  <c r="F118"/>
  <c r="G118"/>
  <c r="A119"/>
  <c r="B119"/>
  <c r="C119"/>
  <c r="D119"/>
  <c r="E119"/>
  <c r="F119"/>
  <c r="G119"/>
  <c r="A120"/>
  <c r="B120"/>
  <c r="C120"/>
  <c r="D120"/>
  <c r="E120"/>
  <c r="F120"/>
  <c r="G120"/>
  <c r="A121"/>
  <c r="B121"/>
  <c r="C121"/>
  <c r="D121"/>
  <c r="E121"/>
  <c r="F121"/>
  <c r="G121"/>
  <c r="A122"/>
  <c r="B122"/>
  <c r="C122"/>
  <c r="D122"/>
  <c r="E122"/>
  <c r="F122"/>
  <c r="G122"/>
  <c r="A123"/>
  <c r="B123"/>
  <c r="C123"/>
  <c r="D123"/>
  <c r="E123"/>
  <c r="F123"/>
  <c r="G123"/>
  <c r="A124"/>
  <c r="B124"/>
  <c r="C124"/>
  <c r="D124"/>
  <c r="E124"/>
  <c r="F124"/>
  <c r="G124"/>
  <c r="A125"/>
  <c r="B125"/>
  <c r="C125"/>
  <c r="D125"/>
  <c r="E125"/>
  <c r="F125"/>
  <c r="G125"/>
  <c r="A126"/>
  <c r="B126"/>
  <c r="C126"/>
  <c r="D126"/>
  <c r="E126"/>
  <c r="F126"/>
  <c r="G126"/>
  <c r="A127"/>
  <c r="B127"/>
  <c r="C127"/>
  <c r="D127"/>
  <c r="E127"/>
  <c r="F127"/>
  <c r="G127"/>
  <c r="A128"/>
  <c r="B128"/>
  <c r="C128"/>
  <c r="D128"/>
  <c r="E128"/>
  <c r="F128"/>
  <c r="G128"/>
  <c r="A129"/>
  <c r="B129"/>
  <c r="C129"/>
  <c r="D129"/>
  <c r="E129"/>
  <c r="F129"/>
  <c r="G129"/>
  <c r="A130"/>
  <c r="B130"/>
  <c r="C130"/>
  <c r="D130"/>
  <c r="E130"/>
  <c r="F130"/>
  <c r="G130"/>
  <c r="A131"/>
  <c r="B131"/>
  <c r="C131"/>
  <c r="D131"/>
  <c r="E131"/>
  <c r="F131"/>
  <c r="G131"/>
  <c r="A132"/>
  <c r="B132"/>
  <c r="C132"/>
  <c r="D132"/>
  <c r="E132"/>
  <c r="F132"/>
  <c r="G132"/>
  <c r="A133"/>
  <c r="B133"/>
  <c r="C133"/>
  <c r="D133"/>
  <c r="E133"/>
  <c r="F133"/>
  <c r="G133"/>
  <c r="A134"/>
  <c r="B134"/>
  <c r="C134"/>
  <c r="D134"/>
  <c r="E134"/>
  <c r="F134"/>
  <c r="G134"/>
  <c r="A135"/>
  <c r="B135"/>
  <c r="C135"/>
  <c r="D135"/>
  <c r="E135"/>
  <c r="F135"/>
  <c r="G135"/>
  <c r="A136"/>
  <c r="B136"/>
  <c r="C136"/>
  <c r="D136"/>
  <c r="E136"/>
  <c r="F136"/>
  <c r="G136"/>
  <c r="A137"/>
  <c r="B137"/>
  <c r="C137"/>
  <c r="D137"/>
  <c r="E137"/>
  <c r="F137"/>
  <c r="G137"/>
  <c r="A138"/>
  <c r="B138"/>
  <c r="C138"/>
  <c r="D138"/>
  <c r="E138"/>
  <c r="F138"/>
  <c r="G138"/>
  <c r="A139"/>
  <c r="B139"/>
  <c r="C139"/>
  <c r="D139"/>
  <c r="E139"/>
  <c r="F139"/>
  <c r="G139"/>
  <c r="A140"/>
  <c r="B140"/>
  <c r="C140"/>
  <c r="D140"/>
  <c r="E140"/>
  <c r="F140"/>
  <c r="G140"/>
  <c r="A141"/>
  <c r="B141"/>
  <c r="C141"/>
  <c r="D141"/>
  <c r="E141"/>
  <c r="F141"/>
  <c r="G141"/>
  <c r="A142"/>
  <c r="B142"/>
  <c r="C142"/>
  <c r="D142"/>
  <c r="E142"/>
  <c r="F142"/>
  <c r="G142"/>
  <c r="A143"/>
  <c r="B143"/>
  <c r="C143"/>
  <c r="D143"/>
  <c r="E143"/>
  <c r="F143"/>
  <c r="G143"/>
  <c r="A144"/>
  <c r="B144"/>
  <c r="C144"/>
  <c r="D144"/>
  <c r="E144"/>
  <c r="F144"/>
  <c r="G144"/>
  <c r="A145"/>
  <c r="B145"/>
  <c r="C145"/>
  <c r="D145"/>
  <c r="E145"/>
  <c r="F145"/>
  <c r="G145"/>
  <c r="A146"/>
  <c r="B146"/>
  <c r="C146"/>
  <c r="D146"/>
  <c r="E146"/>
  <c r="F146"/>
  <c r="G146"/>
  <c r="A147"/>
  <c r="B147"/>
  <c r="C147"/>
  <c r="D147"/>
  <c r="E147"/>
  <c r="F147"/>
  <c r="G147"/>
  <c r="A148"/>
  <c r="B148"/>
  <c r="C148"/>
  <c r="D148"/>
  <c r="E148"/>
  <c r="F148"/>
  <c r="G148"/>
  <c r="A149"/>
  <c r="B149"/>
  <c r="C149"/>
  <c r="D149"/>
  <c r="E149"/>
  <c r="F149"/>
  <c r="G149"/>
  <c r="A150"/>
  <c r="B150"/>
  <c r="C150"/>
  <c r="D150"/>
  <c r="E150"/>
  <c r="F150"/>
  <c r="G150"/>
  <c r="A151"/>
  <c r="B151"/>
  <c r="C151"/>
  <c r="D151"/>
  <c r="E151"/>
  <c r="F151"/>
  <c r="G151"/>
  <c r="A152"/>
  <c r="B152"/>
  <c r="C152"/>
  <c r="D152"/>
  <c r="E152"/>
  <c r="F152"/>
  <c r="G152"/>
  <c r="A153"/>
  <c r="B153"/>
  <c r="C153"/>
  <c r="D153"/>
  <c r="E153"/>
  <c r="F153"/>
  <c r="G153"/>
  <c r="A154"/>
  <c r="B154"/>
  <c r="C154"/>
  <c r="D154"/>
  <c r="E154"/>
  <c r="F154"/>
  <c r="G154"/>
  <c r="A155"/>
  <c r="B155"/>
  <c r="C155"/>
  <c r="D155"/>
  <c r="E155"/>
  <c r="F155"/>
  <c r="G155"/>
  <c r="A156"/>
  <c r="B156"/>
  <c r="C156"/>
  <c r="D156"/>
  <c r="E156"/>
  <c r="F156"/>
  <c r="G156"/>
  <c r="A157"/>
  <c r="B157"/>
  <c r="C157"/>
  <c r="D157"/>
  <c r="E157"/>
  <c r="F157"/>
  <c r="G157"/>
  <c r="A158"/>
  <c r="B158"/>
  <c r="C158"/>
  <c r="D158"/>
  <c r="E158"/>
  <c r="F158"/>
  <c r="G158"/>
  <c r="A159"/>
  <c r="B159"/>
  <c r="C159"/>
  <c r="D159"/>
  <c r="E159"/>
  <c r="F159"/>
  <c r="G159"/>
  <c r="A160"/>
  <c r="B160"/>
  <c r="C160"/>
  <c r="D160"/>
  <c r="E160"/>
  <c r="F160"/>
  <c r="G160"/>
  <c r="A161"/>
  <c r="B161"/>
  <c r="C161"/>
  <c r="D161"/>
  <c r="E161"/>
  <c r="F161"/>
  <c r="G161"/>
  <c r="A162"/>
  <c r="B162"/>
  <c r="C162"/>
  <c r="D162"/>
  <c r="E162"/>
  <c r="F162"/>
  <c r="G162"/>
  <c r="A163"/>
  <c r="B163"/>
  <c r="C163"/>
  <c r="D163"/>
  <c r="E163"/>
  <c r="F163"/>
  <c r="G163"/>
  <c r="A164"/>
  <c r="B164"/>
  <c r="C164"/>
  <c r="D164"/>
  <c r="E164"/>
  <c r="F164"/>
  <c r="G164"/>
  <c r="A165"/>
  <c r="B165"/>
  <c r="C165"/>
  <c r="D165"/>
  <c r="E165"/>
  <c r="F165"/>
  <c r="G165"/>
  <c r="A166"/>
  <c r="B166"/>
  <c r="C166"/>
  <c r="D166"/>
  <c r="E166"/>
  <c r="F166"/>
  <c r="G166"/>
  <c r="A167"/>
  <c r="B167"/>
  <c r="C167"/>
  <c r="D167"/>
  <c r="E167"/>
  <c r="F167"/>
  <c r="G167"/>
  <c r="A168"/>
  <c r="B168"/>
  <c r="C168"/>
  <c r="D168"/>
  <c r="E168"/>
  <c r="F168"/>
  <c r="G168"/>
  <c r="A169"/>
  <c r="B169"/>
  <c r="C169"/>
  <c r="D169"/>
  <c r="E169"/>
  <c r="F169"/>
  <c r="G169"/>
  <c r="A170"/>
  <c r="B170"/>
  <c r="C170"/>
  <c r="D170"/>
  <c r="E170"/>
  <c r="F170"/>
  <c r="G170"/>
  <c r="A171"/>
  <c r="B171"/>
  <c r="C171"/>
  <c r="D171"/>
  <c r="E171"/>
  <c r="F171"/>
  <c r="G171"/>
  <c r="A172"/>
  <c r="B172"/>
  <c r="C172"/>
  <c r="D172"/>
  <c r="E172"/>
  <c r="F172"/>
  <c r="G172"/>
  <c r="A173"/>
  <c r="B173"/>
  <c r="C173"/>
  <c r="D173"/>
  <c r="E173"/>
  <c r="F173"/>
  <c r="G173"/>
  <c r="A174"/>
  <c r="B174"/>
  <c r="C174"/>
  <c r="D174"/>
  <c r="E174"/>
  <c r="F174"/>
  <c r="G174"/>
  <c r="A175"/>
  <c r="B175"/>
  <c r="C175"/>
  <c r="D175"/>
  <c r="E175"/>
  <c r="F175"/>
  <c r="G175"/>
  <c r="A176"/>
  <c r="B176"/>
  <c r="C176"/>
  <c r="D176"/>
  <c r="E176"/>
  <c r="F176"/>
  <c r="G176"/>
  <c r="A177"/>
  <c r="B177"/>
  <c r="C177"/>
  <c r="D177"/>
  <c r="E177"/>
  <c r="F177"/>
  <c r="G177"/>
  <c r="A178"/>
  <c r="B178"/>
  <c r="C178"/>
  <c r="D178"/>
  <c r="E178"/>
  <c r="F178"/>
  <c r="G178"/>
  <c r="A179"/>
  <c r="B179"/>
  <c r="C179"/>
  <c r="D179"/>
  <c r="E179"/>
  <c r="F179"/>
  <c r="G179"/>
  <c r="A180"/>
  <c r="B180"/>
  <c r="C180"/>
  <c r="D180"/>
  <c r="E180"/>
  <c r="F180"/>
  <c r="G180"/>
  <c r="A181"/>
  <c r="B181"/>
  <c r="C181"/>
  <c r="D181"/>
  <c r="E181"/>
  <c r="F181"/>
  <c r="G181"/>
  <c r="A182"/>
  <c r="B182"/>
  <c r="C182"/>
  <c r="D182"/>
  <c r="E182"/>
  <c r="F182"/>
  <c r="G182"/>
  <c r="A183"/>
  <c r="B183"/>
  <c r="C183"/>
  <c r="D183"/>
  <c r="E183"/>
  <c r="F183"/>
  <c r="G183"/>
  <c r="A184"/>
  <c r="B184"/>
  <c r="C184"/>
  <c r="D184"/>
  <c r="E184"/>
  <c r="F184"/>
  <c r="G184"/>
  <c r="A185"/>
  <c r="B185"/>
  <c r="C185"/>
  <c r="D185"/>
  <c r="E185"/>
  <c r="F185"/>
  <c r="G185"/>
  <c r="A186"/>
  <c r="B186"/>
  <c r="C186"/>
  <c r="D186"/>
  <c r="E186"/>
  <c r="F186"/>
  <c r="G186"/>
  <c r="A187"/>
  <c r="B187"/>
  <c r="C187"/>
  <c r="D187"/>
  <c r="E187"/>
  <c r="F187"/>
  <c r="G187"/>
  <c r="A188"/>
  <c r="B188"/>
  <c r="C188"/>
  <c r="D188"/>
  <c r="E188"/>
  <c r="F188"/>
  <c r="G188"/>
  <c r="A189"/>
  <c r="B189"/>
  <c r="C189"/>
  <c r="D189"/>
  <c r="E189"/>
  <c r="F189"/>
  <c r="G189"/>
  <c r="A190"/>
  <c r="B190"/>
  <c r="C190"/>
  <c r="D190"/>
  <c r="E190"/>
  <c r="F190"/>
  <c r="G190"/>
  <c r="A191"/>
  <c r="B191"/>
  <c r="C191"/>
  <c r="D191"/>
  <c r="E191"/>
  <c r="F191"/>
  <c r="G191"/>
  <c r="A192"/>
  <c r="B192"/>
  <c r="C192"/>
  <c r="D192"/>
  <c r="E192"/>
  <c r="F192"/>
  <c r="G192"/>
  <c r="A193"/>
  <c r="B193"/>
  <c r="C193"/>
  <c r="D193"/>
  <c r="E193"/>
  <c r="F193"/>
  <c r="G193"/>
  <c r="A194"/>
  <c r="B194"/>
  <c r="C194"/>
  <c r="D194"/>
  <c r="E194"/>
  <c r="F194"/>
  <c r="G194"/>
  <c r="A195"/>
  <c r="B195"/>
  <c r="C195"/>
  <c r="D195"/>
  <c r="E195"/>
  <c r="F195"/>
  <c r="G195"/>
  <c r="A196"/>
  <c r="B196"/>
  <c r="C196"/>
  <c r="D196"/>
  <c r="E196"/>
  <c r="F196"/>
  <c r="G196"/>
  <c r="A197"/>
  <c r="B197"/>
  <c r="C197"/>
  <c r="D197"/>
  <c r="E197"/>
  <c r="F197"/>
  <c r="G197"/>
  <c r="A198"/>
  <c r="B198"/>
  <c r="C198"/>
  <c r="D198"/>
  <c r="E198"/>
  <c r="F198"/>
  <c r="G198"/>
  <c r="A199"/>
  <c r="B199"/>
  <c r="C199"/>
  <c r="D199"/>
  <c r="E199"/>
  <c r="F199"/>
  <c r="G199"/>
  <c r="A200"/>
  <c r="B200"/>
  <c r="C200"/>
  <c r="D200"/>
  <c r="E200"/>
  <c r="F200"/>
  <c r="G200"/>
  <c r="A201"/>
  <c r="B201"/>
  <c r="C201"/>
  <c r="D201"/>
  <c r="E201"/>
  <c r="F201"/>
  <c r="G201"/>
  <c r="B1"/>
  <c r="C1"/>
  <c r="D1"/>
  <c r="E1"/>
  <c r="F1"/>
  <c r="G1"/>
  <c r="A1"/>
  <c r="L4" i="6" l="1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3"/>
  <c r="L2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"/>
  <c r="I2" l="1" a="1"/>
  <c r="I2" s="1"/>
  <c r="J2" a="1"/>
  <c r="J2" s="1"/>
  <c r="I198" l="1" a="1"/>
  <c r="I198" s="1"/>
  <c r="J198" a="1"/>
  <c r="J198" s="1"/>
  <c r="I174" a="1"/>
  <c r="I174" s="1"/>
  <c r="J174" a="1"/>
  <c r="J174" s="1"/>
  <c r="J150" a="1"/>
  <c r="J150" s="1"/>
  <c r="I150" a="1"/>
  <c r="I150" s="1"/>
  <c r="I126" a="1"/>
  <c r="I126" s="1"/>
  <c r="J126" a="1"/>
  <c r="J126" s="1"/>
  <c r="I102" a="1"/>
  <c r="I102" s="1"/>
  <c r="J102" a="1"/>
  <c r="J102" s="1"/>
  <c r="I78" a="1"/>
  <c r="I78" s="1"/>
  <c r="J78" a="1"/>
  <c r="J78" s="1"/>
  <c r="I54" a="1"/>
  <c r="I54" s="1"/>
  <c r="J54" a="1"/>
  <c r="J54" s="1"/>
  <c r="J30" a="1"/>
  <c r="J30" s="1"/>
  <c r="I30" a="1"/>
  <c r="I30" s="1"/>
  <c r="J197" a="1"/>
  <c r="J197" s="1"/>
  <c r="I197" a="1"/>
  <c r="I197" s="1"/>
  <c r="I173" a="1"/>
  <c r="I173" s="1"/>
  <c r="J173" a="1"/>
  <c r="J173" s="1"/>
  <c r="J137" a="1"/>
  <c r="J137" s="1"/>
  <c r="I137" a="1"/>
  <c r="I137" s="1"/>
  <c r="J77" a="1"/>
  <c r="J77" s="1"/>
  <c r="I77" a="1"/>
  <c r="I77" s="1"/>
  <c r="I10" a="1"/>
  <c r="I10" s="1"/>
  <c r="J10" a="1"/>
  <c r="J10" s="1"/>
  <c r="I186" a="1"/>
  <c r="I186" s="1"/>
  <c r="J186" a="1"/>
  <c r="J186" s="1"/>
  <c r="I162" a="1"/>
  <c r="I162" s="1"/>
  <c r="J162" a="1"/>
  <c r="J162" s="1"/>
  <c r="I138" a="1"/>
  <c r="I138" s="1"/>
  <c r="J138" a="1"/>
  <c r="J138" s="1"/>
  <c r="I114" a="1"/>
  <c r="I114" s="1"/>
  <c r="J114" a="1"/>
  <c r="J114" s="1"/>
  <c r="J90" a="1"/>
  <c r="J90" s="1"/>
  <c r="I90" a="1"/>
  <c r="I90" s="1"/>
  <c r="I66" a="1"/>
  <c r="I66" s="1"/>
  <c r="J66" a="1"/>
  <c r="J66" s="1"/>
  <c r="I42" a="1"/>
  <c r="I42" s="1"/>
  <c r="J42" a="1"/>
  <c r="J42" s="1"/>
  <c r="I18" a="1"/>
  <c r="I18" s="1"/>
  <c r="J18" a="1"/>
  <c r="J18" s="1"/>
  <c r="J9" a="1"/>
  <c r="J9" s="1"/>
  <c r="I9" a="1"/>
  <c r="I9" s="1"/>
  <c r="J185" a="1"/>
  <c r="J185" s="1"/>
  <c r="I185" a="1"/>
  <c r="I185" s="1"/>
  <c r="J161" a="1"/>
  <c r="J161" s="1"/>
  <c r="I161" a="1"/>
  <c r="I161" s="1"/>
  <c r="I149" a="1"/>
  <c r="I149" s="1"/>
  <c r="J149" a="1"/>
  <c r="J149" s="1"/>
  <c r="I125" a="1"/>
  <c r="I125" s="1"/>
  <c r="J125" a="1"/>
  <c r="J125" s="1"/>
  <c r="J113" a="1"/>
  <c r="J113" s="1"/>
  <c r="I113" a="1"/>
  <c r="I113" s="1"/>
  <c r="I101" a="1"/>
  <c r="I101" s="1"/>
  <c r="J101" a="1"/>
  <c r="J101" s="1"/>
  <c r="I89" a="1"/>
  <c r="I89" s="1"/>
  <c r="J89" a="1"/>
  <c r="J89" s="1"/>
  <c r="I65" a="1"/>
  <c r="I65" s="1"/>
  <c r="J65" a="1"/>
  <c r="J65" s="1"/>
  <c r="I53" a="1"/>
  <c r="I53" s="1"/>
  <c r="J53" a="1"/>
  <c r="J53" s="1"/>
  <c r="I41" a="1"/>
  <c r="I41" s="1"/>
  <c r="J41" a="1"/>
  <c r="J41" s="1"/>
  <c r="I29" a="1"/>
  <c r="I29" s="1"/>
  <c r="J29" a="1"/>
  <c r="J29" s="1"/>
  <c r="J17" a="1"/>
  <c r="J17" s="1"/>
  <c r="I17" a="1"/>
  <c r="I17" s="1"/>
  <c r="J8" a="1"/>
  <c r="J8" s="1"/>
  <c r="I8" a="1"/>
  <c r="I8" s="1"/>
  <c r="J196" a="1"/>
  <c r="J196" s="1"/>
  <c r="I196" a="1"/>
  <c r="I196" s="1"/>
  <c r="J184" a="1"/>
  <c r="J184" s="1"/>
  <c r="I184" a="1"/>
  <c r="I184" s="1"/>
  <c r="J172" a="1"/>
  <c r="J172" s="1"/>
  <c r="I172" a="1"/>
  <c r="I172" s="1"/>
  <c r="J160" a="1"/>
  <c r="J160" s="1"/>
  <c r="I160" a="1"/>
  <c r="I160" s="1"/>
  <c r="I148" a="1"/>
  <c r="I148" s="1"/>
  <c r="J148" a="1"/>
  <c r="J148" s="1"/>
  <c r="I136" a="1"/>
  <c r="I136" s="1"/>
  <c r="J136" a="1"/>
  <c r="J136" s="1"/>
  <c r="J124" a="1"/>
  <c r="J124" s="1"/>
  <c r="I124" a="1"/>
  <c r="I124" s="1"/>
  <c r="J112" a="1"/>
  <c r="J112" s="1"/>
  <c r="I112" a="1"/>
  <c r="I112" s="1"/>
  <c r="J100" a="1"/>
  <c r="J100" s="1"/>
  <c r="I100" a="1"/>
  <c r="I100" s="1"/>
  <c r="I88" a="1"/>
  <c r="I88" s="1"/>
  <c r="J88" a="1"/>
  <c r="J88" s="1"/>
  <c r="I76" a="1"/>
  <c r="I76" s="1"/>
  <c r="J76" a="1"/>
  <c r="J76" s="1"/>
  <c r="I64" a="1"/>
  <c r="I64" s="1"/>
  <c r="J64" a="1"/>
  <c r="J64" s="1"/>
  <c r="J52" a="1"/>
  <c r="J52" s="1"/>
  <c r="I52" a="1"/>
  <c r="I52" s="1"/>
  <c r="J40" a="1"/>
  <c r="J40" s="1"/>
  <c r="I40" a="1"/>
  <c r="I40" s="1"/>
  <c r="J28" a="1"/>
  <c r="J28" s="1"/>
  <c r="I28" a="1"/>
  <c r="I28" s="1"/>
  <c r="J16" a="1"/>
  <c r="J16" s="1"/>
  <c r="I16" a="1"/>
  <c r="I16" s="1"/>
  <c r="J6" a="1"/>
  <c r="J6" s="1"/>
  <c r="I6" a="1"/>
  <c r="I6" s="1"/>
  <c r="J170" a="1"/>
  <c r="J170" s="1"/>
  <c r="I170" a="1"/>
  <c r="I170" s="1"/>
  <c r="I146" a="1"/>
  <c r="I146" s="1"/>
  <c r="J146" a="1"/>
  <c r="J146" s="1"/>
  <c r="I134" a="1"/>
  <c r="I134" s="1"/>
  <c r="J134" a="1"/>
  <c r="J134" s="1"/>
  <c r="I110" a="1"/>
  <c r="I110" s="1"/>
  <c r="J110" a="1"/>
  <c r="J110" s="1"/>
  <c r="I86" a="1"/>
  <c r="I86" s="1"/>
  <c r="J86" a="1"/>
  <c r="J86" s="1"/>
  <c r="I50" a="1"/>
  <c r="I50" s="1"/>
  <c r="J50" a="1"/>
  <c r="J50" s="1"/>
  <c r="J26" a="1"/>
  <c r="J26" s="1"/>
  <c r="I26" a="1"/>
  <c r="I26" s="1"/>
  <c r="I7" a="1"/>
  <c r="I7" s="1"/>
  <c r="J7" a="1"/>
  <c r="J7" s="1"/>
  <c r="J195" a="1"/>
  <c r="J195" s="1"/>
  <c r="I195" a="1"/>
  <c r="I195" s="1"/>
  <c r="I183" a="1"/>
  <c r="I183" s="1"/>
  <c r="J183" a="1"/>
  <c r="J183" s="1"/>
  <c r="I171" a="1"/>
  <c r="I171" s="1"/>
  <c r="J171" a="1"/>
  <c r="J171" s="1"/>
  <c r="I159" a="1"/>
  <c r="I159" s="1"/>
  <c r="J159" a="1"/>
  <c r="J159" s="1"/>
  <c r="J147" a="1"/>
  <c r="J147" s="1"/>
  <c r="I147" a="1"/>
  <c r="I147" s="1"/>
  <c r="I135" a="1"/>
  <c r="I135" s="1"/>
  <c r="J135" a="1"/>
  <c r="J135" s="1"/>
  <c r="I123" a="1"/>
  <c r="I123" s="1"/>
  <c r="J123" a="1"/>
  <c r="J123" s="1"/>
  <c r="J111" a="1"/>
  <c r="J111" s="1"/>
  <c r="I111" a="1"/>
  <c r="I111" s="1"/>
  <c r="I99" a="1"/>
  <c r="I99" s="1"/>
  <c r="J99" a="1"/>
  <c r="J99" s="1"/>
  <c r="I87" a="1"/>
  <c r="I87" s="1"/>
  <c r="J87" a="1"/>
  <c r="J87" s="1"/>
  <c r="I75" a="1"/>
  <c r="I75" s="1"/>
  <c r="J75" a="1"/>
  <c r="J75" s="1"/>
  <c r="J63" a="1"/>
  <c r="J63" s="1"/>
  <c r="I63" a="1"/>
  <c r="I63" s="1"/>
  <c r="I51" a="1"/>
  <c r="I51" s="1"/>
  <c r="J51" a="1"/>
  <c r="J51" s="1"/>
  <c r="I39" a="1"/>
  <c r="I39" s="1"/>
  <c r="J39" a="1"/>
  <c r="J39" s="1"/>
  <c r="I27" a="1"/>
  <c r="I27" s="1"/>
  <c r="J27" a="1"/>
  <c r="J27" s="1"/>
  <c r="J15" a="1"/>
  <c r="J15" s="1"/>
  <c r="I15" a="1"/>
  <c r="I15" s="1"/>
  <c r="J194" a="1"/>
  <c r="J194" s="1"/>
  <c r="I194" a="1"/>
  <c r="I194" s="1"/>
  <c r="I182" a="1"/>
  <c r="I182" s="1"/>
  <c r="J182" a="1"/>
  <c r="J182" s="1"/>
  <c r="J158" a="1"/>
  <c r="J158" s="1"/>
  <c r="I158" a="1"/>
  <c r="I158" s="1"/>
  <c r="J122" a="1"/>
  <c r="J122" s="1"/>
  <c r="I122" a="1"/>
  <c r="I122" s="1"/>
  <c r="J98" a="1"/>
  <c r="J98" s="1"/>
  <c r="I98" a="1"/>
  <c r="I98" s="1"/>
  <c r="I74" a="1"/>
  <c r="I74" s="1"/>
  <c r="J74" a="1"/>
  <c r="J74" s="1"/>
  <c r="I62" a="1"/>
  <c r="I62" s="1"/>
  <c r="J62" a="1"/>
  <c r="J62" s="1"/>
  <c r="I38" a="1"/>
  <c r="I38" s="1"/>
  <c r="J38" a="1"/>
  <c r="J38" s="1"/>
  <c r="I5" a="1"/>
  <c r="I5" s="1"/>
  <c r="J5" a="1"/>
  <c r="J5" s="1"/>
  <c r="J193" a="1"/>
  <c r="J193" s="1"/>
  <c r="I193" a="1"/>
  <c r="I193" s="1"/>
  <c r="I181" a="1"/>
  <c r="I181" s="1"/>
  <c r="J181" a="1"/>
  <c r="J181" s="1"/>
  <c r="I169" a="1"/>
  <c r="I169" s="1"/>
  <c r="J169" a="1"/>
  <c r="J169" s="1"/>
  <c r="J157" a="1"/>
  <c r="J157" s="1"/>
  <c r="I157" a="1"/>
  <c r="I157" s="1"/>
  <c r="I145" a="1"/>
  <c r="I145" s="1"/>
  <c r="J145" a="1"/>
  <c r="J145" s="1"/>
  <c r="J133" a="1"/>
  <c r="J133" s="1"/>
  <c r="I133" a="1"/>
  <c r="I133" s="1"/>
  <c r="J121" a="1"/>
  <c r="J121" s="1"/>
  <c r="I121" a="1"/>
  <c r="I121" s="1"/>
  <c r="I109" a="1"/>
  <c r="I109" s="1"/>
  <c r="J109" a="1"/>
  <c r="J109" s="1"/>
  <c r="I97" a="1"/>
  <c r="I97" s="1"/>
  <c r="J97" a="1"/>
  <c r="J97" s="1"/>
  <c r="I85" a="1"/>
  <c r="I85" s="1"/>
  <c r="J85" a="1"/>
  <c r="J85" s="1"/>
  <c r="J73" a="1"/>
  <c r="J73" s="1"/>
  <c r="I73" a="1"/>
  <c r="I73" s="1"/>
  <c r="I61" a="1"/>
  <c r="I61" s="1"/>
  <c r="J61" a="1"/>
  <c r="J61" s="1"/>
  <c r="I49" a="1"/>
  <c r="I49" s="1"/>
  <c r="J49" a="1"/>
  <c r="J49" s="1"/>
  <c r="J37" a="1"/>
  <c r="J37" s="1"/>
  <c r="I37" a="1"/>
  <c r="I37" s="1"/>
  <c r="I25" a="1"/>
  <c r="I25" s="1"/>
  <c r="J25" a="1"/>
  <c r="J25" s="1"/>
  <c r="I4" a="1"/>
  <c r="I4" s="1"/>
  <c r="J4" a="1"/>
  <c r="J4" s="1"/>
  <c r="I192" a="1"/>
  <c r="I192" s="1"/>
  <c r="J192" a="1"/>
  <c r="J192" s="1"/>
  <c r="I180" a="1"/>
  <c r="I180" s="1"/>
  <c r="J180" a="1"/>
  <c r="J180" s="1"/>
  <c r="I168" a="1"/>
  <c r="I168" s="1"/>
  <c r="J168" a="1"/>
  <c r="J168" s="1"/>
  <c r="J156" a="1"/>
  <c r="J156" s="1"/>
  <c r="I156" a="1"/>
  <c r="I156" s="1"/>
  <c r="J144" a="1"/>
  <c r="J144" s="1"/>
  <c r="I144" a="1"/>
  <c r="I144" s="1"/>
  <c r="I132" a="1"/>
  <c r="I132" s="1"/>
  <c r="J132" a="1"/>
  <c r="J132" s="1"/>
  <c r="I120" a="1"/>
  <c r="I120" s="1"/>
  <c r="J120" a="1"/>
  <c r="J120" s="1"/>
  <c r="I108" a="1"/>
  <c r="I108" s="1"/>
  <c r="J108" a="1"/>
  <c r="J108" s="1"/>
  <c r="I96" a="1"/>
  <c r="I96" s="1"/>
  <c r="J96" a="1"/>
  <c r="J96" s="1"/>
  <c r="J84" a="1"/>
  <c r="J84" s="1"/>
  <c r="I84" a="1"/>
  <c r="I84" s="1"/>
  <c r="J72" a="1"/>
  <c r="J72" s="1"/>
  <c r="I72" a="1"/>
  <c r="I72" s="1"/>
  <c r="I60" a="1"/>
  <c r="I60" s="1"/>
  <c r="J60" a="1"/>
  <c r="J60" s="1"/>
  <c r="I48" a="1"/>
  <c r="I48" s="1"/>
  <c r="J48" a="1"/>
  <c r="J48" s="1"/>
  <c r="I36" a="1"/>
  <c r="I36" s="1"/>
  <c r="J36" a="1"/>
  <c r="J36" s="1"/>
  <c r="I24" a="1"/>
  <c r="I24" s="1"/>
  <c r="J24" a="1"/>
  <c r="J24" s="1"/>
  <c r="I3" a="1"/>
  <c r="I3" s="1"/>
  <c r="J3" a="1"/>
  <c r="J3" s="1"/>
  <c r="J191" a="1"/>
  <c r="J191" s="1"/>
  <c r="I191" a="1"/>
  <c r="I191" s="1"/>
  <c r="J179" a="1"/>
  <c r="J179" s="1"/>
  <c r="I179" a="1"/>
  <c r="I179" s="1"/>
  <c r="J167" a="1"/>
  <c r="J167" s="1"/>
  <c r="I167" a="1"/>
  <c r="I167" s="1"/>
  <c r="I155" a="1"/>
  <c r="I155" s="1"/>
  <c r="J155" a="1"/>
  <c r="J155" s="1"/>
  <c r="J143" a="1"/>
  <c r="J143" s="1"/>
  <c r="I143" a="1"/>
  <c r="I143" s="1"/>
  <c r="I131" a="1"/>
  <c r="I131" s="1"/>
  <c r="J131" a="1"/>
  <c r="J131" s="1"/>
  <c r="J119" a="1"/>
  <c r="J119" s="1"/>
  <c r="I119" a="1"/>
  <c r="I119" s="1"/>
  <c r="J107" a="1"/>
  <c r="J107" s="1"/>
  <c r="I107" a="1"/>
  <c r="I107" s="1"/>
  <c r="I95" a="1"/>
  <c r="I95" s="1"/>
  <c r="J95" a="1"/>
  <c r="J95" s="1"/>
  <c r="J83" a="1"/>
  <c r="J83" s="1"/>
  <c r="I83" a="1"/>
  <c r="I83" s="1"/>
  <c r="J71" a="1"/>
  <c r="J71" s="1"/>
  <c r="I71" a="1"/>
  <c r="I71" s="1"/>
  <c r="J59" a="1"/>
  <c r="J59" s="1"/>
  <c r="I59" a="1"/>
  <c r="I59" s="1"/>
  <c r="I47" a="1"/>
  <c r="I47" s="1"/>
  <c r="J47" a="1"/>
  <c r="J47" s="1"/>
  <c r="J35" a="1"/>
  <c r="J35" s="1"/>
  <c r="I35" a="1"/>
  <c r="I35" s="1"/>
  <c r="I23" a="1"/>
  <c r="I23" s="1"/>
  <c r="J23" a="1"/>
  <c r="J23" s="1"/>
  <c r="I14" a="1"/>
  <c r="I14" s="1"/>
  <c r="J14" a="1"/>
  <c r="J14" s="1"/>
  <c r="I202" a="1"/>
  <c r="I202" s="1"/>
  <c r="J202" a="1"/>
  <c r="J202" s="1"/>
  <c r="I190" a="1"/>
  <c r="I190" s="1"/>
  <c r="J190" a="1"/>
  <c r="J190" s="1"/>
  <c r="I178" a="1"/>
  <c r="I178" s="1"/>
  <c r="J178" a="1"/>
  <c r="J178" s="1"/>
  <c r="J166" a="1"/>
  <c r="J166" s="1"/>
  <c r="I166" a="1"/>
  <c r="I166" s="1"/>
  <c r="I154" a="1"/>
  <c r="I154" s="1"/>
  <c r="J154" a="1"/>
  <c r="J154" s="1"/>
  <c r="I142" a="1"/>
  <c r="I142" s="1"/>
  <c r="J142" a="1"/>
  <c r="J142" s="1"/>
  <c r="J130" a="1"/>
  <c r="J130" s="1"/>
  <c r="I130" a="1"/>
  <c r="I130" s="1"/>
  <c r="I118" a="1"/>
  <c r="I118" s="1"/>
  <c r="J118" a="1"/>
  <c r="J118" s="1"/>
  <c r="J106" a="1"/>
  <c r="J106" s="1"/>
  <c r="I106" a="1"/>
  <c r="I106" s="1"/>
  <c r="J94" a="1"/>
  <c r="J94" s="1"/>
  <c r="I94" a="1"/>
  <c r="I94" s="1"/>
  <c r="J82" a="1"/>
  <c r="J82" s="1"/>
  <c r="I82" a="1"/>
  <c r="I82" s="1"/>
  <c r="I70" a="1"/>
  <c r="I70" s="1"/>
  <c r="J70" a="1"/>
  <c r="J70" s="1"/>
  <c r="J58" a="1"/>
  <c r="J58" s="1"/>
  <c r="I58" a="1"/>
  <c r="I58" s="1"/>
  <c r="J46" a="1"/>
  <c r="J46" s="1"/>
  <c r="I46" a="1"/>
  <c r="I46" s="1"/>
  <c r="J34" a="1"/>
  <c r="J34" s="1"/>
  <c r="I34" a="1"/>
  <c r="I34" s="1"/>
  <c r="I22" a="1"/>
  <c r="I22" s="1"/>
  <c r="J22" a="1"/>
  <c r="J22" s="1"/>
  <c r="J13" a="1"/>
  <c r="J13" s="1"/>
  <c r="I13" a="1"/>
  <c r="I13" s="1"/>
  <c r="I201" a="1"/>
  <c r="I201" s="1"/>
  <c r="J201" a="1"/>
  <c r="J201" s="1"/>
  <c r="J189" a="1"/>
  <c r="J189" s="1"/>
  <c r="I189" a="1"/>
  <c r="I189" s="1"/>
  <c r="I177" a="1"/>
  <c r="I177" s="1"/>
  <c r="J177" a="1"/>
  <c r="J177" s="1"/>
  <c r="J165" a="1"/>
  <c r="J165" s="1"/>
  <c r="I165" a="1"/>
  <c r="I165" s="1"/>
  <c r="I153" a="1"/>
  <c r="I153" s="1"/>
  <c r="J153" a="1"/>
  <c r="J153" s="1"/>
  <c r="I141" a="1"/>
  <c r="I141" s="1"/>
  <c r="J141" a="1"/>
  <c r="J141" s="1"/>
  <c r="J129" a="1"/>
  <c r="J129" s="1"/>
  <c r="I129" a="1"/>
  <c r="I129" s="1"/>
  <c r="J117" a="1"/>
  <c r="J117" s="1"/>
  <c r="I117" a="1"/>
  <c r="I117" s="1"/>
  <c r="I105" a="1"/>
  <c r="I105" s="1"/>
  <c r="J105" a="1"/>
  <c r="J105" s="1"/>
  <c r="I93" a="1"/>
  <c r="I93" s="1"/>
  <c r="J93" a="1"/>
  <c r="J93" s="1"/>
  <c r="I81" a="1"/>
  <c r="I81" s="1"/>
  <c r="J81" a="1"/>
  <c r="J81" s="1"/>
  <c r="I69" a="1"/>
  <c r="I69" s="1"/>
  <c r="J69" a="1"/>
  <c r="J69" s="1"/>
  <c r="J57" a="1"/>
  <c r="J57" s="1"/>
  <c r="I57" a="1"/>
  <c r="I57" s="1"/>
  <c r="I45" a="1"/>
  <c r="I45" s="1"/>
  <c r="J45" a="1"/>
  <c r="J45" s="1"/>
  <c r="J33" a="1"/>
  <c r="J33" s="1"/>
  <c r="I33" a="1"/>
  <c r="I33" s="1"/>
  <c r="J21" a="1"/>
  <c r="J21" s="1"/>
  <c r="I21" a="1"/>
  <c r="I21" s="1"/>
  <c r="I12" a="1"/>
  <c r="I12" s="1"/>
  <c r="J12" a="1"/>
  <c r="J12" s="1"/>
  <c r="J200" a="1"/>
  <c r="J200" s="1"/>
  <c r="I200" a="1"/>
  <c r="I200" s="1"/>
  <c r="I188" a="1"/>
  <c r="I188" s="1"/>
  <c r="J188" a="1"/>
  <c r="J188" s="1"/>
  <c r="I176" a="1"/>
  <c r="I176" s="1"/>
  <c r="J176" a="1"/>
  <c r="J176" s="1"/>
  <c r="I164" a="1"/>
  <c r="I164" s="1"/>
  <c r="J164" a="1"/>
  <c r="J164" s="1"/>
  <c r="J152" a="1"/>
  <c r="J152" s="1"/>
  <c r="I152" a="1"/>
  <c r="I152" s="1"/>
  <c r="I140" a="1"/>
  <c r="I140" s="1"/>
  <c r="J140" a="1"/>
  <c r="J140" s="1"/>
  <c r="J128" a="1"/>
  <c r="J128" s="1"/>
  <c r="I128" a="1"/>
  <c r="I128" s="1"/>
  <c r="J116" a="1"/>
  <c r="J116" s="1"/>
  <c r="I116" a="1"/>
  <c r="I116" s="1"/>
  <c r="I104" a="1"/>
  <c r="I104" s="1"/>
  <c r="J104" a="1"/>
  <c r="J104" s="1"/>
  <c r="I92" a="1"/>
  <c r="I92" s="1"/>
  <c r="J92" a="1"/>
  <c r="J92" s="1"/>
  <c r="J80" a="1"/>
  <c r="J80" s="1"/>
  <c r="I80" a="1"/>
  <c r="I80" s="1"/>
  <c r="J68" a="1"/>
  <c r="J68" s="1"/>
  <c r="I68" a="1"/>
  <c r="I68" s="1"/>
  <c r="J56" a="1"/>
  <c r="J56" s="1"/>
  <c r="I56" a="1"/>
  <c r="I56" s="1"/>
  <c r="J44" a="1"/>
  <c r="J44" s="1"/>
  <c r="I44" a="1"/>
  <c r="I44" s="1"/>
  <c r="J32" a="1"/>
  <c r="J32" s="1"/>
  <c r="I32" a="1"/>
  <c r="I32" s="1"/>
  <c r="J20" a="1"/>
  <c r="J20" s="1"/>
  <c r="I20" a="1"/>
  <c r="I20" s="1"/>
  <c r="J11" a="1"/>
  <c r="J11" s="1"/>
  <c r="I11" a="1"/>
  <c r="I11" s="1"/>
  <c r="J199" a="1"/>
  <c r="J199" s="1"/>
  <c r="I199" a="1"/>
  <c r="I199" s="1"/>
  <c r="J187" a="1"/>
  <c r="J187" s="1"/>
  <c r="I187" a="1"/>
  <c r="I187" s="1"/>
  <c r="I175" a="1"/>
  <c r="I175" s="1"/>
  <c r="J175" a="1"/>
  <c r="J175" s="1"/>
  <c r="I163" a="1"/>
  <c r="I163" s="1"/>
  <c r="J163" a="1"/>
  <c r="J163" s="1"/>
  <c r="I151" a="1"/>
  <c r="I151" s="1"/>
  <c r="J151" a="1"/>
  <c r="J151" s="1"/>
  <c r="J139" a="1"/>
  <c r="J139" s="1"/>
  <c r="I139" a="1"/>
  <c r="I139" s="1"/>
  <c r="J127" a="1"/>
  <c r="J127" s="1"/>
  <c r="I127" a="1"/>
  <c r="I127" s="1"/>
  <c r="J115" a="1"/>
  <c r="J115" s="1"/>
  <c r="I115" a="1"/>
  <c r="I115" s="1"/>
  <c r="I103" a="1"/>
  <c r="I103" s="1"/>
  <c r="J103" a="1"/>
  <c r="J103" s="1"/>
  <c r="I91" a="1"/>
  <c r="I91" s="1"/>
  <c r="J91" a="1"/>
  <c r="J91" s="1"/>
  <c r="J79" a="1"/>
  <c r="J79" s="1"/>
  <c r="I79" a="1"/>
  <c r="I79" s="1"/>
  <c r="I67" a="1"/>
  <c r="I67" s="1"/>
  <c r="J67" a="1"/>
  <c r="J67" s="1"/>
  <c r="I55" a="1"/>
  <c r="I55" s="1"/>
  <c r="J55" a="1"/>
  <c r="J55" s="1"/>
  <c r="J43" a="1"/>
  <c r="J43" s="1"/>
  <c r="I43" a="1"/>
  <c r="I43" s="1"/>
  <c r="J31" a="1"/>
  <c r="J31" s="1"/>
  <c r="I31" a="1"/>
  <c r="I31" s="1"/>
  <c r="I19" a="1"/>
  <c r="I19" s="1"/>
  <c r="J19" a="1"/>
  <c r="J1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<sst xmlns="http://schemas.openxmlformats.org/spreadsheetml/2006/main" count="1797" uniqueCount="223">
  <si>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</si>
  <si>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</si>
  <si>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</si>
  <si>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</si>
  <si>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</si>
  <si>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</si>
  <si>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</si>
  <si>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</si>
  <si>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</si>
  <si>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</si>
  <si>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</si>
  <si>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</si>
  <si>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</si>
  <si>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</si>
  <si>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</si>
  <si>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</si>
  <si>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</si>
  <si>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</si>
  <si>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</si>
  <si>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</si>
  <si>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</si>
  <si>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</si>
  <si>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</si>
  <si>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</si>
  <si>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</si>
  <si>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</si>
  <si>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</si>
  <si>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</si>
  <si>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</si>
  <si>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</si>
  <si>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</si>
  <si>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</si>
  <si>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</si>
  <si>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</si>
  <si>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</si>
  <si>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</si>
  <si>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</si>
  <si>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</si>
  <si>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</si>
  <si>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</si>
  <si>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</si>
  <si>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</si>
  <si>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</si>
  <si>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</si>
  <si>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</si>
  <si>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</si>
  <si>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</si>
  <si>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</si>
  <si>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</si>
  <si>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</si>
  <si>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</si>
  <si>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</si>
  <si>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</si>
  <si>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</si>
  <si>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</si>
  <si>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</si>
  <si>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</si>
  <si>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</si>
  <si>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</si>
  <si>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</si>
  <si>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</si>
  <si>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</si>
  <si>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</si>
  <si>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</si>
  <si>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</si>
  <si>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</si>
  <si>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</si>
  <si>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</si>
  <si>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</si>
  <si>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</si>
  <si>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</si>
  <si>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</si>
  <si>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</si>
  <si>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</si>
  <si>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</si>
  <si>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</si>
  <si>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</si>
  <si>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</si>
  <si>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</si>
  <si>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</si>
  <si>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</si>
  <si>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</si>
  <si>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</si>
  <si>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</si>
  <si>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</si>
  <si>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</si>
  <si>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</si>
  <si>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</si>
  <si>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</si>
  <si>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</si>
  <si>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</si>
  <si>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</si>
  <si>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</si>
  <si>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</si>
  <si>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</si>
  <si>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</si>
  <si>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</si>
  <si>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</si>
  <si>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</si>
  <si>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</si>
  <si>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</si>
  <si>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</si>
  <si>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</si>
  <si>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</si>
  <si>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</si>
  <si>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</si>
  <si>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</si>
  <si>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</si>
  <si>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</si>
  <si>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</si>
  <si>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</si>
  <si>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</si>
  <si>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</si>
  <si>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</si>
  <si>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</si>
  <si>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</si>
  <si>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</si>
  <si>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</si>
  <si>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</si>
  <si>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</si>
  <si>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</si>
  <si>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</si>
  <si>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</si>
  <si>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</si>
  <si>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</si>
  <si>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</si>
  <si>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</si>
  <si>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</si>
  <si>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</si>
  <si>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</si>
  <si>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</si>
  <si>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</si>
  <si>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</si>
  <si>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</si>
  <si>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</si>
  <si>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</si>
  <si>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</si>
  <si>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</si>
  <si>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</si>
  <si>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</si>
  <si>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</si>
  <si>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</si>
  <si>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</si>
  <si>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</si>
  <si>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</si>
  <si>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</si>
  <si>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</si>
  <si>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</si>
  <si>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</si>
  <si>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</si>
  <si>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</si>
  <si>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</si>
  <si>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</si>
  <si>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</si>
  <si>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</si>
  <si>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</si>
  <si>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</si>
  <si>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</si>
  <si>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</si>
  <si>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</si>
  <si>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</si>
  <si>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</si>
  <si>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</si>
  <si>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</si>
  <si>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</si>
  <si>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</si>
  <si>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</si>
  <si>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</si>
  <si>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</si>
  <si>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</si>
  <si>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</si>
  <si>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</si>
  <si>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</si>
  <si>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</si>
  <si>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</si>
  <si>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</si>
  <si>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</si>
  <si>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</si>
  <si>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</si>
  <si>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</si>
  <si>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</si>
  <si>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</si>
  <si>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</si>
  <si>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</si>
  <si>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</si>
  <si>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</si>
  <si>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</si>
  <si>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</si>
  <si>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</si>
  <si>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</si>
  <si>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</si>
  <si>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</si>
  <si>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</si>
  <si>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</si>
  <si>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</si>
  <si>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</si>
  <si>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 xml:space="preserve"> 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</si>
  <si>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</si>
  <si>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</si>
  <si>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</si>
  <si>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</si>
  <si>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</si>
  <si>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</si>
  <si>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</si>
  <si>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</si>
  <si>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</si>
  <si>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</si>
  <si>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</si>
  <si>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</si>
  <si>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</si>
  <si>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</si>
  <si>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</si>
  <si>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</si>
  <si>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</si>
  <si>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EMPTY</t>
  </si>
  <si>
    <t>Mirror X</t>
  </si>
  <si>
    <t>Mirror Y</t>
  </si>
  <si>
    <t>Connection::</t>
  </si>
  <si>
    <t>Usable</t>
  </si>
  <si>
    <t>Rotate 90</t>
  </si>
  <si>
    <t>Rotate 180</t>
  </si>
  <si>
    <t>Mirror Fwd Diag</t>
  </si>
  <si>
    <t>Mirror Bkwd Diag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</si>
</sst>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1" xfId="0" applyNumberFormat="1" applyBorder="1"/>
    <xf numFmtId="0" fontId="2" fillId="0" borderId="1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1" xfId="0" applyFill="1" applyBorder="1"/>
    <xf numFmtId="0" fontId="0" fillId="0" borderId="0" xfId="0" applyFill="1" applyBorder="1"/>
    <xf numFmtId="0" fontId="0" fillId="0" borderId="2" xfId="0" applyFill="1" applyBorder="1"/>
    <xf numFmtId="0" fontId="2" fillId="0" borderId="2" xfId="0" applyFont="1" applyBorder="1" applyAlignment="1">
      <alignment horizontal="center"/>
    </xf>
    <xf numFmtId="0" fontId="2" fillId="0" borderId="2" xfId="0" quotePrefix="1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1" fillId="0" borderId="7" xfId="0" applyNumberFormat="1" applyFont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7" xfId="0" applyBorder="1"/>
    <xf numFmtId="49" fontId="1" fillId="0" borderId="8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49" fontId="0" fillId="0" borderId="2" xfId="0" applyNumberFormat="1" applyBorder="1"/>
    <xf numFmtId="49" fontId="1" fillId="0" borderId="6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49" fontId="1" fillId="0" borderId="8" xfId="0" applyNumberFormat="1" applyFont="1" applyFill="1" applyBorder="1" applyAlignment="1">
      <alignment horizontal="center"/>
    </xf>
    <xf numFmtId="49" fontId="1" fillId="0" borderId="5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49" fontId="0" fillId="0" borderId="9" xfId="0" applyNumberFormat="1" applyBorder="1"/>
    <xf numFmtId="0" fontId="1" fillId="0" borderId="8" xfId="0" applyFont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Z206"/>
  <sheetViews>
    <sheetView workbookViewId="0">
      <pane ySplit="1" topLeftCell="A2" activePane="bottomLeft" state="frozen"/>
      <selection pane="bottomLeft" activeCell="A202" sqref="A202"/>
    </sheetView>
  </sheetViews>
  <sheetFormatPr defaultRowHeight="29.25"/>
  <cols>
    <col min="1" max="1" width="7.5703125" style="1" bestFit="1" customWidth="1"/>
    <col min="2" max="2" width="11.85546875" style="8" customWidth="1"/>
    <col min="3" max="3" width="11.85546875" style="10" customWidth="1"/>
    <col min="4" max="4" width="10" style="35" customWidth="1"/>
    <col min="5" max="5" width="10" style="5" customWidth="1"/>
    <col min="6" max="7" width="10" style="4" customWidth="1"/>
    <col min="8" max="8" width="10" style="29" customWidth="1"/>
    <col min="9" max="9" width="15.28515625" style="5" bestFit="1" customWidth="1"/>
    <col min="10" max="10" width="16.42578125" style="29" bestFit="1" customWidth="1"/>
    <col min="11" max="11" width="10" style="4" customWidth="1"/>
    <col min="12" max="12" width="10" style="35" customWidth="1"/>
    <col min="13" max="13" width="15.85546875" style="7" customWidth="1"/>
    <col min="14" max="14" width="18.5703125" style="10" bestFit="1" customWidth="1"/>
    <col min="15" max="15" width="16.7109375" style="10" bestFit="1" customWidth="1"/>
    <col min="16" max="16" width="18" style="8" bestFit="1" customWidth="1"/>
    <col min="17" max="18" width="9.140625" style="10"/>
    <col min="19" max="19" width="16.140625" style="10" customWidth="1"/>
    <col min="20" max="20" width="30.42578125" style="10" bestFit="1" customWidth="1"/>
    <col min="21" max="26" width="23.140625" style="10" customWidth="1"/>
    <col min="27" max="16384" width="9.140625" style="10"/>
  </cols>
  <sheetData>
    <row r="1" spans="1:26" s="26" customFormat="1" ht="15.75" thickBot="1">
      <c r="A1" s="22" t="s">
        <v>207</v>
      </c>
      <c r="B1" s="32" t="s">
        <v>218</v>
      </c>
      <c r="C1" s="24"/>
      <c r="D1" s="33" t="s">
        <v>160</v>
      </c>
      <c r="E1" s="30" t="s">
        <v>219</v>
      </c>
      <c r="F1" s="23" t="s">
        <v>220</v>
      </c>
      <c r="G1" s="23" t="s">
        <v>215</v>
      </c>
      <c r="H1" s="27" t="s">
        <v>216</v>
      </c>
      <c r="I1" s="30" t="s">
        <v>221</v>
      </c>
      <c r="J1" s="27" t="s">
        <v>222</v>
      </c>
      <c r="K1" s="23"/>
      <c r="L1" s="33" t="s">
        <v>160</v>
      </c>
      <c r="M1" s="22" t="s">
        <v>210</v>
      </c>
      <c r="N1" s="25" t="s">
        <v>211</v>
      </c>
      <c r="O1" s="25" t="s">
        <v>212</v>
      </c>
      <c r="P1" s="36" t="s">
        <v>213</v>
      </c>
      <c r="S1" s="37" t="s">
        <v>217</v>
      </c>
      <c r="T1" s="38"/>
      <c r="U1" s="30" t="s">
        <v>219</v>
      </c>
      <c r="V1" s="23" t="s">
        <v>220</v>
      </c>
      <c r="W1" s="23" t="s">
        <v>215</v>
      </c>
      <c r="X1" s="23" t="s">
        <v>216</v>
      </c>
      <c r="Y1" s="23" t="s">
        <v>221</v>
      </c>
      <c r="Z1" s="27" t="s">
        <v>222</v>
      </c>
    </row>
    <row r="2" spans="1:26" ht="31.5">
      <c r="A2" s="28" t="s">
        <v>196</v>
      </c>
      <c r="B2" s="8" t="b">
        <f>4=COUNTA($E2:$H2)</f>
        <v>1</v>
      </c>
      <c r="D2" s="34" t="str">
        <f>$A2</f>
        <v xml:space="preserve"> </v>
      </c>
      <c r="E2" s="28" t="s">
        <v>196</v>
      </c>
      <c r="F2" s="2" t="s">
        <v>196</v>
      </c>
      <c r="G2" s="2" t="s">
        <v>196</v>
      </c>
      <c r="H2" s="31" t="s">
        <v>196</v>
      </c>
      <c r="I2" s="1" t="str" cm="1">
        <f t="array" ref="I2">IF($B2,INDEX($L:$L,MATCH(TRUE,EXACT(G2,$E:$E),0)),"")</f>
        <v xml:space="preserve"> </v>
      </c>
      <c r="J2" s="16" t="str" cm="1">
        <f t="array" ref="J2">IF($B2,INDEX($L:$L,MATCH(TRUE,EXACT(H2,$E:$E),0)),"")</f>
        <v xml:space="preserve"> </v>
      </c>
      <c r="K2" s="2"/>
      <c r="L2" s="34" t="str">
        <f>$A2</f>
        <v xml:space="preserve"> </v>
      </c>
      <c r="M2" s="7" t="s">
        <v>214</v>
      </c>
      <c r="N2" s="10" t="s">
        <v>214</v>
      </c>
      <c r="O2" s="10" t="s">
        <v>214</v>
      </c>
      <c r="P2" s="8" t="s">
        <v>214</v>
      </c>
      <c r="S2" s="7" t="s">
        <v>214</v>
      </c>
      <c r="T2" s="8" t="s">
        <v>173</v>
      </c>
      <c r="U2" s="39" t="s">
        <v>214</v>
      </c>
      <c r="V2" s="21" t="s">
        <v>214</v>
      </c>
      <c r="W2" s="21" t="s">
        <v>214</v>
      </c>
      <c r="X2" s="21" t="s">
        <v>214</v>
      </c>
      <c r="Y2" s="21" t="s">
        <v>214</v>
      </c>
      <c r="Z2" s="40" t="s">
        <v>214</v>
      </c>
    </row>
    <row r="3" spans="1:26" ht="31.5">
      <c r="A3" s="28" t="s">
        <v>52</v>
      </c>
      <c r="B3" s="8" t="b">
        <f t="shared" ref="B3:B66" si="0">4=COUNTA($E3:$H3)</f>
        <v>1</v>
      </c>
      <c r="D3" s="34" t="str">
        <f t="shared" ref="D3:D66" si="1">$A3</f>
        <v>!</v>
      </c>
      <c r="E3" s="1" t="s">
        <v>62</v>
      </c>
      <c r="F3" s="9" t="s">
        <v>52</v>
      </c>
      <c r="G3" s="9" t="s">
        <v>52</v>
      </c>
      <c r="H3" s="16" t="s">
        <v>52</v>
      </c>
      <c r="I3" s="1" t="str" cm="1">
        <f t="array" ref="I3">IF($B3,INDEX($L:$L,MATCH(TRUE,EXACT(G3,$E:$E),0)),"")</f>
        <v>~</v>
      </c>
      <c r="J3" s="16" t="str" cm="1">
        <f t="array" ref="J3">IF($B3,INDEX($L:$L,MATCH(TRUE,EXACT(H3,$E:$E),0)),"")</f>
        <v>~</v>
      </c>
      <c r="K3" s="9"/>
      <c r="L3" s="34" t="str">
        <f t="shared" ref="L3:L66" si="2">$A3</f>
        <v>!</v>
      </c>
      <c r="M3" s="7" t="s">
        <v>214</v>
      </c>
      <c r="N3" s="10" t="s">
        <v>214</v>
      </c>
      <c r="O3" s="10" t="s">
        <v>202</v>
      </c>
      <c r="P3" s="8" t="s">
        <v>202</v>
      </c>
      <c r="S3" s="7" t="s">
        <v>201</v>
      </c>
      <c r="T3" s="8" t="s">
        <v>174</v>
      </c>
      <c r="U3" s="39" t="s">
        <v>201</v>
      </c>
      <c r="V3" s="21" t="s">
        <v>201</v>
      </c>
      <c r="W3" s="21" t="s">
        <v>201</v>
      </c>
      <c r="X3" s="21" t="s">
        <v>201</v>
      </c>
      <c r="Y3" s="21" t="s">
        <v>201</v>
      </c>
      <c r="Z3" s="40" t="s">
        <v>201</v>
      </c>
    </row>
    <row r="4" spans="1:26" ht="31.5">
      <c r="A4" s="28" t="s">
        <v>63</v>
      </c>
      <c r="B4" s="8" t="b">
        <f t="shared" si="0"/>
        <v>1</v>
      </c>
      <c r="D4" s="34" t="str">
        <f t="shared" si="1"/>
        <v>"</v>
      </c>
      <c r="E4" s="1" t="s">
        <v>63</v>
      </c>
      <c r="F4" s="9" t="s">
        <v>63</v>
      </c>
      <c r="G4" s="9" t="s">
        <v>63</v>
      </c>
      <c r="H4" s="16" t="s">
        <v>63</v>
      </c>
      <c r="I4" s="1" t="str" cm="1">
        <f t="array" ref="I4">IF($B4,INDEX($L:$L,MATCH(TRUE,EXACT(G4,$E:$E),0)),"")</f>
        <v>"</v>
      </c>
      <c r="J4" s="16" t="str" cm="1">
        <f t="array" ref="J4">IF($B4,INDEX($L:$L,MATCH(TRUE,EXACT(H4,$E:$E),0)),"")</f>
        <v>"</v>
      </c>
      <c r="K4" s="9"/>
      <c r="L4" s="34" t="str">
        <f t="shared" si="2"/>
        <v>"</v>
      </c>
      <c r="M4" s="7" t="s">
        <v>202</v>
      </c>
      <c r="N4" s="10" t="s">
        <v>202</v>
      </c>
      <c r="O4" s="10" t="s">
        <v>202</v>
      </c>
      <c r="P4" s="8" t="s">
        <v>202</v>
      </c>
      <c r="S4" s="7" t="s">
        <v>202</v>
      </c>
      <c r="T4" s="8" t="s">
        <v>175</v>
      </c>
      <c r="U4" s="39" t="s">
        <v>202</v>
      </c>
      <c r="V4" s="21" t="s">
        <v>202</v>
      </c>
      <c r="W4" s="21" t="s">
        <v>202</v>
      </c>
      <c r="X4" s="21" t="s">
        <v>202</v>
      </c>
      <c r="Y4" s="21" t="s">
        <v>202</v>
      </c>
      <c r="Z4" s="40" t="s">
        <v>202</v>
      </c>
    </row>
    <row r="5" spans="1:26" ht="33" customHeight="1">
      <c r="A5" s="28" t="s">
        <v>54</v>
      </c>
      <c r="B5" s="8" t="b">
        <f t="shared" si="0"/>
        <v>1</v>
      </c>
      <c r="D5" s="34" t="str">
        <f t="shared" si="1"/>
        <v>#</v>
      </c>
      <c r="E5" s="1" t="s">
        <v>53</v>
      </c>
      <c r="F5" s="9" t="s">
        <v>54</v>
      </c>
      <c r="G5" s="9" t="s">
        <v>54</v>
      </c>
      <c r="H5" s="16" t="s">
        <v>54</v>
      </c>
      <c r="I5" s="1" t="str" cm="1">
        <f t="array" ref="I5">IF($B5,INDEX($L:$L,MATCH(TRUE,EXACT(G5,$E:$E),0)),"")</f>
        <v>@</v>
      </c>
      <c r="J5" s="16" t="str" cm="1">
        <f t="array" ref="J5">IF($B5,INDEX($L:$L,MATCH(TRUE,EXACT(H5,$E:$E),0)),"")</f>
        <v>@</v>
      </c>
      <c r="K5" s="9"/>
      <c r="L5" s="34" t="str">
        <f t="shared" si="2"/>
        <v>#</v>
      </c>
      <c r="M5" s="7" t="s">
        <v>214</v>
      </c>
      <c r="N5" s="10" t="s">
        <v>214</v>
      </c>
      <c r="O5" s="10" t="s">
        <v>202</v>
      </c>
      <c r="P5" s="8" t="s">
        <v>202</v>
      </c>
      <c r="S5" s="7" t="s">
        <v>203</v>
      </c>
      <c r="T5" s="8" t="s">
        <v>176</v>
      </c>
      <c r="U5" s="39" t="s">
        <v>203</v>
      </c>
      <c r="V5" s="21" t="s">
        <v>203</v>
      </c>
      <c r="W5" s="21" t="s">
        <v>204</v>
      </c>
      <c r="X5" s="21" t="s">
        <v>204</v>
      </c>
      <c r="Y5" s="21" t="s">
        <v>204</v>
      </c>
      <c r="Z5" s="40" t="s">
        <v>204</v>
      </c>
    </row>
    <row r="6" spans="1:26" ht="31.5">
      <c r="A6" s="28" t="s">
        <v>55</v>
      </c>
      <c r="B6" s="8" t="b">
        <f t="shared" si="0"/>
        <v>1</v>
      </c>
      <c r="D6" s="34" t="str">
        <f t="shared" si="1"/>
        <v>$</v>
      </c>
      <c r="E6" s="1" t="s">
        <v>48</v>
      </c>
      <c r="F6" s="9" t="s">
        <v>29</v>
      </c>
      <c r="G6" s="9" t="s">
        <v>29</v>
      </c>
      <c r="H6" s="16" t="s">
        <v>55</v>
      </c>
      <c r="I6" s="1" t="str" cm="1">
        <f t="array" ref="I6">IF($B6,INDEX($L:$L,MATCH(TRUE,EXACT(G6,$E:$E),0)),"")</f>
        <v>V</v>
      </c>
      <c r="J6" s="16" t="str" cm="1">
        <f t="array" ref="J6">IF($B6,INDEX($L:$L,MATCH(TRUE,EXACT(H6,$E:$E),0)),"")</f>
        <v>F</v>
      </c>
      <c r="K6" s="9"/>
      <c r="L6" s="34" t="str">
        <f t="shared" si="2"/>
        <v>$</v>
      </c>
      <c r="M6" s="7" t="s">
        <v>214</v>
      </c>
      <c r="N6" s="10" t="s">
        <v>202</v>
      </c>
      <c r="O6" s="10" t="s">
        <v>214</v>
      </c>
      <c r="P6" s="8" t="s">
        <v>214</v>
      </c>
      <c r="S6" s="7" t="s">
        <v>204</v>
      </c>
      <c r="T6" s="8" t="s">
        <v>177</v>
      </c>
      <c r="U6" s="39" t="s">
        <v>204</v>
      </c>
      <c r="V6" s="21" t="s">
        <v>204</v>
      </c>
      <c r="W6" s="21" t="s">
        <v>203</v>
      </c>
      <c r="X6" s="21" t="s">
        <v>203</v>
      </c>
      <c r="Y6" s="21" t="s">
        <v>203</v>
      </c>
      <c r="Z6" s="40" t="s">
        <v>203</v>
      </c>
    </row>
    <row r="7" spans="1:26" ht="31.5">
      <c r="A7" s="28" t="s">
        <v>56</v>
      </c>
      <c r="B7" s="8" t="b">
        <f t="shared" si="0"/>
        <v>1</v>
      </c>
      <c r="D7" s="34" t="str">
        <f t="shared" si="1"/>
        <v>%</v>
      </c>
      <c r="E7" s="1" t="s">
        <v>41</v>
      </c>
      <c r="F7" s="9" t="s">
        <v>30</v>
      </c>
      <c r="G7" s="9" t="s">
        <v>30</v>
      </c>
      <c r="H7" s="16" t="s">
        <v>56</v>
      </c>
      <c r="I7" s="1" t="str" cm="1">
        <f t="array" ref="I7">IF($B7,INDEX($L:$L,MATCH(TRUE,EXACT(G7,$E:$E),0)),"")</f>
        <v>H</v>
      </c>
      <c r="J7" s="16" t="str" cm="1">
        <f t="array" ref="J7">IF($B7,INDEX($L:$L,MATCH(TRUE,EXACT(H7,$E:$E),0)),"")</f>
        <v>G</v>
      </c>
      <c r="K7" s="9"/>
      <c r="L7" s="34" t="str">
        <f t="shared" si="2"/>
        <v>%</v>
      </c>
      <c r="M7" s="7" t="s">
        <v>214</v>
      </c>
      <c r="N7" s="10" t="s">
        <v>201</v>
      </c>
      <c r="O7" s="10" t="s">
        <v>202</v>
      </c>
      <c r="P7" s="8" t="s">
        <v>202</v>
      </c>
      <c r="S7" s="7" t="s">
        <v>208</v>
      </c>
      <c r="T7" s="8" t="s">
        <v>199</v>
      </c>
      <c r="U7" s="39" t="s">
        <v>206</v>
      </c>
      <c r="V7" s="21" t="s">
        <v>209</v>
      </c>
      <c r="W7" s="21" t="s">
        <v>209</v>
      </c>
      <c r="X7" s="21" t="s">
        <v>208</v>
      </c>
      <c r="Y7" s="21" t="s">
        <v>206</v>
      </c>
      <c r="Z7" s="40" t="s">
        <v>205</v>
      </c>
    </row>
    <row r="8" spans="1:26" ht="31.5">
      <c r="A8" s="28" t="s">
        <v>58</v>
      </c>
      <c r="B8" s="8" t="b">
        <f t="shared" si="0"/>
        <v>1</v>
      </c>
      <c r="D8" s="34" t="str">
        <f t="shared" si="1"/>
        <v>&amp;</v>
      </c>
      <c r="E8" s="1" t="s">
        <v>43</v>
      </c>
      <c r="F8" s="9" t="s">
        <v>33</v>
      </c>
      <c r="G8" s="9" t="s">
        <v>32</v>
      </c>
      <c r="H8" s="16" t="s">
        <v>59</v>
      </c>
      <c r="I8" s="1" t="str" cm="1">
        <f t="array" ref="I8">IF($B8,INDEX($L:$L,MATCH(TRUE,EXACT(G8,$E:$E),0)),"")</f>
        <v>&lt;</v>
      </c>
      <c r="J8" s="16" t="str" cm="1">
        <f t="array" ref="J8">IF($B8,INDEX($L:$L,MATCH(TRUE,EXACT(H8,$E:$E),0)),"")</f>
        <v>J</v>
      </c>
      <c r="K8" s="9"/>
      <c r="L8" s="34" t="str">
        <f t="shared" si="2"/>
        <v>&amp;</v>
      </c>
      <c r="M8" s="7" t="s">
        <v>201</v>
      </c>
      <c r="N8" s="10" t="s">
        <v>202</v>
      </c>
      <c r="O8" s="10" t="s">
        <v>214</v>
      </c>
      <c r="P8" s="8" t="s">
        <v>202</v>
      </c>
      <c r="S8" s="7" t="s">
        <v>209</v>
      </c>
      <c r="T8" s="8" t="s">
        <v>200</v>
      </c>
      <c r="U8" s="39" t="s">
        <v>205</v>
      </c>
      <c r="V8" s="21" t="s">
        <v>208</v>
      </c>
      <c r="W8" s="21" t="s">
        <v>208</v>
      </c>
      <c r="X8" s="21" t="s">
        <v>209</v>
      </c>
      <c r="Y8" s="21" t="s">
        <v>205</v>
      </c>
      <c r="Z8" s="40" t="s">
        <v>206</v>
      </c>
    </row>
    <row r="9" spans="1:26" ht="31.5">
      <c r="A9" s="28" t="s">
        <v>78</v>
      </c>
      <c r="B9" s="8" t="b">
        <f t="shared" si="0"/>
        <v>1</v>
      </c>
      <c r="D9" s="34" t="str">
        <f t="shared" si="1"/>
        <v>'</v>
      </c>
      <c r="E9" s="3" t="s">
        <v>78</v>
      </c>
      <c r="F9" s="19" t="s">
        <v>78</v>
      </c>
      <c r="G9" s="19" t="s">
        <v>78</v>
      </c>
      <c r="H9" s="17" t="s">
        <v>78</v>
      </c>
      <c r="I9" s="1" t="str" cm="1">
        <f t="array" ref="I9">IF($B9,INDEX($L:$L,MATCH(TRUE,EXACT(G9,$E:$E),0)),"")</f>
        <v>'</v>
      </c>
      <c r="J9" s="16" t="str" cm="1">
        <f t="array" ref="J9">IF($B9,INDEX($L:$L,MATCH(TRUE,EXACT(H9,$E:$E),0)),"")</f>
        <v>'</v>
      </c>
      <c r="K9" s="9"/>
      <c r="L9" s="34" t="str">
        <f t="shared" si="2"/>
        <v>'</v>
      </c>
      <c r="M9" s="7" t="s">
        <v>201</v>
      </c>
      <c r="N9" s="10" t="s">
        <v>201</v>
      </c>
      <c r="O9" s="10" t="s">
        <v>201</v>
      </c>
      <c r="P9" s="8" t="s">
        <v>201</v>
      </c>
      <c r="S9" s="7" t="s">
        <v>205</v>
      </c>
      <c r="T9" s="8" t="s">
        <v>197</v>
      </c>
      <c r="U9" s="39" t="s">
        <v>208</v>
      </c>
      <c r="V9" s="21" t="s">
        <v>206</v>
      </c>
      <c r="W9" s="21" t="s">
        <v>205</v>
      </c>
      <c r="X9" s="21" t="s">
        <v>206</v>
      </c>
      <c r="Y9" s="21" t="s">
        <v>209</v>
      </c>
      <c r="Z9" s="40" t="s">
        <v>208</v>
      </c>
    </row>
    <row r="10" spans="1:26" ht="32.25" thickBot="1">
      <c r="A10" s="28" t="s">
        <v>60</v>
      </c>
      <c r="B10" s="8" t="b">
        <f t="shared" si="0"/>
        <v>1</v>
      </c>
      <c r="D10" s="34" t="str">
        <f t="shared" si="1"/>
        <v>(</v>
      </c>
      <c r="E10" s="1" t="s">
        <v>61</v>
      </c>
      <c r="F10" s="9" t="s">
        <v>35</v>
      </c>
      <c r="G10" s="9" t="s">
        <v>34</v>
      </c>
      <c r="H10" s="16" t="s">
        <v>61</v>
      </c>
      <c r="I10" s="1" t="str" cm="1">
        <f t="array" ref="I10">IF($B10,INDEX($L:$L,MATCH(TRUE,EXACT(G10,$E:$E),0)),"")</f>
        <v>P</v>
      </c>
      <c r="J10" s="16" t="str" cm="1">
        <f t="array" ref="J10">IF($B10,INDEX($L:$L,MATCH(TRUE,EXACT(H10,$E:$E),0)),"")</f>
        <v>(</v>
      </c>
      <c r="K10" s="9"/>
      <c r="L10" s="34" t="str">
        <f t="shared" si="2"/>
        <v>(</v>
      </c>
      <c r="M10" s="7" t="s">
        <v>214</v>
      </c>
      <c r="N10" s="10" t="s">
        <v>202</v>
      </c>
      <c r="O10" s="10" t="s">
        <v>214</v>
      </c>
      <c r="P10" s="8" t="s">
        <v>202</v>
      </c>
      <c r="S10" s="11" t="s">
        <v>206</v>
      </c>
      <c r="T10" s="12" t="s">
        <v>198</v>
      </c>
      <c r="U10" s="41" t="s">
        <v>209</v>
      </c>
      <c r="V10" s="42" t="s">
        <v>205</v>
      </c>
      <c r="W10" s="42" t="s">
        <v>206</v>
      </c>
      <c r="X10" s="42" t="s">
        <v>205</v>
      </c>
      <c r="Y10" s="42" t="s">
        <v>208</v>
      </c>
      <c r="Z10" s="43" t="s">
        <v>209</v>
      </c>
    </row>
    <row r="11" spans="1:26" ht="31.5">
      <c r="A11" s="28" t="s">
        <v>61</v>
      </c>
      <c r="B11" s="8" t="b">
        <f t="shared" si="0"/>
        <v>1</v>
      </c>
      <c r="D11" s="34" t="str">
        <f t="shared" si="1"/>
        <v>)</v>
      </c>
      <c r="E11" s="1" t="s">
        <v>35</v>
      </c>
      <c r="F11" s="9" t="s">
        <v>34</v>
      </c>
      <c r="G11" s="9" t="s">
        <v>35</v>
      </c>
      <c r="H11" s="16" t="s">
        <v>60</v>
      </c>
      <c r="I11" s="1" t="str" cm="1">
        <f t="array" ref="I11">IF($B11,INDEX($L:$L,MATCH(TRUE,EXACT(G11,$E:$E),0)),"")</f>
        <v>)</v>
      </c>
      <c r="J11" s="16" t="str" cm="1">
        <f t="array" ref="J11">IF($B11,INDEX($L:$L,MATCH(TRUE,EXACT(H11,$E:$E),0)),"")</f>
        <v>O</v>
      </c>
      <c r="K11" s="9"/>
      <c r="L11" s="34" t="str">
        <f t="shared" si="2"/>
        <v>)</v>
      </c>
      <c r="M11" s="7" t="s">
        <v>214</v>
      </c>
      <c r="N11" s="10" t="s">
        <v>202</v>
      </c>
      <c r="O11" s="10" t="s">
        <v>202</v>
      </c>
      <c r="P11" s="8" t="s">
        <v>214</v>
      </c>
    </row>
    <row r="12" spans="1:26" ht="31.5" customHeight="1">
      <c r="A12" s="28" t="s">
        <v>59</v>
      </c>
      <c r="B12" s="8" t="b">
        <f t="shared" si="0"/>
        <v>1</v>
      </c>
      <c r="D12" s="34" t="str">
        <f t="shared" si="1"/>
        <v>*</v>
      </c>
      <c r="E12" s="1" t="s">
        <v>165</v>
      </c>
      <c r="F12" s="9" t="s">
        <v>32</v>
      </c>
      <c r="G12" s="9" t="s">
        <v>33</v>
      </c>
      <c r="H12" s="16" t="s">
        <v>58</v>
      </c>
      <c r="I12" s="1" t="str" cm="1">
        <f t="array" ref="I12">IF($B12,INDEX($L:$L,MATCH(TRUE,EXACT(G12,$E:$E),0)),"")</f>
        <v>K</v>
      </c>
      <c r="J12" s="16" t="str" cm="1">
        <f t="array" ref="J12">IF($B12,INDEX($L:$L,MATCH(TRUE,EXACT(H12,$E:$E),0)),"")</f>
        <v>M</v>
      </c>
      <c r="K12" s="9"/>
      <c r="L12" s="34" t="str">
        <f t="shared" si="2"/>
        <v>*</v>
      </c>
      <c r="M12" s="7" t="s">
        <v>201</v>
      </c>
      <c r="N12" s="10" t="s">
        <v>202</v>
      </c>
      <c r="O12" s="10" t="s">
        <v>202</v>
      </c>
      <c r="P12" s="8" t="s">
        <v>214</v>
      </c>
    </row>
    <row r="13" spans="1:26" ht="31.5">
      <c r="A13" s="28" t="s">
        <v>70</v>
      </c>
      <c r="B13" s="8" t="b">
        <f t="shared" si="0"/>
        <v>1</v>
      </c>
      <c r="D13" s="34" t="str">
        <f t="shared" si="1"/>
        <v>+</v>
      </c>
      <c r="E13" s="1" t="s">
        <v>77</v>
      </c>
      <c r="F13" s="9" t="s">
        <v>76</v>
      </c>
      <c r="G13" s="9" t="s">
        <v>77</v>
      </c>
      <c r="H13" s="16" t="s">
        <v>75</v>
      </c>
      <c r="I13" s="1" t="str" cm="1">
        <f t="array" ref="I13">IF($B13,INDEX($L:$L,MATCH(TRUE,EXACT(G13,$E:$E),0)),"")</f>
        <v>+</v>
      </c>
      <c r="J13" s="16" t="str" cm="1">
        <f t="array" ref="J13">IF($B13,INDEX($L:$L,MATCH(TRUE,EXACT(H13,$E:$E),0)),"")</f>
        <v>{</v>
      </c>
      <c r="K13" s="9"/>
      <c r="L13" s="34" t="str">
        <f t="shared" si="2"/>
        <v>+</v>
      </c>
      <c r="M13" s="7" t="s">
        <v>201</v>
      </c>
      <c r="N13" s="10" t="s">
        <v>202</v>
      </c>
      <c r="O13" s="10" t="s">
        <v>202</v>
      </c>
      <c r="P13" s="8" t="s">
        <v>201</v>
      </c>
    </row>
    <row r="14" spans="1:26" ht="31.5">
      <c r="A14" s="28" t="s">
        <v>64</v>
      </c>
      <c r="B14" s="8" t="b">
        <f t="shared" si="0"/>
        <v>1</v>
      </c>
      <c r="D14" s="34" t="str">
        <f t="shared" si="1"/>
        <v>,</v>
      </c>
      <c r="E14" s="1" t="s">
        <v>6</v>
      </c>
      <c r="F14" s="9" t="s">
        <v>16</v>
      </c>
      <c r="G14" s="9" t="s">
        <v>17</v>
      </c>
      <c r="H14" s="16" t="s">
        <v>25</v>
      </c>
      <c r="I14" s="1" cm="1">
        <f t="array" ref="I14">IF($B14,INDEX($L:$L,MATCH(TRUE,EXACT(G14,$E:$E),0)),"")</f>
        <v>7</v>
      </c>
      <c r="J14" s="16" t="str" cm="1">
        <f t="array" ref="J14">IF($B14,INDEX($L:$L,MATCH(TRUE,EXACT(H14,$E:$E),0)),"")</f>
        <v>i</v>
      </c>
      <c r="K14" s="9"/>
      <c r="L14" s="34" t="str">
        <f t="shared" si="2"/>
        <v>,</v>
      </c>
      <c r="M14" s="7" t="s">
        <v>201</v>
      </c>
      <c r="N14" s="10" t="s">
        <v>214</v>
      </c>
      <c r="O14" s="10" t="s">
        <v>202</v>
      </c>
      <c r="P14" s="8" t="s">
        <v>201</v>
      </c>
    </row>
    <row r="15" spans="1:26" ht="31.5" customHeight="1">
      <c r="A15" s="28" t="s">
        <v>74</v>
      </c>
      <c r="B15" s="8" t="b">
        <f t="shared" si="0"/>
        <v>1</v>
      </c>
      <c r="D15" s="34" t="str">
        <f t="shared" si="1"/>
        <v>-</v>
      </c>
      <c r="E15" s="1" t="s">
        <v>72</v>
      </c>
      <c r="F15" s="9" t="s">
        <v>79</v>
      </c>
      <c r="G15" s="9" t="s">
        <v>79</v>
      </c>
      <c r="H15" s="16" t="s">
        <v>74</v>
      </c>
      <c r="I15" s="1" t="str" cm="1">
        <f t="array" ref="I15">IF($B15,INDEX($L:$L,MATCH(TRUE,EXACT(G15,$E:$E),0)),"")</f>
        <v>]</v>
      </c>
      <c r="J15" s="16" t="str" cm="1">
        <f t="array" ref="J15">IF($B15,INDEX($L:$L,MATCH(TRUE,EXACT(H15,$E:$E),0)),"")</f>
        <v>[</v>
      </c>
      <c r="K15" s="9"/>
      <c r="L15" s="34" t="str">
        <f t="shared" si="2"/>
        <v>-</v>
      </c>
      <c r="M15" s="7" t="s">
        <v>201</v>
      </c>
      <c r="N15" s="10" t="s">
        <v>202</v>
      </c>
      <c r="O15" s="10" t="s">
        <v>214</v>
      </c>
      <c r="P15" s="8" t="s">
        <v>214</v>
      </c>
    </row>
    <row r="16" spans="1:26" ht="31.5">
      <c r="A16" s="28" t="s">
        <v>73</v>
      </c>
      <c r="B16" s="8" t="b">
        <f t="shared" si="0"/>
        <v>1</v>
      </c>
      <c r="D16" s="34" t="str">
        <f t="shared" si="1"/>
        <v>.</v>
      </c>
      <c r="E16" s="1">
        <v>9</v>
      </c>
      <c r="F16" s="9" t="s">
        <v>66</v>
      </c>
      <c r="G16" s="9" t="s">
        <v>18</v>
      </c>
      <c r="H16" s="16" t="s">
        <v>65</v>
      </c>
      <c r="I16" s="1" t="str" cm="1">
        <f t="array" ref="I16">IF($B16,INDEX($L:$L,MATCH(TRUE,EXACT(G16,$E:$E),0)),"")</f>
        <v>o</v>
      </c>
      <c r="J16" s="16" cm="1">
        <f t="array" ref="J16">IF($B16,INDEX($L:$L,MATCH(TRUE,EXACT(H16,$E:$E),0)),"")</f>
        <v>0</v>
      </c>
      <c r="K16" s="9"/>
      <c r="L16" s="34" t="str">
        <f t="shared" si="2"/>
        <v>.</v>
      </c>
      <c r="M16" s="7" t="s">
        <v>201</v>
      </c>
      <c r="N16" s="10" t="s">
        <v>214</v>
      </c>
      <c r="O16" s="10" t="s">
        <v>214</v>
      </c>
      <c r="P16" s="8" t="s">
        <v>202</v>
      </c>
    </row>
    <row r="17" spans="1:16" ht="31.5">
      <c r="A17" s="28" t="s">
        <v>65</v>
      </c>
      <c r="B17" s="8" t="b">
        <f t="shared" si="0"/>
        <v>1</v>
      </c>
      <c r="D17" s="34" t="str">
        <f t="shared" si="1"/>
        <v>/</v>
      </c>
      <c r="E17" s="1" t="s">
        <v>8</v>
      </c>
      <c r="F17" s="9" t="s">
        <v>18</v>
      </c>
      <c r="G17" s="9" t="s">
        <v>66</v>
      </c>
      <c r="H17" s="16" t="s">
        <v>73</v>
      </c>
      <c r="I17" s="1" cm="1">
        <f t="array" ref="I17">IF($B17,INDEX($L:$L,MATCH(TRUE,EXACT(G17,$E:$E),0)),"")</f>
        <v>9</v>
      </c>
      <c r="J17" s="16" t="str" cm="1">
        <f t="array" ref="J17">IF($B17,INDEX($L:$L,MATCH(TRUE,EXACT(H17,$E:$E),0)),"")</f>
        <v>p</v>
      </c>
      <c r="K17" s="9"/>
      <c r="L17" s="34" t="str">
        <f t="shared" si="2"/>
        <v>/</v>
      </c>
      <c r="M17" s="7" t="s">
        <v>201</v>
      </c>
      <c r="N17" s="10" t="s">
        <v>214</v>
      </c>
      <c r="O17" s="10" t="s">
        <v>202</v>
      </c>
      <c r="P17" s="8" t="s">
        <v>214</v>
      </c>
    </row>
    <row r="18" spans="1:16" ht="31.5">
      <c r="A18" s="28">
        <v>0</v>
      </c>
      <c r="B18" s="8" t="b">
        <f t="shared" si="0"/>
        <v>1</v>
      </c>
      <c r="D18" s="34">
        <f t="shared" si="1"/>
        <v>0</v>
      </c>
      <c r="E18" s="1" t="s">
        <v>65</v>
      </c>
      <c r="F18" s="9" t="s">
        <v>8</v>
      </c>
      <c r="G18" s="9" t="s">
        <v>9</v>
      </c>
      <c r="H18" s="16">
        <v>9</v>
      </c>
      <c r="I18" s="1" t="str" cm="1">
        <f t="array" ref="I18">IF($B18,INDEX($L:$L,MATCH(TRUE,EXACT(G18,$E:$E),0)),"")</f>
        <v>;</v>
      </c>
      <c r="J18" s="16" t="str" cm="1">
        <f t="array" ref="J18">IF($B18,INDEX($L:$L,MATCH(TRUE,EXACT(H18,$E:$E),0)),"")</f>
        <v>.</v>
      </c>
      <c r="K18" s="9"/>
      <c r="L18" s="34">
        <f t="shared" si="2"/>
        <v>0</v>
      </c>
      <c r="M18" s="7" t="s">
        <v>214</v>
      </c>
      <c r="N18" s="10" t="s">
        <v>202</v>
      </c>
      <c r="O18" s="10" t="s">
        <v>201</v>
      </c>
      <c r="P18" s="8" t="s">
        <v>214</v>
      </c>
    </row>
    <row r="19" spans="1:16" ht="31.5" customHeight="1">
      <c r="A19" s="28">
        <v>1</v>
      </c>
      <c r="B19" s="8" t="b">
        <f t="shared" si="0"/>
        <v>1</v>
      </c>
      <c r="D19" s="34">
        <f t="shared" si="1"/>
        <v>1</v>
      </c>
      <c r="E19" s="1" t="s">
        <v>168</v>
      </c>
      <c r="F19" s="9">
        <v>1</v>
      </c>
      <c r="G19" s="9">
        <v>1</v>
      </c>
      <c r="H19" s="16">
        <v>1</v>
      </c>
      <c r="I19" s="1" t="str" cm="1">
        <f t="array" ref="I19">IF($B19,INDEX($L:$L,MATCH(TRUE,EXACT(G19,$E:$E),0)),"")</f>
        <v>`</v>
      </c>
      <c r="J19" s="16" t="str" cm="1">
        <f t="array" ref="J19">IF($B19,INDEX($L:$L,MATCH(TRUE,EXACT(H19,$E:$E),0)),"")</f>
        <v>`</v>
      </c>
      <c r="K19" s="9"/>
      <c r="L19" s="34">
        <f t="shared" si="2"/>
        <v>1</v>
      </c>
      <c r="M19" s="7" t="s">
        <v>214</v>
      </c>
      <c r="N19" s="10" t="s">
        <v>214</v>
      </c>
      <c r="O19" s="10" t="s">
        <v>201</v>
      </c>
      <c r="P19" s="8" t="s">
        <v>201</v>
      </c>
    </row>
    <row r="20" spans="1:16" ht="31.5">
      <c r="A20" s="28">
        <v>2</v>
      </c>
      <c r="B20" s="8" t="b">
        <f t="shared" si="0"/>
        <v>1</v>
      </c>
      <c r="D20" s="34">
        <f t="shared" si="1"/>
        <v>2</v>
      </c>
      <c r="E20" s="1">
        <v>3</v>
      </c>
      <c r="F20" s="9">
        <v>2</v>
      </c>
      <c r="G20" s="9">
        <v>2</v>
      </c>
      <c r="H20" s="16">
        <v>2</v>
      </c>
      <c r="I20" s="1" cm="1">
        <f t="array" ref="I20">IF($B20,INDEX($L:$L,MATCH(TRUE,EXACT(G20,$E:$E),0)),"")</f>
        <v>3</v>
      </c>
      <c r="J20" s="16" cm="1">
        <f t="array" ref="J20">IF($B20,INDEX($L:$L,MATCH(TRUE,EXACT(H20,$E:$E),0)),"")</f>
        <v>3</v>
      </c>
      <c r="K20" s="9"/>
      <c r="L20" s="34">
        <f t="shared" si="2"/>
        <v>2</v>
      </c>
      <c r="M20" s="7" t="s">
        <v>202</v>
      </c>
      <c r="N20" s="10" t="s">
        <v>202</v>
      </c>
      <c r="O20" s="10" t="s">
        <v>201</v>
      </c>
      <c r="P20" s="8" t="s">
        <v>201</v>
      </c>
    </row>
    <row r="21" spans="1:16" ht="31.5">
      <c r="A21" s="28">
        <v>3</v>
      </c>
      <c r="B21" s="8" t="b">
        <f t="shared" si="0"/>
        <v>1</v>
      </c>
      <c r="D21" s="34">
        <f t="shared" si="1"/>
        <v>3</v>
      </c>
      <c r="E21" s="1">
        <v>2</v>
      </c>
      <c r="F21" s="9">
        <v>3</v>
      </c>
      <c r="G21" s="9">
        <v>3</v>
      </c>
      <c r="H21" s="16">
        <v>3</v>
      </c>
      <c r="I21" s="1" cm="1">
        <f t="array" ref="I21">IF($B21,INDEX($L:$L,MATCH(TRUE,EXACT(G21,$E:$E),0)),"")</f>
        <v>2</v>
      </c>
      <c r="J21" s="16" cm="1">
        <f t="array" ref="J21">IF($B21,INDEX($L:$L,MATCH(TRUE,EXACT(H21,$E:$E),0)),"")</f>
        <v>2</v>
      </c>
      <c r="K21" s="9"/>
      <c r="L21" s="34">
        <f t="shared" si="2"/>
        <v>3</v>
      </c>
      <c r="M21" s="7" t="s">
        <v>201</v>
      </c>
      <c r="N21" s="10" t="s">
        <v>201</v>
      </c>
      <c r="O21" s="10" t="s">
        <v>202</v>
      </c>
      <c r="P21" s="8" t="s">
        <v>202</v>
      </c>
    </row>
    <row r="22" spans="1:16" ht="31.5" customHeight="1">
      <c r="A22" s="28">
        <v>4</v>
      </c>
      <c r="B22" s="8" t="b">
        <f t="shared" si="0"/>
        <v>1</v>
      </c>
      <c r="D22" s="34">
        <f t="shared" si="1"/>
        <v>4</v>
      </c>
      <c r="E22" s="1" t="s">
        <v>22</v>
      </c>
      <c r="F22" s="9" t="s">
        <v>3</v>
      </c>
      <c r="G22" s="9" t="s">
        <v>3</v>
      </c>
      <c r="H22" s="16">
        <v>4</v>
      </c>
      <c r="I22" s="1" t="str" cm="1">
        <f t="array" ref="I22">IF($B22,INDEX($L:$L,MATCH(TRUE,EXACT(G22,$E:$E),0)),"")</f>
        <v>v</v>
      </c>
      <c r="J22" s="16" t="str" cm="1">
        <f t="array" ref="J22">IF($B22,INDEX($L:$L,MATCH(TRUE,EXACT(H22,$E:$E),0)),"")</f>
        <v>f</v>
      </c>
      <c r="K22" s="9"/>
      <c r="L22" s="34">
        <f t="shared" si="2"/>
        <v>4</v>
      </c>
      <c r="M22" s="7" t="s">
        <v>214</v>
      </c>
      <c r="N22" s="10" t="s">
        <v>201</v>
      </c>
      <c r="O22" s="10" t="s">
        <v>214</v>
      </c>
      <c r="P22" s="8" t="s">
        <v>214</v>
      </c>
    </row>
    <row r="23" spans="1:16" ht="31.5">
      <c r="A23" s="28">
        <v>5</v>
      </c>
      <c r="B23" s="8" t="b">
        <f t="shared" si="0"/>
        <v>1</v>
      </c>
      <c r="D23" s="34">
        <f t="shared" si="1"/>
        <v>5</v>
      </c>
      <c r="E23" s="1" t="s">
        <v>15</v>
      </c>
      <c r="F23" s="9" t="s">
        <v>4</v>
      </c>
      <c r="G23" s="9" t="s">
        <v>4</v>
      </c>
      <c r="H23" s="16">
        <v>5</v>
      </c>
      <c r="I23" s="1" t="str" cm="1">
        <f t="array" ref="I23">IF($B23,INDEX($L:$L,MATCH(TRUE,EXACT(G23,$E:$E),0)),"")</f>
        <v>h</v>
      </c>
      <c r="J23" s="16" t="str" cm="1">
        <f t="array" ref="J23">IF($B23,INDEX($L:$L,MATCH(TRUE,EXACT(H23,$E:$E),0)),"")</f>
        <v>g</v>
      </c>
      <c r="K23" s="9"/>
      <c r="L23" s="34">
        <f t="shared" si="2"/>
        <v>5</v>
      </c>
      <c r="M23" s="7" t="s">
        <v>201</v>
      </c>
      <c r="N23" s="10" t="s">
        <v>202</v>
      </c>
      <c r="O23" s="10" t="s">
        <v>201</v>
      </c>
      <c r="P23" s="8" t="s">
        <v>201</v>
      </c>
    </row>
    <row r="24" spans="1:16" ht="31.5">
      <c r="A24" s="28">
        <v>6</v>
      </c>
      <c r="B24" s="8" t="b">
        <f t="shared" si="0"/>
        <v>1</v>
      </c>
      <c r="D24" s="34">
        <f t="shared" si="1"/>
        <v>6</v>
      </c>
      <c r="E24" s="1" t="s">
        <v>24</v>
      </c>
      <c r="F24" s="9" t="s">
        <v>5</v>
      </c>
      <c r="G24" s="9" t="s">
        <v>5</v>
      </c>
      <c r="H24" s="16">
        <v>6</v>
      </c>
      <c r="I24" s="1" t="str" cm="1">
        <f t="array" ref="I24">IF($B24,INDEX($L:$L,MATCH(TRUE,EXACT(G24,$E:$E),0)),"")</f>
        <v>n</v>
      </c>
      <c r="J24" s="16" t="str" cm="1">
        <f t="array" ref="J24">IF($B24,INDEX($L:$L,MATCH(TRUE,EXACT(H24,$E:$E),0)),"")</f>
        <v>b</v>
      </c>
      <c r="K24" s="9"/>
      <c r="L24" s="34">
        <f t="shared" si="2"/>
        <v>6</v>
      </c>
      <c r="M24" s="7" t="s">
        <v>214</v>
      </c>
      <c r="N24" s="10" t="s">
        <v>202</v>
      </c>
      <c r="O24" s="10" t="s">
        <v>201</v>
      </c>
      <c r="P24" s="8" t="s">
        <v>201</v>
      </c>
    </row>
    <row r="25" spans="1:16" ht="31.5">
      <c r="A25" s="28">
        <v>7</v>
      </c>
      <c r="B25" s="8" t="b">
        <f t="shared" si="0"/>
        <v>1</v>
      </c>
      <c r="D25" s="34">
        <f t="shared" si="1"/>
        <v>7</v>
      </c>
      <c r="E25" s="1" t="s">
        <v>17</v>
      </c>
      <c r="F25" s="9" t="s">
        <v>7</v>
      </c>
      <c r="G25" s="9" t="s">
        <v>6</v>
      </c>
      <c r="H25" s="16">
        <v>8</v>
      </c>
      <c r="I25" s="1" t="str" cm="1">
        <f t="array" ref="I25">IF($B25,INDEX($L:$L,MATCH(TRUE,EXACT(G25,$E:$E),0)),"")</f>
        <v>,</v>
      </c>
      <c r="J25" s="16" t="str" cm="1">
        <f t="array" ref="J25">IF($B25,INDEX($L:$L,MATCH(TRUE,EXACT(H25,$E:$E),0)),"")</f>
        <v>j</v>
      </c>
      <c r="K25" s="9"/>
      <c r="L25" s="34">
        <f t="shared" si="2"/>
        <v>7</v>
      </c>
      <c r="M25" s="7" t="s">
        <v>201</v>
      </c>
      <c r="N25" s="10" t="s">
        <v>202</v>
      </c>
      <c r="O25" s="10" t="s">
        <v>214</v>
      </c>
      <c r="P25" s="8" t="s">
        <v>201</v>
      </c>
    </row>
    <row r="26" spans="1:16" ht="31.5" customHeight="1">
      <c r="A26" s="28">
        <v>8</v>
      </c>
      <c r="B26" s="8" t="b">
        <f t="shared" si="0"/>
        <v>1</v>
      </c>
      <c r="D26" s="34">
        <f t="shared" si="1"/>
        <v>8</v>
      </c>
      <c r="E26" s="1" t="s">
        <v>64</v>
      </c>
      <c r="F26" s="9" t="s">
        <v>6</v>
      </c>
      <c r="G26" s="9" t="s">
        <v>7</v>
      </c>
      <c r="H26" s="16">
        <v>7</v>
      </c>
      <c r="I26" s="1" t="str" cm="1">
        <f t="array" ref="I26">IF($B26,INDEX($L:$L,MATCH(TRUE,EXACT(G26,$E:$E),0)),"")</f>
        <v>k</v>
      </c>
      <c r="J26" s="16" t="str" cm="1">
        <f t="array" ref="J26">IF($B26,INDEX($L:$L,MATCH(TRUE,EXACT(H26,$E:$E),0)),"")</f>
        <v>m</v>
      </c>
      <c r="K26" s="9"/>
      <c r="L26" s="34">
        <f t="shared" si="2"/>
        <v>8</v>
      </c>
      <c r="M26" s="7" t="s">
        <v>201</v>
      </c>
      <c r="N26" s="10" t="s">
        <v>202</v>
      </c>
      <c r="O26" s="10" t="s">
        <v>201</v>
      </c>
      <c r="P26" s="8" t="s">
        <v>214</v>
      </c>
    </row>
    <row r="27" spans="1:16" ht="31.5">
      <c r="A27" s="28">
        <v>9</v>
      </c>
      <c r="B27" s="8" t="b">
        <f t="shared" si="0"/>
        <v>1</v>
      </c>
      <c r="D27" s="34">
        <f t="shared" si="1"/>
        <v>9</v>
      </c>
      <c r="E27" s="1" t="s">
        <v>66</v>
      </c>
      <c r="F27" s="9" t="s">
        <v>9</v>
      </c>
      <c r="G27" s="9" t="s">
        <v>8</v>
      </c>
      <c r="H27" s="16">
        <v>0</v>
      </c>
      <c r="I27" s="1" t="str" cm="1">
        <f t="array" ref="I27">IF($B27,INDEX($L:$L,MATCH(TRUE,EXACT(G27,$E:$E),0)),"")</f>
        <v>/</v>
      </c>
      <c r="J27" s="16" t="str" cm="1">
        <f t="array" ref="J27">IF($B27,INDEX($L:$L,MATCH(TRUE,EXACT(H27,$E:$E),0)),"")</f>
        <v>l</v>
      </c>
      <c r="K27" s="9"/>
      <c r="L27" s="34">
        <f t="shared" si="2"/>
        <v>9</v>
      </c>
      <c r="M27" s="7" t="s">
        <v>214</v>
      </c>
      <c r="N27" s="10" t="s">
        <v>202</v>
      </c>
      <c r="O27" s="10" t="s">
        <v>214</v>
      </c>
      <c r="P27" s="8" t="s">
        <v>201</v>
      </c>
    </row>
    <row r="28" spans="1:16" ht="31.5">
      <c r="A28" s="28" t="s">
        <v>67</v>
      </c>
      <c r="B28" s="8" t="b">
        <f t="shared" si="0"/>
        <v>1</v>
      </c>
      <c r="D28" s="34" t="str">
        <f t="shared" si="1"/>
        <v>:</v>
      </c>
      <c r="E28" s="3" t="s">
        <v>167</v>
      </c>
      <c r="F28" s="19" t="s">
        <v>166</v>
      </c>
      <c r="G28" s="19" t="s">
        <v>167</v>
      </c>
      <c r="H28" s="17" t="s">
        <v>44</v>
      </c>
      <c r="I28" s="1" t="str" cm="1">
        <f t="array" ref="I28">IF($B28,INDEX($L:$L,MATCH(TRUE,EXACT(G28,$E:$E),0)),"")</f>
        <v>:</v>
      </c>
      <c r="J28" s="16" t="str" cm="1">
        <f t="array" ref="J28">IF($B28,INDEX($L:$L,MATCH(TRUE,EXACT(H28,$E:$E),0)),"")</f>
        <v>&gt;</v>
      </c>
      <c r="K28" s="19"/>
      <c r="L28" s="34" t="str">
        <f t="shared" si="2"/>
        <v>:</v>
      </c>
      <c r="M28" s="7" t="s">
        <v>214</v>
      </c>
      <c r="N28" s="10" t="s">
        <v>202</v>
      </c>
      <c r="O28" s="10" t="s">
        <v>202</v>
      </c>
      <c r="P28" s="8" t="s">
        <v>214</v>
      </c>
    </row>
    <row r="29" spans="1:16" ht="31.5">
      <c r="A29" s="28" t="s">
        <v>66</v>
      </c>
      <c r="B29" s="8" t="b">
        <f t="shared" si="0"/>
        <v>1</v>
      </c>
      <c r="D29" s="34" t="str">
        <f t="shared" si="1"/>
        <v>;</v>
      </c>
      <c r="E29" s="1" t="s">
        <v>9</v>
      </c>
      <c r="F29" s="9" t="s">
        <v>73</v>
      </c>
      <c r="G29" s="9" t="s">
        <v>65</v>
      </c>
      <c r="H29" s="16" t="s">
        <v>18</v>
      </c>
      <c r="I29" s="1" cm="1">
        <f t="array" ref="I29">IF($B29,INDEX($L:$L,MATCH(TRUE,EXACT(G29,$E:$E),0)),"")</f>
        <v>0</v>
      </c>
      <c r="J29" s="16" t="str" cm="1">
        <f t="array" ref="J29">IF($B29,INDEX($L:$L,MATCH(TRUE,EXACT(H29,$E:$E),0)),"")</f>
        <v>o</v>
      </c>
      <c r="K29" s="9"/>
      <c r="L29" s="34" t="str">
        <f t="shared" si="2"/>
        <v>;</v>
      </c>
      <c r="M29" s="7" t="s">
        <v>214</v>
      </c>
      <c r="N29" s="10" t="s">
        <v>201</v>
      </c>
      <c r="O29" s="10" t="s">
        <v>202</v>
      </c>
      <c r="P29" s="8" t="s">
        <v>214</v>
      </c>
    </row>
    <row r="30" spans="1:16" ht="31.5">
      <c r="A30" s="28" t="s">
        <v>165</v>
      </c>
      <c r="B30" s="8" t="b">
        <f t="shared" si="0"/>
        <v>1</v>
      </c>
      <c r="D30" s="34" t="str">
        <f t="shared" si="1"/>
        <v>&lt;</v>
      </c>
      <c r="E30" s="1" t="s">
        <v>32</v>
      </c>
      <c r="F30" s="9" t="s">
        <v>42</v>
      </c>
      <c r="G30" s="9" t="s">
        <v>43</v>
      </c>
      <c r="H30" s="16" t="s">
        <v>51</v>
      </c>
      <c r="I30" s="1" t="str" cm="1">
        <f t="array" ref="I30">IF($B30,INDEX($L:$L,MATCH(TRUE,EXACT(G30,$E:$E),0)),"")</f>
        <v>&amp;</v>
      </c>
      <c r="J30" s="16" t="str" cm="1">
        <f t="array" ref="J30">IF($B30,INDEX($L:$L,MATCH(TRUE,EXACT(H30,$E:$E),0)),"")</f>
        <v>I</v>
      </c>
      <c r="K30" s="9"/>
      <c r="L30" s="34" t="str">
        <f t="shared" si="2"/>
        <v>&lt;</v>
      </c>
      <c r="M30" s="7" t="s">
        <v>202</v>
      </c>
      <c r="N30" s="10" t="s">
        <v>214</v>
      </c>
      <c r="O30" s="10" t="s">
        <v>202</v>
      </c>
      <c r="P30" s="8" t="s">
        <v>201</v>
      </c>
    </row>
    <row r="31" spans="1:16" ht="31.5" customHeight="1">
      <c r="A31" s="28" t="s">
        <v>79</v>
      </c>
      <c r="B31" s="8" t="b">
        <f t="shared" si="0"/>
        <v>1</v>
      </c>
      <c r="D31" s="34" t="str">
        <f t="shared" si="1"/>
        <v>=</v>
      </c>
      <c r="E31" s="1" t="s">
        <v>71</v>
      </c>
      <c r="F31" s="9" t="s">
        <v>74</v>
      </c>
      <c r="G31" s="9" t="s">
        <v>74</v>
      </c>
      <c r="H31" s="16" t="s">
        <v>79</v>
      </c>
      <c r="I31" s="1" t="str" cm="1">
        <f t="array" ref="I31">IF($B31,INDEX($L:$L,MATCH(TRUE,EXACT(G31,$E:$E),0)),"")</f>
        <v>[</v>
      </c>
      <c r="J31" s="16" t="str" cm="1">
        <f t="array" ref="J31">IF($B31,INDEX($L:$L,MATCH(TRUE,EXACT(H31,$E:$E),0)),"")</f>
        <v>]</v>
      </c>
      <c r="K31" s="9"/>
      <c r="L31" s="34" t="str">
        <f t="shared" si="2"/>
        <v>=</v>
      </c>
      <c r="M31" s="7" t="s">
        <v>202</v>
      </c>
      <c r="N31" s="10" t="s">
        <v>201</v>
      </c>
      <c r="O31" s="10" t="s">
        <v>214</v>
      </c>
      <c r="P31" s="8" t="s">
        <v>214</v>
      </c>
    </row>
    <row r="32" spans="1:16" ht="31.5">
      <c r="A32" s="28" t="s">
        <v>166</v>
      </c>
      <c r="B32" s="8" t="b">
        <f t="shared" si="0"/>
        <v>1</v>
      </c>
      <c r="D32" s="34" t="str">
        <f t="shared" si="1"/>
        <v>&gt;</v>
      </c>
      <c r="E32" s="1" t="s">
        <v>44</v>
      </c>
      <c r="F32" s="19" t="s">
        <v>67</v>
      </c>
      <c r="G32" s="9" t="s">
        <v>44</v>
      </c>
      <c r="H32" s="16" t="s">
        <v>167</v>
      </c>
      <c r="I32" s="1" t="str" cm="1">
        <f t="array" ref="I32">IF($B32,INDEX($L:$L,MATCH(TRUE,EXACT(G32,$E:$E),0)),"")</f>
        <v>&gt;</v>
      </c>
      <c r="J32" s="16" t="str" cm="1">
        <f t="array" ref="J32">IF($B32,INDEX($L:$L,MATCH(TRUE,EXACT(H32,$E:$E),0)),"")</f>
        <v>:</v>
      </c>
      <c r="K32" s="9"/>
      <c r="L32" s="34" t="str">
        <f t="shared" si="2"/>
        <v>&gt;</v>
      </c>
      <c r="M32" s="7" t="s">
        <v>202</v>
      </c>
      <c r="N32" s="10" t="s">
        <v>214</v>
      </c>
      <c r="O32" s="10" t="s">
        <v>214</v>
      </c>
      <c r="P32" s="8" t="s">
        <v>202</v>
      </c>
    </row>
    <row r="33" spans="1:16" ht="31.5">
      <c r="A33" s="28" t="s">
        <v>167</v>
      </c>
      <c r="B33" s="8" t="b">
        <f t="shared" si="0"/>
        <v>1</v>
      </c>
      <c r="D33" s="34" t="str">
        <f t="shared" si="1"/>
        <v>?</v>
      </c>
      <c r="E33" s="3" t="s">
        <v>166</v>
      </c>
      <c r="F33" s="9" t="s">
        <v>44</v>
      </c>
      <c r="G33" s="19" t="s">
        <v>67</v>
      </c>
      <c r="H33" s="17" t="s">
        <v>166</v>
      </c>
      <c r="I33" s="1" t="str" cm="1">
        <f t="array" ref="I33">IF($B33,INDEX($L:$L,MATCH(TRUE,EXACT(G33,$E:$E),0)),"")</f>
        <v>L</v>
      </c>
      <c r="J33" s="16" t="str" cm="1">
        <f t="array" ref="J33">IF($B33,INDEX($L:$L,MATCH(TRUE,EXACT(H33,$E:$E),0)),"")</f>
        <v>?</v>
      </c>
      <c r="K33" s="19"/>
      <c r="L33" s="34" t="str">
        <f t="shared" si="2"/>
        <v>?</v>
      </c>
      <c r="M33" s="7" t="s">
        <v>202</v>
      </c>
      <c r="N33" s="10" t="s">
        <v>214</v>
      </c>
      <c r="O33" s="10" t="s">
        <v>202</v>
      </c>
      <c r="P33" s="8" t="s">
        <v>214</v>
      </c>
    </row>
    <row r="34" spans="1:16" ht="31.5">
      <c r="A34" s="28" t="s">
        <v>53</v>
      </c>
      <c r="B34" s="8" t="b">
        <f t="shared" si="0"/>
        <v>1</v>
      </c>
      <c r="D34" s="34" t="str">
        <f t="shared" si="1"/>
        <v>@</v>
      </c>
      <c r="E34" s="1" t="s">
        <v>54</v>
      </c>
      <c r="F34" s="9" t="s">
        <v>53</v>
      </c>
      <c r="G34" s="9" t="s">
        <v>53</v>
      </c>
      <c r="H34" s="16" t="s">
        <v>53</v>
      </c>
      <c r="I34" s="1" t="str" cm="1">
        <f t="array" ref="I34">IF($B34,INDEX($L:$L,MATCH(TRUE,EXACT(G34,$E:$E),0)),"")</f>
        <v>#</v>
      </c>
      <c r="J34" s="16" t="str" cm="1">
        <f t="array" ref="J34">IF($B34,INDEX($L:$L,MATCH(TRUE,EXACT(H34,$E:$E),0)),"")</f>
        <v>#</v>
      </c>
      <c r="K34" s="9"/>
      <c r="L34" s="34" t="str">
        <f t="shared" si="2"/>
        <v>@</v>
      </c>
      <c r="M34" s="7" t="s">
        <v>202</v>
      </c>
      <c r="N34" s="10" t="s">
        <v>202</v>
      </c>
      <c r="O34" s="10" t="s">
        <v>214</v>
      </c>
      <c r="P34" s="8" t="s">
        <v>214</v>
      </c>
    </row>
    <row r="35" spans="1:16" ht="31.5">
      <c r="A35" s="28" t="s">
        <v>36</v>
      </c>
      <c r="B35" s="8" t="b">
        <f t="shared" si="0"/>
        <v>1</v>
      </c>
      <c r="D35" s="34" t="str">
        <f t="shared" si="1"/>
        <v>A</v>
      </c>
      <c r="E35" s="1" t="s">
        <v>27</v>
      </c>
      <c r="F35" s="9" t="s">
        <v>38</v>
      </c>
      <c r="G35" s="9" t="s">
        <v>36</v>
      </c>
      <c r="H35" s="16" t="s">
        <v>38</v>
      </c>
      <c r="I35" s="1" t="str" cm="1">
        <f t="array" ref="I35">IF($B35,INDEX($L:$L,MATCH(TRUE,EXACT(G35,$E:$E),0)),"")</f>
        <v>X</v>
      </c>
      <c r="J35" s="16" t="str" cm="1">
        <f t="array" ref="J35">IF($B35,INDEX($L:$L,MATCH(TRUE,EXACT(H35,$E:$E),0)),"")</f>
        <v>W</v>
      </c>
      <c r="K35" s="9"/>
      <c r="L35" s="34" t="str">
        <f t="shared" si="2"/>
        <v>A</v>
      </c>
      <c r="M35" s="7" t="s">
        <v>202</v>
      </c>
      <c r="N35" s="10" t="s">
        <v>202</v>
      </c>
      <c r="O35" s="10" t="s">
        <v>214</v>
      </c>
      <c r="P35" s="8" t="s">
        <v>202</v>
      </c>
    </row>
    <row r="36" spans="1:16" ht="31.5">
      <c r="A36" s="28" t="s">
        <v>49</v>
      </c>
      <c r="B36" s="8" t="b">
        <f t="shared" si="0"/>
        <v>1</v>
      </c>
      <c r="D36" s="34" t="str">
        <f t="shared" si="1"/>
        <v>B</v>
      </c>
      <c r="E36" s="1" t="s">
        <v>57</v>
      </c>
      <c r="F36" s="9" t="s">
        <v>50</v>
      </c>
      <c r="G36" s="9" t="s">
        <v>49</v>
      </c>
      <c r="H36" s="16" t="s">
        <v>50</v>
      </c>
      <c r="I36" s="1" t="str" cm="1">
        <f t="array" ref="I36">IF($B36,INDEX($L:$L,MATCH(TRUE,EXACT(G36,$E:$E),0)),"")</f>
        <v>Y</v>
      </c>
      <c r="J36" s="16" t="str" cm="1">
        <f t="array" ref="J36">IF($B36,INDEX($L:$L,MATCH(TRUE,EXACT(H36,$E:$E),0)),"")</f>
        <v>^</v>
      </c>
      <c r="K36" s="9"/>
      <c r="L36" s="34" t="str">
        <f t="shared" si="2"/>
        <v>B</v>
      </c>
      <c r="M36" s="7" t="s">
        <v>202</v>
      </c>
      <c r="N36" s="10" t="s">
        <v>202</v>
      </c>
      <c r="O36" s="10" t="s">
        <v>202</v>
      </c>
      <c r="P36" s="8" t="s">
        <v>201</v>
      </c>
    </row>
    <row r="37" spans="1:16" ht="31.5">
      <c r="A37" s="28" t="s">
        <v>47</v>
      </c>
      <c r="B37" s="8" t="b">
        <f t="shared" si="0"/>
        <v>1</v>
      </c>
      <c r="D37" s="34" t="str">
        <f t="shared" si="1"/>
        <v>C</v>
      </c>
      <c r="E37" s="1" t="s">
        <v>45</v>
      </c>
      <c r="F37" s="9" t="s">
        <v>26</v>
      </c>
      <c r="G37" s="9" t="s">
        <v>28</v>
      </c>
      <c r="H37" s="16" t="s">
        <v>45</v>
      </c>
      <c r="I37" s="1" t="str" cm="1">
        <f t="array" ref="I37">IF($B37,INDEX($L:$L,MATCH(TRUE,EXACT(G37,$E:$E),0)),"")</f>
        <v>Q</v>
      </c>
      <c r="J37" s="16" t="str" cm="1">
        <f t="array" ref="J37">IF($B37,INDEX($L:$L,MATCH(TRUE,EXACT(H37,$E:$E),0)),"")</f>
        <v>C</v>
      </c>
      <c r="K37" s="9"/>
      <c r="L37" s="34" t="str">
        <f t="shared" si="2"/>
        <v>C</v>
      </c>
      <c r="M37" s="7" t="s">
        <v>202</v>
      </c>
      <c r="N37" s="10" t="s">
        <v>214</v>
      </c>
      <c r="O37" s="10" t="s">
        <v>202</v>
      </c>
      <c r="P37" s="8" t="s">
        <v>214</v>
      </c>
    </row>
    <row r="38" spans="1:16" ht="31.5">
      <c r="A38" s="28" t="s">
        <v>38</v>
      </c>
      <c r="B38" s="8" t="b">
        <f t="shared" si="0"/>
        <v>1</v>
      </c>
      <c r="D38" s="34" t="str">
        <f t="shared" si="1"/>
        <v>D</v>
      </c>
      <c r="E38" s="1" t="s">
        <v>46</v>
      </c>
      <c r="F38" s="9" t="s">
        <v>36</v>
      </c>
      <c r="G38" s="9" t="s">
        <v>38</v>
      </c>
      <c r="H38" s="16" t="s">
        <v>36</v>
      </c>
      <c r="I38" s="1" t="str" cm="1">
        <f t="array" ref="I38">IF($B38,INDEX($L:$L,MATCH(TRUE,EXACT(G38,$E:$E),0)),"")</f>
        <v>W</v>
      </c>
      <c r="J38" s="16" t="str" cm="1">
        <f t="array" ref="J38">IF($B38,INDEX($L:$L,MATCH(TRUE,EXACT(H38,$E:$E),0)),"")</f>
        <v>X</v>
      </c>
      <c r="K38" s="9"/>
      <c r="L38" s="34" t="str">
        <f t="shared" si="2"/>
        <v>D</v>
      </c>
      <c r="M38" s="7" t="s">
        <v>202</v>
      </c>
      <c r="N38" s="10" t="s">
        <v>202</v>
      </c>
      <c r="O38" s="10" t="s">
        <v>202</v>
      </c>
      <c r="P38" s="8" t="s">
        <v>214</v>
      </c>
    </row>
    <row r="39" spans="1:16" ht="31.5">
      <c r="A39" s="28" t="s">
        <v>28</v>
      </c>
      <c r="B39" s="8" t="b">
        <f t="shared" si="0"/>
        <v>1</v>
      </c>
      <c r="D39" s="34" t="str">
        <f t="shared" si="1"/>
        <v>E</v>
      </c>
      <c r="E39" s="1" t="s">
        <v>47</v>
      </c>
      <c r="F39" s="9" t="s">
        <v>45</v>
      </c>
      <c r="G39" s="9" t="s">
        <v>47</v>
      </c>
      <c r="H39" s="16" t="s">
        <v>26</v>
      </c>
      <c r="I39" s="1" t="str" cm="1">
        <f t="array" ref="I39">IF($B39,INDEX($L:$L,MATCH(TRUE,EXACT(G39,$E:$E),0)),"")</f>
        <v>E</v>
      </c>
      <c r="J39" s="16" t="str" cm="1">
        <f t="array" ref="J39">IF($B39,INDEX($L:$L,MATCH(TRUE,EXACT(H39,$E:$E),0)),"")</f>
        <v>Z</v>
      </c>
      <c r="K39" s="9"/>
      <c r="L39" s="34" t="str">
        <f t="shared" si="2"/>
        <v>E</v>
      </c>
      <c r="M39" s="7" t="s">
        <v>214</v>
      </c>
      <c r="N39" s="10" t="s">
        <v>202</v>
      </c>
      <c r="O39" s="10" t="s">
        <v>202</v>
      </c>
      <c r="P39" s="8" t="s">
        <v>214</v>
      </c>
    </row>
    <row r="40" spans="1:16" ht="31.5">
      <c r="A40" s="28" t="s">
        <v>39</v>
      </c>
      <c r="B40" s="8" t="b">
        <f t="shared" si="0"/>
        <v>1</v>
      </c>
      <c r="D40" s="34" t="str">
        <f t="shared" si="1"/>
        <v>F</v>
      </c>
      <c r="E40" s="1" t="s">
        <v>55</v>
      </c>
      <c r="F40" s="9" t="s">
        <v>48</v>
      </c>
      <c r="G40" s="9" t="s">
        <v>39</v>
      </c>
      <c r="H40" s="16" t="s">
        <v>48</v>
      </c>
      <c r="I40" s="1" t="str" cm="1">
        <f t="array" ref="I40">IF($B40,INDEX($L:$L,MATCH(TRUE,EXACT(G40,$E:$E),0)),"")</f>
        <v>R</v>
      </c>
      <c r="J40" s="16" t="str" cm="1">
        <f t="array" ref="J40">IF($B40,INDEX($L:$L,MATCH(TRUE,EXACT(H40,$E:$E),0)),"")</f>
        <v>$</v>
      </c>
      <c r="K40" s="9"/>
      <c r="L40" s="34" t="str">
        <f t="shared" si="2"/>
        <v>F</v>
      </c>
      <c r="M40" s="7" t="s">
        <v>214</v>
      </c>
      <c r="N40" s="10" t="s">
        <v>214</v>
      </c>
      <c r="O40" s="10" t="s">
        <v>214</v>
      </c>
      <c r="P40" s="8" t="s">
        <v>202</v>
      </c>
    </row>
    <row r="41" spans="1:16" ht="31.5">
      <c r="A41" s="28" t="s">
        <v>40</v>
      </c>
      <c r="B41" s="8" t="b">
        <f t="shared" si="0"/>
        <v>1</v>
      </c>
      <c r="D41" s="34" t="str">
        <f t="shared" si="1"/>
        <v>G</v>
      </c>
      <c r="E41" s="1" t="s">
        <v>56</v>
      </c>
      <c r="F41" s="9" t="s">
        <v>41</v>
      </c>
      <c r="G41" s="9" t="s">
        <v>40</v>
      </c>
      <c r="H41" s="16" t="s">
        <v>41</v>
      </c>
      <c r="I41" s="1" t="str" cm="1">
        <f t="array" ref="I41">IF($B41,INDEX($L:$L,MATCH(TRUE,EXACT(G41,$E:$E),0)),"")</f>
        <v>T</v>
      </c>
      <c r="J41" s="16" t="str" cm="1">
        <f t="array" ref="J41">IF($B41,INDEX($L:$L,MATCH(TRUE,EXACT(H41,$E:$E),0)),"")</f>
        <v>%</v>
      </c>
      <c r="K41" s="9"/>
      <c r="L41" s="34" t="str">
        <f t="shared" si="2"/>
        <v>G</v>
      </c>
      <c r="M41" s="7" t="s">
        <v>202</v>
      </c>
      <c r="N41" s="10" t="s">
        <v>202</v>
      </c>
      <c r="O41" s="10" t="s">
        <v>214</v>
      </c>
      <c r="P41" s="8" t="s">
        <v>201</v>
      </c>
    </row>
    <row r="42" spans="1:16" ht="31.5">
      <c r="A42" s="28" t="s">
        <v>41</v>
      </c>
      <c r="B42" s="8" t="b">
        <f t="shared" si="0"/>
        <v>1</v>
      </c>
      <c r="D42" s="34" t="str">
        <f t="shared" si="1"/>
        <v>H</v>
      </c>
      <c r="E42" s="1" t="s">
        <v>30</v>
      </c>
      <c r="F42" s="9" t="s">
        <v>40</v>
      </c>
      <c r="G42" s="9" t="s">
        <v>41</v>
      </c>
      <c r="H42" s="16" t="s">
        <v>40</v>
      </c>
      <c r="I42" s="1" t="str" cm="1">
        <f t="array" ref="I42">IF($B42,INDEX($L:$L,MATCH(TRUE,EXACT(G42,$E:$E),0)),"")</f>
        <v>%</v>
      </c>
      <c r="J42" s="16" t="str" cm="1">
        <f t="array" ref="J42">IF($B42,INDEX($L:$L,MATCH(TRUE,EXACT(H42,$E:$E),0)),"")</f>
        <v>T</v>
      </c>
      <c r="K42" s="9"/>
      <c r="L42" s="34" t="str">
        <f t="shared" si="2"/>
        <v>H</v>
      </c>
      <c r="M42" s="7" t="s">
        <v>202</v>
      </c>
      <c r="N42" s="10" t="s">
        <v>202</v>
      </c>
      <c r="O42" s="10" t="s">
        <v>201</v>
      </c>
      <c r="P42" s="8" t="s">
        <v>214</v>
      </c>
    </row>
    <row r="43" spans="1:16" ht="31.5">
      <c r="A43" s="28" t="s">
        <v>33</v>
      </c>
      <c r="B43" s="8" t="b">
        <f t="shared" si="0"/>
        <v>1</v>
      </c>
      <c r="D43" s="34" t="str">
        <f t="shared" si="1"/>
        <v>I</v>
      </c>
      <c r="E43" s="1" t="s">
        <v>51</v>
      </c>
      <c r="F43" s="9" t="s">
        <v>58</v>
      </c>
      <c r="G43" s="9" t="s">
        <v>59</v>
      </c>
      <c r="H43" s="16" t="s">
        <v>32</v>
      </c>
      <c r="I43" s="1" t="str" cm="1">
        <f t="array" ref="I43">IF($B43,INDEX($L:$L,MATCH(TRUE,EXACT(G43,$E:$E),0)),"")</f>
        <v>J</v>
      </c>
      <c r="J43" s="16" t="str" cm="1">
        <f t="array" ref="J43">IF($B43,INDEX($L:$L,MATCH(TRUE,EXACT(H43,$E:$E),0)),"")</f>
        <v>&lt;</v>
      </c>
      <c r="K43" s="9"/>
      <c r="L43" s="34" t="str">
        <f t="shared" si="2"/>
        <v>I</v>
      </c>
      <c r="M43" s="7" t="s">
        <v>202</v>
      </c>
      <c r="N43" s="10" t="s">
        <v>201</v>
      </c>
      <c r="O43" s="10" t="s">
        <v>202</v>
      </c>
      <c r="P43" s="8" t="s">
        <v>214</v>
      </c>
    </row>
    <row r="44" spans="1:16" ht="31.5">
      <c r="A44" s="28" t="s">
        <v>42</v>
      </c>
      <c r="B44" s="8" t="b">
        <f t="shared" si="0"/>
        <v>1</v>
      </c>
      <c r="D44" s="34" t="str">
        <f t="shared" si="1"/>
        <v>J</v>
      </c>
      <c r="E44" s="1" t="s">
        <v>59</v>
      </c>
      <c r="F44" s="9" t="s">
        <v>165</v>
      </c>
      <c r="G44" s="9" t="s">
        <v>51</v>
      </c>
      <c r="H44" s="16" t="s">
        <v>43</v>
      </c>
      <c r="I44" s="1" t="str" cm="1">
        <f t="array" ref="I44">IF($B44,INDEX($L:$L,MATCH(TRUE,EXACT(G44,$E:$E),0)),"")</f>
        <v>I</v>
      </c>
      <c r="J44" s="16" t="str" cm="1">
        <f t="array" ref="J44">IF($B44,INDEX($L:$L,MATCH(TRUE,EXACT(H44,$E:$E),0)),"")</f>
        <v>&amp;</v>
      </c>
      <c r="K44" s="9"/>
      <c r="L44" s="34" t="str">
        <f t="shared" si="2"/>
        <v>J</v>
      </c>
      <c r="M44" s="7" t="s">
        <v>214</v>
      </c>
      <c r="N44" s="10" t="s">
        <v>202</v>
      </c>
      <c r="O44" s="10" t="s">
        <v>201</v>
      </c>
      <c r="P44" s="8" t="s">
        <v>202</v>
      </c>
    </row>
    <row r="45" spans="1:16" ht="31.5">
      <c r="A45" s="28" t="s">
        <v>43</v>
      </c>
      <c r="B45" s="8" t="b">
        <f t="shared" si="0"/>
        <v>1</v>
      </c>
      <c r="D45" s="34" t="str">
        <f t="shared" si="1"/>
        <v>K</v>
      </c>
      <c r="E45" s="1" t="s">
        <v>33</v>
      </c>
      <c r="F45" s="9" t="s">
        <v>51</v>
      </c>
      <c r="G45" s="9" t="s">
        <v>165</v>
      </c>
      <c r="H45" s="16" t="s">
        <v>42</v>
      </c>
      <c r="I45" s="1" t="str" cm="1">
        <f t="array" ref="I45">IF($B45,INDEX($L:$L,MATCH(TRUE,EXACT(G45,$E:$E),0)),"")</f>
        <v>*</v>
      </c>
      <c r="J45" s="16" t="str" cm="1">
        <f t="array" ref="J45">IF($B45,INDEX($L:$L,MATCH(TRUE,EXACT(H45,$E:$E),0)),"")</f>
        <v>U</v>
      </c>
      <c r="K45" s="9"/>
      <c r="L45" s="34" t="str">
        <f t="shared" si="2"/>
        <v>K</v>
      </c>
      <c r="M45" s="7" t="s">
        <v>214</v>
      </c>
      <c r="N45" s="10" t="s">
        <v>202</v>
      </c>
      <c r="O45" s="10" t="s">
        <v>202</v>
      </c>
      <c r="P45" s="8" t="s">
        <v>201</v>
      </c>
    </row>
    <row r="46" spans="1:16" ht="31.5">
      <c r="A46" s="28" t="s">
        <v>44</v>
      </c>
      <c r="B46" s="8" t="b">
        <f t="shared" si="0"/>
        <v>1</v>
      </c>
      <c r="D46" s="34" t="str">
        <f t="shared" si="1"/>
        <v>L</v>
      </c>
      <c r="E46" s="1" t="s">
        <v>67</v>
      </c>
      <c r="F46" s="19" t="s">
        <v>167</v>
      </c>
      <c r="G46" s="9" t="s">
        <v>166</v>
      </c>
      <c r="H46" s="16" t="s">
        <v>67</v>
      </c>
      <c r="I46" s="1" t="str" cm="1">
        <f t="array" ref="I46">IF($B46,INDEX($L:$L,MATCH(TRUE,EXACT(G46,$E:$E),0)),"")</f>
        <v>?</v>
      </c>
      <c r="J46" s="16" t="str" cm="1">
        <f t="array" ref="J46">IF($B46,INDEX($L:$L,MATCH(TRUE,EXACT(H46,$E:$E),0)),"")</f>
        <v>L</v>
      </c>
      <c r="K46" s="9"/>
      <c r="L46" s="34" t="str">
        <f t="shared" si="2"/>
        <v>L</v>
      </c>
      <c r="M46" s="7" t="s">
        <v>214</v>
      </c>
      <c r="N46" s="10" t="s">
        <v>202</v>
      </c>
      <c r="O46" s="10" t="s">
        <v>214</v>
      </c>
      <c r="P46" s="8" t="s">
        <v>202</v>
      </c>
    </row>
    <row r="47" spans="1:16" ht="31.5">
      <c r="A47" s="28" t="s">
        <v>51</v>
      </c>
      <c r="B47" s="8" t="b">
        <f t="shared" si="0"/>
        <v>1</v>
      </c>
      <c r="D47" s="34" t="str">
        <f t="shared" si="1"/>
        <v>M</v>
      </c>
      <c r="E47" s="1" t="s">
        <v>58</v>
      </c>
      <c r="F47" s="9" t="s">
        <v>43</v>
      </c>
      <c r="G47" s="9" t="s">
        <v>42</v>
      </c>
      <c r="H47" s="16" t="s">
        <v>165</v>
      </c>
      <c r="I47" s="1" t="str" cm="1">
        <f t="array" ref="I47">IF($B47,INDEX($L:$L,MATCH(TRUE,EXACT(G47,$E:$E),0)),"")</f>
        <v>U</v>
      </c>
      <c r="J47" s="16" t="str" cm="1">
        <f t="array" ref="J47">IF($B47,INDEX($L:$L,MATCH(TRUE,EXACT(H47,$E:$E),0)),"")</f>
        <v>*</v>
      </c>
      <c r="K47" s="9"/>
      <c r="L47" s="34" t="str">
        <f t="shared" si="2"/>
        <v>M</v>
      </c>
      <c r="M47" s="7" t="s">
        <v>202</v>
      </c>
      <c r="N47" s="10" t="s">
        <v>214</v>
      </c>
      <c r="O47" s="10" t="s">
        <v>201</v>
      </c>
      <c r="P47" s="8" t="s">
        <v>202</v>
      </c>
    </row>
    <row r="48" spans="1:16" ht="31.5">
      <c r="A48" s="28" t="s">
        <v>50</v>
      </c>
      <c r="B48" s="8" t="b">
        <f t="shared" si="0"/>
        <v>1</v>
      </c>
      <c r="D48" s="34" t="str">
        <f t="shared" si="1"/>
        <v>N</v>
      </c>
      <c r="E48" s="1" t="s">
        <v>31</v>
      </c>
      <c r="F48" s="9" t="s">
        <v>49</v>
      </c>
      <c r="G48" s="9" t="s">
        <v>50</v>
      </c>
      <c r="H48" s="16" t="s">
        <v>49</v>
      </c>
      <c r="I48" s="1" t="str" cm="1">
        <f t="array" ref="I48">IF($B48,INDEX($L:$L,MATCH(TRUE,EXACT(G48,$E:$E),0)),"")</f>
        <v>^</v>
      </c>
      <c r="J48" s="16" t="str" cm="1">
        <f t="array" ref="J48">IF($B48,INDEX($L:$L,MATCH(TRUE,EXACT(H48,$E:$E),0)),"")</f>
        <v>Y</v>
      </c>
      <c r="K48" s="9"/>
      <c r="L48" s="34" t="str">
        <f t="shared" si="2"/>
        <v>N</v>
      </c>
      <c r="M48" s="7" t="s">
        <v>202</v>
      </c>
      <c r="N48" s="10" t="s">
        <v>202</v>
      </c>
      <c r="O48" s="10" t="s">
        <v>201</v>
      </c>
      <c r="P48" s="8" t="s">
        <v>202</v>
      </c>
    </row>
    <row r="49" spans="1:16" ht="31.5">
      <c r="A49" s="28" t="s">
        <v>34</v>
      </c>
      <c r="B49" s="8" t="b">
        <f t="shared" si="0"/>
        <v>1</v>
      </c>
      <c r="D49" s="34" t="str">
        <f t="shared" si="1"/>
        <v>O</v>
      </c>
      <c r="E49" s="1" t="s">
        <v>60</v>
      </c>
      <c r="F49" s="9" t="s">
        <v>61</v>
      </c>
      <c r="G49" s="9" t="s">
        <v>60</v>
      </c>
      <c r="H49" s="16" t="s">
        <v>35</v>
      </c>
      <c r="I49" s="1" t="str" cm="1">
        <f t="array" ref="I49">IF($B49,INDEX($L:$L,MATCH(TRUE,EXACT(G49,$E:$E),0)),"")</f>
        <v>O</v>
      </c>
      <c r="J49" s="16" t="str" cm="1">
        <f t="array" ref="J49">IF($B49,INDEX($L:$L,MATCH(TRUE,EXACT(H49,$E:$E),0)),"")</f>
        <v>)</v>
      </c>
      <c r="K49" s="9"/>
      <c r="L49" s="34" t="str">
        <f t="shared" si="2"/>
        <v>O</v>
      </c>
      <c r="M49" s="7" t="s">
        <v>202</v>
      </c>
      <c r="N49" s="10" t="s">
        <v>214</v>
      </c>
      <c r="O49" s="10" t="s">
        <v>214</v>
      </c>
      <c r="P49" s="8" t="s">
        <v>202</v>
      </c>
    </row>
    <row r="50" spans="1:16" ht="31.5">
      <c r="A50" s="28" t="s">
        <v>35</v>
      </c>
      <c r="B50" s="8" t="b">
        <f t="shared" si="0"/>
        <v>1</v>
      </c>
      <c r="D50" s="34" t="str">
        <f t="shared" si="1"/>
        <v>P</v>
      </c>
      <c r="E50" s="1" t="s">
        <v>34</v>
      </c>
      <c r="F50" s="9" t="s">
        <v>60</v>
      </c>
      <c r="G50" s="9" t="s">
        <v>61</v>
      </c>
      <c r="H50" s="16" t="s">
        <v>34</v>
      </c>
      <c r="I50" s="1" t="str" cm="1">
        <f t="array" ref="I50">IF($B50,INDEX($L:$L,MATCH(TRUE,EXACT(G50,$E:$E),0)),"")</f>
        <v>(</v>
      </c>
      <c r="J50" s="16" t="str" cm="1">
        <f t="array" ref="J50">IF($B50,INDEX($L:$L,MATCH(TRUE,EXACT(H50,$E:$E),0)),"")</f>
        <v>P</v>
      </c>
      <c r="K50" s="9"/>
      <c r="L50" s="34" t="str">
        <f t="shared" si="2"/>
        <v>P</v>
      </c>
      <c r="M50" s="7" t="s">
        <v>202</v>
      </c>
      <c r="N50" s="10" t="s">
        <v>214</v>
      </c>
      <c r="O50" s="10" t="s">
        <v>202</v>
      </c>
      <c r="P50" s="8" t="s">
        <v>214</v>
      </c>
    </row>
    <row r="51" spans="1:16" ht="31.5">
      <c r="A51" s="28" t="s">
        <v>26</v>
      </c>
      <c r="B51" s="8" t="b">
        <f t="shared" si="0"/>
        <v>1</v>
      </c>
      <c r="D51" s="34" t="str">
        <f t="shared" si="1"/>
        <v>Q</v>
      </c>
      <c r="E51" s="1" t="s">
        <v>28</v>
      </c>
      <c r="F51" s="9" t="s">
        <v>47</v>
      </c>
      <c r="G51" s="9" t="s">
        <v>45</v>
      </c>
      <c r="H51" s="16" t="s">
        <v>28</v>
      </c>
      <c r="I51" s="1" t="str" cm="1">
        <f t="array" ref="I51">IF($B51,INDEX($L:$L,MATCH(TRUE,EXACT(G51,$E:$E),0)),"")</f>
        <v>C</v>
      </c>
      <c r="J51" s="16" t="str" cm="1">
        <f t="array" ref="J51">IF($B51,INDEX($L:$L,MATCH(TRUE,EXACT(H51,$E:$E),0)),"")</f>
        <v>Q</v>
      </c>
      <c r="K51" s="9"/>
      <c r="L51" s="34" t="str">
        <f t="shared" si="2"/>
        <v>Q</v>
      </c>
      <c r="M51" s="7" t="s">
        <v>214</v>
      </c>
      <c r="N51" s="10" t="s">
        <v>202</v>
      </c>
      <c r="O51" s="10" t="s">
        <v>214</v>
      </c>
      <c r="P51" s="8" t="s">
        <v>202</v>
      </c>
    </row>
    <row r="52" spans="1:16" ht="31.5">
      <c r="A52" s="28" t="s">
        <v>29</v>
      </c>
      <c r="B52" s="8" t="b">
        <f t="shared" si="0"/>
        <v>1</v>
      </c>
      <c r="D52" s="34" t="str">
        <f t="shared" si="1"/>
        <v>R</v>
      </c>
      <c r="E52" s="1" t="s">
        <v>39</v>
      </c>
      <c r="F52" s="9" t="s">
        <v>55</v>
      </c>
      <c r="G52" s="9" t="s">
        <v>55</v>
      </c>
      <c r="H52" s="16" t="s">
        <v>29</v>
      </c>
      <c r="I52" s="1" t="str" cm="1">
        <f t="array" ref="I52">IF($B52,INDEX($L:$L,MATCH(TRUE,EXACT(G52,$E:$E),0)),"")</f>
        <v>F</v>
      </c>
      <c r="J52" s="16" t="str" cm="1">
        <f t="array" ref="J52">IF($B52,INDEX($L:$L,MATCH(TRUE,EXACT(H52,$E:$E),0)),"")</f>
        <v>V</v>
      </c>
      <c r="K52" s="9"/>
      <c r="L52" s="34" t="str">
        <f t="shared" si="2"/>
        <v>R</v>
      </c>
      <c r="M52" s="7" t="s">
        <v>202</v>
      </c>
      <c r="N52" s="10" t="s">
        <v>214</v>
      </c>
      <c r="O52" s="10" t="s">
        <v>214</v>
      </c>
      <c r="P52" s="8" t="s">
        <v>214</v>
      </c>
    </row>
    <row r="53" spans="1:16" ht="31.5">
      <c r="A53" s="28" t="s">
        <v>37</v>
      </c>
      <c r="B53" s="8" t="b">
        <f t="shared" si="0"/>
        <v>1</v>
      </c>
      <c r="D53" s="34" t="str">
        <f t="shared" si="1"/>
        <v>S</v>
      </c>
      <c r="E53" s="1" t="s">
        <v>37</v>
      </c>
      <c r="F53" s="9" t="s">
        <v>37</v>
      </c>
      <c r="G53" s="9" t="s">
        <v>37</v>
      </c>
      <c r="H53" s="16" t="s">
        <v>37</v>
      </c>
      <c r="I53" s="1" t="str" cm="1">
        <f t="array" ref="I53">IF($B53,INDEX($L:$L,MATCH(TRUE,EXACT(G53,$E:$E),0)),"")</f>
        <v>S</v>
      </c>
      <c r="J53" s="16" t="str" cm="1">
        <f t="array" ref="J53">IF($B53,INDEX($L:$L,MATCH(TRUE,EXACT(H53,$E:$E),0)),"")</f>
        <v>S</v>
      </c>
      <c r="K53" s="9"/>
      <c r="L53" s="34" t="str">
        <f t="shared" si="2"/>
        <v>S</v>
      </c>
      <c r="M53" s="7" t="s">
        <v>202</v>
      </c>
      <c r="N53" s="10" t="s">
        <v>202</v>
      </c>
      <c r="O53" s="10" t="s">
        <v>202</v>
      </c>
      <c r="P53" s="8" t="s">
        <v>202</v>
      </c>
    </row>
    <row r="54" spans="1:16" ht="31.5">
      <c r="A54" s="28" t="s">
        <v>30</v>
      </c>
      <c r="B54" s="8" t="b">
        <f t="shared" si="0"/>
        <v>1</v>
      </c>
      <c r="D54" s="34" t="str">
        <f t="shared" si="1"/>
        <v>T</v>
      </c>
      <c r="E54" s="1" t="s">
        <v>40</v>
      </c>
      <c r="F54" s="9" t="s">
        <v>56</v>
      </c>
      <c r="G54" s="9" t="s">
        <v>56</v>
      </c>
      <c r="H54" s="16" t="s">
        <v>30</v>
      </c>
      <c r="I54" s="1" t="str" cm="1">
        <f t="array" ref="I54">IF($B54,INDEX($L:$L,MATCH(TRUE,EXACT(G54,$E:$E),0)),"")</f>
        <v>G</v>
      </c>
      <c r="J54" s="16" t="str" cm="1">
        <f t="array" ref="J54">IF($B54,INDEX($L:$L,MATCH(TRUE,EXACT(H54,$E:$E),0)),"")</f>
        <v>H</v>
      </c>
      <c r="K54" s="9"/>
      <c r="L54" s="34" t="str">
        <f t="shared" si="2"/>
        <v>T</v>
      </c>
      <c r="M54" s="7" t="s">
        <v>201</v>
      </c>
      <c r="N54" s="10" t="s">
        <v>214</v>
      </c>
      <c r="O54" s="10" t="s">
        <v>202</v>
      </c>
      <c r="P54" s="8" t="s">
        <v>202</v>
      </c>
    </row>
    <row r="55" spans="1:16" ht="31.5">
      <c r="A55" s="28" t="s">
        <v>32</v>
      </c>
      <c r="B55" s="8" t="b">
        <f t="shared" si="0"/>
        <v>1</v>
      </c>
      <c r="D55" s="34" t="str">
        <f t="shared" si="1"/>
        <v>U</v>
      </c>
      <c r="E55" s="1" t="s">
        <v>42</v>
      </c>
      <c r="F55" s="9" t="s">
        <v>59</v>
      </c>
      <c r="G55" s="9" t="s">
        <v>58</v>
      </c>
      <c r="H55" s="16" t="s">
        <v>33</v>
      </c>
      <c r="I55" s="1" t="str" cm="1">
        <f t="array" ref="I55">IF($B55,INDEX($L:$L,MATCH(TRUE,EXACT(G55,$E:$E),0)),"")</f>
        <v>M</v>
      </c>
      <c r="J55" s="16" t="str" cm="1">
        <f t="array" ref="J55">IF($B55,INDEX($L:$L,MATCH(TRUE,EXACT(H55,$E:$E),0)),"")</f>
        <v>K</v>
      </c>
      <c r="K55" s="9"/>
      <c r="L55" s="34" t="str">
        <f t="shared" si="2"/>
        <v>U</v>
      </c>
      <c r="M55" s="7" t="s">
        <v>202</v>
      </c>
      <c r="N55" s="10" t="s">
        <v>201</v>
      </c>
      <c r="O55" s="10" t="s">
        <v>214</v>
      </c>
      <c r="P55" s="8" t="s">
        <v>202</v>
      </c>
    </row>
    <row r="56" spans="1:16" ht="31.5">
      <c r="A56" s="28" t="s">
        <v>48</v>
      </c>
      <c r="B56" s="8" t="b">
        <f t="shared" si="0"/>
        <v>1</v>
      </c>
      <c r="D56" s="34" t="str">
        <f t="shared" si="1"/>
        <v>V</v>
      </c>
      <c r="E56" s="1" t="s">
        <v>29</v>
      </c>
      <c r="F56" s="9" t="s">
        <v>39</v>
      </c>
      <c r="G56" s="9" t="s">
        <v>48</v>
      </c>
      <c r="H56" s="16" t="s">
        <v>39</v>
      </c>
      <c r="I56" s="1" t="str" cm="1">
        <f t="array" ref="I56">IF($B56,INDEX($L:$L,MATCH(TRUE,EXACT(G56,$E:$E),0)),"")</f>
        <v>$</v>
      </c>
      <c r="J56" s="16" t="str" cm="1">
        <f t="array" ref="J56">IF($B56,INDEX($L:$L,MATCH(TRUE,EXACT(H56,$E:$E),0)),"")</f>
        <v>R</v>
      </c>
      <c r="K56" s="9"/>
      <c r="L56" s="34" t="str">
        <f t="shared" si="2"/>
        <v>V</v>
      </c>
      <c r="M56" s="7" t="s">
        <v>214</v>
      </c>
      <c r="N56" s="10" t="s">
        <v>214</v>
      </c>
      <c r="O56" s="10" t="s">
        <v>202</v>
      </c>
      <c r="P56" s="8" t="s">
        <v>214</v>
      </c>
    </row>
    <row r="57" spans="1:16" ht="31.5">
      <c r="A57" s="28" t="s">
        <v>27</v>
      </c>
      <c r="B57" s="8" t="b">
        <f t="shared" si="0"/>
        <v>1</v>
      </c>
      <c r="D57" s="34" t="str">
        <f t="shared" si="1"/>
        <v>W</v>
      </c>
      <c r="E57" s="1" t="s">
        <v>38</v>
      </c>
      <c r="F57" s="9" t="s">
        <v>46</v>
      </c>
      <c r="G57" s="9" t="s">
        <v>46</v>
      </c>
      <c r="H57" s="16" t="s">
        <v>27</v>
      </c>
      <c r="I57" s="1" t="str" cm="1">
        <f t="array" ref="I57">IF($B57,INDEX($L:$L,MATCH(TRUE,EXACT(G57,$E:$E),0)),"")</f>
        <v>D</v>
      </c>
      <c r="J57" s="16" t="str" cm="1">
        <f t="array" ref="J57">IF($B57,INDEX($L:$L,MATCH(TRUE,EXACT(H57,$E:$E),0)),"")</f>
        <v>A</v>
      </c>
      <c r="K57" s="9"/>
      <c r="L57" s="34" t="str">
        <f t="shared" si="2"/>
        <v>W</v>
      </c>
      <c r="M57" s="7" t="s">
        <v>214</v>
      </c>
      <c r="N57" s="10" t="s">
        <v>202</v>
      </c>
      <c r="O57" s="10" t="s">
        <v>202</v>
      </c>
      <c r="P57" s="8" t="s">
        <v>202</v>
      </c>
    </row>
    <row r="58" spans="1:16" ht="31.5">
      <c r="A58" s="28" t="s">
        <v>46</v>
      </c>
      <c r="B58" s="8" t="b">
        <f t="shared" si="0"/>
        <v>1</v>
      </c>
      <c r="D58" s="34" t="str">
        <f t="shared" si="1"/>
        <v>X</v>
      </c>
      <c r="E58" s="1" t="s">
        <v>36</v>
      </c>
      <c r="F58" s="9" t="s">
        <v>27</v>
      </c>
      <c r="G58" s="9" t="s">
        <v>27</v>
      </c>
      <c r="H58" s="16" t="s">
        <v>46</v>
      </c>
      <c r="I58" s="1" t="str" cm="1">
        <f t="array" ref="I58">IF($B58,INDEX($L:$L,MATCH(TRUE,EXACT(G58,$E:$E),0)),"")</f>
        <v>A</v>
      </c>
      <c r="J58" s="16" t="str" cm="1">
        <f t="array" ref="J58">IF($B58,INDEX($L:$L,MATCH(TRUE,EXACT(H58,$E:$E),0)),"")</f>
        <v>D</v>
      </c>
      <c r="K58" s="9"/>
      <c r="L58" s="34" t="str">
        <f t="shared" si="2"/>
        <v>X</v>
      </c>
      <c r="M58" s="7" t="s">
        <v>202</v>
      </c>
      <c r="N58" s="10" t="s">
        <v>214</v>
      </c>
      <c r="O58" s="10" t="s">
        <v>202</v>
      </c>
      <c r="P58" s="8" t="s">
        <v>202</v>
      </c>
    </row>
    <row r="59" spans="1:16" ht="31.5">
      <c r="A59" s="28" t="s">
        <v>31</v>
      </c>
      <c r="B59" s="8" t="b">
        <f t="shared" si="0"/>
        <v>1</v>
      </c>
      <c r="D59" s="34" t="str">
        <f t="shared" si="1"/>
        <v>Y</v>
      </c>
      <c r="E59" s="1" t="s">
        <v>49</v>
      </c>
      <c r="F59" s="9" t="s">
        <v>57</v>
      </c>
      <c r="G59" s="9" t="s">
        <v>57</v>
      </c>
      <c r="H59" s="16" t="s">
        <v>31</v>
      </c>
      <c r="I59" s="1" t="str" cm="1">
        <f t="array" ref="I59">IF($B59,INDEX($L:$L,MATCH(TRUE,EXACT(G59,$E:$E),0)),"")</f>
        <v>B</v>
      </c>
      <c r="J59" s="16" t="str" cm="1">
        <f t="array" ref="J59">IF($B59,INDEX($L:$L,MATCH(TRUE,EXACT(H59,$E:$E),0)),"")</f>
        <v>N</v>
      </c>
      <c r="K59" s="9"/>
      <c r="L59" s="34" t="str">
        <f t="shared" si="2"/>
        <v>Y</v>
      </c>
      <c r="M59" s="7" t="s">
        <v>201</v>
      </c>
      <c r="N59" s="10" t="s">
        <v>202</v>
      </c>
      <c r="O59" s="10" t="s">
        <v>202</v>
      </c>
      <c r="P59" s="8" t="s">
        <v>202</v>
      </c>
    </row>
    <row r="60" spans="1:16" ht="31.5">
      <c r="A60" s="28" t="s">
        <v>45</v>
      </c>
      <c r="B60" s="8" t="b">
        <f t="shared" si="0"/>
        <v>1</v>
      </c>
      <c r="D60" s="34" t="str">
        <f t="shared" si="1"/>
        <v>Z</v>
      </c>
      <c r="E60" s="1" t="s">
        <v>26</v>
      </c>
      <c r="F60" s="9" t="s">
        <v>28</v>
      </c>
      <c r="G60" s="9" t="s">
        <v>26</v>
      </c>
      <c r="H60" s="16" t="s">
        <v>47</v>
      </c>
      <c r="I60" s="1" t="str" cm="1">
        <f t="array" ref="I60">IF($B60,INDEX($L:$L,MATCH(TRUE,EXACT(G60,$E:$E),0)),"")</f>
        <v>Z</v>
      </c>
      <c r="J60" s="16" t="str" cm="1">
        <f t="array" ref="J60">IF($B60,INDEX($L:$L,MATCH(TRUE,EXACT(H60,$E:$E),0)),"")</f>
        <v>E</v>
      </c>
      <c r="K60" s="9"/>
      <c r="L60" s="34" t="str">
        <f t="shared" si="2"/>
        <v>Z</v>
      </c>
      <c r="M60" s="7" t="s">
        <v>202</v>
      </c>
      <c r="N60" s="10" t="s">
        <v>214</v>
      </c>
      <c r="O60" s="10" t="s">
        <v>214</v>
      </c>
      <c r="P60" s="8" t="s">
        <v>202</v>
      </c>
    </row>
    <row r="61" spans="1:16" ht="31.5">
      <c r="A61" s="28" t="s">
        <v>71</v>
      </c>
      <c r="B61" s="8" t="b">
        <f t="shared" si="0"/>
        <v>1</v>
      </c>
      <c r="D61" s="34" t="str">
        <f t="shared" si="1"/>
        <v>[</v>
      </c>
      <c r="E61" s="1" t="s">
        <v>74</v>
      </c>
      <c r="F61" s="9" t="s">
        <v>72</v>
      </c>
      <c r="G61" s="9" t="s">
        <v>71</v>
      </c>
      <c r="H61" s="16" t="s">
        <v>72</v>
      </c>
      <c r="I61" s="1" t="str" cm="1">
        <f t="array" ref="I61">IF($B61,INDEX($L:$L,MATCH(TRUE,EXACT(G61,$E:$E),0)),"")</f>
        <v>=</v>
      </c>
      <c r="J61" s="16" t="str" cm="1">
        <f t="array" ref="J61">IF($B61,INDEX($L:$L,MATCH(TRUE,EXACT(H61,$E:$E),0)),"")</f>
        <v>-</v>
      </c>
      <c r="K61" s="9"/>
      <c r="L61" s="34" t="str">
        <f t="shared" si="2"/>
        <v>[</v>
      </c>
      <c r="M61" s="7" t="s">
        <v>214</v>
      </c>
      <c r="N61" s="10" t="s">
        <v>214</v>
      </c>
      <c r="O61" s="10" t="s">
        <v>201</v>
      </c>
      <c r="P61" s="8" t="s">
        <v>202</v>
      </c>
    </row>
    <row r="62" spans="1:16" ht="31.5">
      <c r="A62" s="28" t="s">
        <v>68</v>
      </c>
      <c r="B62" s="8" t="b">
        <f t="shared" si="0"/>
        <v>1</v>
      </c>
      <c r="D62" s="34" t="str">
        <f t="shared" si="1"/>
        <v>\</v>
      </c>
      <c r="E62" s="1" t="s">
        <v>69</v>
      </c>
      <c r="F62" s="9" t="s">
        <v>68</v>
      </c>
      <c r="G62" s="9" t="s">
        <v>68</v>
      </c>
      <c r="H62" s="16" t="s">
        <v>68</v>
      </c>
      <c r="I62" s="1" t="str" cm="1">
        <f t="array" ref="I62">IF($B62,INDEX($L:$L,MATCH(TRUE,EXACT(G62,$E:$E),0)),"")</f>
        <v>|</v>
      </c>
      <c r="J62" s="16" t="str" cm="1">
        <f t="array" ref="J62">IF($B62,INDEX($L:$L,MATCH(TRUE,EXACT(H62,$E:$E),0)),"")</f>
        <v>|</v>
      </c>
      <c r="K62" s="9"/>
      <c r="L62" s="34" t="str">
        <f t="shared" si="2"/>
        <v>\</v>
      </c>
      <c r="M62" s="7" t="s">
        <v>202</v>
      </c>
      <c r="N62" s="10" t="s">
        <v>202</v>
      </c>
      <c r="O62" s="10" t="s">
        <v>214</v>
      </c>
      <c r="P62" s="8" t="s">
        <v>214</v>
      </c>
    </row>
    <row r="63" spans="1:16" ht="31.5">
      <c r="A63" s="28" t="s">
        <v>72</v>
      </c>
      <c r="B63" s="8" t="b">
        <f t="shared" si="0"/>
        <v>1</v>
      </c>
      <c r="D63" s="34" t="str">
        <f t="shared" si="1"/>
        <v>]</v>
      </c>
      <c r="E63" s="3" t="s">
        <v>79</v>
      </c>
      <c r="F63" s="19" t="s">
        <v>71</v>
      </c>
      <c r="G63" s="19" t="s">
        <v>72</v>
      </c>
      <c r="H63" s="17" t="s">
        <v>71</v>
      </c>
      <c r="I63" s="1" t="str" cm="1">
        <f t="array" ref="I63">IF($B63,INDEX($L:$L,MATCH(TRUE,EXACT(G63,$E:$E),0)),"")</f>
        <v>-</v>
      </c>
      <c r="J63" s="16" t="str" cm="1">
        <f t="array" ref="J63">IF($B63,INDEX($L:$L,MATCH(TRUE,EXACT(H63,$E:$E),0)),"")</f>
        <v>=</v>
      </c>
      <c r="K63" s="19"/>
      <c r="L63" s="34" t="str">
        <f t="shared" si="2"/>
        <v>]</v>
      </c>
      <c r="M63" s="7" t="s">
        <v>214</v>
      </c>
      <c r="N63" s="10" t="s">
        <v>214</v>
      </c>
      <c r="O63" s="10" t="s">
        <v>202</v>
      </c>
      <c r="P63" s="8" t="s">
        <v>201</v>
      </c>
    </row>
    <row r="64" spans="1:16" ht="31.5">
      <c r="A64" s="28" t="s">
        <v>57</v>
      </c>
      <c r="B64" s="8" t="b">
        <f t="shared" si="0"/>
        <v>1</v>
      </c>
      <c r="D64" s="34" t="str">
        <f t="shared" si="1"/>
        <v>^</v>
      </c>
      <c r="E64" s="1" t="s">
        <v>50</v>
      </c>
      <c r="F64" s="9" t="s">
        <v>31</v>
      </c>
      <c r="G64" s="9" t="s">
        <v>31</v>
      </c>
      <c r="H64" s="16" t="s">
        <v>57</v>
      </c>
      <c r="I64" s="1" t="str" cm="1">
        <f t="array" ref="I64">IF($B64,INDEX($L:$L,MATCH(TRUE,EXACT(G64,$E:$E),0)),"")</f>
        <v>N</v>
      </c>
      <c r="J64" s="16" t="str" cm="1">
        <f t="array" ref="J64">IF($B64,INDEX($L:$L,MATCH(TRUE,EXACT(H64,$E:$E),0)),"")</f>
        <v>B</v>
      </c>
      <c r="K64" s="9"/>
      <c r="L64" s="34" t="str">
        <f t="shared" si="2"/>
        <v>^</v>
      </c>
      <c r="M64" s="7" t="s">
        <v>202</v>
      </c>
      <c r="N64" s="10" t="s">
        <v>201</v>
      </c>
      <c r="O64" s="10" t="s">
        <v>202</v>
      </c>
      <c r="P64" s="8" t="s">
        <v>202</v>
      </c>
    </row>
    <row r="65" spans="1:16" ht="31.5">
      <c r="A65" s="28" t="s">
        <v>75</v>
      </c>
      <c r="B65" s="8" t="b">
        <f t="shared" si="0"/>
        <v>1</v>
      </c>
      <c r="D65" s="34" t="str">
        <f t="shared" si="1"/>
        <v>_</v>
      </c>
      <c r="E65" s="1" t="s">
        <v>70</v>
      </c>
      <c r="F65" s="9" t="s">
        <v>77</v>
      </c>
      <c r="G65" s="9" t="s">
        <v>76</v>
      </c>
      <c r="H65" s="16" t="s">
        <v>70</v>
      </c>
      <c r="I65" s="1" t="str" cm="1">
        <f t="array" ref="I65">IF($B65,INDEX($L:$L,MATCH(TRUE,EXACT(G65,$E:$E),0)),"")</f>
        <v>}</v>
      </c>
      <c r="J65" s="16" t="str" cm="1">
        <f t="array" ref="J65">IF($B65,INDEX($L:$L,MATCH(TRUE,EXACT(H65,$E:$E),0)),"")</f>
        <v>_</v>
      </c>
      <c r="K65" s="9"/>
      <c r="L65" s="34" t="str">
        <f t="shared" si="2"/>
        <v>_</v>
      </c>
      <c r="M65" s="7" t="s">
        <v>201</v>
      </c>
      <c r="N65" s="10" t="s">
        <v>202</v>
      </c>
      <c r="O65" s="10" t="s">
        <v>201</v>
      </c>
      <c r="P65" s="8" t="s">
        <v>202</v>
      </c>
    </row>
    <row r="66" spans="1:16" ht="31.5">
      <c r="A66" s="28" t="s">
        <v>168</v>
      </c>
      <c r="B66" s="8" t="b">
        <f t="shared" si="0"/>
        <v>1</v>
      </c>
      <c r="D66" s="34" t="str">
        <f t="shared" si="1"/>
        <v>`</v>
      </c>
      <c r="E66" s="1">
        <v>1</v>
      </c>
      <c r="F66" s="9" t="s">
        <v>168</v>
      </c>
      <c r="G66" s="9" t="s">
        <v>168</v>
      </c>
      <c r="H66" s="16" t="s">
        <v>168</v>
      </c>
      <c r="I66" s="1" cm="1">
        <f t="array" ref="I66">IF($B66,INDEX($L:$L,MATCH(TRUE,EXACT(G66,$E:$E),0)),"")</f>
        <v>1</v>
      </c>
      <c r="J66" s="16" cm="1">
        <f t="array" ref="J66">IF($B66,INDEX($L:$L,MATCH(TRUE,EXACT(H66,$E:$E),0)),"")</f>
        <v>1</v>
      </c>
      <c r="K66" s="9"/>
      <c r="L66" s="34" t="str">
        <f t="shared" si="2"/>
        <v>`</v>
      </c>
      <c r="M66" s="7" t="s">
        <v>201</v>
      </c>
      <c r="N66" s="10" t="s">
        <v>201</v>
      </c>
      <c r="O66" s="10" t="s">
        <v>214</v>
      </c>
      <c r="P66" s="8" t="s">
        <v>214</v>
      </c>
    </row>
    <row r="67" spans="1:16" ht="31.5">
      <c r="A67" s="28" t="s">
        <v>10</v>
      </c>
      <c r="B67" s="8" t="b">
        <f t="shared" ref="B67:B130" si="3">4=COUNTA($E67:$H67)</f>
        <v>1</v>
      </c>
      <c r="D67" s="34" t="str">
        <f t="shared" ref="D67:D130" si="4">$A67</f>
        <v>a</v>
      </c>
      <c r="E67" s="1" t="s">
        <v>1</v>
      </c>
      <c r="F67" s="9" t="s">
        <v>12</v>
      </c>
      <c r="G67" s="9" t="s">
        <v>10</v>
      </c>
      <c r="H67" s="16" t="s">
        <v>12</v>
      </c>
      <c r="I67" s="1" t="str" cm="1">
        <f t="array" ref="I67">IF($B67,INDEX($L:$L,MATCH(TRUE,EXACT(G67,$E:$E),0)),"")</f>
        <v>x</v>
      </c>
      <c r="J67" s="16" t="str" cm="1">
        <f t="array" ref="J67">IF($B67,INDEX($L:$L,MATCH(TRUE,EXACT(H67,$E:$E),0)),"")</f>
        <v>w</v>
      </c>
      <c r="K67" s="9"/>
      <c r="L67" s="34" t="str">
        <f t="shared" ref="L67:L130" si="5">$A67</f>
        <v>a</v>
      </c>
      <c r="M67" s="7" t="s">
        <v>201</v>
      </c>
      <c r="N67" s="10" t="s">
        <v>201</v>
      </c>
      <c r="O67" s="10" t="s">
        <v>214</v>
      </c>
      <c r="P67" s="8" t="s">
        <v>201</v>
      </c>
    </row>
    <row r="68" spans="1:16" ht="31.5">
      <c r="A68" s="28" t="s">
        <v>23</v>
      </c>
      <c r="B68" s="8" t="b">
        <f t="shared" si="3"/>
        <v>1</v>
      </c>
      <c r="D68" s="34" t="str">
        <f t="shared" si="4"/>
        <v>b</v>
      </c>
      <c r="E68" s="1">
        <v>6</v>
      </c>
      <c r="F68" s="9" t="s">
        <v>24</v>
      </c>
      <c r="G68" s="9" t="s">
        <v>23</v>
      </c>
      <c r="H68" s="16" t="s">
        <v>24</v>
      </c>
      <c r="I68" s="1" t="str" cm="1">
        <f t="array" ref="I68">IF($B68,INDEX($L:$L,MATCH(TRUE,EXACT(G68,$E:$E),0)),"")</f>
        <v>y</v>
      </c>
      <c r="J68" s="16" cm="1">
        <f t="array" ref="J68">IF($B68,INDEX($L:$L,MATCH(TRUE,EXACT(H68,$E:$E),0)),"")</f>
        <v>6</v>
      </c>
      <c r="K68" s="9"/>
      <c r="L68" s="34" t="str">
        <f t="shared" si="5"/>
        <v>b</v>
      </c>
      <c r="M68" s="7" t="s">
        <v>201</v>
      </c>
      <c r="N68" s="10" t="s">
        <v>201</v>
      </c>
      <c r="O68" s="10" t="s">
        <v>214</v>
      </c>
      <c r="P68" s="8" t="s">
        <v>202</v>
      </c>
    </row>
    <row r="69" spans="1:16" ht="31.5">
      <c r="A69" s="28" t="s">
        <v>21</v>
      </c>
      <c r="B69" s="8" t="b">
        <f t="shared" si="3"/>
        <v>1</v>
      </c>
      <c r="D69" s="34" t="str">
        <f t="shared" si="4"/>
        <v>c</v>
      </c>
      <c r="E69" s="1" t="s">
        <v>19</v>
      </c>
      <c r="F69" s="9" t="s">
        <v>0</v>
      </c>
      <c r="G69" s="9" t="s">
        <v>2</v>
      </c>
      <c r="H69" s="16" t="s">
        <v>19</v>
      </c>
      <c r="I69" s="1" t="str" cm="1">
        <f t="array" ref="I69">IF($B69,INDEX($L:$L,MATCH(TRUE,EXACT(G69,$E:$E),0)),"")</f>
        <v>q</v>
      </c>
      <c r="J69" s="16" t="str" cm="1">
        <f t="array" ref="J69">IF($B69,INDEX($L:$L,MATCH(TRUE,EXACT(H69,$E:$E),0)),"")</f>
        <v>c</v>
      </c>
      <c r="K69" s="9"/>
      <c r="L69" s="34" t="str">
        <f t="shared" si="5"/>
        <v>c</v>
      </c>
      <c r="M69" s="7" t="s">
        <v>201</v>
      </c>
      <c r="N69" s="10" t="s">
        <v>214</v>
      </c>
      <c r="O69" s="10" t="s">
        <v>201</v>
      </c>
      <c r="P69" s="8" t="s">
        <v>214</v>
      </c>
    </row>
    <row r="70" spans="1:16" ht="31.5">
      <c r="A70" s="28" t="s">
        <v>12</v>
      </c>
      <c r="B70" s="8" t="b">
        <f t="shared" si="3"/>
        <v>1</v>
      </c>
      <c r="D70" s="34" t="str">
        <f t="shared" si="4"/>
        <v>d</v>
      </c>
      <c r="E70" s="1" t="s">
        <v>20</v>
      </c>
      <c r="F70" s="9" t="s">
        <v>10</v>
      </c>
      <c r="G70" s="9" t="s">
        <v>12</v>
      </c>
      <c r="H70" s="16" t="s">
        <v>10</v>
      </c>
      <c r="I70" s="1" t="str" cm="1">
        <f t="array" ref="I70">IF($B70,INDEX($L:$L,MATCH(TRUE,EXACT(G70,$E:$E),0)),"")</f>
        <v>w</v>
      </c>
      <c r="J70" s="16" t="str" cm="1">
        <f t="array" ref="J70">IF($B70,INDEX($L:$L,MATCH(TRUE,EXACT(H70,$E:$E),0)),"")</f>
        <v>x</v>
      </c>
      <c r="K70" s="9"/>
      <c r="L70" s="34" t="str">
        <f t="shared" si="5"/>
        <v>d</v>
      </c>
      <c r="M70" s="7" t="s">
        <v>201</v>
      </c>
      <c r="N70" s="10" t="s">
        <v>201</v>
      </c>
      <c r="O70" s="10" t="s">
        <v>201</v>
      </c>
      <c r="P70" s="8" t="s">
        <v>214</v>
      </c>
    </row>
    <row r="71" spans="1:16" ht="31.5">
      <c r="A71" s="28" t="s">
        <v>2</v>
      </c>
      <c r="B71" s="8" t="b">
        <f t="shared" si="3"/>
        <v>1</v>
      </c>
      <c r="D71" s="34" t="str">
        <f t="shared" si="4"/>
        <v>e</v>
      </c>
      <c r="E71" s="1" t="s">
        <v>21</v>
      </c>
      <c r="F71" s="9" t="s">
        <v>19</v>
      </c>
      <c r="G71" s="9" t="s">
        <v>21</v>
      </c>
      <c r="H71" s="16" t="s">
        <v>0</v>
      </c>
      <c r="I71" s="1" t="str" cm="1">
        <f t="array" ref="I71">IF($B71,INDEX($L:$L,MATCH(TRUE,EXACT(G71,$E:$E),0)),"")</f>
        <v>e</v>
      </c>
      <c r="J71" s="16" t="str" cm="1">
        <f t="array" ref="J71">IF($B71,INDEX($L:$L,MATCH(TRUE,EXACT(H71,$E:$E),0)),"")</f>
        <v>z</v>
      </c>
      <c r="K71" s="9"/>
      <c r="L71" s="34" t="str">
        <f t="shared" si="5"/>
        <v>e</v>
      </c>
      <c r="M71" s="7" t="s">
        <v>214</v>
      </c>
      <c r="N71" s="10" t="s">
        <v>201</v>
      </c>
      <c r="O71" s="10" t="s">
        <v>201</v>
      </c>
      <c r="P71" s="8" t="s">
        <v>214</v>
      </c>
    </row>
    <row r="72" spans="1:16" ht="31.5">
      <c r="A72" s="28" t="s">
        <v>13</v>
      </c>
      <c r="B72" s="8" t="b">
        <f t="shared" si="3"/>
        <v>1</v>
      </c>
      <c r="D72" s="34" t="str">
        <f t="shared" si="4"/>
        <v>f</v>
      </c>
      <c r="E72" s="1">
        <v>4</v>
      </c>
      <c r="F72" s="9" t="s">
        <v>22</v>
      </c>
      <c r="G72" s="9" t="s">
        <v>13</v>
      </c>
      <c r="H72" s="16" t="s">
        <v>22</v>
      </c>
      <c r="I72" s="1" t="str" cm="1">
        <f t="array" ref="I72">IF($B72,INDEX($L:$L,MATCH(TRUE,EXACT(G72,$E:$E),0)),"")</f>
        <v>r</v>
      </c>
      <c r="J72" s="16" cm="1">
        <f t="array" ref="J72">IF($B72,INDEX($L:$L,MATCH(TRUE,EXACT(H72,$E:$E),0)),"")</f>
        <v>4</v>
      </c>
      <c r="K72" s="9"/>
      <c r="L72" s="34" t="str">
        <f t="shared" si="5"/>
        <v>f</v>
      </c>
      <c r="M72" s="7" t="s">
        <v>214</v>
      </c>
      <c r="N72" s="10" t="s">
        <v>214</v>
      </c>
      <c r="O72" s="10" t="s">
        <v>214</v>
      </c>
      <c r="P72" s="8" t="s">
        <v>201</v>
      </c>
    </row>
    <row r="73" spans="1:16" ht="31.5">
      <c r="A73" s="28" t="s">
        <v>14</v>
      </c>
      <c r="B73" s="8" t="b">
        <f t="shared" si="3"/>
        <v>1</v>
      </c>
      <c r="D73" s="34" t="str">
        <f t="shared" si="4"/>
        <v>g</v>
      </c>
      <c r="E73" s="1">
        <v>5</v>
      </c>
      <c r="F73" s="9" t="s">
        <v>15</v>
      </c>
      <c r="G73" s="9" t="s">
        <v>14</v>
      </c>
      <c r="H73" s="16" t="s">
        <v>15</v>
      </c>
      <c r="I73" s="1" t="str" cm="1">
        <f t="array" ref="I73">IF($B73,INDEX($L:$L,MATCH(TRUE,EXACT(G73,$E:$E),0)),"")</f>
        <v>t</v>
      </c>
      <c r="J73" s="16" cm="1">
        <f t="array" ref="J73">IF($B73,INDEX($L:$L,MATCH(TRUE,EXACT(H73,$E:$E),0)),"")</f>
        <v>5</v>
      </c>
      <c r="K73" s="9"/>
      <c r="L73" s="34" t="str">
        <f t="shared" si="5"/>
        <v>g</v>
      </c>
      <c r="M73" s="7" t="s">
        <v>201</v>
      </c>
      <c r="N73" s="10" t="s">
        <v>201</v>
      </c>
      <c r="O73" s="10" t="s">
        <v>201</v>
      </c>
      <c r="P73" s="8" t="s">
        <v>202</v>
      </c>
    </row>
    <row r="74" spans="1:16" ht="31.5">
      <c r="A74" s="28" t="s">
        <v>15</v>
      </c>
      <c r="B74" s="8" t="b">
        <f t="shared" si="3"/>
        <v>1</v>
      </c>
      <c r="D74" s="34" t="str">
        <f t="shared" si="4"/>
        <v>h</v>
      </c>
      <c r="E74" s="1" t="s">
        <v>4</v>
      </c>
      <c r="F74" s="9" t="s">
        <v>14</v>
      </c>
      <c r="G74" s="9" t="s">
        <v>15</v>
      </c>
      <c r="H74" s="16" t="s">
        <v>14</v>
      </c>
      <c r="I74" s="1" cm="1">
        <f t="array" ref="I74">IF($B74,INDEX($L:$L,MATCH(TRUE,EXACT(G74,$E:$E),0)),"")</f>
        <v>5</v>
      </c>
      <c r="J74" s="16" t="str" cm="1">
        <f t="array" ref="J74">IF($B74,INDEX($L:$L,MATCH(TRUE,EXACT(H74,$E:$E),0)),"")</f>
        <v>t</v>
      </c>
      <c r="K74" s="9"/>
      <c r="L74" s="34" t="str">
        <f t="shared" si="5"/>
        <v>h</v>
      </c>
      <c r="M74" s="7" t="s">
        <v>201</v>
      </c>
      <c r="N74" s="10" t="s">
        <v>201</v>
      </c>
      <c r="O74" s="10" t="s">
        <v>202</v>
      </c>
      <c r="P74" s="8" t="s">
        <v>201</v>
      </c>
    </row>
    <row r="75" spans="1:16" ht="31.5">
      <c r="A75" s="28" t="s">
        <v>7</v>
      </c>
      <c r="B75" s="8" t="b">
        <f t="shared" si="3"/>
        <v>1</v>
      </c>
      <c r="D75" s="34" t="str">
        <f t="shared" si="4"/>
        <v>i</v>
      </c>
      <c r="E75" s="1" t="s">
        <v>25</v>
      </c>
      <c r="F75" s="9">
        <v>7</v>
      </c>
      <c r="G75" s="9">
        <v>8</v>
      </c>
      <c r="H75" s="16" t="s">
        <v>6</v>
      </c>
      <c r="I75" s="1" t="str" cm="1">
        <f t="array" ref="I75">IF($B75,INDEX($L:$L,MATCH(TRUE,EXACT(G75,$E:$E),0)),"")</f>
        <v>j</v>
      </c>
      <c r="J75" s="16" t="str" cm="1">
        <f t="array" ref="J75">IF($B75,INDEX($L:$L,MATCH(TRUE,EXACT(H75,$E:$E),0)),"")</f>
        <v>,</v>
      </c>
      <c r="K75" s="9"/>
      <c r="L75" s="34" t="str">
        <f t="shared" si="5"/>
        <v>i</v>
      </c>
      <c r="M75" s="7" t="s">
        <v>202</v>
      </c>
      <c r="N75" s="10" t="s">
        <v>201</v>
      </c>
      <c r="O75" s="10" t="s">
        <v>201</v>
      </c>
      <c r="P75" s="8" t="s">
        <v>214</v>
      </c>
    </row>
    <row r="76" spans="1:16" ht="31.5">
      <c r="A76" s="28" t="s">
        <v>16</v>
      </c>
      <c r="B76" s="8" t="b">
        <f t="shared" si="3"/>
        <v>1</v>
      </c>
      <c r="D76" s="34" t="str">
        <f t="shared" si="4"/>
        <v>j</v>
      </c>
      <c r="E76" s="1">
        <v>8</v>
      </c>
      <c r="F76" s="9" t="s">
        <v>64</v>
      </c>
      <c r="G76" s="9" t="s">
        <v>25</v>
      </c>
      <c r="H76" s="16" t="s">
        <v>17</v>
      </c>
      <c r="I76" s="1" t="str" cm="1">
        <f t="array" ref="I76">IF($B76,INDEX($L:$L,MATCH(TRUE,EXACT(G76,$E:$E),0)),"")</f>
        <v>i</v>
      </c>
      <c r="J76" s="16" cm="1">
        <f t="array" ref="J76">IF($B76,INDEX($L:$L,MATCH(TRUE,EXACT(H76,$E:$E),0)),"")</f>
        <v>7</v>
      </c>
      <c r="K76" s="9"/>
      <c r="L76" s="34" t="str">
        <f t="shared" si="5"/>
        <v>j</v>
      </c>
      <c r="M76" s="7" t="s">
        <v>214</v>
      </c>
      <c r="N76" s="10" t="s">
        <v>201</v>
      </c>
      <c r="O76" s="10" t="s">
        <v>201</v>
      </c>
      <c r="P76" s="8" t="s">
        <v>202</v>
      </c>
    </row>
    <row r="77" spans="1:16" ht="31.5">
      <c r="A77" s="28" t="s">
        <v>17</v>
      </c>
      <c r="B77" s="8" t="b">
        <f t="shared" si="3"/>
        <v>1</v>
      </c>
      <c r="D77" s="34" t="str">
        <f t="shared" si="4"/>
        <v>k</v>
      </c>
      <c r="E77" s="1" t="s">
        <v>7</v>
      </c>
      <c r="F77" s="9" t="s">
        <v>25</v>
      </c>
      <c r="G77" s="9" t="s">
        <v>64</v>
      </c>
      <c r="H77" s="16" t="s">
        <v>16</v>
      </c>
      <c r="I77" s="1" cm="1">
        <f t="array" ref="I77">IF($B77,INDEX($L:$L,MATCH(TRUE,EXACT(G77,$E:$E),0)),"")</f>
        <v>8</v>
      </c>
      <c r="J77" s="16" t="str" cm="1">
        <f t="array" ref="J77">IF($B77,INDEX($L:$L,MATCH(TRUE,EXACT(H77,$E:$E),0)),"")</f>
        <v>u</v>
      </c>
      <c r="K77" s="9"/>
      <c r="L77" s="34" t="str">
        <f t="shared" si="5"/>
        <v>k</v>
      </c>
      <c r="M77" s="7" t="s">
        <v>214</v>
      </c>
      <c r="N77" s="10" t="s">
        <v>201</v>
      </c>
      <c r="O77" s="10" t="s">
        <v>202</v>
      </c>
      <c r="P77" s="8" t="s">
        <v>201</v>
      </c>
    </row>
    <row r="78" spans="1:16" ht="31.5">
      <c r="A78" s="28" t="s">
        <v>18</v>
      </c>
      <c r="B78" s="8" t="b">
        <f t="shared" si="3"/>
        <v>1</v>
      </c>
      <c r="D78" s="34" t="str">
        <f t="shared" si="4"/>
        <v>l</v>
      </c>
      <c r="E78" s="1">
        <v>0</v>
      </c>
      <c r="F78" s="9" t="s">
        <v>65</v>
      </c>
      <c r="G78" s="9" t="s">
        <v>73</v>
      </c>
      <c r="H78" s="16" t="s">
        <v>66</v>
      </c>
      <c r="I78" s="1" t="str" cm="1">
        <f t="array" ref="I78">IF($B78,INDEX($L:$L,MATCH(TRUE,EXACT(G78,$E:$E),0)),"")</f>
        <v>p</v>
      </c>
      <c r="J78" s="16" cm="1">
        <f t="array" ref="J78">IF($B78,INDEX($L:$L,MATCH(TRUE,EXACT(H78,$E:$E),0)),"")</f>
        <v>9</v>
      </c>
      <c r="K78" s="9"/>
      <c r="L78" s="34" t="str">
        <f t="shared" si="5"/>
        <v>l</v>
      </c>
      <c r="M78" s="7" t="s">
        <v>214</v>
      </c>
      <c r="N78" s="10" t="s">
        <v>201</v>
      </c>
      <c r="O78" s="10" t="s">
        <v>214</v>
      </c>
      <c r="P78" s="8" t="s">
        <v>202</v>
      </c>
    </row>
    <row r="79" spans="1:16" ht="31.5">
      <c r="A79" s="28" t="s">
        <v>25</v>
      </c>
      <c r="B79" s="8" t="b">
        <f t="shared" si="3"/>
        <v>1</v>
      </c>
      <c r="D79" s="34" t="str">
        <f t="shared" si="4"/>
        <v>m</v>
      </c>
      <c r="E79" s="1">
        <v>7</v>
      </c>
      <c r="F79" s="9" t="s">
        <v>17</v>
      </c>
      <c r="G79" s="9" t="s">
        <v>16</v>
      </c>
      <c r="H79" s="16" t="s">
        <v>64</v>
      </c>
      <c r="I79" s="1" t="str" cm="1">
        <f t="array" ref="I79">IF($B79,INDEX($L:$L,MATCH(TRUE,EXACT(G79,$E:$E),0)),"")</f>
        <v>u</v>
      </c>
      <c r="J79" s="16" cm="1">
        <f t="array" ref="J79">IF($B79,INDEX($L:$L,MATCH(TRUE,EXACT(H79,$E:$E),0)),"")</f>
        <v>8</v>
      </c>
      <c r="K79" s="9"/>
      <c r="L79" s="34" t="str">
        <f t="shared" si="5"/>
        <v>m</v>
      </c>
      <c r="M79" s="7" t="s">
        <v>201</v>
      </c>
      <c r="N79" s="10" t="s">
        <v>214</v>
      </c>
      <c r="O79" s="10" t="s">
        <v>201</v>
      </c>
      <c r="P79" s="8" t="s">
        <v>202</v>
      </c>
    </row>
    <row r="80" spans="1:16" ht="31.5">
      <c r="A80" s="28" t="s">
        <v>24</v>
      </c>
      <c r="B80" s="8" t="b">
        <f t="shared" si="3"/>
        <v>1</v>
      </c>
      <c r="D80" s="34" t="str">
        <f t="shared" si="4"/>
        <v>n</v>
      </c>
      <c r="E80" s="1" t="s">
        <v>5</v>
      </c>
      <c r="F80" s="9" t="s">
        <v>23</v>
      </c>
      <c r="G80" s="9" t="s">
        <v>24</v>
      </c>
      <c r="H80" s="16" t="s">
        <v>23</v>
      </c>
      <c r="I80" s="1" cm="1">
        <f t="array" ref="I80">IF($B80,INDEX($L:$L,MATCH(TRUE,EXACT(G80,$E:$E),0)),"")</f>
        <v>6</v>
      </c>
      <c r="J80" s="16" t="str" cm="1">
        <f t="array" ref="J80">IF($B80,INDEX($L:$L,MATCH(TRUE,EXACT(H80,$E:$E),0)),"")</f>
        <v>y</v>
      </c>
      <c r="K80" s="9"/>
      <c r="L80" s="34" t="str">
        <f t="shared" si="5"/>
        <v>n</v>
      </c>
      <c r="M80" s="7" t="s">
        <v>201</v>
      </c>
      <c r="N80" s="10" t="s">
        <v>201</v>
      </c>
      <c r="O80" s="10" t="s">
        <v>202</v>
      </c>
      <c r="P80" s="8" t="s">
        <v>214</v>
      </c>
    </row>
    <row r="81" spans="1:16" ht="31.5">
      <c r="A81" s="28" t="s">
        <v>8</v>
      </c>
      <c r="B81" s="8" t="b">
        <f t="shared" si="3"/>
        <v>1</v>
      </c>
      <c r="D81" s="34" t="str">
        <f t="shared" si="4"/>
        <v>o</v>
      </c>
      <c r="E81" s="1" t="s">
        <v>18</v>
      </c>
      <c r="F81" s="9">
        <v>0</v>
      </c>
      <c r="G81" s="9">
        <v>9</v>
      </c>
      <c r="H81" s="16" t="s">
        <v>9</v>
      </c>
      <c r="I81" s="1" t="str" cm="1">
        <f t="array" ref="I81">IF($B81,INDEX($L:$L,MATCH(TRUE,EXACT(G81,$E:$E),0)),"")</f>
        <v>.</v>
      </c>
      <c r="J81" s="16" t="str" cm="1">
        <f t="array" ref="J81">IF($B81,INDEX($L:$L,MATCH(TRUE,EXACT(H81,$E:$E),0)),"")</f>
        <v>;</v>
      </c>
      <c r="K81" s="9"/>
      <c r="L81" s="34" t="str">
        <f t="shared" si="5"/>
        <v>o</v>
      </c>
      <c r="M81" s="7" t="s">
        <v>202</v>
      </c>
      <c r="N81" s="10" t="s">
        <v>214</v>
      </c>
      <c r="O81" s="10" t="s">
        <v>214</v>
      </c>
      <c r="P81" s="8" t="s">
        <v>201</v>
      </c>
    </row>
    <row r="82" spans="1:16" ht="31.5">
      <c r="A82" s="28" t="s">
        <v>9</v>
      </c>
      <c r="B82" s="8" t="b">
        <f t="shared" si="3"/>
        <v>1</v>
      </c>
      <c r="D82" s="34" t="str">
        <f t="shared" si="4"/>
        <v>p</v>
      </c>
      <c r="E82" s="1" t="s">
        <v>73</v>
      </c>
      <c r="F82" s="9">
        <v>9</v>
      </c>
      <c r="G82" s="9">
        <v>0</v>
      </c>
      <c r="H82" s="16" t="s">
        <v>8</v>
      </c>
      <c r="I82" s="1" t="str" cm="1">
        <f t="array" ref="I82">IF($B82,INDEX($L:$L,MATCH(TRUE,EXACT(G82,$E:$E),0)),"")</f>
        <v>l</v>
      </c>
      <c r="J82" s="16" t="str" cm="1">
        <f t="array" ref="J82">IF($B82,INDEX($L:$L,MATCH(TRUE,EXACT(H82,$E:$E),0)),"")</f>
        <v>/</v>
      </c>
      <c r="K82" s="9"/>
      <c r="L82" s="34" t="str">
        <f t="shared" si="5"/>
        <v>p</v>
      </c>
      <c r="M82" s="7" t="s">
        <v>202</v>
      </c>
      <c r="N82" s="10" t="s">
        <v>214</v>
      </c>
      <c r="O82" s="10" t="s">
        <v>201</v>
      </c>
      <c r="P82" s="8" t="s">
        <v>214</v>
      </c>
    </row>
    <row r="83" spans="1:16" ht="31.5">
      <c r="A83" s="28" t="s">
        <v>0</v>
      </c>
      <c r="B83" s="8" t="b">
        <f t="shared" si="3"/>
        <v>1</v>
      </c>
      <c r="D83" s="34" t="str">
        <f t="shared" si="4"/>
        <v>q</v>
      </c>
      <c r="E83" s="1" t="s">
        <v>2</v>
      </c>
      <c r="F83" s="9" t="s">
        <v>21</v>
      </c>
      <c r="G83" s="9" t="s">
        <v>19</v>
      </c>
      <c r="H83" s="16" t="s">
        <v>2</v>
      </c>
      <c r="I83" s="1" t="str" cm="1">
        <f t="array" ref="I83">IF($B83,INDEX($L:$L,MATCH(TRUE,EXACT(G83,$E:$E),0)),"")</f>
        <v>c</v>
      </c>
      <c r="J83" s="16" t="str" cm="1">
        <f t="array" ref="J83">IF($B83,INDEX($L:$L,MATCH(TRUE,EXACT(H83,$E:$E),0)),"")</f>
        <v>q</v>
      </c>
      <c r="K83" s="9"/>
      <c r="L83" s="34" t="str">
        <f t="shared" si="5"/>
        <v>q</v>
      </c>
      <c r="M83" s="7" t="s">
        <v>214</v>
      </c>
      <c r="N83" s="10" t="s">
        <v>201</v>
      </c>
      <c r="O83" s="10" t="s">
        <v>214</v>
      </c>
      <c r="P83" s="8" t="s">
        <v>201</v>
      </c>
    </row>
    <row r="84" spans="1:16" ht="31.5">
      <c r="A84" s="28" t="s">
        <v>3</v>
      </c>
      <c r="B84" s="8" t="b">
        <f t="shared" si="3"/>
        <v>1</v>
      </c>
      <c r="D84" s="34" t="str">
        <f t="shared" si="4"/>
        <v>r</v>
      </c>
      <c r="E84" s="1" t="s">
        <v>13</v>
      </c>
      <c r="F84" s="9">
        <v>4</v>
      </c>
      <c r="G84" s="9">
        <v>4</v>
      </c>
      <c r="H84" s="16" t="s">
        <v>3</v>
      </c>
      <c r="I84" s="1" t="str" cm="1">
        <f t="array" ref="I84">IF($B84,INDEX($L:$L,MATCH(TRUE,EXACT(G84,$E:$E),0)),"")</f>
        <v>f</v>
      </c>
      <c r="J84" s="16" t="str" cm="1">
        <f t="array" ref="J84">IF($B84,INDEX($L:$L,MATCH(TRUE,EXACT(H84,$E:$E),0)),"")</f>
        <v>v</v>
      </c>
      <c r="K84" s="9"/>
      <c r="L84" s="34" t="str">
        <f t="shared" si="5"/>
        <v>r</v>
      </c>
      <c r="M84" s="7" t="s">
        <v>201</v>
      </c>
      <c r="N84" s="10" t="s">
        <v>214</v>
      </c>
      <c r="O84" s="10" t="s">
        <v>214</v>
      </c>
      <c r="P84" s="8" t="s">
        <v>214</v>
      </c>
    </row>
    <row r="85" spans="1:16" ht="31.5">
      <c r="A85" s="28" t="s">
        <v>11</v>
      </c>
      <c r="B85" s="8" t="b">
        <f t="shared" si="3"/>
        <v>1</v>
      </c>
      <c r="D85" s="34" t="str">
        <f t="shared" si="4"/>
        <v>s</v>
      </c>
      <c r="E85" s="1" t="s">
        <v>11</v>
      </c>
      <c r="F85" s="9" t="s">
        <v>11</v>
      </c>
      <c r="G85" s="9" t="s">
        <v>11</v>
      </c>
      <c r="H85" s="16" t="s">
        <v>11</v>
      </c>
      <c r="I85" s="1" t="str" cm="1">
        <f t="array" ref="I85">IF($B85,INDEX($L:$L,MATCH(TRUE,EXACT(G85,$E:$E),0)),"")</f>
        <v>s</v>
      </c>
      <c r="J85" s="16" t="str" cm="1">
        <f t="array" ref="J85">IF($B85,INDEX($L:$L,MATCH(TRUE,EXACT(H85,$E:$E),0)),"")</f>
        <v>s</v>
      </c>
      <c r="K85" s="9"/>
      <c r="L85" s="34" t="str">
        <f t="shared" si="5"/>
        <v>s</v>
      </c>
      <c r="M85" s="7" t="s">
        <v>201</v>
      </c>
      <c r="N85" s="10" t="s">
        <v>201</v>
      </c>
      <c r="O85" s="10" t="s">
        <v>201</v>
      </c>
      <c r="P85" s="8" t="s">
        <v>201</v>
      </c>
    </row>
    <row r="86" spans="1:16" ht="31.5">
      <c r="A86" s="28" t="s">
        <v>4</v>
      </c>
      <c r="B86" s="8" t="b">
        <f t="shared" si="3"/>
        <v>1</v>
      </c>
      <c r="D86" s="34" t="str">
        <f t="shared" si="4"/>
        <v>t</v>
      </c>
      <c r="E86" s="1" t="s">
        <v>14</v>
      </c>
      <c r="F86" s="9">
        <v>5</v>
      </c>
      <c r="G86" s="9">
        <v>5</v>
      </c>
      <c r="H86" s="16" t="s">
        <v>4</v>
      </c>
      <c r="I86" s="1" t="str" cm="1">
        <f t="array" ref="I86">IF($B86,INDEX($L:$L,MATCH(TRUE,EXACT(G86,$E:$E),0)),"")</f>
        <v>g</v>
      </c>
      <c r="J86" s="16" t="str" cm="1">
        <f t="array" ref="J86">IF($B86,INDEX($L:$L,MATCH(TRUE,EXACT(H86,$E:$E),0)),"")</f>
        <v>h</v>
      </c>
      <c r="K86" s="9"/>
      <c r="L86" s="34" t="str">
        <f t="shared" si="5"/>
        <v>t</v>
      </c>
      <c r="M86" s="7" t="s">
        <v>202</v>
      </c>
      <c r="N86" s="10" t="s">
        <v>201</v>
      </c>
      <c r="O86" s="10" t="s">
        <v>201</v>
      </c>
      <c r="P86" s="8" t="s">
        <v>201</v>
      </c>
    </row>
    <row r="87" spans="1:16" ht="31.5">
      <c r="A87" s="28" t="s">
        <v>6</v>
      </c>
      <c r="B87" s="8" t="b">
        <f t="shared" si="3"/>
        <v>1</v>
      </c>
      <c r="D87" s="34" t="str">
        <f t="shared" si="4"/>
        <v>u</v>
      </c>
      <c r="E87" s="1" t="s">
        <v>16</v>
      </c>
      <c r="F87" s="9">
        <v>8</v>
      </c>
      <c r="G87" s="9">
        <v>7</v>
      </c>
      <c r="H87" s="16" t="s">
        <v>7</v>
      </c>
      <c r="I87" s="1" t="str" cm="1">
        <f t="array" ref="I87">IF($B87,INDEX($L:$L,MATCH(TRUE,EXACT(G87,$E:$E),0)),"")</f>
        <v>m</v>
      </c>
      <c r="J87" s="16" t="str" cm="1">
        <f t="array" ref="J87">IF($B87,INDEX($L:$L,MATCH(TRUE,EXACT(H87,$E:$E),0)),"")</f>
        <v>k</v>
      </c>
      <c r="K87" s="9"/>
      <c r="L87" s="34" t="str">
        <f t="shared" si="5"/>
        <v>u</v>
      </c>
      <c r="M87" s="7" t="s">
        <v>202</v>
      </c>
      <c r="N87" s="10" t="s">
        <v>201</v>
      </c>
      <c r="O87" s="10" t="s">
        <v>214</v>
      </c>
      <c r="P87" s="8" t="s">
        <v>201</v>
      </c>
    </row>
    <row r="88" spans="1:16" ht="31.5">
      <c r="A88" s="28" t="s">
        <v>22</v>
      </c>
      <c r="B88" s="8" t="b">
        <f t="shared" si="3"/>
        <v>1</v>
      </c>
      <c r="D88" s="34" t="str">
        <f t="shared" si="4"/>
        <v>v</v>
      </c>
      <c r="E88" s="1" t="s">
        <v>3</v>
      </c>
      <c r="F88" s="9" t="s">
        <v>13</v>
      </c>
      <c r="G88" s="9" t="s">
        <v>22</v>
      </c>
      <c r="H88" s="16" t="s">
        <v>13</v>
      </c>
      <c r="I88" s="1" cm="1">
        <f t="array" ref="I88">IF($B88,INDEX($L:$L,MATCH(TRUE,EXACT(G88,$E:$E),0)),"")</f>
        <v>4</v>
      </c>
      <c r="J88" s="16" t="str" cm="1">
        <f t="array" ref="J88">IF($B88,INDEX($L:$L,MATCH(TRUE,EXACT(H88,$E:$E),0)),"")</f>
        <v>r</v>
      </c>
      <c r="K88" s="9"/>
      <c r="L88" s="34" t="str">
        <f t="shared" si="5"/>
        <v>v</v>
      </c>
      <c r="M88" s="7" t="s">
        <v>214</v>
      </c>
      <c r="N88" s="10" t="s">
        <v>214</v>
      </c>
      <c r="O88" s="10" t="s">
        <v>201</v>
      </c>
      <c r="P88" s="8" t="s">
        <v>214</v>
      </c>
    </row>
    <row r="89" spans="1:16" ht="31.5">
      <c r="A89" s="28" t="s">
        <v>1</v>
      </c>
      <c r="B89" s="8" t="b">
        <f t="shared" si="3"/>
        <v>1</v>
      </c>
      <c r="D89" s="34" t="str">
        <f t="shared" si="4"/>
        <v>w</v>
      </c>
      <c r="E89" s="1" t="s">
        <v>12</v>
      </c>
      <c r="F89" s="9" t="s">
        <v>20</v>
      </c>
      <c r="G89" s="9" t="s">
        <v>20</v>
      </c>
      <c r="H89" s="16" t="s">
        <v>1</v>
      </c>
      <c r="I89" s="1" t="str" cm="1">
        <f t="array" ref="I89">IF($B89,INDEX($L:$L,MATCH(TRUE,EXACT(G89,$E:$E),0)),"")</f>
        <v>d</v>
      </c>
      <c r="J89" s="16" t="str" cm="1">
        <f t="array" ref="J89">IF($B89,INDEX($L:$L,MATCH(TRUE,EXACT(H89,$E:$E),0)),"")</f>
        <v>a</v>
      </c>
      <c r="K89" s="9"/>
      <c r="L89" s="34" t="str">
        <f t="shared" si="5"/>
        <v>w</v>
      </c>
      <c r="M89" s="7" t="s">
        <v>214</v>
      </c>
      <c r="N89" s="10" t="s">
        <v>201</v>
      </c>
      <c r="O89" s="10" t="s">
        <v>201</v>
      </c>
      <c r="P89" s="8" t="s">
        <v>201</v>
      </c>
    </row>
    <row r="90" spans="1:16" ht="31.5">
      <c r="A90" s="28" t="s">
        <v>20</v>
      </c>
      <c r="B90" s="8" t="b">
        <f t="shared" si="3"/>
        <v>1</v>
      </c>
      <c r="D90" s="34" t="str">
        <f t="shared" si="4"/>
        <v>x</v>
      </c>
      <c r="E90" s="1" t="s">
        <v>10</v>
      </c>
      <c r="F90" s="9" t="s">
        <v>1</v>
      </c>
      <c r="G90" s="9" t="s">
        <v>1</v>
      </c>
      <c r="H90" s="16" t="s">
        <v>20</v>
      </c>
      <c r="I90" s="1" t="str" cm="1">
        <f t="array" ref="I90">IF($B90,INDEX($L:$L,MATCH(TRUE,EXACT(G90,$E:$E),0)),"")</f>
        <v>a</v>
      </c>
      <c r="J90" s="16" t="str" cm="1">
        <f t="array" ref="J90">IF($B90,INDEX($L:$L,MATCH(TRUE,EXACT(H90,$E:$E),0)),"")</f>
        <v>d</v>
      </c>
      <c r="K90" s="9"/>
      <c r="L90" s="34" t="str">
        <f t="shared" si="5"/>
        <v>x</v>
      </c>
      <c r="M90" s="7" t="s">
        <v>201</v>
      </c>
      <c r="N90" s="10" t="s">
        <v>214</v>
      </c>
      <c r="O90" s="10" t="s">
        <v>201</v>
      </c>
      <c r="P90" s="8" t="s">
        <v>201</v>
      </c>
    </row>
    <row r="91" spans="1:16" ht="31.5">
      <c r="A91" s="28" t="s">
        <v>5</v>
      </c>
      <c r="B91" s="8" t="b">
        <f t="shared" si="3"/>
        <v>1</v>
      </c>
      <c r="D91" s="34" t="str">
        <f t="shared" si="4"/>
        <v>y</v>
      </c>
      <c r="E91" s="1" t="s">
        <v>23</v>
      </c>
      <c r="F91" s="9">
        <v>6</v>
      </c>
      <c r="G91" s="9">
        <v>6</v>
      </c>
      <c r="H91" s="16" t="s">
        <v>5</v>
      </c>
      <c r="I91" s="1" t="str" cm="1">
        <f t="array" ref="I91">IF($B91,INDEX($L:$L,MATCH(TRUE,EXACT(G91,$E:$E),0)),"")</f>
        <v>b</v>
      </c>
      <c r="J91" s="16" t="str" cm="1">
        <f t="array" ref="J91">IF($B91,INDEX($L:$L,MATCH(TRUE,EXACT(H91,$E:$E),0)),"")</f>
        <v>n</v>
      </c>
      <c r="K91" s="9"/>
      <c r="L91" s="34" t="str">
        <f t="shared" si="5"/>
        <v>y</v>
      </c>
      <c r="M91" s="7" t="s">
        <v>202</v>
      </c>
      <c r="N91" s="10" t="s">
        <v>214</v>
      </c>
      <c r="O91" s="10" t="s">
        <v>201</v>
      </c>
      <c r="P91" s="8" t="s">
        <v>201</v>
      </c>
    </row>
    <row r="92" spans="1:16" ht="31.5">
      <c r="A92" s="28" t="s">
        <v>19</v>
      </c>
      <c r="B92" s="8" t="b">
        <f t="shared" si="3"/>
        <v>1</v>
      </c>
      <c r="D92" s="34" t="str">
        <f t="shared" si="4"/>
        <v>z</v>
      </c>
      <c r="E92" s="1" t="s">
        <v>0</v>
      </c>
      <c r="F92" s="9" t="s">
        <v>2</v>
      </c>
      <c r="G92" s="9" t="s">
        <v>0</v>
      </c>
      <c r="H92" s="16" t="s">
        <v>21</v>
      </c>
      <c r="I92" s="1" t="str" cm="1">
        <f t="array" ref="I92">IF($B92,INDEX($L:$L,MATCH(TRUE,EXACT(G92,$E:$E),0)),"")</f>
        <v>z</v>
      </c>
      <c r="J92" s="16" t="str" cm="1">
        <f t="array" ref="J92">IF($B92,INDEX($L:$L,MATCH(TRUE,EXACT(H92,$E:$E),0)),"")</f>
        <v>e</v>
      </c>
      <c r="K92" s="9"/>
      <c r="L92" s="34" t="str">
        <f t="shared" si="5"/>
        <v>z</v>
      </c>
      <c r="M92" s="7" t="s">
        <v>201</v>
      </c>
      <c r="N92" s="10" t="s">
        <v>214</v>
      </c>
      <c r="O92" s="10" t="s">
        <v>214</v>
      </c>
      <c r="P92" s="8" t="s">
        <v>201</v>
      </c>
    </row>
    <row r="93" spans="1:16" ht="31.5">
      <c r="A93" s="28" t="s">
        <v>76</v>
      </c>
      <c r="B93" s="8" t="b">
        <f t="shared" si="3"/>
        <v>1</v>
      </c>
      <c r="D93" s="34" t="str">
        <f t="shared" si="4"/>
        <v>{</v>
      </c>
      <c r="E93" s="1" t="s">
        <v>75</v>
      </c>
      <c r="F93" s="9" t="s">
        <v>70</v>
      </c>
      <c r="G93" s="9" t="s">
        <v>75</v>
      </c>
      <c r="H93" s="16" t="s">
        <v>77</v>
      </c>
      <c r="I93" s="1" t="str" cm="1">
        <f t="array" ref="I93">IF($B93,INDEX($L:$L,MATCH(TRUE,EXACT(G93,$E:$E),0)),"")</f>
        <v>{</v>
      </c>
      <c r="J93" s="16" t="str" cm="1">
        <f t="array" ref="J93">IF($B93,INDEX($L:$L,MATCH(TRUE,EXACT(H93,$E:$E),0)),"")</f>
        <v>+</v>
      </c>
      <c r="K93" s="9"/>
      <c r="L93" s="34" t="str">
        <f t="shared" si="5"/>
        <v>{</v>
      </c>
      <c r="M93" s="7" t="s">
        <v>202</v>
      </c>
      <c r="N93" s="10" t="s">
        <v>201</v>
      </c>
      <c r="O93" s="10" t="s">
        <v>201</v>
      </c>
      <c r="P93" s="8" t="s">
        <v>202</v>
      </c>
    </row>
    <row r="94" spans="1:16" ht="31.5">
      <c r="A94" s="28" t="s">
        <v>69</v>
      </c>
      <c r="B94" s="8" t="b">
        <f t="shared" si="3"/>
        <v>1</v>
      </c>
      <c r="D94" s="34" t="str">
        <f t="shared" si="4"/>
        <v>|</v>
      </c>
      <c r="E94" s="1" t="s">
        <v>68</v>
      </c>
      <c r="F94" s="9" t="s">
        <v>69</v>
      </c>
      <c r="G94" s="9" t="s">
        <v>69</v>
      </c>
      <c r="H94" s="16" t="s">
        <v>69</v>
      </c>
      <c r="I94" s="1" t="str" cm="1">
        <f t="array" ref="I94">IF($B94,INDEX($L:$L,MATCH(TRUE,EXACT(G94,$E:$E),0)),"")</f>
        <v>\</v>
      </c>
      <c r="J94" s="16" t="str" cm="1">
        <f t="array" ref="J94">IF($B94,INDEX($L:$L,MATCH(TRUE,EXACT(H94,$E:$E),0)),"")</f>
        <v>\</v>
      </c>
      <c r="K94" s="9"/>
      <c r="L94" s="34" t="str">
        <f t="shared" si="5"/>
        <v>|</v>
      </c>
      <c r="M94" s="7" t="s">
        <v>214</v>
      </c>
      <c r="N94" s="10" t="s">
        <v>214</v>
      </c>
      <c r="O94" s="10" t="s">
        <v>202</v>
      </c>
      <c r="P94" s="8" t="s">
        <v>202</v>
      </c>
    </row>
    <row r="95" spans="1:16" ht="31.5">
      <c r="A95" s="28" t="s">
        <v>77</v>
      </c>
      <c r="B95" s="8" t="b">
        <f t="shared" si="3"/>
        <v>1</v>
      </c>
      <c r="D95" s="34" t="str">
        <f t="shared" si="4"/>
        <v>}</v>
      </c>
      <c r="E95" s="1" t="s">
        <v>76</v>
      </c>
      <c r="F95" s="9" t="s">
        <v>75</v>
      </c>
      <c r="G95" s="9" t="s">
        <v>70</v>
      </c>
      <c r="H95" s="16" t="s">
        <v>76</v>
      </c>
      <c r="I95" s="1" t="str" cm="1">
        <f t="array" ref="I95">IF($B95,INDEX($L:$L,MATCH(TRUE,EXACT(G95,$E:$E),0)),"")</f>
        <v>_</v>
      </c>
      <c r="J95" s="16" t="str" cm="1">
        <f t="array" ref="J95">IF($B95,INDEX($L:$L,MATCH(TRUE,EXACT(H95,$E:$E),0)),"")</f>
        <v>}</v>
      </c>
      <c r="K95" s="9"/>
      <c r="L95" s="34" t="str">
        <f t="shared" si="5"/>
        <v>}</v>
      </c>
      <c r="M95" s="7" t="s">
        <v>202</v>
      </c>
      <c r="N95" s="10" t="s">
        <v>201</v>
      </c>
      <c r="O95" s="10" t="s">
        <v>202</v>
      </c>
      <c r="P95" s="8" t="s">
        <v>201</v>
      </c>
    </row>
    <row r="96" spans="1:16" ht="31.5">
      <c r="A96" s="28" t="s">
        <v>62</v>
      </c>
      <c r="B96" s="8" t="b">
        <f t="shared" si="3"/>
        <v>1</v>
      </c>
      <c r="D96" s="34" t="str">
        <f t="shared" si="4"/>
        <v>~</v>
      </c>
      <c r="E96" s="1" t="s">
        <v>52</v>
      </c>
      <c r="F96" s="9" t="s">
        <v>62</v>
      </c>
      <c r="G96" s="9" t="s">
        <v>62</v>
      </c>
      <c r="H96" s="16" t="s">
        <v>62</v>
      </c>
      <c r="I96" s="1" t="str" cm="1">
        <f t="array" ref="I96">IF($B96,INDEX($L:$L,MATCH(TRUE,EXACT(G96,$E:$E),0)),"")</f>
        <v>!</v>
      </c>
      <c r="J96" s="16" t="str" cm="1">
        <f t="array" ref="J96">IF($B96,INDEX($L:$L,MATCH(TRUE,EXACT(H96,$E:$E),0)),"")</f>
        <v>!</v>
      </c>
      <c r="K96" s="9"/>
      <c r="L96" s="34" t="str">
        <f t="shared" si="5"/>
        <v>~</v>
      </c>
      <c r="M96" s="7" t="s">
        <v>202</v>
      </c>
      <c r="N96" s="10" t="s">
        <v>202</v>
      </c>
      <c r="O96" s="10" t="s">
        <v>214</v>
      </c>
      <c r="P96" s="8" t="s">
        <v>214</v>
      </c>
    </row>
    <row r="97" spans="1:16" ht="31.5">
      <c r="A97" s="28" t="s">
        <v>169</v>
      </c>
      <c r="B97" s="8" t="b">
        <f t="shared" si="3"/>
        <v>1</v>
      </c>
      <c r="D97" s="34" t="str">
        <f t="shared" si="4"/>
        <v>¡</v>
      </c>
      <c r="E97" s="1" t="s">
        <v>172</v>
      </c>
      <c r="F97" s="9" t="s">
        <v>170</v>
      </c>
      <c r="G97" s="9" t="s">
        <v>169</v>
      </c>
      <c r="H97" s="16" t="s">
        <v>170</v>
      </c>
      <c r="I97" s="1" t="str" cm="1">
        <f t="array" ref="I97">IF($B97,INDEX($L:$L,MATCH(TRUE,EXACT(G97,$E:$E),0)),"")</f>
        <v>£</v>
      </c>
      <c r="J97" s="16" t="str" cm="1">
        <f t="array" ref="J97">IF($B97,INDEX($L:$L,MATCH(TRUE,EXACT(H97,$E:$E),0)),"")</f>
        <v>¤</v>
      </c>
      <c r="K97" s="9"/>
      <c r="L97" s="34" t="str">
        <f t="shared" si="5"/>
        <v>¡</v>
      </c>
      <c r="M97" s="7" t="s">
        <v>206</v>
      </c>
      <c r="N97" s="10" t="s">
        <v>206</v>
      </c>
      <c r="O97" s="10" t="s">
        <v>214</v>
      </c>
      <c r="P97" s="8" t="s">
        <v>214</v>
      </c>
    </row>
    <row r="98" spans="1:16" ht="31.5">
      <c r="A98" s="28" t="s">
        <v>170</v>
      </c>
      <c r="B98" s="8" t="b">
        <f t="shared" si="3"/>
        <v>1</v>
      </c>
      <c r="D98" s="34" t="str">
        <f t="shared" si="4"/>
        <v>¢</v>
      </c>
      <c r="E98" s="1" t="s">
        <v>171</v>
      </c>
      <c r="F98" s="9" t="s">
        <v>169</v>
      </c>
      <c r="G98" s="9" t="s">
        <v>170</v>
      </c>
      <c r="H98" s="16" t="s">
        <v>169</v>
      </c>
      <c r="I98" s="1" t="str" cm="1">
        <f t="array" ref="I98">IF($B98,INDEX($L:$L,MATCH(TRUE,EXACT(G98,$E:$E),0)),"")</f>
        <v>¤</v>
      </c>
      <c r="J98" s="16" t="str" cm="1">
        <f t="array" ref="J98">IF($B98,INDEX($L:$L,MATCH(TRUE,EXACT(H98,$E:$E),0)),"")</f>
        <v>£</v>
      </c>
      <c r="K98" s="9"/>
      <c r="L98" s="34" t="str">
        <f t="shared" si="5"/>
        <v>¢</v>
      </c>
      <c r="M98" s="7" t="s">
        <v>205</v>
      </c>
      <c r="N98" s="10" t="s">
        <v>205</v>
      </c>
      <c r="O98" s="10" t="s">
        <v>214</v>
      </c>
      <c r="P98" s="8" t="s">
        <v>214</v>
      </c>
    </row>
    <row r="99" spans="1:16" ht="31.5">
      <c r="A99" s="28" t="s">
        <v>171</v>
      </c>
      <c r="B99" s="8" t="b">
        <f t="shared" si="3"/>
        <v>1</v>
      </c>
      <c r="D99" s="34" t="str">
        <f t="shared" si="4"/>
        <v>£</v>
      </c>
      <c r="E99" s="1" t="s">
        <v>169</v>
      </c>
      <c r="F99" s="9" t="s">
        <v>172</v>
      </c>
      <c r="G99" s="9" t="s">
        <v>172</v>
      </c>
      <c r="H99" s="16" t="s">
        <v>171</v>
      </c>
      <c r="I99" s="1" t="str" cm="1">
        <f t="array" ref="I99">IF($B99,INDEX($L:$L,MATCH(TRUE,EXACT(G99,$E:$E),0)),"")</f>
        <v>¡</v>
      </c>
      <c r="J99" s="16" t="str" cm="1">
        <f t="array" ref="J99">IF($B99,INDEX($L:$L,MATCH(TRUE,EXACT(H99,$E:$E),0)),"")</f>
        <v>¢</v>
      </c>
      <c r="K99" s="9"/>
      <c r="L99" s="34" t="str">
        <f t="shared" si="5"/>
        <v>£</v>
      </c>
      <c r="M99" s="7" t="s">
        <v>214</v>
      </c>
      <c r="N99" s="10" t="s">
        <v>214</v>
      </c>
      <c r="O99" s="10" t="s">
        <v>208</v>
      </c>
      <c r="P99" s="8" t="s">
        <v>208</v>
      </c>
    </row>
    <row r="100" spans="1:16" ht="31.5">
      <c r="A100" s="28" t="s">
        <v>172</v>
      </c>
      <c r="B100" s="8" t="b">
        <f t="shared" si="3"/>
        <v>1</v>
      </c>
      <c r="D100" s="34" t="str">
        <f t="shared" si="4"/>
        <v>¤</v>
      </c>
      <c r="E100" s="1" t="s">
        <v>170</v>
      </c>
      <c r="F100" s="9" t="s">
        <v>171</v>
      </c>
      <c r="G100" s="9" t="s">
        <v>171</v>
      </c>
      <c r="H100" s="16" t="s">
        <v>172</v>
      </c>
      <c r="I100" s="1" t="str" cm="1">
        <f t="array" ref="I100">IF($B100,INDEX($L:$L,MATCH(TRUE,EXACT(G100,$E:$E),0)),"")</f>
        <v>¢</v>
      </c>
      <c r="J100" s="16" t="str" cm="1">
        <f t="array" ref="J100">IF($B100,INDEX($L:$L,MATCH(TRUE,EXACT(H100,$E:$E),0)),"")</f>
        <v>¡</v>
      </c>
      <c r="K100" s="9"/>
      <c r="L100" s="34" t="str">
        <f t="shared" si="5"/>
        <v>¤</v>
      </c>
      <c r="M100" s="7" t="s">
        <v>214</v>
      </c>
      <c r="N100" s="10" t="s">
        <v>214</v>
      </c>
      <c r="O100" s="10" t="s">
        <v>209</v>
      </c>
      <c r="P100" s="8" t="s">
        <v>209</v>
      </c>
    </row>
    <row r="101" spans="1:16" ht="31.5">
      <c r="A101" s="28" t="s">
        <v>80</v>
      </c>
      <c r="B101" s="8" t="b">
        <f t="shared" si="3"/>
        <v>1</v>
      </c>
      <c r="D101" s="34" t="str">
        <f t="shared" si="4"/>
        <v>¥</v>
      </c>
      <c r="E101" s="1" t="s">
        <v>81</v>
      </c>
      <c r="F101" s="9" t="s">
        <v>82</v>
      </c>
      <c r="G101" s="9" t="s">
        <v>83</v>
      </c>
      <c r="H101" s="16" t="s">
        <v>81</v>
      </c>
      <c r="I101" s="1" t="str" cm="1">
        <f t="array" ref="I101">IF($B101,INDEX($L:$L,MATCH(TRUE,EXACT(G101,$E:$E),0)),"")</f>
        <v>§</v>
      </c>
      <c r="J101" s="16" t="str" cm="1">
        <f t="array" ref="J101">IF($B101,INDEX($L:$L,MATCH(TRUE,EXACT(H101,$E:$E),0)),"")</f>
        <v>¥</v>
      </c>
      <c r="K101" s="9"/>
      <c r="L101" s="34" t="str">
        <f t="shared" si="5"/>
        <v>¥</v>
      </c>
      <c r="M101" s="7" t="s">
        <v>203</v>
      </c>
      <c r="N101" s="10" t="s">
        <v>201</v>
      </c>
      <c r="O101" s="10" t="s">
        <v>204</v>
      </c>
      <c r="P101" s="8" t="s">
        <v>201</v>
      </c>
    </row>
    <row r="102" spans="1:16" ht="31.5">
      <c r="A102" s="28" t="s">
        <v>81</v>
      </c>
      <c r="B102" s="8" t="b">
        <f t="shared" si="3"/>
        <v>1</v>
      </c>
      <c r="D102" s="34" t="str">
        <f t="shared" si="4"/>
        <v>¦</v>
      </c>
      <c r="E102" s="1" t="s">
        <v>82</v>
      </c>
      <c r="F102" s="9" t="s">
        <v>83</v>
      </c>
      <c r="G102" s="9" t="s">
        <v>82</v>
      </c>
      <c r="H102" s="16" t="s">
        <v>80</v>
      </c>
      <c r="I102" s="1" t="str" cm="1">
        <f t="array" ref="I102">IF($B102,INDEX($L:$L,MATCH(TRUE,EXACT(G102,$E:$E),0)),"")</f>
        <v>¦</v>
      </c>
      <c r="J102" s="16" t="str" cm="1">
        <f t="array" ref="J102">IF($B102,INDEX($L:$L,MATCH(TRUE,EXACT(H102,$E:$E),0)),"")</f>
        <v>¨</v>
      </c>
      <c r="K102" s="9"/>
      <c r="L102" s="34" t="str">
        <f t="shared" si="5"/>
        <v>¦</v>
      </c>
      <c r="M102" s="7" t="s">
        <v>204</v>
      </c>
      <c r="N102" s="10" t="s">
        <v>201</v>
      </c>
      <c r="O102" s="10" t="s">
        <v>201</v>
      </c>
      <c r="P102" s="8" t="s">
        <v>203</v>
      </c>
    </row>
    <row r="103" spans="1:16" ht="31.5">
      <c r="A103" s="28" t="s">
        <v>82</v>
      </c>
      <c r="B103" s="8" t="b">
        <f t="shared" si="3"/>
        <v>1</v>
      </c>
      <c r="D103" s="34" t="str">
        <f t="shared" si="4"/>
        <v>§</v>
      </c>
      <c r="E103" s="1" t="s">
        <v>83</v>
      </c>
      <c r="F103" s="9" t="s">
        <v>80</v>
      </c>
      <c r="G103" s="9" t="s">
        <v>81</v>
      </c>
      <c r="H103" s="16" t="s">
        <v>83</v>
      </c>
      <c r="I103" s="1" t="str" cm="1">
        <f t="array" ref="I103">IF($B103,INDEX($L:$L,MATCH(TRUE,EXACT(G103,$E:$E),0)),"")</f>
        <v>¥</v>
      </c>
      <c r="J103" s="16" t="str" cm="1">
        <f t="array" ref="J103">IF($B103,INDEX($L:$L,MATCH(TRUE,EXACT(H103,$E:$E),0)),"")</f>
        <v>§</v>
      </c>
      <c r="K103" s="9"/>
      <c r="L103" s="34" t="str">
        <f t="shared" si="5"/>
        <v>§</v>
      </c>
      <c r="M103" s="7" t="s">
        <v>201</v>
      </c>
      <c r="N103" s="10" t="s">
        <v>203</v>
      </c>
      <c r="O103" s="10" t="s">
        <v>201</v>
      </c>
      <c r="P103" s="8" t="s">
        <v>204</v>
      </c>
    </row>
    <row r="104" spans="1:16" ht="31.5">
      <c r="A104" s="28" t="s">
        <v>83</v>
      </c>
      <c r="B104" s="8" t="b">
        <f t="shared" si="3"/>
        <v>1</v>
      </c>
      <c r="D104" s="34" t="str">
        <f t="shared" si="4"/>
        <v>¨</v>
      </c>
      <c r="E104" s="1" t="s">
        <v>80</v>
      </c>
      <c r="F104" s="9" t="s">
        <v>81</v>
      </c>
      <c r="G104" s="9" t="s">
        <v>80</v>
      </c>
      <c r="H104" s="16" t="s">
        <v>82</v>
      </c>
      <c r="I104" s="1" t="str" cm="1">
        <f t="array" ref="I104">IF($B104,INDEX($L:$L,MATCH(TRUE,EXACT(G104,$E:$E),0)),"")</f>
        <v>¨</v>
      </c>
      <c r="J104" s="16" t="str" cm="1">
        <f t="array" ref="J104">IF($B104,INDEX($L:$L,MATCH(TRUE,EXACT(H104,$E:$E),0)),"")</f>
        <v>¦</v>
      </c>
      <c r="K104" s="9"/>
      <c r="L104" s="34" t="str">
        <f t="shared" si="5"/>
        <v>¨</v>
      </c>
      <c r="M104" s="7" t="s">
        <v>201</v>
      </c>
      <c r="N104" s="10" t="s">
        <v>204</v>
      </c>
      <c r="O104" s="10" t="s">
        <v>203</v>
      </c>
      <c r="P104" s="8" t="s">
        <v>201</v>
      </c>
    </row>
    <row r="105" spans="1:16" ht="31.5">
      <c r="A105" s="28" t="s">
        <v>84</v>
      </c>
      <c r="B105" s="8" t="b">
        <f t="shared" si="3"/>
        <v>1</v>
      </c>
      <c r="D105" s="34" t="str">
        <f t="shared" si="4"/>
        <v>©</v>
      </c>
      <c r="E105" s="1" t="s">
        <v>85</v>
      </c>
      <c r="F105" s="9" t="s">
        <v>86</v>
      </c>
      <c r="G105" s="9" t="s">
        <v>86</v>
      </c>
      <c r="H105" s="16" t="s">
        <v>84</v>
      </c>
      <c r="I105" s="1" t="str" cm="1">
        <f t="array" ref="I105">IF($B105,INDEX($L:$L,MATCH(TRUE,EXACT(G105,$E:$E),0)),"")</f>
        <v>ª</v>
      </c>
      <c r="J105" s="16" t="str" cm="1">
        <f t="array" ref="J105">IF($B105,INDEX($L:$L,MATCH(TRUE,EXACT(H105,$E:$E),0)),"")</f>
        <v>¬</v>
      </c>
      <c r="K105" s="9"/>
      <c r="L105" s="34" t="str">
        <f t="shared" si="5"/>
        <v>©</v>
      </c>
      <c r="M105" s="7" t="s">
        <v>214</v>
      </c>
      <c r="N105" s="10" t="s">
        <v>201</v>
      </c>
      <c r="O105" s="10" t="s">
        <v>204</v>
      </c>
      <c r="P105" s="8" t="s">
        <v>203</v>
      </c>
    </row>
    <row r="106" spans="1:16" ht="31.5" customHeight="1">
      <c r="A106" s="28" t="s">
        <v>85</v>
      </c>
      <c r="B106" s="8" t="b">
        <f t="shared" si="3"/>
        <v>1</v>
      </c>
      <c r="D106" s="34" t="str">
        <f t="shared" si="4"/>
        <v>ª</v>
      </c>
      <c r="E106" s="1" t="s">
        <v>86</v>
      </c>
      <c r="F106" s="9" t="s">
        <v>87</v>
      </c>
      <c r="G106" s="9" t="s">
        <v>85</v>
      </c>
      <c r="H106" s="16" t="s">
        <v>87</v>
      </c>
      <c r="I106" s="1" t="str" cm="1">
        <f t="array" ref="I106">IF($B106,INDEX($L:$L,MATCH(TRUE,EXACT(G106,$E:$E),0)),"")</f>
        <v>©</v>
      </c>
      <c r="J106" s="16" t="str" cm="1">
        <f t="array" ref="J106">IF($B106,INDEX($L:$L,MATCH(TRUE,EXACT(H106,$E:$E),0)),"")</f>
        <v>«</v>
      </c>
      <c r="K106" s="9"/>
      <c r="L106" s="34" t="str">
        <f t="shared" si="5"/>
        <v>ª</v>
      </c>
      <c r="M106" s="7" t="s">
        <v>204</v>
      </c>
      <c r="N106" s="10" t="s">
        <v>203</v>
      </c>
      <c r="O106" s="10" t="s">
        <v>201</v>
      </c>
      <c r="P106" s="8" t="s">
        <v>214</v>
      </c>
    </row>
    <row r="107" spans="1:16" ht="31.5">
      <c r="A107" s="28" t="s">
        <v>86</v>
      </c>
      <c r="B107" s="8" t="b">
        <f t="shared" si="3"/>
        <v>1</v>
      </c>
      <c r="D107" s="34" t="str">
        <f t="shared" si="4"/>
        <v>«</v>
      </c>
      <c r="E107" s="1" t="s">
        <v>87</v>
      </c>
      <c r="F107" s="9" t="s">
        <v>84</v>
      </c>
      <c r="G107" s="9" t="s">
        <v>84</v>
      </c>
      <c r="H107" s="16" t="s">
        <v>86</v>
      </c>
      <c r="I107" s="1" t="str" cm="1">
        <f t="array" ref="I107">IF($B107,INDEX($L:$L,MATCH(TRUE,EXACT(G107,$E:$E),0)),"")</f>
        <v>¬</v>
      </c>
      <c r="J107" s="16" t="str" cm="1">
        <f t="array" ref="J107">IF($B107,INDEX($L:$L,MATCH(TRUE,EXACT(H107,$E:$E),0)),"")</f>
        <v>ª</v>
      </c>
      <c r="K107" s="9"/>
      <c r="L107" s="34" t="str">
        <f t="shared" si="5"/>
        <v>«</v>
      </c>
      <c r="M107" s="7" t="s">
        <v>201</v>
      </c>
      <c r="N107" s="10" t="s">
        <v>214</v>
      </c>
      <c r="O107" s="10" t="s">
        <v>203</v>
      </c>
      <c r="P107" s="8" t="s">
        <v>204</v>
      </c>
    </row>
    <row r="108" spans="1:16" ht="31.5">
      <c r="A108" s="28" t="s">
        <v>87</v>
      </c>
      <c r="B108" s="8" t="b">
        <f t="shared" si="3"/>
        <v>1</v>
      </c>
      <c r="D108" s="34" t="str">
        <f t="shared" si="4"/>
        <v>¬</v>
      </c>
      <c r="E108" s="1" t="s">
        <v>84</v>
      </c>
      <c r="F108" s="9" t="s">
        <v>85</v>
      </c>
      <c r="G108" s="9" t="s">
        <v>87</v>
      </c>
      <c r="H108" s="16" t="s">
        <v>85</v>
      </c>
      <c r="I108" s="1" t="str" cm="1">
        <f t="array" ref="I108">IF($B108,INDEX($L:$L,MATCH(TRUE,EXACT(G108,$E:$E),0)),"")</f>
        <v>«</v>
      </c>
      <c r="J108" s="16" t="str" cm="1">
        <f t="array" ref="J108">IF($B108,INDEX($L:$L,MATCH(TRUE,EXACT(H108,$E:$E),0)),"")</f>
        <v>©</v>
      </c>
      <c r="K108" s="9"/>
      <c r="L108" s="34" t="str">
        <f t="shared" si="5"/>
        <v>¬</v>
      </c>
      <c r="M108" s="7" t="s">
        <v>203</v>
      </c>
      <c r="N108" s="10" t="s">
        <v>204</v>
      </c>
      <c r="O108" s="10" t="s">
        <v>214</v>
      </c>
      <c r="P108" s="8" t="s">
        <v>201</v>
      </c>
    </row>
    <row r="109" spans="1:16" ht="31.5">
      <c r="A109" s="28" t="s">
        <v>88</v>
      </c>
      <c r="B109" s="8" t="b">
        <f t="shared" si="3"/>
        <v>1</v>
      </c>
      <c r="D109" s="34" t="str">
        <f t="shared" si="4"/>
        <v>®</v>
      </c>
      <c r="E109" s="1" t="s">
        <v>89</v>
      </c>
      <c r="F109" s="9" t="s">
        <v>90</v>
      </c>
      <c r="G109" s="9" t="s">
        <v>89</v>
      </c>
      <c r="H109" s="16" t="s">
        <v>91</v>
      </c>
      <c r="I109" s="1" t="str" cm="1">
        <f t="array" ref="I109">IF($B109,INDEX($L:$L,MATCH(TRUE,EXACT(G109,$E:$E),0)),"")</f>
        <v>®</v>
      </c>
      <c r="J109" s="16" t="str" cm="1">
        <f t="array" ref="J109">IF($B109,INDEX($L:$L,MATCH(TRUE,EXACT(H109,$E:$E),0)),"")</f>
        <v>°</v>
      </c>
      <c r="K109" s="9"/>
      <c r="L109" s="34" t="str">
        <f t="shared" si="5"/>
        <v>®</v>
      </c>
      <c r="M109" s="7" t="s">
        <v>214</v>
      </c>
      <c r="N109" s="10" t="s">
        <v>203</v>
      </c>
      <c r="O109" s="10" t="s">
        <v>204</v>
      </c>
      <c r="P109" s="8" t="s">
        <v>214</v>
      </c>
    </row>
    <row r="110" spans="1:16" ht="31.5">
      <c r="A110" s="28" t="s">
        <v>89</v>
      </c>
      <c r="B110" s="8" t="b">
        <f t="shared" si="3"/>
        <v>1</v>
      </c>
      <c r="D110" s="34" t="str">
        <f t="shared" si="4"/>
        <v>¯</v>
      </c>
      <c r="E110" s="1" t="s">
        <v>90</v>
      </c>
      <c r="F110" s="9" t="s">
        <v>91</v>
      </c>
      <c r="G110" s="9" t="s">
        <v>88</v>
      </c>
      <c r="H110" s="16" t="s">
        <v>90</v>
      </c>
      <c r="I110" s="1" t="str" cm="1">
        <f t="array" ref="I110">IF($B110,INDEX($L:$L,MATCH(TRUE,EXACT(G110,$E:$E),0)),"")</f>
        <v>±</v>
      </c>
      <c r="J110" s="16" t="str" cm="1">
        <f t="array" ref="J110">IF($B110,INDEX($L:$L,MATCH(TRUE,EXACT(H110,$E:$E),0)),"")</f>
        <v>¯</v>
      </c>
      <c r="K110" s="9"/>
      <c r="L110" s="34" t="str">
        <f t="shared" si="5"/>
        <v>¯</v>
      </c>
      <c r="M110" s="7" t="s">
        <v>204</v>
      </c>
      <c r="N110" s="10" t="s">
        <v>214</v>
      </c>
      <c r="O110" s="10" t="s">
        <v>203</v>
      </c>
      <c r="P110" s="8" t="s">
        <v>214</v>
      </c>
    </row>
    <row r="111" spans="1:16" ht="31.5">
      <c r="A111" s="28" t="s">
        <v>90</v>
      </c>
      <c r="B111" s="8" t="b">
        <f t="shared" si="3"/>
        <v>1</v>
      </c>
      <c r="D111" s="34" t="str">
        <f t="shared" si="4"/>
        <v>°</v>
      </c>
      <c r="E111" s="1" t="s">
        <v>91</v>
      </c>
      <c r="F111" s="9" t="s">
        <v>88</v>
      </c>
      <c r="G111" s="9" t="s">
        <v>91</v>
      </c>
      <c r="H111" s="16" t="s">
        <v>89</v>
      </c>
      <c r="I111" s="1" t="str" cm="1">
        <f t="array" ref="I111">IF($B111,INDEX($L:$L,MATCH(TRUE,EXACT(G111,$E:$E),0)),"")</f>
        <v>°</v>
      </c>
      <c r="J111" s="16" t="str" cm="1">
        <f t="array" ref="J111">IF($B111,INDEX($L:$L,MATCH(TRUE,EXACT(H111,$E:$E),0)),"")</f>
        <v>®</v>
      </c>
      <c r="K111" s="9"/>
      <c r="L111" s="34" t="str">
        <f t="shared" si="5"/>
        <v>°</v>
      </c>
      <c r="M111" s="7" t="s">
        <v>203</v>
      </c>
      <c r="N111" s="10" t="s">
        <v>214</v>
      </c>
      <c r="O111" s="10" t="s">
        <v>214</v>
      </c>
      <c r="P111" s="8" t="s">
        <v>204</v>
      </c>
    </row>
    <row r="112" spans="1:16" ht="31.5">
      <c r="A112" s="28" t="s">
        <v>91</v>
      </c>
      <c r="B112" s="8" t="b">
        <f t="shared" si="3"/>
        <v>1</v>
      </c>
      <c r="D112" s="34" t="str">
        <f t="shared" si="4"/>
        <v>±</v>
      </c>
      <c r="E112" s="1" t="s">
        <v>88</v>
      </c>
      <c r="F112" s="9" t="s">
        <v>89</v>
      </c>
      <c r="G112" s="9" t="s">
        <v>90</v>
      </c>
      <c r="H112" s="16" t="s">
        <v>88</v>
      </c>
      <c r="I112" s="1" t="str" cm="1">
        <f t="array" ref="I112">IF($B112,INDEX($L:$L,MATCH(TRUE,EXACT(G112,$E:$E),0)),"")</f>
        <v>¯</v>
      </c>
      <c r="J112" s="16" t="str" cm="1">
        <f t="array" ref="J112">IF($B112,INDEX($L:$L,MATCH(TRUE,EXACT(H112,$E:$E),0)),"")</f>
        <v>±</v>
      </c>
      <c r="K112" s="9"/>
      <c r="L112" s="34" t="str">
        <f t="shared" si="5"/>
        <v>±</v>
      </c>
      <c r="M112" s="7" t="s">
        <v>214</v>
      </c>
      <c r="N112" s="10" t="s">
        <v>204</v>
      </c>
      <c r="O112" s="10" t="s">
        <v>214</v>
      </c>
      <c r="P112" s="8" t="s">
        <v>203</v>
      </c>
    </row>
    <row r="113" spans="1:16" ht="31.5">
      <c r="A113" s="28" t="s">
        <v>92</v>
      </c>
      <c r="B113" s="8" t="b">
        <f t="shared" si="3"/>
        <v>1</v>
      </c>
      <c r="D113" s="34" t="str">
        <f t="shared" si="4"/>
        <v>²</v>
      </c>
      <c r="E113" s="1" t="s">
        <v>93</v>
      </c>
      <c r="F113" s="9" t="s">
        <v>94</v>
      </c>
      <c r="G113" s="9" t="s">
        <v>94</v>
      </c>
      <c r="H113" s="16" t="s">
        <v>92</v>
      </c>
      <c r="I113" s="1" t="str" cm="1">
        <f t="array" ref="I113">IF($B113,INDEX($L:$L,MATCH(TRUE,EXACT(G113,$E:$E),0)),"")</f>
        <v>³</v>
      </c>
      <c r="J113" s="16" t="str" cm="1">
        <f t="array" ref="J113">IF($B113,INDEX($L:$L,MATCH(TRUE,EXACT(H113,$E:$E),0)),"")</f>
        <v>µ</v>
      </c>
      <c r="K113" s="9"/>
      <c r="L113" s="34" t="str">
        <f t="shared" si="5"/>
        <v>²</v>
      </c>
      <c r="M113" s="7" t="s">
        <v>202</v>
      </c>
      <c r="N113" s="10" t="s">
        <v>202</v>
      </c>
      <c r="O113" s="10" t="s">
        <v>209</v>
      </c>
      <c r="P113" s="8" t="s">
        <v>209</v>
      </c>
    </row>
    <row r="114" spans="1:16" ht="31.5" customHeight="1">
      <c r="A114" s="28" t="s">
        <v>93</v>
      </c>
      <c r="B114" s="8" t="b">
        <f t="shared" si="3"/>
        <v>1</v>
      </c>
      <c r="D114" s="34" t="str">
        <f t="shared" si="4"/>
        <v>³</v>
      </c>
      <c r="E114" s="1" t="s">
        <v>94</v>
      </c>
      <c r="F114" s="9" t="s">
        <v>95</v>
      </c>
      <c r="G114" s="9" t="s">
        <v>93</v>
      </c>
      <c r="H114" s="16" t="s">
        <v>95</v>
      </c>
      <c r="I114" s="1" t="str" cm="1">
        <f t="array" ref="I114">IF($B114,INDEX($L:$L,MATCH(TRUE,EXACT(G114,$E:$E),0)),"")</f>
        <v>²</v>
      </c>
      <c r="J114" s="16" t="str" cm="1">
        <f t="array" ref="J114">IF($B114,INDEX($L:$L,MATCH(TRUE,EXACT(H114,$E:$E),0)),"")</f>
        <v>´</v>
      </c>
      <c r="K114" s="9"/>
      <c r="L114" s="34" t="str">
        <f t="shared" si="5"/>
        <v>³</v>
      </c>
      <c r="M114" s="7" t="s">
        <v>205</v>
      </c>
      <c r="N114" s="10" t="s">
        <v>205</v>
      </c>
      <c r="O114" s="10" t="s">
        <v>202</v>
      </c>
      <c r="P114" s="8" t="s">
        <v>202</v>
      </c>
    </row>
    <row r="115" spans="1:16" ht="31.5">
      <c r="A115" s="28" t="s">
        <v>94</v>
      </c>
      <c r="B115" s="8" t="b">
        <f t="shared" si="3"/>
        <v>1</v>
      </c>
      <c r="D115" s="34" t="str">
        <f t="shared" si="4"/>
        <v>´</v>
      </c>
      <c r="E115" s="1" t="s">
        <v>95</v>
      </c>
      <c r="F115" s="9" t="s">
        <v>92</v>
      </c>
      <c r="G115" s="9" t="s">
        <v>92</v>
      </c>
      <c r="H115" s="16" t="s">
        <v>94</v>
      </c>
      <c r="I115" s="1" t="str" cm="1">
        <f t="array" ref="I115">IF($B115,INDEX($L:$L,MATCH(TRUE,EXACT(G115,$E:$E),0)),"")</f>
        <v>µ</v>
      </c>
      <c r="J115" s="16" t="str" cm="1">
        <f t="array" ref="J115">IF($B115,INDEX($L:$L,MATCH(TRUE,EXACT(H115,$E:$E),0)),"")</f>
        <v>³</v>
      </c>
      <c r="K115" s="9"/>
      <c r="L115" s="34" t="str">
        <f t="shared" si="5"/>
        <v>´</v>
      </c>
      <c r="M115" s="7" t="s">
        <v>202</v>
      </c>
      <c r="N115" s="10" t="s">
        <v>202</v>
      </c>
      <c r="O115" s="10" t="s">
        <v>208</v>
      </c>
      <c r="P115" s="8" t="s">
        <v>208</v>
      </c>
    </row>
    <row r="116" spans="1:16" ht="31.5">
      <c r="A116" s="28" t="s">
        <v>95</v>
      </c>
      <c r="B116" s="8" t="b">
        <f t="shared" si="3"/>
        <v>1</v>
      </c>
      <c r="D116" s="34" t="str">
        <f t="shared" si="4"/>
        <v>µ</v>
      </c>
      <c r="E116" s="1" t="s">
        <v>92</v>
      </c>
      <c r="F116" s="9" t="s">
        <v>93</v>
      </c>
      <c r="G116" s="9" t="s">
        <v>95</v>
      </c>
      <c r="H116" s="16" t="s">
        <v>93</v>
      </c>
      <c r="I116" s="1" t="str" cm="1">
        <f t="array" ref="I116">IF($B116,INDEX($L:$L,MATCH(TRUE,EXACT(G116,$E:$E),0)),"")</f>
        <v>´</v>
      </c>
      <c r="J116" s="16" t="str" cm="1">
        <f t="array" ref="J116">IF($B116,INDEX($L:$L,MATCH(TRUE,EXACT(H116,$E:$E),0)),"")</f>
        <v>²</v>
      </c>
      <c r="K116" s="9"/>
      <c r="L116" s="34" t="str">
        <f t="shared" si="5"/>
        <v>µ</v>
      </c>
      <c r="M116" s="7" t="s">
        <v>206</v>
      </c>
      <c r="N116" s="10" t="s">
        <v>206</v>
      </c>
      <c r="O116" s="10" t="s">
        <v>202</v>
      </c>
      <c r="P116" s="8" t="s">
        <v>202</v>
      </c>
    </row>
    <row r="117" spans="1:16" ht="31.5">
      <c r="A117" s="28" t="s">
        <v>96</v>
      </c>
      <c r="B117" s="8" t="b">
        <f t="shared" si="3"/>
        <v>1</v>
      </c>
      <c r="D117" s="34" t="str">
        <f t="shared" si="4"/>
        <v>¶</v>
      </c>
      <c r="E117" s="1" t="s">
        <v>97</v>
      </c>
      <c r="F117" s="9" t="s">
        <v>98</v>
      </c>
      <c r="G117" s="9" t="s">
        <v>97</v>
      </c>
      <c r="H117" s="16" t="s">
        <v>99</v>
      </c>
      <c r="I117" s="1" t="str" cm="1">
        <f t="array" ref="I117">IF($B117,INDEX($L:$L,MATCH(TRUE,EXACT(G117,$E:$E),0)),"")</f>
        <v>¶</v>
      </c>
      <c r="J117" s="16" t="str" cm="1">
        <f t="array" ref="J117">IF($B117,INDEX($L:$L,MATCH(TRUE,EXACT(H117,$E:$E),0)),"")</f>
        <v>¹</v>
      </c>
      <c r="K117" s="9"/>
      <c r="L117" s="34" t="str">
        <f t="shared" si="5"/>
        <v>¶</v>
      </c>
      <c r="M117" s="7" t="s">
        <v>205</v>
      </c>
      <c r="N117" s="10" t="s">
        <v>205</v>
      </c>
      <c r="O117" s="10" t="s">
        <v>209</v>
      </c>
      <c r="P117" s="8" t="s">
        <v>209</v>
      </c>
    </row>
    <row r="118" spans="1:16" ht="31.5">
      <c r="A118" s="28" t="s">
        <v>97</v>
      </c>
      <c r="B118" s="8" t="b">
        <f t="shared" si="3"/>
        <v>1</v>
      </c>
      <c r="D118" s="34" t="str">
        <f t="shared" si="4"/>
        <v>¸</v>
      </c>
      <c r="E118" s="1" t="s">
        <v>98</v>
      </c>
      <c r="F118" s="9" t="s">
        <v>99</v>
      </c>
      <c r="G118" s="9" t="s">
        <v>96</v>
      </c>
      <c r="H118" s="16" t="s">
        <v>98</v>
      </c>
      <c r="I118" s="1" t="str" cm="1">
        <f t="array" ref="I118">IF($B118,INDEX($L:$L,MATCH(TRUE,EXACT(G118,$E:$E),0)),"")</f>
        <v>º</v>
      </c>
      <c r="J118" s="16" t="str" cm="1">
        <f t="array" ref="J118">IF($B118,INDEX($L:$L,MATCH(TRUE,EXACT(H118,$E:$E),0)),"")</f>
        <v>¸</v>
      </c>
      <c r="K118" s="9"/>
      <c r="L118" s="34" t="str">
        <f t="shared" si="5"/>
        <v>¸</v>
      </c>
      <c r="M118" s="7" t="s">
        <v>205</v>
      </c>
      <c r="N118" s="10" t="s">
        <v>205</v>
      </c>
      <c r="O118" s="10" t="s">
        <v>208</v>
      </c>
      <c r="P118" s="8" t="s">
        <v>208</v>
      </c>
    </row>
    <row r="119" spans="1:16" ht="31.5">
      <c r="A119" s="28" t="s">
        <v>98</v>
      </c>
      <c r="B119" s="8" t="b">
        <f t="shared" si="3"/>
        <v>1</v>
      </c>
      <c r="D119" s="34" t="str">
        <f t="shared" si="4"/>
        <v>¹</v>
      </c>
      <c r="E119" s="1" t="s">
        <v>99</v>
      </c>
      <c r="F119" s="9" t="s">
        <v>96</v>
      </c>
      <c r="G119" s="9" t="s">
        <v>99</v>
      </c>
      <c r="H119" s="16" t="s">
        <v>97</v>
      </c>
      <c r="I119" s="1" t="str" cm="1">
        <f t="array" ref="I119">IF($B119,INDEX($L:$L,MATCH(TRUE,EXACT(G119,$E:$E),0)),"")</f>
        <v>¹</v>
      </c>
      <c r="J119" s="16" t="str" cm="1">
        <f t="array" ref="J119">IF($B119,INDEX($L:$L,MATCH(TRUE,EXACT(H119,$E:$E),0)),"")</f>
        <v>¶</v>
      </c>
      <c r="K119" s="9"/>
      <c r="L119" s="34" t="str">
        <f t="shared" si="5"/>
        <v>¹</v>
      </c>
      <c r="M119" s="7" t="s">
        <v>206</v>
      </c>
      <c r="N119" s="10" t="s">
        <v>206</v>
      </c>
      <c r="O119" s="10" t="s">
        <v>208</v>
      </c>
      <c r="P119" s="8" t="s">
        <v>208</v>
      </c>
    </row>
    <row r="120" spans="1:16" ht="31.5">
      <c r="A120" s="28" t="s">
        <v>99</v>
      </c>
      <c r="B120" s="8" t="b">
        <f t="shared" si="3"/>
        <v>1</v>
      </c>
      <c r="D120" s="34" t="str">
        <f t="shared" si="4"/>
        <v>º</v>
      </c>
      <c r="E120" s="1" t="s">
        <v>96</v>
      </c>
      <c r="F120" s="9" t="s">
        <v>97</v>
      </c>
      <c r="G120" s="9" t="s">
        <v>98</v>
      </c>
      <c r="H120" s="16" t="s">
        <v>96</v>
      </c>
      <c r="I120" s="1" t="str" cm="1">
        <f t="array" ref="I120">IF($B120,INDEX($L:$L,MATCH(TRUE,EXACT(G120,$E:$E),0)),"")</f>
        <v>¸</v>
      </c>
      <c r="J120" s="16" t="str" cm="1">
        <f t="array" ref="J120">IF($B120,INDEX($L:$L,MATCH(TRUE,EXACT(H120,$E:$E),0)),"")</f>
        <v>º</v>
      </c>
      <c r="K120" s="9"/>
      <c r="L120" s="34" t="str">
        <f t="shared" si="5"/>
        <v>º</v>
      </c>
      <c r="M120" s="7" t="s">
        <v>206</v>
      </c>
      <c r="N120" s="10" t="s">
        <v>206</v>
      </c>
      <c r="O120" s="10" t="s">
        <v>209</v>
      </c>
      <c r="P120" s="8" t="s">
        <v>209</v>
      </c>
    </row>
    <row r="121" spans="1:16" ht="31.5">
      <c r="A121" s="28" t="s">
        <v>100</v>
      </c>
      <c r="B121" s="8" t="b">
        <f t="shared" si="3"/>
        <v>1</v>
      </c>
      <c r="D121" s="34" t="str">
        <f t="shared" si="4"/>
        <v>»</v>
      </c>
      <c r="E121" s="1" t="s">
        <v>103</v>
      </c>
      <c r="F121" s="9" t="s">
        <v>101</v>
      </c>
      <c r="G121" s="9" t="s">
        <v>100</v>
      </c>
      <c r="H121" s="16" t="s">
        <v>101</v>
      </c>
      <c r="I121" s="1" t="str" cm="1">
        <f t="array" ref="I121">IF($B121,INDEX($L:$L,MATCH(TRUE,EXACT(G121,$E:$E),0)),"")</f>
        <v>½</v>
      </c>
      <c r="J121" s="16" t="str" cm="1">
        <f t="array" ref="J121">IF($B121,INDEX($L:$L,MATCH(TRUE,EXACT(H121,$E:$E),0)),"")</f>
        <v>¾</v>
      </c>
      <c r="K121" s="9"/>
      <c r="L121" s="34" t="str">
        <f t="shared" si="5"/>
        <v>»</v>
      </c>
      <c r="M121" s="7" t="s">
        <v>206</v>
      </c>
      <c r="N121" s="10" t="s">
        <v>206</v>
      </c>
      <c r="O121" s="10" t="s">
        <v>214</v>
      </c>
      <c r="P121" s="8" t="s">
        <v>201</v>
      </c>
    </row>
    <row r="122" spans="1:16" ht="31.5">
      <c r="A122" s="28" t="s">
        <v>101</v>
      </c>
      <c r="B122" s="8" t="b">
        <f t="shared" si="3"/>
        <v>1</v>
      </c>
      <c r="D122" s="34" t="str">
        <f t="shared" si="4"/>
        <v>¼</v>
      </c>
      <c r="E122" s="1" t="s">
        <v>102</v>
      </c>
      <c r="F122" s="9" t="s">
        <v>100</v>
      </c>
      <c r="G122" s="9" t="s">
        <v>101</v>
      </c>
      <c r="H122" s="16" t="s">
        <v>100</v>
      </c>
      <c r="I122" s="1" t="str" cm="1">
        <f t="array" ref="I122">IF($B122,INDEX($L:$L,MATCH(TRUE,EXACT(G122,$E:$E),0)),"")</f>
        <v>¾</v>
      </c>
      <c r="J122" s="16" t="str" cm="1">
        <f t="array" ref="J122">IF($B122,INDEX($L:$L,MATCH(TRUE,EXACT(H122,$E:$E),0)),"")</f>
        <v>½</v>
      </c>
      <c r="K122" s="9"/>
      <c r="L122" s="34" t="str">
        <f t="shared" si="5"/>
        <v>¼</v>
      </c>
      <c r="M122" s="7" t="s">
        <v>205</v>
      </c>
      <c r="N122" s="10" t="s">
        <v>205</v>
      </c>
      <c r="O122" s="10" t="s">
        <v>201</v>
      </c>
      <c r="P122" s="8" t="s">
        <v>214</v>
      </c>
    </row>
    <row r="123" spans="1:16" ht="31.5">
      <c r="A123" s="28" t="s">
        <v>102</v>
      </c>
      <c r="B123" s="8" t="b">
        <f t="shared" si="3"/>
        <v>1</v>
      </c>
      <c r="D123" s="34" t="str">
        <f t="shared" si="4"/>
        <v>½</v>
      </c>
      <c r="E123" s="1" t="s">
        <v>100</v>
      </c>
      <c r="F123" s="9" t="s">
        <v>103</v>
      </c>
      <c r="G123" s="9" t="s">
        <v>103</v>
      </c>
      <c r="H123" s="16" t="s">
        <v>102</v>
      </c>
      <c r="I123" s="1" t="str" cm="1">
        <f t="array" ref="I123">IF($B123,INDEX($L:$L,MATCH(TRUE,EXACT(G123,$E:$E),0)),"")</f>
        <v>»</v>
      </c>
      <c r="J123" s="16" t="str" cm="1">
        <f t="array" ref="J123">IF($B123,INDEX($L:$L,MATCH(TRUE,EXACT(H123,$E:$E),0)),"")</f>
        <v>¼</v>
      </c>
      <c r="K123" s="9"/>
      <c r="L123" s="34" t="str">
        <f t="shared" si="5"/>
        <v>½</v>
      </c>
      <c r="M123" s="7" t="s">
        <v>201</v>
      </c>
      <c r="N123" s="10" t="s">
        <v>214</v>
      </c>
      <c r="O123" s="10" t="s">
        <v>208</v>
      </c>
      <c r="P123" s="8" t="s">
        <v>208</v>
      </c>
    </row>
    <row r="124" spans="1:16" ht="31.5">
      <c r="A124" s="28" t="s">
        <v>103</v>
      </c>
      <c r="B124" s="8" t="b">
        <f t="shared" si="3"/>
        <v>1</v>
      </c>
      <c r="D124" s="34" t="str">
        <f t="shared" si="4"/>
        <v>¾</v>
      </c>
      <c r="E124" s="1" t="s">
        <v>101</v>
      </c>
      <c r="F124" s="9" t="s">
        <v>102</v>
      </c>
      <c r="G124" s="9" t="s">
        <v>102</v>
      </c>
      <c r="H124" s="16" t="s">
        <v>103</v>
      </c>
      <c r="I124" s="1" t="str" cm="1">
        <f t="array" ref="I124">IF($B124,INDEX($L:$L,MATCH(TRUE,EXACT(G124,$E:$E),0)),"")</f>
        <v>¼</v>
      </c>
      <c r="J124" s="16" t="str" cm="1">
        <f t="array" ref="J124">IF($B124,INDEX($L:$L,MATCH(TRUE,EXACT(H124,$E:$E),0)),"")</f>
        <v>»</v>
      </c>
      <c r="K124" s="9"/>
      <c r="L124" s="34" t="str">
        <f t="shared" si="5"/>
        <v>¾</v>
      </c>
      <c r="M124" s="7" t="s">
        <v>214</v>
      </c>
      <c r="N124" s="10" t="s">
        <v>201</v>
      </c>
      <c r="O124" s="10" t="s">
        <v>209</v>
      </c>
      <c r="P124" s="8" t="s">
        <v>209</v>
      </c>
    </row>
    <row r="125" spans="1:16" ht="31.5">
      <c r="A125" s="28" t="s">
        <v>104</v>
      </c>
      <c r="B125" s="8" t="b">
        <f t="shared" si="3"/>
        <v>1</v>
      </c>
      <c r="D125" s="34" t="str">
        <f t="shared" si="4"/>
        <v>¿</v>
      </c>
      <c r="E125" s="1" t="s">
        <v>107</v>
      </c>
      <c r="F125" s="9" t="s">
        <v>105</v>
      </c>
      <c r="G125" s="9" t="s">
        <v>104</v>
      </c>
      <c r="H125" s="16" t="s">
        <v>105</v>
      </c>
      <c r="I125" s="1" t="str" cm="1">
        <f t="array" ref="I125">IF($B125,INDEX($L:$L,MATCH(TRUE,EXACT(G125,$E:$E),0)),"")</f>
        <v>Á</v>
      </c>
      <c r="J125" s="16" t="str" cm="1">
        <f t="array" ref="J125">IF($B125,INDEX($L:$L,MATCH(TRUE,EXACT(H125,$E:$E),0)),"")</f>
        <v>Â</v>
      </c>
      <c r="K125" s="9"/>
      <c r="L125" s="34" t="str">
        <f t="shared" si="5"/>
        <v>¿</v>
      </c>
      <c r="M125" s="7" t="s">
        <v>206</v>
      </c>
      <c r="N125" s="10" t="s">
        <v>206</v>
      </c>
      <c r="O125" s="10" t="s">
        <v>214</v>
      </c>
      <c r="P125" s="8" t="s">
        <v>202</v>
      </c>
    </row>
    <row r="126" spans="1:16" ht="31.5">
      <c r="A126" s="28" t="s">
        <v>105</v>
      </c>
      <c r="B126" s="8" t="b">
        <f t="shared" si="3"/>
        <v>1</v>
      </c>
      <c r="D126" s="34" t="str">
        <f t="shared" si="4"/>
        <v>À</v>
      </c>
      <c r="E126" s="1" t="s">
        <v>106</v>
      </c>
      <c r="F126" s="9" t="s">
        <v>104</v>
      </c>
      <c r="G126" s="9" t="s">
        <v>105</v>
      </c>
      <c r="H126" s="16" t="s">
        <v>104</v>
      </c>
      <c r="I126" s="1" t="str" cm="1">
        <f t="array" ref="I126">IF($B126,INDEX($L:$L,MATCH(TRUE,EXACT(G126,$E:$E),0)),"")</f>
        <v>Â</v>
      </c>
      <c r="J126" s="16" t="str" cm="1">
        <f t="array" ref="J126">IF($B126,INDEX($L:$L,MATCH(TRUE,EXACT(H126,$E:$E),0)),"")</f>
        <v>Á</v>
      </c>
      <c r="K126" s="9"/>
      <c r="L126" s="34" t="str">
        <f t="shared" si="5"/>
        <v>À</v>
      </c>
      <c r="M126" s="7" t="s">
        <v>205</v>
      </c>
      <c r="N126" s="10" t="s">
        <v>205</v>
      </c>
      <c r="O126" s="10" t="s">
        <v>202</v>
      </c>
      <c r="P126" s="8" t="s">
        <v>214</v>
      </c>
    </row>
    <row r="127" spans="1:16" ht="31.5">
      <c r="A127" s="28" t="s">
        <v>106</v>
      </c>
      <c r="B127" s="8" t="b">
        <f t="shared" si="3"/>
        <v>1</v>
      </c>
      <c r="D127" s="34" t="str">
        <f t="shared" si="4"/>
        <v>Á</v>
      </c>
      <c r="E127" s="1" t="s">
        <v>104</v>
      </c>
      <c r="F127" s="9" t="s">
        <v>107</v>
      </c>
      <c r="G127" s="9" t="s">
        <v>107</v>
      </c>
      <c r="H127" s="16" t="s">
        <v>106</v>
      </c>
      <c r="I127" s="1" t="str" cm="1">
        <f t="array" ref="I127">IF($B127,INDEX($L:$L,MATCH(TRUE,EXACT(G127,$E:$E),0)),"")</f>
        <v>¿</v>
      </c>
      <c r="J127" s="16" t="str" cm="1">
        <f t="array" ref="J127">IF($B127,INDEX($L:$L,MATCH(TRUE,EXACT(H127,$E:$E),0)),"")</f>
        <v>À</v>
      </c>
      <c r="K127" s="9"/>
      <c r="L127" s="34" t="str">
        <f t="shared" si="5"/>
        <v>Á</v>
      </c>
      <c r="M127" s="7" t="s">
        <v>202</v>
      </c>
      <c r="N127" s="10" t="s">
        <v>214</v>
      </c>
      <c r="O127" s="10" t="s">
        <v>208</v>
      </c>
      <c r="P127" s="8" t="s">
        <v>208</v>
      </c>
    </row>
    <row r="128" spans="1:16" ht="31.5">
      <c r="A128" s="28" t="s">
        <v>107</v>
      </c>
      <c r="B128" s="8" t="b">
        <f t="shared" si="3"/>
        <v>1</v>
      </c>
      <c r="D128" s="34" t="str">
        <f t="shared" si="4"/>
        <v>Â</v>
      </c>
      <c r="E128" s="1" t="s">
        <v>105</v>
      </c>
      <c r="F128" s="9" t="s">
        <v>106</v>
      </c>
      <c r="G128" s="9" t="s">
        <v>106</v>
      </c>
      <c r="H128" s="16" t="s">
        <v>107</v>
      </c>
      <c r="I128" s="1" t="str" cm="1">
        <f t="array" ref="I128">IF($B128,INDEX($L:$L,MATCH(TRUE,EXACT(G128,$E:$E),0)),"")</f>
        <v>À</v>
      </c>
      <c r="J128" s="16" t="str" cm="1">
        <f t="array" ref="J128">IF($B128,INDEX($L:$L,MATCH(TRUE,EXACT(H128,$E:$E),0)),"")</f>
        <v>¿</v>
      </c>
      <c r="K128" s="9"/>
      <c r="L128" s="34" t="str">
        <f t="shared" si="5"/>
        <v>Â</v>
      </c>
      <c r="M128" s="7" t="s">
        <v>214</v>
      </c>
      <c r="N128" s="10" t="s">
        <v>202</v>
      </c>
      <c r="O128" s="10" t="s">
        <v>209</v>
      </c>
      <c r="P128" s="8" t="s">
        <v>209</v>
      </c>
    </row>
    <row r="129" spans="1:16" ht="31.5">
      <c r="A129" s="28" t="s">
        <v>108</v>
      </c>
      <c r="B129" s="8" t="b">
        <f t="shared" si="3"/>
        <v>1</v>
      </c>
      <c r="D129" s="34" t="str">
        <f t="shared" si="4"/>
        <v>Ã</v>
      </c>
      <c r="E129" s="1" t="s">
        <v>109</v>
      </c>
      <c r="F129" s="9" t="s">
        <v>110</v>
      </c>
      <c r="G129" s="9" t="s">
        <v>109</v>
      </c>
      <c r="H129" s="16" t="s">
        <v>111</v>
      </c>
      <c r="I129" s="1" t="str" cm="1">
        <f t="array" ref="I129">IF($B129,INDEX($L:$L,MATCH(TRUE,EXACT(G129,$E:$E),0)),"")</f>
        <v>Ã</v>
      </c>
      <c r="J129" s="16" t="str" cm="1">
        <f t="array" ref="J129">IF($B129,INDEX($L:$L,MATCH(TRUE,EXACT(H129,$E:$E),0)),"")</f>
        <v>Å</v>
      </c>
      <c r="K129" s="9"/>
      <c r="L129" s="34" t="str">
        <f t="shared" si="5"/>
        <v>Ã</v>
      </c>
      <c r="M129" s="7" t="s">
        <v>214</v>
      </c>
      <c r="N129" s="10" t="s">
        <v>205</v>
      </c>
      <c r="O129" s="10" t="s">
        <v>209</v>
      </c>
      <c r="P129" s="8" t="s">
        <v>214</v>
      </c>
    </row>
    <row r="130" spans="1:16" ht="31.5">
      <c r="A130" s="28" t="s">
        <v>109</v>
      </c>
      <c r="B130" s="8" t="b">
        <f t="shared" si="3"/>
        <v>1</v>
      </c>
      <c r="D130" s="34" t="str">
        <f t="shared" si="4"/>
        <v>Ä</v>
      </c>
      <c r="E130" s="1" t="s">
        <v>110</v>
      </c>
      <c r="F130" s="9" t="s">
        <v>111</v>
      </c>
      <c r="G130" s="9" t="s">
        <v>108</v>
      </c>
      <c r="H130" s="16" t="s">
        <v>110</v>
      </c>
      <c r="I130" s="1" t="str" cm="1">
        <f t="array" ref="I130">IF($B130,INDEX($L:$L,MATCH(TRUE,EXACT(G130,$E:$E),0)),"")</f>
        <v>Æ</v>
      </c>
      <c r="J130" s="16" t="str" cm="1">
        <f t="array" ref="J130">IF($B130,INDEX($L:$L,MATCH(TRUE,EXACT(H130,$E:$E),0)),"")</f>
        <v>Ä</v>
      </c>
      <c r="K130" s="9"/>
      <c r="L130" s="34" t="str">
        <f t="shared" si="5"/>
        <v>Ä</v>
      </c>
      <c r="M130" s="7" t="s">
        <v>205</v>
      </c>
      <c r="N130" s="10" t="s">
        <v>214</v>
      </c>
      <c r="O130" s="10" t="s">
        <v>208</v>
      </c>
      <c r="P130" s="8" t="s">
        <v>214</v>
      </c>
    </row>
    <row r="131" spans="1:16" ht="31.5">
      <c r="A131" s="28" t="s">
        <v>110</v>
      </c>
      <c r="B131" s="8" t="b">
        <f t="shared" ref="B131:B194" si="6">4=COUNTA($E131:$H131)</f>
        <v>1</v>
      </c>
      <c r="D131" s="34" t="str">
        <f t="shared" ref="D131:D194" si="7">$A131</f>
        <v>Å</v>
      </c>
      <c r="E131" s="1" t="s">
        <v>111</v>
      </c>
      <c r="F131" s="9" t="s">
        <v>108</v>
      </c>
      <c r="G131" s="9" t="s">
        <v>111</v>
      </c>
      <c r="H131" s="16" t="s">
        <v>109</v>
      </c>
      <c r="I131" s="1" t="str" cm="1">
        <f t="array" ref="I131">IF($B131,INDEX($L:$L,MATCH(TRUE,EXACT(G131,$E:$E),0)),"")</f>
        <v>Å</v>
      </c>
      <c r="J131" s="16" t="str" cm="1">
        <f t="array" ref="J131">IF($B131,INDEX($L:$L,MATCH(TRUE,EXACT(H131,$E:$E),0)),"")</f>
        <v>Ã</v>
      </c>
      <c r="K131" s="9"/>
      <c r="L131" s="34" t="str">
        <f t="shared" ref="L131:L194" si="8">$A131</f>
        <v>Å</v>
      </c>
      <c r="M131" s="7" t="s">
        <v>206</v>
      </c>
      <c r="N131" s="10" t="s">
        <v>214</v>
      </c>
      <c r="O131" s="10" t="s">
        <v>214</v>
      </c>
      <c r="P131" s="8" t="s">
        <v>208</v>
      </c>
    </row>
    <row r="132" spans="1:16" ht="31.5">
      <c r="A132" s="28" t="s">
        <v>111</v>
      </c>
      <c r="B132" s="8" t="b">
        <f t="shared" si="6"/>
        <v>1</v>
      </c>
      <c r="D132" s="34" t="str">
        <f t="shared" si="7"/>
        <v>Æ</v>
      </c>
      <c r="E132" s="1" t="s">
        <v>108</v>
      </c>
      <c r="F132" s="9" t="s">
        <v>109</v>
      </c>
      <c r="G132" s="9" t="s">
        <v>110</v>
      </c>
      <c r="H132" s="16" t="s">
        <v>108</v>
      </c>
      <c r="I132" s="1" t="str" cm="1">
        <f t="array" ref="I132">IF($B132,INDEX($L:$L,MATCH(TRUE,EXACT(G132,$E:$E),0)),"")</f>
        <v>Ä</v>
      </c>
      <c r="J132" s="16" t="str" cm="1">
        <f t="array" ref="J132">IF($B132,INDEX($L:$L,MATCH(TRUE,EXACT(H132,$E:$E),0)),"")</f>
        <v>Æ</v>
      </c>
      <c r="K132" s="9"/>
      <c r="L132" s="34" t="str">
        <f t="shared" si="8"/>
        <v>Æ</v>
      </c>
      <c r="M132" s="7" t="s">
        <v>214</v>
      </c>
      <c r="N132" s="10" t="s">
        <v>206</v>
      </c>
      <c r="O132" s="10" t="s">
        <v>214</v>
      </c>
      <c r="P132" s="8" t="s">
        <v>209</v>
      </c>
    </row>
    <row r="133" spans="1:16" ht="31.5">
      <c r="A133" s="28" t="s">
        <v>112</v>
      </c>
      <c r="B133" s="8" t="b">
        <f t="shared" si="6"/>
        <v>1</v>
      </c>
      <c r="D133" s="34" t="str">
        <f t="shared" si="7"/>
        <v>Ç</v>
      </c>
      <c r="E133" s="1" t="s">
        <v>115</v>
      </c>
      <c r="F133" s="9" t="s">
        <v>113</v>
      </c>
      <c r="G133" s="9" t="s">
        <v>113</v>
      </c>
      <c r="H133" s="16" t="s">
        <v>112</v>
      </c>
      <c r="I133" s="1" t="str" cm="1">
        <f t="array" ref="I133">IF($B133,INDEX($L:$L,MATCH(TRUE,EXACT(G133,$E:$E),0)),"")</f>
        <v>Ê</v>
      </c>
      <c r="J133" s="16" t="str" cm="1">
        <f t="array" ref="J133">IF($B133,INDEX($L:$L,MATCH(TRUE,EXACT(H133,$E:$E),0)),"")</f>
        <v>É</v>
      </c>
      <c r="K133" s="9"/>
      <c r="L133" s="34" t="str">
        <f t="shared" si="8"/>
        <v>Ç</v>
      </c>
      <c r="M133" s="7" t="s">
        <v>202</v>
      </c>
      <c r="N133" s="10" t="s">
        <v>214</v>
      </c>
      <c r="O133" s="10" t="s">
        <v>214</v>
      </c>
      <c r="P133" s="8" t="s">
        <v>214</v>
      </c>
    </row>
    <row r="134" spans="1:16" ht="31.5">
      <c r="A134" s="28" t="s">
        <v>113</v>
      </c>
      <c r="B134" s="8" t="b">
        <f t="shared" si="6"/>
        <v>1</v>
      </c>
      <c r="D134" s="34" t="str">
        <f t="shared" si="7"/>
        <v>È</v>
      </c>
      <c r="E134" s="1" t="s">
        <v>114</v>
      </c>
      <c r="F134" s="9" t="s">
        <v>112</v>
      </c>
      <c r="G134" s="9" t="s">
        <v>112</v>
      </c>
      <c r="H134" s="16" t="s">
        <v>113</v>
      </c>
      <c r="I134" s="1" t="str" cm="1">
        <f t="array" ref="I134">IF($B134,INDEX($L:$L,MATCH(TRUE,EXACT(G134,$E:$E),0)),"")</f>
        <v>É</v>
      </c>
      <c r="J134" s="16" t="str" cm="1">
        <f t="array" ref="J134">IF($B134,INDEX($L:$L,MATCH(TRUE,EXACT(H134,$E:$E),0)),"")</f>
        <v>Ê</v>
      </c>
      <c r="K134" s="9"/>
      <c r="L134" s="34" t="str">
        <f t="shared" si="8"/>
        <v>È</v>
      </c>
      <c r="M134" s="7" t="s">
        <v>214</v>
      </c>
      <c r="N134" s="10" t="s">
        <v>202</v>
      </c>
      <c r="O134" s="10" t="s">
        <v>214</v>
      </c>
      <c r="P134" s="8" t="s">
        <v>214</v>
      </c>
    </row>
    <row r="135" spans="1:16" ht="31.5">
      <c r="A135" s="28" t="s">
        <v>114</v>
      </c>
      <c r="B135" s="8" t="b">
        <f t="shared" si="6"/>
        <v>1</v>
      </c>
      <c r="D135" s="34" t="str">
        <f t="shared" si="7"/>
        <v>É</v>
      </c>
      <c r="E135" s="1" t="s">
        <v>112</v>
      </c>
      <c r="F135" s="9" t="s">
        <v>115</v>
      </c>
      <c r="G135" s="9" t="s">
        <v>114</v>
      </c>
      <c r="H135" s="16" t="s">
        <v>115</v>
      </c>
      <c r="I135" s="1" t="str" cm="1">
        <f t="array" ref="I135">IF($B135,INDEX($L:$L,MATCH(TRUE,EXACT(G135,$E:$E),0)),"")</f>
        <v>È</v>
      </c>
      <c r="J135" s="16" t="str" cm="1">
        <f t="array" ref="J135">IF($B135,INDEX($L:$L,MATCH(TRUE,EXACT(H135,$E:$E),0)),"")</f>
        <v>Ç</v>
      </c>
      <c r="K135" s="9"/>
      <c r="L135" s="34" t="str">
        <f t="shared" si="8"/>
        <v>É</v>
      </c>
      <c r="M135" s="7" t="s">
        <v>214</v>
      </c>
      <c r="N135" s="10" t="s">
        <v>214</v>
      </c>
      <c r="O135" s="10" t="s">
        <v>202</v>
      </c>
      <c r="P135" s="8" t="s">
        <v>214</v>
      </c>
    </row>
    <row r="136" spans="1:16" ht="31.5">
      <c r="A136" s="28" t="s">
        <v>115</v>
      </c>
      <c r="B136" s="8" t="b">
        <f t="shared" si="6"/>
        <v>1</v>
      </c>
      <c r="D136" s="34" t="str">
        <f t="shared" si="7"/>
        <v>Ê</v>
      </c>
      <c r="E136" s="1" t="s">
        <v>113</v>
      </c>
      <c r="F136" s="9" t="s">
        <v>114</v>
      </c>
      <c r="G136" s="9" t="s">
        <v>115</v>
      </c>
      <c r="H136" s="16" t="s">
        <v>114</v>
      </c>
      <c r="I136" s="1" t="str" cm="1">
        <f t="array" ref="I136">IF($B136,INDEX($L:$L,MATCH(TRUE,EXACT(G136,$E:$E),0)),"")</f>
        <v>Ç</v>
      </c>
      <c r="J136" s="16" t="str" cm="1">
        <f t="array" ref="J136">IF($B136,INDEX($L:$L,MATCH(TRUE,EXACT(H136,$E:$E),0)),"")</f>
        <v>È</v>
      </c>
      <c r="K136" s="9"/>
      <c r="L136" s="34" t="str">
        <f t="shared" si="8"/>
        <v>Ê</v>
      </c>
      <c r="M136" s="7" t="s">
        <v>214</v>
      </c>
      <c r="N136" s="10" t="s">
        <v>214</v>
      </c>
      <c r="O136" s="10" t="s">
        <v>214</v>
      </c>
      <c r="P136" s="8" t="s">
        <v>202</v>
      </c>
    </row>
    <row r="137" spans="1:16" ht="31.5">
      <c r="A137" s="28" t="s">
        <v>116</v>
      </c>
      <c r="B137" s="8" t="b">
        <f t="shared" si="6"/>
        <v>1</v>
      </c>
      <c r="D137" s="34" t="str">
        <f t="shared" si="7"/>
        <v>Ë</v>
      </c>
      <c r="E137" s="1" t="s">
        <v>117</v>
      </c>
      <c r="F137" s="9" t="s">
        <v>119</v>
      </c>
      <c r="G137" s="9" t="s">
        <v>118</v>
      </c>
      <c r="H137" s="16" t="s">
        <v>117</v>
      </c>
      <c r="I137" s="1" t="str" cm="1">
        <f t="array" ref="I137">IF($B137,INDEX($L:$L,MATCH(TRUE,EXACT(G137,$E:$E),0)),"")</f>
        <v>Î</v>
      </c>
      <c r="J137" s="16" t="str" cm="1">
        <f t="array" ref="J137">IF($B137,INDEX($L:$L,MATCH(TRUE,EXACT(H137,$E:$E),0)),"")</f>
        <v>Ë</v>
      </c>
      <c r="K137" s="9"/>
      <c r="L137" s="34" t="str">
        <f t="shared" si="8"/>
        <v>Ë</v>
      </c>
      <c r="M137" s="7" t="s">
        <v>214</v>
      </c>
      <c r="N137" s="10" t="s">
        <v>205</v>
      </c>
      <c r="O137" s="10" t="s">
        <v>214</v>
      </c>
      <c r="P137" s="8" t="s">
        <v>208</v>
      </c>
    </row>
    <row r="138" spans="1:16" ht="31.5">
      <c r="A138" s="28" t="s">
        <v>117</v>
      </c>
      <c r="B138" s="8" t="b">
        <f t="shared" si="6"/>
        <v>1</v>
      </c>
      <c r="D138" s="34" t="str">
        <f t="shared" si="7"/>
        <v>Ì</v>
      </c>
      <c r="E138" s="1" t="s">
        <v>119</v>
      </c>
      <c r="F138" s="9" t="s">
        <v>118</v>
      </c>
      <c r="G138" s="9" t="s">
        <v>119</v>
      </c>
      <c r="H138" s="16" t="s">
        <v>116</v>
      </c>
      <c r="I138" s="1" t="str" cm="1">
        <f t="array" ref="I138">IF($B138,INDEX($L:$L,MATCH(TRUE,EXACT(G138,$E:$E),0)),"")</f>
        <v>Ì</v>
      </c>
      <c r="J138" s="16" t="str" cm="1">
        <f t="array" ref="J138">IF($B138,INDEX($L:$L,MATCH(TRUE,EXACT(H138,$E:$E),0)),"")</f>
        <v>Í</v>
      </c>
      <c r="K138" s="9"/>
      <c r="L138" s="34" t="str">
        <f t="shared" si="8"/>
        <v>Ì</v>
      </c>
      <c r="M138" s="7" t="s">
        <v>214</v>
      </c>
      <c r="N138" s="10" t="s">
        <v>206</v>
      </c>
      <c r="O138" s="10" t="s">
        <v>208</v>
      </c>
      <c r="P138" s="8" t="s">
        <v>214</v>
      </c>
    </row>
    <row r="139" spans="1:16" ht="31.5">
      <c r="A139" s="28" t="s">
        <v>118</v>
      </c>
      <c r="B139" s="8" t="b">
        <f t="shared" si="6"/>
        <v>1</v>
      </c>
      <c r="D139" s="34" t="str">
        <f t="shared" si="7"/>
        <v>Í</v>
      </c>
      <c r="E139" s="1" t="s">
        <v>116</v>
      </c>
      <c r="F139" s="9" t="s">
        <v>117</v>
      </c>
      <c r="G139" s="9" t="s">
        <v>116</v>
      </c>
      <c r="H139" s="16" t="s">
        <v>119</v>
      </c>
      <c r="I139" s="1" t="str" cm="1">
        <f t="array" ref="I139">IF($B139,INDEX($L:$L,MATCH(TRUE,EXACT(G139,$E:$E),0)),"")</f>
        <v>Í</v>
      </c>
      <c r="J139" s="16" t="str" cm="1">
        <f t="array" ref="J139">IF($B139,INDEX($L:$L,MATCH(TRUE,EXACT(H139,$E:$E),0)),"")</f>
        <v>Ì</v>
      </c>
      <c r="K139" s="9"/>
      <c r="L139" s="34" t="str">
        <f t="shared" si="8"/>
        <v>Í</v>
      </c>
      <c r="M139" s="7" t="s">
        <v>205</v>
      </c>
      <c r="N139" s="10" t="s">
        <v>214</v>
      </c>
      <c r="O139" s="10" t="s">
        <v>214</v>
      </c>
      <c r="P139" s="8" t="s">
        <v>209</v>
      </c>
    </row>
    <row r="140" spans="1:16" ht="31.5">
      <c r="A140" s="28" t="s">
        <v>119</v>
      </c>
      <c r="B140" s="8" t="b">
        <f t="shared" si="6"/>
        <v>1</v>
      </c>
      <c r="D140" s="34" t="str">
        <f t="shared" si="7"/>
        <v>Î</v>
      </c>
      <c r="E140" s="1" t="s">
        <v>118</v>
      </c>
      <c r="F140" s="9" t="s">
        <v>116</v>
      </c>
      <c r="G140" s="9" t="s">
        <v>117</v>
      </c>
      <c r="H140" s="16" t="s">
        <v>118</v>
      </c>
      <c r="I140" s="1" t="str" cm="1">
        <f t="array" ref="I140">IF($B140,INDEX($L:$L,MATCH(TRUE,EXACT(G140,$E:$E),0)),"")</f>
        <v>Ë</v>
      </c>
      <c r="J140" s="16" t="str" cm="1">
        <f t="array" ref="J140">IF($B140,INDEX($L:$L,MATCH(TRUE,EXACT(H140,$E:$E),0)),"")</f>
        <v>Î</v>
      </c>
      <c r="K140" s="9"/>
      <c r="L140" s="34" t="str">
        <f t="shared" si="8"/>
        <v>Î</v>
      </c>
      <c r="M140" s="7" t="s">
        <v>206</v>
      </c>
      <c r="N140" s="10" t="s">
        <v>214</v>
      </c>
      <c r="O140" s="10" t="s">
        <v>209</v>
      </c>
      <c r="P140" s="8" t="s">
        <v>214</v>
      </c>
    </row>
    <row r="141" spans="1:16" ht="31.5">
      <c r="A141" s="28" t="s">
        <v>120</v>
      </c>
      <c r="B141" s="8" t="b">
        <f t="shared" si="6"/>
        <v>1</v>
      </c>
      <c r="D141" s="34" t="str">
        <f t="shared" si="7"/>
        <v>Ï</v>
      </c>
      <c r="E141" s="1" t="s">
        <v>121</v>
      </c>
      <c r="F141" s="9" t="s">
        <v>123</v>
      </c>
      <c r="G141" s="9" t="s">
        <v>122</v>
      </c>
      <c r="H141" s="16" t="s">
        <v>121</v>
      </c>
      <c r="I141" s="1" t="str" cm="1">
        <f t="array" ref="I141">IF($B141,INDEX($L:$L,MATCH(TRUE,EXACT(G141,$E:$E),0)),"")</f>
        <v>Ò</v>
      </c>
      <c r="J141" s="16" t="str" cm="1">
        <f t="array" ref="J141">IF($B141,INDEX($L:$L,MATCH(TRUE,EXACT(H141,$E:$E),0)),"")</f>
        <v>Ï</v>
      </c>
      <c r="K141" s="9"/>
      <c r="L141" s="34" t="str">
        <f t="shared" si="8"/>
        <v>Ï</v>
      </c>
      <c r="M141" s="7" t="s">
        <v>214</v>
      </c>
      <c r="N141" s="10" t="s">
        <v>206</v>
      </c>
      <c r="O141" s="10" t="s">
        <v>214</v>
      </c>
      <c r="P141" s="8" t="s">
        <v>209</v>
      </c>
    </row>
    <row r="142" spans="1:16" ht="31.5">
      <c r="A142" s="28" t="s">
        <v>121</v>
      </c>
      <c r="B142" s="8" t="b">
        <f t="shared" si="6"/>
        <v>1</v>
      </c>
      <c r="D142" s="34" t="str">
        <f t="shared" si="7"/>
        <v>Ð</v>
      </c>
      <c r="E142" s="1" t="s">
        <v>123</v>
      </c>
      <c r="F142" s="9" t="s">
        <v>122</v>
      </c>
      <c r="G142" s="9" t="s">
        <v>123</v>
      </c>
      <c r="H142" s="16" t="s">
        <v>120</v>
      </c>
      <c r="I142" s="1" t="str" cm="1">
        <f t="array" ref="I142">IF($B142,INDEX($L:$L,MATCH(TRUE,EXACT(G142,$E:$E),0)),"")</f>
        <v>Ð</v>
      </c>
      <c r="J142" s="16" t="str" cm="1">
        <f t="array" ref="J142">IF($B142,INDEX($L:$L,MATCH(TRUE,EXACT(H142,$E:$E),0)),"")</f>
        <v>Ñ</v>
      </c>
      <c r="K142" s="9"/>
      <c r="L142" s="34" t="str">
        <f t="shared" si="8"/>
        <v>Ð</v>
      </c>
      <c r="M142" s="7" t="s">
        <v>214</v>
      </c>
      <c r="N142" s="10" t="s">
        <v>205</v>
      </c>
      <c r="O142" s="10" t="s">
        <v>209</v>
      </c>
      <c r="P142" s="8" t="s">
        <v>214</v>
      </c>
    </row>
    <row r="143" spans="1:16" ht="31.5">
      <c r="A143" s="28" t="s">
        <v>122</v>
      </c>
      <c r="B143" s="8" t="b">
        <f t="shared" si="6"/>
        <v>1</v>
      </c>
      <c r="D143" s="34" t="str">
        <f t="shared" si="7"/>
        <v>Ñ</v>
      </c>
      <c r="E143" s="1" t="s">
        <v>120</v>
      </c>
      <c r="F143" s="9" t="s">
        <v>121</v>
      </c>
      <c r="G143" s="9" t="s">
        <v>120</v>
      </c>
      <c r="H143" s="16" t="s">
        <v>123</v>
      </c>
      <c r="I143" s="1" t="str" cm="1">
        <f t="array" ref="I143">IF($B143,INDEX($L:$L,MATCH(TRUE,EXACT(G143,$E:$E),0)),"")</f>
        <v>Ñ</v>
      </c>
      <c r="J143" s="16" t="str" cm="1">
        <f t="array" ref="J143">IF($B143,INDEX($L:$L,MATCH(TRUE,EXACT(H143,$E:$E),0)),"")</f>
        <v>Ð</v>
      </c>
      <c r="K143" s="9"/>
      <c r="L143" s="34" t="str">
        <f t="shared" si="8"/>
        <v>Ñ</v>
      </c>
      <c r="M143" s="7" t="s">
        <v>206</v>
      </c>
      <c r="N143" s="10" t="s">
        <v>214</v>
      </c>
      <c r="O143" s="10" t="s">
        <v>214</v>
      </c>
      <c r="P143" s="8" t="s">
        <v>208</v>
      </c>
    </row>
    <row r="144" spans="1:16" ht="31.5">
      <c r="A144" s="28" t="s">
        <v>123</v>
      </c>
      <c r="B144" s="8" t="b">
        <f t="shared" si="6"/>
        <v>1</v>
      </c>
      <c r="D144" s="34" t="str">
        <f t="shared" si="7"/>
        <v>Ò</v>
      </c>
      <c r="E144" s="1" t="s">
        <v>122</v>
      </c>
      <c r="F144" s="9" t="s">
        <v>120</v>
      </c>
      <c r="G144" s="9" t="s">
        <v>121</v>
      </c>
      <c r="H144" s="16" t="s">
        <v>122</v>
      </c>
      <c r="I144" s="1" t="str" cm="1">
        <f t="array" ref="I144">IF($B144,INDEX($L:$L,MATCH(TRUE,EXACT(G144,$E:$E),0)),"")</f>
        <v>Ï</v>
      </c>
      <c r="J144" s="16" t="str" cm="1">
        <f t="array" ref="J144">IF($B144,INDEX($L:$L,MATCH(TRUE,EXACT(H144,$E:$E),0)),"")</f>
        <v>Ò</v>
      </c>
      <c r="K144" s="9"/>
      <c r="L144" s="34" t="str">
        <f t="shared" si="8"/>
        <v>Ò</v>
      </c>
      <c r="M144" s="7" t="s">
        <v>205</v>
      </c>
      <c r="N144" s="10" t="s">
        <v>214</v>
      </c>
      <c r="O144" s="10" t="s">
        <v>208</v>
      </c>
      <c r="P144" s="8" t="s">
        <v>214</v>
      </c>
    </row>
    <row r="145" spans="1:16" ht="31.5">
      <c r="A145" s="28" t="s">
        <v>124</v>
      </c>
      <c r="B145" s="8" t="b">
        <f t="shared" si="6"/>
        <v>1</v>
      </c>
      <c r="D145" s="34" t="str">
        <f t="shared" si="7"/>
        <v>Ó</v>
      </c>
      <c r="E145" s="1" t="s">
        <v>126</v>
      </c>
      <c r="F145" s="9" t="s">
        <v>124</v>
      </c>
      <c r="G145" s="9" t="s">
        <v>125</v>
      </c>
      <c r="H145" s="16" t="s">
        <v>125</v>
      </c>
      <c r="I145" s="1" t="str" cm="1">
        <f t="array" ref="I145">IF($B145,INDEX($L:$L,MATCH(TRUE,EXACT(G145,$E:$E),0)),"")</f>
        <v>Ö</v>
      </c>
      <c r="J145" s="16" t="str" cm="1">
        <f t="array" ref="J145">IF($B145,INDEX($L:$L,MATCH(TRUE,EXACT(H145,$E:$E),0)),"")</f>
        <v>Ö</v>
      </c>
      <c r="K145" s="9"/>
      <c r="L145" s="34" t="str">
        <f t="shared" si="8"/>
        <v>Ó</v>
      </c>
      <c r="M145" s="7" t="s">
        <v>205</v>
      </c>
      <c r="N145" s="10" t="s">
        <v>206</v>
      </c>
      <c r="O145" s="10" t="s">
        <v>214</v>
      </c>
      <c r="P145" s="8" t="s">
        <v>214</v>
      </c>
    </row>
    <row r="146" spans="1:16" ht="31.5">
      <c r="A146" s="28" t="s">
        <v>125</v>
      </c>
      <c r="B146" s="8" t="b">
        <f t="shared" si="6"/>
        <v>1</v>
      </c>
      <c r="D146" s="34" t="str">
        <f t="shared" si="7"/>
        <v>Ô</v>
      </c>
      <c r="E146" s="1" t="s">
        <v>127</v>
      </c>
      <c r="F146" s="9" t="s">
        <v>125</v>
      </c>
      <c r="G146" s="9" t="s">
        <v>124</v>
      </c>
      <c r="H146" s="16" t="s">
        <v>124</v>
      </c>
      <c r="I146" s="1" t="str" cm="1">
        <f t="array" ref="I146">IF($B146,INDEX($L:$L,MATCH(TRUE,EXACT(G146,$E:$E),0)),"")</f>
        <v>Õ</v>
      </c>
      <c r="J146" s="16" t="str" cm="1">
        <f t="array" ref="J146">IF($B146,INDEX($L:$L,MATCH(TRUE,EXACT(H146,$E:$E),0)),"")</f>
        <v>Õ</v>
      </c>
      <c r="K146" s="9"/>
      <c r="L146" s="34" t="str">
        <f t="shared" si="8"/>
        <v>Ô</v>
      </c>
      <c r="M146" s="7" t="s">
        <v>206</v>
      </c>
      <c r="N146" s="10" t="s">
        <v>205</v>
      </c>
      <c r="O146" s="10" t="s">
        <v>214</v>
      </c>
      <c r="P146" s="8" t="s">
        <v>214</v>
      </c>
    </row>
    <row r="147" spans="1:16" ht="31.5">
      <c r="A147" s="28" t="s">
        <v>126</v>
      </c>
      <c r="B147" s="8" t="b">
        <f t="shared" si="6"/>
        <v>1</v>
      </c>
      <c r="D147" s="34" t="str">
        <f t="shared" si="7"/>
        <v>Õ</v>
      </c>
      <c r="E147" s="1" t="s">
        <v>124</v>
      </c>
      <c r="F147" s="9" t="s">
        <v>126</v>
      </c>
      <c r="G147" s="9" t="s">
        <v>127</v>
      </c>
      <c r="H147" s="16" t="s">
        <v>127</v>
      </c>
      <c r="I147" s="1" t="str" cm="1">
        <f t="array" ref="I147">IF($B147,INDEX($L:$L,MATCH(TRUE,EXACT(G147,$E:$E),0)),"")</f>
        <v>Ô</v>
      </c>
      <c r="J147" s="16" t="str" cm="1">
        <f t="array" ref="J147">IF($B147,INDEX($L:$L,MATCH(TRUE,EXACT(H147,$E:$E),0)),"")</f>
        <v>Ô</v>
      </c>
      <c r="K147" s="9"/>
      <c r="L147" s="34" t="str">
        <f t="shared" si="8"/>
        <v>Õ</v>
      </c>
      <c r="M147" s="7" t="s">
        <v>214</v>
      </c>
      <c r="N147" s="10" t="s">
        <v>214</v>
      </c>
      <c r="O147" s="10" t="s">
        <v>209</v>
      </c>
      <c r="P147" s="8" t="s">
        <v>208</v>
      </c>
    </row>
    <row r="148" spans="1:16" ht="31.5">
      <c r="A148" s="28" t="s">
        <v>127</v>
      </c>
      <c r="B148" s="8" t="b">
        <f t="shared" si="6"/>
        <v>1</v>
      </c>
      <c r="D148" s="34" t="str">
        <f t="shared" si="7"/>
        <v>Ö</v>
      </c>
      <c r="E148" s="1" t="s">
        <v>125</v>
      </c>
      <c r="F148" s="9" t="s">
        <v>127</v>
      </c>
      <c r="G148" s="9" t="s">
        <v>126</v>
      </c>
      <c r="H148" s="16" t="s">
        <v>126</v>
      </c>
      <c r="I148" s="1" t="str" cm="1">
        <f t="array" ref="I148">IF($B148,INDEX($L:$L,MATCH(TRUE,EXACT(G148,$E:$E),0)),"")</f>
        <v>Ó</v>
      </c>
      <c r="J148" s="16" t="str" cm="1">
        <f t="array" ref="J148">IF($B148,INDEX($L:$L,MATCH(TRUE,EXACT(H148,$E:$E),0)),"")</f>
        <v>Ó</v>
      </c>
      <c r="K148" s="9"/>
      <c r="L148" s="34" t="str">
        <f t="shared" si="8"/>
        <v>Ö</v>
      </c>
      <c r="M148" s="7" t="s">
        <v>214</v>
      </c>
      <c r="N148" s="10" t="s">
        <v>214</v>
      </c>
      <c r="O148" s="10" t="s">
        <v>208</v>
      </c>
      <c r="P148" s="8" t="s">
        <v>209</v>
      </c>
    </row>
    <row r="149" spans="1:16" ht="31.5">
      <c r="A149" s="28" t="s">
        <v>128</v>
      </c>
      <c r="B149" s="8" t="b">
        <f t="shared" si="6"/>
        <v>1</v>
      </c>
      <c r="D149" s="34" t="str">
        <f t="shared" si="7"/>
        <v>×</v>
      </c>
      <c r="E149" s="1" t="s">
        <v>129</v>
      </c>
      <c r="F149" s="9" t="s">
        <v>130</v>
      </c>
      <c r="G149" s="9" t="s">
        <v>130</v>
      </c>
      <c r="H149" s="16" t="s">
        <v>128</v>
      </c>
      <c r="I149" s="1" t="str" cm="1">
        <f t="array" ref="I149">IF($B149,INDEX($L:$L,MATCH(TRUE,EXACT(G149,$E:$E),0)),"")</f>
        <v>Ø</v>
      </c>
      <c r="J149" s="16" t="str" cm="1">
        <f t="array" ref="J149">IF($B149,INDEX($L:$L,MATCH(TRUE,EXACT(H149,$E:$E),0)),"")</f>
        <v>Ú</v>
      </c>
      <c r="K149" s="9"/>
      <c r="L149" s="34" t="str">
        <f t="shared" si="8"/>
        <v>×</v>
      </c>
      <c r="M149" s="7" t="s">
        <v>214</v>
      </c>
      <c r="N149" s="10" t="s">
        <v>202</v>
      </c>
      <c r="O149" s="10" t="s">
        <v>202</v>
      </c>
      <c r="P149" s="8" t="s">
        <v>202</v>
      </c>
    </row>
    <row r="150" spans="1:16" ht="31.5">
      <c r="A150" s="28" t="s">
        <v>129</v>
      </c>
      <c r="B150" s="8" t="b">
        <f t="shared" si="6"/>
        <v>1</v>
      </c>
      <c r="D150" s="34" t="str">
        <f t="shared" si="7"/>
        <v>Ø</v>
      </c>
      <c r="E150" s="1" t="s">
        <v>130</v>
      </c>
      <c r="F150" s="9" t="s">
        <v>131</v>
      </c>
      <c r="G150" s="9" t="s">
        <v>129</v>
      </c>
      <c r="H150" s="16" t="s">
        <v>131</v>
      </c>
      <c r="I150" s="1" t="str" cm="1">
        <f t="array" ref="I150">IF($B150,INDEX($L:$L,MATCH(TRUE,EXACT(G150,$E:$E),0)),"")</f>
        <v>×</v>
      </c>
      <c r="J150" s="16" t="str" cm="1">
        <f t="array" ref="J150">IF($B150,INDEX($L:$L,MATCH(TRUE,EXACT(H150,$E:$E),0)),"")</f>
        <v>Ù</v>
      </c>
      <c r="K150" s="9"/>
      <c r="L150" s="34" t="str">
        <f t="shared" si="8"/>
        <v>Ø</v>
      </c>
      <c r="M150" s="7" t="s">
        <v>202</v>
      </c>
      <c r="N150" s="10" t="s">
        <v>202</v>
      </c>
      <c r="O150" s="10" t="s">
        <v>202</v>
      </c>
      <c r="P150" s="8" t="s">
        <v>214</v>
      </c>
    </row>
    <row r="151" spans="1:16" ht="31.5">
      <c r="A151" s="28" t="s">
        <v>130</v>
      </c>
      <c r="B151" s="8" t="b">
        <f t="shared" si="6"/>
        <v>1</v>
      </c>
      <c r="D151" s="34" t="str">
        <f t="shared" si="7"/>
        <v>Ù</v>
      </c>
      <c r="E151" s="1" t="s">
        <v>131</v>
      </c>
      <c r="F151" s="9" t="s">
        <v>128</v>
      </c>
      <c r="G151" s="9" t="s">
        <v>128</v>
      </c>
      <c r="H151" s="16" t="s">
        <v>130</v>
      </c>
      <c r="I151" s="1" t="str" cm="1">
        <f t="array" ref="I151">IF($B151,INDEX($L:$L,MATCH(TRUE,EXACT(G151,$E:$E),0)),"")</f>
        <v>Ú</v>
      </c>
      <c r="J151" s="16" t="str" cm="1">
        <f t="array" ref="J151">IF($B151,INDEX($L:$L,MATCH(TRUE,EXACT(H151,$E:$E),0)),"")</f>
        <v>Ø</v>
      </c>
      <c r="K151" s="9"/>
      <c r="L151" s="34" t="str">
        <f t="shared" si="8"/>
        <v>Ù</v>
      </c>
      <c r="M151" s="7" t="s">
        <v>202</v>
      </c>
      <c r="N151" s="10" t="s">
        <v>214</v>
      </c>
      <c r="O151" s="10" t="s">
        <v>202</v>
      </c>
      <c r="P151" s="8" t="s">
        <v>202</v>
      </c>
    </row>
    <row r="152" spans="1:16" ht="31.5">
      <c r="A152" s="28" t="s">
        <v>131</v>
      </c>
      <c r="B152" s="8" t="b">
        <f t="shared" si="6"/>
        <v>1</v>
      </c>
      <c r="D152" s="34" t="str">
        <f t="shared" si="7"/>
        <v>Ú</v>
      </c>
      <c r="E152" s="1" t="s">
        <v>128</v>
      </c>
      <c r="F152" s="9" t="s">
        <v>129</v>
      </c>
      <c r="G152" s="9" t="s">
        <v>131</v>
      </c>
      <c r="H152" s="16" t="s">
        <v>129</v>
      </c>
      <c r="I152" s="1" t="str" cm="1">
        <f t="array" ref="I152">IF($B152,INDEX($L:$L,MATCH(TRUE,EXACT(G152,$E:$E),0)),"")</f>
        <v>Ù</v>
      </c>
      <c r="J152" s="16" t="str" cm="1">
        <f t="array" ref="J152">IF($B152,INDEX($L:$L,MATCH(TRUE,EXACT(H152,$E:$E),0)),"")</f>
        <v>×</v>
      </c>
      <c r="K152" s="9"/>
      <c r="L152" s="34" t="str">
        <f t="shared" si="8"/>
        <v>Ú</v>
      </c>
      <c r="M152" s="7" t="s">
        <v>202</v>
      </c>
      <c r="N152" s="10" t="s">
        <v>202</v>
      </c>
      <c r="O152" s="10" t="s">
        <v>214</v>
      </c>
      <c r="P152" s="8" t="s">
        <v>202</v>
      </c>
    </row>
    <row r="153" spans="1:16" ht="31.5">
      <c r="A153" s="28" t="s">
        <v>132</v>
      </c>
      <c r="B153" s="8" t="b">
        <f t="shared" si="6"/>
        <v>1</v>
      </c>
      <c r="D153" s="34" t="str">
        <f t="shared" si="7"/>
        <v>Û</v>
      </c>
      <c r="E153" s="1" t="s">
        <v>133</v>
      </c>
      <c r="F153" s="9" t="s">
        <v>134</v>
      </c>
      <c r="G153" s="9" t="s">
        <v>134</v>
      </c>
      <c r="H153" s="16" t="s">
        <v>132</v>
      </c>
      <c r="I153" s="1" t="str" cm="1">
        <f t="array" ref="I153">IF($B153,INDEX($L:$L,MATCH(TRUE,EXACT(G153,$E:$E),0)),"")</f>
        <v>Ü</v>
      </c>
      <c r="J153" s="16" t="str" cm="1">
        <f t="array" ref="J153">IF($B153,INDEX($L:$L,MATCH(TRUE,EXACT(H153,$E:$E),0)),"")</f>
        <v>Þ</v>
      </c>
      <c r="K153" s="9"/>
      <c r="L153" s="34" t="str">
        <f t="shared" si="8"/>
        <v>Û</v>
      </c>
      <c r="M153" s="7" t="s">
        <v>214</v>
      </c>
      <c r="N153" s="10" t="s">
        <v>202</v>
      </c>
      <c r="O153" s="10" t="s">
        <v>202</v>
      </c>
      <c r="P153" s="8" t="s">
        <v>202</v>
      </c>
    </row>
    <row r="154" spans="1:16" ht="31.5">
      <c r="A154" s="28" t="s">
        <v>133</v>
      </c>
      <c r="B154" s="8" t="b">
        <f t="shared" si="6"/>
        <v>1</v>
      </c>
      <c r="D154" s="34" t="str">
        <f t="shared" si="7"/>
        <v>Ü</v>
      </c>
      <c r="E154" s="1" t="s">
        <v>134</v>
      </c>
      <c r="F154" s="9" t="s">
        <v>135</v>
      </c>
      <c r="G154" s="9" t="s">
        <v>133</v>
      </c>
      <c r="H154" s="16" t="s">
        <v>135</v>
      </c>
      <c r="I154" s="1" t="str" cm="1">
        <f t="array" ref="I154">IF($B154,INDEX($L:$L,MATCH(TRUE,EXACT(G154,$E:$E),0)),"")</f>
        <v>Û</v>
      </c>
      <c r="J154" s="16" t="str" cm="1">
        <f t="array" ref="J154">IF($B154,INDEX($L:$L,MATCH(TRUE,EXACT(H154,$E:$E),0)),"")</f>
        <v>Ý</v>
      </c>
      <c r="K154" s="9"/>
      <c r="L154" s="34" t="str">
        <f t="shared" si="8"/>
        <v>Ü</v>
      </c>
      <c r="M154" s="7" t="s">
        <v>202</v>
      </c>
      <c r="N154" s="10" t="s">
        <v>202</v>
      </c>
      <c r="O154" s="10" t="s">
        <v>202</v>
      </c>
      <c r="P154" s="8" t="s">
        <v>214</v>
      </c>
    </row>
    <row r="155" spans="1:16" ht="31.5">
      <c r="A155" s="28" t="s">
        <v>134</v>
      </c>
      <c r="B155" s="8" t="b">
        <f t="shared" si="6"/>
        <v>1</v>
      </c>
      <c r="D155" s="34" t="str">
        <f t="shared" si="7"/>
        <v>Ý</v>
      </c>
      <c r="E155" s="1" t="s">
        <v>135</v>
      </c>
      <c r="F155" s="9" t="s">
        <v>132</v>
      </c>
      <c r="G155" s="9" t="s">
        <v>132</v>
      </c>
      <c r="H155" s="16" t="s">
        <v>134</v>
      </c>
      <c r="I155" s="1" t="str" cm="1">
        <f t="array" ref="I155">IF($B155,INDEX($L:$L,MATCH(TRUE,EXACT(G155,$E:$E),0)),"")</f>
        <v>Þ</v>
      </c>
      <c r="J155" s="16" t="str" cm="1">
        <f t="array" ref="J155">IF($B155,INDEX($L:$L,MATCH(TRUE,EXACT(H155,$E:$E),0)),"")</f>
        <v>Ü</v>
      </c>
      <c r="K155" s="9"/>
      <c r="L155" s="34" t="str">
        <f t="shared" si="8"/>
        <v>Ý</v>
      </c>
      <c r="M155" s="7" t="s">
        <v>202</v>
      </c>
      <c r="N155" s="10" t="s">
        <v>214</v>
      </c>
      <c r="O155" s="10" t="s">
        <v>202</v>
      </c>
      <c r="P155" s="8" t="s">
        <v>202</v>
      </c>
    </row>
    <row r="156" spans="1:16" ht="31.5">
      <c r="A156" s="28" t="s">
        <v>135</v>
      </c>
      <c r="B156" s="8" t="b">
        <f t="shared" si="6"/>
        <v>1</v>
      </c>
      <c r="D156" s="34" t="str">
        <f t="shared" si="7"/>
        <v>Þ</v>
      </c>
      <c r="E156" s="1" t="s">
        <v>132</v>
      </c>
      <c r="F156" s="9" t="s">
        <v>133</v>
      </c>
      <c r="G156" s="9" t="s">
        <v>135</v>
      </c>
      <c r="H156" s="16" t="s">
        <v>133</v>
      </c>
      <c r="I156" s="1" t="str" cm="1">
        <f t="array" ref="I156">IF($B156,INDEX($L:$L,MATCH(TRUE,EXACT(G156,$E:$E),0)),"")</f>
        <v>Ý</v>
      </c>
      <c r="J156" s="16" t="str" cm="1">
        <f t="array" ref="J156">IF($B156,INDEX($L:$L,MATCH(TRUE,EXACT(H156,$E:$E),0)),"")</f>
        <v>Û</v>
      </c>
      <c r="K156" s="9"/>
      <c r="L156" s="34" t="str">
        <f t="shared" si="8"/>
        <v>Þ</v>
      </c>
      <c r="M156" s="7" t="s">
        <v>202</v>
      </c>
      <c r="N156" s="10" t="s">
        <v>202</v>
      </c>
      <c r="O156" s="10" t="s">
        <v>214</v>
      </c>
      <c r="P156" s="8" t="s">
        <v>202</v>
      </c>
    </row>
    <row r="157" spans="1:16" ht="31.5">
      <c r="A157" s="28" t="s">
        <v>136</v>
      </c>
      <c r="B157" s="8" t="b">
        <f t="shared" si="6"/>
        <v>1</v>
      </c>
      <c r="D157" s="34" t="str">
        <f t="shared" si="7"/>
        <v>ß</v>
      </c>
      <c r="E157" s="1" t="s">
        <v>136</v>
      </c>
      <c r="F157" s="9" t="s">
        <v>136</v>
      </c>
      <c r="G157" s="9" t="s">
        <v>136</v>
      </c>
      <c r="H157" s="16" t="s">
        <v>136</v>
      </c>
      <c r="I157" s="1" t="str" cm="1">
        <f t="array" ref="I157">IF($B157,INDEX($L:$L,MATCH(TRUE,EXACT(G157,$E:$E),0)),"")</f>
        <v>ß</v>
      </c>
      <c r="J157" s="16" t="str" cm="1">
        <f t="array" ref="J157">IF($B157,INDEX($L:$L,MATCH(TRUE,EXACT(H157,$E:$E),0)),"")</f>
        <v>ß</v>
      </c>
      <c r="K157" s="9"/>
      <c r="L157" s="34" t="str">
        <f t="shared" si="8"/>
        <v>ß</v>
      </c>
      <c r="M157" s="7" t="s">
        <v>202</v>
      </c>
      <c r="N157" s="10" t="s">
        <v>202</v>
      </c>
      <c r="O157" s="10" t="s">
        <v>202</v>
      </c>
      <c r="P157" s="8" t="s">
        <v>202</v>
      </c>
    </row>
    <row r="158" spans="1:16" ht="31.5">
      <c r="A158" s="28" t="s">
        <v>137</v>
      </c>
      <c r="B158" s="8" t="b">
        <f t="shared" si="6"/>
        <v>1</v>
      </c>
      <c r="D158" s="34" t="str">
        <f t="shared" si="7"/>
        <v>à</v>
      </c>
      <c r="E158" s="1" t="s">
        <v>138</v>
      </c>
      <c r="F158" s="20" t="s">
        <v>139</v>
      </c>
      <c r="G158" s="9" t="s">
        <v>140</v>
      </c>
      <c r="H158" s="16" t="s">
        <v>138</v>
      </c>
      <c r="I158" s="1" t="str" cm="1">
        <f t="array" ref="I158">IF($B158,INDEX($L:$L,MATCH(TRUE,EXACT(G158,$E:$E),0)),"")</f>
        <v>â</v>
      </c>
      <c r="J158" s="16" t="str" cm="1">
        <f t="array" ref="J158">IF($B158,INDEX($L:$L,MATCH(TRUE,EXACT(H158,$E:$E),0)),"")</f>
        <v>à</v>
      </c>
      <c r="K158" s="9"/>
      <c r="L158" s="34" t="str">
        <f t="shared" si="8"/>
        <v>à</v>
      </c>
      <c r="M158" s="7" t="s">
        <v>206</v>
      </c>
      <c r="N158" s="10" t="s">
        <v>202</v>
      </c>
      <c r="O158" s="10" t="s">
        <v>209</v>
      </c>
      <c r="P158" s="8" t="s">
        <v>202</v>
      </c>
    </row>
    <row r="159" spans="1:16" ht="31.5">
      <c r="A159" s="28" t="s">
        <v>138</v>
      </c>
      <c r="B159" s="8" t="b">
        <f t="shared" si="6"/>
        <v>1</v>
      </c>
      <c r="D159" s="34" t="str">
        <f t="shared" si="7"/>
        <v>á</v>
      </c>
      <c r="E159" s="1" t="s">
        <v>139</v>
      </c>
      <c r="F159" s="9" t="s">
        <v>140</v>
      </c>
      <c r="G159" s="9" t="s">
        <v>139</v>
      </c>
      <c r="H159" s="16" t="s">
        <v>137</v>
      </c>
      <c r="I159" s="1" t="str" cm="1">
        <f t="array" ref="I159">IF($B159,INDEX($L:$L,MATCH(TRUE,EXACT(G159,$E:$E),0)),"")</f>
        <v>á</v>
      </c>
      <c r="J159" s="16" t="str" cm="1">
        <f t="array" ref="J159">IF($B159,INDEX($L:$L,MATCH(TRUE,EXACT(H159,$E:$E),0)),"")</f>
        <v>ã</v>
      </c>
      <c r="K159" s="9"/>
      <c r="L159" s="34" t="str">
        <f t="shared" si="8"/>
        <v>á</v>
      </c>
      <c r="M159" s="7" t="s">
        <v>205</v>
      </c>
      <c r="N159" s="10" t="s">
        <v>202</v>
      </c>
      <c r="O159" s="10" t="s">
        <v>202</v>
      </c>
      <c r="P159" s="8" t="s">
        <v>209</v>
      </c>
    </row>
    <row r="160" spans="1:16" ht="31.5">
      <c r="A160" s="28" t="s">
        <v>139</v>
      </c>
      <c r="B160" s="8" t="b">
        <f t="shared" si="6"/>
        <v>1</v>
      </c>
      <c r="D160" s="34" t="str">
        <f t="shared" si="7"/>
        <v>â</v>
      </c>
      <c r="E160" s="1" t="s">
        <v>140</v>
      </c>
      <c r="F160" s="9" t="s">
        <v>137</v>
      </c>
      <c r="G160" s="9" t="s">
        <v>138</v>
      </c>
      <c r="H160" s="16" t="s">
        <v>140</v>
      </c>
      <c r="I160" s="1" t="str" cm="1">
        <f t="array" ref="I160">IF($B160,INDEX($L:$L,MATCH(TRUE,EXACT(G160,$E:$E),0)),"")</f>
        <v>à</v>
      </c>
      <c r="J160" s="16" t="str" cm="1">
        <f t="array" ref="J160">IF($B160,INDEX($L:$L,MATCH(TRUE,EXACT(H160,$E:$E),0)),"")</f>
        <v>â</v>
      </c>
      <c r="K160" s="9"/>
      <c r="L160" s="34" t="str">
        <f t="shared" si="8"/>
        <v>â</v>
      </c>
      <c r="M160" s="7" t="s">
        <v>202</v>
      </c>
      <c r="N160" s="10" t="s">
        <v>205</v>
      </c>
      <c r="O160" s="10" t="s">
        <v>202</v>
      </c>
      <c r="P160" s="8" t="s">
        <v>208</v>
      </c>
    </row>
    <row r="161" spans="1:26" s="14" customFormat="1" ht="31.5">
      <c r="A161" s="28" t="s">
        <v>140</v>
      </c>
      <c r="B161" s="8" t="b">
        <f t="shared" si="6"/>
        <v>1</v>
      </c>
      <c r="C161" s="10"/>
      <c r="D161" s="34" t="str">
        <f t="shared" si="7"/>
        <v>ã</v>
      </c>
      <c r="E161" s="6" t="s">
        <v>137</v>
      </c>
      <c r="F161" s="9" t="s">
        <v>138</v>
      </c>
      <c r="G161" s="20" t="s">
        <v>137</v>
      </c>
      <c r="H161" s="18" t="s">
        <v>139</v>
      </c>
      <c r="I161" s="1" t="str" cm="1">
        <f t="array" ref="I161">IF($B161,INDEX($L:$L,MATCH(TRUE,EXACT(G161,$E:$E),0)),"")</f>
        <v>ã</v>
      </c>
      <c r="J161" s="16" t="str" cm="1">
        <f t="array" ref="J161">IF($B161,INDEX($L:$L,MATCH(TRUE,EXACT(H161,$E:$E),0)),"")</f>
        <v>á</v>
      </c>
      <c r="K161" s="20"/>
      <c r="L161" s="34" t="str">
        <f t="shared" si="8"/>
        <v>ã</v>
      </c>
      <c r="M161" s="13" t="s">
        <v>202</v>
      </c>
      <c r="N161" s="10" t="s">
        <v>206</v>
      </c>
      <c r="O161" s="14" t="s">
        <v>208</v>
      </c>
      <c r="P161" s="15" t="s">
        <v>202</v>
      </c>
      <c r="Q161" s="10"/>
      <c r="R161" s="10"/>
    </row>
    <row r="162" spans="1:26" s="14" customFormat="1" ht="31.5">
      <c r="A162" s="28" t="s">
        <v>141</v>
      </c>
      <c r="B162" s="8" t="b">
        <f t="shared" si="6"/>
        <v>0</v>
      </c>
      <c r="C162" s="10"/>
      <c r="D162" s="34" t="str">
        <f t="shared" si="7"/>
        <v>ä</v>
      </c>
      <c r="E162" s="6"/>
      <c r="F162" s="20" t="s">
        <v>144</v>
      </c>
      <c r="G162" s="20" t="s">
        <v>143</v>
      </c>
      <c r="H162" s="18" t="s">
        <v>142</v>
      </c>
      <c r="I162" s="1" t="str" cm="1">
        <f t="array" ref="I162">IF($B162,INDEX($L:$L,MATCH(TRUE,EXACT(G162,$E:$E),0)),"")</f>
        <v/>
      </c>
      <c r="J162" s="16" t="str" cm="1">
        <f t="array" ref="J162">IF($B162,INDEX($L:$L,MATCH(TRUE,EXACT(H162,$E:$E),0)),"")</f>
        <v/>
      </c>
      <c r="K162" s="20"/>
      <c r="L162" s="34" t="str">
        <f t="shared" si="8"/>
        <v>ä</v>
      </c>
      <c r="M162" s="13"/>
      <c r="P162" s="15"/>
      <c r="Q162" s="10"/>
      <c r="R162" s="10"/>
    </row>
    <row r="163" spans="1:26" s="14" customFormat="1" ht="31.5">
      <c r="A163" s="28" t="s">
        <v>142</v>
      </c>
      <c r="B163" s="8" t="b">
        <f t="shared" si="6"/>
        <v>0</v>
      </c>
      <c r="C163" s="10"/>
      <c r="D163" s="34" t="str">
        <f t="shared" si="7"/>
        <v>å</v>
      </c>
      <c r="E163" s="6"/>
      <c r="F163" s="20" t="s">
        <v>143</v>
      </c>
      <c r="G163" s="20" t="s">
        <v>144</v>
      </c>
      <c r="H163" s="18" t="s">
        <v>141</v>
      </c>
      <c r="I163" s="1" t="str" cm="1">
        <f t="array" ref="I163">IF($B163,INDEX($L:$L,MATCH(TRUE,EXACT(G163,$E:$E),0)),"")</f>
        <v/>
      </c>
      <c r="J163" s="16" t="str" cm="1">
        <f t="array" ref="J163">IF($B163,INDEX($L:$L,MATCH(TRUE,EXACT(H163,$E:$E),0)),"")</f>
        <v/>
      </c>
      <c r="K163" s="20"/>
      <c r="L163" s="34" t="str">
        <f t="shared" si="8"/>
        <v>å</v>
      </c>
      <c r="M163" s="13"/>
      <c r="P163" s="15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s="14" customFormat="1" ht="31.5">
      <c r="A164" s="28" t="s">
        <v>143</v>
      </c>
      <c r="B164" s="8" t="b">
        <f t="shared" si="6"/>
        <v>0</v>
      </c>
      <c r="C164" s="10"/>
      <c r="D164" s="34" t="str">
        <f t="shared" si="7"/>
        <v>ç</v>
      </c>
      <c r="E164" s="6"/>
      <c r="F164" s="20" t="s">
        <v>142</v>
      </c>
      <c r="G164" s="20" t="s">
        <v>141</v>
      </c>
      <c r="H164" s="18" t="s">
        <v>144</v>
      </c>
      <c r="I164" s="1" t="str" cm="1">
        <f t="array" ref="I164">IF($B164,INDEX($L:$L,MATCH(TRUE,EXACT(G164,$E:$E),0)),"")</f>
        <v/>
      </c>
      <c r="J164" s="16" t="str" cm="1">
        <f t="array" ref="J164">IF($B164,INDEX($L:$L,MATCH(TRUE,EXACT(H164,$E:$E),0)),"")</f>
        <v/>
      </c>
      <c r="K164" s="20"/>
      <c r="L164" s="34" t="str">
        <f t="shared" si="8"/>
        <v>ç</v>
      </c>
      <c r="M164" s="13"/>
      <c r="P164" s="15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s="14" customFormat="1" ht="31.5">
      <c r="A165" s="28" t="s">
        <v>144</v>
      </c>
      <c r="B165" s="8" t="b">
        <f t="shared" si="6"/>
        <v>0</v>
      </c>
      <c r="C165" s="10"/>
      <c r="D165" s="34" t="str">
        <f t="shared" si="7"/>
        <v>è</v>
      </c>
      <c r="E165" s="6"/>
      <c r="F165" s="20" t="s">
        <v>141</v>
      </c>
      <c r="G165" s="20" t="s">
        <v>142</v>
      </c>
      <c r="H165" s="18" t="s">
        <v>143</v>
      </c>
      <c r="I165" s="1" t="str" cm="1">
        <f t="array" ref="I165">IF($B165,INDEX($L:$L,MATCH(TRUE,EXACT(G165,$E:$E),0)),"")</f>
        <v/>
      </c>
      <c r="J165" s="16" t="str" cm="1">
        <f t="array" ref="J165">IF($B165,INDEX($L:$L,MATCH(TRUE,EXACT(H165,$E:$E),0)),"")</f>
        <v/>
      </c>
      <c r="K165" s="20"/>
      <c r="L165" s="34" t="str">
        <f t="shared" si="8"/>
        <v>è</v>
      </c>
      <c r="M165" s="13"/>
      <c r="P165" s="15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s="14" customFormat="1" ht="31.5">
      <c r="A166" s="28" t="s">
        <v>161</v>
      </c>
      <c r="B166" s="8" t="b">
        <f t="shared" si="6"/>
        <v>0</v>
      </c>
      <c r="C166" s="10"/>
      <c r="D166" s="34" t="str">
        <f t="shared" si="7"/>
        <v>é</v>
      </c>
      <c r="E166" s="6"/>
      <c r="F166" s="20" t="s">
        <v>162</v>
      </c>
      <c r="G166" s="20" t="s">
        <v>162</v>
      </c>
      <c r="H166" s="18" t="s">
        <v>161</v>
      </c>
      <c r="I166" s="1" t="str" cm="1">
        <f t="array" ref="I166">IF($B166,INDEX($L:$L,MATCH(TRUE,EXACT(G166,$E:$E),0)),"")</f>
        <v/>
      </c>
      <c r="J166" s="16" t="str" cm="1">
        <f t="array" ref="J166">IF($B166,INDEX($L:$L,MATCH(TRUE,EXACT(H166,$E:$E),0)),"")</f>
        <v/>
      </c>
      <c r="K166" s="20"/>
      <c r="L166" s="34" t="str">
        <f t="shared" si="8"/>
        <v>é</v>
      </c>
      <c r="M166" s="13"/>
      <c r="P166" s="15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s="14" customFormat="1" ht="31.5">
      <c r="A167" s="28" t="s">
        <v>162</v>
      </c>
      <c r="B167" s="8" t="b">
        <f t="shared" si="6"/>
        <v>0</v>
      </c>
      <c r="C167" s="10"/>
      <c r="D167" s="34" t="str">
        <f t="shared" si="7"/>
        <v>ê</v>
      </c>
      <c r="E167" s="6"/>
      <c r="F167" s="20" t="s">
        <v>161</v>
      </c>
      <c r="G167" s="20" t="s">
        <v>161</v>
      </c>
      <c r="H167" s="18" t="s">
        <v>162</v>
      </c>
      <c r="I167" s="1" t="str" cm="1">
        <f t="array" ref="I167">IF($B167,INDEX($L:$L,MATCH(TRUE,EXACT(G167,$E:$E),0)),"")</f>
        <v/>
      </c>
      <c r="J167" s="16" t="str" cm="1">
        <f t="array" ref="J167">IF($B167,INDEX($L:$L,MATCH(TRUE,EXACT(H167,$E:$E),0)),"")</f>
        <v/>
      </c>
      <c r="K167" s="20"/>
      <c r="L167" s="34" t="str">
        <f t="shared" si="8"/>
        <v>ê</v>
      </c>
      <c r="M167" s="13"/>
      <c r="P167" s="15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s="14" customFormat="1" ht="31.5">
      <c r="A168" s="28" t="s">
        <v>163</v>
      </c>
      <c r="B168" s="8" t="b">
        <f t="shared" si="6"/>
        <v>0</v>
      </c>
      <c r="C168" s="10"/>
      <c r="D168" s="34" t="str">
        <f t="shared" si="7"/>
        <v>ë</v>
      </c>
      <c r="E168" s="6"/>
      <c r="F168" s="20" t="s">
        <v>163</v>
      </c>
      <c r="G168" s="20" t="s">
        <v>163</v>
      </c>
      <c r="H168" s="18" t="s">
        <v>163</v>
      </c>
      <c r="I168" s="1" t="str" cm="1">
        <f t="array" ref="I168">IF($B168,INDEX($L:$L,MATCH(TRUE,EXACT(G168,$E:$E),0)),"")</f>
        <v/>
      </c>
      <c r="J168" s="16" t="str" cm="1">
        <f t="array" ref="J168">IF($B168,INDEX($L:$L,MATCH(TRUE,EXACT(H168,$E:$E),0)),"")</f>
        <v/>
      </c>
      <c r="K168" s="20"/>
      <c r="L168" s="34" t="str">
        <f t="shared" si="8"/>
        <v>ë</v>
      </c>
      <c r="M168" s="13"/>
      <c r="P168" s="15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s="14" customFormat="1" ht="31.5">
      <c r="A169" s="28" t="s">
        <v>145</v>
      </c>
      <c r="B169" s="8" t="b">
        <f t="shared" si="6"/>
        <v>0</v>
      </c>
      <c r="C169" s="10"/>
      <c r="D169" s="34" t="str">
        <f t="shared" si="7"/>
        <v>ì</v>
      </c>
      <c r="E169" s="6"/>
      <c r="F169" s="20" t="s">
        <v>148</v>
      </c>
      <c r="G169" s="20" t="s">
        <v>147</v>
      </c>
      <c r="H169" s="18" t="s">
        <v>146</v>
      </c>
      <c r="I169" s="1" t="str" cm="1">
        <f t="array" ref="I169">IF($B169,INDEX($L:$L,MATCH(TRUE,EXACT(G169,$E:$E),0)),"")</f>
        <v/>
      </c>
      <c r="J169" s="16" t="str" cm="1">
        <f t="array" ref="J169">IF($B169,INDEX($L:$L,MATCH(TRUE,EXACT(H169,$E:$E),0)),"")</f>
        <v/>
      </c>
      <c r="K169" s="20"/>
      <c r="L169" s="34" t="str">
        <f t="shared" si="8"/>
        <v>ì</v>
      </c>
      <c r="M169" s="13"/>
      <c r="P169" s="15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s="14" customFormat="1" ht="31.5">
      <c r="A170" s="28" t="s">
        <v>146</v>
      </c>
      <c r="B170" s="8" t="b">
        <f t="shared" si="6"/>
        <v>0</v>
      </c>
      <c r="C170" s="10"/>
      <c r="D170" s="34" t="str">
        <f t="shared" si="7"/>
        <v>í</v>
      </c>
      <c r="E170" s="6"/>
      <c r="F170" s="20" t="s">
        <v>147</v>
      </c>
      <c r="G170" s="20" t="s">
        <v>148</v>
      </c>
      <c r="H170" s="18" t="s">
        <v>145</v>
      </c>
      <c r="I170" s="1" t="str" cm="1">
        <f t="array" ref="I170">IF($B170,INDEX($L:$L,MATCH(TRUE,EXACT(G170,$E:$E),0)),"")</f>
        <v/>
      </c>
      <c r="J170" s="16" t="str" cm="1">
        <f t="array" ref="J170">IF($B170,INDEX($L:$L,MATCH(TRUE,EXACT(H170,$E:$E),0)),"")</f>
        <v/>
      </c>
      <c r="K170" s="20"/>
      <c r="L170" s="34" t="str">
        <f t="shared" si="8"/>
        <v>í</v>
      </c>
      <c r="M170" s="13"/>
      <c r="P170" s="15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s="14" customFormat="1" ht="31.5">
      <c r="A171" s="28" t="s">
        <v>147</v>
      </c>
      <c r="B171" s="8" t="b">
        <f t="shared" si="6"/>
        <v>0</v>
      </c>
      <c r="C171" s="10"/>
      <c r="D171" s="34" t="str">
        <f t="shared" si="7"/>
        <v>î</v>
      </c>
      <c r="E171" s="6"/>
      <c r="F171" s="20" t="s">
        <v>146</v>
      </c>
      <c r="G171" s="20" t="s">
        <v>145</v>
      </c>
      <c r="H171" s="18" t="s">
        <v>148</v>
      </c>
      <c r="I171" s="1" t="str" cm="1">
        <f t="array" ref="I171">IF($B171,INDEX($L:$L,MATCH(TRUE,EXACT(G171,$E:$E),0)),"")</f>
        <v/>
      </c>
      <c r="J171" s="16" t="str" cm="1">
        <f t="array" ref="J171">IF($B171,INDEX($L:$L,MATCH(TRUE,EXACT(H171,$E:$E),0)),"")</f>
        <v/>
      </c>
      <c r="K171" s="20"/>
      <c r="L171" s="34" t="str">
        <f t="shared" si="8"/>
        <v>î</v>
      </c>
      <c r="M171" s="13"/>
      <c r="P171" s="15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s="14" customFormat="1" ht="31.5">
      <c r="A172" s="28" t="s">
        <v>148</v>
      </c>
      <c r="B172" s="8" t="b">
        <f t="shared" si="6"/>
        <v>0</v>
      </c>
      <c r="C172" s="10"/>
      <c r="D172" s="34" t="str">
        <f t="shared" si="7"/>
        <v>ï</v>
      </c>
      <c r="E172" s="6"/>
      <c r="F172" s="20" t="s">
        <v>145</v>
      </c>
      <c r="G172" s="20" t="s">
        <v>146</v>
      </c>
      <c r="H172" s="18" t="s">
        <v>147</v>
      </c>
      <c r="I172" s="1" t="str" cm="1">
        <f t="array" ref="I172">IF($B172,INDEX($L:$L,MATCH(TRUE,EXACT(G172,$E:$E),0)),"")</f>
        <v/>
      </c>
      <c r="J172" s="16" t="str" cm="1">
        <f t="array" ref="J172">IF($B172,INDEX($L:$L,MATCH(TRUE,EXACT(H172,$E:$E),0)),"")</f>
        <v/>
      </c>
      <c r="K172" s="20"/>
      <c r="L172" s="34" t="str">
        <f t="shared" si="8"/>
        <v>ï</v>
      </c>
      <c r="M172" s="13"/>
      <c r="P172" s="15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31.5">
      <c r="A173" s="28" t="s">
        <v>149</v>
      </c>
      <c r="B173" s="8" t="b">
        <f t="shared" si="6"/>
        <v>1</v>
      </c>
      <c r="D173" s="34" t="str">
        <f t="shared" si="7"/>
        <v>ð</v>
      </c>
      <c r="E173" s="6" t="s">
        <v>152</v>
      </c>
      <c r="F173" s="20" t="s">
        <v>150</v>
      </c>
      <c r="G173" s="20" t="s">
        <v>150</v>
      </c>
      <c r="H173" s="18" t="s">
        <v>149</v>
      </c>
      <c r="I173" s="1" t="str" cm="1">
        <f t="array" ref="I173">IF($B173,INDEX($L:$L,MATCH(TRUE,EXACT(G173,$E:$E),0)),"")</f>
        <v>ó</v>
      </c>
      <c r="J173" s="16" t="str" cm="1">
        <f t="array" ref="J173">IF($B173,INDEX($L:$L,MATCH(TRUE,EXACT(H173,$E:$E),0)),"")</f>
        <v>ò</v>
      </c>
      <c r="K173" s="20"/>
      <c r="L173" s="34" t="str">
        <f t="shared" si="8"/>
        <v>ð</v>
      </c>
      <c r="M173" s="7" t="s">
        <v>214</v>
      </c>
      <c r="N173" s="10" t="s">
        <v>214</v>
      </c>
      <c r="O173" s="10" t="s">
        <v>203</v>
      </c>
      <c r="P173" s="8" t="s">
        <v>204</v>
      </c>
    </row>
    <row r="174" spans="1:26" ht="31.5">
      <c r="A174" s="28" t="s">
        <v>150</v>
      </c>
      <c r="B174" s="8" t="b">
        <f t="shared" si="6"/>
        <v>1</v>
      </c>
      <c r="D174" s="34" t="str">
        <f t="shared" si="7"/>
        <v>ñ</v>
      </c>
      <c r="E174" s="1" t="s">
        <v>151</v>
      </c>
      <c r="F174" s="9" t="s">
        <v>149</v>
      </c>
      <c r="G174" s="9" t="s">
        <v>149</v>
      </c>
      <c r="H174" s="16" t="s">
        <v>150</v>
      </c>
      <c r="I174" s="1" t="str" cm="1">
        <f t="array" ref="I174">IF($B174,INDEX($L:$L,MATCH(TRUE,EXACT(G174,$E:$E),0)),"")</f>
        <v>ò</v>
      </c>
      <c r="J174" s="16" t="str" cm="1">
        <f t="array" ref="J174">IF($B174,INDEX($L:$L,MATCH(TRUE,EXACT(H174,$E:$E),0)),"")</f>
        <v>ó</v>
      </c>
      <c r="K174" s="9"/>
      <c r="L174" s="34" t="str">
        <f t="shared" si="8"/>
        <v>ñ</v>
      </c>
      <c r="M174" s="7" t="s">
        <v>214</v>
      </c>
      <c r="N174" s="10" t="s">
        <v>214</v>
      </c>
      <c r="O174" s="10" t="s">
        <v>204</v>
      </c>
      <c r="P174" s="8" t="s">
        <v>203</v>
      </c>
    </row>
    <row r="175" spans="1:26" ht="31.5">
      <c r="A175" s="28" t="s">
        <v>151</v>
      </c>
      <c r="B175" s="8" t="b">
        <f t="shared" si="6"/>
        <v>1</v>
      </c>
      <c r="D175" s="34" t="str">
        <f t="shared" si="7"/>
        <v>ò</v>
      </c>
      <c r="E175" s="1" t="s">
        <v>149</v>
      </c>
      <c r="F175" s="9" t="s">
        <v>152</v>
      </c>
      <c r="G175" s="9" t="s">
        <v>151</v>
      </c>
      <c r="H175" s="16" t="s">
        <v>152</v>
      </c>
      <c r="I175" s="1" t="str" cm="1">
        <f t="array" ref="I175">IF($B175,INDEX($L:$L,MATCH(TRUE,EXACT(G175,$E:$E),0)),"")</f>
        <v>ñ</v>
      </c>
      <c r="J175" s="16" t="str" cm="1">
        <f t="array" ref="J175">IF($B175,INDEX($L:$L,MATCH(TRUE,EXACT(H175,$E:$E),0)),"")</f>
        <v>ð</v>
      </c>
      <c r="K175" s="9"/>
      <c r="L175" s="34" t="str">
        <f t="shared" si="8"/>
        <v>ò</v>
      </c>
      <c r="M175" s="7" t="s">
        <v>204</v>
      </c>
      <c r="N175" s="10" t="s">
        <v>203</v>
      </c>
      <c r="O175" s="10" t="s">
        <v>214</v>
      </c>
      <c r="P175" s="8" t="s">
        <v>214</v>
      </c>
    </row>
    <row r="176" spans="1:26" ht="31.5">
      <c r="A176" s="28" t="s">
        <v>152</v>
      </c>
      <c r="B176" s="8" t="b">
        <f t="shared" si="6"/>
        <v>1</v>
      </c>
      <c r="D176" s="34" t="str">
        <f t="shared" si="7"/>
        <v>ó</v>
      </c>
      <c r="E176" s="1" t="s">
        <v>150</v>
      </c>
      <c r="F176" s="9" t="s">
        <v>151</v>
      </c>
      <c r="G176" s="9" t="s">
        <v>152</v>
      </c>
      <c r="H176" s="16" t="s">
        <v>151</v>
      </c>
      <c r="I176" s="1" t="str" cm="1">
        <f t="array" ref="I176">IF($B176,INDEX($L:$L,MATCH(TRUE,EXACT(G176,$E:$E),0)),"")</f>
        <v>ð</v>
      </c>
      <c r="J176" s="16" t="str" cm="1">
        <f t="array" ref="J176">IF($B176,INDEX($L:$L,MATCH(TRUE,EXACT(H176,$E:$E),0)),"")</f>
        <v>ñ</v>
      </c>
      <c r="K176" s="9"/>
      <c r="L176" s="34" t="str">
        <f t="shared" si="8"/>
        <v>ó</v>
      </c>
      <c r="M176" s="7" t="s">
        <v>203</v>
      </c>
      <c r="N176" s="10" t="s">
        <v>204</v>
      </c>
      <c r="O176" s="10" t="s">
        <v>214</v>
      </c>
      <c r="P176" s="8" t="s">
        <v>214</v>
      </c>
    </row>
    <row r="177" spans="1:16" ht="32.25" customHeight="1">
      <c r="A177" s="28" t="s">
        <v>153</v>
      </c>
      <c r="B177" s="8" t="b">
        <f t="shared" si="6"/>
        <v>1</v>
      </c>
      <c r="D177" s="34" t="str">
        <f t="shared" si="7"/>
        <v>ô</v>
      </c>
      <c r="E177" s="1" t="s">
        <v>164</v>
      </c>
      <c r="F177" s="9" t="s">
        <v>156</v>
      </c>
      <c r="G177" s="9" t="s">
        <v>155</v>
      </c>
      <c r="H177" s="16" t="s">
        <v>154</v>
      </c>
      <c r="I177" s="1" t="str" cm="1">
        <f t="array" ref="I177">IF($B177,INDEX($L:$L,MATCH(TRUE,EXACT(G177,$E:$E),0)),"")</f>
        <v>ü</v>
      </c>
      <c r="J177" s="16" t="str" cm="1">
        <f t="array" ref="J177">IF($B177,INDEX($L:$L,MATCH(TRUE,EXACT(H177,$E:$E),0)),"")</f>
        <v>ø</v>
      </c>
      <c r="K177" s="9"/>
      <c r="L177" s="34" t="str">
        <f t="shared" si="8"/>
        <v>ô</v>
      </c>
      <c r="M177" s="7" t="s">
        <v>214</v>
      </c>
      <c r="N177" s="10" t="s">
        <v>201</v>
      </c>
      <c r="O177" s="10" t="s">
        <v>214</v>
      </c>
      <c r="P177" s="8" t="s">
        <v>202</v>
      </c>
    </row>
    <row r="178" spans="1:16" ht="34.5" customHeight="1">
      <c r="A178" s="28" t="s">
        <v>154</v>
      </c>
      <c r="B178" s="8" t="b">
        <f t="shared" si="6"/>
        <v>1</v>
      </c>
      <c r="D178" s="34" t="str">
        <f t="shared" si="7"/>
        <v>õ</v>
      </c>
      <c r="E178" s="1" t="s">
        <v>159</v>
      </c>
      <c r="F178" s="9" t="s">
        <v>155</v>
      </c>
      <c r="G178" s="9" t="s">
        <v>156</v>
      </c>
      <c r="H178" s="16" t="s">
        <v>153</v>
      </c>
      <c r="I178" s="1" t="str" cm="1">
        <f t="array" ref="I178">IF($B178,INDEX($L:$L,MATCH(TRUE,EXACT(G178,$E:$E),0)),"")</f>
        <v>ù</v>
      </c>
      <c r="J178" s="16" t="str" cm="1">
        <f t="array" ref="J178">IF($B178,INDEX($L:$L,MATCH(TRUE,EXACT(H178,$E:$E),0)),"")</f>
        <v>û</v>
      </c>
      <c r="K178" s="9"/>
      <c r="L178" s="34" t="str">
        <f t="shared" si="8"/>
        <v>õ</v>
      </c>
      <c r="M178" s="7" t="s">
        <v>214</v>
      </c>
      <c r="N178" s="10" t="s">
        <v>201</v>
      </c>
      <c r="O178" s="10" t="s">
        <v>202</v>
      </c>
      <c r="P178" s="8" t="s">
        <v>214</v>
      </c>
    </row>
    <row r="179" spans="1:16" ht="31.5">
      <c r="A179" s="28" t="s">
        <v>155</v>
      </c>
      <c r="B179" s="8" t="b">
        <f t="shared" si="6"/>
        <v>1</v>
      </c>
      <c r="D179" s="34" t="str">
        <f t="shared" si="7"/>
        <v>ö</v>
      </c>
      <c r="E179" s="1" t="s">
        <v>157</v>
      </c>
      <c r="F179" s="9" t="s">
        <v>154</v>
      </c>
      <c r="G179" s="9" t="s">
        <v>153</v>
      </c>
      <c r="H179" s="16" t="s">
        <v>156</v>
      </c>
      <c r="I179" s="1" t="str" cm="1">
        <f t="array" ref="I179">IF($B179,INDEX($L:$L,MATCH(TRUE,EXACT(G179,$E:$E),0)),"")</f>
        <v>û</v>
      </c>
      <c r="J179" s="16" t="str" cm="1">
        <f t="array" ref="J179">IF($B179,INDEX($L:$L,MATCH(TRUE,EXACT(H179,$E:$E),0)),"")</f>
        <v>ù</v>
      </c>
      <c r="K179" s="9"/>
      <c r="L179" s="34" t="str">
        <f t="shared" si="8"/>
        <v>ö</v>
      </c>
      <c r="M179" s="7" t="s">
        <v>201</v>
      </c>
      <c r="N179" s="10" t="s">
        <v>214</v>
      </c>
      <c r="O179" s="10" t="s">
        <v>214</v>
      </c>
      <c r="P179" s="8" t="s">
        <v>202</v>
      </c>
    </row>
    <row r="180" spans="1:16" ht="31.5">
      <c r="A180" s="28" t="s">
        <v>156</v>
      </c>
      <c r="B180" s="8" t="b">
        <f t="shared" si="6"/>
        <v>1</v>
      </c>
      <c r="D180" s="34" t="str">
        <f t="shared" si="7"/>
        <v>÷</v>
      </c>
      <c r="E180" s="1" t="s">
        <v>158</v>
      </c>
      <c r="F180" s="9" t="s">
        <v>153</v>
      </c>
      <c r="G180" s="9" t="s">
        <v>154</v>
      </c>
      <c r="H180" s="16" t="s">
        <v>155</v>
      </c>
      <c r="I180" s="1" t="str" cm="1">
        <f t="array" ref="I180">IF($B180,INDEX($L:$L,MATCH(TRUE,EXACT(G180,$E:$E),0)),"")</f>
        <v>ø</v>
      </c>
      <c r="J180" s="16" t="str" cm="1">
        <f t="array" ref="J180">IF($B180,INDEX($L:$L,MATCH(TRUE,EXACT(H180,$E:$E),0)),"")</f>
        <v>ü</v>
      </c>
      <c r="K180" s="9"/>
      <c r="L180" s="34" t="str">
        <f t="shared" si="8"/>
        <v>÷</v>
      </c>
      <c r="M180" s="7" t="s">
        <v>201</v>
      </c>
      <c r="N180" s="10" t="s">
        <v>214</v>
      </c>
      <c r="O180" s="10" t="s">
        <v>202</v>
      </c>
      <c r="P180" s="8" t="s">
        <v>214</v>
      </c>
    </row>
    <row r="181" spans="1:16" ht="31.5">
      <c r="A181" s="28" t="s">
        <v>157</v>
      </c>
      <c r="B181" s="8" t="b">
        <f t="shared" si="6"/>
        <v>1</v>
      </c>
      <c r="D181" s="34" t="str">
        <f t="shared" si="7"/>
        <v>ø</v>
      </c>
      <c r="E181" s="1" t="s">
        <v>154</v>
      </c>
      <c r="F181" s="9" t="s">
        <v>159</v>
      </c>
      <c r="G181" s="9" t="s">
        <v>158</v>
      </c>
      <c r="H181" s="16" t="s">
        <v>164</v>
      </c>
      <c r="I181" s="1" t="str" cm="1">
        <f t="array" ref="I181">IF($B181,INDEX($L:$L,MATCH(TRUE,EXACT(G181,$E:$E),0)),"")</f>
        <v>÷</v>
      </c>
      <c r="J181" s="16" t="str" cm="1">
        <f t="array" ref="J181">IF($B181,INDEX($L:$L,MATCH(TRUE,EXACT(H181,$E:$E),0)),"")</f>
        <v>ô</v>
      </c>
      <c r="K181" s="9"/>
      <c r="L181" s="34" t="str">
        <f t="shared" si="8"/>
        <v>ø</v>
      </c>
      <c r="M181" s="7" t="s">
        <v>214</v>
      </c>
      <c r="N181" s="10" t="s">
        <v>202</v>
      </c>
      <c r="O181" s="10" t="s">
        <v>214</v>
      </c>
      <c r="P181" s="8" t="s">
        <v>201</v>
      </c>
    </row>
    <row r="182" spans="1:16" ht="31.5">
      <c r="A182" s="28" t="s">
        <v>164</v>
      </c>
      <c r="B182" s="8" t="b">
        <f t="shared" si="6"/>
        <v>1</v>
      </c>
      <c r="D182" s="34" t="str">
        <f t="shared" si="7"/>
        <v>ù</v>
      </c>
      <c r="E182" s="1" t="s">
        <v>156</v>
      </c>
      <c r="F182" s="9" t="s">
        <v>158</v>
      </c>
      <c r="G182" s="9" t="s">
        <v>159</v>
      </c>
      <c r="H182" s="16" t="s">
        <v>157</v>
      </c>
      <c r="I182" s="1" t="str" cm="1">
        <f t="array" ref="I182">IF($B182,INDEX($L:$L,MATCH(TRUE,EXACT(G182,$E:$E),0)),"")</f>
        <v>õ</v>
      </c>
      <c r="J182" s="16" t="str" cm="1">
        <f t="array" ref="J182">IF($B182,INDEX($L:$L,MATCH(TRUE,EXACT(H182,$E:$E),0)),"")</f>
        <v>ö</v>
      </c>
      <c r="K182" s="9"/>
      <c r="L182" s="34" t="str">
        <f t="shared" si="8"/>
        <v>ù</v>
      </c>
      <c r="M182" s="7" t="s">
        <v>214</v>
      </c>
      <c r="N182" s="10" t="s">
        <v>202</v>
      </c>
      <c r="O182" s="10" t="s">
        <v>201</v>
      </c>
      <c r="P182" s="8" t="s">
        <v>214</v>
      </c>
    </row>
    <row r="183" spans="1:16" ht="31.5">
      <c r="A183" s="28" t="s">
        <v>158</v>
      </c>
      <c r="B183" s="8" t="b">
        <f t="shared" si="6"/>
        <v>1</v>
      </c>
      <c r="D183" s="34" t="str">
        <f t="shared" si="7"/>
        <v>û</v>
      </c>
      <c r="E183" s="1" t="s">
        <v>153</v>
      </c>
      <c r="F183" s="9" t="s">
        <v>164</v>
      </c>
      <c r="G183" s="9" t="s">
        <v>157</v>
      </c>
      <c r="H183" s="16" t="s">
        <v>159</v>
      </c>
      <c r="I183" s="1" t="str" cm="1">
        <f t="array" ref="I183">IF($B183,INDEX($L:$L,MATCH(TRUE,EXACT(G183,$E:$E),0)),"")</f>
        <v>ö</v>
      </c>
      <c r="J183" s="16" t="str" cm="1">
        <f t="array" ref="J183">IF($B183,INDEX($L:$L,MATCH(TRUE,EXACT(H183,$E:$E),0)),"")</f>
        <v>õ</v>
      </c>
      <c r="K183" s="9"/>
      <c r="L183" s="34" t="str">
        <f t="shared" si="8"/>
        <v>û</v>
      </c>
      <c r="M183" s="7" t="s">
        <v>202</v>
      </c>
      <c r="N183" s="10" t="s">
        <v>214</v>
      </c>
      <c r="O183" s="10" t="s">
        <v>214</v>
      </c>
      <c r="P183" s="8" t="s">
        <v>201</v>
      </c>
    </row>
    <row r="184" spans="1:16" ht="31.5">
      <c r="A184" s="28" t="s">
        <v>159</v>
      </c>
      <c r="B184" s="8" t="b">
        <f t="shared" si="6"/>
        <v>1</v>
      </c>
      <c r="D184" s="34" t="str">
        <f t="shared" si="7"/>
        <v>ü</v>
      </c>
      <c r="E184" s="1" t="s">
        <v>155</v>
      </c>
      <c r="F184" s="9" t="s">
        <v>157</v>
      </c>
      <c r="G184" s="9" t="s">
        <v>164</v>
      </c>
      <c r="H184" s="16" t="s">
        <v>158</v>
      </c>
      <c r="I184" s="1" t="str" cm="1">
        <f t="array" ref="I184">IF($B184,INDEX($L:$L,MATCH(TRUE,EXACT(G184,$E:$E),0)),"")</f>
        <v>ô</v>
      </c>
      <c r="J184" s="16" t="str" cm="1">
        <f t="array" ref="J184">IF($B184,INDEX($L:$L,MATCH(TRUE,EXACT(H184,$E:$E),0)),"")</f>
        <v>÷</v>
      </c>
      <c r="K184" s="9"/>
      <c r="L184" s="34" t="str">
        <f t="shared" si="8"/>
        <v>ü</v>
      </c>
      <c r="M184" s="7" t="s">
        <v>202</v>
      </c>
      <c r="N184" s="10" t="s">
        <v>214</v>
      </c>
      <c r="O184" s="10" t="s">
        <v>201</v>
      </c>
      <c r="P184" s="8" t="s">
        <v>214</v>
      </c>
    </row>
    <row r="185" spans="1:16" ht="31.5">
      <c r="A185" s="28" t="s">
        <v>178</v>
      </c>
      <c r="B185" s="8" t="b">
        <f t="shared" si="6"/>
        <v>1</v>
      </c>
      <c r="D185" s="34" t="str">
        <f t="shared" si="7"/>
        <v>ģ</v>
      </c>
      <c r="E185" s="1" t="s">
        <v>179</v>
      </c>
      <c r="F185" s="9" t="s">
        <v>180</v>
      </c>
      <c r="G185" s="9" t="s">
        <v>184</v>
      </c>
      <c r="H185" s="16" t="s">
        <v>182</v>
      </c>
      <c r="I185" s="1" t="str" cm="1">
        <f t="array" ref="I185">IF($B185,INDEX($L:$L,MATCH(TRUE,EXACT(G185,$E:$E),0)),"")</f>
        <v>Ĩ</v>
      </c>
      <c r="J185" s="16" t="str" cm="1">
        <f t="array" ref="J185">IF($B185,INDEX($L:$L,MATCH(TRUE,EXACT(H185,$E:$E),0)),"")</f>
        <v>Ī</v>
      </c>
      <c r="K185" s="9"/>
      <c r="L185" s="34" t="str">
        <f t="shared" si="8"/>
        <v>ģ</v>
      </c>
      <c r="M185" s="7" t="s">
        <v>214</v>
      </c>
      <c r="N185" s="10" t="s">
        <v>203</v>
      </c>
      <c r="O185" s="10" t="s">
        <v>209</v>
      </c>
      <c r="P185" s="8" t="s">
        <v>214</v>
      </c>
    </row>
    <row r="186" spans="1:16" ht="31.5">
      <c r="A186" s="28" t="s">
        <v>179</v>
      </c>
      <c r="B186" s="8" t="b">
        <f t="shared" si="6"/>
        <v>1</v>
      </c>
      <c r="D186" s="34" t="str">
        <f t="shared" si="7"/>
        <v>Ĥ</v>
      </c>
      <c r="E186" s="1" t="s">
        <v>180</v>
      </c>
      <c r="F186" s="9" t="s">
        <v>181</v>
      </c>
      <c r="G186" s="9" t="s">
        <v>183</v>
      </c>
      <c r="H186" s="16" t="s">
        <v>185</v>
      </c>
      <c r="I186" s="1" t="str" cm="1">
        <f t="array" ref="I186">IF($B186,INDEX($L:$L,MATCH(TRUE,EXACT(G186,$E:$E),0)),"")</f>
        <v>ħ</v>
      </c>
      <c r="J186" s="16" t="str" cm="1">
        <f t="array" ref="J186">IF($B186,INDEX($L:$L,MATCH(TRUE,EXACT(H186,$E:$E),0)),"")</f>
        <v>ĩ</v>
      </c>
      <c r="K186" s="9"/>
      <c r="L186" s="34" t="str">
        <f t="shared" si="8"/>
        <v>Ĥ</v>
      </c>
      <c r="M186" s="7" t="s">
        <v>205</v>
      </c>
      <c r="N186" s="10" t="s">
        <v>214</v>
      </c>
      <c r="O186" s="10" t="s">
        <v>203</v>
      </c>
      <c r="P186" s="8" t="s">
        <v>214</v>
      </c>
    </row>
    <row r="187" spans="1:16" ht="31.5">
      <c r="A187" s="28" t="s">
        <v>180</v>
      </c>
      <c r="B187" s="8" t="b">
        <f t="shared" si="6"/>
        <v>1</v>
      </c>
      <c r="D187" s="34" t="str">
        <f t="shared" si="7"/>
        <v>ĥ</v>
      </c>
      <c r="E187" s="1" t="s">
        <v>181</v>
      </c>
      <c r="F187" s="9" t="s">
        <v>178</v>
      </c>
      <c r="G187" s="9" t="s">
        <v>182</v>
      </c>
      <c r="H187" s="16" t="s">
        <v>184</v>
      </c>
      <c r="I187" s="1" t="str" cm="1">
        <f t="array" ref="I187">IF($B187,INDEX($L:$L,MATCH(TRUE,EXACT(G187,$E:$E),0)),"")</f>
        <v>Ī</v>
      </c>
      <c r="J187" s="16" t="str" cm="1">
        <f t="array" ref="J187">IF($B187,INDEX($L:$L,MATCH(TRUE,EXACT(H187,$E:$E),0)),"")</f>
        <v>Ĩ</v>
      </c>
      <c r="K187" s="9"/>
      <c r="L187" s="34" t="str">
        <f t="shared" si="8"/>
        <v>ĥ</v>
      </c>
      <c r="M187" s="7" t="s">
        <v>203</v>
      </c>
      <c r="N187" s="10" t="s">
        <v>214</v>
      </c>
      <c r="O187" s="10" t="s">
        <v>214</v>
      </c>
      <c r="P187" s="8" t="s">
        <v>208</v>
      </c>
    </row>
    <row r="188" spans="1:16" ht="31.5">
      <c r="A188" s="28" t="s">
        <v>181</v>
      </c>
      <c r="B188" s="8" t="b">
        <f t="shared" si="6"/>
        <v>1</v>
      </c>
      <c r="D188" s="34" t="str">
        <f t="shared" si="7"/>
        <v>Ħ</v>
      </c>
      <c r="E188" s="1" t="s">
        <v>178</v>
      </c>
      <c r="F188" s="9" t="s">
        <v>179</v>
      </c>
      <c r="G188" s="9" t="s">
        <v>185</v>
      </c>
      <c r="H188" s="16" t="s">
        <v>183</v>
      </c>
      <c r="I188" s="1" t="str" cm="1">
        <f t="array" ref="I188">IF($B188,INDEX($L:$L,MATCH(TRUE,EXACT(G188,$E:$E),0)),"")</f>
        <v>ĩ</v>
      </c>
      <c r="J188" s="16" t="str" cm="1">
        <f t="array" ref="J188">IF($B188,INDEX($L:$L,MATCH(TRUE,EXACT(H188,$E:$E),0)),"")</f>
        <v>ħ</v>
      </c>
      <c r="K188" s="9"/>
      <c r="L188" s="34" t="str">
        <f t="shared" si="8"/>
        <v>Ħ</v>
      </c>
      <c r="M188" s="7" t="s">
        <v>214</v>
      </c>
      <c r="N188" s="10" t="s">
        <v>206</v>
      </c>
      <c r="O188" s="10" t="s">
        <v>214</v>
      </c>
      <c r="P188" s="8" t="s">
        <v>203</v>
      </c>
    </row>
    <row r="189" spans="1:16" ht="31.5">
      <c r="A189" s="28" t="s">
        <v>182</v>
      </c>
      <c r="B189" s="8" t="b">
        <f t="shared" si="6"/>
        <v>1</v>
      </c>
      <c r="D189" s="34" t="str">
        <f t="shared" si="7"/>
        <v>ħ</v>
      </c>
      <c r="E189" s="1" t="s">
        <v>183</v>
      </c>
      <c r="F189" s="9" t="s">
        <v>184</v>
      </c>
      <c r="G189" s="9" t="s">
        <v>180</v>
      </c>
      <c r="H189" s="16" t="s">
        <v>178</v>
      </c>
      <c r="I189" s="1" t="str" cm="1">
        <f t="array" ref="I189">IF($B189,INDEX($L:$L,MATCH(TRUE,EXACT(G189,$E:$E),0)),"")</f>
        <v>Ĥ</v>
      </c>
      <c r="J189" s="16" t="str" cm="1">
        <f t="array" ref="J189">IF($B189,INDEX($L:$L,MATCH(TRUE,EXACT(H189,$E:$E),0)),"")</f>
        <v>Ħ</v>
      </c>
      <c r="K189" s="9"/>
      <c r="L189" s="34" t="str">
        <f t="shared" si="8"/>
        <v>ħ</v>
      </c>
      <c r="M189" s="7" t="s">
        <v>214</v>
      </c>
      <c r="N189" s="10" t="s">
        <v>204</v>
      </c>
      <c r="O189" s="10" t="s">
        <v>214</v>
      </c>
      <c r="P189" s="8" t="s">
        <v>209</v>
      </c>
    </row>
    <row r="190" spans="1:16" ht="31.5">
      <c r="A190" s="28" t="s">
        <v>183</v>
      </c>
      <c r="B190" s="8" t="b">
        <f t="shared" si="6"/>
        <v>1</v>
      </c>
      <c r="D190" s="34" t="str">
        <f t="shared" si="7"/>
        <v>Ĩ</v>
      </c>
      <c r="E190" s="1" t="s">
        <v>184</v>
      </c>
      <c r="F190" s="9" t="s">
        <v>185</v>
      </c>
      <c r="G190" s="9" t="s">
        <v>179</v>
      </c>
      <c r="H190" s="16" t="s">
        <v>181</v>
      </c>
      <c r="I190" s="1" t="str" cm="1">
        <f t="array" ref="I190">IF($B190,INDEX($L:$L,MATCH(TRUE,EXACT(G190,$E:$E),0)),"")</f>
        <v>ģ</v>
      </c>
      <c r="J190" s="16" t="str" cm="1">
        <f t="array" ref="J190">IF($B190,INDEX($L:$L,MATCH(TRUE,EXACT(H190,$E:$E),0)),"")</f>
        <v>ĥ</v>
      </c>
      <c r="K190" s="9"/>
      <c r="L190" s="34" t="str">
        <f t="shared" si="8"/>
        <v>Ĩ</v>
      </c>
      <c r="M190" s="7" t="s">
        <v>214</v>
      </c>
      <c r="N190" s="10" t="s">
        <v>205</v>
      </c>
      <c r="O190" s="10" t="s">
        <v>204</v>
      </c>
      <c r="P190" s="8" t="s">
        <v>214</v>
      </c>
    </row>
    <row r="191" spans="1:16" ht="31.5">
      <c r="A191" s="28" t="s">
        <v>184</v>
      </c>
      <c r="B191" s="8" t="b">
        <f t="shared" si="6"/>
        <v>1</v>
      </c>
      <c r="D191" s="34" t="str">
        <f t="shared" si="7"/>
        <v>ĩ</v>
      </c>
      <c r="E191" s="1" t="s">
        <v>185</v>
      </c>
      <c r="F191" s="9" t="s">
        <v>182</v>
      </c>
      <c r="G191" s="9" t="s">
        <v>178</v>
      </c>
      <c r="H191" s="16" t="s">
        <v>180</v>
      </c>
      <c r="I191" s="1" t="str" cm="1">
        <f t="array" ref="I191">IF($B191,INDEX($L:$L,MATCH(TRUE,EXACT(G191,$E:$E),0)),"")</f>
        <v>Ħ</v>
      </c>
      <c r="J191" s="16" t="str" cm="1">
        <f t="array" ref="J191">IF($B191,INDEX($L:$L,MATCH(TRUE,EXACT(H191,$E:$E),0)),"")</f>
        <v>Ĥ</v>
      </c>
      <c r="K191" s="9"/>
      <c r="L191" s="34" t="str">
        <f t="shared" si="8"/>
        <v>ĩ</v>
      </c>
      <c r="M191" s="7" t="s">
        <v>204</v>
      </c>
      <c r="N191" s="10" t="s">
        <v>214</v>
      </c>
      <c r="O191" s="10" t="s">
        <v>208</v>
      </c>
      <c r="P191" s="8" t="s">
        <v>214</v>
      </c>
    </row>
    <row r="192" spans="1:16" ht="31.5">
      <c r="A192" s="28" t="s">
        <v>185</v>
      </c>
      <c r="B192" s="8" t="b">
        <f t="shared" si="6"/>
        <v>1</v>
      </c>
      <c r="D192" s="34" t="str">
        <f t="shared" si="7"/>
        <v>Ī</v>
      </c>
      <c r="E192" s="1" t="s">
        <v>182</v>
      </c>
      <c r="F192" s="9" t="s">
        <v>183</v>
      </c>
      <c r="G192" s="9" t="s">
        <v>181</v>
      </c>
      <c r="H192" s="16" t="s">
        <v>179</v>
      </c>
      <c r="I192" s="1" t="str" cm="1">
        <f t="array" ref="I192">IF($B192,INDEX($L:$L,MATCH(TRUE,EXACT(G192,$E:$E),0)),"")</f>
        <v>ĥ</v>
      </c>
      <c r="J192" s="16" t="str" cm="1">
        <f t="array" ref="J192">IF($B192,INDEX($L:$L,MATCH(TRUE,EXACT(H192,$E:$E),0)),"")</f>
        <v>ģ</v>
      </c>
      <c r="K192" s="9"/>
      <c r="L192" s="34" t="str">
        <f t="shared" si="8"/>
        <v>Ī</v>
      </c>
      <c r="M192" s="7" t="s">
        <v>206</v>
      </c>
      <c r="N192" s="10" t="s">
        <v>214</v>
      </c>
      <c r="O192" s="10" t="s">
        <v>214</v>
      </c>
      <c r="P192" s="8" t="s">
        <v>204</v>
      </c>
    </row>
    <row r="193" spans="1:19" ht="31.5">
      <c r="A193" s="28" t="s">
        <v>186</v>
      </c>
      <c r="B193" s="8" t="b">
        <f t="shared" si="6"/>
        <v>1</v>
      </c>
      <c r="D193" s="34" t="str">
        <f t="shared" si="7"/>
        <v>Œ</v>
      </c>
      <c r="E193" s="1" t="s">
        <v>189</v>
      </c>
      <c r="F193" s="9" t="s">
        <v>186</v>
      </c>
      <c r="G193" s="9" t="s">
        <v>186</v>
      </c>
      <c r="H193" s="16" t="s">
        <v>186</v>
      </c>
      <c r="I193" s="1" t="str" cm="1">
        <f t="array" ref="I193">IF($B193,INDEX($L:$L,MATCH(TRUE,EXACT(G193,$E:$E),0)),"")</f>
        <v>‚</v>
      </c>
      <c r="J193" s="16" t="str" cm="1">
        <f t="array" ref="J193">IF($B193,INDEX($L:$L,MATCH(TRUE,EXACT(H193,$E:$E),0)),"")</f>
        <v>‚</v>
      </c>
      <c r="K193" s="9"/>
      <c r="L193" s="34" t="str">
        <f t="shared" si="8"/>
        <v>Œ</v>
      </c>
      <c r="M193" s="7" t="s">
        <v>214</v>
      </c>
      <c r="N193" s="10" t="s">
        <v>214</v>
      </c>
      <c r="O193" s="10" t="s">
        <v>202</v>
      </c>
      <c r="P193" s="8" t="s">
        <v>202</v>
      </c>
    </row>
    <row r="194" spans="1:19" ht="31.5">
      <c r="A194" s="28" t="s">
        <v>187</v>
      </c>
      <c r="B194" s="8" t="b">
        <f t="shared" si="6"/>
        <v>1</v>
      </c>
      <c r="D194" s="34" t="str">
        <f t="shared" si="7"/>
        <v>Š</v>
      </c>
      <c r="E194" s="1" t="s">
        <v>188</v>
      </c>
      <c r="F194" s="9" t="s">
        <v>195</v>
      </c>
      <c r="G194" s="9" t="s">
        <v>187</v>
      </c>
      <c r="H194" s="16" t="s">
        <v>195</v>
      </c>
      <c r="I194" s="1" t="str" cm="1">
        <f t="array" ref="I194">IF($B194,INDEX($L:$L,MATCH(TRUE,EXACT(G194,$E:$E),0)),"")</f>
        <v>‰</v>
      </c>
      <c r="J194" s="16" t="str" cm="1">
        <f t="array" ref="J194">IF($B194,INDEX($L:$L,MATCH(TRUE,EXACT(H194,$E:$E),0)),"")</f>
        <v>ˆ</v>
      </c>
      <c r="K194" s="9"/>
      <c r="L194" s="34" t="str">
        <f t="shared" si="8"/>
        <v>Š</v>
      </c>
      <c r="M194" s="7" t="s">
        <v>214</v>
      </c>
      <c r="N194" s="10" t="s">
        <v>214</v>
      </c>
      <c r="O194" s="10" t="s">
        <v>214</v>
      </c>
      <c r="P194" s="8" t="s">
        <v>201</v>
      </c>
    </row>
    <row r="195" spans="1:19" ht="31.5">
      <c r="A195" s="28" t="s">
        <v>188</v>
      </c>
      <c r="B195" s="8" t="b">
        <f t="shared" ref="B195:B202" si="9">4=COUNTA($E195:$H195)</f>
        <v>1</v>
      </c>
      <c r="D195" s="34" t="str">
        <f t="shared" ref="D195:D202" si="10">$A195</f>
        <v>ˆ</v>
      </c>
      <c r="E195" s="1" t="s">
        <v>195</v>
      </c>
      <c r="F195" s="9" t="s">
        <v>194</v>
      </c>
      <c r="G195" s="9" t="s">
        <v>194</v>
      </c>
      <c r="H195" s="16" t="s">
        <v>188</v>
      </c>
      <c r="I195" s="1" t="str" cm="1">
        <f t="array" ref="I195">IF($B195,INDEX($L:$L,MATCH(TRUE,EXACT(G195,$E:$E),0)),"")</f>
        <v>‹</v>
      </c>
      <c r="J195" s="16" t="str" cm="1">
        <f t="array" ref="J195">IF($B195,INDEX($L:$L,MATCH(TRUE,EXACT(H195,$E:$E),0)),"")</f>
        <v>Š</v>
      </c>
      <c r="K195" s="9"/>
      <c r="L195" s="34" t="str">
        <f t="shared" ref="L195:L202" si="11">$A195</f>
        <v>ˆ</v>
      </c>
      <c r="M195" s="7" t="s">
        <v>214</v>
      </c>
      <c r="N195" s="10" t="s">
        <v>201</v>
      </c>
      <c r="O195" s="10" t="s">
        <v>214</v>
      </c>
      <c r="P195" s="8" t="s">
        <v>214</v>
      </c>
    </row>
    <row r="196" spans="1:19" ht="31.5">
      <c r="A196" s="28" t="s">
        <v>189</v>
      </c>
      <c r="B196" s="8" t="b">
        <f t="shared" si="9"/>
        <v>1</v>
      </c>
      <c r="D196" s="34" t="str">
        <f t="shared" si="10"/>
        <v>‚</v>
      </c>
      <c r="E196" s="1" t="s">
        <v>186</v>
      </c>
      <c r="F196" s="9" t="s">
        <v>189</v>
      </c>
      <c r="G196" s="9" t="s">
        <v>189</v>
      </c>
      <c r="H196" s="16" t="s">
        <v>189</v>
      </c>
      <c r="I196" s="1" t="str" cm="1">
        <f t="array" ref="I196">IF($B196,INDEX($L:$L,MATCH(TRUE,EXACT(G196,$E:$E),0)),"")</f>
        <v>Œ</v>
      </c>
      <c r="J196" s="16" t="str" cm="1">
        <f t="array" ref="J196">IF($B196,INDEX($L:$L,MATCH(TRUE,EXACT(H196,$E:$E),0)),"")</f>
        <v>Œ</v>
      </c>
      <c r="K196" s="9"/>
      <c r="L196" s="34" t="str">
        <f t="shared" si="11"/>
        <v>‚</v>
      </c>
      <c r="M196" s="7" t="s">
        <v>202</v>
      </c>
      <c r="N196" s="10" t="s">
        <v>202</v>
      </c>
      <c r="O196" s="10" t="s">
        <v>214</v>
      </c>
      <c r="P196" s="8" t="s">
        <v>214</v>
      </c>
    </row>
    <row r="197" spans="1:19" ht="31.5">
      <c r="A197" s="28" t="s">
        <v>190</v>
      </c>
      <c r="B197" s="8" t="b">
        <f t="shared" si="9"/>
        <v>1</v>
      </c>
      <c r="D197" s="34" t="str">
        <f t="shared" si="10"/>
        <v>„</v>
      </c>
      <c r="E197" s="1" t="s">
        <v>193</v>
      </c>
      <c r="F197" s="9" t="s">
        <v>192</v>
      </c>
      <c r="G197" s="9" t="s">
        <v>191</v>
      </c>
      <c r="H197" s="16" t="s">
        <v>193</v>
      </c>
      <c r="I197" s="1" t="str" cm="1">
        <f t="array" ref="I197">IF($B197,INDEX($L:$L,MATCH(TRUE,EXACT(G197,$E:$E),0)),"")</f>
        <v>‡</v>
      </c>
      <c r="J197" s="16" t="str" cm="1">
        <f t="array" ref="J197">IF($B197,INDEX($L:$L,MATCH(TRUE,EXACT(H197,$E:$E),0)),"")</f>
        <v>„</v>
      </c>
      <c r="K197" s="9"/>
      <c r="L197" s="34" t="str">
        <f t="shared" si="11"/>
        <v>„</v>
      </c>
      <c r="M197" s="7" t="s">
        <v>214</v>
      </c>
      <c r="N197" s="10" t="s">
        <v>201</v>
      </c>
      <c r="O197" s="10" t="s">
        <v>214</v>
      </c>
      <c r="P197" s="8" t="s">
        <v>201</v>
      </c>
      <c r="S197" s="4"/>
    </row>
    <row r="198" spans="1:19" ht="31.5">
      <c r="A198" s="28" t="s">
        <v>191</v>
      </c>
      <c r="B198" s="8" t="b">
        <f t="shared" si="9"/>
        <v>1</v>
      </c>
      <c r="D198" s="34" t="str">
        <f t="shared" si="10"/>
        <v>†</v>
      </c>
      <c r="E198" s="1" t="s">
        <v>190</v>
      </c>
      <c r="F198" s="9" t="s">
        <v>193</v>
      </c>
      <c r="G198" s="9" t="s">
        <v>190</v>
      </c>
      <c r="H198" s="16" t="s">
        <v>192</v>
      </c>
      <c r="I198" s="1" t="str" cm="1">
        <f t="array" ref="I198">IF($B198,INDEX($L:$L,MATCH(TRUE,EXACT(G198,$E:$E),0)),"")</f>
        <v>†</v>
      </c>
      <c r="J198" s="16" t="str" cm="1">
        <f t="array" ref="J198">IF($B198,INDEX($L:$L,MATCH(TRUE,EXACT(H198,$E:$E),0)),"")</f>
        <v>…</v>
      </c>
      <c r="K198" s="9"/>
      <c r="L198" s="34" t="str">
        <f t="shared" si="11"/>
        <v>†</v>
      </c>
      <c r="M198" s="7" t="s">
        <v>201</v>
      </c>
      <c r="N198" s="10" t="s">
        <v>214</v>
      </c>
      <c r="O198" s="10" t="s">
        <v>214</v>
      </c>
      <c r="P198" s="8" t="s">
        <v>201</v>
      </c>
      <c r="S198" s="4"/>
    </row>
    <row r="199" spans="1:19" ht="31.5">
      <c r="A199" s="28" t="s">
        <v>192</v>
      </c>
      <c r="B199" s="8" t="b">
        <f t="shared" si="9"/>
        <v>1</v>
      </c>
      <c r="D199" s="34" t="str">
        <f t="shared" si="10"/>
        <v>‡</v>
      </c>
      <c r="E199" s="1" t="s">
        <v>191</v>
      </c>
      <c r="F199" s="9" t="s">
        <v>190</v>
      </c>
      <c r="G199" s="9" t="s">
        <v>193</v>
      </c>
      <c r="H199" s="16" t="s">
        <v>191</v>
      </c>
      <c r="I199" s="1" t="str" cm="1">
        <f t="array" ref="I199">IF($B199,INDEX($L:$L,MATCH(TRUE,EXACT(G199,$E:$E),0)),"")</f>
        <v>„</v>
      </c>
      <c r="J199" s="16" t="str" cm="1">
        <f t="array" ref="J199">IF($B199,INDEX($L:$L,MATCH(TRUE,EXACT(H199,$E:$E),0)),"")</f>
        <v>‡</v>
      </c>
      <c r="K199" s="9"/>
      <c r="L199" s="34" t="str">
        <f t="shared" si="11"/>
        <v>‡</v>
      </c>
      <c r="M199" s="7" t="s">
        <v>201</v>
      </c>
      <c r="N199" s="10" t="s">
        <v>214</v>
      </c>
      <c r="O199" s="10" t="s">
        <v>201</v>
      </c>
      <c r="P199" s="8" t="s">
        <v>214</v>
      </c>
      <c r="S199" s="4"/>
    </row>
    <row r="200" spans="1:19" ht="31.5">
      <c r="A200" s="28" t="s">
        <v>193</v>
      </c>
      <c r="B200" s="8" t="b">
        <f t="shared" si="9"/>
        <v>1</v>
      </c>
      <c r="D200" s="34" t="str">
        <f t="shared" si="10"/>
        <v>…</v>
      </c>
      <c r="E200" s="1" t="s">
        <v>192</v>
      </c>
      <c r="F200" s="9" t="s">
        <v>191</v>
      </c>
      <c r="G200" s="9" t="s">
        <v>192</v>
      </c>
      <c r="H200" s="16" t="s">
        <v>190</v>
      </c>
      <c r="I200" s="1" t="str" cm="1">
        <f t="array" ref="I200">IF($B200,INDEX($L:$L,MATCH(TRUE,EXACT(G200,$E:$E),0)),"")</f>
        <v>…</v>
      </c>
      <c r="J200" s="16" t="str" cm="1">
        <f t="array" ref="J200">IF($B200,INDEX($L:$L,MATCH(TRUE,EXACT(H200,$E:$E),0)),"")</f>
        <v>†</v>
      </c>
      <c r="K200" s="9"/>
      <c r="L200" s="34" t="str">
        <f t="shared" si="11"/>
        <v>…</v>
      </c>
      <c r="M200" s="7" t="s">
        <v>214</v>
      </c>
      <c r="N200" s="10" t="s">
        <v>201</v>
      </c>
      <c r="O200" s="10" t="s">
        <v>201</v>
      </c>
      <c r="P200" s="8" t="s">
        <v>214</v>
      </c>
      <c r="S200" s="4"/>
    </row>
    <row r="201" spans="1:19" ht="31.5">
      <c r="A201" s="28" t="s">
        <v>194</v>
      </c>
      <c r="B201" s="8" t="b">
        <f t="shared" si="9"/>
        <v>1</v>
      </c>
      <c r="D201" s="34" t="str">
        <f t="shared" si="10"/>
        <v>‰</v>
      </c>
      <c r="E201" s="1" t="s">
        <v>187</v>
      </c>
      <c r="F201" s="9" t="s">
        <v>188</v>
      </c>
      <c r="G201" s="9" t="s">
        <v>188</v>
      </c>
      <c r="H201" s="16" t="s">
        <v>194</v>
      </c>
      <c r="I201" s="1" t="str" cm="1">
        <f t="array" ref="I201">IF($B201,INDEX($L:$L,MATCH(TRUE,EXACT(G201,$E:$E),0)),"")</f>
        <v>Š</v>
      </c>
      <c r="J201" s="16" t="str" cm="1">
        <f t="array" ref="J201">IF($B201,INDEX($L:$L,MATCH(TRUE,EXACT(H201,$E:$E),0)),"")</f>
        <v>‹</v>
      </c>
      <c r="K201" s="9"/>
      <c r="L201" s="34" t="str">
        <f t="shared" si="11"/>
        <v>‰</v>
      </c>
      <c r="M201" s="7" t="s">
        <v>201</v>
      </c>
      <c r="N201" s="10" t="s">
        <v>214</v>
      </c>
      <c r="O201" s="10" t="s">
        <v>214</v>
      </c>
      <c r="P201" s="8" t="s">
        <v>214</v>
      </c>
      <c r="S201" s="4"/>
    </row>
    <row r="202" spans="1:19" ht="31.5">
      <c r="A202" s="28" t="s">
        <v>195</v>
      </c>
      <c r="B202" s="8" t="b">
        <f t="shared" si="9"/>
        <v>1</v>
      </c>
      <c r="D202" s="34" t="str">
        <f t="shared" si="10"/>
        <v>‹</v>
      </c>
      <c r="E202" s="1" t="s">
        <v>194</v>
      </c>
      <c r="F202" s="9" t="s">
        <v>187</v>
      </c>
      <c r="G202" s="9" t="s">
        <v>195</v>
      </c>
      <c r="H202" s="16" t="s">
        <v>187</v>
      </c>
      <c r="I202" s="1" t="str" cm="1">
        <f t="array" ref="I202">IF($B202,INDEX($L:$L,MATCH(TRUE,EXACT(G202,$E:$E),0)),"")</f>
        <v>ˆ</v>
      </c>
      <c r="J202" s="16" t="str" cm="1">
        <f t="array" ref="J202">IF($B202,INDEX($L:$L,MATCH(TRUE,EXACT(H202,$E:$E),0)),"")</f>
        <v>‰</v>
      </c>
      <c r="K202" s="9"/>
      <c r="L202" s="34" t="str">
        <f t="shared" si="11"/>
        <v>‹</v>
      </c>
      <c r="M202" s="7" t="s">
        <v>214</v>
      </c>
      <c r="N202" s="10" t="s">
        <v>214</v>
      </c>
      <c r="O202" s="10" t="s">
        <v>201</v>
      </c>
      <c r="P202" s="8" t="s">
        <v>214</v>
      </c>
      <c r="S202" s="4"/>
    </row>
    <row r="203" spans="1:19">
      <c r="S203" s="4"/>
    </row>
    <row r="204" spans="1:19">
      <c r="S204" s="4"/>
    </row>
    <row r="205" spans="1:19">
      <c r="S205" s="4"/>
    </row>
    <row r="206" spans="1:19">
      <c r="S206" s="4"/>
    </row>
  </sheetData>
  <autoFilter ref="M1:P1"/>
  <phoneticPr fontId="4" type="noConversion"/>
  <conditionalFormatting sqref="A2:J202 L2:XFD202">
    <cfRule type="expression" dxfId="0" priority="15">
      <formula>$B2=FALSE</formula>
    </cfRule>
  </conditionalFormatting>
  <dataValidations count="1">
    <dataValidation type="list" allowBlank="1" showInputMessage="1" showErrorMessage="1" sqref="M2:P202 U2:Z10">
      <formula1>$S$2:$S$10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201"/>
  <sheetViews>
    <sheetView tabSelected="1" topLeftCell="A163" workbookViewId="0">
      <selection activeCell="M184" sqref="M184"/>
    </sheetView>
  </sheetViews>
  <sheetFormatPr defaultRowHeight="15"/>
  <cols>
    <col min="8" max="9" width="13.7109375" bestFit="1" customWidth="1"/>
    <col min="10" max="11" width="14.42578125" bestFit="1" customWidth="1"/>
  </cols>
  <sheetData>
    <row r="1" spans="1:11">
      <c r="A1">
        <f>IF(Sheet1!$B2, CODE(Sheet1!D2), "")</f>
        <v>32</v>
      </c>
      <c r="B1">
        <f>IF(Sheet1!$B2, CODE(Sheet1!E2), "")</f>
        <v>32</v>
      </c>
      <c r="C1">
        <f>IF(Sheet1!$B2, CODE(Sheet1!F2), "")</f>
        <v>32</v>
      </c>
      <c r="D1">
        <f>IF(Sheet1!$B2, CODE(Sheet1!G2), "")</f>
        <v>32</v>
      </c>
      <c r="E1">
        <f>IF(Sheet1!$B2, CODE(Sheet1!H2), "")</f>
        <v>32</v>
      </c>
      <c r="F1">
        <f>IF(Sheet1!$B2, CODE(Sheet1!I2), "")</f>
        <v>32</v>
      </c>
      <c r="G1">
        <f>IF(Sheet1!$B2, CODE(Sheet1!J2), "")</f>
        <v>32</v>
      </c>
      <c r="H1" t="str">
        <f>IF(Sheet1!$B2,Sheet1!M2,"")</f>
        <v>EMPTY</v>
      </c>
      <c r="I1" t="str">
        <f>IF(Sheet1!$B2,Sheet1!N2,"")</f>
        <v>EMPTY</v>
      </c>
      <c r="J1" t="str">
        <f>IF(Sheet1!$B2,Sheet1!O2,"")</f>
        <v>EMPTY</v>
      </c>
      <c r="K1" t="str">
        <f>IF(Sheet1!$B2,Sheet1!P2,"")</f>
        <v>EMPTY</v>
      </c>
    </row>
    <row r="2" spans="1:11">
      <c r="A2">
        <f>IF(Sheet1!$B3, CODE(Sheet1!D3), "")</f>
        <v>33</v>
      </c>
      <c r="B2">
        <f>IF(Sheet1!$B3, CODE(Sheet1!E3), "")</f>
        <v>126</v>
      </c>
      <c r="C2">
        <f>IF(Sheet1!$B3, CODE(Sheet1!F3), "")</f>
        <v>33</v>
      </c>
      <c r="D2">
        <f>IF(Sheet1!$B3, CODE(Sheet1!G3), "")</f>
        <v>33</v>
      </c>
      <c r="E2">
        <f>IF(Sheet1!$B3, CODE(Sheet1!H3), "")</f>
        <v>33</v>
      </c>
      <c r="F2">
        <f>IF(Sheet1!$B3, CODE(Sheet1!I3), "")</f>
        <v>126</v>
      </c>
      <c r="G2">
        <f>IF(Sheet1!$B3, CODE(Sheet1!J3), "")</f>
        <v>126</v>
      </c>
      <c r="H2" t="str">
        <f>IF(Sheet1!$B3,Sheet1!M3,"")</f>
        <v>EMPTY</v>
      </c>
      <c r="I2" t="str">
        <f>IF(Sheet1!$B3,Sheet1!N3,"")</f>
        <v>EMPTY</v>
      </c>
      <c r="J2" t="str">
        <f>IF(Sheet1!$B3,Sheet1!O3,"")</f>
        <v>ORTHO_BOTH</v>
      </c>
      <c r="K2" t="str">
        <f>IF(Sheet1!$B3,Sheet1!P3,"")</f>
        <v>ORTHO_BOTH</v>
      </c>
    </row>
    <row r="3" spans="1:11">
      <c r="A3">
        <f>IF(Sheet1!$B4, CODE(Sheet1!D4), "")</f>
        <v>34</v>
      </c>
      <c r="B3">
        <f>IF(Sheet1!$B4, CODE(Sheet1!E4), "")</f>
        <v>34</v>
      </c>
      <c r="C3">
        <f>IF(Sheet1!$B4, CODE(Sheet1!F4), "")</f>
        <v>34</v>
      </c>
      <c r="D3">
        <f>IF(Sheet1!$B4, CODE(Sheet1!G4), "")</f>
        <v>34</v>
      </c>
      <c r="E3">
        <f>IF(Sheet1!$B4, CODE(Sheet1!H4), "")</f>
        <v>34</v>
      </c>
      <c r="F3">
        <f>IF(Sheet1!$B4, CODE(Sheet1!I4), "")</f>
        <v>34</v>
      </c>
      <c r="G3">
        <f>IF(Sheet1!$B4, CODE(Sheet1!J4), "")</f>
        <v>34</v>
      </c>
      <c r="H3" t="str">
        <f>IF(Sheet1!$B4,Sheet1!M4,"")</f>
        <v>ORTHO_BOTH</v>
      </c>
      <c r="I3" t="str">
        <f>IF(Sheet1!$B4,Sheet1!N4,"")</f>
        <v>ORTHO_BOTH</v>
      </c>
      <c r="J3" t="str">
        <f>IF(Sheet1!$B4,Sheet1!O4,"")</f>
        <v>ORTHO_BOTH</v>
      </c>
      <c r="K3" t="str">
        <f>IF(Sheet1!$B4,Sheet1!P4,"")</f>
        <v>ORTHO_BOTH</v>
      </c>
    </row>
    <row r="4" spans="1:11">
      <c r="A4">
        <f>IF(Sheet1!$B5, CODE(Sheet1!D5), "")</f>
        <v>35</v>
      </c>
      <c r="B4">
        <f>IF(Sheet1!$B5, CODE(Sheet1!E5), "")</f>
        <v>64</v>
      </c>
      <c r="C4">
        <f>IF(Sheet1!$B5, CODE(Sheet1!F5), "")</f>
        <v>35</v>
      </c>
      <c r="D4">
        <f>IF(Sheet1!$B5, CODE(Sheet1!G5), "")</f>
        <v>35</v>
      </c>
      <c r="E4">
        <f>IF(Sheet1!$B5, CODE(Sheet1!H5), "")</f>
        <v>35</v>
      </c>
      <c r="F4">
        <f>IF(Sheet1!$B5, CODE(Sheet1!I5), "")</f>
        <v>64</v>
      </c>
      <c r="G4">
        <f>IF(Sheet1!$B5, CODE(Sheet1!J5), "")</f>
        <v>64</v>
      </c>
      <c r="H4" t="str">
        <f>IF(Sheet1!$B5,Sheet1!M5,"")</f>
        <v>EMPTY</v>
      </c>
      <c r="I4" t="str">
        <f>IF(Sheet1!$B5,Sheet1!N5,"")</f>
        <v>EMPTY</v>
      </c>
      <c r="J4" t="str">
        <f>IF(Sheet1!$B5,Sheet1!O5,"")</f>
        <v>ORTHO_BOTH</v>
      </c>
      <c r="K4" t="str">
        <f>IF(Sheet1!$B5,Sheet1!P5,"")</f>
        <v>ORTHO_BOTH</v>
      </c>
    </row>
    <row r="5" spans="1:11">
      <c r="A5">
        <f>IF(Sheet1!$B6, CODE(Sheet1!D6), "")</f>
        <v>36</v>
      </c>
      <c r="B5">
        <f>IF(Sheet1!$B6, CODE(Sheet1!E6), "")</f>
        <v>86</v>
      </c>
      <c r="C5">
        <f>IF(Sheet1!$B6, CODE(Sheet1!F6), "")</f>
        <v>82</v>
      </c>
      <c r="D5">
        <f>IF(Sheet1!$B6, CODE(Sheet1!G6), "")</f>
        <v>82</v>
      </c>
      <c r="E5">
        <f>IF(Sheet1!$B6, CODE(Sheet1!H6), "")</f>
        <v>36</v>
      </c>
      <c r="F5">
        <f>IF(Sheet1!$B6, CODE(Sheet1!I6), "")</f>
        <v>86</v>
      </c>
      <c r="G5">
        <f>IF(Sheet1!$B6, CODE(Sheet1!J6), "")</f>
        <v>70</v>
      </c>
      <c r="H5" t="str">
        <f>IF(Sheet1!$B6,Sheet1!M6,"")</f>
        <v>EMPTY</v>
      </c>
      <c r="I5" t="str">
        <f>IF(Sheet1!$B6,Sheet1!N6,"")</f>
        <v>ORTHO_BOTH</v>
      </c>
      <c r="J5" t="str">
        <f>IF(Sheet1!$B6,Sheet1!O6,"")</f>
        <v>EMPTY</v>
      </c>
      <c r="K5" t="str">
        <f>IF(Sheet1!$B6,Sheet1!P6,"")</f>
        <v>EMPTY</v>
      </c>
    </row>
    <row r="6" spans="1:11">
      <c r="A6">
        <f>IF(Sheet1!$B7, CODE(Sheet1!D7), "")</f>
        <v>37</v>
      </c>
      <c r="B6">
        <f>IF(Sheet1!$B7, CODE(Sheet1!E7), "")</f>
        <v>72</v>
      </c>
      <c r="C6">
        <f>IF(Sheet1!$B7, CODE(Sheet1!F7), "")</f>
        <v>84</v>
      </c>
      <c r="D6">
        <f>IF(Sheet1!$B7, CODE(Sheet1!G7), "")</f>
        <v>84</v>
      </c>
      <c r="E6">
        <f>IF(Sheet1!$B7, CODE(Sheet1!H7), "")</f>
        <v>37</v>
      </c>
      <c r="F6">
        <f>IF(Sheet1!$B7, CODE(Sheet1!I7), "")</f>
        <v>72</v>
      </c>
      <c r="G6">
        <f>IF(Sheet1!$B7, CODE(Sheet1!J7), "")</f>
        <v>71</v>
      </c>
      <c r="H6" t="str">
        <f>IF(Sheet1!$B7,Sheet1!M7,"")</f>
        <v>EMPTY</v>
      </c>
      <c r="I6" t="str">
        <f>IF(Sheet1!$B7,Sheet1!N7,"")</f>
        <v>DIAG_BOTH</v>
      </c>
      <c r="J6" t="str">
        <f>IF(Sheet1!$B7,Sheet1!O7,"")</f>
        <v>ORTHO_BOTH</v>
      </c>
      <c r="K6" t="str">
        <f>IF(Sheet1!$B7,Sheet1!P7,"")</f>
        <v>ORTHO_BOTH</v>
      </c>
    </row>
    <row r="7" spans="1:11">
      <c r="A7">
        <f>IF(Sheet1!$B8, CODE(Sheet1!D8), "")</f>
        <v>38</v>
      </c>
      <c r="B7">
        <f>IF(Sheet1!$B8, CODE(Sheet1!E8), "")</f>
        <v>75</v>
      </c>
      <c r="C7">
        <f>IF(Sheet1!$B8, CODE(Sheet1!F8), "")</f>
        <v>73</v>
      </c>
      <c r="D7">
        <f>IF(Sheet1!$B8, CODE(Sheet1!G8), "")</f>
        <v>85</v>
      </c>
      <c r="E7">
        <f>IF(Sheet1!$B8, CODE(Sheet1!H8), "")</f>
        <v>42</v>
      </c>
      <c r="F7">
        <f>IF(Sheet1!$B8, CODE(Sheet1!I8), "")</f>
        <v>60</v>
      </c>
      <c r="G7">
        <f>IF(Sheet1!$B8, CODE(Sheet1!J8), "")</f>
        <v>74</v>
      </c>
      <c r="H7" t="str">
        <f>IF(Sheet1!$B8,Sheet1!M8,"")</f>
        <v>DIAG_BOTH</v>
      </c>
      <c r="I7" t="str">
        <f>IF(Sheet1!$B8,Sheet1!N8,"")</f>
        <v>ORTHO_BOTH</v>
      </c>
      <c r="J7" t="str">
        <f>IF(Sheet1!$B8,Sheet1!O8,"")</f>
        <v>EMPTY</v>
      </c>
      <c r="K7" t="str">
        <f>IF(Sheet1!$B8,Sheet1!P8,"")</f>
        <v>ORTHO_BOTH</v>
      </c>
    </row>
    <row r="8" spans="1:11">
      <c r="A8">
        <f>IF(Sheet1!$B9, CODE(Sheet1!D9), "")</f>
        <v>39</v>
      </c>
      <c r="B8">
        <f>IF(Sheet1!$B9, CODE(Sheet1!E9), "")</f>
        <v>39</v>
      </c>
      <c r="C8">
        <f>IF(Sheet1!$B9, CODE(Sheet1!F9), "")</f>
        <v>39</v>
      </c>
      <c r="D8">
        <f>IF(Sheet1!$B9, CODE(Sheet1!G9), "")</f>
        <v>39</v>
      </c>
      <c r="E8">
        <f>IF(Sheet1!$B9, CODE(Sheet1!H9), "")</f>
        <v>39</v>
      </c>
      <c r="F8">
        <f>IF(Sheet1!$B9, CODE(Sheet1!I9), "")</f>
        <v>39</v>
      </c>
      <c r="G8">
        <f>IF(Sheet1!$B9, CODE(Sheet1!J9), "")</f>
        <v>39</v>
      </c>
      <c r="H8" t="str">
        <f>IF(Sheet1!$B9,Sheet1!M9,"")</f>
        <v>DIAG_BOTH</v>
      </c>
      <c r="I8" t="str">
        <f>IF(Sheet1!$B9,Sheet1!N9,"")</f>
        <v>DIAG_BOTH</v>
      </c>
      <c r="J8" t="str">
        <f>IF(Sheet1!$B9,Sheet1!O9,"")</f>
        <v>DIAG_BOTH</v>
      </c>
      <c r="K8" t="str">
        <f>IF(Sheet1!$B9,Sheet1!P9,"")</f>
        <v>DIAG_BOTH</v>
      </c>
    </row>
    <row r="9" spans="1:11">
      <c r="A9">
        <f>IF(Sheet1!$B10, CODE(Sheet1!D10), "")</f>
        <v>40</v>
      </c>
      <c r="B9">
        <f>IF(Sheet1!$B10, CODE(Sheet1!E10), "")</f>
        <v>41</v>
      </c>
      <c r="C9">
        <f>IF(Sheet1!$B10, CODE(Sheet1!F10), "")</f>
        <v>80</v>
      </c>
      <c r="D9">
        <f>IF(Sheet1!$B10, CODE(Sheet1!G10), "")</f>
        <v>79</v>
      </c>
      <c r="E9">
        <f>IF(Sheet1!$B10, CODE(Sheet1!H10), "")</f>
        <v>41</v>
      </c>
      <c r="F9">
        <f>IF(Sheet1!$B10, CODE(Sheet1!I10), "")</f>
        <v>80</v>
      </c>
      <c r="G9">
        <f>IF(Sheet1!$B10, CODE(Sheet1!J10), "")</f>
        <v>40</v>
      </c>
      <c r="H9" t="str">
        <f>IF(Sheet1!$B10,Sheet1!M10,"")</f>
        <v>EMPTY</v>
      </c>
      <c r="I9" t="str">
        <f>IF(Sheet1!$B10,Sheet1!N10,"")</f>
        <v>ORTHO_BOTH</v>
      </c>
      <c r="J9" t="str">
        <f>IF(Sheet1!$B10,Sheet1!O10,"")</f>
        <v>EMPTY</v>
      </c>
      <c r="K9" t="str">
        <f>IF(Sheet1!$B10,Sheet1!P10,"")</f>
        <v>ORTHO_BOTH</v>
      </c>
    </row>
    <row r="10" spans="1:11">
      <c r="A10">
        <f>IF(Sheet1!$B11, CODE(Sheet1!D11), "")</f>
        <v>41</v>
      </c>
      <c r="B10">
        <f>IF(Sheet1!$B11, CODE(Sheet1!E11), "")</f>
        <v>80</v>
      </c>
      <c r="C10">
        <f>IF(Sheet1!$B11, CODE(Sheet1!F11), "")</f>
        <v>79</v>
      </c>
      <c r="D10">
        <f>IF(Sheet1!$B11, CODE(Sheet1!G11), "")</f>
        <v>80</v>
      </c>
      <c r="E10">
        <f>IF(Sheet1!$B11, CODE(Sheet1!H11), "")</f>
        <v>40</v>
      </c>
      <c r="F10">
        <f>IF(Sheet1!$B11, CODE(Sheet1!I11), "")</f>
        <v>41</v>
      </c>
      <c r="G10">
        <f>IF(Sheet1!$B11, CODE(Sheet1!J11), "")</f>
        <v>79</v>
      </c>
      <c r="H10" t="str">
        <f>IF(Sheet1!$B11,Sheet1!M11,"")</f>
        <v>EMPTY</v>
      </c>
      <c r="I10" t="str">
        <f>IF(Sheet1!$B11,Sheet1!N11,"")</f>
        <v>ORTHO_BOTH</v>
      </c>
      <c r="J10" t="str">
        <f>IF(Sheet1!$B11,Sheet1!O11,"")</f>
        <v>ORTHO_BOTH</v>
      </c>
      <c r="K10" t="str">
        <f>IF(Sheet1!$B11,Sheet1!P11,"")</f>
        <v>EMPTY</v>
      </c>
    </row>
    <row r="11" spans="1:11">
      <c r="A11">
        <f>IF(Sheet1!$B12, CODE(Sheet1!D12), "")</f>
        <v>42</v>
      </c>
      <c r="B11">
        <f>IF(Sheet1!$B12, CODE(Sheet1!E12), "")</f>
        <v>60</v>
      </c>
      <c r="C11">
        <f>IF(Sheet1!$B12, CODE(Sheet1!F12), "")</f>
        <v>85</v>
      </c>
      <c r="D11">
        <f>IF(Sheet1!$B12, CODE(Sheet1!G12), "")</f>
        <v>73</v>
      </c>
      <c r="E11">
        <f>IF(Sheet1!$B12, CODE(Sheet1!H12), "")</f>
        <v>38</v>
      </c>
      <c r="F11">
        <f>IF(Sheet1!$B12, CODE(Sheet1!I12), "")</f>
        <v>75</v>
      </c>
      <c r="G11">
        <f>IF(Sheet1!$B12, CODE(Sheet1!J12), "")</f>
        <v>77</v>
      </c>
      <c r="H11" t="str">
        <f>IF(Sheet1!$B12,Sheet1!M12,"")</f>
        <v>DIAG_BOTH</v>
      </c>
      <c r="I11" t="str">
        <f>IF(Sheet1!$B12,Sheet1!N12,"")</f>
        <v>ORTHO_BOTH</v>
      </c>
      <c r="J11" t="str">
        <f>IF(Sheet1!$B12,Sheet1!O12,"")</f>
        <v>ORTHO_BOTH</v>
      </c>
      <c r="K11" t="str">
        <f>IF(Sheet1!$B12,Sheet1!P12,"")</f>
        <v>EMPTY</v>
      </c>
    </row>
    <row r="12" spans="1:11">
      <c r="A12">
        <f>IF(Sheet1!$B13, CODE(Sheet1!D13), "")</f>
        <v>43</v>
      </c>
      <c r="B12">
        <f>IF(Sheet1!$B13, CODE(Sheet1!E13), "")</f>
        <v>125</v>
      </c>
      <c r="C12">
        <f>IF(Sheet1!$B13, CODE(Sheet1!F13), "")</f>
        <v>123</v>
      </c>
      <c r="D12">
        <f>IF(Sheet1!$B13, CODE(Sheet1!G13), "")</f>
        <v>125</v>
      </c>
      <c r="E12">
        <f>IF(Sheet1!$B13, CODE(Sheet1!H13), "")</f>
        <v>95</v>
      </c>
      <c r="F12">
        <f>IF(Sheet1!$B13, CODE(Sheet1!I13), "")</f>
        <v>43</v>
      </c>
      <c r="G12">
        <f>IF(Sheet1!$B13, CODE(Sheet1!J13), "")</f>
        <v>123</v>
      </c>
      <c r="H12" t="str">
        <f>IF(Sheet1!$B13,Sheet1!M13,"")</f>
        <v>DIAG_BOTH</v>
      </c>
      <c r="I12" t="str">
        <f>IF(Sheet1!$B13,Sheet1!N13,"")</f>
        <v>ORTHO_BOTH</v>
      </c>
      <c r="J12" t="str">
        <f>IF(Sheet1!$B13,Sheet1!O13,"")</f>
        <v>ORTHO_BOTH</v>
      </c>
      <c r="K12" t="str">
        <f>IF(Sheet1!$B13,Sheet1!P13,"")</f>
        <v>DIAG_BOTH</v>
      </c>
    </row>
    <row r="13" spans="1:11">
      <c r="A13">
        <f>IF(Sheet1!$B14, CODE(Sheet1!D14), "")</f>
        <v>44</v>
      </c>
      <c r="B13">
        <f>IF(Sheet1!$B14, CODE(Sheet1!E14), "")</f>
        <v>117</v>
      </c>
      <c r="C13">
        <f>IF(Sheet1!$B14, CODE(Sheet1!F14), "")</f>
        <v>106</v>
      </c>
      <c r="D13">
        <f>IF(Sheet1!$B14, CODE(Sheet1!G14), "")</f>
        <v>107</v>
      </c>
      <c r="E13">
        <f>IF(Sheet1!$B14, CODE(Sheet1!H14), "")</f>
        <v>109</v>
      </c>
      <c r="F13">
        <f>IF(Sheet1!$B14, CODE(Sheet1!I14), "")</f>
        <v>55</v>
      </c>
      <c r="G13">
        <f>IF(Sheet1!$B14, CODE(Sheet1!J14), "")</f>
        <v>105</v>
      </c>
      <c r="H13" t="str">
        <f>IF(Sheet1!$B14,Sheet1!M14,"")</f>
        <v>DIAG_BOTH</v>
      </c>
      <c r="I13" t="str">
        <f>IF(Sheet1!$B14,Sheet1!N14,"")</f>
        <v>EMPTY</v>
      </c>
      <c r="J13" t="str">
        <f>IF(Sheet1!$B14,Sheet1!O14,"")</f>
        <v>ORTHO_BOTH</v>
      </c>
      <c r="K13" t="str">
        <f>IF(Sheet1!$B14,Sheet1!P14,"")</f>
        <v>DIAG_BOTH</v>
      </c>
    </row>
    <row r="14" spans="1:11">
      <c r="A14">
        <f>IF(Sheet1!$B15, CODE(Sheet1!D15), "")</f>
        <v>45</v>
      </c>
      <c r="B14">
        <f>IF(Sheet1!$B15, CODE(Sheet1!E15), "")</f>
        <v>93</v>
      </c>
      <c r="C14">
        <f>IF(Sheet1!$B15, CODE(Sheet1!F15), "")</f>
        <v>61</v>
      </c>
      <c r="D14">
        <f>IF(Sheet1!$B15, CODE(Sheet1!G15), "")</f>
        <v>61</v>
      </c>
      <c r="E14">
        <f>IF(Sheet1!$B15, CODE(Sheet1!H15), "")</f>
        <v>45</v>
      </c>
      <c r="F14">
        <f>IF(Sheet1!$B15, CODE(Sheet1!I15), "")</f>
        <v>93</v>
      </c>
      <c r="G14">
        <f>IF(Sheet1!$B15, CODE(Sheet1!J15), "")</f>
        <v>91</v>
      </c>
      <c r="H14" t="str">
        <f>IF(Sheet1!$B15,Sheet1!M15,"")</f>
        <v>DIAG_BOTH</v>
      </c>
      <c r="I14" t="str">
        <f>IF(Sheet1!$B15,Sheet1!N15,"")</f>
        <v>ORTHO_BOTH</v>
      </c>
      <c r="J14" t="str">
        <f>IF(Sheet1!$B15,Sheet1!O15,"")</f>
        <v>EMPTY</v>
      </c>
      <c r="K14" t="str">
        <f>IF(Sheet1!$B15,Sheet1!P15,"")</f>
        <v>EMPTY</v>
      </c>
    </row>
    <row r="15" spans="1:11">
      <c r="A15">
        <f>IF(Sheet1!$B16, CODE(Sheet1!D16), "")</f>
        <v>46</v>
      </c>
      <c r="B15">
        <f>IF(Sheet1!$B16, CODE(Sheet1!E16), "")</f>
        <v>57</v>
      </c>
      <c r="C15">
        <f>IF(Sheet1!$B16, CODE(Sheet1!F16), "")</f>
        <v>59</v>
      </c>
      <c r="D15">
        <f>IF(Sheet1!$B16, CODE(Sheet1!G16), "")</f>
        <v>108</v>
      </c>
      <c r="E15">
        <f>IF(Sheet1!$B16, CODE(Sheet1!H16), "")</f>
        <v>47</v>
      </c>
      <c r="F15">
        <f>IF(Sheet1!$B16, CODE(Sheet1!I16), "")</f>
        <v>111</v>
      </c>
      <c r="G15">
        <f>IF(Sheet1!$B16, CODE(Sheet1!J16), "")</f>
        <v>48</v>
      </c>
      <c r="H15" t="str">
        <f>IF(Sheet1!$B16,Sheet1!M16,"")</f>
        <v>DIAG_BOTH</v>
      </c>
      <c r="I15" t="str">
        <f>IF(Sheet1!$B16,Sheet1!N16,"")</f>
        <v>EMPTY</v>
      </c>
      <c r="J15" t="str">
        <f>IF(Sheet1!$B16,Sheet1!O16,"")</f>
        <v>EMPTY</v>
      </c>
      <c r="K15" t="str">
        <f>IF(Sheet1!$B16,Sheet1!P16,"")</f>
        <v>ORTHO_BOTH</v>
      </c>
    </row>
    <row r="16" spans="1:11">
      <c r="A16">
        <f>IF(Sheet1!$B17, CODE(Sheet1!D17), "")</f>
        <v>47</v>
      </c>
      <c r="B16">
        <f>IF(Sheet1!$B17, CODE(Sheet1!E17), "")</f>
        <v>111</v>
      </c>
      <c r="C16">
        <f>IF(Sheet1!$B17, CODE(Sheet1!F17), "")</f>
        <v>108</v>
      </c>
      <c r="D16">
        <f>IF(Sheet1!$B17, CODE(Sheet1!G17), "")</f>
        <v>59</v>
      </c>
      <c r="E16">
        <f>IF(Sheet1!$B17, CODE(Sheet1!H17), "")</f>
        <v>46</v>
      </c>
      <c r="F16">
        <f>IF(Sheet1!$B17, CODE(Sheet1!I17), "")</f>
        <v>57</v>
      </c>
      <c r="G16">
        <f>IF(Sheet1!$B17, CODE(Sheet1!J17), "")</f>
        <v>112</v>
      </c>
      <c r="H16" t="str">
        <f>IF(Sheet1!$B17,Sheet1!M17,"")</f>
        <v>DIAG_BOTH</v>
      </c>
      <c r="I16" t="str">
        <f>IF(Sheet1!$B17,Sheet1!N17,"")</f>
        <v>EMPTY</v>
      </c>
      <c r="J16" t="str">
        <f>IF(Sheet1!$B17,Sheet1!O17,"")</f>
        <v>ORTHO_BOTH</v>
      </c>
      <c r="K16" t="str">
        <f>IF(Sheet1!$B17,Sheet1!P17,"")</f>
        <v>EMPTY</v>
      </c>
    </row>
    <row r="17" spans="1:11">
      <c r="A17">
        <f>IF(Sheet1!$B18, CODE(Sheet1!D18), "")</f>
        <v>48</v>
      </c>
      <c r="B17">
        <f>IF(Sheet1!$B18, CODE(Sheet1!E18), "")</f>
        <v>47</v>
      </c>
      <c r="C17">
        <f>IF(Sheet1!$B18, CODE(Sheet1!F18), "")</f>
        <v>111</v>
      </c>
      <c r="D17">
        <f>IF(Sheet1!$B18, CODE(Sheet1!G18), "")</f>
        <v>112</v>
      </c>
      <c r="E17">
        <f>IF(Sheet1!$B18, CODE(Sheet1!H18), "")</f>
        <v>57</v>
      </c>
      <c r="F17">
        <f>IF(Sheet1!$B18, CODE(Sheet1!I18), "")</f>
        <v>59</v>
      </c>
      <c r="G17">
        <f>IF(Sheet1!$B18, CODE(Sheet1!J18), "")</f>
        <v>46</v>
      </c>
      <c r="H17" t="str">
        <f>IF(Sheet1!$B18,Sheet1!M18,"")</f>
        <v>EMPTY</v>
      </c>
      <c r="I17" t="str">
        <f>IF(Sheet1!$B18,Sheet1!N18,"")</f>
        <v>ORTHO_BOTH</v>
      </c>
      <c r="J17" t="str">
        <f>IF(Sheet1!$B18,Sheet1!O18,"")</f>
        <v>DIAG_BOTH</v>
      </c>
      <c r="K17" t="str">
        <f>IF(Sheet1!$B18,Sheet1!P18,"")</f>
        <v>EMPTY</v>
      </c>
    </row>
    <row r="18" spans="1:11">
      <c r="A18">
        <f>IF(Sheet1!$B19, CODE(Sheet1!D19), "")</f>
        <v>49</v>
      </c>
      <c r="B18">
        <f>IF(Sheet1!$B19, CODE(Sheet1!E19), "")</f>
        <v>96</v>
      </c>
      <c r="C18">
        <f>IF(Sheet1!$B19, CODE(Sheet1!F19), "")</f>
        <v>49</v>
      </c>
      <c r="D18">
        <f>IF(Sheet1!$B19, CODE(Sheet1!G19), "")</f>
        <v>49</v>
      </c>
      <c r="E18">
        <f>IF(Sheet1!$B19, CODE(Sheet1!H19), "")</f>
        <v>49</v>
      </c>
      <c r="F18">
        <f>IF(Sheet1!$B19, CODE(Sheet1!I19), "")</f>
        <v>96</v>
      </c>
      <c r="G18">
        <f>IF(Sheet1!$B19, CODE(Sheet1!J19), "")</f>
        <v>96</v>
      </c>
      <c r="H18" t="str">
        <f>IF(Sheet1!$B19,Sheet1!M19,"")</f>
        <v>EMPTY</v>
      </c>
      <c r="I18" t="str">
        <f>IF(Sheet1!$B19,Sheet1!N19,"")</f>
        <v>EMPTY</v>
      </c>
      <c r="J18" t="str">
        <f>IF(Sheet1!$B19,Sheet1!O19,"")</f>
        <v>DIAG_BOTH</v>
      </c>
      <c r="K18" t="str">
        <f>IF(Sheet1!$B19,Sheet1!P19,"")</f>
        <v>DIAG_BOTH</v>
      </c>
    </row>
    <row r="19" spans="1:11">
      <c r="A19">
        <f>IF(Sheet1!$B20, CODE(Sheet1!D20), "")</f>
        <v>50</v>
      </c>
      <c r="B19">
        <f>IF(Sheet1!$B20, CODE(Sheet1!E20), "")</f>
        <v>51</v>
      </c>
      <c r="C19">
        <f>IF(Sheet1!$B20, CODE(Sheet1!F20), "")</f>
        <v>50</v>
      </c>
      <c r="D19">
        <f>IF(Sheet1!$B20, CODE(Sheet1!G20), "")</f>
        <v>50</v>
      </c>
      <c r="E19">
        <f>IF(Sheet1!$B20, CODE(Sheet1!H20), "")</f>
        <v>50</v>
      </c>
      <c r="F19">
        <f>IF(Sheet1!$B20, CODE(Sheet1!I20), "")</f>
        <v>51</v>
      </c>
      <c r="G19">
        <f>IF(Sheet1!$B20, CODE(Sheet1!J20), "")</f>
        <v>51</v>
      </c>
      <c r="H19" t="str">
        <f>IF(Sheet1!$B20,Sheet1!M20,"")</f>
        <v>ORTHO_BOTH</v>
      </c>
      <c r="I19" t="str">
        <f>IF(Sheet1!$B20,Sheet1!N20,"")</f>
        <v>ORTHO_BOTH</v>
      </c>
      <c r="J19" t="str">
        <f>IF(Sheet1!$B20,Sheet1!O20,"")</f>
        <v>DIAG_BOTH</v>
      </c>
      <c r="K19" t="str">
        <f>IF(Sheet1!$B20,Sheet1!P20,"")</f>
        <v>DIAG_BOTH</v>
      </c>
    </row>
    <row r="20" spans="1:11">
      <c r="A20">
        <f>IF(Sheet1!$B21, CODE(Sheet1!D21), "")</f>
        <v>51</v>
      </c>
      <c r="B20">
        <f>IF(Sheet1!$B21, CODE(Sheet1!E21), "")</f>
        <v>50</v>
      </c>
      <c r="C20">
        <f>IF(Sheet1!$B21, CODE(Sheet1!F21), "")</f>
        <v>51</v>
      </c>
      <c r="D20">
        <f>IF(Sheet1!$B21, CODE(Sheet1!G21), "")</f>
        <v>51</v>
      </c>
      <c r="E20">
        <f>IF(Sheet1!$B21, CODE(Sheet1!H21), "")</f>
        <v>51</v>
      </c>
      <c r="F20">
        <f>IF(Sheet1!$B21, CODE(Sheet1!I21), "")</f>
        <v>50</v>
      </c>
      <c r="G20">
        <f>IF(Sheet1!$B21, CODE(Sheet1!J21), "")</f>
        <v>50</v>
      </c>
      <c r="H20" t="str">
        <f>IF(Sheet1!$B21,Sheet1!M21,"")</f>
        <v>DIAG_BOTH</v>
      </c>
      <c r="I20" t="str">
        <f>IF(Sheet1!$B21,Sheet1!N21,"")</f>
        <v>DIAG_BOTH</v>
      </c>
      <c r="J20" t="str">
        <f>IF(Sheet1!$B21,Sheet1!O21,"")</f>
        <v>ORTHO_BOTH</v>
      </c>
      <c r="K20" t="str">
        <f>IF(Sheet1!$B21,Sheet1!P21,"")</f>
        <v>ORTHO_BOTH</v>
      </c>
    </row>
    <row r="21" spans="1:11">
      <c r="A21">
        <f>IF(Sheet1!$B22, CODE(Sheet1!D22), "")</f>
        <v>52</v>
      </c>
      <c r="B21">
        <f>IF(Sheet1!$B22, CODE(Sheet1!E22), "")</f>
        <v>118</v>
      </c>
      <c r="C21">
        <f>IF(Sheet1!$B22, CODE(Sheet1!F22), "")</f>
        <v>114</v>
      </c>
      <c r="D21">
        <f>IF(Sheet1!$B22, CODE(Sheet1!G22), "")</f>
        <v>114</v>
      </c>
      <c r="E21">
        <f>IF(Sheet1!$B22, CODE(Sheet1!H22), "")</f>
        <v>52</v>
      </c>
      <c r="F21">
        <f>IF(Sheet1!$B22, CODE(Sheet1!I22), "")</f>
        <v>118</v>
      </c>
      <c r="G21">
        <f>IF(Sheet1!$B22, CODE(Sheet1!J22), "")</f>
        <v>102</v>
      </c>
      <c r="H21" t="str">
        <f>IF(Sheet1!$B22,Sheet1!M22,"")</f>
        <v>EMPTY</v>
      </c>
      <c r="I21" t="str">
        <f>IF(Sheet1!$B22,Sheet1!N22,"")</f>
        <v>DIAG_BOTH</v>
      </c>
      <c r="J21" t="str">
        <f>IF(Sheet1!$B22,Sheet1!O22,"")</f>
        <v>EMPTY</v>
      </c>
      <c r="K21" t="str">
        <f>IF(Sheet1!$B22,Sheet1!P22,"")</f>
        <v>EMPTY</v>
      </c>
    </row>
    <row r="22" spans="1:11">
      <c r="A22">
        <f>IF(Sheet1!$B23, CODE(Sheet1!D23), "")</f>
        <v>53</v>
      </c>
      <c r="B22">
        <f>IF(Sheet1!$B23, CODE(Sheet1!E23), "")</f>
        <v>104</v>
      </c>
      <c r="C22">
        <f>IF(Sheet1!$B23, CODE(Sheet1!F23), "")</f>
        <v>116</v>
      </c>
      <c r="D22">
        <f>IF(Sheet1!$B23, CODE(Sheet1!G23), "")</f>
        <v>116</v>
      </c>
      <c r="E22">
        <f>IF(Sheet1!$B23, CODE(Sheet1!H23), "")</f>
        <v>53</v>
      </c>
      <c r="F22">
        <f>IF(Sheet1!$B23, CODE(Sheet1!I23), "")</f>
        <v>104</v>
      </c>
      <c r="G22">
        <f>IF(Sheet1!$B23, CODE(Sheet1!J23), "")</f>
        <v>103</v>
      </c>
      <c r="H22" t="str">
        <f>IF(Sheet1!$B23,Sheet1!M23,"")</f>
        <v>DIAG_BOTH</v>
      </c>
      <c r="I22" t="str">
        <f>IF(Sheet1!$B23,Sheet1!N23,"")</f>
        <v>ORTHO_BOTH</v>
      </c>
      <c r="J22" t="str">
        <f>IF(Sheet1!$B23,Sheet1!O23,"")</f>
        <v>DIAG_BOTH</v>
      </c>
      <c r="K22" t="str">
        <f>IF(Sheet1!$B23,Sheet1!P23,"")</f>
        <v>DIAG_BOTH</v>
      </c>
    </row>
    <row r="23" spans="1:11">
      <c r="A23">
        <f>IF(Sheet1!$B24, CODE(Sheet1!D24), "")</f>
        <v>54</v>
      </c>
      <c r="B23">
        <f>IF(Sheet1!$B24, CODE(Sheet1!E24), "")</f>
        <v>110</v>
      </c>
      <c r="C23">
        <f>IF(Sheet1!$B24, CODE(Sheet1!F24), "")</f>
        <v>121</v>
      </c>
      <c r="D23">
        <f>IF(Sheet1!$B24, CODE(Sheet1!G24), "")</f>
        <v>121</v>
      </c>
      <c r="E23">
        <f>IF(Sheet1!$B24, CODE(Sheet1!H24), "")</f>
        <v>54</v>
      </c>
      <c r="F23">
        <f>IF(Sheet1!$B24, CODE(Sheet1!I24), "")</f>
        <v>110</v>
      </c>
      <c r="G23">
        <f>IF(Sheet1!$B24, CODE(Sheet1!J24), "")</f>
        <v>98</v>
      </c>
      <c r="H23" t="str">
        <f>IF(Sheet1!$B24,Sheet1!M24,"")</f>
        <v>EMPTY</v>
      </c>
      <c r="I23" t="str">
        <f>IF(Sheet1!$B24,Sheet1!N24,"")</f>
        <v>ORTHO_BOTH</v>
      </c>
      <c r="J23" t="str">
        <f>IF(Sheet1!$B24,Sheet1!O24,"")</f>
        <v>DIAG_BOTH</v>
      </c>
      <c r="K23" t="str">
        <f>IF(Sheet1!$B24,Sheet1!P24,"")</f>
        <v>DIAG_BOTH</v>
      </c>
    </row>
    <row r="24" spans="1:11">
      <c r="A24">
        <f>IF(Sheet1!$B25, CODE(Sheet1!D25), "")</f>
        <v>55</v>
      </c>
      <c r="B24">
        <f>IF(Sheet1!$B25, CODE(Sheet1!E25), "")</f>
        <v>107</v>
      </c>
      <c r="C24">
        <f>IF(Sheet1!$B25, CODE(Sheet1!F25), "")</f>
        <v>105</v>
      </c>
      <c r="D24">
        <f>IF(Sheet1!$B25, CODE(Sheet1!G25), "")</f>
        <v>117</v>
      </c>
      <c r="E24">
        <f>IF(Sheet1!$B25, CODE(Sheet1!H25), "")</f>
        <v>56</v>
      </c>
      <c r="F24">
        <f>IF(Sheet1!$B25, CODE(Sheet1!I25), "")</f>
        <v>44</v>
      </c>
      <c r="G24">
        <f>IF(Sheet1!$B25, CODE(Sheet1!J25), "")</f>
        <v>106</v>
      </c>
      <c r="H24" t="str">
        <f>IF(Sheet1!$B25,Sheet1!M25,"")</f>
        <v>DIAG_BOTH</v>
      </c>
      <c r="I24" t="str">
        <f>IF(Sheet1!$B25,Sheet1!N25,"")</f>
        <v>ORTHO_BOTH</v>
      </c>
      <c r="J24" t="str">
        <f>IF(Sheet1!$B25,Sheet1!O25,"")</f>
        <v>EMPTY</v>
      </c>
      <c r="K24" t="str">
        <f>IF(Sheet1!$B25,Sheet1!P25,"")</f>
        <v>DIAG_BOTH</v>
      </c>
    </row>
    <row r="25" spans="1:11">
      <c r="A25">
        <f>IF(Sheet1!$B26, CODE(Sheet1!D26), "")</f>
        <v>56</v>
      </c>
      <c r="B25">
        <f>IF(Sheet1!$B26, CODE(Sheet1!E26), "")</f>
        <v>44</v>
      </c>
      <c r="C25">
        <f>IF(Sheet1!$B26, CODE(Sheet1!F26), "")</f>
        <v>117</v>
      </c>
      <c r="D25">
        <f>IF(Sheet1!$B26, CODE(Sheet1!G26), "")</f>
        <v>105</v>
      </c>
      <c r="E25">
        <f>IF(Sheet1!$B26, CODE(Sheet1!H26), "")</f>
        <v>55</v>
      </c>
      <c r="F25">
        <f>IF(Sheet1!$B26, CODE(Sheet1!I26), "")</f>
        <v>107</v>
      </c>
      <c r="G25">
        <f>IF(Sheet1!$B26, CODE(Sheet1!J26), "")</f>
        <v>109</v>
      </c>
      <c r="H25" t="str">
        <f>IF(Sheet1!$B26,Sheet1!M26,"")</f>
        <v>DIAG_BOTH</v>
      </c>
      <c r="I25" t="str">
        <f>IF(Sheet1!$B26,Sheet1!N26,"")</f>
        <v>ORTHO_BOTH</v>
      </c>
      <c r="J25" t="str">
        <f>IF(Sheet1!$B26,Sheet1!O26,"")</f>
        <v>DIAG_BOTH</v>
      </c>
      <c r="K25" t="str">
        <f>IF(Sheet1!$B26,Sheet1!P26,"")</f>
        <v>EMPTY</v>
      </c>
    </row>
    <row r="26" spans="1:11">
      <c r="A26">
        <f>IF(Sheet1!$B27, CODE(Sheet1!D27), "")</f>
        <v>57</v>
      </c>
      <c r="B26">
        <f>IF(Sheet1!$B27, CODE(Sheet1!E27), "")</f>
        <v>59</v>
      </c>
      <c r="C26">
        <f>IF(Sheet1!$B27, CODE(Sheet1!F27), "")</f>
        <v>112</v>
      </c>
      <c r="D26">
        <f>IF(Sheet1!$B27, CODE(Sheet1!G27), "")</f>
        <v>111</v>
      </c>
      <c r="E26">
        <f>IF(Sheet1!$B27, CODE(Sheet1!H27), "")</f>
        <v>48</v>
      </c>
      <c r="F26">
        <f>IF(Sheet1!$B27, CODE(Sheet1!I27), "")</f>
        <v>47</v>
      </c>
      <c r="G26">
        <f>IF(Sheet1!$B27, CODE(Sheet1!J27), "")</f>
        <v>108</v>
      </c>
      <c r="H26" t="str">
        <f>IF(Sheet1!$B27,Sheet1!M27,"")</f>
        <v>EMPTY</v>
      </c>
      <c r="I26" t="str">
        <f>IF(Sheet1!$B27,Sheet1!N27,"")</f>
        <v>ORTHO_BOTH</v>
      </c>
      <c r="J26" t="str">
        <f>IF(Sheet1!$B27,Sheet1!O27,"")</f>
        <v>EMPTY</v>
      </c>
      <c r="K26" t="str">
        <f>IF(Sheet1!$B27,Sheet1!P27,"")</f>
        <v>DIAG_BOTH</v>
      </c>
    </row>
    <row r="27" spans="1:11">
      <c r="A27">
        <f>IF(Sheet1!$B28, CODE(Sheet1!D28), "")</f>
        <v>58</v>
      </c>
      <c r="B27">
        <f>IF(Sheet1!$B28, CODE(Sheet1!E28), "")</f>
        <v>63</v>
      </c>
      <c r="C27">
        <f>IF(Sheet1!$B28, CODE(Sheet1!F28), "")</f>
        <v>62</v>
      </c>
      <c r="D27">
        <f>IF(Sheet1!$B28, CODE(Sheet1!G28), "")</f>
        <v>63</v>
      </c>
      <c r="E27">
        <f>IF(Sheet1!$B28, CODE(Sheet1!H28), "")</f>
        <v>76</v>
      </c>
      <c r="F27">
        <f>IF(Sheet1!$B28, CODE(Sheet1!I28), "")</f>
        <v>58</v>
      </c>
      <c r="G27">
        <f>IF(Sheet1!$B28, CODE(Sheet1!J28), "")</f>
        <v>62</v>
      </c>
      <c r="H27" t="str">
        <f>IF(Sheet1!$B28,Sheet1!M28,"")</f>
        <v>EMPTY</v>
      </c>
      <c r="I27" t="str">
        <f>IF(Sheet1!$B28,Sheet1!N28,"")</f>
        <v>ORTHO_BOTH</v>
      </c>
      <c r="J27" t="str">
        <f>IF(Sheet1!$B28,Sheet1!O28,"")</f>
        <v>ORTHO_BOTH</v>
      </c>
      <c r="K27" t="str">
        <f>IF(Sheet1!$B28,Sheet1!P28,"")</f>
        <v>EMPTY</v>
      </c>
    </row>
    <row r="28" spans="1:11">
      <c r="A28">
        <f>IF(Sheet1!$B29, CODE(Sheet1!D29), "")</f>
        <v>59</v>
      </c>
      <c r="B28">
        <f>IF(Sheet1!$B29, CODE(Sheet1!E29), "")</f>
        <v>112</v>
      </c>
      <c r="C28">
        <f>IF(Sheet1!$B29, CODE(Sheet1!F29), "")</f>
        <v>46</v>
      </c>
      <c r="D28">
        <f>IF(Sheet1!$B29, CODE(Sheet1!G29), "")</f>
        <v>47</v>
      </c>
      <c r="E28">
        <f>IF(Sheet1!$B29, CODE(Sheet1!H29), "")</f>
        <v>108</v>
      </c>
      <c r="F28">
        <f>IF(Sheet1!$B29, CODE(Sheet1!I29), "")</f>
        <v>48</v>
      </c>
      <c r="G28">
        <f>IF(Sheet1!$B29, CODE(Sheet1!J29), "")</f>
        <v>111</v>
      </c>
      <c r="H28" t="str">
        <f>IF(Sheet1!$B29,Sheet1!M29,"")</f>
        <v>EMPTY</v>
      </c>
      <c r="I28" t="str">
        <f>IF(Sheet1!$B29,Sheet1!N29,"")</f>
        <v>DIAG_BOTH</v>
      </c>
      <c r="J28" t="str">
        <f>IF(Sheet1!$B29,Sheet1!O29,"")</f>
        <v>ORTHO_BOTH</v>
      </c>
      <c r="K28" t="str">
        <f>IF(Sheet1!$B29,Sheet1!P29,"")</f>
        <v>EMPTY</v>
      </c>
    </row>
    <row r="29" spans="1:11">
      <c r="A29">
        <f>IF(Sheet1!$B30, CODE(Sheet1!D30), "")</f>
        <v>60</v>
      </c>
      <c r="B29">
        <f>IF(Sheet1!$B30, CODE(Sheet1!E30), "")</f>
        <v>85</v>
      </c>
      <c r="C29">
        <f>IF(Sheet1!$B30, CODE(Sheet1!F30), "")</f>
        <v>74</v>
      </c>
      <c r="D29">
        <f>IF(Sheet1!$B30, CODE(Sheet1!G30), "")</f>
        <v>75</v>
      </c>
      <c r="E29">
        <f>IF(Sheet1!$B30, CODE(Sheet1!H30), "")</f>
        <v>77</v>
      </c>
      <c r="F29">
        <f>IF(Sheet1!$B30, CODE(Sheet1!I30), "")</f>
        <v>38</v>
      </c>
      <c r="G29">
        <f>IF(Sheet1!$B30, CODE(Sheet1!J30), "")</f>
        <v>73</v>
      </c>
      <c r="H29" t="str">
        <f>IF(Sheet1!$B30,Sheet1!M30,"")</f>
        <v>ORTHO_BOTH</v>
      </c>
      <c r="I29" t="str">
        <f>IF(Sheet1!$B30,Sheet1!N30,"")</f>
        <v>EMPTY</v>
      </c>
      <c r="J29" t="str">
        <f>IF(Sheet1!$B30,Sheet1!O30,"")</f>
        <v>ORTHO_BOTH</v>
      </c>
      <c r="K29" t="str">
        <f>IF(Sheet1!$B30,Sheet1!P30,"")</f>
        <v>DIAG_BOTH</v>
      </c>
    </row>
    <row r="30" spans="1:11">
      <c r="A30">
        <f>IF(Sheet1!$B31, CODE(Sheet1!D31), "")</f>
        <v>61</v>
      </c>
      <c r="B30">
        <f>IF(Sheet1!$B31, CODE(Sheet1!E31), "")</f>
        <v>91</v>
      </c>
      <c r="C30">
        <f>IF(Sheet1!$B31, CODE(Sheet1!F31), "")</f>
        <v>45</v>
      </c>
      <c r="D30">
        <f>IF(Sheet1!$B31, CODE(Sheet1!G31), "")</f>
        <v>45</v>
      </c>
      <c r="E30">
        <f>IF(Sheet1!$B31, CODE(Sheet1!H31), "")</f>
        <v>61</v>
      </c>
      <c r="F30">
        <f>IF(Sheet1!$B31, CODE(Sheet1!I31), "")</f>
        <v>91</v>
      </c>
      <c r="G30">
        <f>IF(Sheet1!$B31, CODE(Sheet1!J31), "")</f>
        <v>93</v>
      </c>
      <c r="H30" t="str">
        <f>IF(Sheet1!$B31,Sheet1!M31,"")</f>
        <v>ORTHO_BOTH</v>
      </c>
      <c r="I30" t="str">
        <f>IF(Sheet1!$B31,Sheet1!N31,"")</f>
        <v>DIAG_BOTH</v>
      </c>
      <c r="J30" t="str">
        <f>IF(Sheet1!$B31,Sheet1!O31,"")</f>
        <v>EMPTY</v>
      </c>
      <c r="K30" t="str">
        <f>IF(Sheet1!$B31,Sheet1!P31,"")</f>
        <v>EMPTY</v>
      </c>
    </row>
    <row r="31" spans="1:11">
      <c r="A31">
        <f>IF(Sheet1!$B32, CODE(Sheet1!D32), "")</f>
        <v>62</v>
      </c>
      <c r="B31">
        <f>IF(Sheet1!$B32, CODE(Sheet1!E32), "")</f>
        <v>76</v>
      </c>
      <c r="C31">
        <f>IF(Sheet1!$B32, CODE(Sheet1!F32), "")</f>
        <v>58</v>
      </c>
      <c r="D31">
        <f>IF(Sheet1!$B32, CODE(Sheet1!G32), "")</f>
        <v>76</v>
      </c>
      <c r="E31">
        <f>IF(Sheet1!$B32, CODE(Sheet1!H32), "")</f>
        <v>63</v>
      </c>
      <c r="F31">
        <f>IF(Sheet1!$B32, CODE(Sheet1!I32), "")</f>
        <v>62</v>
      </c>
      <c r="G31">
        <f>IF(Sheet1!$B32, CODE(Sheet1!J32), "")</f>
        <v>58</v>
      </c>
      <c r="H31" t="str">
        <f>IF(Sheet1!$B32,Sheet1!M32,"")</f>
        <v>ORTHO_BOTH</v>
      </c>
      <c r="I31" t="str">
        <f>IF(Sheet1!$B32,Sheet1!N32,"")</f>
        <v>EMPTY</v>
      </c>
      <c r="J31" t="str">
        <f>IF(Sheet1!$B32,Sheet1!O32,"")</f>
        <v>EMPTY</v>
      </c>
      <c r="K31" t="str">
        <f>IF(Sheet1!$B32,Sheet1!P32,"")</f>
        <v>ORTHO_BOTH</v>
      </c>
    </row>
    <row r="32" spans="1:11">
      <c r="A32">
        <f>IF(Sheet1!$B33, CODE(Sheet1!D33), "")</f>
        <v>63</v>
      </c>
      <c r="B32">
        <f>IF(Sheet1!$B33, CODE(Sheet1!E33), "")</f>
        <v>62</v>
      </c>
      <c r="C32">
        <f>IF(Sheet1!$B33, CODE(Sheet1!F33), "")</f>
        <v>76</v>
      </c>
      <c r="D32">
        <f>IF(Sheet1!$B33, CODE(Sheet1!G33), "")</f>
        <v>58</v>
      </c>
      <c r="E32">
        <f>IF(Sheet1!$B33, CODE(Sheet1!H33), "")</f>
        <v>62</v>
      </c>
      <c r="F32">
        <f>IF(Sheet1!$B33, CODE(Sheet1!I33), "")</f>
        <v>76</v>
      </c>
      <c r="G32">
        <f>IF(Sheet1!$B33, CODE(Sheet1!J33), "")</f>
        <v>63</v>
      </c>
      <c r="H32" t="str">
        <f>IF(Sheet1!$B33,Sheet1!M33,"")</f>
        <v>ORTHO_BOTH</v>
      </c>
      <c r="I32" t="str">
        <f>IF(Sheet1!$B33,Sheet1!N33,"")</f>
        <v>EMPTY</v>
      </c>
      <c r="J32" t="str">
        <f>IF(Sheet1!$B33,Sheet1!O33,"")</f>
        <v>ORTHO_BOTH</v>
      </c>
      <c r="K32" t="str">
        <f>IF(Sheet1!$B33,Sheet1!P33,"")</f>
        <v>EMPTY</v>
      </c>
    </row>
    <row r="33" spans="1:11">
      <c r="A33">
        <f>IF(Sheet1!$B34, CODE(Sheet1!D34), "")</f>
        <v>64</v>
      </c>
      <c r="B33">
        <f>IF(Sheet1!$B34, CODE(Sheet1!E34), "")</f>
        <v>35</v>
      </c>
      <c r="C33">
        <f>IF(Sheet1!$B34, CODE(Sheet1!F34), "")</f>
        <v>64</v>
      </c>
      <c r="D33">
        <f>IF(Sheet1!$B34, CODE(Sheet1!G34), "")</f>
        <v>64</v>
      </c>
      <c r="E33">
        <f>IF(Sheet1!$B34, CODE(Sheet1!H34), "")</f>
        <v>64</v>
      </c>
      <c r="F33">
        <f>IF(Sheet1!$B34, CODE(Sheet1!I34), "")</f>
        <v>35</v>
      </c>
      <c r="G33">
        <f>IF(Sheet1!$B34, CODE(Sheet1!J34), "")</f>
        <v>35</v>
      </c>
      <c r="H33" t="str">
        <f>IF(Sheet1!$B34,Sheet1!M34,"")</f>
        <v>ORTHO_BOTH</v>
      </c>
      <c r="I33" t="str">
        <f>IF(Sheet1!$B34,Sheet1!N34,"")</f>
        <v>ORTHO_BOTH</v>
      </c>
      <c r="J33" t="str">
        <f>IF(Sheet1!$B34,Sheet1!O34,"")</f>
        <v>EMPTY</v>
      </c>
      <c r="K33" t="str">
        <f>IF(Sheet1!$B34,Sheet1!P34,"")</f>
        <v>EMPTY</v>
      </c>
    </row>
    <row r="34" spans="1:11">
      <c r="A34">
        <f>IF(Sheet1!$B35, CODE(Sheet1!D35), "")</f>
        <v>65</v>
      </c>
      <c r="B34">
        <f>IF(Sheet1!$B35, CODE(Sheet1!E35), "")</f>
        <v>87</v>
      </c>
      <c r="C34">
        <f>IF(Sheet1!$B35, CODE(Sheet1!F35), "")</f>
        <v>68</v>
      </c>
      <c r="D34">
        <f>IF(Sheet1!$B35, CODE(Sheet1!G35), "")</f>
        <v>65</v>
      </c>
      <c r="E34">
        <f>IF(Sheet1!$B35, CODE(Sheet1!H35), "")</f>
        <v>68</v>
      </c>
      <c r="F34">
        <f>IF(Sheet1!$B35, CODE(Sheet1!I35), "")</f>
        <v>88</v>
      </c>
      <c r="G34">
        <f>IF(Sheet1!$B35, CODE(Sheet1!J35), "")</f>
        <v>87</v>
      </c>
      <c r="H34" t="str">
        <f>IF(Sheet1!$B35,Sheet1!M35,"")</f>
        <v>ORTHO_BOTH</v>
      </c>
      <c r="I34" t="str">
        <f>IF(Sheet1!$B35,Sheet1!N35,"")</f>
        <v>ORTHO_BOTH</v>
      </c>
      <c r="J34" t="str">
        <f>IF(Sheet1!$B35,Sheet1!O35,"")</f>
        <v>EMPTY</v>
      </c>
      <c r="K34" t="str">
        <f>IF(Sheet1!$B35,Sheet1!P35,"")</f>
        <v>ORTHO_BOTH</v>
      </c>
    </row>
    <row r="35" spans="1:11">
      <c r="A35">
        <f>IF(Sheet1!$B36, CODE(Sheet1!D36), "")</f>
        <v>66</v>
      </c>
      <c r="B35">
        <f>IF(Sheet1!$B36, CODE(Sheet1!E36), "")</f>
        <v>94</v>
      </c>
      <c r="C35">
        <f>IF(Sheet1!$B36, CODE(Sheet1!F36), "")</f>
        <v>78</v>
      </c>
      <c r="D35">
        <f>IF(Sheet1!$B36, CODE(Sheet1!G36), "")</f>
        <v>66</v>
      </c>
      <c r="E35">
        <f>IF(Sheet1!$B36, CODE(Sheet1!H36), "")</f>
        <v>78</v>
      </c>
      <c r="F35">
        <f>IF(Sheet1!$B36, CODE(Sheet1!I36), "")</f>
        <v>89</v>
      </c>
      <c r="G35">
        <f>IF(Sheet1!$B36, CODE(Sheet1!J36), "")</f>
        <v>94</v>
      </c>
      <c r="H35" t="str">
        <f>IF(Sheet1!$B36,Sheet1!M36,"")</f>
        <v>ORTHO_BOTH</v>
      </c>
      <c r="I35" t="str">
        <f>IF(Sheet1!$B36,Sheet1!N36,"")</f>
        <v>ORTHO_BOTH</v>
      </c>
      <c r="J35" t="str">
        <f>IF(Sheet1!$B36,Sheet1!O36,"")</f>
        <v>ORTHO_BOTH</v>
      </c>
      <c r="K35" t="str">
        <f>IF(Sheet1!$B36,Sheet1!P36,"")</f>
        <v>DIAG_BOTH</v>
      </c>
    </row>
    <row r="36" spans="1:11">
      <c r="A36">
        <f>IF(Sheet1!$B37, CODE(Sheet1!D37), "")</f>
        <v>67</v>
      </c>
      <c r="B36">
        <f>IF(Sheet1!$B37, CODE(Sheet1!E37), "")</f>
        <v>90</v>
      </c>
      <c r="C36">
        <f>IF(Sheet1!$B37, CODE(Sheet1!F37), "")</f>
        <v>81</v>
      </c>
      <c r="D36">
        <f>IF(Sheet1!$B37, CODE(Sheet1!G37), "")</f>
        <v>69</v>
      </c>
      <c r="E36">
        <f>IF(Sheet1!$B37, CODE(Sheet1!H37), "")</f>
        <v>90</v>
      </c>
      <c r="F36">
        <f>IF(Sheet1!$B37, CODE(Sheet1!I37), "")</f>
        <v>81</v>
      </c>
      <c r="G36">
        <f>IF(Sheet1!$B37, CODE(Sheet1!J37), "")</f>
        <v>67</v>
      </c>
      <c r="H36" t="str">
        <f>IF(Sheet1!$B37,Sheet1!M37,"")</f>
        <v>ORTHO_BOTH</v>
      </c>
      <c r="I36" t="str">
        <f>IF(Sheet1!$B37,Sheet1!N37,"")</f>
        <v>EMPTY</v>
      </c>
      <c r="J36" t="str">
        <f>IF(Sheet1!$B37,Sheet1!O37,"")</f>
        <v>ORTHO_BOTH</v>
      </c>
      <c r="K36" t="str">
        <f>IF(Sheet1!$B37,Sheet1!P37,"")</f>
        <v>EMPTY</v>
      </c>
    </row>
    <row r="37" spans="1:11">
      <c r="A37">
        <f>IF(Sheet1!$B38, CODE(Sheet1!D38), "")</f>
        <v>68</v>
      </c>
      <c r="B37">
        <f>IF(Sheet1!$B38, CODE(Sheet1!E38), "")</f>
        <v>88</v>
      </c>
      <c r="C37">
        <f>IF(Sheet1!$B38, CODE(Sheet1!F38), "")</f>
        <v>65</v>
      </c>
      <c r="D37">
        <f>IF(Sheet1!$B38, CODE(Sheet1!G38), "")</f>
        <v>68</v>
      </c>
      <c r="E37">
        <f>IF(Sheet1!$B38, CODE(Sheet1!H38), "")</f>
        <v>65</v>
      </c>
      <c r="F37">
        <f>IF(Sheet1!$B38, CODE(Sheet1!I38), "")</f>
        <v>87</v>
      </c>
      <c r="G37">
        <f>IF(Sheet1!$B38, CODE(Sheet1!J38), "")</f>
        <v>88</v>
      </c>
      <c r="H37" t="str">
        <f>IF(Sheet1!$B38,Sheet1!M38,"")</f>
        <v>ORTHO_BOTH</v>
      </c>
      <c r="I37" t="str">
        <f>IF(Sheet1!$B38,Sheet1!N38,"")</f>
        <v>ORTHO_BOTH</v>
      </c>
      <c r="J37" t="str">
        <f>IF(Sheet1!$B38,Sheet1!O38,"")</f>
        <v>ORTHO_BOTH</v>
      </c>
      <c r="K37" t="str">
        <f>IF(Sheet1!$B38,Sheet1!P38,"")</f>
        <v>EMPTY</v>
      </c>
    </row>
    <row r="38" spans="1:11">
      <c r="A38">
        <f>IF(Sheet1!$B39, CODE(Sheet1!D39), "")</f>
        <v>69</v>
      </c>
      <c r="B38">
        <f>IF(Sheet1!$B39, CODE(Sheet1!E39), "")</f>
        <v>67</v>
      </c>
      <c r="C38">
        <f>IF(Sheet1!$B39, CODE(Sheet1!F39), "")</f>
        <v>90</v>
      </c>
      <c r="D38">
        <f>IF(Sheet1!$B39, CODE(Sheet1!G39), "")</f>
        <v>67</v>
      </c>
      <c r="E38">
        <f>IF(Sheet1!$B39, CODE(Sheet1!H39), "")</f>
        <v>81</v>
      </c>
      <c r="F38">
        <f>IF(Sheet1!$B39, CODE(Sheet1!I39), "")</f>
        <v>69</v>
      </c>
      <c r="G38">
        <f>IF(Sheet1!$B39, CODE(Sheet1!J39), "")</f>
        <v>90</v>
      </c>
      <c r="H38" t="str">
        <f>IF(Sheet1!$B39,Sheet1!M39,"")</f>
        <v>EMPTY</v>
      </c>
      <c r="I38" t="str">
        <f>IF(Sheet1!$B39,Sheet1!N39,"")</f>
        <v>ORTHO_BOTH</v>
      </c>
      <c r="J38" t="str">
        <f>IF(Sheet1!$B39,Sheet1!O39,"")</f>
        <v>ORTHO_BOTH</v>
      </c>
      <c r="K38" t="str">
        <f>IF(Sheet1!$B39,Sheet1!P39,"")</f>
        <v>EMPTY</v>
      </c>
    </row>
    <row r="39" spans="1:11">
      <c r="A39">
        <f>IF(Sheet1!$B40, CODE(Sheet1!D40), "")</f>
        <v>70</v>
      </c>
      <c r="B39">
        <f>IF(Sheet1!$B40, CODE(Sheet1!E40), "")</f>
        <v>36</v>
      </c>
      <c r="C39">
        <f>IF(Sheet1!$B40, CODE(Sheet1!F40), "")</f>
        <v>86</v>
      </c>
      <c r="D39">
        <f>IF(Sheet1!$B40, CODE(Sheet1!G40), "")</f>
        <v>70</v>
      </c>
      <c r="E39">
        <f>IF(Sheet1!$B40, CODE(Sheet1!H40), "")</f>
        <v>86</v>
      </c>
      <c r="F39">
        <f>IF(Sheet1!$B40, CODE(Sheet1!I40), "")</f>
        <v>82</v>
      </c>
      <c r="G39">
        <f>IF(Sheet1!$B40, CODE(Sheet1!J40), "")</f>
        <v>36</v>
      </c>
      <c r="H39" t="str">
        <f>IF(Sheet1!$B40,Sheet1!M40,"")</f>
        <v>EMPTY</v>
      </c>
      <c r="I39" t="str">
        <f>IF(Sheet1!$B40,Sheet1!N40,"")</f>
        <v>EMPTY</v>
      </c>
      <c r="J39" t="str">
        <f>IF(Sheet1!$B40,Sheet1!O40,"")</f>
        <v>EMPTY</v>
      </c>
      <c r="K39" t="str">
        <f>IF(Sheet1!$B40,Sheet1!P40,"")</f>
        <v>ORTHO_BOTH</v>
      </c>
    </row>
    <row r="40" spans="1:11">
      <c r="A40">
        <f>IF(Sheet1!$B41, CODE(Sheet1!D41), "")</f>
        <v>71</v>
      </c>
      <c r="B40">
        <f>IF(Sheet1!$B41, CODE(Sheet1!E41), "")</f>
        <v>37</v>
      </c>
      <c r="C40">
        <f>IF(Sheet1!$B41, CODE(Sheet1!F41), "")</f>
        <v>72</v>
      </c>
      <c r="D40">
        <f>IF(Sheet1!$B41, CODE(Sheet1!G41), "")</f>
        <v>71</v>
      </c>
      <c r="E40">
        <f>IF(Sheet1!$B41, CODE(Sheet1!H41), "")</f>
        <v>72</v>
      </c>
      <c r="F40">
        <f>IF(Sheet1!$B41, CODE(Sheet1!I41), "")</f>
        <v>84</v>
      </c>
      <c r="G40">
        <f>IF(Sheet1!$B41, CODE(Sheet1!J41), "")</f>
        <v>37</v>
      </c>
      <c r="H40" t="str">
        <f>IF(Sheet1!$B41,Sheet1!M41,"")</f>
        <v>ORTHO_BOTH</v>
      </c>
      <c r="I40" t="str">
        <f>IF(Sheet1!$B41,Sheet1!N41,"")</f>
        <v>ORTHO_BOTH</v>
      </c>
      <c r="J40" t="str">
        <f>IF(Sheet1!$B41,Sheet1!O41,"")</f>
        <v>EMPTY</v>
      </c>
      <c r="K40" t="str">
        <f>IF(Sheet1!$B41,Sheet1!P41,"")</f>
        <v>DIAG_BOTH</v>
      </c>
    </row>
    <row r="41" spans="1:11">
      <c r="A41">
        <f>IF(Sheet1!$B42, CODE(Sheet1!D42), "")</f>
        <v>72</v>
      </c>
      <c r="B41">
        <f>IF(Sheet1!$B42, CODE(Sheet1!E42), "")</f>
        <v>84</v>
      </c>
      <c r="C41">
        <f>IF(Sheet1!$B42, CODE(Sheet1!F42), "")</f>
        <v>71</v>
      </c>
      <c r="D41">
        <f>IF(Sheet1!$B42, CODE(Sheet1!G42), "")</f>
        <v>72</v>
      </c>
      <c r="E41">
        <f>IF(Sheet1!$B42, CODE(Sheet1!H42), "")</f>
        <v>71</v>
      </c>
      <c r="F41">
        <f>IF(Sheet1!$B42, CODE(Sheet1!I42), "")</f>
        <v>37</v>
      </c>
      <c r="G41">
        <f>IF(Sheet1!$B42, CODE(Sheet1!J42), "")</f>
        <v>84</v>
      </c>
      <c r="H41" t="str">
        <f>IF(Sheet1!$B42,Sheet1!M42,"")</f>
        <v>ORTHO_BOTH</v>
      </c>
      <c r="I41" t="str">
        <f>IF(Sheet1!$B42,Sheet1!N42,"")</f>
        <v>ORTHO_BOTH</v>
      </c>
      <c r="J41" t="str">
        <f>IF(Sheet1!$B42,Sheet1!O42,"")</f>
        <v>DIAG_BOTH</v>
      </c>
      <c r="K41" t="str">
        <f>IF(Sheet1!$B42,Sheet1!P42,"")</f>
        <v>EMPTY</v>
      </c>
    </row>
    <row r="42" spans="1:11">
      <c r="A42">
        <f>IF(Sheet1!$B43, CODE(Sheet1!D43), "")</f>
        <v>73</v>
      </c>
      <c r="B42">
        <f>IF(Sheet1!$B43, CODE(Sheet1!E43), "")</f>
        <v>77</v>
      </c>
      <c r="C42">
        <f>IF(Sheet1!$B43, CODE(Sheet1!F43), "")</f>
        <v>38</v>
      </c>
      <c r="D42">
        <f>IF(Sheet1!$B43, CODE(Sheet1!G43), "")</f>
        <v>42</v>
      </c>
      <c r="E42">
        <f>IF(Sheet1!$B43, CODE(Sheet1!H43), "")</f>
        <v>85</v>
      </c>
      <c r="F42">
        <f>IF(Sheet1!$B43, CODE(Sheet1!I43), "")</f>
        <v>74</v>
      </c>
      <c r="G42">
        <f>IF(Sheet1!$B43, CODE(Sheet1!J43), "")</f>
        <v>60</v>
      </c>
      <c r="H42" t="str">
        <f>IF(Sheet1!$B43,Sheet1!M43,"")</f>
        <v>ORTHO_BOTH</v>
      </c>
      <c r="I42" t="str">
        <f>IF(Sheet1!$B43,Sheet1!N43,"")</f>
        <v>DIAG_BOTH</v>
      </c>
      <c r="J42" t="str">
        <f>IF(Sheet1!$B43,Sheet1!O43,"")</f>
        <v>ORTHO_BOTH</v>
      </c>
      <c r="K42" t="str">
        <f>IF(Sheet1!$B43,Sheet1!P43,"")</f>
        <v>EMPTY</v>
      </c>
    </row>
    <row r="43" spans="1:11">
      <c r="A43">
        <f>IF(Sheet1!$B44, CODE(Sheet1!D44), "")</f>
        <v>74</v>
      </c>
      <c r="B43">
        <f>IF(Sheet1!$B44, CODE(Sheet1!E44), "")</f>
        <v>42</v>
      </c>
      <c r="C43">
        <f>IF(Sheet1!$B44, CODE(Sheet1!F44), "")</f>
        <v>60</v>
      </c>
      <c r="D43">
        <f>IF(Sheet1!$B44, CODE(Sheet1!G44), "")</f>
        <v>77</v>
      </c>
      <c r="E43">
        <f>IF(Sheet1!$B44, CODE(Sheet1!H44), "")</f>
        <v>75</v>
      </c>
      <c r="F43">
        <f>IF(Sheet1!$B44, CODE(Sheet1!I44), "")</f>
        <v>73</v>
      </c>
      <c r="G43">
        <f>IF(Sheet1!$B44, CODE(Sheet1!J44), "")</f>
        <v>38</v>
      </c>
      <c r="H43" t="str">
        <f>IF(Sheet1!$B44,Sheet1!M44,"")</f>
        <v>EMPTY</v>
      </c>
      <c r="I43" t="str">
        <f>IF(Sheet1!$B44,Sheet1!N44,"")</f>
        <v>ORTHO_BOTH</v>
      </c>
      <c r="J43" t="str">
        <f>IF(Sheet1!$B44,Sheet1!O44,"")</f>
        <v>DIAG_BOTH</v>
      </c>
      <c r="K43" t="str">
        <f>IF(Sheet1!$B44,Sheet1!P44,"")</f>
        <v>ORTHO_BOTH</v>
      </c>
    </row>
    <row r="44" spans="1:11">
      <c r="A44">
        <f>IF(Sheet1!$B45, CODE(Sheet1!D45), "")</f>
        <v>75</v>
      </c>
      <c r="B44">
        <f>IF(Sheet1!$B45, CODE(Sheet1!E45), "")</f>
        <v>73</v>
      </c>
      <c r="C44">
        <f>IF(Sheet1!$B45, CODE(Sheet1!F45), "")</f>
        <v>77</v>
      </c>
      <c r="D44">
        <f>IF(Sheet1!$B45, CODE(Sheet1!G45), "")</f>
        <v>60</v>
      </c>
      <c r="E44">
        <f>IF(Sheet1!$B45, CODE(Sheet1!H45), "")</f>
        <v>74</v>
      </c>
      <c r="F44">
        <f>IF(Sheet1!$B45, CODE(Sheet1!I45), "")</f>
        <v>42</v>
      </c>
      <c r="G44">
        <f>IF(Sheet1!$B45, CODE(Sheet1!J45), "")</f>
        <v>85</v>
      </c>
      <c r="H44" t="str">
        <f>IF(Sheet1!$B45,Sheet1!M45,"")</f>
        <v>EMPTY</v>
      </c>
      <c r="I44" t="str">
        <f>IF(Sheet1!$B45,Sheet1!N45,"")</f>
        <v>ORTHO_BOTH</v>
      </c>
      <c r="J44" t="str">
        <f>IF(Sheet1!$B45,Sheet1!O45,"")</f>
        <v>ORTHO_BOTH</v>
      </c>
      <c r="K44" t="str">
        <f>IF(Sheet1!$B45,Sheet1!P45,"")</f>
        <v>DIAG_BOTH</v>
      </c>
    </row>
    <row r="45" spans="1:11">
      <c r="A45">
        <f>IF(Sheet1!$B46, CODE(Sheet1!D46), "")</f>
        <v>76</v>
      </c>
      <c r="B45">
        <f>IF(Sheet1!$B46, CODE(Sheet1!E46), "")</f>
        <v>58</v>
      </c>
      <c r="C45">
        <f>IF(Sheet1!$B46, CODE(Sheet1!F46), "")</f>
        <v>63</v>
      </c>
      <c r="D45">
        <f>IF(Sheet1!$B46, CODE(Sheet1!G46), "")</f>
        <v>62</v>
      </c>
      <c r="E45">
        <f>IF(Sheet1!$B46, CODE(Sheet1!H46), "")</f>
        <v>58</v>
      </c>
      <c r="F45">
        <f>IF(Sheet1!$B46, CODE(Sheet1!I46), "")</f>
        <v>63</v>
      </c>
      <c r="G45">
        <f>IF(Sheet1!$B46, CODE(Sheet1!J46), "")</f>
        <v>76</v>
      </c>
      <c r="H45" t="str">
        <f>IF(Sheet1!$B46,Sheet1!M46,"")</f>
        <v>EMPTY</v>
      </c>
      <c r="I45" t="str">
        <f>IF(Sheet1!$B46,Sheet1!N46,"")</f>
        <v>ORTHO_BOTH</v>
      </c>
      <c r="J45" t="str">
        <f>IF(Sheet1!$B46,Sheet1!O46,"")</f>
        <v>EMPTY</v>
      </c>
      <c r="K45" t="str">
        <f>IF(Sheet1!$B46,Sheet1!P46,"")</f>
        <v>ORTHO_BOTH</v>
      </c>
    </row>
    <row r="46" spans="1:11">
      <c r="A46">
        <f>IF(Sheet1!$B47, CODE(Sheet1!D47), "")</f>
        <v>77</v>
      </c>
      <c r="B46">
        <f>IF(Sheet1!$B47, CODE(Sheet1!E47), "")</f>
        <v>38</v>
      </c>
      <c r="C46">
        <f>IF(Sheet1!$B47, CODE(Sheet1!F47), "")</f>
        <v>75</v>
      </c>
      <c r="D46">
        <f>IF(Sheet1!$B47, CODE(Sheet1!G47), "")</f>
        <v>74</v>
      </c>
      <c r="E46">
        <f>IF(Sheet1!$B47, CODE(Sheet1!H47), "")</f>
        <v>60</v>
      </c>
      <c r="F46">
        <f>IF(Sheet1!$B47, CODE(Sheet1!I47), "")</f>
        <v>85</v>
      </c>
      <c r="G46">
        <f>IF(Sheet1!$B47, CODE(Sheet1!J47), "")</f>
        <v>42</v>
      </c>
      <c r="H46" t="str">
        <f>IF(Sheet1!$B47,Sheet1!M47,"")</f>
        <v>ORTHO_BOTH</v>
      </c>
      <c r="I46" t="str">
        <f>IF(Sheet1!$B47,Sheet1!N47,"")</f>
        <v>EMPTY</v>
      </c>
      <c r="J46" t="str">
        <f>IF(Sheet1!$B47,Sheet1!O47,"")</f>
        <v>DIAG_BOTH</v>
      </c>
      <c r="K46" t="str">
        <f>IF(Sheet1!$B47,Sheet1!P47,"")</f>
        <v>ORTHO_BOTH</v>
      </c>
    </row>
    <row r="47" spans="1:11">
      <c r="A47">
        <f>IF(Sheet1!$B48, CODE(Sheet1!D48), "")</f>
        <v>78</v>
      </c>
      <c r="B47">
        <f>IF(Sheet1!$B48, CODE(Sheet1!E48), "")</f>
        <v>89</v>
      </c>
      <c r="C47">
        <f>IF(Sheet1!$B48, CODE(Sheet1!F48), "")</f>
        <v>66</v>
      </c>
      <c r="D47">
        <f>IF(Sheet1!$B48, CODE(Sheet1!G48), "")</f>
        <v>78</v>
      </c>
      <c r="E47">
        <f>IF(Sheet1!$B48, CODE(Sheet1!H48), "")</f>
        <v>66</v>
      </c>
      <c r="F47">
        <f>IF(Sheet1!$B48, CODE(Sheet1!I48), "")</f>
        <v>94</v>
      </c>
      <c r="G47">
        <f>IF(Sheet1!$B48, CODE(Sheet1!J48), "")</f>
        <v>89</v>
      </c>
      <c r="H47" t="str">
        <f>IF(Sheet1!$B48,Sheet1!M48,"")</f>
        <v>ORTHO_BOTH</v>
      </c>
      <c r="I47" t="str">
        <f>IF(Sheet1!$B48,Sheet1!N48,"")</f>
        <v>ORTHO_BOTH</v>
      </c>
      <c r="J47" t="str">
        <f>IF(Sheet1!$B48,Sheet1!O48,"")</f>
        <v>DIAG_BOTH</v>
      </c>
      <c r="K47" t="str">
        <f>IF(Sheet1!$B48,Sheet1!P48,"")</f>
        <v>ORTHO_BOTH</v>
      </c>
    </row>
    <row r="48" spans="1:11">
      <c r="A48">
        <f>IF(Sheet1!$B49, CODE(Sheet1!D49), "")</f>
        <v>79</v>
      </c>
      <c r="B48">
        <f>IF(Sheet1!$B49, CODE(Sheet1!E49), "")</f>
        <v>40</v>
      </c>
      <c r="C48">
        <f>IF(Sheet1!$B49, CODE(Sheet1!F49), "")</f>
        <v>41</v>
      </c>
      <c r="D48">
        <f>IF(Sheet1!$B49, CODE(Sheet1!G49), "")</f>
        <v>40</v>
      </c>
      <c r="E48">
        <f>IF(Sheet1!$B49, CODE(Sheet1!H49), "")</f>
        <v>80</v>
      </c>
      <c r="F48">
        <f>IF(Sheet1!$B49, CODE(Sheet1!I49), "")</f>
        <v>79</v>
      </c>
      <c r="G48">
        <f>IF(Sheet1!$B49, CODE(Sheet1!J49), "")</f>
        <v>41</v>
      </c>
      <c r="H48" t="str">
        <f>IF(Sheet1!$B49,Sheet1!M49,"")</f>
        <v>ORTHO_BOTH</v>
      </c>
      <c r="I48" t="str">
        <f>IF(Sheet1!$B49,Sheet1!N49,"")</f>
        <v>EMPTY</v>
      </c>
      <c r="J48" t="str">
        <f>IF(Sheet1!$B49,Sheet1!O49,"")</f>
        <v>EMPTY</v>
      </c>
      <c r="K48" t="str">
        <f>IF(Sheet1!$B49,Sheet1!P49,"")</f>
        <v>ORTHO_BOTH</v>
      </c>
    </row>
    <row r="49" spans="1:11">
      <c r="A49">
        <f>IF(Sheet1!$B50, CODE(Sheet1!D50), "")</f>
        <v>80</v>
      </c>
      <c r="B49">
        <f>IF(Sheet1!$B50, CODE(Sheet1!E50), "")</f>
        <v>79</v>
      </c>
      <c r="C49">
        <f>IF(Sheet1!$B50, CODE(Sheet1!F50), "")</f>
        <v>40</v>
      </c>
      <c r="D49">
        <f>IF(Sheet1!$B50, CODE(Sheet1!G50), "")</f>
        <v>41</v>
      </c>
      <c r="E49">
        <f>IF(Sheet1!$B50, CODE(Sheet1!H50), "")</f>
        <v>79</v>
      </c>
      <c r="F49">
        <f>IF(Sheet1!$B50, CODE(Sheet1!I50), "")</f>
        <v>40</v>
      </c>
      <c r="G49">
        <f>IF(Sheet1!$B50, CODE(Sheet1!J50), "")</f>
        <v>80</v>
      </c>
      <c r="H49" t="str">
        <f>IF(Sheet1!$B50,Sheet1!M50,"")</f>
        <v>ORTHO_BOTH</v>
      </c>
      <c r="I49" t="str">
        <f>IF(Sheet1!$B50,Sheet1!N50,"")</f>
        <v>EMPTY</v>
      </c>
      <c r="J49" t="str">
        <f>IF(Sheet1!$B50,Sheet1!O50,"")</f>
        <v>ORTHO_BOTH</v>
      </c>
      <c r="K49" t="str">
        <f>IF(Sheet1!$B50,Sheet1!P50,"")</f>
        <v>EMPTY</v>
      </c>
    </row>
    <row r="50" spans="1:11">
      <c r="A50">
        <f>IF(Sheet1!$B51, CODE(Sheet1!D51), "")</f>
        <v>81</v>
      </c>
      <c r="B50">
        <f>IF(Sheet1!$B51, CODE(Sheet1!E51), "")</f>
        <v>69</v>
      </c>
      <c r="C50">
        <f>IF(Sheet1!$B51, CODE(Sheet1!F51), "")</f>
        <v>67</v>
      </c>
      <c r="D50">
        <f>IF(Sheet1!$B51, CODE(Sheet1!G51), "")</f>
        <v>90</v>
      </c>
      <c r="E50">
        <f>IF(Sheet1!$B51, CODE(Sheet1!H51), "")</f>
        <v>69</v>
      </c>
      <c r="F50">
        <f>IF(Sheet1!$B51, CODE(Sheet1!I51), "")</f>
        <v>67</v>
      </c>
      <c r="G50">
        <f>IF(Sheet1!$B51, CODE(Sheet1!J51), "")</f>
        <v>81</v>
      </c>
      <c r="H50" t="str">
        <f>IF(Sheet1!$B51,Sheet1!M51,"")</f>
        <v>EMPTY</v>
      </c>
      <c r="I50" t="str">
        <f>IF(Sheet1!$B51,Sheet1!N51,"")</f>
        <v>ORTHO_BOTH</v>
      </c>
      <c r="J50" t="str">
        <f>IF(Sheet1!$B51,Sheet1!O51,"")</f>
        <v>EMPTY</v>
      </c>
      <c r="K50" t="str">
        <f>IF(Sheet1!$B51,Sheet1!P51,"")</f>
        <v>ORTHO_BOTH</v>
      </c>
    </row>
    <row r="51" spans="1:11">
      <c r="A51">
        <f>IF(Sheet1!$B52, CODE(Sheet1!D52), "")</f>
        <v>82</v>
      </c>
      <c r="B51">
        <f>IF(Sheet1!$B52, CODE(Sheet1!E52), "")</f>
        <v>70</v>
      </c>
      <c r="C51">
        <f>IF(Sheet1!$B52, CODE(Sheet1!F52), "")</f>
        <v>36</v>
      </c>
      <c r="D51">
        <f>IF(Sheet1!$B52, CODE(Sheet1!G52), "")</f>
        <v>36</v>
      </c>
      <c r="E51">
        <f>IF(Sheet1!$B52, CODE(Sheet1!H52), "")</f>
        <v>82</v>
      </c>
      <c r="F51">
        <f>IF(Sheet1!$B52, CODE(Sheet1!I52), "")</f>
        <v>70</v>
      </c>
      <c r="G51">
        <f>IF(Sheet1!$B52, CODE(Sheet1!J52), "")</f>
        <v>86</v>
      </c>
      <c r="H51" t="str">
        <f>IF(Sheet1!$B52,Sheet1!M52,"")</f>
        <v>ORTHO_BOTH</v>
      </c>
      <c r="I51" t="str">
        <f>IF(Sheet1!$B52,Sheet1!N52,"")</f>
        <v>EMPTY</v>
      </c>
      <c r="J51" t="str">
        <f>IF(Sheet1!$B52,Sheet1!O52,"")</f>
        <v>EMPTY</v>
      </c>
      <c r="K51" t="str">
        <f>IF(Sheet1!$B52,Sheet1!P52,"")</f>
        <v>EMPTY</v>
      </c>
    </row>
    <row r="52" spans="1:11">
      <c r="A52">
        <f>IF(Sheet1!$B53, CODE(Sheet1!D53), "")</f>
        <v>83</v>
      </c>
      <c r="B52">
        <f>IF(Sheet1!$B53, CODE(Sheet1!E53), "")</f>
        <v>83</v>
      </c>
      <c r="C52">
        <f>IF(Sheet1!$B53, CODE(Sheet1!F53), "")</f>
        <v>83</v>
      </c>
      <c r="D52">
        <f>IF(Sheet1!$B53, CODE(Sheet1!G53), "")</f>
        <v>83</v>
      </c>
      <c r="E52">
        <f>IF(Sheet1!$B53, CODE(Sheet1!H53), "")</f>
        <v>83</v>
      </c>
      <c r="F52">
        <f>IF(Sheet1!$B53, CODE(Sheet1!I53), "")</f>
        <v>83</v>
      </c>
      <c r="G52">
        <f>IF(Sheet1!$B53, CODE(Sheet1!J53), "")</f>
        <v>83</v>
      </c>
      <c r="H52" t="str">
        <f>IF(Sheet1!$B53,Sheet1!M53,"")</f>
        <v>ORTHO_BOTH</v>
      </c>
      <c r="I52" t="str">
        <f>IF(Sheet1!$B53,Sheet1!N53,"")</f>
        <v>ORTHO_BOTH</v>
      </c>
      <c r="J52" t="str">
        <f>IF(Sheet1!$B53,Sheet1!O53,"")</f>
        <v>ORTHO_BOTH</v>
      </c>
      <c r="K52" t="str">
        <f>IF(Sheet1!$B53,Sheet1!P53,"")</f>
        <v>ORTHO_BOTH</v>
      </c>
    </row>
    <row r="53" spans="1:11">
      <c r="A53">
        <f>IF(Sheet1!$B54, CODE(Sheet1!D54), "")</f>
        <v>84</v>
      </c>
      <c r="B53">
        <f>IF(Sheet1!$B54, CODE(Sheet1!E54), "")</f>
        <v>71</v>
      </c>
      <c r="C53">
        <f>IF(Sheet1!$B54, CODE(Sheet1!F54), "")</f>
        <v>37</v>
      </c>
      <c r="D53">
        <f>IF(Sheet1!$B54, CODE(Sheet1!G54), "")</f>
        <v>37</v>
      </c>
      <c r="E53">
        <f>IF(Sheet1!$B54, CODE(Sheet1!H54), "")</f>
        <v>84</v>
      </c>
      <c r="F53">
        <f>IF(Sheet1!$B54, CODE(Sheet1!I54), "")</f>
        <v>71</v>
      </c>
      <c r="G53">
        <f>IF(Sheet1!$B54, CODE(Sheet1!J54), "")</f>
        <v>72</v>
      </c>
      <c r="H53" t="str">
        <f>IF(Sheet1!$B54,Sheet1!M54,"")</f>
        <v>DIAG_BOTH</v>
      </c>
      <c r="I53" t="str">
        <f>IF(Sheet1!$B54,Sheet1!N54,"")</f>
        <v>EMPTY</v>
      </c>
      <c r="J53" t="str">
        <f>IF(Sheet1!$B54,Sheet1!O54,"")</f>
        <v>ORTHO_BOTH</v>
      </c>
      <c r="K53" t="str">
        <f>IF(Sheet1!$B54,Sheet1!P54,"")</f>
        <v>ORTHO_BOTH</v>
      </c>
    </row>
    <row r="54" spans="1:11">
      <c r="A54">
        <f>IF(Sheet1!$B55, CODE(Sheet1!D55), "")</f>
        <v>85</v>
      </c>
      <c r="B54">
        <f>IF(Sheet1!$B55, CODE(Sheet1!E55), "")</f>
        <v>74</v>
      </c>
      <c r="C54">
        <f>IF(Sheet1!$B55, CODE(Sheet1!F55), "")</f>
        <v>42</v>
      </c>
      <c r="D54">
        <f>IF(Sheet1!$B55, CODE(Sheet1!G55), "")</f>
        <v>38</v>
      </c>
      <c r="E54">
        <f>IF(Sheet1!$B55, CODE(Sheet1!H55), "")</f>
        <v>73</v>
      </c>
      <c r="F54">
        <f>IF(Sheet1!$B55, CODE(Sheet1!I55), "")</f>
        <v>77</v>
      </c>
      <c r="G54">
        <f>IF(Sheet1!$B55, CODE(Sheet1!J55), "")</f>
        <v>75</v>
      </c>
      <c r="H54" t="str">
        <f>IF(Sheet1!$B55,Sheet1!M55,"")</f>
        <v>ORTHO_BOTH</v>
      </c>
      <c r="I54" t="str">
        <f>IF(Sheet1!$B55,Sheet1!N55,"")</f>
        <v>DIAG_BOTH</v>
      </c>
      <c r="J54" t="str">
        <f>IF(Sheet1!$B55,Sheet1!O55,"")</f>
        <v>EMPTY</v>
      </c>
      <c r="K54" t="str">
        <f>IF(Sheet1!$B55,Sheet1!P55,"")</f>
        <v>ORTHO_BOTH</v>
      </c>
    </row>
    <row r="55" spans="1:11">
      <c r="A55">
        <f>IF(Sheet1!$B56, CODE(Sheet1!D56), "")</f>
        <v>86</v>
      </c>
      <c r="B55">
        <f>IF(Sheet1!$B56, CODE(Sheet1!E56), "")</f>
        <v>82</v>
      </c>
      <c r="C55">
        <f>IF(Sheet1!$B56, CODE(Sheet1!F56), "")</f>
        <v>70</v>
      </c>
      <c r="D55">
        <f>IF(Sheet1!$B56, CODE(Sheet1!G56), "")</f>
        <v>86</v>
      </c>
      <c r="E55">
        <f>IF(Sheet1!$B56, CODE(Sheet1!H56), "")</f>
        <v>70</v>
      </c>
      <c r="F55">
        <f>IF(Sheet1!$B56, CODE(Sheet1!I56), "")</f>
        <v>36</v>
      </c>
      <c r="G55">
        <f>IF(Sheet1!$B56, CODE(Sheet1!J56), "")</f>
        <v>82</v>
      </c>
      <c r="H55" t="str">
        <f>IF(Sheet1!$B56,Sheet1!M56,"")</f>
        <v>EMPTY</v>
      </c>
      <c r="I55" t="str">
        <f>IF(Sheet1!$B56,Sheet1!N56,"")</f>
        <v>EMPTY</v>
      </c>
      <c r="J55" t="str">
        <f>IF(Sheet1!$B56,Sheet1!O56,"")</f>
        <v>ORTHO_BOTH</v>
      </c>
      <c r="K55" t="str">
        <f>IF(Sheet1!$B56,Sheet1!P56,"")</f>
        <v>EMPTY</v>
      </c>
    </row>
    <row r="56" spans="1:11">
      <c r="A56">
        <f>IF(Sheet1!$B57, CODE(Sheet1!D57), "")</f>
        <v>87</v>
      </c>
      <c r="B56">
        <f>IF(Sheet1!$B57, CODE(Sheet1!E57), "")</f>
        <v>68</v>
      </c>
      <c r="C56">
        <f>IF(Sheet1!$B57, CODE(Sheet1!F57), "")</f>
        <v>88</v>
      </c>
      <c r="D56">
        <f>IF(Sheet1!$B57, CODE(Sheet1!G57), "")</f>
        <v>88</v>
      </c>
      <c r="E56">
        <f>IF(Sheet1!$B57, CODE(Sheet1!H57), "")</f>
        <v>87</v>
      </c>
      <c r="F56">
        <f>IF(Sheet1!$B57, CODE(Sheet1!I57), "")</f>
        <v>68</v>
      </c>
      <c r="G56">
        <f>IF(Sheet1!$B57, CODE(Sheet1!J57), "")</f>
        <v>65</v>
      </c>
      <c r="H56" t="str">
        <f>IF(Sheet1!$B57,Sheet1!M57,"")</f>
        <v>EMPTY</v>
      </c>
      <c r="I56" t="str">
        <f>IF(Sheet1!$B57,Sheet1!N57,"")</f>
        <v>ORTHO_BOTH</v>
      </c>
      <c r="J56" t="str">
        <f>IF(Sheet1!$B57,Sheet1!O57,"")</f>
        <v>ORTHO_BOTH</v>
      </c>
      <c r="K56" t="str">
        <f>IF(Sheet1!$B57,Sheet1!P57,"")</f>
        <v>ORTHO_BOTH</v>
      </c>
    </row>
    <row r="57" spans="1:11">
      <c r="A57">
        <f>IF(Sheet1!$B58, CODE(Sheet1!D58), "")</f>
        <v>88</v>
      </c>
      <c r="B57">
        <f>IF(Sheet1!$B58, CODE(Sheet1!E58), "")</f>
        <v>65</v>
      </c>
      <c r="C57">
        <f>IF(Sheet1!$B58, CODE(Sheet1!F58), "")</f>
        <v>87</v>
      </c>
      <c r="D57">
        <f>IF(Sheet1!$B58, CODE(Sheet1!G58), "")</f>
        <v>87</v>
      </c>
      <c r="E57">
        <f>IF(Sheet1!$B58, CODE(Sheet1!H58), "")</f>
        <v>88</v>
      </c>
      <c r="F57">
        <f>IF(Sheet1!$B58, CODE(Sheet1!I58), "")</f>
        <v>65</v>
      </c>
      <c r="G57">
        <f>IF(Sheet1!$B58, CODE(Sheet1!J58), "")</f>
        <v>68</v>
      </c>
      <c r="H57" t="str">
        <f>IF(Sheet1!$B58,Sheet1!M58,"")</f>
        <v>ORTHO_BOTH</v>
      </c>
      <c r="I57" t="str">
        <f>IF(Sheet1!$B58,Sheet1!N58,"")</f>
        <v>EMPTY</v>
      </c>
      <c r="J57" t="str">
        <f>IF(Sheet1!$B58,Sheet1!O58,"")</f>
        <v>ORTHO_BOTH</v>
      </c>
      <c r="K57" t="str">
        <f>IF(Sheet1!$B58,Sheet1!P58,"")</f>
        <v>ORTHO_BOTH</v>
      </c>
    </row>
    <row r="58" spans="1:11">
      <c r="A58">
        <f>IF(Sheet1!$B59, CODE(Sheet1!D59), "")</f>
        <v>89</v>
      </c>
      <c r="B58">
        <f>IF(Sheet1!$B59, CODE(Sheet1!E59), "")</f>
        <v>66</v>
      </c>
      <c r="C58">
        <f>IF(Sheet1!$B59, CODE(Sheet1!F59), "")</f>
        <v>94</v>
      </c>
      <c r="D58">
        <f>IF(Sheet1!$B59, CODE(Sheet1!G59), "")</f>
        <v>94</v>
      </c>
      <c r="E58">
        <f>IF(Sheet1!$B59, CODE(Sheet1!H59), "")</f>
        <v>89</v>
      </c>
      <c r="F58">
        <f>IF(Sheet1!$B59, CODE(Sheet1!I59), "")</f>
        <v>66</v>
      </c>
      <c r="G58">
        <f>IF(Sheet1!$B59, CODE(Sheet1!J59), "")</f>
        <v>78</v>
      </c>
      <c r="H58" t="str">
        <f>IF(Sheet1!$B59,Sheet1!M59,"")</f>
        <v>DIAG_BOTH</v>
      </c>
      <c r="I58" t="str">
        <f>IF(Sheet1!$B59,Sheet1!N59,"")</f>
        <v>ORTHO_BOTH</v>
      </c>
      <c r="J58" t="str">
        <f>IF(Sheet1!$B59,Sheet1!O59,"")</f>
        <v>ORTHO_BOTH</v>
      </c>
      <c r="K58" t="str">
        <f>IF(Sheet1!$B59,Sheet1!P59,"")</f>
        <v>ORTHO_BOTH</v>
      </c>
    </row>
    <row r="59" spans="1:11">
      <c r="A59">
        <f>IF(Sheet1!$B60, CODE(Sheet1!D60), "")</f>
        <v>90</v>
      </c>
      <c r="B59">
        <f>IF(Sheet1!$B60, CODE(Sheet1!E60), "")</f>
        <v>81</v>
      </c>
      <c r="C59">
        <f>IF(Sheet1!$B60, CODE(Sheet1!F60), "")</f>
        <v>69</v>
      </c>
      <c r="D59">
        <f>IF(Sheet1!$B60, CODE(Sheet1!G60), "")</f>
        <v>81</v>
      </c>
      <c r="E59">
        <f>IF(Sheet1!$B60, CODE(Sheet1!H60), "")</f>
        <v>67</v>
      </c>
      <c r="F59">
        <f>IF(Sheet1!$B60, CODE(Sheet1!I60), "")</f>
        <v>90</v>
      </c>
      <c r="G59">
        <f>IF(Sheet1!$B60, CODE(Sheet1!J60), "")</f>
        <v>69</v>
      </c>
      <c r="H59" t="str">
        <f>IF(Sheet1!$B60,Sheet1!M60,"")</f>
        <v>ORTHO_BOTH</v>
      </c>
      <c r="I59" t="str">
        <f>IF(Sheet1!$B60,Sheet1!N60,"")</f>
        <v>EMPTY</v>
      </c>
      <c r="J59" t="str">
        <f>IF(Sheet1!$B60,Sheet1!O60,"")</f>
        <v>EMPTY</v>
      </c>
      <c r="K59" t="str">
        <f>IF(Sheet1!$B60,Sheet1!P60,"")</f>
        <v>ORTHO_BOTH</v>
      </c>
    </row>
    <row r="60" spans="1:11">
      <c r="A60">
        <f>IF(Sheet1!$B61, CODE(Sheet1!D61), "")</f>
        <v>91</v>
      </c>
      <c r="B60">
        <f>IF(Sheet1!$B61, CODE(Sheet1!E61), "")</f>
        <v>45</v>
      </c>
      <c r="C60">
        <f>IF(Sheet1!$B61, CODE(Sheet1!F61), "")</f>
        <v>93</v>
      </c>
      <c r="D60">
        <f>IF(Sheet1!$B61, CODE(Sheet1!G61), "")</f>
        <v>91</v>
      </c>
      <c r="E60">
        <f>IF(Sheet1!$B61, CODE(Sheet1!H61), "")</f>
        <v>93</v>
      </c>
      <c r="F60">
        <f>IF(Sheet1!$B61, CODE(Sheet1!I61), "")</f>
        <v>61</v>
      </c>
      <c r="G60">
        <f>IF(Sheet1!$B61, CODE(Sheet1!J61), "")</f>
        <v>45</v>
      </c>
      <c r="H60" t="str">
        <f>IF(Sheet1!$B61,Sheet1!M61,"")</f>
        <v>EMPTY</v>
      </c>
      <c r="I60" t="str">
        <f>IF(Sheet1!$B61,Sheet1!N61,"")</f>
        <v>EMPTY</v>
      </c>
      <c r="J60" t="str">
        <f>IF(Sheet1!$B61,Sheet1!O61,"")</f>
        <v>DIAG_BOTH</v>
      </c>
      <c r="K60" t="str">
        <f>IF(Sheet1!$B61,Sheet1!P61,"")</f>
        <v>ORTHO_BOTH</v>
      </c>
    </row>
    <row r="61" spans="1:11">
      <c r="A61">
        <f>IF(Sheet1!$B62, CODE(Sheet1!D62), "")</f>
        <v>92</v>
      </c>
      <c r="B61">
        <f>IF(Sheet1!$B62, CODE(Sheet1!E62), "")</f>
        <v>124</v>
      </c>
      <c r="C61">
        <f>IF(Sheet1!$B62, CODE(Sheet1!F62), "")</f>
        <v>92</v>
      </c>
      <c r="D61">
        <f>IF(Sheet1!$B62, CODE(Sheet1!G62), "")</f>
        <v>92</v>
      </c>
      <c r="E61">
        <f>IF(Sheet1!$B62, CODE(Sheet1!H62), "")</f>
        <v>92</v>
      </c>
      <c r="F61">
        <f>IF(Sheet1!$B62, CODE(Sheet1!I62), "")</f>
        <v>124</v>
      </c>
      <c r="G61">
        <f>IF(Sheet1!$B62, CODE(Sheet1!J62), "")</f>
        <v>124</v>
      </c>
      <c r="H61" t="str">
        <f>IF(Sheet1!$B62,Sheet1!M62,"")</f>
        <v>ORTHO_BOTH</v>
      </c>
      <c r="I61" t="str">
        <f>IF(Sheet1!$B62,Sheet1!N62,"")</f>
        <v>ORTHO_BOTH</v>
      </c>
      <c r="J61" t="str">
        <f>IF(Sheet1!$B62,Sheet1!O62,"")</f>
        <v>EMPTY</v>
      </c>
      <c r="K61" t="str">
        <f>IF(Sheet1!$B62,Sheet1!P62,"")</f>
        <v>EMPTY</v>
      </c>
    </row>
    <row r="62" spans="1:11">
      <c r="A62">
        <f>IF(Sheet1!$B63, CODE(Sheet1!D63), "")</f>
        <v>93</v>
      </c>
      <c r="B62">
        <f>IF(Sheet1!$B63, CODE(Sheet1!E63), "")</f>
        <v>61</v>
      </c>
      <c r="C62">
        <f>IF(Sheet1!$B63, CODE(Sheet1!F63), "")</f>
        <v>91</v>
      </c>
      <c r="D62">
        <f>IF(Sheet1!$B63, CODE(Sheet1!G63), "")</f>
        <v>93</v>
      </c>
      <c r="E62">
        <f>IF(Sheet1!$B63, CODE(Sheet1!H63), "")</f>
        <v>91</v>
      </c>
      <c r="F62">
        <f>IF(Sheet1!$B63, CODE(Sheet1!I63), "")</f>
        <v>45</v>
      </c>
      <c r="G62">
        <f>IF(Sheet1!$B63, CODE(Sheet1!J63), "")</f>
        <v>61</v>
      </c>
      <c r="H62" t="str">
        <f>IF(Sheet1!$B63,Sheet1!M63,"")</f>
        <v>EMPTY</v>
      </c>
      <c r="I62" t="str">
        <f>IF(Sheet1!$B63,Sheet1!N63,"")</f>
        <v>EMPTY</v>
      </c>
      <c r="J62" t="str">
        <f>IF(Sheet1!$B63,Sheet1!O63,"")</f>
        <v>ORTHO_BOTH</v>
      </c>
      <c r="K62" t="str">
        <f>IF(Sheet1!$B63,Sheet1!P63,"")</f>
        <v>DIAG_BOTH</v>
      </c>
    </row>
    <row r="63" spans="1:11">
      <c r="A63">
        <f>IF(Sheet1!$B64, CODE(Sheet1!D64), "")</f>
        <v>94</v>
      </c>
      <c r="B63">
        <f>IF(Sheet1!$B64, CODE(Sheet1!E64), "")</f>
        <v>78</v>
      </c>
      <c r="C63">
        <f>IF(Sheet1!$B64, CODE(Sheet1!F64), "")</f>
        <v>89</v>
      </c>
      <c r="D63">
        <f>IF(Sheet1!$B64, CODE(Sheet1!G64), "")</f>
        <v>89</v>
      </c>
      <c r="E63">
        <f>IF(Sheet1!$B64, CODE(Sheet1!H64), "")</f>
        <v>94</v>
      </c>
      <c r="F63">
        <f>IF(Sheet1!$B64, CODE(Sheet1!I64), "")</f>
        <v>78</v>
      </c>
      <c r="G63">
        <f>IF(Sheet1!$B64, CODE(Sheet1!J64), "")</f>
        <v>66</v>
      </c>
      <c r="H63" t="str">
        <f>IF(Sheet1!$B64,Sheet1!M64,"")</f>
        <v>ORTHO_BOTH</v>
      </c>
      <c r="I63" t="str">
        <f>IF(Sheet1!$B64,Sheet1!N64,"")</f>
        <v>DIAG_BOTH</v>
      </c>
      <c r="J63" t="str">
        <f>IF(Sheet1!$B64,Sheet1!O64,"")</f>
        <v>ORTHO_BOTH</v>
      </c>
      <c r="K63" t="str">
        <f>IF(Sheet1!$B64,Sheet1!P64,"")</f>
        <v>ORTHO_BOTH</v>
      </c>
    </row>
    <row r="64" spans="1:11">
      <c r="A64">
        <f>IF(Sheet1!$B65, CODE(Sheet1!D65), "")</f>
        <v>95</v>
      </c>
      <c r="B64">
        <f>IF(Sheet1!$B65, CODE(Sheet1!E65), "")</f>
        <v>43</v>
      </c>
      <c r="C64">
        <f>IF(Sheet1!$B65, CODE(Sheet1!F65), "")</f>
        <v>125</v>
      </c>
      <c r="D64">
        <f>IF(Sheet1!$B65, CODE(Sheet1!G65), "")</f>
        <v>123</v>
      </c>
      <c r="E64">
        <f>IF(Sheet1!$B65, CODE(Sheet1!H65), "")</f>
        <v>43</v>
      </c>
      <c r="F64">
        <f>IF(Sheet1!$B65, CODE(Sheet1!I65), "")</f>
        <v>125</v>
      </c>
      <c r="G64">
        <f>IF(Sheet1!$B65, CODE(Sheet1!J65), "")</f>
        <v>95</v>
      </c>
      <c r="H64" t="str">
        <f>IF(Sheet1!$B65,Sheet1!M65,"")</f>
        <v>DIAG_BOTH</v>
      </c>
      <c r="I64" t="str">
        <f>IF(Sheet1!$B65,Sheet1!N65,"")</f>
        <v>ORTHO_BOTH</v>
      </c>
      <c r="J64" t="str">
        <f>IF(Sheet1!$B65,Sheet1!O65,"")</f>
        <v>DIAG_BOTH</v>
      </c>
      <c r="K64" t="str">
        <f>IF(Sheet1!$B65,Sheet1!P65,"")</f>
        <v>ORTHO_BOTH</v>
      </c>
    </row>
    <row r="65" spans="1:11">
      <c r="A65">
        <f>IF(Sheet1!$B66, CODE(Sheet1!D66), "")</f>
        <v>96</v>
      </c>
      <c r="B65">
        <f>IF(Sheet1!$B66, CODE(Sheet1!E66), "")</f>
        <v>49</v>
      </c>
      <c r="C65">
        <f>IF(Sheet1!$B66, CODE(Sheet1!F66), "")</f>
        <v>96</v>
      </c>
      <c r="D65">
        <f>IF(Sheet1!$B66, CODE(Sheet1!G66), "")</f>
        <v>96</v>
      </c>
      <c r="E65">
        <f>IF(Sheet1!$B66, CODE(Sheet1!H66), "")</f>
        <v>96</v>
      </c>
      <c r="F65">
        <f>IF(Sheet1!$B66, CODE(Sheet1!I66), "")</f>
        <v>49</v>
      </c>
      <c r="G65">
        <f>IF(Sheet1!$B66, CODE(Sheet1!J66), "")</f>
        <v>49</v>
      </c>
      <c r="H65" t="str">
        <f>IF(Sheet1!$B66,Sheet1!M66,"")</f>
        <v>DIAG_BOTH</v>
      </c>
      <c r="I65" t="str">
        <f>IF(Sheet1!$B66,Sheet1!N66,"")</f>
        <v>DIAG_BOTH</v>
      </c>
      <c r="J65" t="str">
        <f>IF(Sheet1!$B66,Sheet1!O66,"")</f>
        <v>EMPTY</v>
      </c>
      <c r="K65" t="str">
        <f>IF(Sheet1!$B66,Sheet1!P66,"")</f>
        <v>EMPTY</v>
      </c>
    </row>
    <row r="66" spans="1:11">
      <c r="A66">
        <f>IF(Sheet1!$B67, CODE(Sheet1!D67), "")</f>
        <v>97</v>
      </c>
      <c r="B66">
        <f>IF(Sheet1!$B67, CODE(Sheet1!E67), "")</f>
        <v>119</v>
      </c>
      <c r="C66">
        <f>IF(Sheet1!$B67, CODE(Sheet1!F67), "")</f>
        <v>100</v>
      </c>
      <c r="D66">
        <f>IF(Sheet1!$B67, CODE(Sheet1!G67), "")</f>
        <v>97</v>
      </c>
      <c r="E66">
        <f>IF(Sheet1!$B67, CODE(Sheet1!H67), "")</f>
        <v>100</v>
      </c>
      <c r="F66">
        <f>IF(Sheet1!$B67, CODE(Sheet1!I67), "")</f>
        <v>120</v>
      </c>
      <c r="G66">
        <f>IF(Sheet1!$B67, CODE(Sheet1!J67), "")</f>
        <v>119</v>
      </c>
      <c r="H66" t="str">
        <f>IF(Sheet1!$B67,Sheet1!M67,"")</f>
        <v>DIAG_BOTH</v>
      </c>
      <c r="I66" t="str">
        <f>IF(Sheet1!$B67,Sheet1!N67,"")</f>
        <v>DIAG_BOTH</v>
      </c>
      <c r="J66" t="str">
        <f>IF(Sheet1!$B67,Sheet1!O67,"")</f>
        <v>EMPTY</v>
      </c>
      <c r="K66" t="str">
        <f>IF(Sheet1!$B67,Sheet1!P67,"")</f>
        <v>DIAG_BOTH</v>
      </c>
    </row>
    <row r="67" spans="1:11">
      <c r="A67">
        <f>IF(Sheet1!$B68, CODE(Sheet1!D68), "")</f>
        <v>98</v>
      </c>
      <c r="B67">
        <f>IF(Sheet1!$B68, CODE(Sheet1!E68), "")</f>
        <v>54</v>
      </c>
      <c r="C67">
        <f>IF(Sheet1!$B68, CODE(Sheet1!F68), "")</f>
        <v>110</v>
      </c>
      <c r="D67">
        <f>IF(Sheet1!$B68, CODE(Sheet1!G68), "")</f>
        <v>98</v>
      </c>
      <c r="E67">
        <f>IF(Sheet1!$B68, CODE(Sheet1!H68), "")</f>
        <v>110</v>
      </c>
      <c r="F67">
        <f>IF(Sheet1!$B68, CODE(Sheet1!I68), "")</f>
        <v>121</v>
      </c>
      <c r="G67">
        <f>IF(Sheet1!$B68, CODE(Sheet1!J68), "")</f>
        <v>54</v>
      </c>
      <c r="H67" t="str">
        <f>IF(Sheet1!$B68,Sheet1!M68,"")</f>
        <v>DIAG_BOTH</v>
      </c>
      <c r="I67" t="str">
        <f>IF(Sheet1!$B68,Sheet1!N68,"")</f>
        <v>DIAG_BOTH</v>
      </c>
      <c r="J67" t="str">
        <f>IF(Sheet1!$B68,Sheet1!O68,"")</f>
        <v>EMPTY</v>
      </c>
      <c r="K67" t="str">
        <f>IF(Sheet1!$B68,Sheet1!P68,"")</f>
        <v>ORTHO_BOTH</v>
      </c>
    </row>
    <row r="68" spans="1:11">
      <c r="A68">
        <f>IF(Sheet1!$B69, CODE(Sheet1!D69), "")</f>
        <v>99</v>
      </c>
      <c r="B68">
        <f>IF(Sheet1!$B69, CODE(Sheet1!E69), "")</f>
        <v>122</v>
      </c>
      <c r="C68">
        <f>IF(Sheet1!$B69, CODE(Sheet1!F69), "")</f>
        <v>113</v>
      </c>
      <c r="D68">
        <f>IF(Sheet1!$B69, CODE(Sheet1!G69), "")</f>
        <v>101</v>
      </c>
      <c r="E68">
        <f>IF(Sheet1!$B69, CODE(Sheet1!H69), "")</f>
        <v>122</v>
      </c>
      <c r="F68">
        <f>IF(Sheet1!$B69, CODE(Sheet1!I69), "")</f>
        <v>113</v>
      </c>
      <c r="G68">
        <f>IF(Sheet1!$B69, CODE(Sheet1!J69), "")</f>
        <v>99</v>
      </c>
      <c r="H68" t="str">
        <f>IF(Sheet1!$B69,Sheet1!M69,"")</f>
        <v>DIAG_BOTH</v>
      </c>
      <c r="I68" t="str">
        <f>IF(Sheet1!$B69,Sheet1!N69,"")</f>
        <v>EMPTY</v>
      </c>
      <c r="J68" t="str">
        <f>IF(Sheet1!$B69,Sheet1!O69,"")</f>
        <v>DIAG_BOTH</v>
      </c>
      <c r="K68" t="str">
        <f>IF(Sheet1!$B69,Sheet1!P69,"")</f>
        <v>EMPTY</v>
      </c>
    </row>
    <row r="69" spans="1:11">
      <c r="A69">
        <f>IF(Sheet1!$B70, CODE(Sheet1!D70), "")</f>
        <v>100</v>
      </c>
      <c r="B69">
        <f>IF(Sheet1!$B70, CODE(Sheet1!E70), "")</f>
        <v>120</v>
      </c>
      <c r="C69">
        <f>IF(Sheet1!$B70, CODE(Sheet1!F70), "")</f>
        <v>97</v>
      </c>
      <c r="D69">
        <f>IF(Sheet1!$B70, CODE(Sheet1!G70), "")</f>
        <v>100</v>
      </c>
      <c r="E69">
        <f>IF(Sheet1!$B70, CODE(Sheet1!H70), "")</f>
        <v>97</v>
      </c>
      <c r="F69">
        <f>IF(Sheet1!$B70, CODE(Sheet1!I70), "")</f>
        <v>119</v>
      </c>
      <c r="G69">
        <f>IF(Sheet1!$B70, CODE(Sheet1!J70), "")</f>
        <v>120</v>
      </c>
      <c r="H69" t="str">
        <f>IF(Sheet1!$B70,Sheet1!M70,"")</f>
        <v>DIAG_BOTH</v>
      </c>
      <c r="I69" t="str">
        <f>IF(Sheet1!$B70,Sheet1!N70,"")</f>
        <v>DIAG_BOTH</v>
      </c>
      <c r="J69" t="str">
        <f>IF(Sheet1!$B70,Sheet1!O70,"")</f>
        <v>DIAG_BOTH</v>
      </c>
      <c r="K69" t="str">
        <f>IF(Sheet1!$B70,Sheet1!P70,"")</f>
        <v>EMPTY</v>
      </c>
    </row>
    <row r="70" spans="1:11">
      <c r="A70">
        <f>IF(Sheet1!$B71, CODE(Sheet1!D71), "")</f>
        <v>101</v>
      </c>
      <c r="B70">
        <f>IF(Sheet1!$B71, CODE(Sheet1!E71), "")</f>
        <v>99</v>
      </c>
      <c r="C70">
        <f>IF(Sheet1!$B71, CODE(Sheet1!F71), "")</f>
        <v>122</v>
      </c>
      <c r="D70">
        <f>IF(Sheet1!$B71, CODE(Sheet1!G71), "")</f>
        <v>99</v>
      </c>
      <c r="E70">
        <f>IF(Sheet1!$B71, CODE(Sheet1!H71), "")</f>
        <v>113</v>
      </c>
      <c r="F70">
        <f>IF(Sheet1!$B71, CODE(Sheet1!I71), "")</f>
        <v>101</v>
      </c>
      <c r="G70">
        <f>IF(Sheet1!$B71, CODE(Sheet1!J71), "")</f>
        <v>122</v>
      </c>
      <c r="H70" t="str">
        <f>IF(Sheet1!$B71,Sheet1!M71,"")</f>
        <v>EMPTY</v>
      </c>
      <c r="I70" t="str">
        <f>IF(Sheet1!$B71,Sheet1!N71,"")</f>
        <v>DIAG_BOTH</v>
      </c>
      <c r="J70" t="str">
        <f>IF(Sheet1!$B71,Sheet1!O71,"")</f>
        <v>DIAG_BOTH</v>
      </c>
      <c r="K70" t="str">
        <f>IF(Sheet1!$B71,Sheet1!P71,"")</f>
        <v>EMPTY</v>
      </c>
    </row>
    <row r="71" spans="1:11">
      <c r="A71">
        <f>IF(Sheet1!$B72, CODE(Sheet1!D72), "")</f>
        <v>102</v>
      </c>
      <c r="B71">
        <f>IF(Sheet1!$B72, CODE(Sheet1!E72), "")</f>
        <v>52</v>
      </c>
      <c r="C71">
        <f>IF(Sheet1!$B72, CODE(Sheet1!F72), "")</f>
        <v>118</v>
      </c>
      <c r="D71">
        <f>IF(Sheet1!$B72, CODE(Sheet1!G72), "")</f>
        <v>102</v>
      </c>
      <c r="E71">
        <f>IF(Sheet1!$B72, CODE(Sheet1!H72), "")</f>
        <v>118</v>
      </c>
      <c r="F71">
        <f>IF(Sheet1!$B72, CODE(Sheet1!I72), "")</f>
        <v>114</v>
      </c>
      <c r="G71">
        <f>IF(Sheet1!$B72, CODE(Sheet1!J72), "")</f>
        <v>52</v>
      </c>
      <c r="H71" t="str">
        <f>IF(Sheet1!$B72,Sheet1!M72,"")</f>
        <v>EMPTY</v>
      </c>
      <c r="I71" t="str">
        <f>IF(Sheet1!$B72,Sheet1!N72,"")</f>
        <v>EMPTY</v>
      </c>
      <c r="J71" t="str">
        <f>IF(Sheet1!$B72,Sheet1!O72,"")</f>
        <v>EMPTY</v>
      </c>
      <c r="K71" t="str">
        <f>IF(Sheet1!$B72,Sheet1!P72,"")</f>
        <v>DIAG_BOTH</v>
      </c>
    </row>
    <row r="72" spans="1:11">
      <c r="A72">
        <f>IF(Sheet1!$B73, CODE(Sheet1!D73), "")</f>
        <v>103</v>
      </c>
      <c r="B72">
        <f>IF(Sheet1!$B73, CODE(Sheet1!E73), "")</f>
        <v>53</v>
      </c>
      <c r="C72">
        <f>IF(Sheet1!$B73, CODE(Sheet1!F73), "")</f>
        <v>104</v>
      </c>
      <c r="D72">
        <f>IF(Sheet1!$B73, CODE(Sheet1!G73), "")</f>
        <v>103</v>
      </c>
      <c r="E72">
        <f>IF(Sheet1!$B73, CODE(Sheet1!H73), "")</f>
        <v>104</v>
      </c>
      <c r="F72">
        <f>IF(Sheet1!$B73, CODE(Sheet1!I73), "")</f>
        <v>116</v>
      </c>
      <c r="G72">
        <f>IF(Sheet1!$B73, CODE(Sheet1!J73), "")</f>
        <v>53</v>
      </c>
      <c r="H72" t="str">
        <f>IF(Sheet1!$B73,Sheet1!M73,"")</f>
        <v>DIAG_BOTH</v>
      </c>
      <c r="I72" t="str">
        <f>IF(Sheet1!$B73,Sheet1!N73,"")</f>
        <v>DIAG_BOTH</v>
      </c>
      <c r="J72" t="str">
        <f>IF(Sheet1!$B73,Sheet1!O73,"")</f>
        <v>DIAG_BOTH</v>
      </c>
      <c r="K72" t="str">
        <f>IF(Sheet1!$B73,Sheet1!P73,"")</f>
        <v>ORTHO_BOTH</v>
      </c>
    </row>
    <row r="73" spans="1:11">
      <c r="A73">
        <f>IF(Sheet1!$B74, CODE(Sheet1!D74), "")</f>
        <v>104</v>
      </c>
      <c r="B73">
        <f>IF(Sheet1!$B74, CODE(Sheet1!E74), "")</f>
        <v>116</v>
      </c>
      <c r="C73">
        <f>IF(Sheet1!$B74, CODE(Sheet1!F74), "")</f>
        <v>103</v>
      </c>
      <c r="D73">
        <f>IF(Sheet1!$B74, CODE(Sheet1!G74), "")</f>
        <v>104</v>
      </c>
      <c r="E73">
        <f>IF(Sheet1!$B74, CODE(Sheet1!H74), "")</f>
        <v>103</v>
      </c>
      <c r="F73">
        <f>IF(Sheet1!$B74, CODE(Sheet1!I74), "")</f>
        <v>53</v>
      </c>
      <c r="G73">
        <f>IF(Sheet1!$B74, CODE(Sheet1!J74), "")</f>
        <v>116</v>
      </c>
      <c r="H73" t="str">
        <f>IF(Sheet1!$B74,Sheet1!M74,"")</f>
        <v>DIAG_BOTH</v>
      </c>
      <c r="I73" t="str">
        <f>IF(Sheet1!$B74,Sheet1!N74,"")</f>
        <v>DIAG_BOTH</v>
      </c>
      <c r="J73" t="str">
        <f>IF(Sheet1!$B74,Sheet1!O74,"")</f>
        <v>ORTHO_BOTH</v>
      </c>
      <c r="K73" t="str">
        <f>IF(Sheet1!$B74,Sheet1!P74,"")</f>
        <v>DIAG_BOTH</v>
      </c>
    </row>
    <row r="74" spans="1:11">
      <c r="A74">
        <f>IF(Sheet1!$B75, CODE(Sheet1!D75), "")</f>
        <v>105</v>
      </c>
      <c r="B74">
        <f>IF(Sheet1!$B75, CODE(Sheet1!E75), "")</f>
        <v>109</v>
      </c>
      <c r="C74">
        <f>IF(Sheet1!$B75, CODE(Sheet1!F75), "")</f>
        <v>55</v>
      </c>
      <c r="D74">
        <f>IF(Sheet1!$B75, CODE(Sheet1!G75), "")</f>
        <v>56</v>
      </c>
      <c r="E74">
        <f>IF(Sheet1!$B75, CODE(Sheet1!H75), "")</f>
        <v>117</v>
      </c>
      <c r="F74">
        <f>IF(Sheet1!$B75, CODE(Sheet1!I75), "")</f>
        <v>106</v>
      </c>
      <c r="G74">
        <f>IF(Sheet1!$B75, CODE(Sheet1!J75), "")</f>
        <v>44</v>
      </c>
      <c r="H74" t="str">
        <f>IF(Sheet1!$B75,Sheet1!M75,"")</f>
        <v>ORTHO_BOTH</v>
      </c>
      <c r="I74" t="str">
        <f>IF(Sheet1!$B75,Sheet1!N75,"")</f>
        <v>DIAG_BOTH</v>
      </c>
      <c r="J74" t="str">
        <f>IF(Sheet1!$B75,Sheet1!O75,"")</f>
        <v>DIAG_BOTH</v>
      </c>
      <c r="K74" t="str">
        <f>IF(Sheet1!$B75,Sheet1!P75,"")</f>
        <v>EMPTY</v>
      </c>
    </row>
    <row r="75" spans="1:11">
      <c r="A75">
        <f>IF(Sheet1!$B76, CODE(Sheet1!D76), "")</f>
        <v>106</v>
      </c>
      <c r="B75">
        <f>IF(Sheet1!$B76, CODE(Sheet1!E76), "")</f>
        <v>56</v>
      </c>
      <c r="C75">
        <f>IF(Sheet1!$B76, CODE(Sheet1!F76), "")</f>
        <v>44</v>
      </c>
      <c r="D75">
        <f>IF(Sheet1!$B76, CODE(Sheet1!G76), "")</f>
        <v>109</v>
      </c>
      <c r="E75">
        <f>IF(Sheet1!$B76, CODE(Sheet1!H76), "")</f>
        <v>107</v>
      </c>
      <c r="F75">
        <f>IF(Sheet1!$B76, CODE(Sheet1!I76), "")</f>
        <v>105</v>
      </c>
      <c r="G75">
        <f>IF(Sheet1!$B76, CODE(Sheet1!J76), "")</f>
        <v>55</v>
      </c>
      <c r="H75" t="str">
        <f>IF(Sheet1!$B76,Sheet1!M76,"")</f>
        <v>EMPTY</v>
      </c>
      <c r="I75" t="str">
        <f>IF(Sheet1!$B76,Sheet1!N76,"")</f>
        <v>DIAG_BOTH</v>
      </c>
      <c r="J75" t="str">
        <f>IF(Sheet1!$B76,Sheet1!O76,"")</f>
        <v>DIAG_BOTH</v>
      </c>
      <c r="K75" t="str">
        <f>IF(Sheet1!$B76,Sheet1!P76,"")</f>
        <v>ORTHO_BOTH</v>
      </c>
    </row>
    <row r="76" spans="1:11">
      <c r="A76">
        <f>IF(Sheet1!$B77, CODE(Sheet1!D77), "")</f>
        <v>107</v>
      </c>
      <c r="B76">
        <f>IF(Sheet1!$B77, CODE(Sheet1!E77), "")</f>
        <v>105</v>
      </c>
      <c r="C76">
        <f>IF(Sheet1!$B77, CODE(Sheet1!F77), "")</f>
        <v>109</v>
      </c>
      <c r="D76">
        <f>IF(Sheet1!$B77, CODE(Sheet1!G77), "")</f>
        <v>44</v>
      </c>
      <c r="E76">
        <f>IF(Sheet1!$B77, CODE(Sheet1!H77), "")</f>
        <v>106</v>
      </c>
      <c r="F76">
        <f>IF(Sheet1!$B77, CODE(Sheet1!I77), "")</f>
        <v>56</v>
      </c>
      <c r="G76">
        <f>IF(Sheet1!$B77, CODE(Sheet1!J77), "")</f>
        <v>117</v>
      </c>
      <c r="H76" t="str">
        <f>IF(Sheet1!$B77,Sheet1!M77,"")</f>
        <v>EMPTY</v>
      </c>
      <c r="I76" t="str">
        <f>IF(Sheet1!$B77,Sheet1!N77,"")</f>
        <v>DIAG_BOTH</v>
      </c>
      <c r="J76" t="str">
        <f>IF(Sheet1!$B77,Sheet1!O77,"")</f>
        <v>ORTHO_BOTH</v>
      </c>
      <c r="K76" t="str">
        <f>IF(Sheet1!$B77,Sheet1!P77,"")</f>
        <v>DIAG_BOTH</v>
      </c>
    </row>
    <row r="77" spans="1:11">
      <c r="A77">
        <f>IF(Sheet1!$B78, CODE(Sheet1!D78), "")</f>
        <v>108</v>
      </c>
      <c r="B77">
        <f>IF(Sheet1!$B78, CODE(Sheet1!E78), "")</f>
        <v>48</v>
      </c>
      <c r="C77">
        <f>IF(Sheet1!$B78, CODE(Sheet1!F78), "")</f>
        <v>47</v>
      </c>
      <c r="D77">
        <f>IF(Sheet1!$B78, CODE(Sheet1!G78), "")</f>
        <v>46</v>
      </c>
      <c r="E77">
        <f>IF(Sheet1!$B78, CODE(Sheet1!H78), "")</f>
        <v>59</v>
      </c>
      <c r="F77">
        <f>IF(Sheet1!$B78, CODE(Sheet1!I78), "")</f>
        <v>112</v>
      </c>
      <c r="G77">
        <f>IF(Sheet1!$B78, CODE(Sheet1!J78), "")</f>
        <v>57</v>
      </c>
      <c r="H77" t="str">
        <f>IF(Sheet1!$B78,Sheet1!M78,"")</f>
        <v>EMPTY</v>
      </c>
      <c r="I77" t="str">
        <f>IF(Sheet1!$B78,Sheet1!N78,"")</f>
        <v>DIAG_BOTH</v>
      </c>
      <c r="J77" t="str">
        <f>IF(Sheet1!$B78,Sheet1!O78,"")</f>
        <v>EMPTY</v>
      </c>
      <c r="K77" t="str">
        <f>IF(Sheet1!$B78,Sheet1!P78,"")</f>
        <v>ORTHO_BOTH</v>
      </c>
    </row>
    <row r="78" spans="1:11">
      <c r="A78">
        <f>IF(Sheet1!$B79, CODE(Sheet1!D79), "")</f>
        <v>109</v>
      </c>
      <c r="B78">
        <f>IF(Sheet1!$B79, CODE(Sheet1!E79), "")</f>
        <v>55</v>
      </c>
      <c r="C78">
        <f>IF(Sheet1!$B79, CODE(Sheet1!F79), "")</f>
        <v>107</v>
      </c>
      <c r="D78">
        <f>IF(Sheet1!$B79, CODE(Sheet1!G79), "")</f>
        <v>106</v>
      </c>
      <c r="E78">
        <f>IF(Sheet1!$B79, CODE(Sheet1!H79), "")</f>
        <v>44</v>
      </c>
      <c r="F78">
        <f>IF(Sheet1!$B79, CODE(Sheet1!I79), "")</f>
        <v>117</v>
      </c>
      <c r="G78">
        <f>IF(Sheet1!$B79, CODE(Sheet1!J79), "")</f>
        <v>56</v>
      </c>
      <c r="H78" t="str">
        <f>IF(Sheet1!$B79,Sheet1!M79,"")</f>
        <v>DIAG_BOTH</v>
      </c>
      <c r="I78" t="str">
        <f>IF(Sheet1!$B79,Sheet1!N79,"")</f>
        <v>EMPTY</v>
      </c>
      <c r="J78" t="str">
        <f>IF(Sheet1!$B79,Sheet1!O79,"")</f>
        <v>DIAG_BOTH</v>
      </c>
      <c r="K78" t="str">
        <f>IF(Sheet1!$B79,Sheet1!P79,"")</f>
        <v>ORTHO_BOTH</v>
      </c>
    </row>
    <row r="79" spans="1:11">
      <c r="A79">
        <f>IF(Sheet1!$B80, CODE(Sheet1!D80), "")</f>
        <v>110</v>
      </c>
      <c r="B79">
        <f>IF(Sheet1!$B80, CODE(Sheet1!E80), "")</f>
        <v>121</v>
      </c>
      <c r="C79">
        <f>IF(Sheet1!$B80, CODE(Sheet1!F80), "")</f>
        <v>98</v>
      </c>
      <c r="D79">
        <f>IF(Sheet1!$B80, CODE(Sheet1!G80), "")</f>
        <v>110</v>
      </c>
      <c r="E79">
        <f>IF(Sheet1!$B80, CODE(Sheet1!H80), "")</f>
        <v>98</v>
      </c>
      <c r="F79">
        <f>IF(Sheet1!$B80, CODE(Sheet1!I80), "")</f>
        <v>54</v>
      </c>
      <c r="G79">
        <f>IF(Sheet1!$B80, CODE(Sheet1!J80), "")</f>
        <v>121</v>
      </c>
      <c r="H79" t="str">
        <f>IF(Sheet1!$B80,Sheet1!M80,"")</f>
        <v>DIAG_BOTH</v>
      </c>
      <c r="I79" t="str">
        <f>IF(Sheet1!$B80,Sheet1!N80,"")</f>
        <v>DIAG_BOTH</v>
      </c>
      <c r="J79" t="str">
        <f>IF(Sheet1!$B80,Sheet1!O80,"")</f>
        <v>ORTHO_BOTH</v>
      </c>
      <c r="K79" t="str">
        <f>IF(Sheet1!$B80,Sheet1!P80,"")</f>
        <v>EMPTY</v>
      </c>
    </row>
    <row r="80" spans="1:11">
      <c r="A80">
        <f>IF(Sheet1!$B81, CODE(Sheet1!D81), "")</f>
        <v>111</v>
      </c>
      <c r="B80">
        <f>IF(Sheet1!$B81, CODE(Sheet1!E81), "")</f>
        <v>108</v>
      </c>
      <c r="C80">
        <f>IF(Sheet1!$B81, CODE(Sheet1!F81), "")</f>
        <v>48</v>
      </c>
      <c r="D80">
        <f>IF(Sheet1!$B81, CODE(Sheet1!G81), "")</f>
        <v>57</v>
      </c>
      <c r="E80">
        <f>IF(Sheet1!$B81, CODE(Sheet1!H81), "")</f>
        <v>112</v>
      </c>
      <c r="F80">
        <f>IF(Sheet1!$B81, CODE(Sheet1!I81), "")</f>
        <v>46</v>
      </c>
      <c r="G80">
        <f>IF(Sheet1!$B81, CODE(Sheet1!J81), "")</f>
        <v>59</v>
      </c>
      <c r="H80" t="str">
        <f>IF(Sheet1!$B81,Sheet1!M81,"")</f>
        <v>ORTHO_BOTH</v>
      </c>
      <c r="I80" t="str">
        <f>IF(Sheet1!$B81,Sheet1!N81,"")</f>
        <v>EMPTY</v>
      </c>
      <c r="J80" t="str">
        <f>IF(Sheet1!$B81,Sheet1!O81,"")</f>
        <v>EMPTY</v>
      </c>
      <c r="K80" t="str">
        <f>IF(Sheet1!$B81,Sheet1!P81,"")</f>
        <v>DIAG_BOTH</v>
      </c>
    </row>
    <row r="81" spans="1:11">
      <c r="A81">
        <f>IF(Sheet1!$B82, CODE(Sheet1!D82), "")</f>
        <v>112</v>
      </c>
      <c r="B81">
        <f>IF(Sheet1!$B82, CODE(Sheet1!E82), "")</f>
        <v>46</v>
      </c>
      <c r="C81">
        <f>IF(Sheet1!$B82, CODE(Sheet1!F82), "")</f>
        <v>57</v>
      </c>
      <c r="D81">
        <f>IF(Sheet1!$B82, CODE(Sheet1!G82), "")</f>
        <v>48</v>
      </c>
      <c r="E81">
        <f>IF(Sheet1!$B82, CODE(Sheet1!H82), "")</f>
        <v>111</v>
      </c>
      <c r="F81">
        <f>IF(Sheet1!$B82, CODE(Sheet1!I82), "")</f>
        <v>108</v>
      </c>
      <c r="G81">
        <f>IF(Sheet1!$B82, CODE(Sheet1!J82), "")</f>
        <v>47</v>
      </c>
      <c r="H81" t="str">
        <f>IF(Sheet1!$B82,Sheet1!M82,"")</f>
        <v>ORTHO_BOTH</v>
      </c>
      <c r="I81" t="str">
        <f>IF(Sheet1!$B82,Sheet1!N82,"")</f>
        <v>EMPTY</v>
      </c>
      <c r="J81" t="str">
        <f>IF(Sheet1!$B82,Sheet1!O82,"")</f>
        <v>DIAG_BOTH</v>
      </c>
      <c r="K81" t="str">
        <f>IF(Sheet1!$B82,Sheet1!P82,"")</f>
        <v>EMPTY</v>
      </c>
    </row>
    <row r="82" spans="1:11">
      <c r="A82">
        <f>IF(Sheet1!$B83, CODE(Sheet1!D83), "")</f>
        <v>113</v>
      </c>
      <c r="B82">
        <f>IF(Sheet1!$B83, CODE(Sheet1!E83), "")</f>
        <v>101</v>
      </c>
      <c r="C82">
        <f>IF(Sheet1!$B83, CODE(Sheet1!F83), "")</f>
        <v>99</v>
      </c>
      <c r="D82">
        <f>IF(Sheet1!$B83, CODE(Sheet1!G83), "")</f>
        <v>122</v>
      </c>
      <c r="E82">
        <f>IF(Sheet1!$B83, CODE(Sheet1!H83), "")</f>
        <v>101</v>
      </c>
      <c r="F82">
        <f>IF(Sheet1!$B83, CODE(Sheet1!I83), "")</f>
        <v>99</v>
      </c>
      <c r="G82">
        <f>IF(Sheet1!$B83, CODE(Sheet1!J83), "")</f>
        <v>113</v>
      </c>
      <c r="H82" t="str">
        <f>IF(Sheet1!$B83,Sheet1!M83,"")</f>
        <v>EMPTY</v>
      </c>
      <c r="I82" t="str">
        <f>IF(Sheet1!$B83,Sheet1!N83,"")</f>
        <v>DIAG_BOTH</v>
      </c>
      <c r="J82" t="str">
        <f>IF(Sheet1!$B83,Sheet1!O83,"")</f>
        <v>EMPTY</v>
      </c>
      <c r="K82" t="str">
        <f>IF(Sheet1!$B83,Sheet1!P83,"")</f>
        <v>DIAG_BOTH</v>
      </c>
    </row>
    <row r="83" spans="1:11">
      <c r="A83">
        <f>IF(Sheet1!$B84, CODE(Sheet1!D84), "")</f>
        <v>114</v>
      </c>
      <c r="B83">
        <f>IF(Sheet1!$B84, CODE(Sheet1!E84), "")</f>
        <v>102</v>
      </c>
      <c r="C83">
        <f>IF(Sheet1!$B84, CODE(Sheet1!F84), "")</f>
        <v>52</v>
      </c>
      <c r="D83">
        <f>IF(Sheet1!$B84, CODE(Sheet1!G84), "")</f>
        <v>52</v>
      </c>
      <c r="E83">
        <f>IF(Sheet1!$B84, CODE(Sheet1!H84), "")</f>
        <v>114</v>
      </c>
      <c r="F83">
        <f>IF(Sheet1!$B84, CODE(Sheet1!I84), "")</f>
        <v>102</v>
      </c>
      <c r="G83">
        <f>IF(Sheet1!$B84, CODE(Sheet1!J84), "")</f>
        <v>118</v>
      </c>
      <c r="H83" t="str">
        <f>IF(Sheet1!$B84,Sheet1!M84,"")</f>
        <v>DIAG_BOTH</v>
      </c>
      <c r="I83" t="str">
        <f>IF(Sheet1!$B84,Sheet1!N84,"")</f>
        <v>EMPTY</v>
      </c>
      <c r="J83" t="str">
        <f>IF(Sheet1!$B84,Sheet1!O84,"")</f>
        <v>EMPTY</v>
      </c>
      <c r="K83" t="str">
        <f>IF(Sheet1!$B84,Sheet1!P84,"")</f>
        <v>EMPTY</v>
      </c>
    </row>
    <row r="84" spans="1:11">
      <c r="A84">
        <f>IF(Sheet1!$B85, CODE(Sheet1!D85), "")</f>
        <v>115</v>
      </c>
      <c r="B84">
        <f>IF(Sheet1!$B85, CODE(Sheet1!E85), "")</f>
        <v>115</v>
      </c>
      <c r="C84">
        <f>IF(Sheet1!$B85, CODE(Sheet1!F85), "")</f>
        <v>115</v>
      </c>
      <c r="D84">
        <f>IF(Sheet1!$B85, CODE(Sheet1!G85), "")</f>
        <v>115</v>
      </c>
      <c r="E84">
        <f>IF(Sheet1!$B85, CODE(Sheet1!H85), "")</f>
        <v>115</v>
      </c>
      <c r="F84">
        <f>IF(Sheet1!$B85, CODE(Sheet1!I85), "")</f>
        <v>115</v>
      </c>
      <c r="G84">
        <f>IF(Sheet1!$B85, CODE(Sheet1!J85), "")</f>
        <v>115</v>
      </c>
      <c r="H84" t="str">
        <f>IF(Sheet1!$B85,Sheet1!M85,"")</f>
        <v>DIAG_BOTH</v>
      </c>
      <c r="I84" t="str">
        <f>IF(Sheet1!$B85,Sheet1!N85,"")</f>
        <v>DIAG_BOTH</v>
      </c>
      <c r="J84" t="str">
        <f>IF(Sheet1!$B85,Sheet1!O85,"")</f>
        <v>DIAG_BOTH</v>
      </c>
      <c r="K84" t="str">
        <f>IF(Sheet1!$B85,Sheet1!P85,"")</f>
        <v>DIAG_BOTH</v>
      </c>
    </row>
    <row r="85" spans="1:11">
      <c r="A85">
        <f>IF(Sheet1!$B86, CODE(Sheet1!D86), "")</f>
        <v>116</v>
      </c>
      <c r="B85">
        <f>IF(Sheet1!$B86, CODE(Sheet1!E86), "")</f>
        <v>103</v>
      </c>
      <c r="C85">
        <f>IF(Sheet1!$B86, CODE(Sheet1!F86), "")</f>
        <v>53</v>
      </c>
      <c r="D85">
        <f>IF(Sheet1!$B86, CODE(Sheet1!G86), "")</f>
        <v>53</v>
      </c>
      <c r="E85">
        <f>IF(Sheet1!$B86, CODE(Sheet1!H86), "")</f>
        <v>116</v>
      </c>
      <c r="F85">
        <f>IF(Sheet1!$B86, CODE(Sheet1!I86), "")</f>
        <v>103</v>
      </c>
      <c r="G85">
        <f>IF(Sheet1!$B86, CODE(Sheet1!J86), "")</f>
        <v>104</v>
      </c>
      <c r="H85" t="str">
        <f>IF(Sheet1!$B86,Sheet1!M86,"")</f>
        <v>ORTHO_BOTH</v>
      </c>
      <c r="I85" t="str">
        <f>IF(Sheet1!$B86,Sheet1!N86,"")</f>
        <v>DIAG_BOTH</v>
      </c>
      <c r="J85" t="str">
        <f>IF(Sheet1!$B86,Sheet1!O86,"")</f>
        <v>DIAG_BOTH</v>
      </c>
      <c r="K85" t="str">
        <f>IF(Sheet1!$B86,Sheet1!P86,"")</f>
        <v>DIAG_BOTH</v>
      </c>
    </row>
    <row r="86" spans="1:11">
      <c r="A86">
        <f>IF(Sheet1!$B87, CODE(Sheet1!D87), "")</f>
        <v>117</v>
      </c>
      <c r="B86">
        <f>IF(Sheet1!$B87, CODE(Sheet1!E87), "")</f>
        <v>106</v>
      </c>
      <c r="C86">
        <f>IF(Sheet1!$B87, CODE(Sheet1!F87), "")</f>
        <v>56</v>
      </c>
      <c r="D86">
        <f>IF(Sheet1!$B87, CODE(Sheet1!G87), "")</f>
        <v>55</v>
      </c>
      <c r="E86">
        <f>IF(Sheet1!$B87, CODE(Sheet1!H87), "")</f>
        <v>105</v>
      </c>
      <c r="F86">
        <f>IF(Sheet1!$B87, CODE(Sheet1!I87), "")</f>
        <v>109</v>
      </c>
      <c r="G86">
        <f>IF(Sheet1!$B87, CODE(Sheet1!J87), "")</f>
        <v>107</v>
      </c>
      <c r="H86" t="str">
        <f>IF(Sheet1!$B87,Sheet1!M87,"")</f>
        <v>ORTHO_BOTH</v>
      </c>
      <c r="I86" t="str">
        <f>IF(Sheet1!$B87,Sheet1!N87,"")</f>
        <v>DIAG_BOTH</v>
      </c>
      <c r="J86" t="str">
        <f>IF(Sheet1!$B87,Sheet1!O87,"")</f>
        <v>EMPTY</v>
      </c>
      <c r="K86" t="str">
        <f>IF(Sheet1!$B87,Sheet1!P87,"")</f>
        <v>DIAG_BOTH</v>
      </c>
    </row>
    <row r="87" spans="1:11">
      <c r="A87">
        <f>IF(Sheet1!$B88, CODE(Sheet1!D88), "")</f>
        <v>118</v>
      </c>
      <c r="B87">
        <f>IF(Sheet1!$B88, CODE(Sheet1!E88), "")</f>
        <v>114</v>
      </c>
      <c r="C87">
        <f>IF(Sheet1!$B88, CODE(Sheet1!F88), "")</f>
        <v>102</v>
      </c>
      <c r="D87">
        <f>IF(Sheet1!$B88, CODE(Sheet1!G88), "")</f>
        <v>118</v>
      </c>
      <c r="E87">
        <f>IF(Sheet1!$B88, CODE(Sheet1!H88), "")</f>
        <v>102</v>
      </c>
      <c r="F87">
        <f>IF(Sheet1!$B88, CODE(Sheet1!I88), "")</f>
        <v>52</v>
      </c>
      <c r="G87">
        <f>IF(Sheet1!$B88, CODE(Sheet1!J88), "")</f>
        <v>114</v>
      </c>
      <c r="H87" t="str">
        <f>IF(Sheet1!$B88,Sheet1!M88,"")</f>
        <v>EMPTY</v>
      </c>
      <c r="I87" t="str">
        <f>IF(Sheet1!$B88,Sheet1!N88,"")</f>
        <v>EMPTY</v>
      </c>
      <c r="J87" t="str">
        <f>IF(Sheet1!$B88,Sheet1!O88,"")</f>
        <v>DIAG_BOTH</v>
      </c>
      <c r="K87" t="str">
        <f>IF(Sheet1!$B88,Sheet1!P88,"")</f>
        <v>EMPTY</v>
      </c>
    </row>
    <row r="88" spans="1:11">
      <c r="A88">
        <f>IF(Sheet1!$B89, CODE(Sheet1!D89), "")</f>
        <v>119</v>
      </c>
      <c r="B88">
        <f>IF(Sheet1!$B89, CODE(Sheet1!E89), "")</f>
        <v>100</v>
      </c>
      <c r="C88">
        <f>IF(Sheet1!$B89, CODE(Sheet1!F89), "")</f>
        <v>120</v>
      </c>
      <c r="D88">
        <f>IF(Sheet1!$B89, CODE(Sheet1!G89), "")</f>
        <v>120</v>
      </c>
      <c r="E88">
        <f>IF(Sheet1!$B89, CODE(Sheet1!H89), "")</f>
        <v>119</v>
      </c>
      <c r="F88">
        <f>IF(Sheet1!$B89, CODE(Sheet1!I89), "")</f>
        <v>100</v>
      </c>
      <c r="G88">
        <f>IF(Sheet1!$B89, CODE(Sheet1!J89), "")</f>
        <v>97</v>
      </c>
      <c r="H88" t="str">
        <f>IF(Sheet1!$B89,Sheet1!M89,"")</f>
        <v>EMPTY</v>
      </c>
      <c r="I88" t="str">
        <f>IF(Sheet1!$B89,Sheet1!N89,"")</f>
        <v>DIAG_BOTH</v>
      </c>
      <c r="J88" t="str">
        <f>IF(Sheet1!$B89,Sheet1!O89,"")</f>
        <v>DIAG_BOTH</v>
      </c>
      <c r="K88" t="str">
        <f>IF(Sheet1!$B89,Sheet1!P89,"")</f>
        <v>DIAG_BOTH</v>
      </c>
    </row>
    <row r="89" spans="1:11">
      <c r="A89">
        <f>IF(Sheet1!$B90, CODE(Sheet1!D90), "")</f>
        <v>120</v>
      </c>
      <c r="B89">
        <f>IF(Sheet1!$B90, CODE(Sheet1!E90), "")</f>
        <v>97</v>
      </c>
      <c r="C89">
        <f>IF(Sheet1!$B90, CODE(Sheet1!F90), "")</f>
        <v>119</v>
      </c>
      <c r="D89">
        <f>IF(Sheet1!$B90, CODE(Sheet1!G90), "")</f>
        <v>119</v>
      </c>
      <c r="E89">
        <f>IF(Sheet1!$B90, CODE(Sheet1!H90), "")</f>
        <v>120</v>
      </c>
      <c r="F89">
        <f>IF(Sheet1!$B90, CODE(Sheet1!I90), "")</f>
        <v>97</v>
      </c>
      <c r="G89">
        <f>IF(Sheet1!$B90, CODE(Sheet1!J90), "")</f>
        <v>100</v>
      </c>
      <c r="H89" t="str">
        <f>IF(Sheet1!$B90,Sheet1!M90,"")</f>
        <v>DIAG_BOTH</v>
      </c>
      <c r="I89" t="str">
        <f>IF(Sheet1!$B90,Sheet1!N90,"")</f>
        <v>EMPTY</v>
      </c>
      <c r="J89" t="str">
        <f>IF(Sheet1!$B90,Sheet1!O90,"")</f>
        <v>DIAG_BOTH</v>
      </c>
      <c r="K89" t="str">
        <f>IF(Sheet1!$B90,Sheet1!P90,"")</f>
        <v>DIAG_BOTH</v>
      </c>
    </row>
    <row r="90" spans="1:11">
      <c r="A90">
        <f>IF(Sheet1!$B91, CODE(Sheet1!D91), "")</f>
        <v>121</v>
      </c>
      <c r="B90">
        <f>IF(Sheet1!$B91, CODE(Sheet1!E91), "")</f>
        <v>98</v>
      </c>
      <c r="C90">
        <f>IF(Sheet1!$B91, CODE(Sheet1!F91), "")</f>
        <v>54</v>
      </c>
      <c r="D90">
        <f>IF(Sheet1!$B91, CODE(Sheet1!G91), "")</f>
        <v>54</v>
      </c>
      <c r="E90">
        <f>IF(Sheet1!$B91, CODE(Sheet1!H91), "")</f>
        <v>121</v>
      </c>
      <c r="F90">
        <f>IF(Sheet1!$B91, CODE(Sheet1!I91), "")</f>
        <v>98</v>
      </c>
      <c r="G90">
        <f>IF(Sheet1!$B91, CODE(Sheet1!J91), "")</f>
        <v>110</v>
      </c>
      <c r="H90" t="str">
        <f>IF(Sheet1!$B91,Sheet1!M91,"")</f>
        <v>ORTHO_BOTH</v>
      </c>
      <c r="I90" t="str">
        <f>IF(Sheet1!$B91,Sheet1!N91,"")</f>
        <v>EMPTY</v>
      </c>
      <c r="J90" t="str">
        <f>IF(Sheet1!$B91,Sheet1!O91,"")</f>
        <v>DIAG_BOTH</v>
      </c>
      <c r="K90" t="str">
        <f>IF(Sheet1!$B91,Sheet1!P91,"")</f>
        <v>DIAG_BOTH</v>
      </c>
    </row>
    <row r="91" spans="1:11">
      <c r="A91">
        <f>IF(Sheet1!$B92, CODE(Sheet1!D92), "")</f>
        <v>122</v>
      </c>
      <c r="B91">
        <f>IF(Sheet1!$B92, CODE(Sheet1!E92), "")</f>
        <v>113</v>
      </c>
      <c r="C91">
        <f>IF(Sheet1!$B92, CODE(Sheet1!F92), "")</f>
        <v>101</v>
      </c>
      <c r="D91">
        <f>IF(Sheet1!$B92, CODE(Sheet1!G92), "")</f>
        <v>113</v>
      </c>
      <c r="E91">
        <f>IF(Sheet1!$B92, CODE(Sheet1!H92), "")</f>
        <v>99</v>
      </c>
      <c r="F91">
        <f>IF(Sheet1!$B92, CODE(Sheet1!I92), "")</f>
        <v>122</v>
      </c>
      <c r="G91">
        <f>IF(Sheet1!$B92, CODE(Sheet1!J92), "")</f>
        <v>101</v>
      </c>
      <c r="H91" t="str">
        <f>IF(Sheet1!$B92,Sheet1!M92,"")</f>
        <v>DIAG_BOTH</v>
      </c>
      <c r="I91" t="str">
        <f>IF(Sheet1!$B92,Sheet1!N92,"")</f>
        <v>EMPTY</v>
      </c>
      <c r="J91" t="str">
        <f>IF(Sheet1!$B92,Sheet1!O92,"")</f>
        <v>EMPTY</v>
      </c>
      <c r="K91" t="str">
        <f>IF(Sheet1!$B92,Sheet1!P92,"")</f>
        <v>DIAG_BOTH</v>
      </c>
    </row>
    <row r="92" spans="1:11">
      <c r="A92">
        <f>IF(Sheet1!$B93, CODE(Sheet1!D93), "")</f>
        <v>123</v>
      </c>
      <c r="B92">
        <f>IF(Sheet1!$B93, CODE(Sheet1!E93), "")</f>
        <v>95</v>
      </c>
      <c r="C92">
        <f>IF(Sheet1!$B93, CODE(Sheet1!F93), "")</f>
        <v>43</v>
      </c>
      <c r="D92">
        <f>IF(Sheet1!$B93, CODE(Sheet1!G93), "")</f>
        <v>95</v>
      </c>
      <c r="E92">
        <f>IF(Sheet1!$B93, CODE(Sheet1!H93), "")</f>
        <v>125</v>
      </c>
      <c r="F92">
        <f>IF(Sheet1!$B93, CODE(Sheet1!I93), "")</f>
        <v>123</v>
      </c>
      <c r="G92">
        <f>IF(Sheet1!$B93, CODE(Sheet1!J93), "")</f>
        <v>43</v>
      </c>
      <c r="H92" t="str">
        <f>IF(Sheet1!$B93,Sheet1!M93,"")</f>
        <v>ORTHO_BOTH</v>
      </c>
      <c r="I92" t="str">
        <f>IF(Sheet1!$B93,Sheet1!N93,"")</f>
        <v>DIAG_BOTH</v>
      </c>
      <c r="J92" t="str">
        <f>IF(Sheet1!$B93,Sheet1!O93,"")</f>
        <v>DIAG_BOTH</v>
      </c>
      <c r="K92" t="str">
        <f>IF(Sheet1!$B93,Sheet1!P93,"")</f>
        <v>ORTHO_BOTH</v>
      </c>
    </row>
    <row r="93" spans="1:11">
      <c r="A93">
        <f>IF(Sheet1!$B94, CODE(Sheet1!D94), "")</f>
        <v>124</v>
      </c>
      <c r="B93">
        <f>IF(Sheet1!$B94, CODE(Sheet1!E94), "")</f>
        <v>92</v>
      </c>
      <c r="C93">
        <f>IF(Sheet1!$B94, CODE(Sheet1!F94), "")</f>
        <v>124</v>
      </c>
      <c r="D93">
        <f>IF(Sheet1!$B94, CODE(Sheet1!G94), "")</f>
        <v>124</v>
      </c>
      <c r="E93">
        <f>IF(Sheet1!$B94, CODE(Sheet1!H94), "")</f>
        <v>124</v>
      </c>
      <c r="F93">
        <f>IF(Sheet1!$B94, CODE(Sheet1!I94), "")</f>
        <v>92</v>
      </c>
      <c r="G93">
        <f>IF(Sheet1!$B94, CODE(Sheet1!J94), "")</f>
        <v>92</v>
      </c>
      <c r="H93" t="str">
        <f>IF(Sheet1!$B94,Sheet1!M94,"")</f>
        <v>EMPTY</v>
      </c>
      <c r="I93" t="str">
        <f>IF(Sheet1!$B94,Sheet1!N94,"")</f>
        <v>EMPTY</v>
      </c>
      <c r="J93" t="str">
        <f>IF(Sheet1!$B94,Sheet1!O94,"")</f>
        <v>ORTHO_BOTH</v>
      </c>
      <c r="K93" t="str">
        <f>IF(Sheet1!$B94,Sheet1!P94,"")</f>
        <v>ORTHO_BOTH</v>
      </c>
    </row>
    <row r="94" spans="1:11">
      <c r="A94">
        <f>IF(Sheet1!$B95, CODE(Sheet1!D95), "")</f>
        <v>125</v>
      </c>
      <c r="B94">
        <f>IF(Sheet1!$B95, CODE(Sheet1!E95), "")</f>
        <v>123</v>
      </c>
      <c r="C94">
        <f>IF(Sheet1!$B95, CODE(Sheet1!F95), "")</f>
        <v>95</v>
      </c>
      <c r="D94">
        <f>IF(Sheet1!$B95, CODE(Sheet1!G95), "")</f>
        <v>43</v>
      </c>
      <c r="E94">
        <f>IF(Sheet1!$B95, CODE(Sheet1!H95), "")</f>
        <v>123</v>
      </c>
      <c r="F94">
        <f>IF(Sheet1!$B95, CODE(Sheet1!I95), "")</f>
        <v>95</v>
      </c>
      <c r="G94">
        <f>IF(Sheet1!$B95, CODE(Sheet1!J95), "")</f>
        <v>125</v>
      </c>
      <c r="H94" t="str">
        <f>IF(Sheet1!$B95,Sheet1!M95,"")</f>
        <v>ORTHO_BOTH</v>
      </c>
      <c r="I94" t="str">
        <f>IF(Sheet1!$B95,Sheet1!N95,"")</f>
        <v>DIAG_BOTH</v>
      </c>
      <c r="J94" t="str">
        <f>IF(Sheet1!$B95,Sheet1!O95,"")</f>
        <v>ORTHO_BOTH</v>
      </c>
      <c r="K94" t="str">
        <f>IF(Sheet1!$B95,Sheet1!P95,"")</f>
        <v>DIAG_BOTH</v>
      </c>
    </row>
    <row r="95" spans="1:11">
      <c r="A95">
        <f>IF(Sheet1!$B96, CODE(Sheet1!D96), "")</f>
        <v>126</v>
      </c>
      <c r="B95">
        <f>IF(Sheet1!$B96, CODE(Sheet1!E96), "")</f>
        <v>33</v>
      </c>
      <c r="C95">
        <f>IF(Sheet1!$B96, CODE(Sheet1!F96), "")</f>
        <v>126</v>
      </c>
      <c r="D95">
        <f>IF(Sheet1!$B96, CODE(Sheet1!G96), "")</f>
        <v>126</v>
      </c>
      <c r="E95">
        <f>IF(Sheet1!$B96, CODE(Sheet1!H96), "")</f>
        <v>126</v>
      </c>
      <c r="F95">
        <f>IF(Sheet1!$B96, CODE(Sheet1!I96), "")</f>
        <v>33</v>
      </c>
      <c r="G95">
        <f>IF(Sheet1!$B96, CODE(Sheet1!J96), "")</f>
        <v>33</v>
      </c>
      <c r="H95" t="str">
        <f>IF(Sheet1!$B96,Sheet1!M96,"")</f>
        <v>ORTHO_BOTH</v>
      </c>
      <c r="I95" t="str">
        <f>IF(Sheet1!$B96,Sheet1!N96,"")</f>
        <v>ORTHO_BOTH</v>
      </c>
      <c r="J95" t="str">
        <f>IF(Sheet1!$B96,Sheet1!O96,"")</f>
        <v>EMPTY</v>
      </c>
      <c r="K95" t="str">
        <f>IF(Sheet1!$B96,Sheet1!P96,"")</f>
        <v>EMPTY</v>
      </c>
    </row>
    <row r="96" spans="1:11">
      <c r="A96">
        <f>IF(Sheet1!$B97, CODE(Sheet1!D97), "")</f>
        <v>161</v>
      </c>
      <c r="B96">
        <f>IF(Sheet1!$B97, CODE(Sheet1!E97), "")</f>
        <v>164</v>
      </c>
      <c r="C96">
        <f>IF(Sheet1!$B97, CODE(Sheet1!F97), "")</f>
        <v>162</v>
      </c>
      <c r="D96">
        <f>IF(Sheet1!$B97, CODE(Sheet1!G97), "")</f>
        <v>161</v>
      </c>
      <c r="E96">
        <f>IF(Sheet1!$B97, CODE(Sheet1!H97), "")</f>
        <v>162</v>
      </c>
      <c r="F96">
        <f>IF(Sheet1!$B97, CODE(Sheet1!I97), "")</f>
        <v>163</v>
      </c>
      <c r="G96">
        <f>IF(Sheet1!$B97, CODE(Sheet1!J97), "")</f>
        <v>164</v>
      </c>
      <c r="H96" t="str">
        <f>IF(Sheet1!$B97,Sheet1!M97,"")</f>
        <v>ORTHO_RIGHT</v>
      </c>
      <c r="I96" t="str">
        <f>IF(Sheet1!$B97,Sheet1!N97,"")</f>
        <v>ORTHO_RIGHT</v>
      </c>
      <c r="J96" t="str">
        <f>IF(Sheet1!$B97,Sheet1!O97,"")</f>
        <v>EMPTY</v>
      </c>
      <c r="K96" t="str">
        <f>IF(Sheet1!$B97,Sheet1!P97,"")</f>
        <v>EMPTY</v>
      </c>
    </row>
    <row r="97" spans="1:11">
      <c r="A97">
        <f>IF(Sheet1!$B98, CODE(Sheet1!D98), "")</f>
        <v>162</v>
      </c>
      <c r="B97">
        <f>IF(Sheet1!$B98, CODE(Sheet1!E98), "")</f>
        <v>163</v>
      </c>
      <c r="C97">
        <f>IF(Sheet1!$B98, CODE(Sheet1!F98), "")</f>
        <v>161</v>
      </c>
      <c r="D97">
        <f>IF(Sheet1!$B98, CODE(Sheet1!G98), "")</f>
        <v>162</v>
      </c>
      <c r="E97">
        <f>IF(Sheet1!$B98, CODE(Sheet1!H98), "")</f>
        <v>161</v>
      </c>
      <c r="F97">
        <f>IF(Sheet1!$B98, CODE(Sheet1!I98), "")</f>
        <v>164</v>
      </c>
      <c r="G97">
        <f>IF(Sheet1!$B98, CODE(Sheet1!J98), "")</f>
        <v>163</v>
      </c>
      <c r="H97" t="str">
        <f>IF(Sheet1!$B98,Sheet1!M98,"")</f>
        <v>ORTHO_LEFT</v>
      </c>
      <c r="I97" t="str">
        <f>IF(Sheet1!$B98,Sheet1!N98,"")</f>
        <v>ORTHO_LEFT</v>
      </c>
      <c r="J97" t="str">
        <f>IF(Sheet1!$B98,Sheet1!O98,"")</f>
        <v>EMPTY</v>
      </c>
      <c r="K97" t="str">
        <f>IF(Sheet1!$B98,Sheet1!P98,"")</f>
        <v>EMPTY</v>
      </c>
    </row>
    <row r="98" spans="1:11">
      <c r="A98">
        <f>IF(Sheet1!$B99, CODE(Sheet1!D99), "")</f>
        <v>163</v>
      </c>
      <c r="B98">
        <f>IF(Sheet1!$B99, CODE(Sheet1!E99), "")</f>
        <v>161</v>
      </c>
      <c r="C98">
        <f>IF(Sheet1!$B99, CODE(Sheet1!F99), "")</f>
        <v>164</v>
      </c>
      <c r="D98">
        <f>IF(Sheet1!$B99, CODE(Sheet1!G99), "")</f>
        <v>164</v>
      </c>
      <c r="E98">
        <f>IF(Sheet1!$B99, CODE(Sheet1!H99), "")</f>
        <v>163</v>
      </c>
      <c r="F98">
        <f>IF(Sheet1!$B99, CODE(Sheet1!I99), "")</f>
        <v>161</v>
      </c>
      <c r="G98">
        <f>IF(Sheet1!$B99, CODE(Sheet1!J99), "")</f>
        <v>162</v>
      </c>
      <c r="H98" t="str">
        <f>IF(Sheet1!$B99,Sheet1!M99,"")</f>
        <v>EMPTY</v>
      </c>
      <c r="I98" t="str">
        <f>IF(Sheet1!$B99,Sheet1!N99,"")</f>
        <v>EMPTY</v>
      </c>
      <c r="J98" t="str">
        <f>IF(Sheet1!$B99,Sheet1!O99,"")</f>
        <v>ORTHO_UP</v>
      </c>
      <c r="K98" t="str">
        <f>IF(Sheet1!$B99,Sheet1!P99,"")</f>
        <v>ORTHO_UP</v>
      </c>
    </row>
    <row r="99" spans="1:11">
      <c r="A99">
        <f>IF(Sheet1!$B100, CODE(Sheet1!D100), "")</f>
        <v>164</v>
      </c>
      <c r="B99">
        <f>IF(Sheet1!$B100, CODE(Sheet1!E100), "")</f>
        <v>162</v>
      </c>
      <c r="C99">
        <f>IF(Sheet1!$B100, CODE(Sheet1!F100), "")</f>
        <v>163</v>
      </c>
      <c r="D99">
        <f>IF(Sheet1!$B100, CODE(Sheet1!G100), "")</f>
        <v>163</v>
      </c>
      <c r="E99">
        <f>IF(Sheet1!$B100, CODE(Sheet1!H100), "")</f>
        <v>164</v>
      </c>
      <c r="F99">
        <f>IF(Sheet1!$B100, CODE(Sheet1!I100), "")</f>
        <v>162</v>
      </c>
      <c r="G99">
        <f>IF(Sheet1!$B100, CODE(Sheet1!J100), "")</f>
        <v>161</v>
      </c>
      <c r="H99" t="str">
        <f>IF(Sheet1!$B100,Sheet1!M100,"")</f>
        <v>EMPTY</v>
      </c>
      <c r="I99" t="str">
        <f>IF(Sheet1!$B100,Sheet1!N100,"")</f>
        <v>EMPTY</v>
      </c>
      <c r="J99" t="str">
        <f>IF(Sheet1!$B100,Sheet1!O100,"")</f>
        <v>ORTHO_DOWN</v>
      </c>
      <c r="K99" t="str">
        <f>IF(Sheet1!$B100,Sheet1!P100,"")</f>
        <v>ORTHO_DOWN</v>
      </c>
    </row>
    <row r="100" spans="1:11">
      <c r="A100">
        <f>IF(Sheet1!$B101, CODE(Sheet1!D101), "")</f>
        <v>165</v>
      </c>
      <c r="B100">
        <f>IF(Sheet1!$B101, CODE(Sheet1!E101), "")</f>
        <v>166</v>
      </c>
      <c r="C100">
        <f>IF(Sheet1!$B101, CODE(Sheet1!F101), "")</f>
        <v>167</v>
      </c>
      <c r="D100">
        <f>IF(Sheet1!$B101, CODE(Sheet1!G101), "")</f>
        <v>168</v>
      </c>
      <c r="E100">
        <f>IF(Sheet1!$B101, CODE(Sheet1!H101), "")</f>
        <v>166</v>
      </c>
      <c r="F100">
        <f>IF(Sheet1!$B101, CODE(Sheet1!I101), "")</f>
        <v>167</v>
      </c>
      <c r="G100">
        <f>IF(Sheet1!$B101, CODE(Sheet1!J101), "")</f>
        <v>165</v>
      </c>
      <c r="H100" t="str">
        <f>IF(Sheet1!$B101,Sheet1!M101,"")</f>
        <v>DIAG_FRONT</v>
      </c>
      <c r="I100" t="str">
        <f>IF(Sheet1!$B101,Sheet1!N101,"")</f>
        <v>DIAG_BOTH</v>
      </c>
      <c r="J100" t="str">
        <f>IF(Sheet1!$B101,Sheet1!O101,"")</f>
        <v>DIAG_BACK</v>
      </c>
      <c r="K100" t="str">
        <f>IF(Sheet1!$B101,Sheet1!P101,"")</f>
        <v>DIAG_BOTH</v>
      </c>
    </row>
    <row r="101" spans="1:11">
      <c r="A101">
        <f>IF(Sheet1!$B102, CODE(Sheet1!D102), "")</f>
        <v>166</v>
      </c>
      <c r="B101">
        <f>IF(Sheet1!$B102, CODE(Sheet1!E102), "")</f>
        <v>167</v>
      </c>
      <c r="C101">
        <f>IF(Sheet1!$B102, CODE(Sheet1!F102), "")</f>
        <v>168</v>
      </c>
      <c r="D101">
        <f>IF(Sheet1!$B102, CODE(Sheet1!G102), "")</f>
        <v>167</v>
      </c>
      <c r="E101">
        <f>IF(Sheet1!$B102, CODE(Sheet1!H102), "")</f>
        <v>165</v>
      </c>
      <c r="F101">
        <f>IF(Sheet1!$B102, CODE(Sheet1!I102), "")</f>
        <v>166</v>
      </c>
      <c r="G101">
        <f>IF(Sheet1!$B102, CODE(Sheet1!J102), "")</f>
        <v>168</v>
      </c>
      <c r="H101" t="str">
        <f>IF(Sheet1!$B102,Sheet1!M102,"")</f>
        <v>DIAG_BACK</v>
      </c>
      <c r="I101" t="str">
        <f>IF(Sheet1!$B102,Sheet1!N102,"")</f>
        <v>DIAG_BOTH</v>
      </c>
      <c r="J101" t="str">
        <f>IF(Sheet1!$B102,Sheet1!O102,"")</f>
        <v>DIAG_BOTH</v>
      </c>
      <c r="K101" t="str">
        <f>IF(Sheet1!$B102,Sheet1!P102,"")</f>
        <v>DIAG_FRONT</v>
      </c>
    </row>
    <row r="102" spans="1:11">
      <c r="A102">
        <f>IF(Sheet1!$B103, CODE(Sheet1!D103), "")</f>
        <v>167</v>
      </c>
      <c r="B102">
        <f>IF(Sheet1!$B103, CODE(Sheet1!E103), "")</f>
        <v>168</v>
      </c>
      <c r="C102">
        <f>IF(Sheet1!$B103, CODE(Sheet1!F103), "")</f>
        <v>165</v>
      </c>
      <c r="D102">
        <f>IF(Sheet1!$B103, CODE(Sheet1!G103), "")</f>
        <v>166</v>
      </c>
      <c r="E102">
        <f>IF(Sheet1!$B103, CODE(Sheet1!H103), "")</f>
        <v>168</v>
      </c>
      <c r="F102">
        <f>IF(Sheet1!$B103, CODE(Sheet1!I103), "")</f>
        <v>165</v>
      </c>
      <c r="G102">
        <f>IF(Sheet1!$B103, CODE(Sheet1!J103), "")</f>
        <v>167</v>
      </c>
      <c r="H102" t="str">
        <f>IF(Sheet1!$B103,Sheet1!M103,"")</f>
        <v>DIAG_BOTH</v>
      </c>
      <c r="I102" t="str">
        <f>IF(Sheet1!$B103,Sheet1!N103,"")</f>
        <v>DIAG_FRONT</v>
      </c>
      <c r="J102" t="str">
        <f>IF(Sheet1!$B103,Sheet1!O103,"")</f>
        <v>DIAG_BOTH</v>
      </c>
      <c r="K102" t="str">
        <f>IF(Sheet1!$B103,Sheet1!P103,"")</f>
        <v>DIAG_BACK</v>
      </c>
    </row>
    <row r="103" spans="1:11">
      <c r="A103">
        <f>IF(Sheet1!$B104, CODE(Sheet1!D104), "")</f>
        <v>168</v>
      </c>
      <c r="B103">
        <f>IF(Sheet1!$B104, CODE(Sheet1!E104), "")</f>
        <v>165</v>
      </c>
      <c r="C103">
        <f>IF(Sheet1!$B104, CODE(Sheet1!F104), "")</f>
        <v>166</v>
      </c>
      <c r="D103">
        <f>IF(Sheet1!$B104, CODE(Sheet1!G104), "")</f>
        <v>165</v>
      </c>
      <c r="E103">
        <f>IF(Sheet1!$B104, CODE(Sheet1!H104), "")</f>
        <v>167</v>
      </c>
      <c r="F103">
        <f>IF(Sheet1!$B104, CODE(Sheet1!I104), "")</f>
        <v>168</v>
      </c>
      <c r="G103">
        <f>IF(Sheet1!$B104, CODE(Sheet1!J104), "")</f>
        <v>166</v>
      </c>
      <c r="H103" t="str">
        <f>IF(Sheet1!$B104,Sheet1!M104,"")</f>
        <v>DIAG_BOTH</v>
      </c>
      <c r="I103" t="str">
        <f>IF(Sheet1!$B104,Sheet1!N104,"")</f>
        <v>DIAG_BACK</v>
      </c>
      <c r="J103" t="str">
        <f>IF(Sheet1!$B104,Sheet1!O104,"")</f>
        <v>DIAG_FRONT</v>
      </c>
      <c r="K103" t="str">
        <f>IF(Sheet1!$B104,Sheet1!P104,"")</f>
        <v>DIAG_BOTH</v>
      </c>
    </row>
    <row r="104" spans="1:11">
      <c r="A104">
        <f>IF(Sheet1!$B105, CODE(Sheet1!D105), "")</f>
        <v>169</v>
      </c>
      <c r="B104">
        <f>IF(Sheet1!$B105, CODE(Sheet1!E105), "")</f>
        <v>170</v>
      </c>
      <c r="C104">
        <f>IF(Sheet1!$B105, CODE(Sheet1!F105), "")</f>
        <v>171</v>
      </c>
      <c r="D104">
        <f>IF(Sheet1!$B105, CODE(Sheet1!G105), "")</f>
        <v>171</v>
      </c>
      <c r="E104">
        <f>IF(Sheet1!$B105, CODE(Sheet1!H105), "")</f>
        <v>169</v>
      </c>
      <c r="F104">
        <f>IF(Sheet1!$B105, CODE(Sheet1!I105), "")</f>
        <v>170</v>
      </c>
      <c r="G104">
        <f>IF(Sheet1!$B105, CODE(Sheet1!J105), "")</f>
        <v>172</v>
      </c>
      <c r="H104" t="str">
        <f>IF(Sheet1!$B105,Sheet1!M105,"")</f>
        <v>EMPTY</v>
      </c>
      <c r="I104" t="str">
        <f>IF(Sheet1!$B105,Sheet1!N105,"")</f>
        <v>DIAG_BOTH</v>
      </c>
      <c r="J104" t="str">
        <f>IF(Sheet1!$B105,Sheet1!O105,"")</f>
        <v>DIAG_BACK</v>
      </c>
      <c r="K104" t="str">
        <f>IF(Sheet1!$B105,Sheet1!P105,"")</f>
        <v>DIAG_FRONT</v>
      </c>
    </row>
    <row r="105" spans="1:11">
      <c r="A105">
        <f>IF(Sheet1!$B106, CODE(Sheet1!D106), "")</f>
        <v>170</v>
      </c>
      <c r="B105">
        <f>IF(Sheet1!$B106, CODE(Sheet1!E106), "")</f>
        <v>171</v>
      </c>
      <c r="C105">
        <f>IF(Sheet1!$B106, CODE(Sheet1!F106), "")</f>
        <v>172</v>
      </c>
      <c r="D105">
        <f>IF(Sheet1!$B106, CODE(Sheet1!G106), "")</f>
        <v>170</v>
      </c>
      <c r="E105">
        <f>IF(Sheet1!$B106, CODE(Sheet1!H106), "")</f>
        <v>172</v>
      </c>
      <c r="F105">
        <f>IF(Sheet1!$B106, CODE(Sheet1!I106), "")</f>
        <v>169</v>
      </c>
      <c r="G105">
        <f>IF(Sheet1!$B106, CODE(Sheet1!J106), "")</f>
        <v>171</v>
      </c>
      <c r="H105" t="str">
        <f>IF(Sheet1!$B106,Sheet1!M106,"")</f>
        <v>DIAG_BACK</v>
      </c>
      <c r="I105" t="str">
        <f>IF(Sheet1!$B106,Sheet1!N106,"")</f>
        <v>DIAG_FRONT</v>
      </c>
      <c r="J105" t="str">
        <f>IF(Sheet1!$B106,Sheet1!O106,"")</f>
        <v>DIAG_BOTH</v>
      </c>
      <c r="K105" t="str">
        <f>IF(Sheet1!$B106,Sheet1!P106,"")</f>
        <v>EMPTY</v>
      </c>
    </row>
    <row r="106" spans="1:11">
      <c r="A106">
        <f>IF(Sheet1!$B107, CODE(Sheet1!D107), "")</f>
        <v>171</v>
      </c>
      <c r="B106">
        <f>IF(Sheet1!$B107, CODE(Sheet1!E107), "")</f>
        <v>172</v>
      </c>
      <c r="C106">
        <f>IF(Sheet1!$B107, CODE(Sheet1!F107), "")</f>
        <v>169</v>
      </c>
      <c r="D106">
        <f>IF(Sheet1!$B107, CODE(Sheet1!G107), "")</f>
        <v>169</v>
      </c>
      <c r="E106">
        <f>IF(Sheet1!$B107, CODE(Sheet1!H107), "")</f>
        <v>171</v>
      </c>
      <c r="F106">
        <f>IF(Sheet1!$B107, CODE(Sheet1!I107), "")</f>
        <v>172</v>
      </c>
      <c r="G106">
        <f>IF(Sheet1!$B107, CODE(Sheet1!J107), "")</f>
        <v>170</v>
      </c>
      <c r="H106" t="str">
        <f>IF(Sheet1!$B107,Sheet1!M107,"")</f>
        <v>DIAG_BOTH</v>
      </c>
      <c r="I106" t="str">
        <f>IF(Sheet1!$B107,Sheet1!N107,"")</f>
        <v>EMPTY</v>
      </c>
      <c r="J106" t="str">
        <f>IF(Sheet1!$B107,Sheet1!O107,"")</f>
        <v>DIAG_FRONT</v>
      </c>
      <c r="K106" t="str">
        <f>IF(Sheet1!$B107,Sheet1!P107,"")</f>
        <v>DIAG_BACK</v>
      </c>
    </row>
    <row r="107" spans="1:11">
      <c r="A107">
        <f>IF(Sheet1!$B108, CODE(Sheet1!D108), "")</f>
        <v>172</v>
      </c>
      <c r="B107">
        <f>IF(Sheet1!$B108, CODE(Sheet1!E108), "")</f>
        <v>169</v>
      </c>
      <c r="C107">
        <f>IF(Sheet1!$B108, CODE(Sheet1!F108), "")</f>
        <v>170</v>
      </c>
      <c r="D107">
        <f>IF(Sheet1!$B108, CODE(Sheet1!G108), "")</f>
        <v>172</v>
      </c>
      <c r="E107">
        <f>IF(Sheet1!$B108, CODE(Sheet1!H108), "")</f>
        <v>170</v>
      </c>
      <c r="F107">
        <f>IF(Sheet1!$B108, CODE(Sheet1!I108), "")</f>
        <v>171</v>
      </c>
      <c r="G107">
        <f>IF(Sheet1!$B108, CODE(Sheet1!J108), "")</f>
        <v>169</v>
      </c>
      <c r="H107" t="str">
        <f>IF(Sheet1!$B108,Sheet1!M108,"")</f>
        <v>DIAG_FRONT</v>
      </c>
      <c r="I107" t="str">
        <f>IF(Sheet1!$B108,Sheet1!N108,"")</f>
        <v>DIAG_BACK</v>
      </c>
      <c r="J107" t="str">
        <f>IF(Sheet1!$B108,Sheet1!O108,"")</f>
        <v>EMPTY</v>
      </c>
      <c r="K107" t="str">
        <f>IF(Sheet1!$B108,Sheet1!P108,"")</f>
        <v>DIAG_BOTH</v>
      </c>
    </row>
    <row r="108" spans="1:11">
      <c r="A108">
        <f>IF(Sheet1!$B109, CODE(Sheet1!D109), "")</f>
        <v>174</v>
      </c>
      <c r="B108">
        <f>IF(Sheet1!$B109, CODE(Sheet1!E109), "")</f>
        <v>175</v>
      </c>
      <c r="C108">
        <f>IF(Sheet1!$B109, CODE(Sheet1!F109), "")</f>
        <v>176</v>
      </c>
      <c r="D108">
        <f>IF(Sheet1!$B109, CODE(Sheet1!G109), "")</f>
        <v>175</v>
      </c>
      <c r="E108">
        <f>IF(Sheet1!$B109, CODE(Sheet1!H109), "")</f>
        <v>177</v>
      </c>
      <c r="F108">
        <f>IF(Sheet1!$B109, CODE(Sheet1!I109), "")</f>
        <v>174</v>
      </c>
      <c r="G108">
        <f>IF(Sheet1!$B109, CODE(Sheet1!J109), "")</f>
        <v>176</v>
      </c>
      <c r="H108" t="str">
        <f>IF(Sheet1!$B109,Sheet1!M109,"")</f>
        <v>EMPTY</v>
      </c>
      <c r="I108" t="str">
        <f>IF(Sheet1!$B109,Sheet1!N109,"")</f>
        <v>DIAG_FRONT</v>
      </c>
      <c r="J108" t="str">
        <f>IF(Sheet1!$B109,Sheet1!O109,"")</f>
        <v>DIAG_BACK</v>
      </c>
      <c r="K108" t="str">
        <f>IF(Sheet1!$B109,Sheet1!P109,"")</f>
        <v>EMPTY</v>
      </c>
    </row>
    <row r="109" spans="1:11">
      <c r="A109">
        <f>IF(Sheet1!$B110, CODE(Sheet1!D110), "")</f>
        <v>175</v>
      </c>
      <c r="B109">
        <f>IF(Sheet1!$B110, CODE(Sheet1!E110), "")</f>
        <v>176</v>
      </c>
      <c r="C109">
        <f>IF(Sheet1!$B110, CODE(Sheet1!F110), "")</f>
        <v>177</v>
      </c>
      <c r="D109">
        <f>IF(Sheet1!$B110, CODE(Sheet1!G110), "")</f>
        <v>174</v>
      </c>
      <c r="E109">
        <f>IF(Sheet1!$B110, CODE(Sheet1!H110), "")</f>
        <v>176</v>
      </c>
      <c r="F109">
        <f>IF(Sheet1!$B110, CODE(Sheet1!I110), "")</f>
        <v>177</v>
      </c>
      <c r="G109">
        <f>IF(Sheet1!$B110, CODE(Sheet1!J110), "")</f>
        <v>175</v>
      </c>
      <c r="H109" t="str">
        <f>IF(Sheet1!$B110,Sheet1!M110,"")</f>
        <v>DIAG_BACK</v>
      </c>
      <c r="I109" t="str">
        <f>IF(Sheet1!$B110,Sheet1!N110,"")</f>
        <v>EMPTY</v>
      </c>
      <c r="J109" t="str">
        <f>IF(Sheet1!$B110,Sheet1!O110,"")</f>
        <v>DIAG_FRONT</v>
      </c>
      <c r="K109" t="str">
        <f>IF(Sheet1!$B110,Sheet1!P110,"")</f>
        <v>EMPTY</v>
      </c>
    </row>
    <row r="110" spans="1:11">
      <c r="A110">
        <f>IF(Sheet1!$B111, CODE(Sheet1!D111), "")</f>
        <v>176</v>
      </c>
      <c r="B110">
        <f>IF(Sheet1!$B111, CODE(Sheet1!E111), "")</f>
        <v>177</v>
      </c>
      <c r="C110">
        <f>IF(Sheet1!$B111, CODE(Sheet1!F111), "")</f>
        <v>174</v>
      </c>
      <c r="D110">
        <f>IF(Sheet1!$B111, CODE(Sheet1!G111), "")</f>
        <v>177</v>
      </c>
      <c r="E110">
        <f>IF(Sheet1!$B111, CODE(Sheet1!H111), "")</f>
        <v>175</v>
      </c>
      <c r="F110">
        <f>IF(Sheet1!$B111, CODE(Sheet1!I111), "")</f>
        <v>176</v>
      </c>
      <c r="G110">
        <f>IF(Sheet1!$B111, CODE(Sheet1!J111), "")</f>
        <v>174</v>
      </c>
      <c r="H110" t="str">
        <f>IF(Sheet1!$B111,Sheet1!M111,"")</f>
        <v>DIAG_FRONT</v>
      </c>
      <c r="I110" t="str">
        <f>IF(Sheet1!$B111,Sheet1!N111,"")</f>
        <v>EMPTY</v>
      </c>
      <c r="J110" t="str">
        <f>IF(Sheet1!$B111,Sheet1!O111,"")</f>
        <v>EMPTY</v>
      </c>
      <c r="K110" t="str">
        <f>IF(Sheet1!$B111,Sheet1!P111,"")</f>
        <v>DIAG_BACK</v>
      </c>
    </row>
    <row r="111" spans="1:11">
      <c r="A111">
        <f>IF(Sheet1!$B112, CODE(Sheet1!D112), "")</f>
        <v>177</v>
      </c>
      <c r="B111">
        <f>IF(Sheet1!$B112, CODE(Sheet1!E112), "")</f>
        <v>174</v>
      </c>
      <c r="C111">
        <f>IF(Sheet1!$B112, CODE(Sheet1!F112), "")</f>
        <v>175</v>
      </c>
      <c r="D111">
        <f>IF(Sheet1!$B112, CODE(Sheet1!G112), "")</f>
        <v>176</v>
      </c>
      <c r="E111">
        <f>IF(Sheet1!$B112, CODE(Sheet1!H112), "")</f>
        <v>174</v>
      </c>
      <c r="F111">
        <f>IF(Sheet1!$B112, CODE(Sheet1!I112), "")</f>
        <v>175</v>
      </c>
      <c r="G111">
        <f>IF(Sheet1!$B112, CODE(Sheet1!J112), "")</f>
        <v>177</v>
      </c>
      <c r="H111" t="str">
        <f>IF(Sheet1!$B112,Sheet1!M112,"")</f>
        <v>EMPTY</v>
      </c>
      <c r="I111" t="str">
        <f>IF(Sheet1!$B112,Sheet1!N112,"")</f>
        <v>DIAG_BACK</v>
      </c>
      <c r="J111" t="str">
        <f>IF(Sheet1!$B112,Sheet1!O112,"")</f>
        <v>EMPTY</v>
      </c>
      <c r="K111" t="str">
        <f>IF(Sheet1!$B112,Sheet1!P112,"")</f>
        <v>DIAG_FRONT</v>
      </c>
    </row>
    <row r="112" spans="1:11">
      <c r="A112">
        <f>IF(Sheet1!$B113, CODE(Sheet1!D113), "")</f>
        <v>178</v>
      </c>
      <c r="B112">
        <f>IF(Sheet1!$B113, CODE(Sheet1!E113), "")</f>
        <v>179</v>
      </c>
      <c r="C112">
        <f>IF(Sheet1!$B113, CODE(Sheet1!F113), "")</f>
        <v>180</v>
      </c>
      <c r="D112">
        <f>IF(Sheet1!$B113, CODE(Sheet1!G113), "")</f>
        <v>180</v>
      </c>
      <c r="E112">
        <f>IF(Sheet1!$B113, CODE(Sheet1!H113), "")</f>
        <v>178</v>
      </c>
      <c r="F112">
        <f>IF(Sheet1!$B113, CODE(Sheet1!I113), "")</f>
        <v>179</v>
      </c>
      <c r="G112">
        <f>IF(Sheet1!$B113, CODE(Sheet1!J113), "")</f>
        <v>181</v>
      </c>
      <c r="H112" t="str">
        <f>IF(Sheet1!$B113,Sheet1!M113,"")</f>
        <v>ORTHO_BOTH</v>
      </c>
      <c r="I112" t="str">
        <f>IF(Sheet1!$B113,Sheet1!N113,"")</f>
        <v>ORTHO_BOTH</v>
      </c>
      <c r="J112" t="str">
        <f>IF(Sheet1!$B113,Sheet1!O113,"")</f>
        <v>ORTHO_DOWN</v>
      </c>
      <c r="K112" t="str">
        <f>IF(Sheet1!$B113,Sheet1!P113,"")</f>
        <v>ORTHO_DOWN</v>
      </c>
    </row>
    <row r="113" spans="1:11">
      <c r="A113">
        <f>IF(Sheet1!$B114, CODE(Sheet1!D114), "")</f>
        <v>179</v>
      </c>
      <c r="B113">
        <f>IF(Sheet1!$B114, CODE(Sheet1!E114), "")</f>
        <v>180</v>
      </c>
      <c r="C113">
        <f>IF(Sheet1!$B114, CODE(Sheet1!F114), "")</f>
        <v>181</v>
      </c>
      <c r="D113">
        <f>IF(Sheet1!$B114, CODE(Sheet1!G114), "")</f>
        <v>179</v>
      </c>
      <c r="E113">
        <f>IF(Sheet1!$B114, CODE(Sheet1!H114), "")</f>
        <v>181</v>
      </c>
      <c r="F113">
        <f>IF(Sheet1!$B114, CODE(Sheet1!I114), "")</f>
        <v>178</v>
      </c>
      <c r="G113">
        <f>IF(Sheet1!$B114, CODE(Sheet1!J114), "")</f>
        <v>180</v>
      </c>
      <c r="H113" t="str">
        <f>IF(Sheet1!$B114,Sheet1!M114,"")</f>
        <v>ORTHO_LEFT</v>
      </c>
      <c r="I113" t="str">
        <f>IF(Sheet1!$B114,Sheet1!N114,"")</f>
        <v>ORTHO_LEFT</v>
      </c>
      <c r="J113" t="str">
        <f>IF(Sheet1!$B114,Sheet1!O114,"")</f>
        <v>ORTHO_BOTH</v>
      </c>
      <c r="K113" t="str">
        <f>IF(Sheet1!$B114,Sheet1!P114,"")</f>
        <v>ORTHO_BOTH</v>
      </c>
    </row>
    <row r="114" spans="1:11">
      <c r="A114">
        <f>IF(Sheet1!$B115, CODE(Sheet1!D115), "")</f>
        <v>180</v>
      </c>
      <c r="B114">
        <f>IF(Sheet1!$B115, CODE(Sheet1!E115), "")</f>
        <v>181</v>
      </c>
      <c r="C114">
        <f>IF(Sheet1!$B115, CODE(Sheet1!F115), "")</f>
        <v>178</v>
      </c>
      <c r="D114">
        <f>IF(Sheet1!$B115, CODE(Sheet1!G115), "")</f>
        <v>178</v>
      </c>
      <c r="E114">
        <f>IF(Sheet1!$B115, CODE(Sheet1!H115), "")</f>
        <v>180</v>
      </c>
      <c r="F114">
        <f>IF(Sheet1!$B115, CODE(Sheet1!I115), "")</f>
        <v>181</v>
      </c>
      <c r="G114">
        <f>IF(Sheet1!$B115, CODE(Sheet1!J115), "")</f>
        <v>179</v>
      </c>
      <c r="H114" t="str">
        <f>IF(Sheet1!$B115,Sheet1!M115,"")</f>
        <v>ORTHO_BOTH</v>
      </c>
      <c r="I114" t="str">
        <f>IF(Sheet1!$B115,Sheet1!N115,"")</f>
        <v>ORTHO_BOTH</v>
      </c>
      <c r="J114" t="str">
        <f>IF(Sheet1!$B115,Sheet1!O115,"")</f>
        <v>ORTHO_UP</v>
      </c>
      <c r="K114" t="str">
        <f>IF(Sheet1!$B115,Sheet1!P115,"")</f>
        <v>ORTHO_UP</v>
      </c>
    </row>
    <row r="115" spans="1:11">
      <c r="A115">
        <f>IF(Sheet1!$B116, CODE(Sheet1!D116), "")</f>
        <v>181</v>
      </c>
      <c r="B115">
        <f>IF(Sheet1!$B116, CODE(Sheet1!E116), "")</f>
        <v>178</v>
      </c>
      <c r="C115">
        <f>IF(Sheet1!$B116, CODE(Sheet1!F116), "")</f>
        <v>179</v>
      </c>
      <c r="D115">
        <f>IF(Sheet1!$B116, CODE(Sheet1!G116), "")</f>
        <v>181</v>
      </c>
      <c r="E115">
        <f>IF(Sheet1!$B116, CODE(Sheet1!H116), "")</f>
        <v>179</v>
      </c>
      <c r="F115">
        <f>IF(Sheet1!$B116, CODE(Sheet1!I116), "")</f>
        <v>180</v>
      </c>
      <c r="G115">
        <f>IF(Sheet1!$B116, CODE(Sheet1!J116), "")</f>
        <v>178</v>
      </c>
      <c r="H115" t="str">
        <f>IF(Sheet1!$B116,Sheet1!M116,"")</f>
        <v>ORTHO_RIGHT</v>
      </c>
      <c r="I115" t="str">
        <f>IF(Sheet1!$B116,Sheet1!N116,"")</f>
        <v>ORTHO_RIGHT</v>
      </c>
      <c r="J115" t="str">
        <f>IF(Sheet1!$B116,Sheet1!O116,"")</f>
        <v>ORTHO_BOTH</v>
      </c>
      <c r="K115" t="str">
        <f>IF(Sheet1!$B116,Sheet1!P116,"")</f>
        <v>ORTHO_BOTH</v>
      </c>
    </row>
    <row r="116" spans="1:11">
      <c r="A116">
        <f>IF(Sheet1!$B117, CODE(Sheet1!D117), "")</f>
        <v>182</v>
      </c>
      <c r="B116">
        <f>IF(Sheet1!$B117, CODE(Sheet1!E117), "")</f>
        <v>184</v>
      </c>
      <c r="C116">
        <f>IF(Sheet1!$B117, CODE(Sheet1!F117), "")</f>
        <v>185</v>
      </c>
      <c r="D116">
        <f>IF(Sheet1!$B117, CODE(Sheet1!G117), "")</f>
        <v>184</v>
      </c>
      <c r="E116">
        <f>IF(Sheet1!$B117, CODE(Sheet1!H117), "")</f>
        <v>186</v>
      </c>
      <c r="F116">
        <f>IF(Sheet1!$B117, CODE(Sheet1!I117), "")</f>
        <v>182</v>
      </c>
      <c r="G116">
        <f>IF(Sheet1!$B117, CODE(Sheet1!J117), "")</f>
        <v>185</v>
      </c>
      <c r="H116" t="str">
        <f>IF(Sheet1!$B117,Sheet1!M117,"")</f>
        <v>ORTHO_LEFT</v>
      </c>
      <c r="I116" t="str">
        <f>IF(Sheet1!$B117,Sheet1!N117,"")</f>
        <v>ORTHO_LEFT</v>
      </c>
      <c r="J116" t="str">
        <f>IF(Sheet1!$B117,Sheet1!O117,"")</f>
        <v>ORTHO_DOWN</v>
      </c>
      <c r="K116" t="str">
        <f>IF(Sheet1!$B117,Sheet1!P117,"")</f>
        <v>ORTHO_DOWN</v>
      </c>
    </row>
    <row r="117" spans="1:11">
      <c r="A117">
        <f>IF(Sheet1!$B118, CODE(Sheet1!D118), "")</f>
        <v>184</v>
      </c>
      <c r="B117">
        <f>IF(Sheet1!$B118, CODE(Sheet1!E118), "")</f>
        <v>185</v>
      </c>
      <c r="C117">
        <f>IF(Sheet1!$B118, CODE(Sheet1!F118), "")</f>
        <v>186</v>
      </c>
      <c r="D117">
        <f>IF(Sheet1!$B118, CODE(Sheet1!G118), "")</f>
        <v>182</v>
      </c>
      <c r="E117">
        <f>IF(Sheet1!$B118, CODE(Sheet1!H118), "")</f>
        <v>185</v>
      </c>
      <c r="F117">
        <f>IF(Sheet1!$B118, CODE(Sheet1!I118), "")</f>
        <v>186</v>
      </c>
      <c r="G117">
        <f>IF(Sheet1!$B118, CODE(Sheet1!J118), "")</f>
        <v>184</v>
      </c>
      <c r="H117" t="str">
        <f>IF(Sheet1!$B118,Sheet1!M118,"")</f>
        <v>ORTHO_LEFT</v>
      </c>
      <c r="I117" t="str">
        <f>IF(Sheet1!$B118,Sheet1!N118,"")</f>
        <v>ORTHO_LEFT</v>
      </c>
      <c r="J117" t="str">
        <f>IF(Sheet1!$B118,Sheet1!O118,"")</f>
        <v>ORTHO_UP</v>
      </c>
      <c r="K117" t="str">
        <f>IF(Sheet1!$B118,Sheet1!P118,"")</f>
        <v>ORTHO_UP</v>
      </c>
    </row>
    <row r="118" spans="1:11">
      <c r="A118">
        <f>IF(Sheet1!$B119, CODE(Sheet1!D119), "")</f>
        <v>185</v>
      </c>
      <c r="B118">
        <f>IF(Sheet1!$B119, CODE(Sheet1!E119), "")</f>
        <v>186</v>
      </c>
      <c r="C118">
        <f>IF(Sheet1!$B119, CODE(Sheet1!F119), "")</f>
        <v>182</v>
      </c>
      <c r="D118">
        <f>IF(Sheet1!$B119, CODE(Sheet1!G119), "")</f>
        <v>186</v>
      </c>
      <c r="E118">
        <f>IF(Sheet1!$B119, CODE(Sheet1!H119), "")</f>
        <v>184</v>
      </c>
      <c r="F118">
        <f>IF(Sheet1!$B119, CODE(Sheet1!I119), "")</f>
        <v>185</v>
      </c>
      <c r="G118">
        <f>IF(Sheet1!$B119, CODE(Sheet1!J119), "")</f>
        <v>182</v>
      </c>
      <c r="H118" t="str">
        <f>IF(Sheet1!$B119,Sheet1!M119,"")</f>
        <v>ORTHO_RIGHT</v>
      </c>
      <c r="I118" t="str">
        <f>IF(Sheet1!$B119,Sheet1!N119,"")</f>
        <v>ORTHO_RIGHT</v>
      </c>
      <c r="J118" t="str">
        <f>IF(Sheet1!$B119,Sheet1!O119,"")</f>
        <v>ORTHO_UP</v>
      </c>
      <c r="K118" t="str">
        <f>IF(Sheet1!$B119,Sheet1!P119,"")</f>
        <v>ORTHO_UP</v>
      </c>
    </row>
    <row r="119" spans="1:11">
      <c r="A119">
        <f>IF(Sheet1!$B120, CODE(Sheet1!D120), "")</f>
        <v>186</v>
      </c>
      <c r="B119">
        <f>IF(Sheet1!$B120, CODE(Sheet1!E120), "")</f>
        <v>182</v>
      </c>
      <c r="C119">
        <f>IF(Sheet1!$B120, CODE(Sheet1!F120), "")</f>
        <v>184</v>
      </c>
      <c r="D119">
        <f>IF(Sheet1!$B120, CODE(Sheet1!G120), "")</f>
        <v>185</v>
      </c>
      <c r="E119">
        <f>IF(Sheet1!$B120, CODE(Sheet1!H120), "")</f>
        <v>182</v>
      </c>
      <c r="F119">
        <f>IF(Sheet1!$B120, CODE(Sheet1!I120), "")</f>
        <v>184</v>
      </c>
      <c r="G119">
        <f>IF(Sheet1!$B120, CODE(Sheet1!J120), "")</f>
        <v>186</v>
      </c>
      <c r="H119" t="str">
        <f>IF(Sheet1!$B120,Sheet1!M120,"")</f>
        <v>ORTHO_RIGHT</v>
      </c>
      <c r="I119" t="str">
        <f>IF(Sheet1!$B120,Sheet1!N120,"")</f>
        <v>ORTHO_RIGHT</v>
      </c>
      <c r="J119" t="str">
        <f>IF(Sheet1!$B120,Sheet1!O120,"")</f>
        <v>ORTHO_DOWN</v>
      </c>
      <c r="K119" t="str">
        <f>IF(Sheet1!$B120,Sheet1!P120,"")</f>
        <v>ORTHO_DOWN</v>
      </c>
    </row>
    <row r="120" spans="1:11">
      <c r="A120">
        <f>IF(Sheet1!$B121, CODE(Sheet1!D121), "")</f>
        <v>187</v>
      </c>
      <c r="B120">
        <f>IF(Sheet1!$B121, CODE(Sheet1!E121), "")</f>
        <v>190</v>
      </c>
      <c r="C120">
        <f>IF(Sheet1!$B121, CODE(Sheet1!F121), "")</f>
        <v>188</v>
      </c>
      <c r="D120">
        <f>IF(Sheet1!$B121, CODE(Sheet1!G121), "")</f>
        <v>187</v>
      </c>
      <c r="E120">
        <f>IF(Sheet1!$B121, CODE(Sheet1!H121), "")</f>
        <v>188</v>
      </c>
      <c r="F120">
        <f>IF(Sheet1!$B121, CODE(Sheet1!I121), "")</f>
        <v>189</v>
      </c>
      <c r="G120">
        <f>IF(Sheet1!$B121, CODE(Sheet1!J121), "")</f>
        <v>190</v>
      </c>
      <c r="H120" t="str">
        <f>IF(Sheet1!$B121,Sheet1!M121,"")</f>
        <v>ORTHO_RIGHT</v>
      </c>
      <c r="I120" t="str">
        <f>IF(Sheet1!$B121,Sheet1!N121,"")</f>
        <v>ORTHO_RIGHT</v>
      </c>
      <c r="J120" t="str">
        <f>IF(Sheet1!$B121,Sheet1!O121,"")</f>
        <v>EMPTY</v>
      </c>
      <c r="K120" t="str">
        <f>IF(Sheet1!$B121,Sheet1!P121,"")</f>
        <v>DIAG_BOTH</v>
      </c>
    </row>
    <row r="121" spans="1:11">
      <c r="A121">
        <f>IF(Sheet1!$B122, CODE(Sheet1!D122), "")</f>
        <v>188</v>
      </c>
      <c r="B121">
        <f>IF(Sheet1!$B122, CODE(Sheet1!E122), "")</f>
        <v>189</v>
      </c>
      <c r="C121">
        <f>IF(Sheet1!$B122, CODE(Sheet1!F122), "")</f>
        <v>187</v>
      </c>
      <c r="D121">
        <f>IF(Sheet1!$B122, CODE(Sheet1!G122), "")</f>
        <v>188</v>
      </c>
      <c r="E121">
        <f>IF(Sheet1!$B122, CODE(Sheet1!H122), "")</f>
        <v>187</v>
      </c>
      <c r="F121">
        <f>IF(Sheet1!$B122, CODE(Sheet1!I122), "")</f>
        <v>190</v>
      </c>
      <c r="G121">
        <f>IF(Sheet1!$B122, CODE(Sheet1!J122), "")</f>
        <v>189</v>
      </c>
      <c r="H121" t="str">
        <f>IF(Sheet1!$B122,Sheet1!M122,"")</f>
        <v>ORTHO_LEFT</v>
      </c>
      <c r="I121" t="str">
        <f>IF(Sheet1!$B122,Sheet1!N122,"")</f>
        <v>ORTHO_LEFT</v>
      </c>
      <c r="J121" t="str">
        <f>IF(Sheet1!$B122,Sheet1!O122,"")</f>
        <v>DIAG_BOTH</v>
      </c>
      <c r="K121" t="str">
        <f>IF(Sheet1!$B122,Sheet1!P122,"")</f>
        <v>EMPTY</v>
      </c>
    </row>
    <row r="122" spans="1:11">
      <c r="A122">
        <f>IF(Sheet1!$B123, CODE(Sheet1!D123), "")</f>
        <v>189</v>
      </c>
      <c r="B122">
        <f>IF(Sheet1!$B123, CODE(Sheet1!E123), "")</f>
        <v>187</v>
      </c>
      <c r="C122">
        <f>IF(Sheet1!$B123, CODE(Sheet1!F123), "")</f>
        <v>190</v>
      </c>
      <c r="D122">
        <f>IF(Sheet1!$B123, CODE(Sheet1!G123), "")</f>
        <v>190</v>
      </c>
      <c r="E122">
        <f>IF(Sheet1!$B123, CODE(Sheet1!H123), "")</f>
        <v>189</v>
      </c>
      <c r="F122">
        <f>IF(Sheet1!$B123, CODE(Sheet1!I123), "")</f>
        <v>187</v>
      </c>
      <c r="G122">
        <f>IF(Sheet1!$B123, CODE(Sheet1!J123), "")</f>
        <v>188</v>
      </c>
      <c r="H122" t="str">
        <f>IF(Sheet1!$B123,Sheet1!M123,"")</f>
        <v>DIAG_BOTH</v>
      </c>
      <c r="I122" t="str">
        <f>IF(Sheet1!$B123,Sheet1!N123,"")</f>
        <v>EMPTY</v>
      </c>
      <c r="J122" t="str">
        <f>IF(Sheet1!$B123,Sheet1!O123,"")</f>
        <v>ORTHO_UP</v>
      </c>
      <c r="K122" t="str">
        <f>IF(Sheet1!$B123,Sheet1!P123,"")</f>
        <v>ORTHO_UP</v>
      </c>
    </row>
    <row r="123" spans="1:11">
      <c r="A123">
        <f>IF(Sheet1!$B124, CODE(Sheet1!D124), "")</f>
        <v>190</v>
      </c>
      <c r="B123">
        <f>IF(Sheet1!$B124, CODE(Sheet1!E124), "")</f>
        <v>188</v>
      </c>
      <c r="C123">
        <f>IF(Sheet1!$B124, CODE(Sheet1!F124), "")</f>
        <v>189</v>
      </c>
      <c r="D123">
        <f>IF(Sheet1!$B124, CODE(Sheet1!G124), "")</f>
        <v>189</v>
      </c>
      <c r="E123">
        <f>IF(Sheet1!$B124, CODE(Sheet1!H124), "")</f>
        <v>190</v>
      </c>
      <c r="F123">
        <f>IF(Sheet1!$B124, CODE(Sheet1!I124), "")</f>
        <v>188</v>
      </c>
      <c r="G123">
        <f>IF(Sheet1!$B124, CODE(Sheet1!J124), "")</f>
        <v>187</v>
      </c>
      <c r="H123" t="str">
        <f>IF(Sheet1!$B124,Sheet1!M124,"")</f>
        <v>EMPTY</v>
      </c>
      <c r="I123" t="str">
        <f>IF(Sheet1!$B124,Sheet1!N124,"")</f>
        <v>DIAG_BOTH</v>
      </c>
      <c r="J123" t="str">
        <f>IF(Sheet1!$B124,Sheet1!O124,"")</f>
        <v>ORTHO_DOWN</v>
      </c>
      <c r="K123" t="str">
        <f>IF(Sheet1!$B124,Sheet1!P124,"")</f>
        <v>ORTHO_DOWN</v>
      </c>
    </row>
    <row r="124" spans="1:11">
      <c r="A124">
        <f>IF(Sheet1!$B125, CODE(Sheet1!D125), "")</f>
        <v>191</v>
      </c>
      <c r="B124">
        <f>IF(Sheet1!$B125, CODE(Sheet1!E125), "")</f>
        <v>194</v>
      </c>
      <c r="C124">
        <f>IF(Sheet1!$B125, CODE(Sheet1!F125), "")</f>
        <v>192</v>
      </c>
      <c r="D124">
        <f>IF(Sheet1!$B125, CODE(Sheet1!G125), "")</f>
        <v>191</v>
      </c>
      <c r="E124">
        <f>IF(Sheet1!$B125, CODE(Sheet1!H125), "")</f>
        <v>192</v>
      </c>
      <c r="F124">
        <f>IF(Sheet1!$B125, CODE(Sheet1!I125), "")</f>
        <v>193</v>
      </c>
      <c r="G124">
        <f>IF(Sheet1!$B125, CODE(Sheet1!J125), "")</f>
        <v>194</v>
      </c>
      <c r="H124" t="str">
        <f>IF(Sheet1!$B125,Sheet1!M125,"")</f>
        <v>ORTHO_RIGHT</v>
      </c>
      <c r="I124" t="str">
        <f>IF(Sheet1!$B125,Sheet1!N125,"")</f>
        <v>ORTHO_RIGHT</v>
      </c>
      <c r="J124" t="str">
        <f>IF(Sheet1!$B125,Sheet1!O125,"")</f>
        <v>EMPTY</v>
      </c>
      <c r="K124" t="str">
        <f>IF(Sheet1!$B125,Sheet1!P125,"")</f>
        <v>ORTHO_BOTH</v>
      </c>
    </row>
    <row r="125" spans="1:11">
      <c r="A125">
        <f>IF(Sheet1!$B126, CODE(Sheet1!D126), "")</f>
        <v>192</v>
      </c>
      <c r="B125">
        <f>IF(Sheet1!$B126, CODE(Sheet1!E126), "")</f>
        <v>193</v>
      </c>
      <c r="C125">
        <f>IF(Sheet1!$B126, CODE(Sheet1!F126), "")</f>
        <v>191</v>
      </c>
      <c r="D125">
        <f>IF(Sheet1!$B126, CODE(Sheet1!G126), "")</f>
        <v>192</v>
      </c>
      <c r="E125">
        <f>IF(Sheet1!$B126, CODE(Sheet1!H126), "")</f>
        <v>191</v>
      </c>
      <c r="F125">
        <f>IF(Sheet1!$B126, CODE(Sheet1!I126), "")</f>
        <v>194</v>
      </c>
      <c r="G125">
        <f>IF(Sheet1!$B126, CODE(Sheet1!J126), "")</f>
        <v>193</v>
      </c>
      <c r="H125" t="str">
        <f>IF(Sheet1!$B126,Sheet1!M126,"")</f>
        <v>ORTHO_LEFT</v>
      </c>
      <c r="I125" t="str">
        <f>IF(Sheet1!$B126,Sheet1!N126,"")</f>
        <v>ORTHO_LEFT</v>
      </c>
      <c r="J125" t="str">
        <f>IF(Sheet1!$B126,Sheet1!O126,"")</f>
        <v>ORTHO_BOTH</v>
      </c>
      <c r="K125" t="str">
        <f>IF(Sheet1!$B126,Sheet1!P126,"")</f>
        <v>EMPTY</v>
      </c>
    </row>
    <row r="126" spans="1:11">
      <c r="A126">
        <f>IF(Sheet1!$B127, CODE(Sheet1!D127), "")</f>
        <v>193</v>
      </c>
      <c r="B126">
        <f>IF(Sheet1!$B127, CODE(Sheet1!E127), "")</f>
        <v>191</v>
      </c>
      <c r="C126">
        <f>IF(Sheet1!$B127, CODE(Sheet1!F127), "")</f>
        <v>194</v>
      </c>
      <c r="D126">
        <f>IF(Sheet1!$B127, CODE(Sheet1!G127), "")</f>
        <v>194</v>
      </c>
      <c r="E126">
        <f>IF(Sheet1!$B127, CODE(Sheet1!H127), "")</f>
        <v>193</v>
      </c>
      <c r="F126">
        <f>IF(Sheet1!$B127, CODE(Sheet1!I127), "")</f>
        <v>191</v>
      </c>
      <c r="G126">
        <f>IF(Sheet1!$B127, CODE(Sheet1!J127), "")</f>
        <v>192</v>
      </c>
      <c r="H126" t="str">
        <f>IF(Sheet1!$B127,Sheet1!M127,"")</f>
        <v>ORTHO_BOTH</v>
      </c>
      <c r="I126" t="str">
        <f>IF(Sheet1!$B127,Sheet1!N127,"")</f>
        <v>EMPTY</v>
      </c>
      <c r="J126" t="str">
        <f>IF(Sheet1!$B127,Sheet1!O127,"")</f>
        <v>ORTHO_UP</v>
      </c>
      <c r="K126" t="str">
        <f>IF(Sheet1!$B127,Sheet1!P127,"")</f>
        <v>ORTHO_UP</v>
      </c>
    </row>
    <row r="127" spans="1:11">
      <c r="A127">
        <f>IF(Sheet1!$B128, CODE(Sheet1!D128), "")</f>
        <v>194</v>
      </c>
      <c r="B127">
        <f>IF(Sheet1!$B128, CODE(Sheet1!E128), "")</f>
        <v>192</v>
      </c>
      <c r="C127">
        <f>IF(Sheet1!$B128, CODE(Sheet1!F128), "")</f>
        <v>193</v>
      </c>
      <c r="D127">
        <f>IF(Sheet1!$B128, CODE(Sheet1!G128), "")</f>
        <v>193</v>
      </c>
      <c r="E127">
        <f>IF(Sheet1!$B128, CODE(Sheet1!H128), "")</f>
        <v>194</v>
      </c>
      <c r="F127">
        <f>IF(Sheet1!$B128, CODE(Sheet1!I128), "")</f>
        <v>192</v>
      </c>
      <c r="G127">
        <f>IF(Sheet1!$B128, CODE(Sheet1!J128), "")</f>
        <v>191</v>
      </c>
      <c r="H127" t="str">
        <f>IF(Sheet1!$B128,Sheet1!M128,"")</f>
        <v>EMPTY</v>
      </c>
      <c r="I127" t="str">
        <f>IF(Sheet1!$B128,Sheet1!N128,"")</f>
        <v>ORTHO_BOTH</v>
      </c>
      <c r="J127" t="str">
        <f>IF(Sheet1!$B128,Sheet1!O128,"")</f>
        <v>ORTHO_DOWN</v>
      </c>
      <c r="K127" t="str">
        <f>IF(Sheet1!$B128,Sheet1!P128,"")</f>
        <v>ORTHO_DOWN</v>
      </c>
    </row>
    <row r="128" spans="1:11">
      <c r="A128">
        <f>IF(Sheet1!$B129, CODE(Sheet1!D129), "")</f>
        <v>195</v>
      </c>
      <c r="B128">
        <f>IF(Sheet1!$B129, CODE(Sheet1!E129), "")</f>
        <v>196</v>
      </c>
      <c r="C128">
        <f>IF(Sheet1!$B129, CODE(Sheet1!F129), "")</f>
        <v>197</v>
      </c>
      <c r="D128">
        <f>IF(Sheet1!$B129, CODE(Sheet1!G129), "")</f>
        <v>196</v>
      </c>
      <c r="E128">
        <f>IF(Sheet1!$B129, CODE(Sheet1!H129), "")</f>
        <v>198</v>
      </c>
      <c r="F128">
        <f>IF(Sheet1!$B129, CODE(Sheet1!I129), "")</f>
        <v>195</v>
      </c>
      <c r="G128">
        <f>IF(Sheet1!$B129, CODE(Sheet1!J129), "")</f>
        <v>197</v>
      </c>
      <c r="H128" t="str">
        <f>IF(Sheet1!$B129,Sheet1!M129,"")</f>
        <v>EMPTY</v>
      </c>
      <c r="I128" t="str">
        <f>IF(Sheet1!$B129,Sheet1!N129,"")</f>
        <v>ORTHO_LEFT</v>
      </c>
      <c r="J128" t="str">
        <f>IF(Sheet1!$B129,Sheet1!O129,"")</f>
        <v>ORTHO_DOWN</v>
      </c>
      <c r="K128" t="str">
        <f>IF(Sheet1!$B129,Sheet1!P129,"")</f>
        <v>EMPTY</v>
      </c>
    </row>
    <row r="129" spans="1:11">
      <c r="A129">
        <f>IF(Sheet1!$B130, CODE(Sheet1!D130), "")</f>
        <v>196</v>
      </c>
      <c r="B129">
        <f>IF(Sheet1!$B130, CODE(Sheet1!E130), "")</f>
        <v>197</v>
      </c>
      <c r="C129">
        <f>IF(Sheet1!$B130, CODE(Sheet1!F130), "")</f>
        <v>198</v>
      </c>
      <c r="D129">
        <f>IF(Sheet1!$B130, CODE(Sheet1!G130), "")</f>
        <v>195</v>
      </c>
      <c r="E129">
        <f>IF(Sheet1!$B130, CODE(Sheet1!H130), "")</f>
        <v>197</v>
      </c>
      <c r="F129">
        <f>IF(Sheet1!$B130, CODE(Sheet1!I130), "")</f>
        <v>198</v>
      </c>
      <c r="G129">
        <f>IF(Sheet1!$B130, CODE(Sheet1!J130), "")</f>
        <v>196</v>
      </c>
      <c r="H129" t="str">
        <f>IF(Sheet1!$B130,Sheet1!M130,"")</f>
        <v>ORTHO_LEFT</v>
      </c>
      <c r="I129" t="str">
        <f>IF(Sheet1!$B130,Sheet1!N130,"")</f>
        <v>EMPTY</v>
      </c>
      <c r="J129" t="str">
        <f>IF(Sheet1!$B130,Sheet1!O130,"")</f>
        <v>ORTHO_UP</v>
      </c>
      <c r="K129" t="str">
        <f>IF(Sheet1!$B130,Sheet1!P130,"")</f>
        <v>EMPTY</v>
      </c>
    </row>
    <row r="130" spans="1:11">
      <c r="A130">
        <f>IF(Sheet1!$B131, CODE(Sheet1!D131), "")</f>
        <v>197</v>
      </c>
      <c r="B130">
        <f>IF(Sheet1!$B131, CODE(Sheet1!E131), "")</f>
        <v>198</v>
      </c>
      <c r="C130">
        <f>IF(Sheet1!$B131, CODE(Sheet1!F131), "")</f>
        <v>195</v>
      </c>
      <c r="D130">
        <f>IF(Sheet1!$B131, CODE(Sheet1!G131), "")</f>
        <v>198</v>
      </c>
      <c r="E130">
        <f>IF(Sheet1!$B131, CODE(Sheet1!H131), "")</f>
        <v>196</v>
      </c>
      <c r="F130">
        <f>IF(Sheet1!$B131, CODE(Sheet1!I131), "")</f>
        <v>197</v>
      </c>
      <c r="G130">
        <f>IF(Sheet1!$B131, CODE(Sheet1!J131), "")</f>
        <v>195</v>
      </c>
      <c r="H130" t="str">
        <f>IF(Sheet1!$B131,Sheet1!M131,"")</f>
        <v>ORTHO_RIGHT</v>
      </c>
      <c r="I130" t="str">
        <f>IF(Sheet1!$B131,Sheet1!N131,"")</f>
        <v>EMPTY</v>
      </c>
      <c r="J130" t="str">
        <f>IF(Sheet1!$B131,Sheet1!O131,"")</f>
        <v>EMPTY</v>
      </c>
      <c r="K130" t="str">
        <f>IF(Sheet1!$B131,Sheet1!P131,"")</f>
        <v>ORTHO_UP</v>
      </c>
    </row>
    <row r="131" spans="1:11">
      <c r="A131">
        <f>IF(Sheet1!$B132, CODE(Sheet1!D132), "")</f>
        <v>198</v>
      </c>
      <c r="B131">
        <f>IF(Sheet1!$B132, CODE(Sheet1!E132), "")</f>
        <v>195</v>
      </c>
      <c r="C131">
        <f>IF(Sheet1!$B132, CODE(Sheet1!F132), "")</f>
        <v>196</v>
      </c>
      <c r="D131">
        <f>IF(Sheet1!$B132, CODE(Sheet1!G132), "")</f>
        <v>197</v>
      </c>
      <c r="E131">
        <f>IF(Sheet1!$B132, CODE(Sheet1!H132), "")</f>
        <v>195</v>
      </c>
      <c r="F131">
        <f>IF(Sheet1!$B132, CODE(Sheet1!I132), "")</f>
        <v>196</v>
      </c>
      <c r="G131">
        <f>IF(Sheet1!$B132, CODE(Sheet1!J132), "")</f>
        <v>198</v>
      </c>
      <c r="H131" t="str">
        <f>IF(Sheet1!$B132,Sheet1!M132,"")</f>
        <v>EMPTY</v>
      </c>
      <c r="I131" t="str">
        <f>IF(Sheet1!$B132,Sheet1!N132,"")</f>
        <v>ORTHO_RIGHT</v>
      </c>
      <c r="J131" t="str">
        <f>IF(Sheet1!$B132,Sheet1!O132,"")</f>
        <v>EMPTY</v>
      </c>
      <c r="K131" t="str">
        <f>IF(Sheet1!$B132,Sheet1!P132,"")</f>
        <v>ORTHO_DOWN</v>
      </c>
    </row>
    <row r="132" spans="1:11">
      <c r="A132">
        <f>IF(Sheet1!$B133, CODE(Sheet1!D133), "")</f>
        <v>199</v>
      </c>
      <c r="B132">
        <f>IF(Sheet1!$B133, CODE(Sheet1!E133), "")</f>
        <v>202</v>
      </c>
      <c r="C132">
        <f>IF(Sheet1!$B133, CODE(Sheet1!F133), "")</f>
        <v>200</v>
      </c>
      <c r="D132">
        <f>IF(Sheet1!$B133, CODE(Sheet1!G133), "")</f>
        <v>200</v>
      </c>
      <c r="E132">
        <f>IF(Sheet1!$B133, CODE(Sheet1!H133), "")</f>
        <v>199</v>
      </c>
      <c r="F132">
        <f>IF(Sheet1!$B133, CODE(Sheet1!I133), "")</f>
        <v>202</v>
      </c>
      <c r="G132">
        <f>IF(Sheet1!$B133, CODE(Sheet1!J133), "")</f>
        <v>201</v>
      </c>
      <c r="H132" t="str">
        <f>IF(Sheet1!$B133,Sheet1!M133,"")</f>
        <v>ORTHO_BOTH</v>
      </c>
      <c r="I132" t="str">
        <f>IF(Sheet1!$B133,Sheet1!N133,"")</f>
        <v>EMPTY</v>
      </c>
      <c r="J132" t="str">
        <f>IF(Sheet1!$B133,Sheet1!O133,"")</f>
        <v>EMPTY</v>
      </c>
      <c r="K132" t="str">
        <f>IF(Sheet1!$B133,Sheet1!P133,"")</f>
        <v>EMPTY</v>
      </c>
    </row>
    <row r="133" spans="1:11">
      <c r="A133">
        <f>IF(Sheet1!$B134, CODE(Sheet1!D134), "")</f>
        <v>200</v>
      </c>
      <c r="B133">
        <f>IF(Sheet1!$B134, CODE(Sheet1!E134), "")</f>
        <v>201</v>
      </c>
      <c r="C133">
        <f>IF(Sheet1!$B134, CODE(Sheet1!F134), "")</f>
        <v>199</v>
      </c>
      <c r="D133">
        <f>IF(Sheet1!$B134, CODE(Sheet1!G134), "")</f>
        <v>199</v>
      </c>
      <c r="E133">
        <f>IF(Sheet1!$B134, CODE(Sheet1!H134), "")</f>
        <v>200</v>
      </c>
      <c r="F133">
        <f>IF(Sheet1!$B134, CODE(Sheet1!I134), "")</f>
        <v>201</v>
      </c>
      <c r="G133">
        <f>IF(Sheet1!$B134, CODE(Sheet1!J134), "")</f>
        <v>202</v>
      </c>
      <c r="H133" t="str">
        <f>IF(Sheet1!$B134,Sheet1!M134,"")</f>
        <v>EMPTY</v>
      </c>
      <c r="I133" t="str">
        <f>IF(Sheet1!$B134,Sheet1!N134,"")</f>
        <v>ORTHO_BOTH</v>
      </c>
      <c r="J133" t="str">
        <f>IF(Sheet1!$B134,Sheet1!O134,"")</f>
        <v>EMPTY</v>
      </c>
      <c r="K133" t="str">
        <f>IF(Sheet1!$B134,Sheet1!P134,"")</f>
        <v>EMPTY</v>
      </c>
    </row>
    <row r="134" spans="1:11">
      <c r="A134">
        <f>IF(Sheet1!$B135, CODE(Sheet1!D135), "")</f>
        <v>201</v>
      </c>
      <c r="B134">
        <f>IF(Sheet1!$B135, CODE(Sheet1!E135), "")</f>
        <v>199</v>
      </c>
      <c r="C134">
        <f>IF(Sheet1!$B135, CODE(Sheet1!F135), "")</f>
        <v>202</v>
      </c>
      <c r="D134">
        <f>IF(Sheet1!$B135, CODE(Sheet1!G135), "")</f>
        <v>201</v>
      </c>
      <c r="E134">
        <f>IF(Sheet1!$B135, CODE(Sheet1!H135), "")</f>
        <v>202</v>
      </c>
      <c r="F134">
        <f>IF(Sheet1!$B135, CODE(Sheet1!I135), "")</f>
        <v>200</v>
      </c>
      <c r="G134">
        <f>IF(Sheet1!$B135, CODE(Sheet1!J135), "")</f>
        <v>199</v>
      </c>
      <c r="H134" t="str">
        <f>IF(Sheet1!$B135,Sheet1!M135,"")</f>
        <v>EMPTY</v>
      </c>
      <c r="I134" t="str">
        <f>IF(Sheet1!$B135,Sheet1!N135,"")</f>
        <v>EMPTY</v>
      </c>
      <c r="J134" t="str">
        <f>IF(Sheet1!$B135,Sheet1!O135,"")</f>
        <v>ORTHO_BOTH</v>
      </c>
      <c r="K134" t="str">
        <f>IF(Sheet1!$B135,Sheet1!P135,"")</f>
        <v>EMPTY</v>
      </c>
    </row>
    <row r="135" spans="1:11">
      <c r="A135">
        <f>IF(Sheet1!$B136, CODE(Sheet1!D136), "")</f>
        <v>202</v>
      </c>
      <c r="B135">
        <f>IF(Sheet1!$B136, CODE(Sheet1!E136), "")</f>
        <v>200</v>
      </c>
      <c r="C135">
        <f>IF(Sheet1!$B136, CODE(Sheet1!F136), "")</f>
        <v>201</v>
      </c>
      <c r="D135">
        <f>IF(Sheet1!$B136, CODE(Sheet1!G136), "")</f>
        <v>202</v>
      </c>
      <c r="E135">
        <f>IF(Sheet1!$B136, CODE(Sheet1!H136), "")</f>
        <v>201</v>
      </c>
      <c r="F135">
        <f>IF(Sheet1!$B136, CODE(Sheet1!I136), "")</f>
        <v>199</v>
      </c>
      <c r="G135">
        <f>IF(Sheet1!$B136, CODE(Sheet1!J136), "")</f>
        <v>200</v>
      </c>
      <c r="H135" t="str">
        <f>IF(Sheet1!$B136,Sheet1!M136,"")</f>
        <v>EMPTY</v>
      </c>
      <c r="I135" t="str">
        <f>IF(Sheet1!$B136,Sheet1!N136,"")</f>
        <v>EMPTY</v>
      </c>
      <c r="J135" t="str">
        <f>IF(Sheet1!$B136,Sheet1!O136,"")</f>
        <v>EMPTY</v>
      </c>
      <c r="K135" t="str">
        <f>IF(Sheet1!$B136,Sheet1!P136,"")</f>
        <v>ORTHO_BOTH</v>
      </c>
    </row>
    <row r="136" spans="1:11">
      <c r="A136">
        <f>IF(Sheet1!$B137, CODE(Sheet1!D137), "")</f>
        <v>203</v>
      </c>
      <c r="B136">
        <f>IF(Sheet1!$B137, CODE(Sheet1!E137), "")</f>
        <v>204</v>
      </c>
      <c r="C136">
        <f>IF(Sheet1!$B137, CODE(Sheet1!F137), "")</f>
        <v>206</v>
      </c>
      <c r="D136">
        <f>IF(Sheet1!$B137, CODE(Sheet1!G137), "")</f>
        <v>205</v>
      </c>
      <c r="E136">
        <f>IF(Sheet1!$B137, CODE(Sheet1!H137), "")</f>
        <v>204</v>
      </c>
      <c r="F136">
        <f>IF(Sheet1!$B137, CODE(Sheet1!I137), "")</f>
        <v>206</v>
      </c>
      <c r="G136">
        <f>IF(Sheet1!$B137, CODE(Sheet1!J137), "")</f>
        <v>203</v>
      </c>
      <c r="H136" t="str">
        <f>IF(Sheet1!$B137,Sheet1!M137,"")</f>
        <v>EMPTY</v>
      </c>
      <c r="I136" t="str">
        <f>IF(Sheet1!$B137,Sheet1!N137,"")</f>
        <v>ORTHO_LEFT</v>
      </c>
      <c r="J136" t="str">
        <f>IF(Sheet1!$B137,Sheet1!O137,"")</f>
        <v>EMPTY</v>
      </c>
      <c r="K136" t="str">
        <f>IF(Sheet1!$B137,Sheet1!P137,"")</f>
        <v>ORTHO_UP</v>
      </c>
    </row>
    <row r="137" spans="1:11">
      <c r="A137">
        <f>IF(Sheet1!$B138, CODE(Sheet1!D138), "")</f>
        <v>204</v>
      </c>
      <c r="B137">
        <f>IF(Sheet1!$B138, CODE(Sheet1!E138), "")</f>
        <v>206</v>
      </c>
      <c r="C137">
        <f>IF(Sheet1!$B138, CODE(Sheet1!F138), "")</f>
        <v>205</v>
      </c>
      <c r="D137">
        <f>IF(Sheet1!$B138, CODE(Sheet1!G138), "")</f>
        <v>206</v>
      </c>
      <c r="E137">
        <f>IF(Sheet1!$B138, CODE(Sheet1!H138), "")</f>
        <v>203</v>
      </c>
      <c r="F137">
        <f>IF(Sheet1!$B138, CODE(Sheet1!I138), "")</f>
        <v>204</v>
      </c>
      <c r="G137">
        <f>IF(Sheet1!$B138, CODE(Sheet1!J138), "")</f>
        <v>205</v>
      </c>
      <c r="H137" t="str">
        <f>IF(Sheet1!$B138,Sheet1!M138,"")</f>
        <v>EMPTY</v>
      </c>
      <c r="I137" t="str">
        <f>IF(Sheet1!$B138,Sheet1!N138,"")</f>
        <v>ORTHO_RIGHT</v>
      </c>
      <c r="J137" t="str">
        <f>IF(Sheet1!$B138,Sheet1!O138,"")</f>
        <v>ORTHO_UP</v>
      </c>
      <c r="K137" t="str">
        <f>IF(Sheet1!$B138,Sheet1!P138,"")</f>
        <v>EMPTY</v>
      </c>
    </row>
    <row r="138" spans="1:11">
      <c r="A138">
        <f>IF(Sheet1!$B139, CODE(Sheet1!D139), "")</f>
        <v>205</v>
      </c>
      <c r="B138">
        <f>IF(Sheet1!$B139, CODE(Sheet1!E139), "")</f>
        <v>203</v>
      </c>
      <c r="C138">
        <f>IF(Sheet1!$B139, CODE(Sheet1!F139), "")</f>
        <v>204</v>
      </c>
      <c r="D138">
        <f>IF(Sheet1!$B139, CODE(Sheet1!G139), "")</f>
        <v>203</v>
      </c>
      <c r="E138">
        <f>IF(Sheet1!$B139, CODE(Sheet1!H139), "")</f>
        <v>206</v>
      </c>
      <c r="F138">
        <f>IF(Sheet1!$B139, CODE(Sheet1!I139), "")</f>
        <v>205</v>
      </c>
      <c r="G138">
        <f>IF(Sheet1!$B139, CODE(Sheet1!J139), "")</f>
        <v>204</v>
      </c>
      <c r="H138" t="str">
        <f>IF(Sheet1!$B139,Sheet1!M139,"")</f>
        <v>ORTHO_LEFT</v>
      </c>
      <c r="I138" t="str">
        <f>IF(Sheet1!$B139,Sheet1!N139,"")</f>
        <v>EMPTY</v>
      </c>
      <c r="J138" t="str">
        <f>IF(Sheet1!$B139,Sheet1!O139,"")</f>
        <v>EMPTY</v>
      </c>
      <c r="K138" t="str">
        <f>IF(Sheet1!$B139,Sheet1!P139,"")</f>
        <v>ORTHO_DOWN</v>
      </c>
    </row>
    <row r="139" spans="1:11">
      <c r="A139">
        <f>IF(Sheet1!$B140, CODE(Sheet1!D140), "")</f>
        <v>206</v>
      </c>
      <c r="B139">
        <f>IF(Sheet1!$B140, CODE(Sheet1!E140), "")</f>
        <v>205</v>
      </c>
      <c r="C139">
        <f>IF(Sheet1!$B140, CODE(Sheet1!F140), "")</f>
        <v>203</v>
      </c>
      <c r="D139">
        <f>IF(Sheet1!$B140, CODE(Sheet1!G140), "")</f>
        <v>204</v>
      </c>
      <c r="E139">
        <f>IF(Sheet1!$B140, CODE(Sheet1!H140), "")</f>
        <v>205</v>
      </c>
      <c r="F139">
        <f>IF(Sheet1!$B140, CODE(Sheet1!I140), "")</f>
        <v>203</v>
      </c>
      <c r="G139">
        <f>IF(Sheet1!$B140, CODE(Sheet1!J140), "")</f>
        <v>206</v>
      </c>
      <c r="H139" t="str">
        <f>IF(Sheet1!$B140,Sheet1!M140,"")</f>
        <v>ORTHO_RIGHT</v>
      </c>
      <c r="I139" t="str">
        <f>IF(Sheet1!$B140,Sheet1!N140,"")</f>
        <v>EMPTY</v>
      </c>
      <c r="J139" t="str">
        <f>IF(Sheet1!$B140,Sheet1!O140,"")</f>
        <v>ORTHO_DOWN</v>
      </c>
      <c r="K139" t="str">
        <f>IF(Sheet1!$B140,Sheet1!P140,"")</f>
        <v>EMPTY</v>
      </c>
    </row>
    <row r="140" spans="1:11">
      <c r="A140">
        <f>IF(Sheet1!$B141, CODE(Sheet1!D141), "")</f>
        <v>207</v>
      </c>
      <c r="B140">
        <f>IF(Sheet1!$B141, CODE(Sheet1!E141), "")</f>
        <v>208</v>
      </c>
      <c r="C140">
        <f>IF(Sheet1!$B141, CODE(Sheet1!F141), "")</f>
        <v>210</v>
      </c>
      <c r="D140">
        <f>IF(Sheet1!$B141, CODE(Sheet1!G141), "")</f>
        <v>209</v>
      </c>
      <c r="E140">
        <f>IF(Sheet1!$B141, CODE(Sheet1!H141), "")</f>
        <v>208</v>
      </c>
      <c r="F140">
        <f>IF(Sheet1!$B141, CODE(Sheet1!I141), "")</f>
        <v>210</v>
      </c>
      <c r="G140">
        <f>IF(Sheet1!$B141, CODE(Sheet1!J141), "")</f>
        <v>207</v>
      </c>
      <c r="H140" t="str">
        <f>IF(Sheet1!$B141,Sheet1!M141,"")</f>
        <v>EMPTY</v>
      </c>
      <c r="I140" t="str">
        <f>IF(Sheet1!$B141,Sheet1!N141,"")</f>
        <v>ORTHO_RIGHT</v>
      </c>
      <c r="J140" t="str">
        <f>IF(Sheet1!$B141,Sheet1!O141,"")</f>
        <v>EMPTY</v>
      </c>
      <c r="K140" t="str">
        <f>IF(Sheet1!$B141,Sheet1!P141,"")</f>
        <v>ORTHO_DOWN</v>
      </c>
    </row>
    <row r="141" spans="1:11">
      <c r="A141">
        <f>IF(Sheet1!$B142, CODE(Sheet1!D142), "")</f>
        <v>208</v>
      </c>
      <c r="B141">
        <f>IF(Sheet1!$B142, CODE(Sheet1!E142), "")</f>
        <v>210</v>
      </c>
      <c r="C141">
        <f>IF(Sheet1!$B142, CODE(Sheet1!F142), "")</f>
        <v>209</v>
      </c>
      <c r="D141">
        <f>IF(Sheet1!$B142, CODE(Sheet1!G142), "")</f>
        <v>210</v>
      </c>
      <c r="E141">
        <f>IF(Sheet1!$B142, CODE(Sheet1!H142), "")</f>
        <v>207</v>
      </c>
      <c r="F141">
        <f>IF(Sheet1!$B142, CODE(Sheet1!I142), "")</f>
        <v>208</v>
      </c>
      <c r="G141">
        <f>IF(Sheet1!$B142, CODE(Sheet1!J142), "")</f>
        <v>209</v>
      </c>
      <c r="H141" t="str">
        <f>IF(Sheet1!$B142,Sheet1!M142,"")</f>
        <v>EMPTY</v>
      </c>
      <c r="I141" t="str">
        <f>IF(Sheet1!$B142,Sheet1!N142,"")</f>
        <v>ORTHO_LEFT</v>
      </c>
      <c r="J141" t="str">
        <f>IF(Sheet1!$B142,Sheet1!O142,"")</f>
        <v>ORTHO_DOWN</v>
      </c>
      <c r="K141" t="str">
        <f>IF(Sheet1!$B142,Sheet1!P142,"")</f>
        <v>EMPTY</v>
      </c>
    </row>
    <row r="142" spans="1:11">
      <c r="A142">
        <f>IF(Sheet1!$B143, CODE(Sheet1!D143), "")</f>
        <v>209</v>
      </c>
      <c r="B142">
        <f>IF(Sheet1!$B143, CODE(Sheet1!E143), "")</f>
        <v>207</v>
      </c>
      <c r="C142">
        <f>IF(Sheet1!$B143, CODE(Sheet1!F143), "")</f>
        <v>208</v>
      </c>
      <c r="D142">
        <f>IF(Sheet1!$B143, CODE(Sheet1!G143), "")</f>
        <v>207</v>
      </c>
      <c r="E142">
        <f>IF(Sheet1!$B143, CODE(Sheet1!H143), "")</f>
        <v>210</v>
      </c>
      <c r="F142">
        <f>IF(Sheet1!$B143, CODE(Sheet1!I143), "")</f>
        <v>209</v>
      </c>
      <c r="G142">
        <f>IF(Sheet1!$B143, CODE(Sheet1!J143), "")</f>
        <v>208</v>
      </c>
      <c r="H142" t="str">
        <f>IF(Sheet1!$B143,Sheet1!M143,"")</f>
        <v>ORTHO_RIGHT</v>
      </c>
      <c r="I142" t="str">
        <f>IF(Sheet1!$B143,Sheet1!N143,"")</f>
        <v>EMPTY</v>
      </c>
      <c r="J142" t="str">
        <f>IF(Sheet1!$B143,Sheet1!O143,"")</f>
        <v>EMPTY</v>
      </c>
      <c r="K142" t="str">
        <f>IF(Sheet1!$B143,Sheet1!P143,"")</f>
        <v>ORTHO_UP</v>
      </c>
    </row>
    <row r="143" spans="1:11">
      <c r="A143">
        <f>IF(Sheet1!$B144, CODE(Sheet1!D144), "")</f>
        <v>210</v>
      </c>
      <c r="B143">
        <f>IF(Sheet1!$B144, CODE(Sheet1!E144), "")</f>
        <v>209</v>
      </c>
      <c r="C143">
        <f>IF(Sheet1!$B144, CODE(Sheet1!F144), "")</f>
        <v>207</v>
      </c>
      <c r="D143">
        <f>IF(Sheet1!$B144, CODE(Sheet1!G144), "")</f>
        <v>208</v>
      </c>
      <c r="E143">
        <f>IF(Sheet1!$B144, CODE(Sheet1!H144), "")</f>
        <v>209</v>
      </c>
      <c r="F143">
        <f>IF(Sheet1!$B144, CODE(Sheet1!I144), "")</f>
        <v>207</v>
      </c>
      <c r="G143">
        <f>IF(Sheet1!$B144, CODE(Sheet1!J144), "")</f>
        <v>210</v>
      </c>
      <c r="H143" t="str">
        <f>IF(Sheet1!$B144,Sheet1!M144,"")</f>
        <v>ORTHO_LEFT</v>
      </c>
      <c r="I143" t="str">
        <f>IF(Sheet1!$B144,Sheet1!N144,"")</f>
        <v>EMPTY</v>
      </c>
      <c r="J143" t="str">
        <f>IF(Sheet1!$B144,Sheet1!O144,"")</f>
        <v>ORTHO_UP</v>
      </c>
      <c r="K143" t="str">
        <f>IF(Sheet1!$B144,Sheet1!P144,"")</f>
        <v>EMPTY</v>
      </c>
    </row>
    <row r="144" spans="1:11">
      <c r="A144">
        <f>IF(Sheet1!$B145, CODE(Sheet1!D145), "")</f>
        <v>211</v>
      </c>
      <c r="B144">
        <f>IF(Sheet1!$B145, CODE(Sheet1!E145), "")</f>
        <v>213</v>
      </c>
      <c r="C144">
        <f>IF(Sheet1!$B145, CODE(Sheet1!F145), "")</f>
        <v>211</v>
      </c>
      <c r="D144">
        <f>IF(Sheet1!$B145, CODE(Sheet1!G145), "")</f>
        <v>212</v>
      </c>
      <c r="E144">
        <f>IF(Sheet1!$B145, CODE(Sheet1!H145), "")</f>
        <v>212</v>
      </c>
      <c r="F144">
        <f>IF(Sheet1!$B145, CODE(Sheet1!I145), "")</f>
        <v>214</v>
      </c>
      <c r="G144">
        <f>IF(Sheet1!$B145, CODE(Sheet1!J145), "")</f>
        <v>214</v>
      </c>
      <c r="H144" t="str">
        <f>IF(Sheet1!$B145,Sheet1!M145,"")</f>
        <v>ORTHO_LEFT</v>
      </c>
      <c r="I144" t="str">
        <f>IF(Sheet1!$B145,Sheet1!N145,"")</f>
        <v>ORTHO_RIGHT</v>
      </c>
      <c r="J144" t="str">
        <f>IF(Sheet1!$B145,Sheet1!O145,"")</f>
        <v>EMPTY</v>
      </c>
      <c r="K144" t="str">
        <f>IF(Sheet1!$B145,Sheet1!P145,"")</f>
        <v>EMPTY</v>
      </c>
    </row>
    <row r="145" spans="1:11">
      <c r="A145">
        <f>IF(Sheet1!$B146, CODE(Sheet1!D146), "")</f>
        <v>212</v>
      </c>
      <c r="B145">
        <f>IF(Sheet1!$B146, CODE(Sheet1!E146), "")</f>
        <v>214</v>
      </c>
      <c r="C145">
        <f>IF(Sheet1!$B146, CODE(Sheet1!F146), "")</f>
        <v>212</v>
      </c>
      <c r="D145">
        <f>IF(Sheet1!$B146, CODE(Sheet1!G146), "")</f>
        <v>211</v>
      </c>
      <c r="E145">
        <f>IF(Sheet1!$B146, CODE(Sheet1!H146), "")</f>
        <v>211</v>
      </c>
      <c r="F145">
        <f>IF(Sheet1!$B146, CODE(Sheet1!I146), "")</f>
        <v>213</v>
      </c>
      <c r="G145">
        <f>IF(Sheet1!$B146, CODE(Sheet1!J146), "")</f>
        <v>213</v>
      </c>
      <c r="H145" t="str">
        <f>IF(Sheet1!$B146,Sheet1!M146,"")</f>
        <v>ORTHO_RIGHT</v>
      </c>
      <c r="I145" t="str">
        <f>IF(Sheet1!$B146,Sheet1!N146,"")</f>
        <v>ORTHO_LEFT</v>
      </c>
      <c r="J145" t="str">
        <f>IF(Sheet1!$B146,Sheet1!O146,"")</f>
        <v>EMPTY</v>
      </c>
      <c r="K145" t="str">
        <f>IF(Sheet1!$B146,Sheet1!P146,"")</f>
        <v>EMPTY</v>
      </c>
    </row>
    <row r="146" spans="1:11">
      <c r="A146">
        <f>IF(Sheet1!$B147, CODE(Sheet1!D147), "")</f>
        <v>213</v>
      </c>
      <c r="B146">
        <f>IF(Sheet1!$B147, CODE(Sheet1!E147), "")</f>
        <v>211</v>
      </c>
      <c r="C146">
        <f>IF(Sheet1!$B147, CODE(Sheet1!F147), "")</f>
        <v>213</v>
      </c>
      <c r="D146">
        <f>IF(Sheet1!$B147, CODE(Sheet1!G147), "")</f>
        <v>214</v>
      </c>
      <c r="E146">
        <f>IF(Sheet1!$B147, CODE(Sheet1!H147), "")</f>
        <v>214</v>
      </c>
      <c r="F146">
        <f>IF(Sheet1!$B147, CODE(Sheet1!I147), "")</f>
        <v>212</v>
      </c>
      <c r="G146">
        <f>IF(Sheet1!$B147, CODE(Sheet1!J147), "")</f>
        <v>212</v>
      </c>
      <c r="H146" t="str">
        <f>IF(Sheet1!$B147,Sheet1!M147,"")</f>
        <v>EMPTY</v>
      </c>
      <c r="I146" t="str">
        <f>IF(Sheet1!$B147,Sheet1!N147,"")</f>
        <v>EMPTY</v>
      </c>
      <c r="J146" t="str">
        <f>IF(Sheet1!$B147,Sheet1!O147,"")</f>
        <v>ORTHO_DOWN</v>
      </c>
      <c r="K146" t="str">
        <f>IF(Sheet1!$B147,Sheet1!P147,"")</f>
        <v>ORTHO_UP</v>
      </c>
    </row>
    <row r="147" spans="1:11">
      <c r="A147">
        <f>IF(Sheet1!$B148, CODE(Sheet1!D148), "")</f>
        <v>214</v>
      </c>
      <c r="B147">
        <f>IF(Sheet1!$B148, CODE(Sheet1!E148), "")</f>
        <v>212</v>
      </c>
      <c r="C147">
        <f>IF(Sheet1!$B148, CODE(Sheet1!F148), "")</f>
        <v>214</v>
      </c>
      <c r="D147">
        <f>IF(Sheet1!$B148, CODE(Sheet1!G148), "")</f>
        <v>213</v>
      </c>
      <c r="E147">
        <f>IF(Sheet1!$B148, CODE(Sheet1!H148), "")</f>
        <v>213</v>
      </c>
      <c r="F147">
        <f>IF(Sheet1!$B148, CODE(Sheet1!I148), "")</f>
        <v>211</v>
      </c>
      <c r="G147">
        <f>IF(Sheet1!$B148, CODE(Sheet1!J148), "")</f>
        <v>211</v>
      </c>
      <c r="H147" t="str">
        <f>IF(Sheet1!$B148,Sheet1!M148,"")</f>
        <v>EMPTY</v>
      </c>
      <c r="I147" t="str">
        <f>IF(Sheet1!$B148,Sheet1!N148,"")</f>
        <v>EMPTY</v>
      </c>
      <c r="J147" t="str">
        <f>IF(Sheet1!$B148,Sheet1!O148,"")</f>
        <v>ORTHO_UP</v>
      </c>
      <c r="K147" t="str">
        <f>IF(Sheet1!$B148,Sheet1!P148,"")</f>
        <v>ORTHO_DOWN</v>
      </c>
    </row>
    <row r="148" spans="1:11">
      <c r="A148">
        <f>IF(Sheet1!$B149, CODE(Sheet1!D149), "")</f>
        <v>215</v>
      </c>
      <c r="B148">
        <f>IF(Sheet1!$B149, CODE(Sheet1!E149), "")</f>
        <v>216</v>
      </c>
      <c r="C148">
        <f>IF(Sheet1!$B149, CODE(Sheet1!F149), "")</f>
        <v>217</v>
      </c>
      <c r="D148">
        <f>IF(Sheet1!$B149, CODE(Sheet1!G149), "")</f>
        <v>217</v>
      </c>
      <c r="E148">
        <f>IF(Sheet1!$B149, CODE(Sheet1!H149), "")</f>
        <v>215</v>
      </c>
      <c r="F148">
        <f>IF(Sheet1!$B149, CODE(Sheet1!I149), "")</f>
        <v>216</v>
      </c>
      <c r="G148">
        <f>IF(Sheet1!$B149, CODE(Sheet1!J149), "")</f>
        <v>218</v>
      </c>
      <c r="H148" t="str">
        <f>IF(Sheet1!$B149,Sheet1!M149,"")</f>
        <v>EMPTY</v>
      </c>
      <c r="I148" t="str">
        <f>IF(Sheet1!$B149,Sheet1!N149,"")</f>
        <v>ORTHO_BOTH</v>
      </c>
      <c r="J148" t="str">
        <f>IF(Sheet1!$B149,Sheet1!O149,"")</f>
        <v>ORTHO_BOTH</v>
      </c>
      <c r="K148" t="str">
        <f>IF(Sheet1!$B149,Sheet1!P149,"")</f>
        <v>ORTHO_BOTH</v>
      </c>
    </row>
    <row r="149" spans="1:11">
      <c r="A149">
        <f>IF(Sheet1!$B150, CODE(Sheet1!D150), "")</f>
        <v>216</v>
      </c>
      <c r="B149">
        <f>IF(Sheet1!$B150, CODE(Sheet1!E150), "")</f>
        <v>217</v>
      </c>
      <c r="C149">
        <f>IF(Sheet1!$B150, CODE(Sheet1!F150), "")</f>
        <v>218</v>
      </c>
      <c r="D149">
        <f>IF(Sheet1!$B150, CODE(Sheet1!G150), "")</f>
        <v>216</v>
      </c>
      <c r="E149">
        <f>IF(Sheet1!$B150, CODE(Sheet1!H150), "")</f>
        <v>218</v>
      </c>
      <c r="F149">
        <f>IF(Sheet1!$B150, CODE(Sheet1!I150), "")</f>
        <v>215</v>
      </c>
      <c r="G149">
        <f>IF(Sheet1!$B150, CODE(Sheet1!J150), "")</f>
        <v>217</v>
      </c>
      <c r="H149" t="str">
        <f>IF(Sheet1!$B150,Sheet1!M150,"")</f>
        <v>ORTHO_BOTH</v>
      </c>
      <c r="I149" t="str">
        <f>IF(Sheet1!$B150,Sheet1!N150,"")</f>
        <v>ORTHO_BOTH</v>
      </c>
      <c r="J149" t="str">
        <f>IF(Sheet1!$B150,Sheet1!O150,"")</f>
        <v>ORTHO_BOTH</v>
      </c>
      <c r="K149" t="str">
        <f>IF(Sheet1!$B150,Sheet1!P150,"")</f>
        <v>EMPTY</v>
      </c>
    </row>
    <row r="150" spans="1:11">
      <c r="A150">
        <f>IF(Sheet1!$B151, CODE(Sheet1!D151), "")</f>
        <v>217</v>
      </c>
      <c r="B150">
        <f>IF(Sheet1!$B151, CODE(Sheet1!E151), "")</f>
        <v>218</v>
      </c>
      <c r="C150">
        <f>IF(Sheet1!$B151, CODE(Sheet1!F151), "")</f>
        <v>215</v>
      </c>
      <c r="D150">
        <f>IF(Sheet1!$B151, CODE(Sheet1!G151), "")</f>
        <v>215</v>
      </c>
      <c r="E150">
        <f>IF(Sheet1!$B151, CODE(Sheet1!H151), "")</f>
        <v>217</v>
      </c>
      <c r="F150">
        <f>IF(Sheet1!$B151, CODE(Sheet1!I151), "")</f>
        <v>218</v>
      </c>
      <c r="G150">
        <f>IF(Sheet1!$B151, CODE(Sheet1!J151), "")</f>
        <v>216</v>
      </c>
      <c r="H150" t="str">
        <f>IF(Sheet1!$B151,Sheet1!M151,"")</f>
        <v>ORTHO_BOTH</v>
      </c>
      <c r="I150" t="str">
        <f>IF(Sheet1!$B151,Sheet1!N151,"")</f>
        <v>EMPTY</v>
      </c>
      <c r="J150" t="str">
        <f>IF(Sheet1!$B151,Sheet1!O151,"")</f>
        <v>ORTHO_BOTH</v>
      </c>
      <c r="K150" t="str">
        <f>IF(Sheet1!$B151,Sheet1!P151,"")</f>
        <v>ORTHO_BOTH</v>
      </c>
    </row>
    <row r="151" spans="1:11">
      <c r="A151">
        <f>IF(Sheet1!$B152, CODE(Sheet1!D152), "")</f>
        <v>218</v>
      </c>
      <c r="B151">
        <f>IF(Sheet1!$B152, CODE(Sheet1!E152), "")</f>
        <v>215</v>
      </c>
      <c r="C151">
        <f>IF(Sheet1!$B152, CODE(Sheet1!F152), "")</f>
        <v>216</v>
      </c>
      <c r="D151">
        <f>IF(Sheet1!$B152, CODE(Sheet1!G152), "")</f>
        <v>218</v>
      </c>
      <c r="E151">
        <f>IF(Sheet1!$B152, CODE(Sheet1!H152), "")</f>
        <v>216</v>
      </c>
      <c r="F151">
        <f>IF(Sheet1!$B152, CODE(Sheet1!I152), "")</f>
        <v>217</v>
      </c>
      <c r="G151">
        <f>IF(Sheet1!$B152, CODE(Sheet1!J152), "")</f>
        <v>215</v>
      </c>
      <c r="H151" t="str">
        <f>IF(Sheet1!$B152,Sheet1!M152,"")</f>
        <v>ORTHO_BOTH</v>
      </c>
      <c r="I151" t="str">
        <f>IF(Sheet1!$B152,Sheet1!N152,"")</f>
        <v>ORTHO_BOTH</v>
      </c>
      <c r="J151" t="str">
        <f>IF(Sheet1!$B152,Sheet1!O152,"")</f>
        <v>EMPTY</v>
      </c>
      <c r="K151" t="str">
        <f>IF(Sheet1!$B152,Sheet1!P152,"")</f>
        <v>ORTHO_BOTH</v>
      </c>
    </row>
    <row r="152" spans="1:11">
      <c r="A152">
        <f>IF(Sheet1!$B153, CODE(Sheet1!D153), "")</f>
        <v>219</v>
      </c>
      <c r="B152">
        <f>IF(Sheet1!$B153, CODE(Sheet1!E153), "")</f>
        <v>220</v>
      </c>
      <c r="C152">
        <f>IF(Sheet1!$B153, CODE(Sheet1!F153), "")</f>
        <v>221</v>
      </c>
      <c r="D152">
        <f>IF(Sheet1!$B153, CODE(Sheet1!G153), "")</f>
        <v>221</v>
      </c>
      <c r="E152">
        <f>IF(Sheet1!$B153, CODE(Sheet1!H153), "")</f>
        <v>219</v>
      </c>
      <c r="F152">
        <f>IF(Sheet1!$B153, CODE(Sheet1!I153), "")</f>
        <v>220</v>
      </c>
      <c r="G152">
        <f>IF(Sheet1!$B153, CODE(Sheet1!J153), "")</f>
        <v>222</v>
      </c>
      <c r="H152" t="str">
        <f>IF(Sheet1!$B153,Sheet1!M153,"")</f>
        <v>EMPTY</v>
      </c>
      <c r="I152" t="str">
        <f>IF(Sheet1!$B153,Sheet1!N153,"")</f>
        <v>ORTHO_BOTH</v>
      </c>
      <c r="J152" t="str">
        <f>IF(Sheet1!$B153,Sheet1!O153,"")</f>
        <v>ORTHO_BOTH</v>
      </c>
      <c r="K152" t="str">
        <f>IF(Sheet1!$B153,Sheet1!P153,"")</f>
        <v>ORTHO_BOTH</v>
      </c>
    </row>
    <row r="153" spans="1:11">
      <c r="A153">
        <f>IF(Sheet1!$B154, CODE(Sheet1!D154), "")</f>
        <v>220</v>
      </c>
      <c r="B153">
        <f>IF(Sheet1!$B154, CODE(Sheet1!E154), "")</f>
        <v>221</v>
      </c>
      <c r="C153">
        <f>IF(Sheet1!$B154, CODE(Sheet1!F154), "")</f>
        <v>222</v>
      </c>
      <c r="D153">
        <f>IF(Sheet1!$B154, CODE(Sheet1!G154), "")</f>
        <v>220</v>
      </c>
      <c r="E153">
        <f>IF(Sheet1!$B154, CODE(Sheet1!H154), "")</f>
        <v>222</v>
      </c>
      <c r="F153">
        <f>IF(Sheet1!$B154, CODE(Sheet1!I154), "")</f>
        <v>219</v>
      </c>
      <c r="G153">
        <f>IF(Sheet1!$B154, CODE(Sheet1!J154), "")</f>
        <v>221</v>
      </c>
      <c r="H153" t="str">
        <f>IF(Sheet1!$B154,Sheet1!M154,"")</f>
        <v>ORTHO_BOTH</v>
      </c>
      <c r="I153" t="str">
        <f>IF(Sheet1!$B154,Sheet1!N154,"")</f>
        <v>ORTHO_BOTH</v>
      </c>
      <c r="J153" t="str">
        <f>IF(Sheet1!$B154,Sheet1!O154,"")</f>
        <v>ORTHO_BOTH</v>
      </c>
      <c r="K153" t="str">
        <f>IF(Sheet1!$B154,Sheet1!P154,"")</f>
        <v>EMPTY</v>
      </c>
    </row>
    <row r="154" spans="1:11">
      <c r="A154">
        <f>IF(Sheet1!$B155, CODE(Sheet1!D155), "")</f>
        <v>221</v>
      </c>
      <c r="B154">
        <f>IF(Sheet1!$B155, CODE(Sheet1!E155), "")</f>
        <v>222</v>
      </c>
      <c r="C154">
        <f>IF(Sheet1!$B155, CODE(Sheet1!F155), "")</f>
        <v>219</v>
      </c>
      <c r="D154">
        <f>IF(Sheet1!$B155, CODE(Sheet1!G155), "")</f>
        <v>219</v>
      </c>
      <c r="E154">
        <f>IF(Sheet1!$B155, CODE(Sheet1!H155), "")</f>
        <v>221</v>
      </c>
      <c r="F154">
        <f>IF(Sheet1!$B155, CODE(Sheet1!I155), "")</f>
        <v>222</v>
      </c>
      <c r="G154">
        <f>IF(Sheet1!$B155, CODE(Sheet1!J155), "")</f>
        <v>220</v>
      </c>
      <c r="H154" t="str">
        <f>IF(Sheet1!$B155,Sheet1!M155,"")</f>
        <v>ORTHO_BOTH</v>
      </c>
      <c r="I154" t="str">
        <f>IF(Sheet1!$B155,Sheet1!N155,"")</f>
        <v>EMPTY</v>
      </c>
      <c r="J154" t="str">
        <f>IF(Sheet1!$B155,Sheet1!O155,"")</f>
        <v>ORTHO_BOTH</v>
      </c>
      <c r="K154" t="str">
        <f>IF(Sheet1!$B155,Sheet1!P155,"")</f>
        <v>ORTHO_BOTH</v>
      </c>
    </row>
    <row r="155" spans="1:11">
      <c r="A155">
        <f>IF(Sheet1!$B156, CODE(Sheet1!D156), "")</f>
        <v>222</v>
      </c>
      <c r="B155">
        <f>IF(Sheet1!$B156, CODE(Sheet1!E156), "")</f>
        <v>219</v>
      </c>
      <c r="C155">
        <f>IF(Sheet1!$B156, CODE(Sheet1!F156), "")</f>
        <v>220</v>
      </c>
      <c r="D155">
        <f>IF(Sheet1!$B156, CODE(Sheet1!G156), "")</f>
        <v>222</v>
      </c>
      <c r="E155">
        <f>IF(Sheet1!$B156, CODE(Sheet1!H156), "")</f>
        <v>220</v>
      </c>
      <c r="F155">
        <f>IF(Sheet1!$B156, CODE(Sheet1!I156), "")</f>
        <v>221</v>
      </c>
      <c r="G155">
        <f>IF(Sheet1!$B156, CODE(Sheet1!J156), "")</f>
        <v>219</v>
      </c>
      <c r="H155" t="str">
        <f>IF(Sheet1!$B156,Sheet1!M156,"")</f>
        <v>ORTHO_BOTH</v>
      </c>
      <c r="I155" t="str">
        <f>IF(Sheet1!$B156,Sheet1!N156,"")</f>
        <v>ORTHO_BOTH</v>
      </c>
      <c r="J155" t="str">
        <f>IF(Sheet1!$B156,Sheet1!O156,"")</f>
        <v>EMPTY</v>
      </c>
      <c r="K155" t="str">
        <f>IF(Sheet1!$B156,Sheet1!P156,"")</f>
        <v>ORTHO_BOTH</v>
      </c>
    </row>
    <row r="156" spans="1:11">
      <c r="A156">
        <f>IF(Sheet1!$B157, CODE(Sheet1!D157), "")</f>
        <v>223</v>
      </c>
      <c r="B156">
        <f>IF(Sheet1!$B157, CODE(Sheet1!E157), "")</f>
        <v>223</v>
      </c>
      <c r="C156">
        <f>IF(Sheet1!$B157, CODE(Sheet1!F157), "")</f>
        <v>223</v>
      </c>
      <c r="D156">
        <f>IF(Sheet1!$B157, CODE(Sheet1!G157), "")</f>
        <v>223</v>
      </c>
      <c r="E156">
        <f>IF(Sheet1!$B157, CODE(Sheet1!H157), "")</f>
        <v>223</v>
      </c>
      <c r="F156">
        <f>IF(Sheet1!$B157, CODE(Sheet1!I157), "")</f>
        <v>223</v>
      </c>
      <c r="G156">
        <f>IF(Sheet1!$B157, CODE(Sheet1!J157), "")</f>
        <v>223</v>
      </c>
      <c r="H156" t="str">
        <f>IF(Sheet1!$B157,Sheet1!M157,"")</f>
        <v>ORTHO_BOTH</v>
      </c>
      <c r="I156" t="str">
        <f>IF(Sheet1!$B157,Sheet1!N157,"")</f>
        <v>ORTHO_BOTH</v>
      </c>
      <c r="J156" t="str">
        <f>IF(Sheet1!$B157,Sheet1!O157,"")</f>
        <v>ORTHO_BOTH</v>
      </c>
      <c r="K156" t="str">
        <f>IF(Sheet1!$B157,Sheet1!P157,"")</f>
        <v>ORTHO_BOTH</v>
      </c>
    </row>
    <row r="157" spans="1:11">
      <c r="A157">
        <f>IF(Sheet1!$B158, CODE(Sheet1!D158), "")</f>
        <v>224</v>
      </c>
      <c r="B157">
        <f>IF(Sheet1!$B158, CODE(Sheet1!E158), "")</f>
        <v>225</v>
      </c>
      <c r="C157">
        <f>IF(Sheet1!$B158, CODE(Sheet1!F158), "")</f>
        <v>226</v>
      </c>
      <c r="D157">
        <f>IF(Sheet1!$B158, CODE(Sheet1!G158), "")</f>
        <v>227</v>
      </c>
      <c r="E157">
        <f>IF(Sheet1!$B158, CODE(Sheet1!H158), "")</f>
        <v>225</v>
      </c>
      <c r="F157">
        <f>IF(Sheet1!$B158, CODE(Sheet1!I158), "")</f>
        <v>226</v>
      </c>
      <c r="G157">
        <f>IF(Sheet1!$B158, CODE(Sheet1!J158), "")</f>
        <v>224</v>
      </c>
      <c r="H157" t="str">
        <f>IF(Sheet1!$B158,Sheet1!M158,"")</f>
        <v>ORTHO_RIGHT</v>
      </c>
      <c r="I157" t="str">
        <f>IF(Sheet1!$B158,Sheet1!N158,"")</f>
        <v>ORTHO_BOTH</v>
      </c>
      <c r="J157" t="str">
        <f>IF(Sheet1!$B158,Sheet1!O158,"")</f>
        <v>ORTHO_DOWN</v>
      </c>
      <c r="K157" t="str">
        <f>IF(Sheet1!$B158,Sheet1!P158,"")</f>
        <v>ORTHO_BOTH</v>
      </c>
    </row>
    <row r="158" spans="1:11">
      <c r="A158">
        <f>IF(Sheet1!$B159, CODE(Sheet1!D159), "")</f>
        <v>225</v>
      </c>
      <c r="B158">
        <f>IF(Sheet1!$B159, CODE(Sheet1!E159), "")</f>
        <v>226</v>
      </c>
      <c r="C158">
        <f>IF(Sheet1!$B159, CODE(Sheet1!F159), "")</f>
        <v>227</v>
      </c>
      <c r="D158">
        <f>IF(Sheet1!$B159, CODE(Sheet1!G159), "")</f>
        <v>226</v>
      </c>
      <c r="E158">
        <f>IF(Sheet1!$B159, CODE(Sheet1!H159), "")</f>
        <v>224</v>
      </c>
      <c r="F158">
        <f>IF(Sheet1!$B159, CODE(Sheet1!I159), "")</f>
        <v>225</v>
      </c>
      <c r="G158">
        <f>IF(Sheet1!$B159, CODE(Sheet1!J159), "")</f>
        <v>227</v>
      </c>
      <c r="H158" t="str">
        <f>IF(Sheet1!$B159,Sheet1!M159,"")</f>
        <v>ORTHO_LEFT</v>
      </c>
      <c r="I158" t="str">
        <f>IF(Sheet1!$B159,Sheet1!N159,"")</f>
        <v>ORTHO_BOTH</v>
      </c>
      <c r="J158" t="str">
        <f>IF(Sheet1!$B159,Sheet1!O159,"")</f>
        <v>ORTHO_BOTH</v>
      </c>
      <c r="K158" t="str">
        <f>IF(Sheet1!$B159,Sheet1!P159,"")</f>
        <v>ORTHO_DOWN</v>
      </c>
    </row>
    <row r="159" spans="1:11">
      <c r="A159">
        <f>IF(Sheet1!$B160, CODE(Sheet1!D160), "")</f>
        <v>226</v>
      </c>
      <c r="B159">
        <f>IF(Sheet1!$B160, CODE(Sheet1!E160), "")</f>
        <v>227</v>
      </c>
      <c r="C159">
        <f>IF(Sheet1!$B160, CODE(Sheet1!F160), "")</f>
        <v>224</v>
      </c>
      <c r="D159">
        <f>IF(Sheet1!$B160, CODE(Sheet1!G160), "")</f>
        <v>225</v>
      </c>
      <c r="E159">
        <f>IF(Sheet1!$B160, CODE(Sheet1!H160), "")</f>
        <v>227</v>
      </c>
      <c r="F159">
        <f>IF(Sheet1!$B160, CODE(Sheet1!I160), "")</f>
        <v>224</v>
      </c>
      <c r="G159">
        <f>IF(Sheet1!$B160, CODE(Sheet1!J160), "")</f>
        <v>226</v>
      </c>
      <c r="H159" t="str">
        <f>IF(Sheet1!$B160,Sheet1!M160,"")</f>
        <v>ORTHO_BOTH</v>
      </c>
      <c r="I159" t="str">
        <f>IF(Sheet1!$B160,Sheet1!N160,"")</f>
        <v>ORTHO_LEFT</v>
      </c>
      <c r="J159" t="str">
        <f>IF(Sheet1!$B160,Sheet1!O160,"")</f>
        <v>ORTHO_BOTH</v>
      </c>
      <c r="K159" t="str">
        <f>IF(Sheet1!$B160,Sheet1!P160,"")</f>
        <v>ORTHO_UP</v>
      </c>
    </row>
    <row r="160" spans="1:11">
      <c r="A160">
        <f>IF(Sheet1!$B161, CODE(Sheet1!D161), "")</f>
        <v>227</v>
      </c>
      <c r="B160">
        <f>IF(Sheet1!$B161, CODE(Sheet1!E161), "")</f>
        <v>224</v>
      </c>
      <c r="C160">
        <f>IF(Sheet1!$B161, CODE(Sheet1!F161), "")</f>
        <v>225</v>
      </c>
      <c r="D160">
        <f>IF(Sheet1!$B161, CODE(Sheet1!G161), "")</f>
        <v>224</v>
      </c>
      <c r="E160">
        <f>IF(Sheet1!$B161, CODE(Sheet1!H161), "")</f>
        <v>226</v>
      </c>
      <c r="F160">
        <f>IF(Sheet1!$B161, CODE(Sheet1!I161), "")</f>
        <v>227</v>
      </c>
      <c r="G160">
        <f>IF(Sheet1!$B161, CODE(Sheet1!J161), "")</f>
        <v>225</v>
      </c>
      <c r="H160" t="str">
        <f>IF(Sheet1!$B161,Sheet1!M161,"")</f>
        <v>ORTHO_BOTH</v>
      </c>
      <c r="I160" t="str">
        <f>IF(Sheet1!$B161,Sheet1!N161,"")</f>
        <v>ORTHO_RIGHT</v>
      </c>
      <c r="J160" t="str">
        <f>IF(Sheet1!$B161,Sheet1!O161,"")</f>
        <v>ORTHO_UP</v>
      </c>
      <c r="K160" t="str">
        <f>IF(Sheet1!$B161,Sheet1!P161,"")</f>
        <v>ORTHO_BOTH</v>
      </c>
    </row>
    <row r="161" spans="1:11">
      <c r="A161" t="str">
        <f>IF(Sheet1!$B162, CODE(Sheet1!D162), "")</f>
        <v/>
      </c>
      <c r="B161" t="str">
        <f>IF(Sheet1!$B162, CODE(Sheet1!E162), "")</f>
        <v/>
      </c>
      <c r="C161" t="str">
        <f>IF(Sheet1!$B162, CODE(Sheet1!F162), "")</f>
        <v/>
      </c>
      <c r="D161" t="str">
        <f>IF(Sheet1!$B162, CODE(Sheet1!G162), "")</f>
        <v/>
      </c>
      <c r="E161" t="str">
        <f>IF(Sheet1!$B162, CODE(Sheet1!H162), "")</f>
        <v/>
      </c>
      <c r="F161" t="str">
        <f>IF(Sheet1!$B162, CODE(Sheet1!I162), "")</f>
        <v/>
      </c>
      <c r="G161" t="str">
        <f>IF(Sheet1!$B162, CODE(Sheet1!J162), "")</f>
        <v/>
      </c>
      <c r="H161" t="str">
        <f>IF(Sheet1!$B162,Sheet1!M162,"")</f>
        <v/>
      </c>
      <c r="I161" t="str">
        <f>IF(Sheet1!$B162,Sheet1!N162,"")</f>
        <v/>
      </c>
      <c r="J161" t="str">
        <f>IF(Sheet1!$B162,Sheet1!O162,"")</f>
        <v/>
      </c>
      <c r="K161" t="str">
        <f>IF(Sheet1!$B162,Sheet1!P162,"")</f>
        <v/>
      </c>
    </row>
    <row r="162" spans="1:11">
      <c r="A162" t="str">
        <f>IF(Sheet1!$B163, CODE(Sheet1!D163), "")</f>
        <v/>
      </c>
      <c r="B162" t="str">
        <f>IF(Sheet1!$B163, CODE(Sheet1!E163), "")</f>
        <v/>
      </c>
      <c r="C162" t="str">
        <f>IF(Sheet1!$B163, CODE(Sheet1!F163), "")</f>
        <v/>
      </c>
      <c r="D162" t="str">
        <f>IF(Sheet1!$B163, CODE(Sheet1!G163), "")</f>
        <v/>
      </c>
      <c r="E162" t="str">
        <f>IF(Sheet1!$B163, CODE(Sheet1!H163), "")</f>
        <v/>
      </c>
      <c r="F162" t="str">
        <f>IF(Sheet1!$B163, CODE(Sheet1!I163), "")</f>
        <v/>
      </c>
      <c r="G162" t="str">
        <f>IF(Sheet1!$B163, CODE(Sheet1!J163), "")</f>
        <v/>
      </c>
      <c r="H162" t="str">
        <f>IF(Sheet1!$B163,Sheet1!M163,"")</f>
        <v/>
      </c>
      <c r="I162" t="str">
        <f>IF(Sheet1!$B163,Sheet1!N163,"")</f>
        <v/>
      </c>
      <c r="J162" t="str">
        <f>IF(Sheet1!$B163,Sheet1!O163,"")</f>
        <v/>
      </c>
      <c r="K162" t="str">
        <f>IF(Sheet1!$B163,Sheet1!P163,"")</f>
        <v/>
      </c>
    </row>
    <row r="163" spans="1:11">
      <c r="A163" t="str">
        <f>IF(Sheet1!$B164, CODE(Sheet1!D164), "")</f>
        <v/>
      </c>
      <c r="B163" t="str">
        <f>IF(Sheet1!$B164, CODE(Sheet1!E164), "")</f>
        <v/>
      </c>
      <c r="C163" t="str">
        <f>IF(Sheet1!$B164, CODE(Sheet1!F164), "")</f>
        <v/>
      </c>
      <c r="D163" t="str">
        <f>IF(Sheet1!$B164, CODE(Sheet1!G164), "")</f>
        <v/>
      </c>
      <c r="E163" t="str">
        <f>IF(Sheet1!$B164, CODE(Sheet1!H164), "")</f>
        <v/>
      </c>
      <c r="F163" t="str">
        <f>IF(Sheet1!$B164, CODE(Sheet1!I164), "")</f>
        <v/>
      </c>
      <c r="G163" t="str">
        <f>IF(Sheet1!$B164, CODE(Sheet1!J164), "")</f>
        <v/>
      </c>
      <c r="H163" t="str">
        <f>IF(Sheet1!$B164,Sheet1!M164,"")</f>
        <v/>
      </c>
      <c r="I163" t="str">
        <f>IF(Sheet1!$B164,Sheet1!N164,"")</f>
        <v/>
      </c>
      <c r="J163" t="str">
        <f>IF(Sheet1!$B164,Sheet1!O164,"")</f>
        <v/>
      </c>
      <c r="K163" t="str">
        <f>IF(Sheet1!$B164,Sheet1!P164,"")</f>
        <v/>
      </c>
    </row>
    <row r="164" spans="1:11">
      <c r="A164" t="str">
        <f>IF(Sheet1!$B165, CODE(Sheet1!D165), "")</f>
        <v/>
      </c>
      <c r="B164" t="str">
        <f>IF(Sheet1!$B165, CODE(Sheet1!E165), "")</f>
        <v/>
      </c>
      <c r="C164" t="str">
        <f>IF(Sheet1!$B165, CODE(Sheet1!F165), "")</f>
        <v/>
      </c>
      <c r="D164" t="str">
        <f>IF(Sheet1!$B165, CODE(Sheet1!G165), "")</f>
        <v/>
      </c>
      <c r="E164" t="str">
        <f>IF(Sheet1!$B165, CODE(Sheet1!H165), "")</f>
        <v/>
      </c>
      <c r="F164" t="str">
        <f>IF(Sheet1!$B165, CODE(Sheet1!I165), "")</f>
        <v/>
      </c>
      <c r="G164" t="str">
        <f>IF(Sheet1!$B165, CODE(Sheet1!J165), "")</f>
        <v/>
      </c>
      <c r="H164" t="str">
        <f>IF(Sheet1!$B165,Sheet1!M165,"")</f>
        <v/>
      </c>
      <c r="I164" t="str">
        <f>IF(Sheet1!$B165,Sheet1!N165,"")</f>
        <v/>
      </c>
      <c r="J164" t="str">
        <f>IF(Sheet1!$B165,Sheet1!O165,"")</f>
        <v/>
      </c>
      <c r="K164" t="str">
        <f>IF(Sheet1!$B165,Sheet1!P165,"")</f>
        <v/>
      </c>
    </row>
    <row r="165" spans="1:11">
      <c r="A165" t="str">
        <f>IF(Sheet1!$B166, CODE(Sheet1!D166), "")</f>
        <v/>
      </c>
      <c r="B165" t="str">
        <f>IF(Sheet1!$B166, CODE(Sheet1!E166), "")</f>
        <v/>
      </c>
      <c r="C165" t="str">
        <f>IF(Sheet1!$B166, CODE(Sheet1!F166), "")</f>
        <v/>
      </c>
      <c r="D165" t="str">
        <f>IF(Sheet1!$B166, CODE(Sheet1!G166), "")</f>
        <v/>
      </c>
      <c r="E165" t="str">
        <f>IF(Sheet1!$B166, CODE(Sheet1!H166), "")</f>
        <v/>
      </c>
      <c r="F165" t="str">
        <f>IF(Sheet1!$B166, CODE(Sheet1!I166), "")</f>
        <v/>
      </c>
      <c r="G165" t="str">
        <f>IF(Sheet1!$B166, CODE(Sheet1!J166), "")</f>
        <v/>
      </c>
      <c r="H165" t="str">
        <f>IF(Sheet1!$B166,Sheet1!M166,"")</f>
        <v/>
      </c>
      <c r="I165" t="str">
        <f>IF(Sheet1!$B166,Sheet1!N166,"")</f>
        <v/>
      </c>
      <c r="J165" t="str">
        <f>IF(Sheet1!$B166,Sheet1!O166,"")</f>
        <v/>
      </c>
      <c r="K165" t="str">
        <f>IF(Sheet1!$B166,Sheet1!P166,"")</f>
        <v/>
      </c>
    </row>
    <row r="166" spans="1:11">
      <c r="A166" t="str">
        <f>IF(Sheet1!$B167, CODE(Sheet1!D167), "")</f>
        <v/>
      </c>
      <c r="B166" t="str">
        <f>IF(Sheet1!$B167, CODE(Sheet1!E167), "")</f>
        <v/>
      </c>
      <c r="C166" t="str">
        <f>IF(Sheet1!$B167, CODE(Sheet1!F167), "")</f>
        <v/>
      </c>
      <c r="D166" t="str">
        <f>IF(Sheet1!$B167, CODE(Sheet1!G167), "")</f>
        <v/>
      </c>
      <c r="E166" t="str">
        <f>IF(Sheet1!$B167, CODE(Sheet1!H167), "")</f>
        <v/>
      </c>
      <c r="F166" t="str">
        <f>IF(Sheet1!$B167, CODE(Sheet1!I167), "")</f>
        <v/>
      </c>
      <c r="G166" t="str">
        <f>IF(Sheet1!$B167, CODE(Sheet1!J167), "")</f>
        <v/>
      </c>
      <c r="H166" t="str">
        <f>IF(Sheet1!$B167,Sheet1!M167,"")</f>
        <v/>
      </c>
      <c r="I166" t="str">
        <f>IF(Sheet1!$B167,Sheet1!N167,"")</f>
        <v/>
      </c>
      <c r="J166" t="str">
        <f>IF(Sheet1!$B167,Sheet1!O167,"")</f>
        <v/>
      </c>
      <c r="K166" t="str">
        <f>IF(Sheet1!$B167,Sheet1!P167,"")</f>
        <v/>
      </c>
    </row>
    <row r="167" spans="1:11">
      <c r="A167" t="str">
        <f>IF(Sheet1!$B168, CODE(Sheet1!D168), "")</f>
        <v/>
      </c>
      <c r="B167" t="str">
        <f>IF(Sheet1!$B168, CODE(Sheet1!E168), "")</f>
        <v/>
      </c>
      <c r="C167" t="str">
        <f>IF(Sheet1!$B168, CODE(Sheet1!F168), "")</f>
        <v/>
      </c>
      <c r="D167" t="str">
        <f>IF(Sheet1!$B168, CODE(Sheet1!G168), "")</f>
        <v/>
      </c>
      <c r="E167" t="str">
        <f>IF(Sheet1!$B168, CODE(Sheet1!H168), "")</f>
        <v/>
      </c>
      <c r="F167" t="str">
        <f>IF(Sheet1!$B168, CODE(Sheet1!I168), "")</f>
        <v/>
      </c>
      <c r="G167" t="str">
        <f>IF(Sheet1!$B168, CODE(Sheet1!J168), "")</f>
        <v/>
      </c>
      <c r="H167" t="str">
        <f>IF(Sheet1!$B168,Sheet1!M168,"")</f>
        <v/>
      </c>
      <c r="I167" t="str">
        <f>IF(Sheet1!$B168,Sheet1!N168,"")</f>
        <v/>
      </c>
      <c r="J167" t="str">
        <f>IF(Sheet1!$B168,Sheet1!O168,"")</f>
        <v/>
      </c>
      <c r="K167" t="str">
        <f>IF(Sheet1!$B168,Sheet1!P168,"")</f>
        <v/>
      </c>
    </row>
    <row r="168" spans="1:11">
      <c r="A168" t="str">
        <f>IF(Sheet1!$B169, CODE(Sheet1!D169), "")</f>
        <v/>
      </c>
      <c r="B168" t="str">
        <f>IF(Sheet1!$B169, CODE(Sheet1!E169), "")</f>
        <v/>
      </c>
      <c r="C168" t="str">
        <f>IF(Sheet1!$B169, CODE(Sheet1!F169), "")</f>
        <v/>
      </c>
      <c r="D168" t="str">
        <f>IF(Sheet1!$B169, CODE(Sheet1!G169), "")</f>
        <v/>
      </c>
      <c r="E168" t="str">
        <f>IF(Sheet1!$B169, CODE(Sheet1!H169), "")</f>
        <v/>
      </c>
      <c r="F168" t="str">
        <f>IF(Sheet1!$B169, CODE(Sheet1!I169), "")</f>
        <v/>
      </c>
      <c r="G168" t="str">
        <f>IF(Sheet1!$B169, CODE(Sheet1!J169), "")</f>
        <v/>
      </c>
      <c r="H168" t="str">
        <f>IF(Sheet1!$B169,Sheet1!M169,"")</f>
        <v/>
      </c>
      <c r="I168" t="str">
        <f>IF(Sheet1!$B169,Sheet1!N169,"")</f>
        <v/>
      </c>
      <c r="J168" t="str">
        <f>IF(Sheet1!$B169,Sheet1!O169,"")</f>
        <v/>
      </c>
      <c r="K168" t="str">
        <f>IF(Sheet1!$B169,Sheet1!P169,"")</f>
        <v/>
      </c>
    </row>
    <row r="169" spans="1:11">
      <c r="A169" t="str">
        <f>IF(Sheet1!$B170, CODE(Sheet1!D170), "")</f>
        <v/>
      </c>
      <c r="B169" t="str">
        <f>IF(Sheet1!$B170, CODE(Sheet1!E170), "")</f>
        <v/>
      </c>
      <c r="C169" t="str">
        <f>IF(Sheet1!$B170, CODE(Sheet1!F170), "")</f>
        <v/>
      </c>
      <c r="D169" t="str">
        <f>IF(Sheet1!$B170, CODE(Sheet1!G170), "")</f>
        <v/>
      </c>
      <c r="E169" t="str">
        <f>IF(Sheet1!$B170, CODE(Sheet1!H170), "")</f>
        <v/>
      </c>
      <c r="F169" t="str">
        <f>IF(Sheet1!$B170, CODE(Sheet1!I170), "")</f>
        <v/>
      </c>
      <c r="G169" t="str">
        <f>IF(Sheet1!$B170, CODE(Sheet1!J170), "")</f>
        <v/>
      </c>
      <c r="H169" t="str">
        <f>IF(Sheet1!$B170,Sheet1!M170,"")</f>
        <v/>
      </c>
      <c r="I169" t="str">
        <f>IF(Sheet1!$B170,Sheet1!N170,"")</f>
        <v/>
      </c>
      <c r="J169" t="str">
        <f>IF(Sheet1!$B170,Sheet1!O170,"")</f>
        <v/>
      </c>
      <c r="K169" t="str">
        <f>IF(Sheet1!$B170,Sheet1!P170,"")</f>
        <v/>
      </c>
    </row>
    <row r="170" spans="1:11">
      <c r="A170" t="str">
        <f>IF(Sheet1!$B171, CODE(Sheet1!D171), "")</f>
        <v/>
      </c>
      <c r="B170" t="str">
        <f>IF(Sheet1!$B171, CODE(Sheet1!E171), "")</f>
        <v/>
      </c>
      <c r="C170" t="str">
        <f>IF(Sheet1!$B171, CODE(Sheet1!F171), "")</f>
        <v/>
      </c>
      <c r="D170" t="str">
        <f>IF(Sheet1!$B171, CODE(Sheet1!G171), "")</f>
        <v/>
      </c>
      <c r="E170" t="str">
        <f>IF(Sheet1!$B171, CODE(Sheet1!H171), "")</f>
        <v/>
      </c>
      <c r="F170" t="str">
        <f>IF(Sheet1!$B171, CODE(Sheet1!I171), "")</f>
        <v/>
      </c>
      <c r="G170" t="str">
        <f>IF(Sheet1!$B171, CODE(Sheet1!J171), "")</f>
        <v/>
      </c>
      <c r="H170" t="str">
        <f>IF(Sheet1!$B171,Sheet1!M171,"")</f>
        <v/>
      </c>
      <c r="I170" t="str">
        <f>IF(Sheet1!$B171,Sheet1!N171,"")</f>
        <v/>
      </c>
      <c r="J170" t="str">
        <f>IF(Sheet1!$B171,Sheet1!O171,"")</f>
        <v/>
      </c>
      <c r="K170" t="str">
        <f>IF(Sheet1!$B171,Sheet1!P171,"")</f>
        <v/>
      </c>
    </row>
    <row r="171" spans="1:11">
      <c r="A171" t="str">
        <f>IF(Sheet1!$B172, CODE(Sheet1!D172), "")</f>
        <v/>
      </c>
      <c r="B171" t="str">
        <f>IF(Sheet1!$B172, CODE(Sheet1!E172), "")</f>
        <v/>
      </c>
      <c r="C171" t="str">
        <f>IF(Sheet1!$B172, CODE(Sheet1!F172), "")</f>
        <v/>
      </c>
      <c r="D171" t="str">
        <f>IF(Sheet1!$B172, CODE(Sheet1!G172), "")</f>
        <v/>
      </c>
      <c r="E171" t="str">
        <f>IF(Sheet1!$B172, CODE(Sheet1!H172), "")</f>
        <v/>
      </c>
      <c r="F171" t="str">
        <f>IF(Sheet1!$B172, CODE(Sheet1!I172), "")</f>
        <v/>
      </c>
      <c r="G171" t="str">
        <f>IF(Sheet1!$B172, CODE(Sheet1!J172), "")</f>
        <v/>
      </c>
      <c r="H171" t="str">
        <f>IF(Sheet1!$B172,Sheet1!M172,"")</f>
        <v/>
      </c>
      <c r="I171" t="str">
        <f>IF(Sheet1!$B172,Sheet1!N172,"")</f>
        <v/>
      </c>
      <c r="J171" t="str">
        <f>IF(Sheet1!$B172,Sheet1!O172,"")</f>
        <v/>
      </c>
      <c r="K171" t="str">
        <f>IF(Sheet1!$B172,Sheet1!P172,"")</f>
        <v/>
      </c>
    </row>
    <row r="172" spans="1:11">
      <c r="A172">
        <f>IF(Sheet1!$B173, CODE(Sheet1!D173), "")</f>
        <v>240</v>
      </c>
      <c r="B172">
        <f>IF(Sheet1!$B173, CODE(Sheet1!E173), "")</f>
        <v>243</v>
      </c>
      <c r="C172">
        <f>IF(Sheet1!$B173, CODE(Sheet1!F173), "")</f>
        <v>241</v>
      </c>
      <c r="D172">
        <f>IF(Sheet1!$B173, CODE(Sheet1!G173), "")</f>
        <v>241</v>
      </c>
      <c r="E172">
        <f>IF(Sheet1!$B173, CODE(Sheet1!H173), "")</f>
        <v>240</v>
      </c>
      <c r="F172">
        <f>IF(Sheet1!$B173, CODE(Sheet1!I173), "")</f>
        <v>243</v>
      </c>
      <c r="G172">
        <f>IF(Sheet1!$B173, CODE(Sheet1!J173), "")</f>
        <v>242</v>
      </c>
      <c r="H172" t="str">
        <f>IF(Sheet1!$B173,Sheet1!M173,"")</f>
        <v>EMPTY</v>
      </c>
      <c r="I172" t="str">
        <f>IF(Sheet1!$B173,Sheet1!N173,"")</f>
        <v>EMPTY</v>
      </c>
      <c r="J172" t="str">
        <f>IF(Sheet1!$B173,Sheet1!O173,"")</f>
        <v>DIAG_FRONT</v>
      </c>
      <c r="K172" t="str">
        <f>IF(Sheet1!$B173,Sheet1!P173,"")</f>
        <v>DIAG_BACK</v>
      </c>
    </row>
    <row r="173" spans="1:11">
      <c r="A173">
        <f>IF(Sheet1!$B174, CODE(Sheet1!D174), "")</f>
        <v>241</v>
      </c>
      <c r="B173">
        <f>IF(Sheet1!$B174, CODE(Sheet1!E174), "")</f>
        <v>242</v>
      </c>
      <c r="C173">
        <f>IF(Sheet1!$B174, CODE(Sheet1!F174), "")</f>
        <v>240</v>
      </c>
      <c r="D173">
        <f>IF(Sheet1!$B174, CODE(Sheet1!G174), "")</f>
        <v>240</v>
      </c>
      <c r="E173">
        <f>IF(Sheet1!$B174, CODE(Sheet1!H174), "")</f>
        <v>241</v>
      </c>
      <c r="F173">
        <f>IF(Sheet1!$B174, CODE(Sheet1!I174), "")</f>
        <v>242</v>
      </c>
      <c r="G173">
        <f>IF(Sheet1!$B174, CODE(Sheet1!J174), "")</f>
        <v>243</v>
      </c>
      <c r="H173" t="str">
        <f>IF(Sheet1!$B174,Sheet1!M174,"")</f>
        <v>EMPTY</v>
      </c>
      <c r="I173" t="str">
        <f>IF(Sheet1!$B174,Sheet1!N174,"")</f>
        <v>EMPTY</v>
      </c>
      <c r="J173" t="str">
        <f>IF(Sheet1!$B174,Sheet1!O174,"")</f>
        <v>DIAG_BACK</v>
      </c>
      <c r="K173" t="str">
        <f>IF(Sheet1!$B174,Sheet1!P174,"")</f>
        <v>DIAG_FRONT</v>
      </c>
    </row>
    <row r="174" spans="1:11">
      <c r="A174">
        <f>IF(Sheet1!$B175, CODE(Sheet1!D175), "")</f>
        <v>242</v>
      </c>
      <c r="B174">
        <f>IF(Sheet1!$B175, CODE(Sheet1!E175), "")</f>
        <v>240</v>
      </c>
      <c r="C174">
        <f>IF(Sheet1!$B175, CODE(Sheet1!F175), "")</f>
        <v>243</v>
      </c>
      <c r="D174">
        <f>IF(Sheet1!$B175, CODE(Sheet1!G175), "")</f>
        <v>242</v>
      </c>
      <c r="E174">
        <f>IF(Sheet1!$B175, CODE(Sheet1!H175), "")</f>
        <v>243</v>
      </c>
      <c r="F174">
        <f>IF(Sheet1!$B175, CODE(Sheet1!I175), "")</f>
        <v>241</v>
      </c>
      <c r="G174">
        <f>IF(Sheet1!$B175, CODE(Sheet1!J175), "")</f>
        <v>240</v>
      </c>
      <c r="H174" t="str">
        <f>IF(Sheet1!$B175,Sheet1!M175,"")</f>
        <v>DIAG_BACK</v>
      </c>
      <c r="I174" t="str">
        <f>IF(Sheet1!$B175,Sheet1!N175,"")</f>
        <v>DIAG_FRONT</v>
      </c>
      <c r="J174" t="str">
        <f>IF(Sheet1!$B175,Sheet1!O175,"")</f>
        <v>EMPTY</v>
      </c>
      <c r="K174" t="str">
        <f>IF(Sheet1!$B175,Sheet1!P175,"")</f>
        <v>EMPTY</v>
      </c>
    </row>
    <row r="175" spans="1:11">
      <c r="A175">
        <f>IF(Sheet1!$B176, CODE(Sheet1!D176), "")</f>
        <v>243</v>
      </c>
      <c r="B175">
        <f>IF(Sheet1!$B176, CODE(Sheet1!E176), "")</f>
        <v>241</v>
      </c>
      <c r="C175">
        <f>IF(Sheet1!$B176, CODE(Sheet1!F176), "")</f>
        <v>242</v>
      </c>
      <c r="D175">
        <f>IF(Sheet1!$B176, CODE(Sheet1!G176), "")</f>
        <v>243</v>
      </c>
      <c r="E175">
        <f>IF(Sheet1!$B176, CODE(Sheet1!H176), "")</f>
        <v>242</v>
      </c>
      <c r="F175">
        <f>IF(Sheet1!$B176, CODE(Sheet1!I176), "")</f>
        <v>240</v>
      </c>
      <c r="G175">
        <f>IF(Sheet1!$B176, CODE(Sheet1!J176), "")</f>
        <v>241</v>
      </c>
      <c r="H175" t="str">
        <f>IF(Sheet1!$B176,Sheet1!M176,"")</f>
        <v>DIAG_FRONT</v>
      </c>
      <c r="I175" t="str">
        <f>IF(Sheet1!$B176,Sheet1!N176,"")</f>
        <v>DIAG_BACK</v>
      </c>
      <c r="J175" t="str">
        <f>IF(Sheet1!$B176,Sheet1!O176,"")</f>
        <v>EMPTY</v>
      </c>
      <c r="K175" t="str">
        <f>IF(Sheet1!$B176,Sheet1!P176,"")</f>
        <v>EMPTY</v>
      </c>
    </row>
    <row r="176" spans="1:11">
      <c r="A176">
        <f>IF(Sheet1!$B177, CODE(Sheet1!D177), "")</f>
        <v>244</v>
      </c>
      <c r="B176">
        <f>IF(Sheet1!$B177, CODE(Sheet1!E177), "")</f>
        <v>249</v>
      </c>
      <c r="C176">
        <f>IF(Sheet1!$B177, CODE(Sheet1!F177), "")</f>
        <v>247</v>
      </c>
      <c r="D176">
        <f>IF(Sheet1!$B177, CODE(Sheet1!G177), "")</f>
        <v>246</v>
      </c>
      <c r="E176">
        <f>IF(Sheet1!$B177, CODE(Sheet1!H177), "")</f>
        <v>245</v>
      </c>
      <c r="F176">
        <f>IF(Sheet1!$B177, CODE(Sheet1!I177), "")</f>
        <v>252</v>
      </c>
      <c r="G176">
        <f>IF(Sheet1!$B177, CODE(Sheet1!J177), "")</f>
        <v>248</v>
      </c>
      <c r="H176" t="str">
        <f>IF(Sheet1!$B177,Sheet1!M177,"")</f>
        <v>EMPTY</v>
      </c>
      <c r="I176" t="str">
        <f>IF(Sheet1!$B177,Sheet1!N177,"")</f>
        <v>DIAG_BOTH</v>
      </c>
      <c r="J176" t="str">
        <f>IF(Sheet1!$B177,Sheet1!O177,"")</f>
        <v>EMPTY</v>
      </c>
      <c r="K176" t="str">
        <f>IF(Sheet1!$B177,Sheet1!P177,"")</f>
        <v>ORTHO_BOTH</v>
      </c>
    </row>
    <row r="177" spans="1:11">
      <c r="A177">
        <f>IF(Sheet1!$B178, CODE(Sheet1!D178), "")</f>
        <v>245</v>
      </c>
      <c r="B177">
        <f>IF(Sheet1!$B178, CODE(Sheet1!E178), "")</f>
        <v>252</v>
      </c>
      <c r="C177">
        <f>IF(Sheet1!$B178, CODE(Sheet1!F178), "")</f>
        <v>246</v>
      </c>
      <c r="D177">
        <f>IF(Sheet1!$B178, CODE(Sheet1!G178), "")</f>
        <v>247</v>
      </c>
      <c r="E177">
        <f>IF(Sheet1!$B178, CODE(Sheet1!H178), "")</f>
        <v>244</v>
      </c>
      <c r="F177">
        <f>IF(Sheet1!$B178, CODE(Sheet1!I178), "")</f>
        <v>249</v>
      </c>
      <c r="G177">
        <f>IF(Sheet1!$B178, CODE(Sheet1!J178), "")</f>
        <v>251</v>
      </c>
      <c r="H177" t="str">
        <f>IF(Sheet1!$B178,Sheet1!M178,"")</f>
        <v>EMPTY</v>
      </c>
      <c r="I177" t="str">
        <f>IF(Sheet1!$B178,Sheet1!N178,"")</f>
        <v>DIAG_BOTH</v>
      </c>
      <c r="J177" t="str">
        <f>IF(Sheet1!$B178,Sheet1!O178,"")</f>
        <v>ORTHO_BOTH</v>
      </c>
      <c r="K177" t="str">
        <f>IF(Sheet1!$B178,Sheet1!P178,"")</f>
        <v>EMPTY</v>
      </c>
    </row>
    <row r="178" spans="1:11">
      <c r="A178">
        <f>IF(Sheet1!$B179, CODE(Sheet1!D179), "")</f>
        <v>246</v>
      </c>
      <c r="B178">
        <f>IF(Sheet1!$B179, CODE(Sheet1!E179), "")</f>
        <v>248</v>
      </c>
      <c r="C178">
        <f>IF(Sheet1!$B179, CODE(Sheet1!F179), "")</f>
        <v>245</v>
      </c>
      <c r="D178">
        <f>IF(Sheet1!$B179, CODE(Sheet1!G179), "")</f>
        <v>244</v>
      </c>
      <c r="E178">
        <f>IF(Sheet1!$B179, CODE(Sheet1!H179), "")</f>
        <v>247</v>
      </c>
      <c r="F178">
        <f>IF(Sheet1!$B179, CODE(Sheet1!I179), "")</f>
        <v>251</v>
      </c>
      <c r="G178">
        <f>IF(Sheet1!$B179, CODE(Sheet1!J179), "")</f>
        <v>249</v>
      </c>
      <c r="H178" t="str">
        <f>IF(Sheet1!$B179,Sheet1!M179,"")</f>
        <v>DIAG_BOTH</v>
      </c>
      <c r="I178" t="str">
        <f>IF(Sheet1!$B179,Sheet1!N179,"")</f>
        <v>EMPTY</v>
      </c>
      <c r="J178" t="str">
        <f>IF(Sheet1!$B179,Sheet1!O179,"")</f>
        <v>EMPTY</v>
      </c>
      <c r="K178" t="str">
        <f>IF(Sheet1!$B179,Sheet1!P179,"")</f>
        <v>ORTHO_BOTH</v>
      </c>
    </row>
    <row r="179" spans="1:11">
      <c r="A179">
        <f>IF(Sheet1!$B180, CODE(Sheet1!D180), "")</f>
        <v>247</v>
      </c>
      <c r="B179">
        <f>IF(Sheet1!$B180, CODE(Sheet1!E180), "")</f>
        <v>251</v>
      </c>
      <c r="C179">
        <f>IF(Sheet1!$B180, CODE(Sheet1!F180), "")</f>
        <v>244</v>
      </c>
      <c r="D179">
        <f>IF(Sheet1!$B180, CODE(Sheet1!G180), "")</f>
        <v>245</v>
      </c>
      <c r="E179">
        <f>IF(Sheet1!$B180, CODE(Sheet1!H180), "")</f>
        <v>246</v>
      </c>
      <c r="F179">
        <f>IF(Sheet1!$B180, CODE(Sheet1!I180), "")</f>
        <v>248</v>
      </c>
      <c r="G179">
        <f>IF(Sheet1!$B180, CODE(Sheet1!J180), "")</f>
        <v>252</v>
      </c>
      <c r="H179" t="str">
        <f>IF(Sheet1!$B180,Sheet1!M180,"")</f>
        <v>DIAG_BOTH</v>
      </c>
      <c r="I179" t="str">
        <f>IF(Sheet1!$B180,Sheet1!N180,"")</f>
        <v>EMPTY</v>
      </c>
      <c r="J179" t="str">
        <f>IF(Sheet1!$B180,Sheet1!O180,"")</f>
        <v>ORTHO_BOTH</v>
      </c>
      <c r="K179" t="str">
        <f>IF(Sheet1!$B180,Sheet1!P180,"")</f>
        <v>EMPTY</v>
      </c>
    </row>
    <row r="180" spans="1:11">
      <c r="A180">
        <f>IF(Sheet1!$B181, CODE(Sheet1!D181), "")</f>
        <v>248</v>
      </c>
      <c r="B180">
        <f>IF(Sheet1!$B181, CODE(Sheet1!E181), "")</f>
        <v>245</v>
      </c>
      <c r="C180">
        <f>IF(Sheet1!$B181, CODE(Sheet1!F181), "")</f>
        <v>252</v>
      </c>
      <c r="D180">
        <f>IF(Sheet1!$B181, CODE(Sheet1!G181), "")</f>
        <v>251</v>
      </c>
      <c r="E180">
        <f>IF(Sheet1!$B181, CODE(Sheet1!H181), "")</f>
        <v>249</v>
      </c>
      <c r="F180">
        <f>IF(Sheet1!$B181, CODE(Sheet1!I181), "")</f>
        <v>247</v>
      </c>
      <c r="G180">
        <f>IF(Sheet1!$B181, CODE(Sheet1!J181), "")</f>
        <v>244</v>
      </c>
      <c r="H180" t="str">
        <f>IF(Sheet1!$B181,Sheet1!M181,"")</f>
        <v>EMPTY</v>
      </c>
      <c r="I180" t="str">
        <f>IF(Sheet1!$B181,Sheet1!N181,"")</f>
        <v>ORTHO_BOTH</v>
      </c>
      <c r="J180" t="str">
        <f>IF(Sheet1!$B181,Sheet1!O181,"")</f>
        <v>EMPTY</v>
      </c>
      <c r="K180" t="str">
        <f>IF(Sheet1!$B181,Sheet1!P181,"")</f>
        <v>DIAG_BOTH</v>
      </c>
    </row>
    <row r="181" spans="1:11">
      <c r="A181">
        <f>IF(Sheet1!$B182, CODE(Sheet1!D182), "")</f>
        <v>249</v>
      </c>
      <c r="B181">
        <f>IF(Sheet1!$B182, CODE(Sheet1!E182), "")</f>
        <v>247</v>
      </c>
      <c r="C181">
        <f>IF(Sheet1!$B182, CODE(Sheet1!F182), "")</f>
        <v>251</v>
      </c>
      <c r="D181">
        <f>IF(Sheet1!$B182, CODE(Sheet1!G182), "")</f>
        <v>252</v>
      </c>
      <c r="E181">
        <f>IF(Sheet1!$B182, CODE(Sheet1!H182), "")</f>
        <v>248</v>
      </c>
      <c r="F181">
        <f>IF(Sheet1!$B182, CODE(Sheet1!I182), "")</f>
        <v>245</v>
      </c>
      <c r="G181">
        <f>IF(Sheet1!$B182, CODE(Sheet1!J182), "")</f>
        <v>246</v>
      </c>
      <c r="H181" t="str">
        <f>IF(Sheet1!$B182,Sheet1!M182,"")</f>
        <v>EMPTY</v>
      </c>
      <c r="I181" t="str">
        <f>IF(Sheet1!$B182,Sheet1!N182,"")</f>
        <v>ORTHO_BOTH</v>
      </c>
      <c r="J181" t="str">
        <f>IF(Sheet1!$B182,Sheet1!O182,"")</f>
        <v>DIAG_BOTH</v>
      </c>
      <c r="K181" t="str">
        <f>IF(Sheet1!$B182,Sheet1!P182,"")</f>
        <v>EMPTY</v>
      </c>
    </row>
    <row r="182" spans="1:11">
      <c r="A182">
        <f>IF(Sheet1!$B183, CODE(Sheet1!D183), "")</f>
        <v>251</v>
      </c>
      <c r="B182">
        <f>IF(Sheet1!$B183, CODE(Sheet1!E183), "")</f>
        <v>244</v>
      </c>
      <c r="C182">
        <f>IF(Sheet1!$B183, CODE(Sheet1!F183), "")</f>
        <v>249</v>
      </c>
      <c r="D182">
        <f>IF(Sheet1!$B183, CODE(Sheet1!G183), "")</f>
        <v>248</v>
      </c>
      <c r="E182">
        <f>IF(Sheet1!$B183, CODE(Sheet1!H183), "")</f>
        <v>252</v>
      </c>
      <c r="F182">
        <f>IF(Sheet1!$B183, CODE(Sheet1!I183), "")</f>
        <v>246</v>
      </c>
      <c r="G182">
        <f>IF(Sheet1!$B183, CODE(Sheet1!J183), "")</f>
        <v>245</v>
      </c>
      <c r="H182" t="str">
        <f>IF(Sheet1!$B183,Sheet1!M183,"")</f>
        <v>ORTHO_BOTH</v>
      </c>
      <c r="I182" t="str">
        <f>IF(Sheet1!$B183,Sheet1!N183,"")</f>
        <v>EMPTY</v>
      </c>
      <c r="J182" t="str">
        <f>IF(Sheet1!$B183,Sheet1!O183,"")</f>
        <v>EMPTY</v>
      </c>
      <c r="K182" t="str">
        <f>IF(Sheet1!$B183,Sheet1!P183,"")</f>
        <v>DIAG_BOTH</v>
      </c>
    </row>
    <row r="183" spans="1:11">
      <c r="A183">
        <f>IF(Sheet1!$B184, CODE(Sheet1!D184), "")</f>
        <v>252</v>
      </c>
      <c r="B183">
        <f>IF(Sheet1!$B184, CODE(Sheet1!E184), "")</f>
        <v>246</v>
      </c>
      <c r="C183">
        <f>IF(Sheet1!$B184, CODE(Sheet1!F184), "")</f>
        <v>248</v>
      </c>
      <c r="D183">
        <f>IF(Sheet1!$B184, CODE(Sheet1!G184), "")</f>
        <v>249</v>
      </c>
      <c r="E183">
        <f>IF(Sheet1!$B184, CODE(Sheet1!H184), "")</f>
        <v>251</v>
      </c>
      <c r="F183">
        <f>IF(Sheet1!$B184, CODE(Sheet1!I184), "")</f>
        <v>244</v>
      </c>
      <c r="G183">
        <f>IF(Sheet1!$B184, CODE(Sheet1!J184), "")</f>
        <v>247</v>
      </c>
      <c r="H183" t="str">
        <f>IF(Sheet1!$B184,Sheet1!M184,"")</f>
        <v>ORTHO_BOTH</v>
      </c>
      <c r="I183" t="str">
        <f>IF(Sheet1!$B184,Sheet1!N184,"")</f>
        <v>EMPTY</v>
      </c>
      <c r="J183" t="str">
        <f>IF(Sheet1!$B184,Sheet1!O184,"")</f>
        <v>DIAG_BOTH</v>
      </c>
      <c r="K183" t="str">
        <f>IF(Sheet1!$B184,Sheet1!P184,"")</f>
        <v>EMPTY</v>
      </c>
    </row>
    <row r="184" spans="1:11">
      <c r="A184">
        <f>IF(Sheet1!$B185, CODE(Sheet1!D185), "")</f>
        <v>63</v>
      </c>
      <c r="B184">
        <f>IF(Sheet1!$B185, CODE(Sheet1!E185), "")</f>
        <v>63</v>
      </c>
      <c r="C184">
        <f>IF(Sheet1!$B185, CODE(Sheet1!F185), "")</f>
        <v>63</v>
      </c>
      <c r="D184">
        <f>IF(Sheet1!$B185, CODE(Sheet1!G185), "")</f>
        <v>63</v>
      </c>
      <c r="E184">
        <f>IF(Sheet1!$B185, CODE(Sheet1!H185), "")</f>
        <v>63</v>
      </c>
      <c r="F184">
        <f>IF(Sheet1!$B185, CODE(Sheet1!I185), "")</f>
        <v>63</v>
      </c>
      <c r="G184">
        <f>IF(Sheet1!$B185, CODE(Sheet1!J185), "")</f>
        <v>63</v>
      </c>
      <c r="H184" t="str">
        <f>IF(Sheet1!$B185,Sheet1!M185,"")</f>
        <v>EMPTY</v>
      </c>
      <c r="I184" t="str">
        <f>IF(Sheet1!$B185,Sheet1!N185,"")</f>
        <v>DIAG_FRONT</v>
      </c>
      <c r="J184" t="str">
        <f>IF(Sheet1!$B185,Sheet1!O185,"")</f>
        <v>ORTHO_DOWN</v>
      </c>
      <c r="K184" t="str">
        <f>IF(Sheet1!$B185,Sheet1!P185,"")</f>
        <v>EMPTY</v>
      </c>
    </row>
    <row r="185" spans="1:11">
      <c r="A185">
        <f>IF(Sheet1!$B186, CODE(Sheet1!D186), "")</f>
        <v>63</v>
      </c>
      <c r="B185">
        <f>IF(Sheet1!$B186, CODE(Sheet1!E186), "")</f>
        <v>63</v>
      </c>
      <c r="C185">
        <f>IF(Sheet1!$B186, CODE(Sheet1!F186), "")</f>
        <v>63</v>
      </c>
      <c r="D185">
        <f>IF(Sheet1!$B186, CODE(Sheet1!G186), "")</f>
        <v>63</v>
      </c>
      <c r="E185">
        <f>IF(Sheet1!$B186, CODE(Sheet1!H186), "")</f>
        <v>63</v>
      </c>
      <c r="F185">
        <f>IF(Sheet1!$B186, CODE(Sheet1!I186), "")</f>
        <v>63</v>
      </c>
      <c r="G185">
        <f>IF(Sheet1!$B186, CODE(Sheet1!J186), "")</f>
        <v>63</v>
      </c>
      <c r="H185" t="str">
        <f>IF(Sheet1!$B186,Sheet1!M186,"")</f>
        <v>ORTHO_LEFT</v>
      </c>
      <c r="I185" t="str">
        <f>IF(Sheet1!$B186,Sheet1!N186,"")</f>
        <v>EMPTY</v>
      </c>
      <c r="J185" t="str">
        <f>IF(Sheet1!$B186,Sheet1!O186,"")</f>
        <v>DIAG_FRONT</v>
      </c>
      <c r="K185" t="str">
        <f>IF(Sheet1!$B186,Sheet1!P186,"")</f>
        <v>EMPTY</v>
      </c>
    </row>
    <row r="186" spans="1:11">
      <c r="A186">
        <f>IF(Sheet1!$B187, CODE(Sheet1!D187), "")</f>
        <v>63</v>
      </c>
      <c r="B186">
        <f>IF(Sheet1!$B187, CODE(Sheet1!E187), "")</f>
        <v>63</v>
      </c>
      <c r="C186">
        <f>IF(Sheet1!$B187, CODE(Sheet1!F187), "")</f>
        <v>63</v>
      </c>
      <c r="D186">
        <f>IF(Sheet1!$B187, CODE(Sheet1!G187), "")</f>
        <v>63</v>
      </c>
      <c r="E186">
        <f>IF(Sheet1!$B187, CODE(Sheet1!H187), "")</f>
        <v>63</v>
      </c>
      <c r="F186">
        <f>IF(Sheet1!$B187, CODE(Sheet1!I187), "")</f>
        <v>63</v>
      </c>
      <c r="G186">
        <f>IF(Sheet1!$B187, CODE(Sheet1!J187), "")</f>
        <v>63</v>
      </c>
      <c r="H186" t="str">
        <f>IF(Sheet1!$B187,Sheet1!M187,"")</f>
        <v>DIAG_FRONT</v>
      </c>
      <c r="I186" t="str">
        <f>IF(Sheet1!$B187,Sheet1!N187,"")</f>
        <v>EMPTY</v>
      </c>
      <c r="J186" t="str">
        <f>IF(Sheet1!$B187,Sheet1!O187,"")</f>
        <v>EMPTY</v>
      </c>
      <c r="K186" t="str">
        <f>IF(Sheet1!$B187,Sheet1!P187,"")</f>
        <v>ORTHO_UP</v>
      </c>
    </row>
    <row r="187" spans="1:11">
      <c r="A187">
        <f>IF(Sheet1!$B188, CODE(Sheet1!D188), "")</f>
        <v>63</v>
      </c>
      <c r="B187">
        <f>IF(Sheet1!$B188, CODE(Sheet1!E188), "")</f>
        <v>63</v>
      </c>
      <c r="C187">
        <f>IF(Sheet1!$B188, CODE(Sheet1!F188), "")</f>
        <v>63</v>
      </c>
      <c r="D187">
        <f>IF(Sheet1!$B188, CODE(Sheet1!G188), "")</f>
        <v>63</v>
      </c>
      <c r="E187">
        <f>IF(Sheet1!$B188, CODE(Sheet1!H188), "")</f>
        <v>63</v>
      </c>
      <c r="F187">
        <f>IF(Sheet1!$B188, CODE(Sheet1!I188), "")</f>
        <v>63</v>
      </c>
      <c r="G187">
        <f>IF(Sheet1!$B188, CODE(Sheet1!J188), "")</f>
        <v>63</v>
      </c>
      <c r="H187" t="str">
        <f>IF(Sheet1!$B188,Sheet1!M188,"")</f>
        <v>EMPTY</v>
      </c>
      <c r="I187" t="str">
        <f>IF(Sheet1!$B188,Sheet1!N188,"")</f>
        <v>ORTHO_RIGHT</v>
      </c>
      <c r="J187" t="str">
        <f>IF(Sheet1!$B188,Sheet1!O188,"")</f>
        <v>EMPTY</v>
      </c>
      <c r="K187" t="str">
        <f>IF(Sheet1!$B188,Sheet1!P188,"")</f>
        <v>DIAG_FRONT</v>
      </c>
    </row>
    <row r="188" spans="1:11">
      <c r="A188">
        <f>IF(Sheet1!$B189, CODE(Sheet1!D189), "")</f>
        <v>63</v>
      </c>
      <c r="B188">
        <f>IF(Sheet1!$B189, CODE(Sheet1!E189), "")</f>
        <v>63</v>
      </c>
      <c r="C188">
        <f>IF(Sheet1!$B189, CODE(Sheet1!F189), "")</f>
        <v>63</v>
      </c>
      <c r="D188">
        <f>IF(Sheet1!$B189, CODE(Sheet1!G189), "")</f>
        <v>63</v>
      </c>
      <c r="E188">
        <f>IF(Sheet1!$B189, CODE(Sheet1!H189), "")</f>
        <v>63</v>
      </c>
      <c r="F188">
        <f>IF(Sheet1!$B189, CODE(Sheet1!I189), "")</f>
        <v>63</v>
      </c>
      <c r="G188">
        <f>IF(Sheet1!$B189, CODE(Sheet1!J189), "")</f>
        <v>63</v>
      </c>
      <c r="H188" t="str">
        <f>IF(Sheet1!$B189,Sheet1!M189,"")</f>
        <v>EMPTY</v>
      </c>
      <c r="I188" t="str">
        <f>IF(Sheet1!$B189,Sheet1!N189,"")</f>
        <v>DIAG_BACK</v>
      </c>
      <c r="J188" t="str">
        <f>IF(Sheet1!$B189,Sheet1!O189,"")</f>
        <v>EMPTY</v>
      </c>
      <c r="K188" t="str">
        <f>IF(Sheet1!$B189,Sheet1!P189,"")</f>
        <v>ORTHO_DOWN</v>
      </c>
    </row>
    <row r="189" spans="1:11">
      <c r="A189">
        <f>IF(Sheet1!$B190, CODE(Sheet1!D190), "")</f>
        <v>63</v>
      </c>
      <c r="B189">
        <f>IF(Sheet1!$B190, CODE(Sheet1!E190), "")</f>
        <v>63</v>
      </c>
      <c r="C189">
        <f>IF(Sheet1!$B190, CODE(Sheet1!F190), "")</f>
        <v>63</v>
      </c>
      <c r="D189">
        <f>IF(Sheet1!$B190, CODE(Sheet1!G190), "")</f>
        <v>63</v>
      </c>
      <c r="E189">
        <f>IF(Sheet1!$B190, CODE(Sheet1!H190), "")</f>
        <v>63</v>
      </c>
      <c r="F189">
        <f>IF(Sheet1!$B190, CODE(Sheet1!I190), "")</f>
        <v>63</v>
      </c>
      <c r="G189">
        <f>IF(Sheet1!$B190, CODE(Sheet1!J190), "")</f>
        <v>63</v>
      </c>
      <c r="H189" t="str">
        <f>IF(Sheet1!$B190,Sheet1!M190,"")</f>
        <v>EMPTY</v>
      </c>
      <c r="I189" t="str">
        <f>IF(Sheet1!$B190,Sheet1!N190,"")</f>
        <v>ORTHO_LEFT</v>
      </c>
      <c r="J189" t="str">
        <f>IF(Sheet1!$B190,Sheet1!O190,"")</f>
        <v>DIAG_BACK</v>
      </c>
      <c r="K189" t="str">
        <f>IF(Sheet1!$B190,Sheet1!P190,"")</f>
        <v>EMPTY</v>
      </c>
    </row>
    <row r="190" spans="1:11">
      <c r="A190">
        <f>IF(Sheet1!$B191, CODE(Sheet1!D191), "")</f>
        <v>63</v>
      </c>
      <c r="B190">
        <f>IF(Sheet1!$B191, CODE(Sheet1!E191), "")</f>
        <v>63</v>
      </c>
      <c r="C190">
        <f>IF(Sheet1!$B191, CODE(Sheet1!F191), "")</f>
        <v>63</v>
      </c>
      <c r="D190">
        <f>IF(Sheet1!$B191, CODE(Sheet1!G191), "")</f>
        <v>63</v>
      </c>
      <c r="E190">
        <f>IF(Sheet1!$B191, CODE(Sheet1!H191), "")</f>
        <v>63</v>
      </c>
      <c r="F190">
        <f>IF(Sheet1!$B191, CODE(Sheet1!I191), "")</f>
        <v>63</v>
      </c>
      <c r="G190">
        <f>IF(Sheet1!$B191, CODE(Sheet1!J191), "")</f>
        <v>63</v>
      </c>
      <c r="H190" t="str">
        <f>IF(Sheet1!$B191,Sheet1!M191,"")</f>
        <v>DIAG_BACK</v>
      </c>
      <c r="I190" t="str">
        <f>IF(Sheet1!$B191,Sheet1!N191,"")</f>
        <v>EMPTY</v>
      </c>
      <c r="J190" t="str">
        <f>IF(Sheet1!$B191,Sheet1!O191,"")</f>
        <v>ORTHO_UP</v>
      </c>
      <c r="K190" t="str">
        <f>IF(Sheet1!$B191,Sheet1!P191,"")</f>
        <v>EMPTY</v>
      </c>
    </row>
    <row r="191" spans="1:11">
      <c r="A191">
        <f>IF(Sheet1!$B192, CODE(Sheet1!D192), "")</f>
        <v>63</v>
      </c>
      <c r="B191">
        <f>IF(Sheet1!$B192, CODE(Sheet1!E192), "")</f>
        <v>63</v>
      </c>
      <c r="C191">
        <f>IF(Sheet1!$B192, CODE(Sheet1!F192), "")</f>
        <v>63</v>
      </c>
      <c r="D191">
        <f>IF(Sheet1!$B192, CODE(Sheet1!G192), "")</f>
        <v>63</v>
      </c>
      <c r="E191">
        <f>IF(Sheet1!$B192, CODE(Sheet1!H192), "")</f>
        <v>63</v>
      </c>
      <c r="F191">
        <f>IF(Sheet1!$B192, CODE(Sheet1!I192), "")</f>
        <v>63</v>
      </c>
      <c r="G191">
        <f>IF(Sheet1!$B192, CODE(Sheet1!J192), "")</f>
        <v>63</v>
      </c>
      <c r="H191" t="str">
        <f>IF(Sheet1!$B192,Sheet1!M192,"")</f>
        <v>ORTHO_RIGHT</v>
      </c>
      <c r="I191" t="str">
        <f>IF(Sheet1!$B192,Sheet1!N192,"")</f>
        <v>EMPTY</v>
      </c>
      <c r="J191" t="str">
        <f>IF(Sheet1!$B192,Sheet1!O192,"")</f>
        <v>EMPTY</v>
      </c>
      <c r="K191" t="str">
        <f>IF(Sheet1!$B192,Sheet1!P192,"")</f>
        <v>DIAG_BACK</v>
      </c>
    </row>
    <row r="192" spans="1:11">
      <c r="A192">
        <f>IF(Sheet1!$B193, CODE(Sheet1!D193), "")</f>
        <v>140</v>
      </c>
      <c r="B192">
        <f>IF(Sheet1!$B193, CODE(Sheet1!E193), "")</f>
        <v>130</v>
      </c>
      <c r="C192">
        <f>IF(Sheet1!$B193, CODE(Sheet1!F193), "")</f>
        <v>140</v>
      </c>
      <c r="D192">
        <f>IF(Sheet1!$B193, CODE(Sheet1!G193), "")</f>
        <v>140</v>
      </c>
      <c r="E192">
        <f>IF(Sheet1!$B193, CODE(Sheet1!H193), "")</f>
        <v>140</v>
      </c>
      <c r="F192">
        <f>IF(Sheet1!$B193, CODE(Sheet1!I193), "")</f>
        <v>130</v>
      </c>
      <c r="G192">
        <f>IF(Sheet1!$B193, CODE(Sheet1!J193), "")</f>
        <v>130</v>
      </c>
      <c r="H192" t="str">
        <f>IF(Sheet1!$B193,Sheet1!M193,"")</f>
        <v>EMPTY</v>
      </c>
      <c r="I192" t="str">
        <f>IF(Sheet1!$B193,Sheet1!N193,"")</f>
        <v>EMPTY</v>
      </c>
      <c r="J192" t="str">
        <f>IF(Sheet1!$B193,Sheet1!O193,"")</f>
        <v>ORTHO_BOTH</v>
      </c>
      <c r="K192" t="str">
        <f>IF(Sheet1!$B193,Sheet1!P193,"")</f>
        <v>ORTHO_BOTH</v>
      </c>
    </row>
    <row r="193" spans="1:11">
      <c r="A193">
        <f>IF(Sheet1!$B194, CODE(Sheet1!D194), "")</f>
        <v>138</v>
      </c>
      <c r="B193">
        <f>IF(Sheet1!$B194, CODE(Sheet1!E194), "")</f>
        <v>136</v>
      </c>
      <c r="C193">
        <f>IF(Sheet1!$B194, CODE(Sheet1!F194), "")</f>
        <v>139</v>
      </c>
      <c r="D193">
        <f>IF(Sheet1!$B194, CODE(Sheet1!G194), "")</f>
        <v>138</v>
      </c>
      <c r="E193">
        <f>IF(Sheet1!$B194, CODE(Sheet1!H194), "")</f>
        <v>139</v>
      </c>
      <c r="F193">
        <f>IF(Sheet1!$B194, CODE(Sheet1!I194), "")</f>
        <v>137</v>
      </c>
      <c r="G193">
        <f>IF(Sheet1!$B194, CODE(Sheet1!J194), "")</f>
        <v>136</v>
      </c>
      <c r="H193" t="str">
        <f>IF(Sheet1!$B194,Sheet1!M194,"")</f>
        <v>EMPTY</v>
      </c>
      <c r="I193" t="str">
        <f>IF(Sheet1!$B194,Sheet1!N194,"")</f>
        <v>EMPTY</v>
      </c>
      <c r="J193" t="str">
        <f>IF(Sheet1!$B194,Sheet1!O194,"")</f>
        <v>EMPTY</v>
      </c>
      <c r="K193" t="str">
        <f>IF(Sheet1!$B194,Sheet1!P194,"")</f>
        <v>DIAG_BOTH</v>
      </c>
    </row>
    <row r="194" spans="1:11">
      <c r="A194">
        <f>IF(Sheet1!$B195, CODE(Sheet1!D195), "")</f>
        <v>136</v>
      </c>
      <c r="B194">
        <f>IF(Sheet1!$B195, CODE(Sheet1!E195), "")</f>
        <v>139</v>
      </c>
      <c r="C194">
        <f>IF(Sheet1!$B195, CODE(Sheet1!F195), "")</f>
        <v>137</v>
      </c>
      <c r="D194">
        <f>IF(Sheet1!$B195, CODE(Sheet1!G195), "")</f>
        <v>137</v>
      </c>
      <c r="E194">
        <f>IF(Sheet1!$B195, CODE(Sheet1!H195), "")</f>
        <v>136</v>
      </c>
      <c r="F194">
        <f>IF(Sheet1!$B195, CODE(Sheet1!I195), "")</f>
        <v>139</v>
      </c>
      <c r="G194">
        <f>IF(Sheet1!$B195, CODE(Sheet1!J195), "")</f>
        <v>138</v>
      </c>
      <c r="H194" t="str">
        <f>IF(Sheet1!$B195,Sheet1!M195,"")</f>
        <v>EMPTY</v>
      </c>
      <c r="I194" t="str">
        <f>IF(Sheet1!$B195,Sheet1!N195,"")</f>
        <v>DIAG_BOTH</v>
      </c>
      <c r="J194" t="str">
        <f>IF(Sheet1!$B195,Sheet1!O195,"")</f>
        <v>EMPTY</v>
      </c>
      <c r="K194" t="str">
        <f>IF(Sheet1!$B195,Sheet1!P195,"")</f>
        <v>EMPTY</v>
      </c>
    </row>
    <row r="195" spans="1:11">
      <c r="A195">
        <f>IF(Sheet1!$B196, CODE(Sheet1!D196), "")</f>
        <v>130</v>
      </c>
      <c r="B195">
        <f>IF(Sheet1!$B196, CODE(Sheet1!E196), "")</f>
        <v>140</v>
      </c>
      <c r="C195">
        <f>IF(Sheet1!$B196, CODE(Sheet1!F196), "")</f>
        <v>130</v>
      </c>
      <c r="D195">
        <f>IF(Sheet1!$B196, CODE(Sheet1!G196), "")</f>
        <v>130</v>
      </c>
      <c r="E195">
        <f>IF(Sheet1!$B196, CODE(Sheet1!H196), "")</f>
        <v>130</v>
      </c>
      <c r="F195">
        <f>IF(Sheet1!$B196, CODE(Sheet1!I196), "")</f>
        <v>140</v>
      </c>
      <c r="G195">
        <f>IF(Sheet1!$B196, CODE(Sheet1!J196), "")</f>
        <v>140</v>
      </c>
      <c r="H195" t="str">
        <f>IF(Sheet1!$B196,Sheet1!M196,"")</f>
        <v>ORTHO_BOTH</v>
      </c>
      <c r="I195" t="str">
        <f>IF(Sheet1!$B196,Sheet1!N196,"")</f>
        <v>ORTHO_BOTH</v>
      </c>
      <c r="J195" t="str">
        <f>IF(Sheet1!$B196,Sheet1!O196,"")</f>
        <v>EMPTY</v>
      </c>
      <c r="K195" t="str">
        <f>IF(Sheet1!$B196,Sheet1!P196,"")</f>
        <v>EMPTY</v>
      </c>
    </row>
    <row r="196" spans="1:11">
      <c r="A196">
        <f>IF(Sheet1!$B197, CODE(Sheet1!D197), "")</f>
        <v>132</v>
      </c>
      <c r="B196">
        <f>IF(Sheet1!$B197, CODE(Sheet1!E197), "")</f>
        <v>133</v>
      </c>
      <c r="C196">
        <f>IF(Sheet1!$B197, CODE(Sheet1!F197), "")</f>
        <v>135</v>
      </c>
      <c r="D196">
        <f>IF(Sheet1!$B197, CODE(Sheet1!G197), "")</f>
        <v>134</v>
      </c>
      <c r="E196">
        <f>IF(Sheet1!$B197, CODE(Sheet1!H197), "")</f>
        <v>133</v>
      </c>
      <c r="F196">
        <f>IF(Sheet1!$B197, CODE(Sheet1!I197), "")</f>
        <v>135</v>
      </c>
      <c r="G196">
        <f>IF(Sheet1!$B197, CODE(Sheet1!J197), "")</f>
        <v>132</v>
      </c>
      <c r="H196" t="str">
        <f>IF(Sheet1!$B197,Sheet1!M197,"")</f>
        <v>EMPTY</v>
      </c>
      <c r="I196" t="str">
        <f>IF(Sheet1!$B197,Sheet1!N197,"")</f>
        <v>DIAG_BOTH</v>
      </c>
      <c r="J196" t="str">
        <f>IF(Sheet1!$B197,Sheet1!O197,"")</f>
        <v>EMPTY</v>
      </c>
      <c r="K196" t="str">
        <f>IF(Sheet1!$B197,Sheet1!P197,"")</f>
        <v>DIAG_BOTH</v>
      </c>
    </row>
    <row r="197" spans="1:11">
      <c r="A197">
        <f>IF(Sheet1!$B198, CODE(Sheet1!D198), "")</f>
        <v>134</v>
      </c>
      <c r="B197">
        <f>IF(Sheet1!$B198, CODE(Sheet1!E198), "")</f>
        <v>132</v>
      </c>
      <c r="C197">
        <f>IF(Sheet1!$B198, CODE(Sheet1!F198), "")</f>
        <v>133</v>
      </c>
      <c r="D197">
        <f>IF(Sheet1!$B198, CODE(Sheet1!G198), "")</f>
        <v>132</v>
      </c>
      <c r="E197">
        <f>IF(Sheet1!$B198, CODE(Sheet1!H198), "")</f>
        <v>135</v>
      </c>
      <c r="F197">
        <f>IF(Sheet1!$B198, CODE(Sheet1!I198), "")</f>
        <v>134</v>
      </c>
      <c r="G197">
        <f>IF(Sheet1!$B198, CODE(Sheet1!J198), "")</f>
        <v>133</v>
      </c>
      <c r="H197" t="str">
        <f>IF(Sheet1!$B198,Sheet1!M198,"")</f>
        <v>DIAG_BOTH</v>
      </c>
      <c r="I197" t="str">
        <f>IF(Sheet1!$B198,Sheet1!N198,"")</f>
        <v>EMPTY</v>
      </c>
      <c r="J197" t="str">
        <f>IF(Sheet1!$B198,Sheet1!O198,"")</f>
        <v>EMPTY</v>
      </c>
      <c r="K197" t="str">
        <f>IF(Sheet1!$B198,Sheet1!P198,"")</f>
        <v>DIAG_BOTH</v>
      </c>
    </row>
    <row r="198" spans="1:11">
      <c r="A198">
        <f>IF(Sheet1!$B199, CODE(Sheet1!D199), "")</f>
        <v>135</v>
      </c>
      <c r="B198">
        <f>IF(Sheet1!$B199, CODE(Sheet1!E199), "")</f>
        <v>134</v>
      </c>
      <c r="C198">
        <f>IF(Sheet1!$B199, CODE(Sheet1!F199), "")</f>
        <v>132</v>
      </c>
      <c r="D198">
        <f>IF(Sheet1!$B199, CODE(Sheet1!G199), "")</f>
        <v>133</v>
      </c>
      <c r="E198">
        <f>IF(Sheet1!$B199, CODE(Sheet1!H199), "")</f>
        <v>134</v>
      </c>
      <c r="F198">
        <f>IF(Sheet1!$B199, CODE(Sheet1!I199), "")</f>
        <v>132</v>
      </c>
      <c r="G198">
        <f>IF(Sheet1!$B199, CODE(Sheet1!J199), "")</f>
        <v>135</v>
      </c>
      <c r="H198" t="str">
        <f>IF(Sheet1!$B199,Sheet1!M199,"")</f>
        <v>DIAG_BOTH</v>
      </c>
      <c r="I198" t="str">
        <f>IF(Sheet1!$B199,Sheet1!N199,"")</f>
        <v>EMPTY</v>
      </c>
      <c r="J198" t="str">
        <f>IF(Sheet1!$B199,Sheet1!O199,"")</f>
        <v>DIAG_BOTH</v>
      </c>
      <c r="K198" t="str">
        <f>IF(Sheet1!$B199,Sheet1!P199,"")</f>
        <v>EMPTY</v>
      </c>
    </row>
    <row r="199" spans="1:11">
      <c r="A199">
        <f>IF(Sheet1!$B200, CODE(Sheet1!D200), "")</f>
        <v>133</v>
      </c>
      <c r="B199">
        <f>IF(Sheet1!$B200, CODE(Sheet1!E200), "")</f>
        <v>135</v>
      </c>
      <c r="C199">
        <f>IF(Sheet1!$B200, CODE(Sheet1!F200), "")</f>
        <v>134</v>
      </c>
      <c r="D199">
        <f>IF(Sheet1!$B200, CODE(Sheet1!G200), "")</f>
        <v>135</v>
      </c>
      <c r="E199">
        <f>IF(Sheet1!$B200, CODE(Sheet1!H200), "")</f>
        <v>132</v>
      </c>
      <c r="F199">
        <f>IF(Sheet1!$B200, CODE(Sheet1!I200), "")</f>
        <v>133</v>
      </c>
      <c r="G199">
        <f>IF(Sheet1!$B200, CODE(Sheet1!J200), "")</f>
        <v>134</v>
      </c>
      <c r="H199" t="str">
        <f>IF(Sheet1!$B200,Sheet1!M200,"")</f>
        <v>EMPTY</v>
      </c>
      <c r="I199" t="str">
        <f>IF(Sheet1!$B200,Sheet1!N200,"")</f>
        <v>DIAG_BOTH</v>
      </c>
      <c r="J199" t="str">
        <f>IF(Sheet1!$B200,Sheet1!O200,"")</f>
        <v>DIAG_BOTH</v>
      </c>
      <c r="K199" t="str">
        <f>IF(Sheet1!$B200,Sheet1!P200,"")</f>
        <v>EMPTY</v>
      </c>
    </row>
    <row r="200" spans="1:11">
      <c r="A200">
        <f>IF(Sheet1!$B201, CODE(Sheet1!D201), "")</f>
        <v>137</v>
      </c>
      <c r="B200">
        <f>IF(Sheet1!$B201, CODE(Sheet1!E201), "")</f>
        <v>138</v>
      </c>
      <c r="C200">
        <f>IF(Sheet1!$B201, CODE(Sheet1!F201), "")</f>
        <v>136</v>
      </c>
      <c r="D200">
        <f>IF(Sheet1!$B201, CODE(Sheet1!G201), "")</f>
        <v>136</v>
      </c>
      <c r="E200">
        <f>IF(Sheet1!$B201, CODE(Sheet1!H201), "")</f>
        <v>137</v>
      </c>
      <c r="F200">
        <f>IF(Sheet1!$B201, CODE(Sheet1!I201), "")</f>
        <v>138</v>
      </c>
      <c r="G200">
        <f>IF(Sheet1!$B201, CODE(Sheet1!J201), "")</f>
        <v>139</v>
      </c>
      <c r="H200" t="str">
        <f>IF(Sheet1!$B201,Sheet1!M201,"")</f>
        <v>DIAG_BOTH</v>
      </c>
      <c r="I200" t="str">
        <f>IF(Sheet1!$B201,Sheet1!N201,"")</f>
        <v>EMPTY</v>
      </c>
      <c r="J200" t="str">
        <f>IF(Sheet1!$B201,Sheet1!O201,"")</f>
        <v>EMPTY</v>
      </c>
      <c r="K200" t="str">
        <f>IF(Sheet1!$B201,Sheet1!P201,"")</f>
        <v>EMPTY</v>
      </c>
    </row>
    <row r="201" spans="1:11">
      <c r="A201">
        <f>IF(Sheet1!$B202, CODE(Sheet1!D202), "")</f>
        <v>139</v>
      </c>
      <c r="B201">
        <f>IF(Sheet1!$B202, CODE(Sheet1!E202), "")</f>
        <v>137</v>
      </c>
      <c r="C201">
        <f>IF(Sheet1!$B202, CODE(Sheet1!F202), "")</f>
        <v>138</v>
      </c>
      <c r="D201">
        <f>IF(Sheet1!$B202, CODE(Sheet1!G202), "")</f>
        <v>139</v>
      </c>
      <c r="E201">
        <f>IF(Sheet1!$B202, CODE(Sheet1!H202), "")</f>
        <v>138</v>
      </c>
      <c r="F201">
        <f>IF(Sheet1!$B202, CODE(Sheet1!I202), "")</f>
        <v>136</v>
      </c>
      <c r="G201">
        <f>IF(Sheet1!$B202, CODE(Sheet1!J202), "")</f>
        <v>137</v>
      </c>
      <c r="H201" t="str">
        <f>IF(Sheet1!$B202,Sheet1!M202,"")</f>
        <v>EMPTY</v>
      </c>
      <c r="I201" t="str">
        <f>IF(Sheet1!$B202,Sheet1!N202,"")</f>
        <v>EMPTY</v>
      </c>
      <c r="J201" t="str">
        <f>IF(Sheet1!$B202,Sheet1!O202,"")</f>
        <v>DIAG_BOTH</v>
      </c>
      <c r="K201" t="str">
        <f>IF(Sheet1!$B202,Sheet1!P202,"")</f>
        <v>EMPTY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2022-08-08T21:51:20Z</dcterms:modified>
</cp:coreProperties>
</file>